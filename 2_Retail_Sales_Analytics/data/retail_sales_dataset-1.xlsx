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ADDA Project\retail\"/>
    </mc:Choice>
  </mc:AlternateContent>
  <bookViews>
    <workbookView xWindow="0" yWindow="0" windowWidth="20490" windowHeight="7155" activeTab="1"/>
  </bookViews>
  <sheets>
    <sheet name="Retail_Sales_Raw_Data" sheetId="1" r:id="rId1"/>
    <sheet name="PT1_Revenue_Region" sheetId="2" r:id="rId2"/>
    <sheet name="PT2_Sales_Category" sheetId="3" r:id="rId3"/>
    <sheet name="PT3_Revenue_Month" sheetId="4" r:id="rId4"/>
  </sheet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</calcChain>
</file>

<file path=xl/sharedStrings.xml><?xml version="1.0" encoding="utf-8"?>
<sst xmlns="http://schemas.openxmlformats.org/spreadsheetml/2006/main" count="45059" uniqueCount="6146">
  <si>
    <t>Transaction_ID</t>
  </si>
  <si>
    <t>Date</t>
  </si>
  <si>
    <t>Month</t>
  </si>
  <si>
    <t>Day_of_Week</t>
  </si>
  <si>
    <t>Store_ID</t>
  </si>
  <si>
    <t>Region</t>
  </si>
  <si>
    <t>Category</t>
  </si>
  <si>
    <t>Product</t>
  </si>
  <si>
    <t>Unit_Price</t>
  </si>
  <si>
    <t>Quantity</t>
  </si>
  <si>
    <t>Total_Price</t>
  </si>
  <si>
    <t>Discount_Percent</t>
  </si>
  <si>
    <t>Discount_Amount</t>
  </si>
  <si>
    <t>Final_Price</t>
  </si>
  <si>
    <t>Payment_Method</t>
  </si>
  <si>
    <t>Customer_ID</t>
  </si>
  <si>
    <t>Customer_Rating</t>
  </si>
  <si>
    <t>TXN_00001</t>
  </si>
  <si>
    <t>November</t>
  </si>
  <si>
    <t>Saturday</t>
  </si>
  <si>
    <t>STORE_042</t>
  </si>
  <si>
    <t>South</t>
  </si>
  <si>
    <t>Toys</t>
  </si>
  <si>
    <t>Board Game</t>
  </si>
  <si>
    <t>Credit Card</t>
  </si>
  <si>
    <t>CUST_00518</t>
  </si>
  <si>
    <t>TXN_00002</t>
  </si>
  <si>
    <t>February</t>
  </si>
  <si>
    <t>Tuesday</t>
  </si>
  <si>
    <t>STORE_016</t>
  </si>
  <si>
    <t>East</t>
  </si>
  <si>
    <t>Food &amp; Beverages</t>
  </si>
  <si>
    <t>Chocolate</t>
  </si>
  <si>
    <t>UPI</t>
  </si>
  <si>
    <t>CUST_00994</t>
  </si>
  <si>
    <t>TXN_00003</t>
  </si>
  <si>
    <t>January</t>
  </si>
  <si>
    <t>North</t>
  </si>
  <si>
    <t>Beauty</t>
  </si>
  <si>
    <t>Face Cream</t>
  </si>
  <si>
    <t>CUST_00471</t>
  </si>
  <si>
    <t>TXN_00004</t>
  </si>
  <si>
    <t>May</t>
  </si>
  <si>
    <t>Monday</t>
  </si>
  <si>
    <t>STORE_032</t>
  </si>
  <si>
    <t>Juice</t>
  </si>
  <si>
    <t>Cash</t>
  </si>
  <si>
    <t>CUST_00106</t>
  </si>
  <si>
    <t>TXN_00005</t>
  </si>
  <si>
    <t>Sunday</t>
  </si>
  <si>
    <t>STORE_040</t>
  </si>
  <si>
    <t>Doll</t>
  </si>
  <si>
    <t>CUST_00912</t>
  </si>
  <si>
    <t>TXN_00006</t>
  </si>
  <si>
    <t>April</t>
  </si>
  <si>
    <t>Wednesday</t>
  </si>
  <si>
    <t>STORE_030</t>
  </si>
  <si>
    <t>Sports</t>
  </si>
  <si>
    <t>Bicycle</t>
  </si>
  <si>
    <t>CUST_00574</t>
  </si>
  <si>
    <t>TXN_00007</t>
  </si>
  <si>
    <t>March</t>
  </si>
  <si>
    <t>STORE_022</t>
  </si>
  <si>
    <t>Snacks</t>
  </si>
  <si>
    <t>Debit Card</t>
  </si>
  <si>
    <t>CUST_00850</t>
  </si>
  <si>
    <t>TXN_00008</t>
  </si>
  <si>
    <t>Thursday</t>
  </si>
  <si>
    <t>STORE_009</t>
  </si>
  <si>
    <t>West</t>
  </si>
  <si>
    <t>Face Wash</t>
  </si>
  <si>
    <t>CUST_00110</t>
  </si>
  <si>
    <t>TXN_00009</t>
  </si>
  <si>
    <t>December</t>
  </si>
  <si>
    <t>CUST_00734</t>
  </si>
  <si>
    <t>TXN_00010</t>
  </si>
  <si>
    <t>October</t>
  </si>
  <si>
    <t>STORE_050</t>
  </si>
  <si>
    <t>Books</t>
  </si>
  <si>
    <t>Fiction Novel</t>
  </si>
  <si>
    <t>Wallet</t>
  </si>
  <si>
    <t>CUST_00469</t>
  </si>
  <si>
    <t>TXN_00011</t>
  </si>
  <si>
    <t>STORE_031</t>
  </si>
  <si>
    <t>Central</t>
  </si>
  <si>
    <t>Home &amp; Garden</t>
  </si>
  <si>
    <t>Chair</t>
  </si>
  <si>
    <t>CUST_00800</t>
  </si>
  <si>
    <t>TXN_00012</t>
  </si>
  <si>
    <t>STORE_039</t>
  </si>
  <si>
    <t>Table</t>
  </si>
  <si>
    <t>CUST_00517</t>
  </si>
  <si>
    <t>TXN_00013</t>
  </si>
  <si>
    <t>August</t>
  </si>
  <si>
    <t>STORE_019</t>
  </si>
  <si>
    <t>CUST_00825</t>
  </si>
  <si>
    <t>TXN_00014</t>
  </si>
  <si>
    <t>STORE_046</t>
  </si>
  <si>
    <t>Lamp</t>
  </si>
  <si>
    <t>CUST_00648</t>
  </si>
  <si>
    <t>TXN_00015</t>
  </si>
  <si>
    <t>Dumbbells</t>
  </si>
  <si>
    <t>CUST_00516</t>
  </si>
  <si>
    <t>TXN_00016</t>
  </si>
  <si>
    <t>STORE_043</t>
  </si>
  <si>
    <t>CUST_00691</t>
  </si>
  <si>
    <t>TXN_00017</t>
  </si>
  <si>
    <t>STORE_010</t>
  </si>
  <si>
    <t>Perfume</t>
  </si>
  <si>
    <t>CUST_00687</t>
  </si>
  <si>
    <t>TXN_00018</t>
  </si>
  <si>
    <t>STORE_004</t>
  </si>
  <si>
    <t>Electronics</t>
  </si>
  <si>
    <t>Mobile Phone</t>
  </si>
  <si>
    <t>CUST_00209</t>
  </si>
  <si>
    <t>TXN_00019</t>
  </si>
  <si>
    <t>September</t>
  </si>
  <si>
    <t>STORE_048</t>
  </si>
  <si>
    <t>Headphones</t>
  </si>
  <si>
    <t>CUST_00399</t>
  </si>
  <si>
    <t>TXN_00020</t>
  </si>
  <si>
    <t>STORE_025</t>
  </si>
  <si>
    <t>Cricket Bat</t>
  </si>
  <si>
    <t>CUST_00980</t>
  </si>
  <si>
    <t>TXN_00021</t>
  </si>
  <si>
    <t>STORE_015</t>
  </si>
  <si>
    <t>Tech Manual</t>
  </si>
  <si>
    <t>CUST_00774</t>
  </si>
  <si>
    <t>TXN_00022</t>
  </si>
  <si>
    <t>STORE_012</t>
  </si>
  <si>
    <t>CUST_00123</t>
  </si>
  <si>
    <t>TXN_00023</t>
  </si>
  <si>
    <t>STORE_038</t>
  </si>
  <si>
    <t>Action Figure</t>
  </si>
  <si>
    <t>CUST_00006</t>
  </si>
  <si>
    <t>TXN_00024</t>
  </si>
  <si>
    <t>Cook Book</t>
  </si>
  <si>
    <t>CUST_00793</t>
  </si>
  <si>
    <t>TXN_00025</t>
  </si>
  <si>
    <t>STORE_034</t>
  </si>
  <si>
    <t>TXN_00026</t>
  </si>
  <si>
    <t>STORE_035</t>
  </si>
  <si>
    <t>CUST_00095</t>
  </si>
  <si>
    <t>TXN_00027</t>
  </si>
  <si>
    <t>Friday</t>
  </si>
  <si>
    <t>STORE_014</t>
  </si>
  <si>
    <t>Self-Help</t>
  </si>
  <si>
    <t>CUST_00544</t>
  </si>
  <si>
    <t>TXN_00028</t>
  </si>
  <si>
    <t>CUST_00941</t>
  </si>
  <si>
    <t>TXN_00029</t>
  </si>
  <si>
    <t>STORE_017</t>
  </si>
  <si>
    <t>Yoga Mat</t>
  </si>
  <si>
    <t>CUST_00742</t>
  </si>
  <si>
    <t>TXN_00030</t>
  </si>
  <si>
    <t>CUST_00304</t>
  </si>
  <si>
    <t>TXN_00031</t>
  </si>
  <si>
    <t>STORE_001</t>
  </si>
  <si>
    <t>Running Shoes</t>
  </si>
  <si>
    <t>CUST_00216</t>
  </si>
  <si>
    <t>TXN_00032</t>
  </si>
  <si>
    <t>CUST_00025</t>
  </si>
  <si>
    <t>TXN_00033</t>
  </si>
  <si>
    <t>STORE_036</t>
  </si>
  <si>
    <t>CUST_00589</t>
  </si>
  <si>
    <t>TXN_00034</t>
  </si>
  <si>
    <t>STORE_021</t>
  </si>
  <si>
    <t>TXN_00035</t>
  </si>
  <si>
    <t>STORE_045</t>
  </si>
  <si>
    <t>Clothing</t>
  </si>
  <si>
    <t>Shoes</t>
  </si>
  <si>
    <t>CUST_00367</t>
  </si>
  <si>
    <t>TXN_00036</t>
  </si>
  <si>
    <t>June</t>
  </si>
  <si>
    <t>STORE_049</t>
  </si>
  <si>
    <t>Dress</t>
  </si>
  <si>
    <t>CUST_00391</t>
  </si>
  <si>
    <t>TXN_00037</t>
  </si>
  <si>
    <t>CUST_00984</t>
  </si>
  <si>
    <t>TXN_00038</t>
  </si>
  <si>
    <t>Bed</t>
  </si>
  <si>
    <t>CUST_00043</t>
  </si>
  <si>
    <t>TXN_00039</t>
  </si>
  <si>
    <t>Smart Watch</t>
  </si>
  <si>
    <t>CUST_00217</t>
  </si>
  <si>
    <t>TXN_00040</t>
  </si>
  <si>
    <t>STORE_013</t>
  </si>
  <si>
    <t>Building Blocks</t>
  </si>
  <si>
    <t>CUST_00186</t>
  </si>
  <si>
    <t>TXN_00041</t>
  </si>
  <si>
    <t>CUST_00203</t>
  </si>
  <si>
    <t>TXN_00042</t>
  </si>
  <si>
    <t>STORE_005</t>
  </si>
  <si>
    <t>CUST_00326</t>
  </si>
  <si>
    <t>TXN_00043</t>
  </si>
  <si>
    <t>July</t>
  </si>
  <si>
    <t>STORE_037</t>
  </si>
  <si>
    <t>CUST_00374</t>
  </si>
  <si>
    <t>TXN_00044</t>
  </si>
  <si>
    <t>STORE_018</t>
  </si>
  <si>
    <t>CUST_00138</t>
  </si>
  <si>
    <t>TXN_00045</t>
  </si>
  <si>
    <t>CUST_00180</t>
  </si>
  <si>
    <t>TXN_00046</t>
  </si>
  <si>
    <t>STORE_047</t>
  </si>
  <si>
    <t>CUST_00745</t>
  </si>
  <si>
    <t>TXN_00047</t>
  </si>
  <si>
    <t>STORE_026</t>
  </si>
  <si>
    <t>T-Shirt</t>
  </si>
  <si>
    <t>CUST_00218</t>
  </si>
  <si>
    <t>TXN_00048</t>
  </si>
  <si>
    <t>CUST_00913</t>
  </si>
  <si>
    <t>TXN_00049</t>
  </si>
  <si>
    <t>STORE_033</t>
  </si>
  <si>
    <t>Lipstick</t>
  </si>
  <si>
    <t>CUST_00679</t>
  </si>
  <si>
    <t>TXN_00050</t>
  </si>
  <si>
    <t>CUST_00972</t>
  </si>
  <si>
    <t>TXN_00051</t>
  </si>
  <si>
    <t>CUST_00379</t>
  </si>
  <si>
    <t>TXN_00052</t>
  </si>
  <si>
    <t>CUST_00903</t>
  </si>
  <si>
    <t>TXN_00053</t>
  </si>
  <si>
    <t>Laptop</t>
  </si>
  <si>
    <t>CUST_00593</t>
  </si>
  <si>
    <t>TXN_00054</t>
  </si>
  <si>
    <t>CUST_00997</t>
  </si>
  <si>
    <t>TXN_00055</t>
  </si>
  <si>
    <t>CUST_00904</t>
  </si>
  <si>
    <t>TXN_00056</t>
  </si>
  <si>
    <t>CUST_00162</t>
  </si>
  <si>
    <t>TXN_00057</t>
  </si>
  <si>
    <t>CUST_00494</t>
  </si>
  <si>
    <t>TXN_00058</t>
  </si>
  <si>
    <t>CUST_00131</t>
  </si>
  <si>
    <t>TXN_00059</t>
  </si>
  <si>
    <t>STORE_011</t>
  </si>
  <si>
    <t>CUST_00945</t>
  </si>
  <si>
    <t>TXN_00060</t>
  </si>
  <si>
    <t>STORE_006</t>
  </si>
  <si>
    <t>CUST_00460</t>
  </si>
  <si>
    <t>TXN_00061</t>
  </si>
  <si>
    <t>CUST_00639</t>
  </si>
  <si>
    <t>TXN_00062</t>
  </si>
  <si>
    <t>CUST_00388</t>
  </si>
  <si>
    <t>TXN_00063</t>
  </si>
  <si>
    <t>CUST_00099</t>
  </si>
  <si>
    <t>TXN_00064</t>
  </si>
  <si>
    <t>CUST_00096</t>
  </si>
  <si>
    <t>TXN_00065</t>
  </si>
  <si>
    <t>Tea</t>
  </si>
  <si>
    <t>CUST_00380</t>
  </si>
  <si>
    <t>TXN_00066</t>
  </si>
  <si>
    <t>CUST_00101</t>
  </si>
  <si>
    <t>TXN_00067</t>
  </si>
  <si>
    <t>CUST_00419</t>
  </si>
  <si>
    <t>TXN_00068</t>
  </si>
  <si>
    <t>CUST_00385</t>
  </si>
  <si>
    <t>TXN_00069</t>
  </si>
  <si>
    <t>CUST_00876</t>
  </si>
  <si>
    <t>TXN_00070</t>
  </si>
  <si>
    <t>STORE_027</t>
  </si>
  <si>
    <t>CUST_00803</t>
  </si>
  <si>
    <t>TXN_00071</t>
  </si>
  <si>
    <t>TXN_00072</t>
  </si>
  <si>
    <t>CUST_00103</t>
  </si>
  <si>
    <t>TXN_00073</t>
  </si>
  <si>
    <t>CUST_00165</t>
  </si>
  <si>
    <t>TXN_00074</t>
  </si>
  <si>
    <t>CUST_00270</t>
  </si>
  <si>
    <t>TXN_00075</t>
  </si>
  <si>
    <t>CUST_00294</t>
  </si>
  <si>
    <t>TXN_00076</t>
  </si>
  <si>
    <t>CUST_00035</t>
  </si>
  <si>
    <t>TXN_00077</t>
  </si>
  <si>
    <t>CUST_00283</t>
  </si>
  <si>
    <t>TXN_00078</t>
  </si>
  <si>
    <t>Puzzle</t>
  </si>
  <si>
    <t>CUST_00942</t>
  </si>
  <si>
    <t>TXN_00079</t>
  </si>
  <si>
    <t>CUST_00621</t>
  </si>
  <si>
    <t>TXN_00080</t>
  </si>
  <si>
    <t>TXN_00081</t>
  </si>
  <si>
    <t>CUST_00257</t>
  </si>
  <si>
    <t>TXN_00082</t>
  </si>
  <si>
    <t>STORE_044</t>
  </si>
  <si>
    <t>CUST_00919</t>
  </si>
  <si>
    <t>TXN_00083</t>
  </si>
  <si>
    <t>Tablet</t>
  </si>
  <si>
    <t>CUST_00979</t>
  </si>
  <si>
    <t>TXN_00084</t>
  </si>
  <si>
    <t>CUST_00078</t>
  </si>
  <si>
    <t>TXN_00085</t>
  </si>
  <si>
    <t>CUST_00511</t>
  </si>
  <si>
    <t>TXN_00086</t>
  </si>
  <si>
    <t>CUST_00365</t>
  </si>
  <si>
    <t>TXN_00087</t>
  </si>
  <si>
    <t>Sofa</t>
  </si>
  <si>
    <t>CUST_00981</t>
  </si>
  <si>
    <t>TXN_00088</t>
  </si>
  <si>
    <t>CUST_00783</t>
  </si>
  <si>
    <t>TXN_00089</t>
  </si>
  <si>
    <t>STORE_028</t>
  </si>
  <si>
    <t>CUST_00963</t>
  </si>
  <si>
    <t>TXN_00090</t>
  </si>
  <si>
    <t>CUST_00706</t>
  </si>
  <si>
    <t>TXN_00091</t>
  </si>
  <si>
    <t>STORE_024</t>
  </si>
  <si>
    <t>CUST_00883</t>
  </si>
  <si>
    <t>TXN_00092</t>
  </si>
  <si>
    <t>CUST_00189</t>
  </si>
  <si>
    <t>TXN_00093</t>
  </si>
  <si>
    <t>STORE_029</t>
  </si>
  <si>
    <t>CUST_00586</t>
  </si>
  <si>
    <t>TXN_00094</t>
  </si>
  <si>
    <t>CUST_00877</t>
  </si>
  <si>
    <t>TXN_00095</t>
  </si>
  <si>
    <t>TXN_00096</t>
  </si>
  <si>
    <t>CUST_00708</t>
  </si>
  <si>
    <t>TXN_00097</t>
  </si>
  <si>
    <t>CUST_00267</t>
  </si>
  <si>
    <t>TXN_00098</t>
  </si>
  <si>
    <t>STORE_008</t>
  </si>
  <si>
    <t>History Book</t>
  </si>
  <si>
    <t>CUST_00889</t>
  </si>
  <si>
    <t>TXN_00099</t>
  </si>
  <si>
    <t>CUST_00500</t>
  </si>
  <si>
    <t>TXN_00100</t>
  </si>
  <si>
    <t>STORE_041</t>
  </si>
  <si>
    <t>Coffee</t>
  </si>
  <si>
    <t>CUST_00432</t>
  </si>
  <si>
    <t>TXN_00101</t>
  </si>
  <si>
    <t>CUST_00728</t>
  </si>
  <si>
    <t>TXN_00102</t>
  </si>
  <si>
    <t>CUST_00424</t>
  </si>
  <si>
    <t>TXN_00103</t>
  </si>
  <si>
    <t>TXN_00104</t>
  </si>
  <si>
    <t>STORE_002</t>
  </si>
  <si>
    <t>CUST_00537</t>
  </si>
  <si>
    <t>TXN_00105</t>
  </si>
  <si>
    <t>CUST_00756</t>
  </si>
  <si>
    <t>TXN_00106</t>
  </si>
  <si>
    <t>STORE_003</t>
  </si>
  <si>
    <t>CUST_00882</t>
  </si>
  <si>
    <t>TXN_00107</t>
  </si>
  <si>
    <t>CUST_00182</t>
  </si>
  <si>
    <t>TXN_00108</t>
  </si>
  <si>
    <t>TXN_00109</t>
  </si>
  <si>
    <t>Jacket</t>
  </si>
  <si>
    <t>CUST_00536</t>
  </si>
  <si>
    <t>TXN_00110</t>
  </si>
  <si>
    <t>STORE_020</t>
  </si>
  <si>
    <t>CUST_00785</t>
  </si>
  <si>
    <t>TXN_00111</t>
  </si>
  <si>
    <t>CUST_00448</t>
  </si>
  <si>
    <t>TXN_00112</t>
  </si>
  <si>
    <t>CUST_00433</t>
  </si>
  <si>
    <t>TXN_00113</t>
  </si>
  <si>
    <t>CUST_00829</t>
  </si>
  <si>
    <t>TXN_00114</t>
  </si>
  <si>
    <t>CUST_00633</t>
  </si>
  <si>
    <t>TXN_00115</t>
  </si>
  <si>
    <t>CUST_00993</t>
  </si>
  <si>
    <t>TXN_00116</t>
  </si>
  <si>
    <t>CUST_00239</t>
  </si>
  <si>
    <t>TXN_00117</t>
  </si>
  <si>
    <t>Jeans</t>
  </si>
  <si>
    <t>CUST_00475</t>
  </si>
  <si>
    <t>TXN_00118</t>
  </si>
  <si>
    <t>CUST_00482</t>
  </si>
  <si>
    <t>TXN_00119</t>
  </si>
  <si>
    <t>CUST_00395</t>
  </si>
  <si>
    <t>TXN_00120</t>
  </si>
  <si>
    <t>CUST_00485</t>
  </si>
  <si>
    <t>TXN_00121</t>
  </si>
  <si>
    <t>CUST_00260</t>
  </si>
  <si>
    <t>TXN_00122</t>
  </si>
  <si>
    <t>CUST_00333</t>
  </si>
  <si>
    <t>TXN_00123</t>
  </si>
  <si>
    <t>CUST_00596</t>
  </si>
  <si>
    <t>TXN_00124</t>
  </si>
  <si>
    <t>CUST_00347</t>
  </si>
  <si>
    <t>TXN_00125</t>
  </si>
  <si>
    <t>TXN_00126</t>
  </si>
  <si>
    <t>TXN_00127</t>
  </si>
  <si>
    <t>CUST_00714</t>
  </si>
  <si>
    <t>TXN_00128</t>
  </si>
  <si>
    <t>CUST_00937</t>
  </si>
  <si>
    <t>TXN_00129</t>
  </si>
  <si>
    <t>CUST_00001</t>
  </si>
  <si>
    <t>TXN_00130</t>
  </si>
  <si>
    <t>CUST_00739</t>
  </si>
  <si>
    <t>TXN_00131</t>
  </si>
  <si>
    <t>CUST_00290</t>
  </si>
  <si>
    <t>TXN_00132</t>
  </si>
  <si>
    <t>CUST_00183</t>
  </si>
  <si>
    <t>TXN_00133</t>
  </si>
  <si>
    <t>CUST_00674</t>
  </si>
  <si>
    <t>TXN_00134</t>
  </si>
  <si>
    <t>CUST_00736</t>
  </si>
  <si>
    <t>TXN_00135</t>
  </si>
  <si>
    <t>CUST_00370</t>
  </si>
  <si>
    <t>TXN_00136</t>
  </si>
  <si>
    <t>CUST_00752</t>
  </si>
  <si>
    <t>TXN_00137</t>
  </si>
  <si>
    <t>CUST_00545</t>
  </si>
  <si>
    <t>TXN_00138</t>
  </si>
  <si>
    <t>CUST_00426</t>
  </si>
  <si>
    <t>TXN_00139</t>
  </si>
  <si>
    <t>CUST_00564</t>
  </si>
  <si>
    <t>TXN_00140</t>
  </si>
  <si>
    <t>STORE_023</t>
  </si>
  <si>
    <t>TXN_00141</t>
  </si>
  <si>
    <t>CUST_00559</t>
  </si>
  <si>
    <t>TXN_00142</t>
  </si>
  <si>
    <t>CUST_00744</t>
  </si>
  <si>
    <t>TXN_00143</t>
  </si>
  <si>
    <t>CUST_00220</t>
  </si>
  <si>
    <t>TXN_00144</t>
  </si>
  <si>
    <t>CUST_00159</t>
  </si>
  <si>
    <t>TXN_00145</t>
  </si>
  <si>
    <t>TXN_00146</t>
  </si>
  <si>
    <t>Shampoo</t>
  </si>
  <si>
    <t>CUST_00812</t>
  </si>
  <si>
    <t>TXN_00147</t>
  </si>
  <si>
    <t>CUST_00039</t>
  </si>
  <si>
    <t>TXN_00148</t>
  </si>
  <si>
    <t>CUST_00766</t>
  </si>
  <si>
    <t>TXN_00149</t>
  </si>
  <si>
    <t>CUST_00335</t>
  </si>
  <si>
    <t>TXN_00150</t>
  </si>
  <si>
    <t>CUST_00228</t>
  </si>
  <si>
    <t>TXN_00151</t>
  </si>
  <si>
    <t>CUST_00764</t>
  </si>
  <si>
    <t>TXN_00152</t>
  </si>
  <si>
    <t>CUST_00781</t>
  </si>
  <si>
    <t>TXN_00153</t>
  </si>
  <si>
    <t>CUST_00754</t>
  </si>
  <si>
    <t>TXN_00154</t>
  </si>
  <si>
    <t>CUST_00434</t>
  </si>
  <si>
    <t>TXN_00155</t>
  </si>
  <si>
    <t>CUST_00632</t>
  </si>
  <si>
    <t>TXN_00156</t>
  </si>
  <si>
    <t>CUST_00160</t>
  </si>
  <si>
    <t>TXN_00157</t>
  </si>
  <si>
    <t>CUST_00711</t>
  </si>
  <si>
    <t>TXN_00158</t>
  </si>
  <si>
    <t>CUST_00560</t>
  </si>
  <si>
    <t>TXN_00159</t>
  </si>
  <si>
    <t>CUST_00045</t>
  </si>
  <si>
    <t>TXN_00160</t>
  </si>
  <si>
    <t>CUST_00671</t>
  </si>
  <si>
    <t>TXN_00161</t>
  </si>
  <si>
    <t>TXN_00162</t>
  </si>
  <si>
    <t>TXN_00163</t>
  </si>
  <si>
    <t>CUST_00313</t>
  </si>
  <si>
    <t>TXN_00164</t>
  </si>
  <si>
    <t>CUST_00242</t>
  </si>
  <si>
    <t>TXN_00165</t>
  </si>
  <si>
    <t>CUST_00156</t>
  </si>
  <si>
    <t>TXN_00166</t>
  </si>
  <si>
    <t>CUST_00894</t>
  </si>
  <si>
    <t>TXN_00167</t>
  </si>
  <si>
    <t>CUST_00556</t>
  </si>
  <si>
    <t>TXN_00168</t>
  </si>
  <si>
    <t>CUST_00932</t>
  </si>
  <si>
    <t>TXN_00169</t>
  </si>
  <si>
    <t>CUST_00571</t>
  </si>
  <si>
    <t>TXN_00170</t>
  </si>
  <si>
    <t>CUST_00311</t>
  </si>
  <si>
    <t>TXN_00171</t>
  </si>
  <si>
    <t>TXN_00172</t>
  </si>
  <si>
    <t>CUST_00368</t>
  </si>
  <si>
    <t>TXN_00173</t>
  </si>
  <si>
    <t>CUST_00486</t>
  </si>
  <si>
    <t>TXN_00174</t>
  </si>
  <si>
    <t>CUST_00761</t>
  </si>
  <si>
    <t>TXN_00175</t>
  </si>
  <si>
    <t>CUST_00888</t>
  </si>
  <si>
    <t>TXN_00176</t>
  </si>
  <si>
    <t>CUST_00962</t>
  </si>
  <si>
    <t>TXN_00177</t>
  </si>
  <si>
    <t>CUST_00406</t>
  </si>
  <si>
    <t>TXN_00178</t>
  </si>
  <si>
    <t>TXN_00179</t>
  </si>
  <si>
    <t>TXN_00180</t>
  </si>
  <si>
    <t>TXN_00181</t>
  </si>
  <si>
    <t>CUST_00332</t>
  </si>
  <si>
    <t>TXN_00182</t>
  </si>
  <si>
    <t>TXN_00183</t>
  </si>
  <si>
    <t>CUST_00167</t>
  </si>
  <si>
    <t>TXN_00184</t>
  </si>
  <si>
    <t>CUST_00296</t>
  </si>
  <si>
    <t>TXN_00185</t>
  </si>
  <si>
    <t>CUST_00510</t>
  </si>
  <si>
    <t>TXN_00186</t>
  </si>
  <si>
    <t>CUST_00465</t>
  </si>
  <si>
    <t>TXN_00187</t>
  </si>
  <si>
    <t>CUST_00644</t>
  </si>
  <si>
    <t>TXN_00188</t>
  </si>
  <si>
    <t>CUST_00684</t>
  </si>
  <si>
    <t>TXN_00189</t>
  </si>
  <si>
    <t>CUST_00626</t>
  </si>
  <si>
    <t>TXN_00190</t>
  </si>
  <si>
    <t>CUST_00920</t>
  </si>
  <si>
    <t>TXN_00191</t>
  </si>
  <si>
    <t>CUST_00712</t>
  </si>
  <si>
    <t>TXN_00192</t>
  </si>
  <si>
    <t>TXN_00193</t>
  </si>
  <si>
    <t>CUST_00266</t>
  </si>
  <si>
    <t>TXN_00194</t>
  </si>
  <si>
    <t>TXN_00195</t>
  </si>
  <si>
    <t>TXN_00196</t>
  </si>
  <si>
    <t>CUST_00316</t>
  </si>
  <si>
    <t>TXN_00197</t>
  </si>
  <si>
    <t>CUST_00631</t>
  </si>
  <si>
    <t>TXN_00198</t>
  </si>
  <si>
    <t>TXN_00199</t>
  </si>
  <si>
    <t>CUST_00856</t>
  </si>
  <si>
    <t>TXN_00200</t>
  </si>
  <si>
    <t>CUST_00702</t>
  </si>
  <si>
    <t>TXN_00201</t>
  </si>
  <si>
    <t>CUST_00863</t>
  </si>
  <si>
    <t>TXN_00202</t>
  </si>
  <si>
    <t>CUST_00727</t>
  </si>
  <si>
    <t>TXN_00203</t>
  </si>
  <si>
    <t>CUST_00538</t>
  </si>
  <si>
    <t>TXN_00204</t>
  </si>
  <si>
    <t>CUST_00026</t>
  </si>
  <si>
    <t>TXN_00205</t>
  </si>
  <si>
    <t>CUST_00147</t>
  </si>
  <si>
    <t>TXN_00206</t>
  </si>
  <si>
    <t>CUST_00119</t>
  </si>
  <si>
    <t>TXN_00207</t>
  </si>
  <si>
    <t>TXN_00208</t>
  </si>
  <si>
    <t>TXN_00209</t>
  </si>
  <si>
    <t>CUST_00281</t>
  </si>
  <si>
    <t>TXN_00210</t>
  </si>
  <si>
    <t>CUST_00563</t>
  </si>
  <si>
    <t>TXN_00211</t>
  </si>
  <si>
    <t>CUST_00628</t>
  </si>
  <si>
    <t>TXN_00212</t>
  </si>
  <si>
    <t>STORE_007</t>
  </si>
  <si>
    <t>CUST_00056</t>
  </si>
  <si>
    <t>TXN_00213</t>
  </si>
  <si>
    <t>CUST_00341</t>
  </si>
  <si>
    <t>TXN_00214</t>
  </si>
  <si>
    <t>CUST_00100</t>
  </si>
  <si>
    <t>TXN_00215</t>
  </si>
  <si>
    <t>CUST_00265</t>
  </si>
  <si>
    <t>TXN_00216</t>
  </si>
  <si>
    <t>CUST_00067</t>
  </si>
  <si>
    <t>TXN_00217</t>
  </si>
  <si>
    <t>CUST_00619</t>
  </si>
  <si>
    <t>TXN_00218</t>
  </si>
  <si>
    <t>CUST_00473</t>
  </si>
  <si>
    <t>TXN_00219</t>
  </si>
  <si>
    <t>CUST_00068</t>
  </si>
  <si>
    <t>TXN_00220</t>
  </si>
  <si>
    <t>TXN_00221</t>
  </si>
  <si>
    <t>CUST_00611</t>
  </si>
  <si>
    <t>TXN_00222</t>
  </si>
  <si>
    <t>CUST_00112</t>
  </si>
  <si>
    <t>TXN_00223</t>
  </si>
  <si>
    <t>CUST_00776</t>
  </si>
  <si>
    <t>TXN_00224</t>
  </si>
  <si>
    <t>CUST_00211</t>
  </si>
  <si>
    <t>TXN_00225</t>
  </si>
  <si>
    <t>CUST_00627</t>
  </si>
  <si>
    <t>TXN_00226</t>
  </si>
  <si>
    <t>CUST_00841</t>
  </si>
  <si>
    <t>TXN_00227</t>
  </si>
  <si>
    <t>CUST_00729</t>
  </si>
  <si>
    <t>TXN_00228</t>
  </si>
  <si>
    <t>CUST_00569</t>
  </si>
  <si>
    <t>TXN_00229</t>
  </si>
  <si>
    <t>CUST_00664</t>
  </si>
  <si>
    <t>TXN_00230</t>
  </si>
  <si>
    <t>CUST_00658</t>
  </si>
  <si>
    <t>TXN_00231</t>
  </si>
  <si>
    <t>CUST_00435</t>
  </si>
  <si>
    <t>TXN_00232</t>
  </si>
  <si>
    <t>CUST_00868</t>
  </si>
  <si>
    <t>TXN_00233</t>
  </si>
  <si>
    <t>CUST_00495</t>
  </si>
  <si>
    <t>TXN_00234</t>
  </si>
  <si>
    <t>CUST_00081</t>
  </si>
  <si>
    <t>TXN_00235</t>
  </si>
  <si>
    <t>CUST_00055</t>
  </si>
  <si>
    <t>TXN_00236</t>
  </si>
  <si>
    <t>TXN_00237</t>
  </si>
  <si>
    <t>TXN_00238</t>
  </si>
  <si>
    <t>CUST_00497</t>
  </si>
  <si>
    <t>TXN_00239</t>
  </si>
  <si>
    <t>CUST_00879</t>
  </si>
  <si>
    <t>TXN_00240</t>
  </si>
  <si>
    <t>TXN_00241</t>
  </si>
  <si>
    <t>CUST_00087</t>
  </si>
  <si>
    <t>TXN_00242</t>
  </si>
  <si>
    <t>CUST_00244</t>
  </si>
  <si>
    <t>TXN_00243</t>
  </si>
  <si>
    <t>CUST_00476</t>
  </si>
  <si>
    <t>TXN_00244</t>
  </si>
  <si>
    <t>CUST_00149</t>
  </si>
  <si>
    <t>TXN_00245</t>
  </si>
  <si>
    <t>TXN_00246</t>
  </si>
  <si>
    <t>TXN_00247</t>
  </si>
  <si>
    <t>CUST_00694</t>
  </si>
  <si>
    <t>TXN_00248</t>
  </si>
  <si>
    <t>TXN_00249</t>
  </si>
  <si>
    <t>TXN_00250</t>
  </si>
  <si>
    <t>CUST_00134</t>
  </si>
  <si>
    <t>TXN_00251</t>
  </si>
  <si>
    <t>CUST_00677</t>
  </si>
  <si>
    <t>TXN_00252</t>
  </si>
  <si>
    <t>TXN_00253</t>
  </si>
  <si>
    <t>TXN_00254</t>
  </si>
  <si>
    <t>TXN_00255</t>
  </si>
  <si>
    <t>TXN_00256</t>
  </si>
  <si>
    <t>CUST_00669</t>
  </si>
  <si>
    <t>TXN_00257</t>
  </si>
  <si>
    <t>CUST_00528</t>
  </si>
  <si>
    <t>TXN_00258</t>
  </si>
  <si>
    <t>CUST_00125</t>
  </si>
  <si>
    <t>TXN_00259</t>
  </si>
  <si>
    <t>CUST_00083</t>
  </si>
  <si>
    <t>TXN_00260</t>
  </si>
  <si>
    <t>CUST_00307</t>
  </si>
  <si>
    <t>TXN_00261</t>
  </si>
  <si>
    <t>CUST_00144</t>
  </si>
  <si>
    <t>TXN_00262</t>
  </si>
  <si>
    <t>CUST_00659</t>
  </si>
  <si>
    <t>TXN_00263</t>
  </si>
  <si>
    <t>CUST_00807</t>
  </si>
  <si>
    <t>TXN_00264</t>
  </si>
  <si>
    <t>TXN_00265</t>
  </si>
  <si>
    <t>CUST_00249</t>
  </si>
  <si>
    <t>TXN_00266</t>
  </si>
  <si>
    <t>TXN_00267</t>
  </si>
  <si>
    <t>CUST_00437</t>
  </si>
  <si>
    <t>TXN_00268</t>
  </si>
  <si>
    <t>CUST_00608</t>
  </si>
  <si>
    <t>TXN_00269</t>
  </si>
  <si>
    <t>CUST_00567</t>
  </si>
  <si>
    <t>TXN_00270</t>
  </si>
  <si>
    <t>CUST_00386</t>
  </si>
  <si>
    <t>TXN_00271</t>
  </si>
  <si>
    <t>CUST_00909</t>
  </si>
  <si>
    <t>TXN_00272</t>
  </si>
  <si>
    <t>TXN_00273</t>
  </si>
  <si>
    <t>TXN_00274</t>
  </si>
  <si>
    <t>CUST_00098</t>
  </si>
  <si>
    <t>TXN_00275</t>
  </si>
  <si>
    <t>CUST_00116</t>
  </si>
  <si>
    <t>TXN_00276</t>
  </si>
  <si>
    <t>CUST_00292</t>
  </si>
  <si>
    <t>TXN_00277</t>
  </si>
  <si>
    <t>CUST_00948</t>
  </si>
  <si>
    <t>TXN_00278</t>
  </si>
  <si>
    <t>CUST_00607</t>
  </si>
  <si>
    <t>TXN_00279</t>
  </si>
  <si>
    <t>CUST_00243</t>
  </si>
  <si>
    <t>TXN_00280</t>
  </si>
  <si>
    <t>TXN_00281</t>
  </si>
  <si>
    <t>TXN_00282</t>
  </si>
  <si>
    <t>CUST_00062</t>
  </si>
  <si>
    <t>TXN_00283</t>
  </si>
  <si>
    <t>CUST_00226</t>
  </si>
  <si>
    <t>TXN_00284</t>
  </si>
  <si>
    <t>CUST_00422</t>
  </si>
  <si>
    <t>TXN_00285</t>
  </si>
  <si>
    <t>CUST_00254</t>
  </si>
  <si>
    <t>TXN_00286</t>
  </si>
  <si>
    <t>CUST_00042</t>
  </si>
  <si>
    <t>TXN_00287</t>
  </si>
  <si>
    <t>CUST_00247</t>
  </si>
  <si>
    <t>TXN_00288</t>
  </si>
  <si>
    <t>TXN_00289</t>
  </si>
  <si>
    <t>TXN_00290</t>
  </si>
  <si>
    <t>TXN_00291</t>
  </si>
  <si>
    <t>CUST_00715</t>
  </si>
  <si>
    <t>TXN_00292</t>
  </si>
  <si>
    <t>CUST_00910</t>
  </si>
  <si>
    <t>TXN_00293</t>
  </si>
  <si>
    <t>TXN_00294</t>
  </si>
  <si>
    <t>CUST_00665</t>
  </si>
  <si>
    <t>TXN_00295</t>
  </si>
  <si>
    <t>TXN_00296</t>
  </si>
  <si>
    <t>TXN_00297</t>
  </si>
  <si>
    <t>CUST_00193</t>
  </si>
  <si>
    <t>TXN_00298</t>
  </si>
  <si>
    <t>CUST_00115</t>
  </si>
  <si>
    <t>TXN_00299</t>
  </si>
  <si>
    <t>CUST_00955</t>
  </si>
  <si>
    <t>TXN_00300</t>
  </si>
  <si>
    <t>CUST_00023</t>
  </si>
  <si>
    <t>TXN_00301</t>
  </si>
  <si>
    <t>CUST_00682</t>
  </si>
  <si>
    <t>TXN_00302</t>
  </si>
  <si>
    <t>CUST_00496</t>
  </si>
  <si>
    <t>TXN_00303</t>
  </si>
  <si>
    <t>CUST_00634</t>
  </si>
  <si>
    <t>TXN_00304</t>
  </si>
  <si>
    <t>TXN_00305</t>
  </si>
  <si>
    <t>TXN_00306</t>
  </si>
  <si>
    <t>CUST_00943</t>
  </si>
  <si>
    <t>TXN_00307</t>
  </si>
  <si>
    <t>CUST_01000</t>
  </si>
  <si>
    <t>TXN_00308</t>
  </si>
  <si>
    <t>TXN_00309</t>
  </si>
  <si>
    <t>CUST_00412</t>
  </si>
  <si>
    <t>TXN_00310</t>
  </si>
  <si>
    <t>TXN_00311</t>
  </si>
  <si>
    <t>CUST_00200</t>
  </si>
  <si>
    <t>TXN_00312</t>
  </si>
  <si>
    <t>TXN_00313</t>
  </si>
  <si>
    <t>CUST_00221</t>
  </si>
  <si>
    <t>TXN_00314</t>
  </si>
  <si>
    <t>CUST_00613</t>
  </si>
  <si>
    <t>TXN_00315</t>
  </si>
  <si>
    <t>CUST_00775</t>
  </si>
  <si>
    <t>TXN_00316</t>
  </si>
  <si>
    <t>TXN_00317</t>
  </si>
  <si>
    <t>CUST_00855</t>
  </si>
  <si>
    <t>TXN_00318</t>
  </si>
  <si>
    <t>CUST_00308</t>
  </si>
  <si>
    <t>TXN_00319</t>
  </si>
  <si>
    <t>CUST_00030</t>
  </si>
  <si>
    <t>TXN_00320</t>
  </si>
  <si>
    <t>CUST_00447</t>
  </si>
  <si>
    <t>TXN_00321</t>
  </si>
  <si>
    <t>TXN_00322</t>
  </si>
  <si>
    <t>CUST_00430</t>
  </si>
  <si>
    <t>TXN_00323</t>
  </si>
  <si>
    <t>CUST_00784</t>
  </si>
  <si>
    <t>TXN_00324</t>
  </si>
  <si>
    <t>TXN_00325</t>
  </si>
  <si>
    <t>CUST_00944</t>
  </si>
  <si>
    <t>TXN_00326</t>
  </si>
  <si>
    <t>CUST_00867</t>
  </si>
  <si>
    <t>TXN_00327</t>
  </si>
  <si>
    <t>CUST_00320</t>
  </si>
  <si>
    <t>TXN_00328</t>
  </si>
  <si>
    <t>TXN_00329</t>
  </si>
  <si>
    <t>TXN_00330</t>
  </si>
  <si>
    <t>CUST_00044</t>
  </si>
  <si>
    <t>TXN_00331</t>
  </si>
  <si>
    <t>TXN_00332</t>
  </si>
  <si>
    <t>CUST_00923</t>
  </si>
  <si>
    <t>TXN_00333</t>
  </si>
  <si>
    <t>CUST_00361</t>
  </si>
  <si>
    <t>TXN_00334</t>
  </si>
  <si>
    <t>CUST_00840</t>
  </si>
  <si>
    <t>TXN_00335</t>
  </si>
  <si>
    <t>CUST_00947</t>
  </si>
  <si>
    <t>TXN_00336</t>
  </si>
  <si>
    <t>TXN_00337</t>
  </si>
  <si>
    <t>CUST_00127</t>
  </si>
  <si>
    <t>TXN_00338</t>
  </si>
  <si>
    <t>CUST_00085</t>
  </si>
  <si>
    <t>TXN_00339</t>
  </si>
  <si>
    <t>CUST_00232</t>
  </si>
  <si>
    <t>TXN_00340</t>
  </si>
  <si>
    <t>CUST_00184</t>
  </si>
  <si>
    <t>TXN_00341</t>
  </si>
  <si>
    <t>CUST_00405</t>
  </si>
  <si>
    <t>TXN_00342</t>
  </si>
  <si>
    <t>CUST_00610</t>
  </si>
  <si>
    <t>TXN_00343</t>
  </si>
  <si>
    <t>TXN_00344</t>
  </si>
  <si>
    <t>CUST_00787</t>
  </si>
  <si>
    <t>TXN_00345</t>
  </si>
  <si>
    <t>TXN_00346</t>
  </si>
  <si>
    <t>CUST_00157</t>
  </si>
  <si>
    <t>TXN_00347</t>
  </si>
  <si>
    <t>CUST_00301</t>
  </si>
  <si>
    <t>TXN_00348</t>
  </si>
  <si>
    <t>CUST_00441</t>
  </si>
  <si>
    <t>TXN_00349</t>
  </si>
  <si>
    <t>TXN_00350</t>
  </si>
  <si>
    <t>CUST_00583</t>
  </si>
  <si>
    <t>TXN_00351</t>
  </si>
  <si>
    <t>CUST_00058</t>
  </si>
  <si>
    <t>TXN_00352</t>
  </si>
  <si>
    <t>CUST_00029</t>
  </si>
  <si>
    <t>TXN_00353</t>
  </si>
  <si>
    <t>CUST_00390</t>
  </si>
  <si>
    <t>TXN_00354</t>
  </si>
  <si>
    <t>TXN_00355</t>
  </si>
  <si>
    <t>CUST_00021</t>
  </si>
  <si>
    <t>TXN_00356</t>
  </si>
  <si>
    <t>CUST_00713</t>
  </si>
  <si>
    <t>TXN_00357</t>
  </si>
  <si>
    <t>TXN_00358</t>
  </si>
  <si>
    <t>CUST_00171</t>
  </si>
  <si>
    <t>TXN_00359</t>
  </si>
  <si>
    <t>CUST_00272</t>
  </si>
  <si>
    <t>TXN_00360</t>
  </si>
  <si>
    <t>CUST_00735</t>
  </si>
  <si>
    <t>TXN_00361</t>
  </si>
  <si>
    <t>CUST_00356</t>
  </si>
  <si>
    <t>TXN_00362</t>
  </si>
  <si>
    <t>TXN_00363</t>
  </si>
  <si>
    <t>CUST_00512</t>
  </si>
  <si>
    <t>TXN_00364</t>
  </si>
  <si>
    <t>CUST_00535</t>
  </si>
  <si>
    <t>TXN_00365</t>
  </si>
  <si>
    <t>CUST_00881</t>
  </si>
  <si>
    <t>TXN_00366</t>
  </si>
  <si>
    <t>TXN_00367</t>
  </si>
  <si>
    <t>TXN_00368</t>
  </si>
  <si>
    <t>TXN_00369</t>
  </si>
  <si>
    <t>CUST_00322</t>
  </si>
  <si>
    <t>TXN_00370</t>
  </si>
  <si>
    <t>TXN_00371</t>
  </si>
  <si>
    <t>CUST_00906</t>
  </si>
  <si>
    <t>TXN_00372</t>
  </si>
  <si>
    <t>CUST_00958</t>
  </si>
  <si>
    <t>TXN_00373</t>
  </si>
  <si>
    <t>CUST_00884</t>
  </si>
  <si>
    <t>TXN_00374</t>
  </si>
  <si>
    <t>CUST_00987</t>
  </si>
  <si>
    <t>TXN_00375</t>
  </si>
  <si>
    <t>CUST_00036</t>
  </si>
  <si>
    <t>TXN_00376</t>
  </si>
  <si>
    <t>TXN_00377</t>
  </si>
  <si>
    <t>CUST_00305</t>
  </si>
  <si>
    <t>TXN_00378</t>
  </si>
  <si>
    <t>CUST_00843</t>
  </si>
  <si>
    <t>TXN_00379</t>
  </si>
  <si>
    <t>CUST_00519</t>
  </si>
  <si>
    <t>TXN_00380</t>
  </si>
  <si>
    <t>TXN_00381</t>
  </si>
  <si>
    <t>TXN_00382</t>
  </si>
  <si>
    <t>TXN_00383</t>
  </si>
  <si>
    <t>CUST_00204</t>
  </si>
  <si>
    <t>TXN_00384</t>
  </si>
  <si>
    <t>CUST_00946</t>
  </si>
  <si>
    <t>TXN_00385</t>
  </si>
  <si>
    <t>CUST_00440</t>
  </si>
  <si>
    <t>TXN_00386</t>
  </si>
  <si>
    <t>CUST_00446</t>
  </si>
  <si>
    <t>TXN_00387</t>
  </si>
  <si>
    <t>CUST_00392</t>
  </si>
  <si>
    <t>TXN_00388</t>
  </si>
  <si>
    <t>TXN_00389</t>
  </si>
  <si>
    <t>CUST_00597</t>
  </si>
  <si>
    <t>TXN_00390</t>
  </si>
  <si>
    <t>CUST_00731</t>
  </si>
  <si>
    <t>TXN_00391</t>
  </si>
  <si>
    <t>TXN_00392</t>
  </si>
  <si>
    <t>TXN_00393</t>
  </si>
  <si>
    <t>TXN_00394</t>
  </si>
  <si>
    <t>CUST_00444</t>
  </si>
  <si>
    <t>TXN_00395</t>
  </si>
  <si>
    <t>CUST_00949</t>
  </si>
  <si>
    <t>TXN_00396</t>
  </si>
  <si>
    <t>CUST_00915</t>
  </si>
  <si>
    <t>TXN_00397</t>
  </si>
  <si>
    <t>TXN_00398</t>
  </si>
  <si>
    <t>TXN_00399</t>
  </si>
  <si>
    <t>TXN_00400</t>
  </si>
  <si>
    <t>TXN_00401</t>
  </si>
  <si>
    <t>CUST_00185</t>
  </si>
  <si>
    <t>TXN_00402</t>
  </si>
  <si>
    <t>CUST_00698</t>
  </si>
  <si>
    <t>TXN_00403</t>
  </si>
  <si>
    <t>CUST_00472</t>
  </si>
  <si>
    <t>TXN_00404</t>
  </si>
  <si>
    <t>CUST_00974</t>
  </si>
  <si>
    <t>TXN_00405</t>
  </si>
  <si>
    <t>CUST_00331</t>
  </si>
  <si>
    <t>TXN_00406</t>
  </si>
  <si>
    <t>CUST_00246</t>
  </si>
  <si>
    <t>TXN_00407</t>
  </si>
  <si>
    <t>CUST_00124</t>
  </si>
  <si>
    <t>TXN_00408</t>
  </si>
  <si>
    <t>CUST_00853</t>
  </si>
  <si>
    <t>TXN_00409</t>
  </si>
  <si>
    <t>TXN_00410</t>
  </si>
  <si>
    <t>CUST_00526</t>
  </si>
  <si>
    <t>TXN_00411</t>
  </si>
  <si>
    <t>CUST_00480</t>
  </si>
  <si>
    <t>TXN_00412</t>
  </si>
  <si>
    <t>CUST_00862</t>
  </si>
  <si>
    <t>TXN_00413</t>
  </si>
  <si>
    <t>CUST_00111</t>
  </si>
  <si>
    <t>TXN_00414</t>
  </si>
  <si>
    <t>CUST_00084</t>
  </si>
  <si>
    <t>TXN_00415</t>
  </si>
  <si>
    <t>CUST_00427</t>
  </si>
  <si>
    <t>TXN_00416</t>
  </si>
  <si>
    <t>CUST_00990</t>
  </si>
  <si>
    <t>TXN_00417</t>
  </si>
  <si>
    <t>TXN_00418</t>
  </si>
  <si>
    <t>TXN_00419</t>
  </si>
  <si>
    <t>CUST_00836</t>
  </si>
  <si>
    <t>TXN_00420</t>
  </si>
  <si>
    <t>CUST_00196</t>
  </si>
  <si>
    <t>TXN_00421</t>
  </si>
  <si>
    <t>CUST_00925</t>
  </si>
  <si>
    <t>TXN_00422</t>
  </si>
  <si>
    <t>CUST_00302</t>
  </si>
  <si>
    <t>TXN_00423</t>
  </si>
  <si>
    <t>TXN_00424</t>
  </si>
  <si>
    <t>CUST_00238</t>
  </si>
  <si>
    <t>TXN_00425</t>
  </si>
  <si>
    <t>CUST_00911</t>
  </si>
  <si>
    <t>TXN_00426</t>
  </si>
  <si>
    <t>TXN_00427</t>
  </si>
  <si>
    <t>TXN_00428</t>
  </si>
  <si>
    <t>CUST_00213</t>
  </si>
  <si>
    <t>TXN_00429</t>
  </si>
  <si>
    <t>CUST_00104</t>
  </si>
  <si>
    <t>TXN_00430</t>
  </si>
  <si>
    <t>CUST_00366</t>
  </si>
  <si>
    <t>TXN_00431</t>
  </si>
  <si>
    <t>TXN_00432</t>
  </si>
  <si>
    <t>CUST_00789</t>
  </si>
  <si>
    <t>TXN_00433</t>
  </si>
  <si>
    <t>CUST_00986</t>
  </si>
  <si>
    <t>TXN_00434</t>
  </si>
  <si>
    <t>CUST_00108</t>
  </si>
  <si>
    <t>TXN_00435</t>
  </si>
  <si>
    <t>TXN_00436</t>
  </si>
  <si>
    <t>TXN_00437</t>
  </si>
  <si>
    <t>CUST_00273</t>
  </si>
  <si>
    <t>TXN_00438</t>
  </si>
  <si>
    <t>CUST_00822</t>
  </si>
  <si>
    <t>TXN_00439</t>
  </si>
  <si>
    <t>CUST_00150</t>
  </si>
  <si>
    <t>TXN_00440</t>
  </si>
  <si>
    <t>CUST_00445</t>
  </si>
  <si>
    <t>TXN_00441</t>
  </si>
  <si>
    <t>TXN_00442</t>
  </si>
  <si>
    <t>CUST_00718</t>
  </si>
  <si>
    <t>TXN_00443</t>
  </si>
  <si>
    <t>TXN_00444</t>
  </si>
  <si>
    <t>CUST_00533</t>
  </si>
  <si>
    <t>TXN_00445</t>
  </si>
  <si>
    <t>CUST_00024</t>
  </si>
  <si>
    <t>TXN_00446</t>
  </si>
  <si>
    <t>CUST_00750</t>
  </si>
  <si>
    <t>TXN_00447</t>
  </si>
  <si>
    <t>TXN_00448</t>
  </si>
  <si>
    <t>CUST_00865</t>
  </si>
  <si>
    <t>TXN_00449</t>
  </si>
  <si>
    <t>TXN_00450</t>
  </si>
  <si>
    <t>CUST_00849</t>
  </si>
  <si>
    <t>TXN_00451</t>
  </si>
  <si>
    <t>TXN_00452</t>
  </si>
  <si>
    <t>CUST_00451</t>
  </si>
  <si>
    <t>TXN_00453</t>
  </si>
  <si>
    <t>CUST_00133</t>
  </si>
  <si>
    <t>TXN_00454</t>
  </si>
  <si>
    <t>CUST_00617</t>
  </si>
  <si>
    <t>TXN_00455</t>
  </si>
  <si>
    <t>CUST_00381</t>
  </si>
  <si>
    <t>TXN_00456</t>
  </si>
  <si>
    <t>CUST_00050</t>
  </si>
  <si>
    <t>TXN_00457</t>
  </si>
  <si>
    <t>CUST_00892</t>
  </si>
  <si>
    <t>TXN_00458</t>
  </si>
  <si>
    <t>TXN_00459</t>
  </si>
  <si>
    <t>CUST_00092</t>
  </si>
  <si>
    <t>TXN_00460</t>
  </si>
  <si>
    <t>TXN_00461</t>
  </si>
  <si>
    <t>CUST_00660</t>
  </si>
  <si>
    <t>TXN_00462</t>
  </si>
  <si>
    <t>CUST_00769</t>
  </si>
  <si>
    <t>TXN_00463</t>
  </si>
  <si>
    <t>CUST_00806</t>
  </si>
  <si>
    <t>TXN_00464</t>
  </si>
  <si>
    <t>TXN_00465</t>
  </si>
  <si>
    <t>TXN_00466</t>
  </si>
  <si>
    <t>CUST_00188</t>
  </si>
  <si>
    <t>TXN_00467</t>
  </si>
  <si>
    <t>TXN_00468</t>
  </si>
  <si>
    <t>TXN_00469</t>
  </si>
  <si>
    <t>TXN_00470</t>
  </si>
  <si>
    <t>CUST_00418</t>
  </si>
  <si>
    <t>TXN_00471</t>
  </si>
  <si>
    <t>CUST_00668</t>
  </si>
  <si>
    <t>TXN_00472</t>
  </si>
  <si>
    <t>CUST_00554</t>
  </si>
  <si>
    <t>TXN_00473</t>
  </si>
  <si>
    <t>CUST_00985</t>
  </si>
  <si>
    <t>TXN_00474</t>
  </si>
  <si>
    <t>CUST_00360</t>
  </si>
  <si>
    <t>TXN_00475</t>
  </si>
  <si>
    <t>TXN_00476</t>
  </si>
  <si>
    <t>TXN_00477</t>
  </si>
  <si>
    <t>TXN_00478</t>
  </si>
  <si>
    <t>CUST_00924</t>
  </si>
  <si>
    <t>TXN_00479</t>
  </si>
  <si>
    <t>CUST_00552</t>
  </si>
  <si>
    <t>TXN_00480</t>
  </si>
  <si>
    <t>TXN_00481</t>
  </si>
  <si>
    <t>CUST_00777</t>
  </si>
  <si>
    <t>TXN_00482</t>
  </si>
  <si>
    <t>CUST_00991</t>
  </si>
  <si>
    <t>TXN_00483</t>
  </si>
  <si>
    <t>CUST_00114</t>
  </si>
  <si>
    <t>TXN_00484</t>
  </si>
  <si>
    <t>CUST_00579</t>
  </si>
  <si>
    <t>TXN_00485</t>
  </si>
  <si>
    <t>CUST_00747</t>
  </si>
  <si>
    <t>TXN_00486</t>
  </si>
  <si>
    <t>CUST_00905</t>
  </si>
  <si>
    <t>TXN_00487</t>
  </si>
  <si>
    <t>TXN_00488</t>
  </si>
  <si>
    <t>CUST_00546</t>
  </si>
  <si>
    <t>TXN_00489</t>
  </si>
  <si>
    <t>CUST_00707</t>
  </si>
  <si>
    <t>TXN_00490</t>
  </si>
  <si>
    <t>TXN_00491</t>
  </si>
  <si>
    <t>TXN_00492</t>
  </si>
  <si>
    <t>CUST_00635</t>
  </si>
  <si>
    <t>TXN_00493</t>
  </si>
  <si>
    <t>CUST_00321</t>
  </si>
  <si>
    <t>TXN_00494</t>
  </si>
  <si>
    <t>TXN_00495</t>
  </si>
  <si>
    <t>CUST_00771</t>
  </si>
  <si>
    <t>TXN_00496</t>
  </si>
  <si>
    <t>CUST_00902</t>
  </si>
  <si>
    <t>TXN_00497</t>
  </si>
  <si>
    <t>TXN_00498</t>
  </si>
  <si>
    <t>CUST_00263</t>
  </si>
  <si>
    <t>TXN_00499</t>
  </si>
  <si>
    <t>TXN_00500</t>
  </si>
  <si>
    <t>CUST_00795</t>
  </si>
  <si>
    <t>TXN_00501</t>
  </si>
  <si>
    <t>CUST_00601</t>
  </si>
  <si>
    <t>TXN_00502</t>
  </si>
  <si>
    <t>TXN_00503</t>
  </si>
  <si>
    <t>CUST_00873</t>
  </si>
  <si>
    <t>TXN_00504</t>
  </si>
  <si>
    <t>CUST_00225</t>
  </si>
  <si>
    <t>TXN_00505</t>
  </si>
  <si>
    <t>CUST_00827</t>
  </si>
  <si>
    <t>TXN_00506</t>
  </si>
  <si>
    <t>TXN_00507</t>
  </si>
  <si>
    <t>TXN_00508</t>
  </si>
  <si>
    <t>TXN_00509</t>
  </si>
  <si>
    <t>TXN_00510</t>
  </si>
  <si>
    <t>TXN_00511</t>
  </si>
  <si>
    <t>TXN_00512</t>
  </si>
  <si>
    <t>TXN_00513</t>
  </si>
  <si>
    <t>CUST_00215</t>
  </si>
  <si>
    <t>TXN_00514</t>
  </si>
  <si>
    <t>CUST_00384</t>
  </si>
  <si>
    <t>TXN_00515</t>
  </si>
  <si>
    <t>CUST_00733</t>
  </si>
  <si>
    <t>TXN_00516</t>
  </si>
  <si>
    <t>CUST_00917</t>
  </si>
  <si>
    <t>TXN_00517</t>
  </si>
  <si>
    <t>CUST_00161</t>
  </si>
  <si>
    <t>TXN_00518</t>
  </si>
  <si>
    <t>TXN_00519</t>
  </si>
  <si>
    <t>CUST_00443</t>
  </si>
  <si>
    <t>TXN_00520</t>
  </si>
  <si>
    <t>CUST_00240</t>
  </si>
  <si>
    <t>TXN_00521</t>
  </si>
  <si>
    <t>CUST_00805</t>
  </si>
  <si>
    <t>TXN_00522</t>
  </si>
  <si>
    <t>CUST_00202</t>
  </si>
  <si>
    <t>TXN_00523</t>
  </si>
  <si>
    <t>CUST_00935</t>
  </si>
  <si>
    <t>TXN_00524</t>
  </si>
  <si>
    <t>TXN_00525</t>
  </si>
  <si>
    <t>TXN_00526</t>
  </si>
  <si>
    <t>TXN_00527</t>
  </si>
  <si>
    <t>TXN_00528</t>
  </si>
  <si>
    <t>CUST_00348</t>
  </si>
  <si>
    <t>TXN_00529</t>
  </si>
  <si>
    <t>TXN_00530</t>
  </si>
  <si>
    <t>TXN_00531</t>
  </si>
  <si>
    <t>TXN_00532</t>
  </si>
  <si>
    <t>CUST_00501</t>
  </si>
  <si>
    <t>TXN_00533</t>
  </si>
  <si>
    <t>CUST_00072</t>
  </si>
  <si>
    <t>TXN_00534</t>
  </si>
  <si>
    <t>TXN_00535</t>
  </si>
  <si>
    <t>TXN_00536</t>
  </si>
  <si>
    <t>TXN_00537</t>
  </si>
  <si>
    <t>CUST_00337</t>
  </si>
  <si>
    <t>TXN_00538</t>
  </si>
  <si>
    <t>TXN_00539</t>
  </si>
  <si>
    <t>TXN_00540</t>
  </si>
  <si>
    <t>TXN_00541</t>
  </si>
  <si>
    <t>CUST_00079</t>
  </si>
  <si>
    <t>TXN_00542</t>
  </si>
  <si>
    <t>TXN_00543</t>
  </si>
  <si>
    <t>TXN_00544</t>
  </si>
  <si>
    <t>TXN_00545</t>
  </si>
  <si>
    <t>TXN_00546</t>
  </si>
  <si>
    <t>CUST_00158</t>
  </si>
  <si>
    <t>TXN_00547</t>
  </si>
  <si>
    <t>CUST_00857</t>
  </si>
  <si>
    <t>TXN_00548</t>
  </si>
  <si>
    <t>CUST_00786</t>
  </si>
  <si>
    <t>TXN_00549</t>
  </si>
  <si>
    <t>CUST_00015</t>
  </si>
  <si>
    <t>TXN_00550</t>
  </si>
  <si>
    <t>CUST_00046</t>
  </si>
  <si>
    <t>TXN_00551</t>
  </si>
  <si>
    <t>CUST_00957</t>
  </si>
  <si>
    <t>TXN_00552</t>
  </si>
  <si>
    <t>TXN_00553</t>
  </si>
  <si>
    <t>CUST_00378</t>
  </si>
  <si>
    <t>TXN_00554</t>
  </si>
  <si>
    <t>CUST_00811</t>
  </si>
  <si>
    <t>TXN_00555</t>
  </si>
  <si>
    <t>CUST_00651</t>
  </si>
  <si>
    <t>TXN_00556</t>
  </si>
  <si>
    <t>CUST_00656</t>
  </si>
  <si>
    <t>TXN_00557</t>
  </si>
  <si>
    <t>CUST_00317</t>
  </si>
  <si>
    <t>TXN_00558</t>
  </si>
  <si>
    <t>TXN_00559</t>
  </si>
  <si>
    <t>TXN_00560</t>
  </si>
  <si>
    <t>CUST_00235</t>
  </si>
  <si>
    <t>TXN_00561</t>
  </si>
  <si>
    <t>CUST_00534</t>
  </si>
  <si>
    <t>TXN_00562</t>
  </si>
  <si>
    <t>CUST_00650</t>
  </si>
  <si>
    <t>TXN_00563</t>
  </si>
  <si>
    <t>TXN_00564</t>
  </si>
  <si>
    <t>TXN_00565</t>
  </si>
  <si>
    <t>CUST_00387</t>
  </si>
  <si>
    <t>TXN_00566</t>
  </si>
  <si>
    <t>TXN_00567</t>
  </si>
  <si>
    <t>CUST_00264</t>
  </si>
  <si>
    <t>TXN_00568</t>
  </si>
  <si>
    <t>CUST_00342</t>
  </si>
  <si>
    <t>TXN_00569</t>
  </si>
  <si>
    <t>CUST_00504</t>
  </si>
  <si>
    <t>TXN_00570</t>
  </si>
  <si>
    <t>CUST_00073</t>
  </si>
  <si>
    <t>TXN_00571</t>
  </si>
  <si>
    <t>TXN_00572</t>
  </si>
  <si>
    <t>TXN_00573</t>
  </si>
  <si>
    <t>CUST_00268</t>
  </si>
  <si>
    <t>TXN_00574</t>
  </si>
  <si>
    <t>TXN_00575</t>
  </si>
  <si>
    <t>CUST_00259</t>
  </si>
  <si>
    <t>TXN_00576</t>
  </si>
  <si>
    <t>TXN_00577</t>
  </si>
  <si>
    <t>TXN_00578</t>
  </si>
  <si>
    <t>CUST_00175</t>
  </si>
  <si>
    <t>TXN_00579</t>
  </si>
  <si>
    <t>CUST_00462</t>
  </si>
  <si>
    <t>TXN_00580</t>
  </si>
  <si>
    <t>CUST_00642</t>
  </si>
  <si>
    <t>TXN_00581</t>
  </si>
  <si>
    <t>CUST_00031</t>
  </si>
  <si>
    <t>TXN_00582</t>
  </si>
  <si>
    <t>TXN_00583</t>
  </si>
  <si>
    <t>TXN_00584</t>
  </si>
  <si>
    <t>CUST_00323</t>
  </si>
  <si>
    <t>TXN_00585</t>
  </si>
  <si>
    <t>CUST_00004</t>
  </si>
  <si>
    <t>TXN_00586</t>
  </si>
  <si>
    <t>TXN_00587</t>
  </si>
  <si>
    <t>CUST_00018</t>
  </si>
  <si>
    <t>TXN_00588</t>
  </si>
  <si>
    <t>CUST_00410</t>
  </si>
  <si>
    <t>TXN_00589</t>
  </si>
  <si>
    <t>TXN_00590</t>
  </si>
  <si>
    <t>TXN_00591</t>
  </si>
  <si>
    <t>TXN_00592</t>
  </si>
  <si>
    <t>TXN_00593</t>
  </si>
  <si>
    <t>CUST_00093</t>
  </si>
  <si>
    <t>TXN_00594</t>
  </si>
  <si>
    <t>CUST_00670</t>
  </si>
  <si>
    <t>TXN_00595</t>
  </si>
  <si>
    <t>CUST_00759</t>
  </si>
  <si>
    <t>TXN_00596</t>
  </si>
  <si>
    <t>CUST_00319</t>
  </si>
  <si>
    <t>TXN_00597</t>
  </si>
  <si>
    <t>TXN_00598</t>
  </si>
  <si>
    <t>CUST_00858</t>
  </si>
  <si>
    <t>TXN_00599</t>
  </si>
  <si>
    <t>CUST_00614</t>
  </si>
  <si>
    <t>TXN_00600</t>
  </si>
  <si>
    <t>CUST_00507</t>
  </si>
  <si>
    <t>TXN_00601</t>
  </si>
  <si>
    <t>TXN_00602</t>
  </si>
  <si>
    <t>CUST_00346</t>
  </si>
  <si>
    <t>TXN_00603</t>
  </si>
  <si>
    <t>TXN_00604</t>
  </si>
  <si>
    <t>TXN_00605</t>
  </si>
  <si>
    <t>CUST_00753</t>
  </si>
  <si>
    <t>TXN_00606</t>
  </si>
  <si>
    <t>TXN_00607</t>
  </si>
  <si>
    <t>TXN_00608</t>
  </si>
  <si>
    <t>TXN_00609</t>
  </si>
  <si>
    <t>CUST_00282</t>
  </si>
  <si>
    <t>TXN_00610</t>
  </si>
  <si>
    <t>CUST_00231</t>
  </si>
  <si>
    <t>TXN_00611</t>
  </si>
  <si>
    <t>CUST_00394</t>
  </si>
  <si>
    <t>TXN_00612</t>
  </si>
  <si>
    <t>CUST_00190</t>
  </si>
  <si>
    <t>TXN_00613</t>
  </si>
  <si>
    <t>TXN_00614</t>
  </si>
  <si>
    <t>CUST_00458</t>
  </si>
  <si>
    <t>TXN_00615</t>
  </si>
  <si>
    <t>CUST_00872</t>
  </si>
  <si>
    <t>TXN_00616</t>
  </si>
  <si>
    <t>CUST_00968</t>
  </si>
  <si>
    <t>TXN_00617</t>
  </si>
  <si>
    <t>CUST_00591</t>
  </si>
  <si>
    <t>TXN_00618</t>
  </si>
  <si>
    <t>TXN_00619</t>
  </si>
  <si>
    <t>CUST_00222</t>
  </si>
  <si>
    <t>TXN_00620</t>
  </si>
  <si>
    <t>TXN_00621</t>
  </si>
  <si>
    <t>TXN_00622</t>
  </si>
  <si>
    <t>CUST_00842</t>
  </si>
  <si>
    <t>TXN_00623</t>
  </si>
  <si>
    <t>CUST_00277</t>
  </si>
  <si>
    <t>TXN_00624</t>
  </si>
  <si>
    <t>CUST_00372</t>
  </si>
  <si>
    <t>TXN_00625</t>
  </si>
  <si>
    <t>TXN_00626</t>
  </si>
  <si>
    <t>TXN_00627</t>
  </si>
  <si>
    <t>TXN_00628</t>
  </si>
  <si>
    <t>CUST_00704</t>
  </si>
  <si>
    <t>TXN_00629</t>
  </si>
  <si>
    <t>CUST_00725</t>
  </si>
  <si>
    <t>TXN_00630</t>
  </si>
  <si>
    <t>TXN_00631</t>
  </si>
  <si>
    <t>CUST_00866</t>
  </si>
  <si>
    <t>TXN_00632</t>
  </si>
  <si>
    <t>CUST_00762</t>
  </si>
  <si>
    <t>TXN_00633</t>
  </si>
  <si>
    <t>TXN_00634</t>
  </si>
  <si>
    <t>CUST_00768</t>
  </si>
  <si>
    <t>TXN_00635</t>
  </si>
  <si>
    <t>CUST_00988</t>
  </si>
  <si>
    <t>TXN_00636</t>
  </si>
  <si>
    <t>CUST_00976</t>
  </si>
  <si>
    <t>TXN_00637</t>
  </si>
  <si>
    <t>CUST_00852</t>
  </si>
  <si>
    <t>TXN_00638</t>
  </si>
  <si>
    <t>CUST_00404</t>
  </si>
  <si>
    <t>TXN_00639</t>
  </si>
  <si>
    <t>CUST_00059</t>
  </si>
  <si>
    <t>TXN_00640</t>
  </si>
  <si>
    <t>TXN_00641</t>
  </si>
  <si>
    <t>CUST_00527</t>
  </si>
  <si>
    <t>TXN_00642</t>
  </si>
  <si>
    <t>TXN_00643</t>
  </si>
  <si>
    <t>CUST_00166</t>
  </si>
  <si>
    <t>TXN_00644</t>
  </si>
  <si>
    <t>TXN_00645</t>
  </si>
  <si>
    <t>CUST_00122</t>
  </si>
  <si>
    <t>TXN_00646</t>
  </si>
  <si>
    <t>CUST_00135</t>
  </si>
  <si>
    <t>TXN_00647</t>
  </si>
  <si>
    <t>CUST_00054</t>
  </si>
  <si>
    <t>TXN_00648</t>
  </si>
  <si>
    <t>TXN_00649</t>
  </si>
  <si>
    <t>CUST_00885</t>
  </si>
  <si>
    <t>TXN_00650</t>
  </si>
  <si>
    <t>TXN_00651</t>
  </si>
  <si>
    <t>CUST_00411</t>
  </si>
  <si>
    <t>TXN_00652</t>
  </si>
  <si>
    <t>CUST_00886</t>
  </si>
  <si>
    <t>TXN_00653</t>
  </si>
  <si>
    <t>CUST_00491</t>
  </si>
  <si>
    <t>TXN_00654</t>
  </si>
  <si>
    <t>CUST_00966</t>
  </si>
  <si>
    <t>TXN_00655</t>
  </si>
  <si>
    <t>TXN_00656</t>
  </si>
  <si>
    <t>CUST_00373</t>
  </si>
  <si>
    <t>TXN_00657</t>
  </si>
  <si>
    <t>CUST_00760</t>
  </si>
  <si>
    <t>TXN_00658</t>
  </si>
  <si>
    <t>CUST_00090</t>
  </si>
  <si>
    <t>TXN_00659</t>
  </si>
  <si>
    <t>CUST_00198</t>
  </si>
  <si>
    <t>TXN_00660</t>
  </si>
  <si>
    <t>CUST_00780</t>
  </si>
  <si>
    <t>TXN_00661</t>
  </si>
  <si>
    <t>TXN_00662</t>
  </si>
  <si>
    <t>CUST_00954</t>
  </si>
  <si>
    <t>TXN_00663</t>
  </si>
  <si>
    <t>TXN_00664</t>
  </si>
  <si>
    <t>TXN_00665</t>
  </si>
  <si>
    <t>TXN_00666</t>
  </si>
  <si>
    <t>CUST_00566</t>
  </si>
  <si>
    <t>TXN_00667</t>
  </si>
  <si>
    <t>CUST_00965</t>
  </si>
  <si>
    <t>TXN_00668</t>
  </si>
  <si>
    <t>CUST_00002</t>
  </si>
  <si>
    <t>TXN_00669</t>
  </si>
  <si>
    <t>TXN_00670</t>
  </si>
  <si>
    <t>CUST_00181</t>
  </si>
  <si>
    <t>TXN_00671</t>
  </si>
  <si>
    <t>CUST_00565</t>
  </si>
  <si>
    <t>TXN_00672</t>
  </si>
  <si>
    <t>TXN_00673</t>
  </si>
  <si>
    <t>TXN_00674</t>
  </si>
  <si>
    <t>CUST_00907</t>
  </si>
  <si>
    <t>TXN_00675</t>
  </si>
  <si>
    <t>CUST_00466</t>
  </si>
  <si>
    <t>TXN_00676</t>
  </si>
  <si>
    <t>TXN_00677</t>
  </si>
  <si>
    <t>TXN_00678</t>
  </si>
  <si>
    <t>CUST_00492</t>
  </si>
  <si>
    <t>TXN_00679</t>
  </si>
  <si>
    <t>CUST_00643</t>
  </si>
  <si>
    <t>TXN_00680</t>
  </si>
  <si>
    <t>CUST_00146</t>
  </si>
  <si>
    <t>TXN_00681</t>
  </si>
  <si>
    <t>TXN_00682</t>
  </si>
  <si>
    <t>TXN_00683</t>
  </si>
  <si>
    <t>TXN_00684</t>
  </si>
  <si>
    <t>CUST_00897</t>
  </si>
  <si>
    <t>TXN_00685</t>
  </si>
  <si>
    <t>CUST_00328</t>
  </si>
  <si>
    <t>TXN_00686</t>
  </si>
  <si>
    <t>CUST_00983</t>
  </si>
  <si>
    <t>TXN_00687</t>
  </si>
  <si>
    <t>TXN_00688</t>
  </si>
  <si>
    <t>TXN_00689</t>
  </si>
  <si>
    <t>CUST_00540</t>
  </si>
  <si>
    <t>TXN_00690</t>
  </si>
  <si>
    <t>TXN_00691</t>
  </si>
  <si>
    <t>TXN_00692</t>
  </si>
  <si>
    <t>TXN_00693</t>
  </si>
  <si>
    <t>TXN_00694</t>
  </si>
  <si>
    <t>TXN_00695</t>
  </si>
  <si>
    <t>TXN_00696</t>
  </si>
  <si>
    <t>TXN_00697</t>
  </si>
  <si>
    <t>TXN_00698</t>
  </si>
  <si>
    <t>TXN_00699</t>
  </si>
  <si>
    <t>CUST_00837</t>
  </si>
  <si>
    <t>TXN_00700</t>
  </si>
  <si>
    <t>CUST_00663</t>
  </si>
  <si>
    <t>TXN_00701</t>
  </si>
  <si>
    <t>TXN_00702</t>
  </si>
  <si>
    <t>TXN_00703</t>
  </si>
  <si>
    <t>CUST_00047</t>
  </si>
  <si>
    <t>TXN_00704</t>
  </si>
  <si>
    <t>TXN_00705</t>
  </si>
  <si>
    <t>TXN_00706</t>
  </si>
  <si>
    <t>TXN_00707</t>
  </si>
  <si>
    <t>CUST_00788</t>
  </si>
  <si>
    <t>TXN_00708</t>
  </si>
  <si>
    <t>TXN_00709</t>
  </si>
  <si>
    <t>CUST_00622</t>
  </si>
  <si>
    <t>TXN_00710</t>
  </si>
  <si>
    <t>CUST_00561</t>
  </si>
  <si>
    <t>TXN_00711</t>
  </si>
  <si>
    <t>TXN_00712</t>
  </si>
  <si>
    <t>CUST_00782</t>
  </si>
  <si>
    <t>TXN_00713</t>
  </si>
  <si>
    <t>TXN_00714</t>
  </si>
  <si>
    <t>TXN_00715</t>
  </si>
  <si>
    <t>CUST_00009</t>
  </si>
  <si>
    <t>TXN_00716</t>
  </si>
  <si>
    <t>CUST_00896</t>
  </si>
  <si>
    <t>TXN_00717</t>
  </si>
  <si>
    <t>TXN_00718</t>
  </si>
  <si>
    <t>TXN_00719</t>
  </si>
  <si>
    <t>TXN_00720</t>
  </si>
  <si>
    <t>CUST_00064</t>
  </si>
  <si>
    <t>TXN_00721</t>
  </si>
  <si>
    <t>TXN_00722</t>
  </si>
  <si>
    <t>CUST_00893</t>
  </si>
  <si>
    <t>TXN_00723</t>
  </si>
  <si>
    <t>TXN_00724</t>
  </si>
  <si>
    <t>CUST_00989</t>
  </si>
  <si>
    <t>TXN_00725</t>
  </si>
  <si>
    <t>CUST_00080</t>
  </si>
  <si>
    <t>TXN_00726</t>
  </si>
  <si>
    <t>TXN_00727</t>
  </si>
  <si>
    <t>TXN_00728</t>
  </si>
  <si>
    <t>TXN_00729</t>
  </si>
  <si>
    <t>CUST_00834</t>
  </si>
  <si>
    <t>TXN_00730</t>
  </si>
  <si>
    <t>TXN_00731</t>
  </si>
  <si>
    <t>CUST_00470</t>
  </si>
  <si>
    <t>TXN_00732</t>
  </si>
  <si>
    <t>TXN_00733</t>
  </si>
  <si>
    <t>TXN_00734</t>
  </si>
  <si>
    <t>CUST_00826</t>
  </si>
  <si>
    <t>TXN_00735</t>
  </si>
  <si>
    <t>CUST_00201</t>
  </si>
  <si>
    <t>TXN_00736</t>
  </si>
  <si>
    <t>CUST_00520</t>
  </si>
  <si>
    <t>TXN_00737</t>
  </si>
  <si>
    <t>CUST_00034</t>
  </si>
  <si>
    <t>TXN_00738</t>
  </si>
  <si>
    <t>TXN_00739</t>
  </si>
  <si>
    <t>TXN_00740</t>
  </si>
  <si>
    <t>CUST_00237</t>
  </si>
  <si>
    <t>TXN_00741</t>
  </si>
  <si>
    <t>TXN_00742</t>
  </si>
  <si>
    <t>TXN_00743</t>
  </si>
  <si>
    <t>TXN_00744</t>
  </si>
  <si>
    <t>TXN_00745</t>
  </si>
  <si>
    <t>CUST_00126</t>
  </si>
  <si>
    <t>TXN_00746</t>
  </si>
  <si>
    <t>CUST_00401</t>
  </si>
  <si>
    <t>TXN_00747</t>
  </si>
  <si>
    <t>TXN_00748</t>
  </si>
  <si>
    <t>CUST_00647</t>
  </si>
  <si>
    <t>TXN_00749</t>
  </si>
  <si>
    <t>CUST_00163</t>
  </si>
  <si>
    <t>TXN_00750</t>
  </si>
  <si>
    <t>TXN_00751</t>
  </si>
  <si>
    <t>CUST_00275</t>
  </si>
  <si>
    <t>TXN_00752</t>
  </si>
  <si>
    <t>TXN_00753</t>
  </si>
  <si>
    <t>CUST_00813</t>
  </si>
  <si>
    <t>TXN_00754</t>
  </si>
  <si>
    <t>TXN_00755</t>
  </si>
  <si>
    <t>TXN_00756</t>
  </si>
  <si>
    <t>TXN_00757</t>
  </si>
  <si>
    <t>CUST_00252</t>
  </si>
  <si>
    <t>TXN_00758</t>
  </si>
  <si>
    <t>CUST_00705</t>
  </si>
  <si>
    <t>TXN_00759</t>
  </si>
  <si>
    <t>TXN_00760</t>
  </si>
  <si>
    <t>CUST_00969</t>
  </si>
  <si>
    <t>TXN_00761</t>
  </si>
  <si>
    <t>TXN_00762</t>
  </si>
  <si>
    <t>CUST_00616</t>
  </si>
  <si>
    <t>TXN_00763</t>
  </si>
  <si>
    <t>CUST_00005</t>
  </si>
  <si>
    <t>TXN_00764</t>
  </si>
  <si>
    <t>CUST_00661</t>
  </si>
  <si>
    <t>TXN_00765</t>
  </si>
  <si>
    <t>TXN_00766</t>
  </si>
  <si>
    <t>CUST_00506</t>
  </si>
  <si>
    <t>TXN_00767</t>
  </si>
  <si>
    <t>TXN_00768</t>
  </si>
  <si>
    <t>TXN_00769</t>
  </si>
  <si>
    <t>TXN_00770</t>
  </si>
  <si>
    <t>TXN_00771</t>
  </si>
  <si>
    <t>TXN_00772</t>
  </si>
  <si>
    <t>TXN_00773</t>
  </si>
  <si>
    <t>TXN_00774</t>
  </si>
  <si>
    <t>CUST_00349</t>
  </si>
  <si>
    <t>TXN_00775</t>
  </si>
  <si>
    <t>CUST_00672</t>
  </si>
  <si>
    <t>TXN_00776</t>
  </si>
  <si>
    <t>TXN_00777</t>
  </si>
  <si>
    <t>CUST_00151</t>
  </si>
  <si>
    <t>TXN_00778</t>
  </si>
  <si>
    <t>CUST_00488</t>
  </si>
  <si>
    <t>TXN_00779</t>
  </si>
  <si>
    <t>CUST_00407</t>
  </si>
  <si>
    <t>TXN_00780</t>
  </si>
  <si>
    <t>TXN_00781</t>
  </si>
  <si>
    <t>TXN_00782</t>
  </si>
  <si>
    <t>CUST_00590</t>
  </si>
  <si>
    <t>TXN_00783</t>
  </si>
  <si>
    <t>CUST_00402</t>
  </si>
  <si>
    <t>TXN_00784</t>
  </si>
  <si>
    <t>CUST_00653</t>
  </si>
  <si>
    <t>TXN_00785</t>
  </si>
  <si>
    <t>CUST_00489</t>
  </si>
  <si>
    <t>TXN_00786</t>
  </si>
  <si>
    <t>TXN_00787</t>
  </si>
  <si>
    <t>CUST_00609</t>
  </si>
  <si>
    <t>TXN_00788</t>
  </si>
  <si>
    <t>CUST_00839</t>
  </si>
  <si>
    <t>TXN_00789</t>
  </si>
  <si>
    <t>TXN_00790</t>
  </si>
  <si>
    <t>CUST_00680</t>
  </si>
  <si>
    <t>TXN_00791</t>
  </si>
  <si>
    <t>TXN_00792</t>
  </si>
  <si>
    <t>CUST_00676</t>
  </si>
  <si>
    <t>TXN_00793</t>
  </si>
  <si>
    <t>CUST_00199</t>
  </si>
  <si>
    <t>TXN_00794</t>
  </si>
  <si>
    <t>TXN_00795</t>
  </si>
  <si>
    <t>CUST_00719</t>
  </si>
  <si>
    <t>TXN_00796</t>
  </si>
  <si>
    <t>TXN_00797</t>
  </si>
  <si>
    <t>TXN_00798</t>
  </si>
  <si>
    <t>CUST_00846</t>
  </si>
  <si>
    <t>TXN_00799</t>
  </si>
  <si>
    <t>CUST_00142</t>
  </si>
  <si>
    <t>TXN_00800</t>
  </si>
  <si>
    <t>TXN_00801</t>
  </si>
  <si>
    <t>CUST_00255</t>
  </si>
  <si>
    <t>TXN_00802</t>
  </si>
  <si>
    <t>CUST_00578</t>
  </si>
  <si>
    <t>TXN_00803</t>
  </si>
  <si>
    <t>CUST_00568</t>
  </si>
  <si>
    <t>TXN_00804</t>
  </si>
  <si>
    <t>CUST_00802</t>
  </si>
  <si>
    <t>TXN_00805</t>
  </si>
  <si>
    <t>TXN_00806</t>
  </si>
  <si>
    <t>CUST_00091</t>
  </si>
  <si>
    <t>TXN_00807</t>
  </si>
  <si>
    <t>CUST_00557</t>
  </si>
  <si>
    <t>TXN_00808</t>
  </si>
  <si>
    <t>TXN_00809</t>
  </si>
  <si>
    <t>TXN_00810</t>
  </si>
  <si>
    <t>CUST_00529</t>
  </si>
  <si>
    <t>TXN_00811</t>
  </si>
  <si>
    <t>CUST_00737</t>
  </si>
  <si>
    <t>TXN_00812</t>
  </si>
  <si>
    <t>TXN_00813</t>
  </si>
  <si>
    <t>TXN_00814</t>
  </si>
  <si>
    <t>TXN_00815</t>
  </si>
  <si>
    <t>TXN_00816</t>
  </si>
  <si>
    <t>TXN_00817</t>
  </si>
  <si>
    <t>CUST_00291</t>
  </si>
  <si>
    <t>TXN_00818</t>
  </si>
  <si>
    <t>CUST_00456</t>
  </si>
  <si>
    <t>TXN_00819</t>
  </si>
  <si>
    <t>TXN_00820</t>
  </si>
  <si>
    <t>TXN_00821</t>
  </si>
  <si>
    <t>TXN_00822</t>
  </si>
  <si>
    <t>TXN_00823</t>
  </si>
  <si>
    <t>TXN_00824</t>
  </si>
  <si>
    <t>CUST_00791</t>
  </si>
  <si>
    <t>TXN_00825</t>
  </si>
  <si>
    <t>TXN_00826</t>
  </si>
  <si>
    <t>TXN_00827</t>
  </si>
  <si>
    <t>TXN_00828</t>
  </si>
  <si>
    <t>TXN_00829</t>
  </si>
  <si>
    <t>TXN_00830</t>
  </si>
  <si>
    <t>TXN_00831</t>
  </si>
  <si>
    <t>CUST_00821</t>
  </si>
  <si>
    <t>TXN_00832</t>
  </si>
  <si>
    <t>TXN_00833</t>
  </si>
  <si>
    <t>CUST_00230</t>
  </si>
  <si>
    <t>TXN_00834</t>
  </si>
  <si>
    <t>TXN_00835</t>
  </si>
  <si>
    <t>TXN_00836</t>
  </si>
  <si>
    <t>TXN_00837</t>
  </si>
  <si>
    <t>TXN_00838</t>
  </si>
  <si>
    <t>TXN_00839</t>
  </si>
  <si>
    <t>TXN_00840</t>
  </si>
  <si>
    <t>TXN_00841</t>
  </si>
  <si>
    <t>CUST_00397</t>
  </si>
  <si>
    <t>TXN_00842</t>
  </si>
  <si>
    <t>TXN_00843</t>
  </si>
  <si>
    <t>CUST_00011</t>
  </si>
  <si>
    <t>TXN_00844</t>
  </si>
  <si>
    <t>CUST_00833</t>
  </si>
  <si>
    <t>TXN_00845</t>
  </si>
  <si>
    <t>TXN_00846</t>
  </si>
  <si>
    <t>CUST_00961</t>
  </si>
  <si>
    <t>TXN_00847</t>
  </si>
  <si>
    <t>TXN_00848</t>
  </si>
  <si>
    <t>TXN_00849</t>
  </si>
  <si>
    <t>TXN_00850</t>
  </si>
  <si>
    <t>CUST_00037</t>
  </si>
  <si>
    <t>TXN_00851</t>
  </si>
  <si>
    <t>CUST_00285</t>
  </si>
  <si>
    <t>TXN_00852</t>
  </si>
  <si>
    <t>CUST_00020</t>
  </si>
  <si>
    <t>TXN_00853</t>
  </si>
  <si>
    <t>TXN_00854</t>
  </si>
  <si>
    <t>TXN_00855</t>
  </si>
  <si>
    <t>CUST_00398</t>
  </si>
  <si>
    <t>TXN_00856</t>
  </si>
  <si>
    <t>TXN_00857</t>
  </si>
  <si>
    <t>CUST_00088</t>
  </si>
  <si>
    <t>TXN_00858</t>
  </si>
  <si>
    <t>CUST_00276</t>
  </si>
  <si>
    <t>TXN_00859</t>
  </si>
  <si>
    <t>CUST_00474</t>
  </si>
  <si>
    <t>TXN_00860</t>
  </si>
  <si>
    <t>CUST_00060</t>
  </si>
  <si>
    <t>TXN_00861</t>
  </si>
  <si>
    <t>TXN_00862</t>
  </si>
  <si>
    <t>TXN_00863</t>
  </si>
  <si>
    <t>TXN_00864</t>
  </si>
  <si>
    <t>CUST_00615</t>
  </si>
  <si>
    <t>TXN_00865</t>
  </si>
  <si>
    <t>TXN_00866</t>
  </si>
  <si>
    <t>TXN_00867</t>
  </si>
  <si>
    <t>TXN_00868</t>
  </si>
  <si>
    <t>CUST_00524</t>
  </si>
  <si>
    <t>TXN_00869</t>
  </si>
  <si>
    <t>TXN_00870</t>
  </si>
  <si>
    <t>TXN_00871</t>
  </si>
  <si>
    <t>TXN_00872</t>
  </si>
  <si>
    <t>CUST_00710</t>
  </si>
  <si>
    <t>TXN_00873</t>
  </si>
  <si>
    <t>TXN_00874</t>
  </si>
  <si>
    <t>TXN_00875</t>
  </si>
  <si>
    <t>CUST_00121</t>
  </si>
  <si>
    <t>TXN_00876</t>
  </si>
  <si>
    <t>CUST_00016</t>
  </si>
  <si>
    <t>TXN_00877</t>
  </si>
  <si>
    <t>CUST_00854</t>
  </si>
  <si>
    <t>TXN_00878</t>
  </si>
  <si>
    <t>CUST_00363</t>
  </si>
  <si>
    <t>TXN_00879</t>
  </si>
  <si>
    <t>CUST_00606</t>
  </si>
  <si>
    <t>TXN_00880</t>
  </si>
  <si>
    <t>CUST_00297</t>
  </si>
  <si>
    <t>TXN_00881</t>
  </si>
  <si>
    <t>TXN_00882</t>
  </si>
  <si>
    <t>TXN_00883</t>
  </si>
  <si>
    <t>CUST_00293</t>
  </si>
  <si>
    <t>TXN_00884</t>
  </si>
  <si>
    <t>TXN_00885</t>
  </si>
  <si>
    <t>TXN_00886</t>
  </si>
  <si>
    <t>CUST_00145</t>
  </si>
  <si>
    <t>TXN_00887</t>
  </si>
  <si>
    <t>TXN_00888</t>
  </si>
  <si>
    <t>TXN_00889</t>
  </si>
  <si>
    <t>TXN_00890</t>
  </si>
  <si>
    <t>TXN_00891</t>
  </si>
  <si>
    <t>CUST_00724</t>
  </si>
  <si>
    <t>TXN_00892</t>
  </si>
  <si>
    <t>TXN_00893</t>
  </si>
  <si>
    <t>TXN_00894</t>
  </si>
  <si>
    <t>TXN_00895</t>
  </si>
  <si>
    <t>CUST_00629</t>
  </si>
  <si>
    <t>TXN_00896</t>
  </si>
  <si>
    <t>TXN_00897</t>
  </si>
  <si>
    <t>TXN_00898</t>
  </si>
  <si>
    <t>TXN_00899</t>
  </si>
  <si>
    <t>CUST_00861</t>
  </si>
  <si>
    <t>TXN_00900</t>
  </si>
  <si>
    <t>TXN_00901</t>
  </si>
  <si>
    <t>CUST_00436</t>
  </si>
  <si>
    <t>TXN_00902</t>
  </si>
  <si>
    <t>TXN_00903</t>
  </si>
  <si>
    <t>CUST_00338</t>
  </si>
  <si>
    <t>TXN_00904</t>
  </si>
  <si>
    <t>TXN_00905</t>
  </si>
  <si>
    <t>TXN_00906</t>
  </si>
  <si>
    <t>CUST_00751</t>
  </si>
  <si>
    <t>TXN_00907</t>
  </si>
  <si>
    <t>TXN_00908</t>
  </si>
  <si>
    <t>TXN_00909</t>
  </si>
  <si>
    <t>TXN_00910</t>
  </si>
  <si>
    <t>TXN_00911</t>
  </si>
  <si>
    <t>CUST_00310</t>
  </si>
  <si>
    <t>TXN_00912</t>
  </si>
  <si>
    <t>TXN_00913</t>
  </si>
  <si>
    <t>TXN_00914</t>
  </si>
  <si>
    <t>CUST_00732</t>
  </si>
  <si>
    <t>TXN_00915</t>
  </si>
  <si>
    <t>CUST_00577</t>
  </si>
  <si>
    <t>TXN_00916</t>
  </si>
  <si>
    <t>TXN_00917</t>
  </si>
  <si>
    <t>CUST_00779</t>
  </si>
  <si>
    <t>TXN_00918</t>
  </si>
  <si>
    <t>CUST_00330</t>
  </si>
  <si>
    <t>TXN_00919</t>
  </si>
  <si>
    <t>TXN_00920</t>
  </si>
  <si>
    <t>CUST_00717</t>
  </si>
  <si>
    <t>TXN_00921</t>
  </si>
  <si>
    <t>CUST_00449</t>
  </si>
  <si>
    <t>TXN_00922</t>
  </si>
  <si>
    <t>CUST_00429</t>
  </si>
  <si>
    <t>TXN_00923</t>
  </si>
  <si>
    <t>TXN_00924</t>
  </si>
  <si>
    <t>CUST_00532</t>
  </si>
  <si>
    <t>TXN_00925</t>
  </si>
  <si>
    <t>TXN_00926</t>
  </si>
  <si>
    <t>CUST_00205</t>
  </si>
  <si>
    <t>TXN_00927</t>
  </si>
  <si>
    <t>CUST_00069</t>
  </si>
  <si>
    <t>TXN_00928</t>
  </si>
  <si>
    <t>TXN_00929</t>
  </si>
  <si>
    <t>CUST_00657</t>
  </si>
  <si>
    <t>TXN_00930</t>
  </si>
  <si>
    <t>TXN_00931</t>
  </si>
  <si>
    <t>CUST_00620</t>
  </si>
  <si>
    <t>TXN_00932</t>
  </si>
  <si>
    <t>CUST_00094</t>
  </si>
  <si>
    <t>TXN_00933</t>
  </si>
  <si>
    <t>TXN_00934</t>
  </si>
  <si>
    <t>CUST_00403</t>
  </si>
  <si>
    <t>TXN_00935</t>
  </si>
  <si>
    <t>TXN_00936</t>
  </si>
  <si>
    <t>CUST_00502</t>
  </si>
  <si>
    <t>TXN_00937</t>
  </si>
  <si>
    <t>TXN_00938</t>
  </si>
  <si>
    <t>TXN_00939</t>
  </si>
  <si>
    <t>CUST_00097</t>
  </si>
  <si>
    <t>TXN_00940</t>
  </si>
  <si>
    <t>TXN_00941</t>
  </si>
  <si>
    <t>CUST_00623</t>
  </si>
  <si>
    <t>TXN_00942</t>
  </si>
  <si>
    <t>TXN_00943</t>
  </si>
  <si>
    <t>TXN_00944</t>
  </si>
  <si>
    <t>TXN_00945</t>
  </si>
  <si>
    <t>TXN_00946</t>
  </si>
  <si>
    <t>TXN_00947</t>
  </si>
  <si>
    <t>CUST_00575</t>
  </si>
  <si>
    <t>TXN_00948</t>
  </si>
  <si>
    <t>CUST_00120</t>
  </si>
  <si>
    <t>TXN_00949</t>
  </si>
  <si>
    <t>CUST_00808</t>
  </si>
  <si>
    <t>TXN_00950</t>
  </si>
  <si>
    <t>TXN_00951</t>
  </si>
  <si>
    <t>TXN_00952</t>
  </si>
  <si>
    <t>CUST_00271</t>
  </si>
  <si>
    <t>TXN_00953</t>
  </si>
  <si>
    <t>CUST_00038</t>
  </si>
  <si>
    <t>TXN_00954</t>
  </si>
  <si>
    <t>TXN_00955</t>
  </si>
  <si>
    <t>CUST_00479</t>
  </si>
  <si>
    <t>TXN_00956</t>
  </si>
  <si>
    <t>TXN_00957</t>
  </si>
  <si>
    <t>CUST_00891</t>
  </si>
  <si>
    <t>TXN_00958</t>
  </si>
  <si>
    <t>TXN_00959</t>
  </si>
  <si>
    <t>TXN_00960</t>
  </si>
  <si>
    <t>CUST_00695</t>
  </si>
  <si>
    <t>TXN_00961</t>
  </si>
  <si>
    <t>TXN_00962</t>
  </si>
  <si>
    <t>TXN_00963</t>
  </si>
  <si>
    <t>TXN_00964</t>
  </si>
  <si>
    <t>CUST_00309</t>
  </si>
  <si>
    <t>TXN_00965</t>
  </si>
  <si>
    <t>TXN_00966</t>
  </si>
  <si>
    <t>CUST_00716</t>
  </si>
  <si>
    <t>TXN_00967</t>
  </si>
  <si>
    <t>TXN_00968</t>
  </si>
  <si>
    <t>CUST_00074</t>
  </si>
  <si>
    <t>TXN_00969</t>
  </si>
  <si>
    <t>TXN_00970</t>
  </si>
  <si>
    <t>TXN_00971</t>
  </si>
  <si>
    <t>TXN_00972</t>
  </si>
  <si>
    <t>CUST_00408</t>
  </si>
  <si>
    <t>TXN_00973</t>
  </si>
  <si>
    <t>CUST_00327</t>
  </si>
  <si>
    <t>TXN_00974</t>
  </si>
  <si>
    <t>TXN_00975</t>
  </si>
  <si>
    <t>CUST_00730</t>
  </si>
  <si>
    <t>TXN_00976</t>
  </si>
  <si>
    <t>TXN_00977</t>
  </si>
  <si>
    <t>TXN_00978</t>
  </si>
  <si>
    <t>TXN_00979</t>
  </si>
  <si>
    <t>TXN_00980</t>
  </si>
  <si>
    <t>TXN_00981</t>
  </si>
  <si>
    <t>TXN_00982</t>
  </si>
  <si>
    <t>TXN_00983</t>
  </si>
  <si>
    <t>TXN_00984</t>
  </si>
  <si>
    <t>TXN_00985</t>
  </si>
  <si>
    <t>CUST_00553</t>
  </si>
  <si>
    <t>TXN_00986</t>
  </si>
  <si>
    <t>CUST_00284</t>
  </si>
  <si>
    <t>TXN_00987</t>
  </si>
  <si>
    <t>TXN_00988</t>
  </si>
  <si>
    <t>TXN_00989</t>
  </si>
  <si>
    <t>CUST_00847</t>
  </si>
  <si>
    <t>TXN_00990</t>
  </si>
  <si>
    <t>CUST_00013</t>
  </si>
  <si>
    <t>TXN_00991</t>
  </si>
  <si>
    <t>TXN_00992</t>
  </si>
  <si>
    <t>TXN_00993</t>
  </si>
  <si>
    <t>CUST_00463</t>
  </si>
  <si>
    <t>TXN_00994</t>
  </si>
  <si>
    <t>TXN_00995</t>
  </si>
  <si>
    <t>TXN_00996</t>
  </si>
  <si>
    <t>TXN_00997</t>
  </si>
  <si>
    <t>CUST_00646</t>
  </si>
  <si>
    <t>TXN_00998</t>
  </si>
  <si>
    <t>TXN_00999</t>
  </si>
  <si>
    <t>TXN_01000</t>
  </si>
  <si>
    <t>CUST_00194</t>
  </si>
  <si>
    <t>TXN_01001</t>
  </si>
  <si>
    <t>TXN_01002</t>
  </si>
  <si>
    <t>CUST_00975</t>
  </si>
  <si>
    <t>TXN_01003</t>
  </si>
  <si>
    <t>TXN_01004</t>
  </si>
  <si>
    <t>CUST_00212</t>
  </si>
  <si>
    <t>TXN_01005</t>
  </si>
  <si>
    <t>TXN_01006</t>
  </si>
  <si>
    <t>CUST_00699</t>
  </si>
  <si>
    <t>TXN_01007</t>
  </si>
  <si>
    <t>TXN_01008</t>
  </si>
  <si>
    <t>TXN_01009</t>
  </si>
  <si>
    <t>CUST_00740</t>
  </si>
  <si>
    <t>TXN_01010</t>
  </si>
  <si>
    <t>TXN_01011</t>
  </si>
  <si>
    <t>TXN_01012</t>
  </si>
  <si>
    <t>CUST_00152</t>
  </si>
  <si>
    <t>TXN_01013</t>
  </si>
  <si>
    <t>CUST_00582</t>
  </si>
  <si>
    <t>TXN_01014</t>
  </si>
  <si>
    <t>CUST_00880</t>
  </si>
  <si>
    <t>TXN_01015</t>
  </si>
  <si>
    <t>CUST_00599</t>
  </si>
  <si>
    <t>TXN_01016</t>
  </si>
  <si>
    <t>CUST_00922</t>
  </si>
  <si>
    <t>TXN_01017</t>
  </si>
  <si>
    <t>TXN_01018</t>
  </si>
  <si>
    <t>CUST_00351</t>
  </si>
  <si>
    <t>TXN_01019</t>
  </si>
  <si>
    <t>TXN_01020</t>
  </si>
  <si>
    <t>TXN_01021</t>
  </si>
  <si>
    <t>TXN_01022</t>
  </si>
  <si>
    <t>TXN_01023</t>
  </si>
  <si>
    <t>TXN_01024</t>
  </si>
  <si>
    <t>CUST_00234</t>
  </si>
  <si>
    <t>TXN_01025</t>
  </si>
  <si>
    <t>CUST_00809</t>
  </si>
  <si>
    <t>TXN_01026</t>
  </si>
  <si>
    <t>CUST_00604</t>
  </si>
  <si>
    <t>TXN_01027</t>
  </si>
  <si>
    <t>CUST_00797</t>
  </si>
  <si>
    <t>TXN_01028</t>
  </si>
  <si>
    <t>TXN_01029</t>
  </si>
  <si>
    <t>TXN_01030</t>
  </si>
  <si>
    <t>TXN_01031</t>
  </si>
  <si>
    <t>TXN_01032</t>
  </si>
  <si>
    <t>TXN_01033</t>
  </si>
  <si>
    <t>CUST_00950</t>
  </si>
  <si>
    <t>TXN_01034</t>
  </si>
  <si>
    <t>CUST_00625</t>
  </si>
  <si>
    <t>TXN_01035</t>
  </si>
  <si>
    <t>TXN_01036</t>
  </si>
  <si>
    <t>TXN_01037</t>
  </si>
  <si>
    <t>CUST_00057</t>
  </si>
  <si>
    <t>TXN_01038</t>
  </si>
  <si>
    <t>CUST_00214</t>
  </si>
  <si>
    <t>TXN_01039</t>
  </si>
  <si>
    <t>TXN_01040</t>
  </si>
  <si>
    <t>TXN_01041</t>
  </si>
  <si>
    <t>CUST_00256</t>
  </si>
  <si>
    <t>TXN_01042</t>
  </si>
  <si>
    <t>TXN_01043</t>
  </si>
  <si>
    <t>CUST_00845</t>
  </si>
  <si>
    <t>TXN_01044</t>
  </si>
  <si>
    <t>CUST_00336</t>
  </si>
  <si>
    <t>TXN_01045</t>
  </si>
  <si>
    <t>TXN_01046</t>
  </si>
  <si>
    <t>TXN_01047</t>
  </si>
  <si>
    <t>TXN_01048</t>
  </si>
  <si>
    <t>CUST_00383</t>
  </si>
  <si>
    <t>TXN_01049</t>
  </si>
  <si>
    <t>TXN_01050</t>
  </si>
  <si>
    <t>CUST_00818</t>
  </si>
  <si>
    <t>TXN_01051</t>
  </si>
  <si>
    <t>CUST_00838</t>
  </si>
  <si>
    <t>TXN_01052</t>
  </si>
  <si>
    <t>TXN_01053</t>
  </si>
  <si>
    <t>TXN_01054</t>
  </si>
  <si>
    <t>TXN_01055</t>
  </si>
  <si>
    <t>TXN_01056</t>
  </si>
  <si>
    <t>CUST_00799</t>
  </si>
  <si>
    <t>TXN_01057</t>
  </si>
  <si>
    <t>CUST_00207</t>
  </si>
  <si>
    <t>TXN_01058</t>
  </si>
  <si>
    <t>CUST_00899</t>
  </si>
  <si>
    <t>TXN_01059</t>
  </si>
  <si>
    <t>TXN_01060</t>
  </si>
  <si>
    <t>CUST_00936</t>
  </si>
  <si>
    <t>TXN_01061</t>
  </si>
  <si>
    <t>TXN_01062</t>
  </si>
  <si>
    <t>TXN_01063</t>
  </si>
  <si>
    <t>TXN_01064</t>
  </si>
  <si>
    <t>TXN_01065</t>
  </si>
  <si>
    <t>TXN_01066</t>
  </si>
  <si>
    <t>CUST_00425</t>
  </si>
  <si>
    <t>TXN_01067</t>
  </si>
  <si>
    <t>TXN_01068</t>
  </si>
  <si>
    <t>TXN_01069</t>
  </si>
  <si>
    <t>TXN_01070</t>
  </si>
  <si>
    <t>CUST_00992</t>
  </si>
  <si>
    <t>TXN_01071</t>
  </si>
  <si>
    <t>TXN_01072</t>
  </si>
  <si>
    <t>CUST_00685</t>
  </si>
  <si>
    <t>TXN_01073</t>
  </si>
  <si>
    <t>TXN_01074</t>
  </si>
  <si>
    <t>TXN_01075</t>
  </si>
  <si>
    <t>CUST_00592</t>
  </si>
  <si>
    <t>TXN_01076</t>
  </si>
  <si>
    <t>TXN_01077</t>
  </si>
  <si>
    <t>TXN_01078</t>
  </si>
  <si>
    <t>CUST_00416</t>
  </si>
  <si>
    <t>TXN_01079</t>
  </si>
  <si>
    <t>TXN_01080</t>
  </si>
  <si>
    <t>CUST_00468</t>
  </si>
  <si>
    <t>TXN_01081</t>
  </si>
  <si>
    <t>TXN_01082</t>
  </si>
  <si>
    <t>CUST_00130</t>
  </si>
  <si>
    <t>TXN_01083</t>
  </si>
  <si>
    <t>TXN_01084</t>
  </si>
  <si>
    <t>TXN_01085</t>
  </si>
  <si>
    <t>TXN_01086</t>
  </si>
  <si>
    <t>CUST_00051</t>
  </si>
  <si>
    <t>TXN_01087</t>
  </si>
  <si>
    <t>TXN_01088</t>
  </si>
  <si>
    <t>TXN_01089</t>
  </si>
  <si>
    <t>TXN_01090</t>
  </si>
  <si>
    <t>TXN_01091</t>
  </si>
  <si>
    <t>CUST_00689</t>
  </si>
  <si>
    <t>TXN_01092</t>
  </si>
  <si>
    <t>CUST_00483</t>
  </si>
  <si>
    <t>TXN_01093</t>
  </si>
  <si>
    <t>TXN_01094</t>
  </si>
  <si>
    <t>TXN_01095</t>
  </si>
  <si>
    <t>TXN_01096</t>
  </si>
  <si>
    <t>TXN_01097</t>
  </si>
  <si>
    <t>CUST_00014</t>
  </si>
  <si>
    <t>TXN_01098</t>
  </si>
  <si>
    <t>CUST_00107</t>
  </si>
  <si>
    <t>TXN_01099</t>
  </si>
  <si>
    <t>TXN_01100</t>
  </si>
  <si>
    <t>TXN_01101</t>
  </si>
  <si>
    <t>TXN_01102</t>
  </si>
  <si>
    <t>CUST_00102</t>
  </si>
  <si>
    <t>TXN_01103</t>
  </si>
  <si>
    <t>TXN_01104</t>
  </si>
  <si>
    <t>TXN_01105</t>
  </si>
  <si>
    <t>TXN_01106</t>
  </si>
  <si>
    <t>TXN_01107</t>
  </si>
  <si>
    <t>TXN_01108</t>
  </si>
  <si>
    <t>TXN_01109</t>
  </si>
  <si>
    <t>TXN_01110</t>
  </si>
  <si>
    <t>TXN_01111</t>
  </si>
  <si>
    <t>CUST_00562</t>
  </si>
  <si>
    <t>TXN_01112</t>
  </si>
  <si>
    <t>TXN_01113</t>
  </si>
  <si>
    <t>CUST_00570</t>
  </si>
  <si>
    <t>TXN_01114</t>
  </si>
  <si>
    <t>TXN_01115</t>
  </si>
  <si>
    <t>CUST_00982</t>
  </si>
  <si>
    <t>TXN_01116</t>
  </si>
  <si>
    <t>CUST_00940</t>
  </si>
  <si>
    <t>TXN_01117</t>
  </si>
  <si>
    <t>TXN_01118</t>
  </si>
  <si>
    <t>TXN_01119</t>
  </si>
  <si>
    <t>TXN_01120</t>
  </si>
  <si>
    <t>TXN_01121</t>
  </si>
  <si>
    <t>CUST_00148</t>
  </si>
  <si>
    <t>TXN_01122</t>
  </si>
  <si>
    <t>TXN_01123</t>
  </si>
  <si>
    <t>TXN_01124</t>
  </si>
  <si>
    <t>TXN_01125</t>
  </si>
  <si>
    <t>TXN_01126</t>
  </si>
  <si>
    <t>TXN_01127</t>
  </si>
  <si>
    <t>TXN_01128</t>
  </si>
  <si>
    <t>TXN_01129</t>
  </si>
  <si>
    <t>TXN_01130</t>
  </si>
  <si>
    <t>TXN_01131</t>
  </si>
  <si>
    <t>CUST_00032</t>
  </si>
  <si>
    <t>TXN_01132</t>
  </si>
  <si>
    <t>CUST_00700</t>
  </si>
  <si>
    <t>TXN_01133</t>
  </si>
  <si>
    <t>TXN_01134</t>
  </si>
  <si>
    <t>TXN_01135</t>
  </si>
  <si>
    <t>TXN_01136</t>
  </si>
  <si>
    <t>CUST_00934</t>
  </si>
  <si>
    <t>TXN_01137</t>
  </si>
  <si>
    <t>CUST_00300</t>
  </si>
  <si>
    <t>TXN_01138</t>
  </si>
  <si>
    <t>TXN_01139</t>
  </si>
  <si>
    <t>TXN_01140</t>
  </si>
  <si>
    <t>CUST_00548</t>
  </si>
  <si>
    <t>TXN_01141</t>
  </si>
  <si>
    <t>CUST_00757</t>
  </si>
  <si>
    <t>TXN_01142</t>
  </si>
  <si>
    <t>TXN_01143</t>
  </si>
  <si>
    <t>TXN_01144</t>
  </si>
  <si>
    <t>TXN_01145</t>
  </si>
  <si>
    <t>CUST_00637</t>
  </si>
  <si>
    <t>TXN_01146</t>
  </si>
  <si>
    <t>TXN_01147</t>
  </si>
  <si>
    <t>TXN_01148</t>
  </si>
  <si>
    <t>TXN_01149</t>
  </si>
  <si>
    <t>TXN_01150</t>
  </si>
  <si>
    <t>TXN_01151</t>
  </si>
  <si>
    <t>TXN_01152</t>
  </si>
  <si>
    <t>TXN_01153</t>
  </si>
  <si>
    <t>CUST_00743</t>
  </si>
  <si>
    <t>TXN_01154</t>
  </si>
  <si>
    <t>CUST_00206</t>
  </si>
  <si>
    <t>TXN_01155</t>
  </si>
  <si>
    <t>CUST_00344</t>
  </si>
  <si>
    <t>TXN_01156</t>
  </si>
  <si>
    <t>TXN_01157</t>
  </si>
  <si>
    <t>TXN_01158</t>
  </si>
  <si>
    <t>CUST_00007</t>
  </si>
  <si>
    <t>TXN_01159</t>
  </si>
  <si>
    <t>TXN_01160</t>
  </si>
  <si>
    <t>TXN_01161</t>
  </si>
  <si>
    <t>TXN_01162</t>
  </si>
  <si>
    <t>TXN_01163</t>
  </si>
  <si>
    <t>TXN_01164</t>
  </si>
  <si>
    <t>TXN_01165</t>
  </si>
  <si>
    <t>TXN_01166</t>
  </si>
  <si>
    <t>TXN_01167</t>
  </si>
  <si>
    <t>CUST_00423</t>
  </si>
  <si>
    <t>TXN_01168</t>
  </si>
  <si>
    <t>TXN_01169</t>
  </si>
  <si>
    <t>TXN_01170</t>
  </si>
  <si>
    <t>TXN_01171</t>
  </si>
  <si>
    <t>CUST_00022</t>
  </si>
  <si>
    <t>TXN_01172</t>
  </si>
  <si>
    <t>TXN_01173</t>
  </si>
  <si>
    <t>TXN_01174</t>
  </si>
  <si>
    <t>TXN_01175</t>
  </si>
  <si>
    <t>TXN_01176</t>
  </si>
  <si>
    <t>TXN_01177</t>
  </si>
  <si>
    <t>CUST_00916</t>
  </si>
  <si>
    <t>TXN_01178</t>
  </si>
  <si>
    <t>TXN_01179</t>
  </si>
  <si>
    <t>TXN_01180</t>
  </si>
  <si>
    <t>TXN_01181</t>
  </si>
  <si>
    <t>TXN_01182</t>
  </si>
  <si>
    <t>TXN_01183</t>
  </si>
  <si>
    <t>TXN_01184</t>
  </si>
  <si>
    <t>TXN_01185</t>
  </si>
  <si>
    <t>CUST_00136</t>
  </si>
  <si>
    <t>TXN_01186</t>
  </si>
  <si>
    <t>TXN_01187</t>
  </si>
  <si>
    <t>TXN_01188</t>
  </si>
  <si>
    <t>CUST_00755</t>
  </si>
  <si>
    <t>TXN_01189</t>
  </si>
  <si>
    <t>TXN_01190</t>
  </si>
  <si>
    <t>TXN_01191</t>
  </si>
  <si>
    <t>TXN_01192</t>
  </si>
  <si>
    <t>TXN_01193</t>
  </si>
  <si>
    <t>TXN_01194</t>
  </si>
  <si>
    <t>TXN_01195</t>
  </si>
  <si>
    <t>TXN_01196</t>
  </si>
  <si>
    <t>TXN_01197</t>
  </si>
  <si>
    <t>TXN_01198</t>
  </si>
  <si>
    <t>TXN_01199</t>
  </si>
  <si>
    <t>TXN_01200</t>
  </si>
  <si>
    <t>TXN_01201</t>
  </si>
  <si>
    <t>TXN_01202</t>
  </si>
  <si>
    <t>CUST_00017</t>
  </si>
  <si>
    <t>TXN_01203</t>
  </si>
  <si>
    <t>TXN_01204</t>
  </si>
  <si>
    <t>TXN_01205</t>
  </si>
  <si>
    <t>CUST_00241</t>
  </si>
  <si>
    <t>TXN_01206</t>
  </si>
  <si>
    <t>CUST_00701</t>
  </si>
  <si>
    <t>TXN_01207</t>
  </si>
  <si>
    <t>TXN_01208</t>
  </si>
  <si>
    <t>CUST_00253</t>
  </si>
  <si>
    <t>TXN_01209</t>
  </si>
  <si>
    <t>TXN_01210</t>
  </si>
  <si>
    <t>TXN_01211</t>
  </si>
  <si>
    <t>TXN_01212</t>
  </si>
  <si>
    <t>TXN_01213</t>
  </si>
  <si>
    <t>TXN_01214</t>
  </si>
  <si>
    <t>TXN_01215</t>
  </si>
  <si>
    <t>TXN_01216</t>
  </si>
  <si>
    <t>TXN_01217</t>
  </si>
  <si>
    <t>TXN_01218</t>
  </si>
  <si>
    <t>CUST_00455</t>
  </si>
  <si>
    <t>TXN_01219</t>
  </si>
  <si>
    <t>TXN_01220</t>
  </si>
  <si>
    <t>TXN_01221</t>
  </si>
  <si>
    <t>TXN_01222</t>
  </si>
  <si>
    <t>CUST_00509</t>
  </si>
  <si>
    <t>TXN_01223</t>
  </si>
  <si>
    <t>CUST_00996</t>
  </si>
  <si>
    <t>TXN_01224</t>
  </si>
  <si>
    <t>TXN_01225</t>
  </si>
  <si>
    <t>TXN_01226</t>
  </si>
  <si>
    <t>TXN_01227</t>
  </si>
  <si>
    <t>TXN_01228</t>
  </si>
  <si>
    <t>TXN_01229</t>
  </si>
  <si>
    <t>CUST_00921</t>
  </si>
  <si>
    <t>TXN_01230</t>
  </si>
  <si>
    <t>TXN_01231</t>
  </si>
  <si>
    <t>TXN_01232</t>
  </si>
  <si>
    <t>TXN_01233</t>
  </si>
  <si>
    <t>CUST_00908</t>
  </si>
  <si>
    <t>TXN_01234</t>
  </si>
  <si>
    <t>CUST_00318</t>
  </si>
  <si>
    <t>TXN_01235</t>
  </si>
  <si>
    <t>TXN_01236</t>
  </si>
  <si>
    <t>TXN_01237</t>
  </si>
  <si>
    <t>TXN_01238</t>
  </si>
  <si>
    <t>CUST_00995</t>
  </si>
  <si>
    <t>TXN_01239</t>
  </si>
  <si>
    <t>TXN_01240</t>
  </si>
  <si>
    <t>TXN_01241</t>
  </si>
  <si>
    <t>CUST_00280</t>
  </si>
  <si>
    <t>TXN_01242</t>
  </si>
  <si>
    <t>TXN_01243</t>
  </si>
  <si>
    <t>TXN_01244</t>
  </si>
  <si>
    <t>TXN_01245</t>
  </si>
  <si>
    <t>CUST_00573</t>
  </si>
  <si>
    <t>TXN_01246</t>
  </si>
  <si>
    <t>TXN_01247</t>
  </si>
  <si>
    <t>TXN_01248</t>
  </si>
  <si>
    <t>TXN_01249</t>
  </si>
  <si>
    <t>TXN_01250</t>
  </si>
  <si>
    <t>TXN_01251</t>
  </si>
  <si>
    <t>TXN_01252</t>
  </si>
  <si>
    <t>CUST_00261</t>
  </si>
  <si>
    <t>TXN_01253</t>
  </si>
  <si>
    <t>TXN_01254</t>
  </si>
  <si>
    <t>TXN_01255</t>
  </si>
  <si>
    <t>CUST_00508</t>
  </si>
  <si>
    <t>TXN_01256</t>
  </si>
  <si>
    <t>CUST_00654</t>
  </si>
  <si>
    <t>TXN_01257</t>
  </si>
  <si>
    <t>TXN_01258</t>
  </si>
  <si>
    <t>TXN_01259</t>
  </si>
  <si>
    <t>TXN_01260</t>
  </si>
  <si>
    <t>TXN_01261</t>
  </si>
  <si>
    <t>CUST_00028</t>
  </si>
  <si>
    <t>TXN_01262</t>
  </si>
  <si>
    <t>TXN_01263</t>
  </si>
  <si>
    <t>TXN_01264</t>
  </si>
  <si>
    <t>TXN_01265</t>
  </si>
  <si>
    <t>TXN_01266</t>
  </si>
  <si>
    <t>CUST_00340</t>
  </si>
  <si>
    <t>TXN_01267</t>
  </si>
  <si>
    <t>TXN_01268</t>
  </si>
  <si>
    <t>TXN_01269</t>
  </si>
  <si>
    <t>TXN_01270</t>
  </si>
  <si>
    <t>TXN_01271</t>
  </si>
  <si>
    <t>CUST_00487</t>
  </si>
  <si>
    <t>TXN_01272</t>
  </si>
  <si>
    <t>CUST_00192</t>
  </si>
  <si>
    <t>TXN_01273</t>
  </si>
  <si>
    <t>TXN_01274</t>
  </si>
  <si>
    <t>CUST_00137</t>
  </si>
  <si>
    <t>TXN_01275</t>
  </si>
  <si>
    <t>CUST_00600</t>
  </si>
  <si>
    <t>TXN_01276</t>
  </si>
  <si>
    <t>TXN_01277</t>
  </si>
  <si>
    <t>TXN_01278</t>
  </si>
  <si>
    <t>CUST_00580</t>
  </si>
  <si>
    <t>TXN_01279</t>
  </si>
  <si>
    <t>TXN_01280</t>
  </si>
  <si>
    <t>TXN_01281</t>
  </si>
  <si>
    <t>CUST_00295</t>
  </si>
  <si>
    <t>TXN_01282</t>
  </si>
  <si>
    <t>CUST_00792</t>
  </si>
  <si>
    <t>TXN_01283</t>
  </si>
  <si>
    <t>TXN_01284</t>
  </si>
  <si>
    <t>TXN_01285</t>
  </si>
  <si>
    <t>CUST_00258</t>
  </si>
  <si>
    <t>TXN_01286</t>
  </si>
  <si>
    <t>TXN_01287</t>
  </si>
  <si>
    <t>CUST_00286</t>
  </si>
  <si>
    <t>TXN_01288</t>
  </si>
  <si>
    <t>CUST_00195</t>
  </si>
  <si>
    <t>TXN_01289</t>
  </si>
  <si>
    <t>TXN_01290</t>
  </si>
  <si>
    <t>TXN_01291</t>
  </si>
  <si>
    <t>CUST_00128</t>
  </si>
  <si>
    <t>TXN_01292</t>
  </si>
  <si>
    <t>TXN_01293</t>
  </si>
  <si>
    <t>TXN_01294</t>
  </si>
  <si>
    <t>TXN_01295</t>
  </si>
  <si>
    <t>TXN_01296</t>
  </si>
  <si>
    <t>TXN_01297</t>
  </si>
  <si>
    <t>CUST_00951</t>
  </si>
  <si>
    <t>TXN_01298</t>
  </si>
  <si>
    <t>TXN_01299</t>
  </si>
  <si>
    <t>TXN_01300</t>
  </si>
  <si>
    <t>TXN_01301</t>
  </si>
  <si>
    <t>TXN_01302</t>
  </si>
  <si>
    <t>TXN_01303</t>
  </si>
  <si>
    <t>TXN_01304</t>
  </si>
  <si>
    <t>CUST_00173</t>
  </si>
  <si>
    <t>TXN_01305</t>
  </si>
  <si>
    <t>TXN_01306</t>
  </si>
  <si>
    <t>CUST_00464</t>
  </si>
  <si>
    <t>TXN_01307</t>
  </si>
  <si>
    <t>TXN_01308</t>
  </si>
  <si>
    <t>TXN_01309</t>
  </si>
  <si>
    <t>TXN_01310</t>
  </si>
  <si>
    <t>CUST_00082</t>
  </si>
  <si>
    <t>TXN_01311</t>
  </si>
  <si>
    <t>CUST_00420</t>
  </si>
  <si>
    <t>TXN_01312</t>
  </si>
  <si>
    <t>TXN_01313</t>
  </si>
  <si>
    <t>TXN_01314</t>
  </si>
  <si>
    <t>TXN_01315</t>
  </si>
  <si>
    <t>TXN_01316</t>
  </si>
  <si>
    <t>TXN_01317</t>
  </si>
  <si>
    <t>TXN_01318</t>
  </si>
  <si>
    <t>TXN_01319</t>
  </si>
  <si>
    <t>TXN_01320</t>
  </si>
  <si>
    <t>TXN_01321</t>
  </si>
  <si>
    <t>TXN_01322</t>
  </si>
  <si>
    <t>TXN_01323</t>
  </si>
  <si>
    <t>TXN_01324</t>
  </si>
  <si>
    <t>TXN_01325</t>
  </si>
  <si>
    <t>TXN_01326</t>
  </si>
  <si>
    <t>TXN_01327</t>
  </si>
  <si>
    <t>TXN_01328</t>
  </si>
  <si>
    <t>CUST_00522</t>
  </si>
  <si>
    <t>TXN_01329</t>
  </si>
  <si>
    <t>TXN_01330</t>
  </si>
  <si>
    <t>TXN_01331</t>
  </si>
  <si>
    <t>TXN_01332</t>
  </si>
  <si>
    <t>TXN_01333</t>
  </si>
  <si>
    <t>CUST_00819</t>
  </si>
  <si>
    <t>TXN_01334</t>
  </si>
  <si>
    <t>TXN_01335</t>
  </si>
  <si>
    <t>CUST_00832</t>
  </si>
  <si>
    <t>TXN_01336</t>
  </si>
  <si>
    <t>TXN_01337</t>
  </si>
  <si>
    <t>TXN_01338</t>
  </si>
  <si>
    <t>CUST_00053</t>
  </si>
  <si>
    <t>TXN_01339</t>
  </si>
  <si>
    <t>CUST_00927</t>
  </si>
  <si>
    <t>TXN_01340</t>
  </si>
  <si>
    <t>TXN_01341</t>
  </si>
  <si>
    <t>TXN_01342</t>
  </si>
  <si>
    <t>CUST_00499</t>
  </si>
  <si>
    <t>TXN_01343</t>
  </si>
  <si>
    <t>CUST_00824</t>
  </si>
  <si>
    <t>TXN_01344</t>
  </si>
  <si>
    <t>TXN_01345</t>
  </si>
  <si>
    <t>TXN_01346</t>
  </si>
  <si>
    <t>CUST_00170</t>
  </si>
  <si>
    <t>TXN_01347</t>
  </si>
  <si>
    <t>TXN_01348</t>
  </si>
  <si>
    <t>TXN_01349</t>
  </si>
  <si>
    <t>TXN_01350</t>
  </si>
  <si>
    <t>TXN_01351</t>
  </si>
  <si>
    <t>CUST_00814</t>
  </si>
  <si>
    <t>TXN_01352</t>
  </si>
  <si>
    <t>CUST_00602</t>
  </si>
  <si>
    <t>TXN_01353</t>
  </si>
  <si>
    <t>TXN_01354</t>
  </si>
  <si>
    <t>TXN_01355</t>
  </si>
  <si>
    <t>TXN_01356</t>
  </si>
  <si>
    <t>TXN_01357</t>
  </si>
  <si>
    <t>TXN_01358</t>
  </si>
  <si>
    <t>TXN_01359</t>
  </si>
  <si>
    <t>CUST_00428</t>
  </si>
  <si>
    <t>TXN_01360</t>
  </si>
  <si>
    <t>TXN_01361</t>
  </si>
  <si>
    <t>TXN_01362</t>
  </si>
  <si>
    <t>TXN_01363</t>
  </si>
  <si>
    <t>CUST_00952</t>
  </si>
  <si>
    <t>TXN_01364</t>
  </si>
  <si>
    <t>TXN_01365</t>
  </si>
  <si>
    <t>TXN_01366</t>
  </si>
  <si>
    <t>TXN_01367</t>
  </si>
  <si>
    <t>TXN_01368</t>
  </si>
  <si>
    <t>TXN_01369</t>
  </si>
  <si>
    <t>TXN_01370</t>
  </si>
  <si>
    <t>CUST_00688</t>
  </si>
  <si>
    <t>TXN_01371</t>
  </si>
  <si>
    <t>TXN_01372</t>
  </si>
  <si>
    <t>TXN_01373</t>
  </si>
  <si>
    <t>TXN_01374</t>
  </si>
  <si>
    <t>TXN_01375</t>
  </si>
  <si>
    <t>TXN_01376</t>
  </si>
  <si>
    <t>CUST_00874</t>
  </si>
  <si>
    <t>TXN_01377</t>
  </si>
  <si>
    <t>CUST_00636</t>
  </si>
  <si>
    <t>TXN_01378</t>
  </si>
  <si>
    <t>TXN_01379</t>
  </si>
  <si>
    <t>CUST_00364</t>
  </si>
  <si>
    <t>TXN_01380</t>
  </si>
  <si>
    <t>TXN_01381</t>
  </si>
  <si>
    <t>TXN_01382</t>
  </si>
  <si>
    <t>TXN_01383</t>
  </si>
  <si>
    <t>TXN_01384</t>
  </si>
  <si>
    <t>TXN_01385</t>
  </si>
  <si>
    <t>CUST_00618</t>
  </si>
  <si>
    <t>TXN_01386</t>
  </si>
  <si>
    <t>TXN_01387</t>
  </si>
  <si>
    <t>CUST_00773</t>
  </si>
  <si>
    <t>TXN_01388</t>
  </si>
  <si>
    <t>TXN_01389</t>
  </si>
  <si>
    <t>CUST_00141</t>
  </si>
  <si>
    <t>TXN_01390</t>
  </si>
  <si>
    <t>TXN_01391</t>
  </si>
  <si>
    <t>CUST_00343</t>
  </si>
  <si>
    <t>TXN_01392</t>
  </si>
  <si>
    <t>TXN_01393</t>
  </si>
  <si>
    <t>TXN_01394</t>
  </si>
  <si>
    <t>TXN_01395</t>
  </si>
  <si>
    <t>CUST_00933</t>
  </si>
  <si>
    <t>TXN_01396</t>
  </si>
  <si>
    <t>TXN_01397</t>
  </si>
  <si>
    <t>TXN_01398</t>
  </si>
  <si>
    <t>TXN_01399</t>
  </si>
  <si>
    <t>TXN_01400</t>
  </si>
  <si>
    <t>CUST_00890</t>
  </si>
  <si>
    <t>TXN_01401</t>
  </si>
  <si>
    <t>TXN_01402</t>
  </si>
  <si>
    <t>TXN_01403</t>
  </si>
  <si>
    <t>TXN_01404</t>
  </si>
  <si>
    <t>TXN_01405</t>
  </si>
  <si>
    <t>TXN_01406</t>
  </si>
  <si>
    <t>TXN_01407</t>
  </si>
  <si>
    <t>TXN_01408</t>
  </si>
  <si>
    <t>TXN_01409</t>
  </si>
  <si>
    <t>TXN_01410</t>
  </si>
  <si>
    <t>TXN_01411</t>
  </si>
  <si>
    <t>TXN_01412</t>
  </si>
  <si>
    <t>CUST_00484</t>
  </si>
  <si>
    <t>TXN_01413</t>
  </si>
  <si>
    <t>CUST_00505</t>
  </si>
  <si>
    <t>TXN_01414</t>
  </si>
  <si>
    <t>TXN_01415</t>
  </si>
  <si>
    <t>CUST_00452</t>
  </si>
  <si>
    <t>TXN_01416</t>
  </si>
  <si>
    <t>TXN_01417</t>
  </si>
  <si>
    <t>TXN_01418</t>
  </si>
  <si>
    <t>CUST_00555</t>
  </si>
  <si>
    <t>TXN_01419</t>
  </si>
  <si>
    <t>TXN_01420</t>
  </si>
  <si>
    <t>TXN_01421</t>
  </si>
  <si>
    <t>TXN_01422</t>
  </si>
  <si>
    <t>CUST_00678</t>
  </si>
  <si>
    <t>TXN_01423</t>
  </si>
  <si>
    <t>TXN_01424</t>
  </si>
  <si>
    <t>TXN_01425</t>
  </si>
  <si>
    <t>TXN_01426</t>
  </si>
  <si>
    <t>TXN_01427</t>
  </si>
  <si>
    <t>CUST_00177</t>
  </si>
  <si>
    <t>TXN_01428</t>
  </si>
  <si>
    <t>TXN_01429</t>
  </si>
  <si>
    <t>CUST_00973</t>
  </si>
  <si>
    <t>TXN_01430</t>
  </si>
  <si>
    <t>TXN_01431</t>
  </si>
  <si>
    <t>TXN_01432</t>
  </si>
  <si>
    <t>CUST_00848</t>
  </si>
  <si>
    <t>TXN_01433</t>
  </si>
  <si>
    <t>CUST_00640</t>
  </si>
  <si>
    <t>TXN_01434</t>
  </si>
  <si>
    <t>TXN_01435</t>
  </si>
  <si>
    <t>CUST_00086</t>
  </si>
  <si>
    <t>TXN_01436</t>
  </si>
  <si>
    <t>CUST_00450</t>
  </si>
  <si>
    <t>TXN_01437</t>
  </si>
  <si>
    <t>TXN_01438</t>
  </si>
  <si>
    <t>TXN_01439</t>
  </si>
  <si>
    <t>TXN_01440</t>
  </si>
  <si>
    <t>TXN_01441</t>
  </si>
  <si>
    <t>TXN_01442</t>
  </si>
  <si>
    <t>CUST_00817</t>
  </si>
  <si>
    <t>TXN_01443</t>
  </si>
  <si>
    <t>CUST_00804</t>
  </si>
  <si>
    <t>TXN_01444</t>
  </si>
  <si>
    <t>TXN_01445</t>
  </si>
  <si>
    <t>CUST_00798</t>
  </si>
  <si>
    <t>TXN_01446</t>
  </si>
  <si>
    <t>TXN_01447</t>
  </si>
  <si>
    <t>TXN_01448</t>
  </si>
  <si>
    <t>TXN_01449</t>
  </si>
  <si>
    <t>TXN_01450</t>
  </si>
  <si>
    <t>CUST_00442</t>
  </si>
  <si>
    <t>TXN_01451</t>
  </si>
  <si>
    <t>TXN_01452</t>
  </si>
  <si>
    <t>TXN_01453</t>
  </si>
  <si>
    <t>TXN_01454</t>
  </si>
  <si>
    <t>TXN_01455</t>
  </si>
  <si>
    <t>CUST_00851</t>
  </si>
  <si>
    <t>TXN_01456</t>
  </si>
  <si>
    <t>TXN_01457</t>
  </si>
  <si>
    <t>TXN_01458</t>
  </si>
  <si>
    <t>TXN_01459</t>
  </si>
  <si>
    <t>TXN_01460</t>
  </si>
  <si>
    <t>TXN_01461</t>
  </si>
  <si>
    <t>TXN_01462</t>
  </si>
  <si>
    <t>TXN_01463</t>
  </si>
  <si>
    <t>TXN_01464</t>
  </si>
  <si>
    <t>TXN_01465</t>
  </si>
  <si>
    <t>TXN_01466</t>
  </si>
  <si>
    <t>CUST_00655</t>
  </si>
  <si>
    <t>TXN_01467</t>
  </si>
  <si>
    <t>CUST_00859</t>
  </si>
  <si>
    <t>TXN_01468</t>
  </si>
  <si>
    <t>TXN_01469</t>
  </si>
  <si>
    <t>CUST_00262</t>
  </si>
  <si>
    <t>TXN_01470</t>
  </si>
  <si>
    <t>TXN_01471</t>
  </si>
  <si>
    <t>TXN_01472</t>
  </si>
  <si>
    <t>TXN_01473</t>
  </si>
  <si>
    <t>CUST_00075</t>
  </si>
  <si>
    <t>TXN_01474</t>
  </si>
  <si>
    <t>TXN_01475</t>
  </si>
  <si>
    <t>TXN_01476</t>
  </si>
  <si>
    <t>TXN_01477</t>
  </si>
  <si>
    <t>TXN_01478</t>
  </si>
  <si>
    <t>TXN_01479</t>
  </si>
  <si>
    <t>TXN_01480</t>
  </si>
  <si>
    <t>CUST_00187</t>
  </si>
  <si>
    <t>TXN_01481</t>
  </si>
  <si>
    <t>TXN_01482</t>
  </si>
  <si>
    <t>CUST_00778</t>
  </si>
  <si>
    <t>TXN_01483</t>
  </si>
  <si>
    <t>TXN_01484</t>
  </si>
  <si>
    <t>TXN_01485</t>
  </si>
  <si>
    <t>TXN_01486</t>
  </si>
  <si>
    <t>TXN_01487</t>
  </si>
  <si>
    <t>TXN_01488</t>
  </si>
  <si>
    <t>TXN_01489</t>
  </si>
  <si>
    <t>TXN_01490</t>
  </si>
  <si>
    <t>TXN_01491</t>
  </si>
  <si>
    <t>TXN_01492</t>
  </si>
  <si>
    <t>TXN_01493</t>
  </si>
  <si>
    <t>TXN_01494</t>
  </si>
  <si>
    <t>TXN_01495</t>
  </si>
  <si>
    <t>TXN_01496</t>
  </si>
  <si>
    <t>TXN_01497</t>
  </si>
  <si>
    <t>TXN_01498</t>
  </si>
  <si>
    <t>TXN_01499</t>
  </si>
  <si>
    <t>TXN_01500</t>
  </si>
  <si>
    <t>TXN_01501</t>
  </si>
  <si>
    <t>TXN_01502</t>
  </si>
  <si>
    <t>TXN_01503</t>
  </si>
  <si>
    <t>TXN_01504</t>
  </si>
  <si>
    <t>TXN_01505</t>
  </si>
  <si>
    <t>TXN_01506</t>
  </si>
  <si>
    <t>TXN_01507</t>
  </si>
  <si>
    <t>CUST_00077</t>
  </si>
  <si>
    <t>TXN_01508</t>
  </si>
  <si>
    <t>TXN_01509</t>
  </si>
  <si>
    <t>TXN_01510</t>
  </si>
  <si>
    <t>TXN_01511</t>
  </si>
  <si>
    <t>CUST_00900</t>
  </si>
  <si>
    <t>TXN_01512</t>
  </si>
  <si>
    <t>CUST_00176</t>
  </si>
  <si>
    <t>TXN_01513</t>
  </si>
  <si>
    <t>TXN_01514</t>
  </si>
  <si>
    <t>TXN_01515</t>
  </si>
  <si>
    <t>TXN_01516</t>
  </si>
  <si>
    <t>TXN_01517</t>
  </si>
  <si>
    <t>TXN_01518</t>
  </si>
  <si>
    <t>TXN_01519</t>
  </si>
  <si>
    <t>TXN_01520</t>
  </si>
  <si>
    <t>TXN_01521</t>
  </si>
  <si>
    <t>TXN_01522</t>
  </si>
  <si>
    <t>TXN_01523</t>
  </si>
  <si>
    <t>CUST_00525</t>
  </si>
  <si>
    <t>TXN_01524</t>
  </si>
  <si>
    <t>TXN_01525</t>
  </si>
  <si>
    <t>CUST_00490</t>
  </si>
  <si>
    <t>TXN_01526</t>
  </si>
  <si>
    <t>TXN_01527</t>
  </si>
  <si>
    <t>TXN_01528</t>
  </si>
  <si>
    <t>TXN_01529</t>
  </si>
  <si>
    <t>TXN_01530</t>
  </si>
  <si>
    <t>TXN_01531</t>
  </si>
  <si>
    <t>CUST_00690</t>
  </si>
  <si>
    <t>TXN_01532</t>
  </si>
  <si>
    <t>TXN_01533</t>
  </si>
  <si>
    <t>TXN_01534</t>
  </si>
  <si>
    <t>TXN_01535</t>
  </si>
  <si>
    <t>TXN_01536</t>
  </si>
  <si>
    <t>TXN_01537</t>
  </si>
  <si>
    <t>CUST_00109</t>
  </si>
  <si>
    <t>TXN_01538</t>
  </si>
  <si>
    <t>TXN_01539</t>
  </si>
  <si>
    <t>CUST_00314</t>
  </si>
  <si>
    <t>TXN_01540</t>
  </si>
  <si>
    <t>CUST_00169</t>
  </si>
  <si>
    <t>TXN_01541</t>
  </si>
  <si>
    <t>TXN_01542</t>
  </si>
  <si>
    <t>TXN_01543</t>
  </si>
  <si>
    <t>CUST_00746</t>
  </si>
  <si>
    <t>TXN_01544</t>
  </si>
  <si>
    <t>TXN_01545</t>
  </si>
  <si>
    <t>TXN_01546</t>
  </si>
  <si>
    <t>TXN_01547</t>
  </si>
  <si>
    <t>TXN_01548</t>
  </si>
  <si>
    <t>TXN_01549</t>
  </si>
  <si>
    <t>CUST_00523</t>
  </si>
  <si>
    <t>TXN_01550</t>
  </si>
  <si>
    <t>TXN_01551</t>
  </si>
  <si>
    <t>TXN_01552</t>
  </si>
  <si>
    <t>TXN_01553</t>
  </si>
  <si>
    <t>TXN_01554</t>
  </si>
  <si>
    <t>TXN_01555</t>
  </si>
  <si>
    <t>TXN_01556</t>
  </si>
  <si>
    <t>TXN_01557</t>
  </si>
  <si>
    <t>TXN_01558</t>
  </si>
  <si>
    <t>CUST_00828</t>
  </si>
  <si>
    <t>TXN_01559</t>
  </si>
  <si>
    <t>TXN_01560</t>
  </si>
  <si>
    <t>TXN_01561</t>
  </si>
  <si>
    <t>TXN_01562</t>
  </si>
  <si>
    <t>TXN_01563</t>
  </si>
  <si>
    <t>TXN_01564</t>
  </si>
  <si>
    <t>TXN_01565</t>
  </si>
  <si>
    <t>TXN_01566</t>
  </si>
  <si>
    <t>TXN_01567</t>
  </si>
  <si>
    <t>TXN_01568</t>
  </si>
  <si>
    <t>TXN_01569</t>
  </si>
  <si>
    <t>TXN_01570</t>
  </si>
  <si>
    <t>TXN_01571</t>
  </si>
  <si>
    <t>TXN_01572</t>
  </si>
  <si>
    <t>TXN_01573</t>
  </si>
  <si>
    <t>TXN_01574</t>
  </si>
  <si>
    <t>TXN_01575</t>
  </si>
  <si>
    <t>TXN_01576</t>
  </si>
  <si>
    <t>TXN_01577</t>
  </si>
  <si>
    <t>TXN_01578</t>
  </si>
  <si>
    <t>TXN_01579</t>
  </si>
  <si>
    <t>TXN_01580</t>
  </si>
  <si>
    <t>TXN_01581</t>
  </si>
  <si>
    <t>TXN_01582</t>
  </si>
  <si>
    <t>TXN_01583</t>
  </si>
  <si>
    <t>TXN_01584</t>
  </si>
  <si>
    <t>TXN_01585</t>
  </si>
  <si>
    <t>TXN_01586</t>
  </si>
  <si>
    <t>TXN_01587</t>
  </si>
  <si>
    <t>TXN_01588</t>
  </si>
  <si>
    <t>CUST_00796</t>
  </si>
  <si>
    <t>TXN_01589</t>
  </si>
  <si>
    <t>TXN_01590</t>
  </si>
  <si>
    <t>TXN_01591</t>
  </si>
  <si>
    <t>TXN_01592</t>
  </si>
  <si>
    <t>TXN_01593</t>
  </si>
  <si>
    <t>TXN_01594</t>
  </si>
  <si>
    <t>CUST_00315</t>
  </si>
  <si>
    <t>TXN_01595</t>
  </si>
  <si>
    <t>CUST_00953</t>
  </si>
  <si>
    <t>TXN_01596</t>
  </si>
  <si>
    <t>TXN_01597</t>
  </si>
  <si>
    <t>TXN_01598</t>
  </si>
  <si>
    <t>TXN_01599</t>
  </si>
  <si>
    <t>TXN_01600</t>
  </si>
  <si>
    <t>CUST_00638</t>
  </si>
  <si>
    <t>TXN_01601</t>
  </si>
  <si>
    <t>TXN_01602</t>
  </si>
  <si>
    <t>TXN_01603</t>
  </si>
  <si>
    <t>TXN_01604</t>
  </si>
  <si>
    <t>TXN_01605</t>
  </si>
  <si>
    <t>TXN_01606</t>
  </si>
  <si>
    <t>TXN_01607</t>
  </si>
  <si>
    <t>TXN_01608</t>
  </si>
  <si>
    <t>CUST_00117</t>
  </si>
  <si>
    <t>TXN_01609</t>
  </si>
  <si>
    <t>TXN_01610</t>
  </si>
  <si>
    <t>TXN_01611</t>
  </si>
  <si>
    <t>TXN_01612</t>
  </si>
  <si>
    <t>TXN_01613</t>
  </si>
  <si>
    <t>TXN_01614</t>
  </si>
  <si>
    <t>TXN_01615</t>
  </si>
  <si>
    <t>CUST_00070</t>
  </si>
  <si>
    <t>TXN_01616</t>
  </si>
  <si>
    <t>TXN_01617</t>
  </si>
  <si>
    <t>TXN_01618</t>
  </si>
  <si>
    <t>TXN_01619</t>
  </si>
  <si>
    <t>TXN_01620</t>
  </si>
  <si>
    <t>TXN_01621</t>
  </si>
  <si>
    <t>TXN_01622</t>
  </si>
  <si>
    <t>CUST_00027</t>
  </si>
  <si>
    <t>TXN_01623</t>
  </si>
  <si>
    <t>CUST_00421</t>
  </si>
  <si>
    <t>TXN_01624</t>
  </si>
  <si>
    <t>TXN_01625</t>
  </si>
  <si>
    <t>TXN_01626</t>
  </si>
  <si>
    <t>TXN_01627</t>
  </si>
  <si>
    <t>TXN_01628</t>
  </si>
  <si>
    <t>TXN_01629</t>
  </si>
  <si>
    <t>TXN_01630</t>
  </si>
  <si>
    <t>TXN_01631</t>
  </si>
  <si>
    <t>TXN_01632</t>
  </si>
  <si>
    <t>TXN_01633</t>
  </si>
  <si>
    <t>CUST_00810</t>
  </si>
  <si>
    <t>TXN_01634</t>
  </si>
  <si>
    <t>TXN_01635</t>
  </si>
  <si>
    <t>TXN_01636</t>
  </si>
  <si>
    <t>TXN_01637</t>
  </si>
  <si>
    <t>TXN_01638</t>
  </si>
  <si>
    <t>CUST_00956</t>
  </si>
  <si>
    <t>TXN_01639</t>
  </si>
  <si>
    <t>CUST_00515</t>
  </si>
  <si>
    <t>TXN_01640</t>
  </si>
  <si>
    <t>TXN_01641</t>
  </si>
  <si>
    <t>TXN_01642</t>
  </si>
  <si>
    <t>TXN_01643</t>
  </si>
  <si>
    <t>TXN_01644</t>
  </si>
  <si>
    <t>TXN_01645</t>
  </si>
  <si>
    <t>CUST_00929</t>
  </si>
  <si>
    <t>TXN_01646</t>
  </si>
  <si>
    <t>CUST_00666</t>
  </si>
  <si>
    <t>TXN_01647</t>
  </si>
  <si>
    <t>TXN_01648</t>
  </si>
  <si>
    <t>CUST_00772</t>
  </si>
  <si>
    <t>TXN_01649</t>
  </si>
  <si>
    <t>TXN_01650</t>
  </si>
  <si>
    <t>TXN_01651</t>
  </si>
  <si>
    <t>TXN_01652</t>
  </si>
  <si>
    <t>TXN_01653</t>
  </si>
  <si>
    <t>CUST_00139</t>
  </si>
  <si>
    <t>TXN_01654</t>
  </si>
  <si>
    <t>TXN_01655</t>
  </si>
  <si>
    <t>TXN_01656</t>
  </si>
  <si>
    <t>TXN_01657</t>
  </si>
  <si>
    <t>TXN_01658</t>
  </si>
  <si>
    <t>TXN_01659</t>
  </si>
  <si>
    <t>CUST_00269</t>
  </si>
  <si>
    <t>TXN_01660</t>
  </si>
  <si>
    <t>TXN_01661</t>
  </si>
  <si>
    <t>TXN_01662</t>
  </si>
  <si>
    <t>TXN_01663</t>
  </si>
  <si>
    <t>TXN_01664</t>
  </si>
  <si>
    <t>TXN_01665</t>
  </si>
  <si>
    <t>TXN_01666</t>
  </si>
  <si>
    <t>TXN_01667</t>
  </si>
  <si>
    <t>TXN_01668</t>
  </si>
  <si>
    <t>TXN_01669</t>
  </si>
  <si>
    <t>TXN_01670</t>
  </si>
  <si>
    <t>TXN_01671</t>
  </si>
  <si>
    <t>CUST_00748</t>
  </si>
  <si>
    <t>TXN_01672</t>
  </si>
  <si>
    <t>TXN_01673</t>
  </si>
  <si>
    <t>CUST_00371</t>
  </si>
  <si>
    <t>TXN_01674</t>
  </si>
  <si>
    <t>TXN_01675</t>
  </si>
  <si>
    <t>TXN_01676</t>
  </si>
  <si>
    <t>TXN_01677</t>
  </si>
  <si>
    <t>TXN_01678</t>
  </si>
  <si>
    <t>TXN_01679</t>
  </si>
  <si>
    <t>TXN_01680</t>
  </si>
  <si>
    <t>CUST_00339</t>
  </si>
  <si>
    <t>TXN_01681</t>
  </si>
  <si>
    <t>TXN_01682</t>
  </si>
  <si>
    <t>CUST_00939</t>
  </si>
  <si>
    <t>TXN_01683</t>
  </si>
  <si>
    <t>TXN_01684</t>
  </si>
  <si>
    <t>TXN_01685</t>
  </si>
  <si>
    <t>TXN_01686</t>
  </si>
  <si>
    <t>CUST_00493</t>
  </si>
  <si>
    <t>TXN_01687</t>
  </si>
  <si>
    <t>TXN_01688</t>
  </si>
  <si>
    <t>TXN_01689</t>
  </si>
  <si>
    <t>TXN_01690</t>
  </si>
  <si>
    <t>TXN_01691</t>
  </si>
  <si>
    <t>TXN_01692</t>
  </si>
  <si>
    <t>CUST_00065</t>
  </si>
  <si>
    <t>TXN_01693</t>
  </si>
  <si>
    <t>TXN_01694</t>
  </si>
  <si>
    <t>CUST_00816</t>
  </si>
  <si>
    <t>TXN_01695</t>
  </si>
  <si>
    <t>TXN_01696</t>
  </si>
  <si>
    <t>TXN_01697</t>
  </si>
  <si>
    <t>TXN_01698</t>
  </si>
  <si>
    <t>TXN_01699</t>
  </si>
  <si>
    <t>TXN_01700</t>
  </si>
  <si>
    <t>TXN_01701</t>
  </si>
  <si>
    <t>TXN_01702</t>
  </si>
  <si>
    <t>CUST_00481</t>
  </si>
  <si>
    <t>TXN_01703</t>
  </si>
  <si>
    <t>TXN_01704</t>
  </si>
  <si>
    <t>CUST_00164</t>
  </si>
  <si>
    <t>TXN_01705</t>
  </si>
  <si>
    <t>TXN_01706</t>
  </si>
  <si>
    <t>TXN_01707</t>
  </si>
  <si>
    <t>TXN_01708</t>
  </si>
  <si>
    <t>TXN_01709</t>
  </si>
  <si>
    <t>CUST_00964</t>
  </si>
  <si>
    <t>TXN_01710</t>
  </si>
  <si>
    <t>CUST_00298</t>
  </si>
  <si>
    <t>TXN_01711</t>
  </si>
  <si>
    <t>TXN_01712</t>
  </si>
  <si>
    <t>TXN_01713</t>
  </si>
  <si>
    <t>CUST_00831</t>
  </si>
  <si>
    <t>TXN_01714</t>
  </si>
  <si>
    <t>CUST_00382</t>
  </si>
  <si>
    <t>TXN_01715</t>
  </si>
  <si>
    <t>TXN_01716</t>
  </si>
  <si>
    <t>TXN_01717</t>
  </si>
  <si>
    <t>TXN_01718</t>
  </si>
  <si>
    <t>TXN_01719</t>
  </si>
  <si>
    <t>TXN_01720</t>
  </si>
  <si>
    <t>TXN_01721</t>
  </si>
  <si>
    <t>TXN_01722</t>
  </si>
  <si>
    <t>TXN_01723</t>
  </si>
  <si>
    <t>TXN_01724</t>
  </si>
  <si>
    <t>CUST_00928</t>
  </si>
  <si>
    <t>TXN_01725</t>
  </si>
  <si>
    <t>TXN_01726</t>
  </si>
  <si>
    <t>TXN_01727</t>
  </si>
  <si>
    <t>TXN_01728</t>
  </si>
  <si>
    <t>TXN_01729</t>
  </si>
  <si>
    <t>TXN_01730</t>
  </si>
  <si>
    <t>TXN_01731</t>
  </si>
  <si>
    <t>TXN_01732</t>
  </si>
  <si>
    <t>TXN_01733</t>
  </si>
  <si>
    <t>TXN_01734</t>
  </si>
  <si>
    <t>TXN_01735</t>
  </si>
  <si>
    <t>TXN_01736</t>
  </si>
  <si>
    <t>CUST_00960</t>
  </si>
  <si>
    <t>TXN_01737</t>
  </si>
  <si>
    <t>CUST_00105</t>
  </si>
  <si>
    <t>TXN_01738</t>
  </si>
  <si>
    <t>TXN_01739</t>
  </si>
  <si>
    <t>TXN_01740</t>
  </si>
  <si>
    <t>TXN_01741</t>
  </si>
  <si>
    <t>TXN_01742</t>
  </si>
  <si>
    <t>TXN_01743</t>
  </si>
  <si>
    <t>TXN_01744</t>
  </si>
  <si>
    <t>TXN_01745</t>
  </si>
  <si>
    <t>TXN_01746</t>
  </si>
  <si>
    <t>TXN_01747</t>
  </si>
  <si>
    <t>TXN_01748</t>
  </si>
  <si>
    <t>TXN_01749</t>
  </si>
  <si>
    <t>TXN_01750</t>
  </si>
  <si>
    <t>TXN_01751</t>
  </si>
  <si>
    <t>TXN_01752</t>
  </si>
  <si>
    <t>TXN_01753</t>
  </si>
  <si>
    <t>TXN_01754</t>
  </si>
  <si>
    <t>CUST_00389</t>
  </si>
  <si>
    <t>TXN_01755</t>
  </si>
  <si>
    <t>TXN_01756</t>
  </si>
  <si>
    <t>TXN_01757</t>
  </si>
  <si>
    <t>TXN_01758</t>
  </si>
  <si>
    <t>TXN_01759</t>
  </si>
  <si>
    <t>CUST_00289</t>
  </si>
  <si>
    <t>TXN_01760</t>
  </si>
  <si>
    <t>TXN_01761</t>
  </si>
  <si>
    <t>CUST_00048</t>
  </si>
  <si>
    <t>TXN_01762</t>
  </si>
  <si>
    <t>TXN_01763</t>
  </si>
  <si>
    <t>CUST_00118</t>
  </si>
  <si>
    <t>TXN_01764</t>
  </si>
  <si>
    <t>TXN_01765</t>
  </si>
  <si>
    <t>TXN_01766</t>
  </si>
  <si>
    <t>TXN_01767</t>
  </si>
  <si>
    <t>TXN_01768</t>
  </si>
  <si>
    <t>TXN_01769</t>
  </si>
  <si>
    <t>TXN_01770</t>
  </si>
  <si>
    <t>TXN_01771</t>
  </si>
  <si>
    <t>TXN_01772</t>
  </si>
  <si>
    <t>CUST_00061</t>
  </si>
  <si>
    <t>TXN_01773</t>
  </si>
  <si>
    <t>TXN_01774</t>
  </si>
  <si>
    <t>TXN_01775</t>
  </si>
  <si>
    <t>TXN_01776</t>
  </si>
  <si>
    <t>TXN_01777</t>
  </si>
  <si>
    <t>CUST_00003</t>
  </si>
  <si>
    <t>TXN_01778</t>
  </si>
  <si>
    <t>TXN_01779</t>
  </si>
  <si>
    <t>TXN_01780</t>
  </si>
  <si>
    <t>TXN_01781</t>
  </si>
  <si>
    <t>TXN_01782</t>
  </si>
  <si>
    <t>TXN_01783</t>
  </si>
  <si>
    <t>TXN_01784</t>
  </si>
  <si>
    <t>CUST_00585</t>
  </si>
  <si>
    <t>TXN_01785</t>
  </si>
  <si>
    <t>TXN_01786</t>
  </si>
  <si>
    <t>CUST_00353</t>
  </si>
  <si>
    <t>TXN_01787</t>
  </si>
  <si>
    <t>TXN_01788</t>
  </si>
  <si>
    <t>TXN_01789</t>
  </si>
  <si>
    <t>TXN_01790</t>
  </si>
  <si>
    <t>TXN_01791</t>
  </si>
  <si>
    <t>TXN_01792</t>
  </si>
  <si>
    <t>CUST_00683</t>
  </si>
  <si>
    <t>TXN_01793</t>
  </si>
  <si>
    <t>TXN_01794</t>
  </si>
  <si>
    <t>TXN_01795</t>
  </si>
  <si>
    <t>TXN_01796</t>
  </si>
  <si>
    <t>CUST_00878</t>
  </si>
  <si>
    <t>TXN_01797</t>
  </si>
  <si>
    <t>TXN_01798</t>
  </si>
  <si>
    <t>CUST_00587</t>
  </si>
  <si>
    <t>TXN_01799</t>
  </si>
  <si>
    <t>TXN_01800</t>
  </si>
  <si>
    <t>TXN_01801</t>
  </si>
  <si>
    <t>TXN_01802</t>
  </si>
  <si>
    <t>TXN_01803</t>
  </si>
  <si>
    <t>TXN_01804</t>
  </si>
  <si>
    <t>CUST_00662</t>
  </si>
  <si>
    <t>TXN_01805</t>
  </si>
  <si>
    <t>TXN_01806</t>
  </si>
  <si>
    <t>TXN_01807</t>
  </si>
  <si>
    <t>TXN_01808</t>
  </si>
  <si>
    <t>TXN_01809</t>
  </si>
  <si>
    <t>TXN_01810</t>
  </si>
  <si>
    <t>TXN_01811</t>
  </si>
  <si>
    <t>CUST_00675</t>
  </si>
  <si>
    <t>TXN_01812</t>
  </si>
  <si>
    <t>CUST_00191</t>
  </si>
  <si>
    <t>TXN_01813</t>
  </si>
  <si>
    <t>CUST_00233</t>
  </si>
  <si>
    <t>TXN_01814</t>
  </si>
  <si>
    <t>TXN_01815</t>
  </si>
  <si>
    <t>TXN_01816</t>
  </si>
  <si>
    <t>TXN_01817</t>
  </si>
  <si>
    <t>TXN_01818</t>
  </si>
  <si>
    <t>CUST_00801</t>
  </si>
  <si>
    <t>TXN_01819</t>
  </si>
  <si>
    <t>TXN_01820</t>
  </si>
  <si>
    <t>TXN_01821</t>
  </si>
  <si>
    <t>TXN_01822</t>
  </si>
  <si>
    <t>TXN_01823</t>
  </si>
  <si>
    <t>TXN_01824</t>
  </si>
  <si>
    <t>TXN_01825</t>
  </si>
  <si>
    <t>TXN_01826</t>
  </si>
  <si>
    <t>TXN_01827</t>
  </si>
  <si>
    <t>TXN_01828</t>
  </si>
  <si>
    <t>TXN_01829</t>
  </si>
  <si>
    <t>CUST_00686</t>
  </si>
  <si>
    <t>TXN_01830</t>
  </si>
  <si>
    <t>TXN_01831</t>
  </si>
  <si>
    <t>TXN_01832</t>
  </si>
  <si>
    <t>TXN_01833</t>
  </si>
  <si>
    <t>CUST_00738</t>
  </si>
  <si>
    <t>TXN_01834</t>
  </si>
  <si>
    <t>TXN_01835</t>
  </si>
  <si>
    <t>TXN_01836</t>
  </si>
  <si>
    <t>TXN_01837</t>
  </si>
  <si>
    <t>CUST_00076</t>
  </si>
  <si>
    <t>TXN_01838</t>
  </si>
  <si>
    <t>TXN_01839</t>
  </si>
  <si>
    <t>CUST_00503</t>
  </si>
  <si>
    <t>TXN_01840</t>
  </si>
  <si>
    <t>CUST_00692</t>
  </si>
  <si>
    <t>TXN_01841</t>
  </si>
  <si>
    <t>CUST_00431</t>
  </si>
  <si>
    <t>TXN_01842</t>
  </si>
  <si>
    <t>TXN_01843</t>
  </si>
  <si>
    <t>TXN_01844</t>
  </si>
  <si>
    <t>CUST_00794</t>
  </si>
  <si>
    <t>TXN_01845</t>
  </si>
  <si>
    <t>CUST_00008</t>
  </si>
  <si>
    <t>TXN_01846</t>
  </si>
  <si>
    <t>TXN_01847</t>
  </si>
  <si>
    <t>TXN_01848</t>
  </si>
  <si>
    <t>TXN_01849</t>
  </si>
  <si>
    <t>CUST_00999</t>
  </si>
  <si>
    <t>TXN_01850</t>
  </si>
  <si>
    <t>TXN_01851</t>
  </si>
  <si>
    <t>TXN_01852</t>
  </si>
  <si>
    <t>TXN_01853</t>
  </si>
  <si>
    <t>TXN_01854</t>
  </si>
  <si>
    <t>TXN_01855</t>
  </si>
  <si>
    <t>TXN_01856</t>
  </si>
  <si>
    <t>TXN_01857</t>
  </si>
  <si>
    <t>TXN_01858</t>
  </si>
  <si>
    <t>CUST_00741</t>
  </si>
  <si>
    <t>TXN_01859</t>
  </si>
  <si>
    <t>TXN_01860</t>
  </si>
  <si>
    <t>TXN_01861</t>
  </si>
  <si>
    <t>TXN_01862</t>
  </si>
  <si>
    <t>TXN_01863</t>
  </si>
  <si>
    <t>CUST_00229</t>
  </si>
  <si>
    <t>TXN_01864</t>
  </si>
  <si>
    <t>TXN_01865</t>
  </si>
  <si>
    <t>TXN_01866</t>
  </si>
  <si>
    <t>TXN_01867</t>
  </si>
  <si>
    <t>TXN_01868</t>
  </si>
  <si>
    <t>TXN_01869</t>
  </si>
  <si>
    <t>TXN_01870</t>
  </si>
  <si>
    <t>TXN_01871</t>
  </si>
  <si>
    <t>TXN_01872</t>
  </si>
  <si>
    <t>TXN_01873</t>
  </si>
  <si>
    <t>TXN_01874</t>
  </si>
  <si>
    <t>CUST_00835</t>
  </si>
  <si>
    <t>TXN_01875</t>
  </si>
  <si>
    <t>TXN_01876</t>
  </si>
  <si>
    <t>CUST_00588</t>
  </si>
  <si>
    <t>TXN_01877</t>
  </si>
  <si>
    <t>TXN_01878</t>
  </si>
  <si>
    <t>TXN_01879</t>
  </si>
  <si>
    <t>CUST_00178</t>
  </si>
  <si>
    <t>TXN_01880</t>
  </si>
  <si>
    <t>TXN_01881</t>
  </si>
  <si>
    <t>TXN_01882</t>
  </si>
  <si>
    <t>TXN_01883</t>
  </si>
  <si>
    <t>TXN_01884</t>
  </si>
  <si>
    <t>TXN_01885</t>
  </si>
  <si>
    <t>TXN_01886</t>
  </si>
  <si>
    <t>TXN_01887</t>
  </si>
  <si>
    <t>CUST_00970</t>
  </si>
  <si>
    <t>TXN_01888</t>
  </si>
  <si>
    <t>TXN_01889</t>
  </si>
  <si>
    <t>TXN_01890</t>
  </si>
  <si>
    <t>CUST_00299</t>
  </si>
  <si>
    <t>TXN_01891</t>
  </si>
  <si>
    <t>TXN_01892</t>
  </si>
  <si>
    <t>TXN_01893</t>
  </si>
  <si>
    <t>TXN_01894</t>
  </si>
  <si>
    <t>TXN_01895</t>
  </si>
  <si>
    <t>CUST_00709</t>
  </si>
  <si>
    <t>TXN_01896</t>
  </si>
  <si>
    <t>TXN_01897</t>
  </si>
  <si>
    <t>TXN_01898</t>
  </si>
  <si>
    <t>TXN_01899</t>
  </si>
  <si>
    <t>TXN_01900</t>
  </si>
  <si>
    <t>TXN_01901</t>
  </si>
  <si>
    <t>TXN_01902</t>
  </si>
  <si>
    <t>TXN_01903</t>
  </si>
  <si>
    <t>CUST_00324</t>
  </si>
  <si>
    <t>TXN_01904</t>
  </si>
  <si>
    <t>TXN_01905</t>
  </si>
  <si>
    <t>TXN_01906</t>
  </si>
  <si>
    <t>TXN_01907</t>
  </si>
  <si>
    <t>TXN_01908</t>
  </si>
  <si>
    <t>TXN_01909</t>
  </si>
  <si>
    <t>CUST_00113</t>
  </si>
  <si>
    <t>TXN_01910</t>
  </si>
  <si>
    <t>TXN_01911</t>
  </si>
  <si>
    <t>TXN_01912</t>
  </si>
  <si>
    <t>TXN_01913</t>
  </si>
  <si>
    <t>TXN_01914</t>
  </si>
  <si>
    <t>TXN_01915</t>
  </si>
  <si>
    <t>TXN_01916</t>
  </si>
  <si>
    <t>TXN_01917</t>
  </si>
  <si>
    <t>TXN_01918</t>
  </si>
  <si>
    <t>TXN_01919</t>
  </si>
  <si>
    <t>CUST_00558</t>
  </si>
  <si>
    <t>TXN_01920</t>
  </si>
  <si>
    <t>CUST_00251</t>
  </si>
  <si>
    <t>TXN_01921</t>
  </si>
  <si>
    <t>TXN_01922</t>
  </si>
  <si>
    <t>TXN_01923</t>
  </si>
  <si>
    <t>TXN_01924</t>
  </si>
  <si>
    <t>TXN_01925</t>
  </si>
  <si>
    <t>TXN_01926</t>
  </si>
  <si>
    <t>TXN_01927</t>
  </si>
  <si>
    <t>TXN_01928</t>
  </si>
  <si>
    <t>CUST_00667</t>
  </si>
  <si>
    <t>TXN_01929</t>
  </si>
  <si>
    <t>TXN_01930</t>
  </si>
  <si>
    <t>TXN_01931</t>
  </si>
  <si>
    <t>CUST_00594</t>
  </si>
  <si>
    <t>TXN_01932</t>
  </si>
  <si>
    <t>TXN_01933</t>
  </si>
  <si>
    <t>TXN_01934</t>
  </si>
  <si>
    <t>TXN_01935</t>
  </si>
  <si>
    <t>TXN_01936</t>
  </si>
  <si>
    <t>TXN_01937</t>
  </si>
  <si>
    <t>TXN_01938</t>
  </si>
  <si>
    <t>TXN_01939</t>
  </si>
  <si>
    <t>TXN_01940</t>
  </si>
  <si>
    <t>CUST_00550</t>
  </si>
  <si>
    <t>TXN_01941</t>
  </si>
  <si>
    <t>TXN_01942</t>
  </si>
  <si>
    <t>CUST_00409</t>
  </si>
  <si>
    <t>TXN_01943</t>
  </si>
  <si>
    <t>TXN_01944</t>
  </si>
  <si>
    <t>TXN_01945</t>
  </si>
  <si>
    <t>TXN_01946</t>
  </si>
  <si>
    <t>CUST_00153</t>
  </si>
  <si>
    <t>TXN_01947</t>
  </si>
  <si>
    <t>TXN_01948</t>
  </si>
  <si>
    <t>TXN_01949</t>
  </si>
  <si>
    <t>TXN_01950</t>
  </si>
  <si>
    <t>TXN_01951</t>
  </si>
  <si>
    <t>CUST_00278</t>
  </si>
  <si>
    <t>TXN_01952</t>
  </si>
  <si>
    <t>TXN_01953</t>
  </si>
  <si>
    <t>TXN_01954</t>
  </si>
  <si>
    <t>TXN_01955</t>
  </si>
  <si>
    <t>TXN_01956</t>
  </si>
  <si>
    <t>TXN_01957</t>
  </si>
  <si>
    <t>CUST_00869</t>
  </si>
  <si>
    <t>TXN_01958</t>
  </si>
  <si>
    <t>TXN_01959</t>
  </si>
  <si>
    <t>TXN_01960</t>
  </si>
  <si>
    <t>CUST_00649</t>
  </si>
  <si>
    <t>TXN_01961</t>
  </si>
  <si>
    <t>TXN_01962</t>
  </si>
  <si>
    <t>TXN_01963</t>
  </si>
  <si>
    <t>TXN_01964</t>
  </si>
  <si>
    <t>TXN_01965</t>
  </si>
  <si>
    <t>TXN_01966</t>
  </si>
  <si>
    <t>TXN_01967</t>
  </si>
  <si>
    <t>TXN_01968</t>
  </si>
  <si>
    <t>TXN_01969</t>
  </si>
  <si>
    <t>TXN_01970</t>
  </si>
  <si>
    <t>TXN_01971</t>
  </si>
  <si>
    <t>TXN_01972</t>
  </si>
  <si>
    <t>TXN_01973</t>
  </si>
  <si>
    <t>TXN_01974</t>
  </si>
  <si>
    <t>TXN_01975</t>
  </si>
  <si>
    <t>TXN_01976</t>
  </si>
  <si>
    <t>TXN_01977</t>
  </si>
  <si>
    <t>CUST_00722</t>
  </si>
  <si>
    <t>TXN_01978</t>
  </si>
  <si>
    <t>CUST_00400</t>
  </si>
  <si>
    <t>TXN_01979</t>
  </si>
  <si>
    <t>TXN_01980</t>
  </si>
  <si>
    <t>CUST_00357</t>
  </si>
  <si>
    <t>TXN_01981</t>
  </si>
  <si>
    <t>TXN_01982</t>
  </si>
  <si>
    <t>TXN_01983</t>
  </si>
  <si>
    <t>TXN_01984</t>
  </si>
  <si>
    <t>TXN_01985</t>
  </si>
  <si>
    <t>CUST_00350</t>
  </si>
  <si>
    <t>TXN_01986</t>
  </si>
  <si>
    <t>TXN_01987</t>
  </si>
  <si>
    <t>TXN_01988</t>
  </si>
  <si>
    <t>TXN_01989</t>
  </si>
  <si>
    <t>TXN_01990</t>
  </si>
  <si>
    <t>TXN_01991</t>
  </si>
  <si>
    <t>TXN_01992</t>
  </si>
  <si>
    <t>TXN_01993</t>
  </si>
  <si>
    <t>CUST_00063</t>
  </si>
  <si>
    <t>TXN_01994</t>
  </si>
  <si>
    <t>TXN_01995</t>
  </si>
  <si>
    <t>TXN_01996</t>
  </si>
  <si>
    <t>TXN_01997</t>
  </si>
  <si>
    <t>CUST_00089</t>
  </si>
  <si>
    <t>TXN_01998</t>
  </si>
  <si>
    <t>TXN_01999</t>
  </si>
  <si>
    <t>TXN_02000</t>
  </si>
  <si>
    <t>TXN_02001</t>
  </si>
  <si>
    <t>TXN_02002</t>
  </si>
  <si>
    <t>TXN_02003</t>
  </si>
  <si>
    <t>TXN_02004</t>
  </si>
  <si>
    <t>TXN_02005</t>
  </si>
  <si>
    <t>CUST_00693</t>
  </si>
  <si>
    <t>TXN_02006</t>
  </si>
  <si>
    <t>TXN_02007</t>
  </si>
  <si>
    <t>TXN_02008</t>
  </si>
  <si>
    <t>TXN_02009</t>
  </si>
  <si>
    <t>CUST_00140</t>
  </si>
  <si>
    <t>TXN_02010</t>
  </si>
  <si>
    <t>TXN_02011</t>
  </si>
  <si>
    <t>CUST_00605</t>
  </si>
  <si>
    <t>TXN_02012</t>
  </si>
  <si>
    <t>TXN_02013</t>
  </si>
  <si>
    <t>TXN_02014</t>
  </si>
  <si>
    <t>TXN_02015</t>
  </si>
  <si>
    <t>TXN_02016</t>
  </si>
  <si>
    <t>TXN_02017</t>
  </si>
  <si>
    <t>TXN_02018</t>
  </si>
  <si>
    <t>TXN_02019</t>
  </si>
  <si>
    <t>CUST_00978</t>
  </si>
  <si>
    <t>TXN_02020</t>
  </si>
  <si>
    <t>TXN_02021</t>
  </si>
  <si>
    <t>TXN_02022</t>
  </si>
  <si>
    <t>TXN_02023</t>
  </si>
  <si>
    <t>CUST_00539</t>
  </si>
  <si>
    <t>TXN_02024</t>
  </si>
  <si>
    <t>TXN_02025</t>
  </si>
  <si>
    <t>TXN_02026</t>
  </si>
  <si>
    <t>TXN_02027</t>
  </si>
  <si>
    <t>TXN_02028</t>
  </si>
  <si>
    <t>TXN_02029</t>
  </si>
  <si>
    <t>TXN_02030</t>
  </si>
  <si>
    <t>TXN_02031</t>
  </si>
  <si>
    <t>TXN_02032</t>
  </si>
  <si>
    <t>TXN_02033</t>
  </si>
  <si>
    <t>TXN_02034</t>
  </si>
  <si>
    <t>TXN_02035</t>
  </si>
  <si>
    <t>TXN_02036</t>
  </si>
  <si>
    <t>TXN_02037</t>
  </si>
  <si>
    <t>TXN_02038</t>
  </si>
  <si>
    <t>TXN_02039</t>
  </si>
  <si>
    <t>TXN_02040</t>
  </si>
  <si>
    <t>TXN_02041</t>
  </si>
  <si>
    <t>TXN_02042</t>
  </si>
  <si>
    <t>TXN_02043</t>
  </si>
  <si>
    <t>TXN_02044</t>
  </si>
  <si>
    <t>CUST_00414</t>
  </si>
  <si>
    <t>TXN_02045</t>
  </si>
  <si>
    <t>TXN_02046</t>
  </si>
  <si>
    <t>TXN_02047</t>
  </si>
  <si>
    <t>TXN_02048</t>
  </si>
  <si>
    <t>TXN_02049</t>
  </si>
  <si>
    <t>TXN_02050</t>
  </si>
  <si>
    <t>TXN_02051</t>
  </si>
  <si>
    <t>TXN_02052</t>
  </si>
  <si>
    <t>TXN_02053</t>
  </si>
  <si>
    <t>TXN_02054</t>
  </si>
  <si>
    <t>TXN_02055</t>
  </si>
  <si>
    <t>TXN_02056</t>
  </si>
  <si>
    <t>TXN_02057</t>
  </si>
  <si>
    <t>TXN_02058</t>
  </si>
  <si>
    <t>TXN_02059</t>
  </si>
  <si>
    <t>TXN_02060</t>
  </si>
  <si>
    <t>TXN_02061</t>
  </si>
  <si>
    <t>TXN_02062</t>
  </si>
  <si>
    <t>TXN_02063</t>
  </si>
  <si>
    <t>TXN_02064</t>
  </si>
  <si>
    <t>TXN_02065</t>
  </si>
  <si>
    <t>TXN_02066</t>
  </si>
  <si>
    <t>TXN_02067</t>
  </si>
  <si>
    <t>TXN_02068</t>
  </si>
  <si>
    <t>TXN_02069</t>
  </si>
  <si>
    <t>CUST_00129</t>
  </si>
  <si>
    <t>TXN_02070</t>
  </si>
  <si>
    <t>TXN_02071</t>
  </si>
  <si>
    <t>TXN_02072</t>
  </si>
  <si>
    <t>TXN_02073</t>
  </si>
  <si>
    <t>TXN_02074</t>
  </si>
  <si>
    <t>TXN_02075</t>
  </si>
  <si>
    <t>TXN_02076</t>
  </si>
  <si>
    <t>TXN_02077</t>
  </si>
  <si>
    <t>TXN_02078</t>
  </si>
  <si>
    <t>TXN_02079</t>
  </si>
  <si>
    <t>TXN_02080</t>
  </si>
  <si>
    <t>CUST_00155</t>
  </si>
  <si>
    <t>TXN_02081</t>
  </si>
  <si>
    <t>CUST_00168</t>
  </si>
  <si>
    <t>TXN_02082</t>
  </si>
  <si>
    <t>TXN_02083</t>
  </si>
  <si>
    <t>TXN_02084</t>
  </si>
  <si>
    <t>TXN_02085</t>
  </si>
  <si>
    <t>TXN_02086</t>
  </si>
  <si>
    <t>TXN_02087</t>
  </si>
  <si>
    <t>TXN_02088</t>
  </si>
  <si>
    <t>TXN_02089</t>
  </si>
  <si>
    <t>TXN_02090</t>
  </si>
  <si>
    <t>TXN_02091</t>
  </si>
  <si>
    <t>TXN_02092</t>
  </si>
  <si>
    <t>TXN_02093</t>
  </si>
  <si>
    <t>TXN_02094</t>
  </si>
  <si>
    <t>TXN_02095</t>
  </si>
  <si>
    <t>TXN_02096</t>
  </si>
  <si>
    <t>TXN_02097</t>
  </si>
  <si>
    <t>TXN_02098</t>
  </si>
  <si>
    <t>TXN_02099</t>
  </si>
  <si>
    <t>TXN_02100</t>
  </si>
  <si>
    <t>TXN_02101</t>
  </si>
  <si>
    <t>CUST_00477</t>
  </si>
  <si>
    <t>TXN_02102</t>
  </si>
  <si>
    <t>CUST_00219</t>
  </si>
  <si>
    <t>TXN_02103</t>
  </si>
  <si>
    <t>TXN_02104</t>
  </si>
  <si>
    <t>TXN_02105</t>
  </si>
  <si>
    <t>TXN_02106</t>
  </si>
  <si>
    <t>TXN_02107</t>
  </si>
  <si>
    <t>TXN_02108</t>
  </si>
  <si>
    <t>TXN_02109</t>
  </si>
  <si>
    <t>TXN_02110</t>
  </si>
  <si>
    <t>TXN_02111</t>
  </si>
  <si>
    <t>TXN_02112</t>
  </si>
  <si>
    <t>TXN_02113</t>
  </si>
  <si>
    <t>TXN_02114</t>
  </si>
  <si>
    <t>TXN_02115</t>
  </si>
  <si>
    <t>TXN_02116</t>
  </si>
  <si>
    <t>TXN_02117</t>
  </si>
  <si>
    <t>TXN_02118</t>
  </si>
  <si>
    <t>TXN_02119</t>
  </si>
  <si>
    <t>TXN_02120</t>
  </si>
  <si>
    <t>TXN_02121</t>
  </si>
  <si>
    <t>TXN_02122</t>
  </si>
  <si>
    <t>CUST_00393</t>
  </si>
  <si>
    <t>TXN_02123</t>
  </si>
  <si>
    <t>TXN_02124</t>
  </si>
  <si>
    <t>TXN_02125</t>
  </si>
  <si>
    <t>TXN_02126</t>
  </si>
  <si>
    <t>TXN_02127</t>
  </si>
  <si>
    <t>CUST_00417</t>
  </si>
  <si>
    <t>TXN_02128</t>
  </si>
  <si>
    <t>TXN_02129</t>
  </si>
  <si>
    <t>CUST_00967</t>
  </si>
  <si>
    <t>TXN_02130</t>
  </si>
  <si>
    <t>TXN_02131</t>
  </si>
  <si>
    <t>CUST_00513</t>
  </si>
  <si>
    <t>TXN_02132</t>
  </si>
  <si>
    <t>TXN_02133</t>
  </si>
  <si>
    <t>TXN_02134</t>
  </si>
  <si>
    <t>TXN_02135</t>
  </si>
  <si>
    <t>TXN_02136</t>
  </si>
  <si>
    <t>TXN_02137</t>
  </si>
  <si>
    <t>TXN_02138</t>
  </si>
  <si>
    <t>TXN_02139</t>
  </si>
  <si>
    <t>TXN_02140</t>
  </si>
  <si>
    <t>TXN_02141</t>
  </si>
  <si>
    <t>TXN_02142</t>
  </si>
  <si>
    <t>TXN_02143</t>
  </si>
  <si>
    <t>TXN_02144</t>
  </si>
  <si>
    <t>TXN_02145</t>
  </si>
  <si>
    <t>TXN_02146</t>
  </si>
  <si>
    <t>TXN_02147</t>
  </si>
  <si>
    <t>CUST_00306</t>
  </si>
  <si>
    <t>TXN_02148</t>
  </si>
  <si>
    <t>CUST_00844</t>
  </si>
  <si>
    <t>TXN_02149</t>
  </si>
  <si>
    <t>TXN_02150</t>
  </si>
  <si>
    <t>TXN_02151</t>
  </si>
  <si>
    <t>TXN_02152</t>
  </si>
  <si>
    <t>TXN_02153</t>
  </si>
  <si>
    <t>CUST_00287</t>
  </si>
  <si>
    <t>TXN_02154</t>
  </si>
  <si>
    <t>TXN_02155</t>
  </si>
  <si>
    <t>TXN_02156</t>
  </si>
  <si>
    <t>TXN_02157</t>
  </si>
  <si>
    <t>TXN_02158</t>
  </si>
  <si>
    <t>TXN_02159</t>
  </si>
  <si>
    <t>TXN_02160</t>
  </si>
  <si>
    <t>CUST_00770</t>
  </si>
  <si>
    <t>TXN_02161</t>
  </si>
  <si>
    <t>TXN_02162</t>
  </si>
  <si>
    <t>TXN_02163</t>
  </si>
  <si>
    <t>TXN_02164</t>
  </si>
  <si>
    <t>TXN_02165</t>
  </si>
  <si>
    <t>TXN_02166</t>
  </si>
  <si>
    <t>TXN_02167</t>
  </si>
  <si>
    <t>TXN_02168</t>
  </si>
  <si>
    <t>TXN_02169</t>
  </si>
  <si>
    <t>TXN_02170</t>
  </si>
  <si>
    <t>TXN_02171</t>
  </si>
  <si>
    <t>TXN_02172</t>
  </si>
  <si>
    <t>TXN_02173</t>
  </si>
  <si>
    <t>TXN_02174</t>
  </si>
  <si>
    <t>TXN_02175</t>
  </si>
  <si>
    <t>TXN_02176</t>
  </si>
  <si>
    <t>TXN_02177</t>
  </si>
  <si>
    <t>TXN_02178</t>
  </si>
  <si>
    <t>TXN_02179</t>
  </si>
  <si>
    <t>TXN_02180</t>
  </si>
  <si>
    <t>TXN_02181</t>
  </si>
  <si>
    <t>CUST_00547</t>
  </si>
  <si>
    <t>TXN_02182</t>
  </si>
  <si>
    <t>TXN_02183</t>
  </si>
  <si>
    <t>TXN_02184</t>
  </si>
  <si>
    <t>CUST_00720</t>
  </si>
  <si>
    <t>TXN_02185</t>
  </si>
  <si>
    <t>TXN_02186</t>
  </si>
  <si>
    <t>TXN_02187</t>
  </si>
  <si>
    <t>TXN_02188</t>
  </si>
  <si>
    <t>TXN_02189</t>
  </si>
  <si>
    <t>TXN_02190</t>
  </si>
  <si>
    <t>TXN_02191</t>
  </si>
  <si>
    <t>CUST_00224</t>
  </si>
  <si>
    <t>TXN_02192</t>
  </si>
  <si>
    <t>TXN_02193</t>
  </si>
  <si>
    <t>TXN_02194</t>
  </si>
  <si>
    <t>TXN_02195</t>
  </si>
  <si>
    <t>TXN_02196</t>
  </si>
  <si>
    <t>TXN_02197</t>
  </si>
  <si>
    <t>TXN_02198</t>
  </si>
  <si>
    <t>TXN_02199</t>
  </si>
  <si>
    <t>TXN_02200</t>
  </si>
  <si>
    <t>CUST_00354</t>
  </si>
  <si>
    <t>TXN_02201</t>
  </si>
  <si>
    <t>CUST_00584</t>
  </si>
  <si>
    <t>TXN_02202</t>
  </si>
  <si>
    <t>TXN_02203</t>
  </si>
  <si>
    <t>TXN_02204</t>
  </si>
  <si>
    <t>CUST_00641</t>
  </si>
  <si>
    <t>TXN_02205</t>
  </si>
  <si>
    <t>TXN_02206</t>
  </si>
  <si>
    <t>TXN_02207</t>
  </si>
  <si>
    <t>TXN_02208</t>
  </si>
  <si>
    <t>CUST_00864</t>
  </si>
  <si>
    <t>TXN_02209</t>
  </si>
  <si>
    <t>TXN_02210</t>
  </si>
  <si>
    <t>TXN_02211</t>
  </si>
  <si>
    <t>TXN_02212</t>
  </si>
  <si>
    <t>TXN_02213</t>
  </si>
  <si>
    <t>TXN_02214</t>
  </si>
  <si>
    <t>TXN_02215</t>
  </si>
  <si>
    <t>TXN_02216</t>
  </si>
  <si>
    <t>CUST_00790</t>
  </si>
  <si>
    <t>TXN_02217</t>
  </si>
  <si>
    <t>TXN_02218</t>
  </si>
  <si>
    <t>TXN_02219</t>
  </si>
  <si>
    <t>TXN_02220</t>
  </si>
  <si>
    <t>TXN_02221</t>
  </si>
  <si>
    <t>TXN_02222</t>
  </si>
  <si>
    <t>TXN_02223</t>
  </si>
  <si>
    <t>TXN_02224</t>
  </si>
  <si>
    <t>TXN_02225</t>
  </si>
  <si>
    <t>TXN_02226</t>
  </si>
  <si>
    <t>TXN_02227</t>
  </si>
  <si>
    <t>TXN_02228</t>
  </si>
  <si>
    <t>TXN_02229</t>
  </si>
  <si>
    <t>TXN_02230</t>
  </si>
  <si>
    <t>TXN_02231</t>
  </si>
  <si>
    <t>TXN_02232</t>
  </si>
  <si>
    <t>TXN_02233</t>
  </si>
  <si>
    <t>TXN_02234</t>
  </si>
  <si>
    <t>CUST_00033</t>
  </si>
  <si>
    <t>TXN_02235</t>
  </si>
  <si>
    <t>CUST_00179</t>
  </si>
  <si>
    <t>TXN_02236</t>
  </si>
  <si>
    <t>TXN_02237</t>
  </si>
  <si>
    <t>TXN_02238</t>
  </si>
  <si>
    <t>CUST_00820</t>
  </si>
  <si>
    <t>TXN_02239</t>
  </si>
  <si>
    <t>TXN_02240</t>
  </si>
  <si>
    <t>TXN_02241</t>
  </si>
  <si>
    <t>TXN_02242</t>
  </si>
  <si>
    <t>TXN_02243</t>
  </si>
  <si>
    <t>CUST_00010</t>
  </si>
  <si>
    <t>TXN_02244</t>
  </si>
  <si>
    <t>TXN_02245</t>
  </si>
  <si>
    <t>TXN_02246</t>
  </si>
  <si>
    <t>TXN_02247</t>
  </si>
  <si>
    <t>TXN_02248</t>
  </si>
  <si>
    <t>TXN_02249</t>
  </si>
  <si>
    <t>CUST_00413</t>
  </si>
  <si>
    <t>TXN_02250</t>
  </si>
  <si>
    <t>TXN_02251</t>
  </si>
  <si>
    <t>TXN_02252</t>
  </si>
  <si>
    <t>TXN_02253</t>
  </si>
  <si>
    <t>TXN_02254</t>
  </si>
  <si>
    <t>TXN_02255</t>
  </si>
  <si>
    <t>TXN_02256</t>
  </si>
  <si>
    <t>CUST_00971</t>
  </si>
  <si>
    <t>TXN_02257</t>
  </si>
  <si>
    <t>TXN_02258</t>
  </si>
  <si>
    <t>TXN_02259</t>
  </si>
  <si>
    <t>TXN_02260</t>
  </si>
  <si>
    <t>CUST_00210</t>
  </si>
  <si>
    <t>TXN_02261</t>
  </si>
  <si>
    <t>TXN_02262</t>
  </si>
  <si>
    <t>TXN_02263</t>
  </si>
  <si>
    <t>TXN_02264</t>
  </si>
  <si>
    <t>TXN_02265</t>
  </si>
  <si>
    <t>TXN_02266</t>
  </si>
  <si>
    <t>TXN_02267</t>
  </si>
  <si>
    <t>TXN_02268</t>
  </si>
  <si>
    <t>TXN_02269</t>
  </si>
  <si>
    <t>TXN_02270</t>
  </si>
  <si>
    <t>TXN_02271</t>
  </si>
  <si>
    <t>TXN_02272</t>
  </si>
  <si>
    <t>TXN_02273</t>
  </si>
  <si>
    <t>TXN_02274</t>
  </si>
  <si>
    <t>TXN_02275</t>
  </si>
  <si>
    <t>TXN_02276</t>
  </si>
  <si>
    <t>TXN_02277</t>
  </si>
  <si>
    <t>TXN_02278</t>
  </si>
  <si>
    <t>TXN_02279</t>
  </si>
  <si>
    <t>CUST_00012</t>
  </si>
  <si>
    <t>TXN_02280</t>
  </si>
  <si>
    <t>TXN_02281</t>
  </si>
  <si>
    <t>TXN_02282</t>
  </si>
  <si>
    <t>CUST_00938</t>
  </si>
  <si>
    <t>TXN_02283</t>
  </si>
  <si>
    <t>TXN_02284</t>
  </si>
  <si>
    <t>TXN_02285</t>
  </si>
  <si>
    <t>TXN_02286</t>
  </si>
  <si>
    <t>TXN_02287</t>
  </si>
  <si>
    <t>TXN_02288</t>
  </si>
  <si>
    <t>TXN_02289</t>
  </si>
  <si>
    <t>TXN_02290</t>
  </si>
  <si>
    <t>TXN_02291</t>
  </si>
  <si>
    <t>TXN_02292</t>
  </si>
  <si>
    <t>TXN_02293</t>
  </si>
  <si>
    <t>TXN_02294</t>
  </si>
  <si>
    <t>TXN_02295</t>
  </si>
  <si>
    <t>TXN_02296</t>
  </si>
  <si>
    <t>TXN_02297</t>
  </si>
  <si>
    <t>TXN_02298</t>
  </si>
  <si>
    <t>CUST_00749</t>
  </si>
  <si>
    <t>TXN_02299</t>
  </si>
  <si>
    <t>TXN_02300</t>
  </si>
  <si>
    <t>TXN_02301</t>
  </si>
  <si>
    <t>TXN_02302</t>
  </si>
  <si>
    <t>TXN_02303</t>
  </si>
  <si>
    <t>TXN_02304</t>
  </si>
  <si>
    <t>TXN_02305</t>
  </si>
  <si>
    <t>TXN_02306</t>
  </si>
  <si>
    <t>CUST_00645</t>
  </si>
  <si>
    <t>TXN_02307</t>
  </si>
  <si>
    <t>TXN_02308</t>
  </si>
  <si>
    <t>TXN_02309</t>
  </si>
  <si>
    <t>TXN_02310</t>
  </si>
  <si>
    <t>TXN_02311</t>
  </si>
  <si>
    <t>TXN_02312</t>
  </si>
  <si>
    <t>TXN_02313</t>
  </si>
  <si>
    <t>TXN_02314</t>
  </si>
  <si>
    <t>TXN_02315</t>
  </si>
  <si>
    <t>CUST_00598</t>
  </si>
  <si>
    <t>TXN_02316</t>
  </si>
  <si>
    <t>TXN_02317</t>
  </si>
  <si>
    <t>TXN_02318</t>
  </si>
  <si>
    <t>TXN_02319</t>
  </si>
  <si>
    <t>TXN_02320</t>
  </si>
  <si>
    <t>TXN_02321</t>
  </si>
  <si>
    <t>CUST_00871</t>
  </si>
  <si>
    <t>TXN_02322</t>
  </si>
  <si>
    <t>TXN_02323</t>
  </si>
  <si>
    <t>TXN_02324</t>
  </si>
  <si>
    <t>TXN_02325</t>
  </si>
  <si>
    <t>TXN_02326</t>
  </si>
  <si>
    <t>TXN_02327</t>
  </si>
  <si>
    <t>TXN_02328</t>
  </si>
  <si>
    <t>TXN_02329</t>
  </si>
  <si>
    <t>TXN_02330</t>
  </si>
  <si>
    <t>TXN_02331</t>
  </si>
  <si>
    <t>TXN_02332</t>
  </si>
  <si>
    <t>TXN_02333</t>
  </si>
  <si>
    <t>TXN_02334</t>
  </si>
  <si>
    <t>TXN_02335</t>
  </si>
  <si>
    <t>TXN_02336</t>
  </si>
  <si>
    <t>TXN_02337</t>
  </si>
  <si>
    <t>TXN_02338</t>
  </si>
  <si>
    <t>TXN_02339</t>
  </si>
  <si>
    <t>TXN_02340</t>
  </si>
  <si>
    <t>TXN_02341</t>
  </si>
  <si>
    <t>TXN_02342</t>
  </si>
  <si>
    <t>TXN_02343</t>
  </si>
  <si>
    <t>TXN_02344</t>
  </si>
  <si>
    <t>TXN_02345</t>
  </si>
  <si>
    <t>TXN_02346</t>
  </si>
  <si>
    <t>TXN_02347</t>
  </si>
  <si>
    <t>TXN_02348</t>
  </si>
  <si>
    <t>TXN_02349</t>
  </si>
  <si>
    <t>TXN_02350</t>
  </si>
  <si>
    <t>TXN_02351</t>
  </si>
  <si>
    <t>TXN_02352</t>
  </si>
  <si>
    <t>TXN_02353</t>
  </si>
  <si>
    <t>CUST_00860</t>
  </si>
  <si>
    <t>TXN_02354</t>
  </si>
  <si>
    <t>TXN_02355</t>
  </si>
  <si>
    <t>TXN_02356</t>
  </si>
  <si>
    <t>TXN_02357</t>
  </si>
  <si>
    <t>TXN_02358</t>
  </si>
  <si>
    <t>TXN_02359</t>
  </si>
  <si>
    <t>TXN_02360</t>
  </si>
  <si>
    <t>TXN_02361</t>
  </si>
  <si>
    <t>TXN_02362</t>
  </si>
  <si>
    <t>TXN_02363</t>
  </si>
  <si>
    <t>TXN_02364</t>
  </si>
  <si>
    <t>CUST_00765</t>
  </si>
  <si>
    <t>TXN_02365</t>
  </si>
  <si>
    <t>TXN_02366</t>
  </si>
  <si>
    <t>TXN_02367</t>
  </si>
  <si>
    <t>TXN_02368</t>
  </si>
  <si>
    <t>TXN_02369</t>
  </si>
  <si>
    <t>TXN_02370</t>
  </si>
  <si>
    <t>TXN_02371</t>
  </si>
  <si>
    <t>CUST_00288</t>
  </si>
  <si>
    <t>TXN_02372</t>
  </si>
  <si>
    <t>TXN_02373</t>
  </si>
  <si>
    <t>TXN_02374</t>
  </si>
  <si>
    <t>TXN_02375</t>
  </si>
  <si>
    <t>CUST_00895</t>
  </si>
  <si>
    <t>TXN_02376</t>
  </si>
  <si>
    <t>TXN_02377</t>
  </si>
  <si>
    <t>TXN_02378</t>
  </si>
  <si>
    <t>TXN_02379</t>
  </si>
  <si>
    <t>TXN_02380</t>
  </si>
  <si>
    <t>TXN_02381</t>
  </si>
  <si>
    <t>TXN_02382</t>
  </si>
  <si>
    <t>TXN_02383</t>
  </si>
  <si>
    <t>TXN_02384</t>
  </si>
  <si>
    <t>CUST_00721</t>
  </si>
  <si>
    <t>TXN_02385</t>
  </si>
  <si>
    <t>TXN_02386</t>
  </si>
  <si>
    <t>TXN_02387</t>
  </si>
  <si>
    <t>TXN_02388</t>
  </si>
  <si>
    <t>CUST_00454</t>
  </si>
  <si>
    <t>TXN_02389</t>
  </si>
  <si>
    <t>TXN_02390</t>
  </si>
  <si>
    <t>TXN_02391</t>
  </si>
  <si>
    <t>TXN_02392</t>
  </si>
  <si>
    <t>TXN_02393</t>
  </si>
  <si>
    <t>TXN_02394</t>
  </si>
  <si>
    <t>TXN_02395</t>
  </si>
  <si>
    <t>TXN_02396</t>
  </si>
  <si>
    <t>TXN_02397</t>
  </si>
  <si>
    <t>TXN_02398</t>
  </si>
  <si>
    <t>TXN_02399</t>
  </si>
  <si>
    <t>TXN_02400</t>
  </si>
  <si>
    <t>TXN_02401</t>
  </si>
  <si>
    <t>CUST_00549</t>
  </si>
  <si>
    <t>TXN_02402</t>
  </si>
  <si>
    <t>TXN_02403</t>
  </si>
  <si>
    <t>TXN_02404</t>
  </si>
  <si>
    <t>TXN_02405</t>
  </si>
  <si>
    <t>TXN_02406</t>
  </si>
  <si>
    <t>TXN_02407</t>
  </si>
  <si>
    <t>TXN_02408</t>
  </si>
  <si>
    <t>TXN_02409</t>
  </si>
  <si>
    <t>TXN_02410</t>
  </si>
  <si>
    <t>CUST_00551</t>
  </si>
  <si>
    <t>TXN_02411</t>
  </si>
  <si>
    <t>TXN_02412</t>
  </si>
  <si>
    <t>TXN_02413</t>
  </si>
  <si>
    <t>CUST_00453</t>
  </si>
  <si>
    <t>TXN_02414</t>
  </si>
  <si>
    <t>CUST_00415</t>
  </si>
  <si>
    <t>TXN_02415</t>
  </si>
  <si>
    <t>CUST_00396</t>
  </si>
  <si>
    <t>TXN_02416</t>
  </si>
  <si>
    <t>TXN_02417</t>
  </si>
  <si>
    <t>TXN_02418</t>
  </si>
  <si>
    <t>TXN_02419</t>
  </si>
  <si>
    <t>TXN_02420</t>
  </si>
  <si>
    <t>TXN_02421</t>
  </si>
  <si>
    <t>TXN_02422</t>
  </si>
  <si>
    <t>TXN_02423</t>
  </si>
  <si>
    <t>TXN_02424</t>
  </si>
  <si>
    <t>TXN_02425</t>
  </si>
  <si>
    <t>TXN_02426</t>
  </si>
  <si>
    <t>TXN_02427</t>
  </si>
  <si>
    <t>TXN_02428</t>
  </si>
  <si>
    <t>TXN_02429</t>
  </si>
  <si>
    <t>TXN_02430</t>
  </si>
  <si>
    <t>TXN_02431</t>
  </si>
  <si>
    <t>TXN_02432</t>
  </si>
  <si>
    <t>TXN_02433</t>
  </si>
  <si>
    <t>CUST_00478</t>
  </si>
  <si>
    <t>TXN_02434</t>
  </si>
  <si>
    <t>CUST_00250</t>
  </si>
  <si>
    <t>TXN_02435</t>
  </si>
  <si>
    <t>TXN_02436</t>
  </si>
  <si>
    <t>TXN_02437</t>
  </si>
  <si>
    <t>TXN_02438</t>
  </si>
  <si>
    <t>TXN_02439</t>
  </si>
  <si>
    <t>TXN_02440</t>
  </si>
  <si>
    <t>CUST_00673</t>
  </si>
  <si>
    <t>TXN_02441</t>
  </si>
  <si>
    <t>TXN_02442</t>
  </si>
  <si>
    <t>TXN_02443</t>
  </si>
  <si>
    <t>TXN_02444</t>
  </si>
  <si>
    <t>TXN_02445</t>
  </si>
  <si>
    <t>TXN_02446</t>
  </si>
  <si>
    <t>TXN_02447</t>
  </si>
  <si>
    <t>TXN_02448</t>
  </si>
  <si>
    <t>TXN_02449</t>
  </si>
  <si>
    <t>TXN_02450</t>
  </si>
  <si>
    <t>TXN_02451</t>
  </si>
  <si>
    <t>CUST_00439</t>
  </si>
  <si>
    <t>TXN_02452</t>
  </si>
  <si>
    <t>TXN_02453</t>
  </si>
  <si>
    <t>TXN_02454</t>
  </si>
  <si>
    <t>TXN_02455</t>
  </si>
  <si>
    <t>TXN_02456</t>
  </si>
  <si>
    <t>TXN_02457</t>
  </si>
  <si>
    <t>TXN_02458</t>
  </si>
  <si>
    <t>TXN_02459</t>
  </si>
  <si>
    <t>TXN_02460</t>
  </si>
  <si>
    <t>TXN_02461</t>
  </si>
  <si>
    <t>TXN_02462</t>
  </si>
  <si>
    <t>TXN_02463</t>
  </si>
  <si>
    <t>TXN_02464</t>
  </si>
  <si>
    <t>TXN_02465</t>
  </si>
  <si>
    <t>TXN_02466</t>
  </si>
  <si>
    <t>TXN_02467</t>
  </si>
  <si>
    <t>CUST_00926</t>
  </si>
  <si>
    <t>TXN_02468</t>
  </si>
  <si>
    <t>TXN_02469</t>
  </si>
  <si>
    <t>TXN_02470</t>
  </si>
  <si>
    <t>TXN_02471</t>
  </si>
  <si>
    <t>TXN_02472</t>
  </si>
  <si>
    <t>TXN_02473</t>
  </si>
  <si>
    <t>TXN_02474</t>
  </si>
  <si>
    <t>CUST_00174</t>
  </si>
  <si>
    <t>TXN_02475</t>
  </si>
  <si>
    <t>TXN_02476</t>
  </si>
  <si>
    <t>TXN_02477</t>
  </si>
  <si>
    <t>TXN_02478</t>
  </si>
  <si>
    <t>TXN_02479</t>
  </si>
  <si>
    <t>TXN_02480</t>
  </si>
  <si>
    <t>CUST_00576</t>
  </si>
  <si>
    <t>TXN_02481</t>
  </si>
  <si>
    <t>CUST_00041</t>
  </si>
  <si>
    <t>TXN_02482</t>
  </si>
  <si>
    <t>TXN_02483</t>
  </si>
  <si>
    <t>TXN_02484</t>
  </si>
  <si>
    <t>TXN_02485</t>
  </si>
  <si>
    <t>TXN_02486</t>
  </si>
  <si>
    <t>TXN_02487</t>
  </si>
  <si>
    <t>CUST_00325</t>
  </si>
  <si>
    <t>TXN_02488</t>
  </si>
  <si>
    <t>CUST_00870</t>
  </si>
  <si>
    <t>TXN_02489</t>
  </si>
  <si>
    <t>TXN_02490</t>
  </si>
  <si>
    <t>TXN_02491</t>
  </si>
  <si>
    <t>TXN_02492</t>
  </si>
  <si>
    <t>TXN_02493</t>
  </si>
  <si>
    <t>TXN_02494</t>
  </si>
  <si>
    <t>TXN_02495</t>
  </si>
  <si>
    <t>TXN_02496</t>
  </si>
  <si>
    <t>TXN_02497</t>
  </si>
  <si>
    <t>TXN_02498</t>
  </si>
  <si>
    <t>TXN_02499</t>
  </si>
  <si>
    <t>TXN_02500</t>
  </si>
  <si>
    <t>TXN_02501</t>
  </si>
  <si>
    <t>TXN_02502</t>
  </si>
  <si>
    <t>TXN_02503</t>
  </si>
  <si>
    <t>TXN_02504</t>
  </si>
  <si>
    <t>TXN_02505</t>
  </si>
  <si>
    <t>TXN_02506</t>
  </si>
  <si>
    <t>TXN_02507</t>
  </si>
  <si>
    <t>TXN_02508</t>
  </si>
  <si>
    <t>TXN_02509</t>
  </si>
  <si>
    <t>TXN_02510</t>
  </si>
  <si>
    <t>TXN_02511</t>
  </si>
  <si>
    <t>TXN_02512</t>
  </si>
  <si>
    <t>TXN_02513</t>
  </si>
  <si>
    <t>TXN_02514</t>
  </si>
  <si>
    <t>TXN_02515</t>
  </si>
  <si>
    <t>TXN_02516</t>
  </si>
  <si>
    <t>TXN_02517</t>
  </si>
  <si>
    <t>TXN_02518</t>
  </si>
  <si>
    <t>TXN_02519</t>
  </si>
  <si>
    <t>TXN_02520</t>
  </si>
  <si>
    <t>TXN_02521</t>
  </si>
  <si>
    <t>TXN_02522</t>
  </si>
  <si>
    <t>TXN_02523</t>
  </si>
  <si>
    <t>TXN_02524</t>
  </si>
  <si>
    <t>TXN_02525</t>
  </si>
  <si>
    <t>TXN_02526</t>
  </si>
  <si>
    <t>TXN_02527</t>
  </si>
  <si>
    <t>CUST_00227</t>
  </si>
  <si>
    <t>TXN_02528</t>
  </si>
  <si>
    <t>TXN_02529</t>
  </si>
  <si>
    <t>TXN_02530</t>
  </si>
  <si>
    <t>TXN_02531</t>
  </si>
  <si>
    <t>TXN_02532</t>
  </si>
  <si>
    <t>TXN_02533</t>
  </si>
  <si>
    <t>TXN_02534</t>
  </si>
  <si>
    <t>TXN_02535</t>
  </si>
  <si>
    <t>TXN_02536</t>
  </si>
  <si>
    <t>TXN_02537</t>
  </si>
  <si>
    <t>TXN_02538</t>
  </si>
  <si>
    <t>TXN_02539</t>
  </si>
  <si>
    <t>TXN_02540</t>
  </si>
  <si>
    <t>TXN_02541</t>
  </si>
  <si>
    <t>TXN_02542</t>
  </si>
  <si>
    <t>CUST_00998</t>
  </si>
  <si>
    <t>TXN_02543</t>
  </si>
  <si>
    <t>TXN_02544</t>
  </si>
  <si>
    <t>TXN_02545</t>
  </si>
  <si>
    <t>TXN_02546</t>
  </si>
  <si>
    <t>TXN_02547</t>
  </si>
  <si>
    <t>TXN_02548</t>
  </si>
  <si>
    <t>CUST_00377</t>
  </si>
  <si>
    <t>TXN_02549</t>
  </si>
  <si>
    <t>TXN_02550</t>
  </si>
  <si>
    <t>TXN_02551</t>
  </si>
  <si>
    <t>TXN_02552</t>
  </si>
  <si>
    <t>TXN_02553</t>
  </si>
  <si>
    <t>TXN_02554</t>
  </si>
  <si>
    <t>TXN_02555</t>
  </si>
  <si>
    <t>TXN_02556</t>
  </si>
  <si>
    <t>TXN_02557</t>
  </si>
  <si>
    <t>CUST_00603</t>
  </si>
  <si>
    <t>TXN_02558</t>
  </si>
  <si>
    <t>TXN_02559</t>
  </si>
  <si>
    <t>TXN_02560</t>
  </si>
  <si>
    <t>TXN_02561</t>
  </si>
  <si>
    <t>TXN_02562</t>
  </si>
  <si>
    <t>TXN_02563</t>
  </si>
  <si>
    <t>TXN_02564</t>
  </si>
  <si>
    <t>TXN_02565</t>
  </si>
  <si>
    <t>CUST_00236</t>
  </si>
  <si>
    <t>TXN_02566</t>
  </si>
  <si>
    <t>TXN_02567</t>
  </si>
  <si>
    <t>TXN_02568</t>
  </si>
  <si>
    <t>TXN_02569</t>
  </si>
  <si>
    <t>TXN_02570</t>
  </si>
  <si>
    <t>TXN_02571</t>
  </si>
  <si>
    <t>TXN_02572</t>
  </si>
  <si>
    <t>CUST_00898</t>
  </si>
  <si>
    <t>TXN_02573</t>
  </si>
  <si>
    <t>TXN_02574</t>
  </si>
  <si>
    <t>CUST_00052</t>
  </si>
  <si>
    <t>TXN_02575</t>
  </si>
  <si>
    <t>TXN_02576</t>
  </si>
  <si>
    <t>TXN_02577</t>
  </si>
  <si>
    <t>TXN_02578</t>
  </si>
  <si>
    <t>TXN_02579</t>
  </si>
  <si>
    <t>TXN_02580</t>
  </si>
  <si>
    <t>TXN_02581</t>
  </si>
  <si>
    <t>TXN_02582</t>
  </si>
  <si>
    <t>TXN_02583</t>
  </si>
  <si>
    <t>TXN_02584</t>
  </si>
  <si>
    <t>TXN_02585</t>
  </si>
  <si>
    <t>TXN_02586</t>
  </si>
  <si>
    <t>TXN_02587</t>
  </si>
  <si>
    <t>TXN_02588</t>
  </si>
  <si>
    <t>TXN_02589</t>
  </si>
  <si>
    <t>TXN_02590</t>
  </si>
  <si>
    <t>TXN_02591</t>
  </si>
  <si>
    <t>TXN_02592</t>
  </si>
  <si>
    <t>TXN_02593</t>
  </si>
  <si>
    <t>TXN_02594</t>
  </si>
  <si>
    <t>CUST_00132</t>
  </si>
  <si>
    <t>TXN_02595</t>
  </si>
  <si>
    <t>CUST_00930</t>
  </si>
  <si>
    <t>TXN_02596</t>
  </si>
  <si>
    <t>TXN_02597</t>
  </si>
  <si>
    <t>TXN_02598</t>
  </si>
  <si>
    <t>TXN_02599</t>
  </si>
  <si>
    <t>TXN_02600</t>
  </si>
  <si>
    <t>TXN_02601</t>
  </si>
  <si>
    <t>TXN_02602</t>
  </si>
  <si>
    <t>TXN_02603</t>
  </si>
  <si>
    <t>TXN_02604</t>
  </si>
  <si>
    <t>CUST_00726</t>
  </si>
  <si>
    <t>TXN_02605</t>
  </si>
  <si>
    <t>TXN_02606</t>
  </si>
  <si>
    <t>TXN_02607</t>
  </si>
  <si>
    <t>TXN_02608</t>
  </si>
  <si>
    <t>TXN_02609</t>
  </si>
  <si>
    <t>TXN_02610</t>
  </si>
  <si>
    <t>TXN_02611</t>
  </si>
  <si>
    <t>TXN_02612</t>
  </si>
  <si>
    <t>CUST_00681</t>
  </si>
  <si>
    <t>TXN_02613</t>
  </si>
  <si>
    <t>TXN_02614</t>
  </si>
  <si>
    <t>TXN_02615</t>
  </si>
  <si>
    <t>TXN_02616</t>
  </si>
  <si>
    <t>TXN_02617</t>
  </si>
  <si>
    <t>TXN_02618</t>
  </si>
  <si>
    <t>TXN_02619</t>
  </si>
  <si>
    <t>TXN_02620</t>
  </si>
  <si>
    <t>TXN_02621</t>
  </si>
  <si>
    <t>TXN_02622</t>
  </si>
  <si>
    <t>TXN_02623</t>
  </si>
  <si>
    <t>TXN_02624</t>
  </si>
  <si>
    <t>TXN_02625</t>
  </si>
  <si>
    <t>CUST_00438</t>
  </si>
  <si>
    <t>TXN_02626</t>
  </si>
  <si>
    <t>TXN_02627</t>
  </si>
  <si>
    <t>TXN_02628</t>
  </si>
  <si>
    <t>TXN_02629</t>
  </si>
  <si>
    <t>TXN_02630</t>
  </si>
  <si>
    <t>TXN_02631</t>
  </si>
  <si>
    <t>TXN_02632</t>
  </si>
  <si>
    <t>TXN_02633</t>
  </si>
  <si>
    <t>TXN_02634</t>
  </si>
  <si>
    <t>TXN_02635</t>
  </si>
  <si>
    <t>TXN_02636</t>
  </si>
  <si>
    <t>TXN_02637</t>
  </si>
  <si>
    <t>TXN_02638</t>
  </si>
  <si>
    <t>TXN_02639</t>
  </si>
  <si>
    <t>CUST_00066</t>
  </si>
  <si>
    <t>TXN_02640</t>
  </si>
  <si>
    <t>TXN_02641</t>
  </si>
  <si>
    <t>TXN_02642</t>
  </si>
  <si>
    <t>TXN_02643</t>
  </si>
  <si>
    <t>CUST_00245</t>
  </si>
  <si>
    <t>TXN_02644</t>
  </si>
  <si>
    <t>TXN_02645</t>
  </si>
  <si>
    <t>TXN_02646</t>
  </si>
  <si>
    <t>TXN_02647</t>
  </si>
  <si>
    <t>TXN_02648</t>
  </si>
  <si>
    <t>TXN_02649</t>
  </si>
  <si>
    <t>TXN_02650</t>
  </si>
  <si>
    <t>TXN_02651</t>
  </si>
  <si>
    <t>TXN_02652</t>
  </si>
  <si>
    <t>TXN_02653</t>
  </si>
  <si>
    <t>TXN_02654</t>
  </si>
  <si>
    <t>TXN_02655</t>
  </si>
  <si>
    <t>TXN_02656</t>
  </si>
  <si>
    <t>TXN_02657</t>
  </si>
  <si>
    <t>TXN_02658</t>
  </si>
  <si>
    <t>TXN_02659</t>
  </si>
  <si>
    <t>TXN_02660</t>
  </si>
  <si>
    <t>TXN_02661</t>
  </si>
  <si>
    <t>TXN_02662</t>
  </si>
  <si>
    <t>TXN_02663</t>
  </si>
  <si>
    <t>TXN_02664</t>
  </si>
  <si>
    <t>TXN_02665</t>
  </si>
  <si>
    <t>TXN_02666</t>
  </si>
  <si>
    <t>TXN_02667</t>
  </si>
  <si>
    <t>TXN_02668</t>
  </si>
  <si>
    <t>TXN_02669</t>
  </si>
  <si>
    <t>TXN_02670</t>
  </si>
  <si>
    <t>TXN_02671</t>
  </si>
  <si>
    <t>TXN_02672</t>
  </si>
  <si>
    <t>TXN_02673</t>
  </si>
  <si>
    <t>TXN_02674</t>
  </si>
  <si>
    <t>TXN_02675</t>
  </si>
  <si>
    <t>TXN_02676</t>
  </si>
  <si>
    <t>TXN_02677</t>
  </si>
  <si>
    <t>TXN_02678</t>
  </si>
  <si>
    <t>TXN_02679</t>
  </si>
  <si>
    <t>TXN_02680</t>
  </si>
  <si>
    <t>TXN_02681</t>
  </si>
  <si>
    <t>TXN_02682</t>
  </si>
  <si>
    <t>TXN_02683</t>
  </si>
  <si>
    <t>TXN_02684</t>
  </si>
  <si>
    <t>TXN_02685</t>
  </si>
  <si>
    <t>TXN_02686</t>
  </si>
  <si>
    <t>TXN_02687</t>
  </si>
  <si>
    <t>CUST_00049</t>
  </si>
  <si>
    <t>TXN_02688</t>
  </si>
  <si>
    <t>CUST_00696</t>
  </si>
  <si>
    <t>TXN_02689</t>
  </si>
  <si>
    <t>TXN_02690</t>
  </si>
  <si>
    <t>TXN_02691</t>
  </si>
  <si>
    <t>TXN_02692</t>
  </si>
  <si>
    <t>TXN_02693</t>
  </si>
  <si>
    <t>TXN_02694</t>
  </si>
  <si>
    <t>TXN_02695</t>
  </si>
  <si>
    <t>TXN_02696</t>
  </si>
  <si>
    <t>TXN_02697</t>
  </si>
  <si>
    <t>TXN_02698</t>
  </si>
  <si>
    <t>TXN_02699</t>
  </si>
  <si>
    <t>TXN_02700</t>
  </si>
  <si>
    <t>TXN_02701</t>
  </si>
  <si>
    <t>TXN_02702</t>
  </si>
  <si>
    <t>TXN_02703</t>
  </si>
  <si>
    <t>TXN_02704</t>
  </si>
  <si>
    <t>CUST_00223</t>
  </si>
  <si>
    <t>TXN_02705</t>
  </si>
  <si>
    <t>TXN_02706</t>
  </si>
  <si>
    <t>TXN_02707</t>
  </si>
  <si>
    <t>TXN_02708</t>
  </si>
  <si>
    <t>TXN_02709</t>
  </si>
  <si>
    <t>TXN_02710</t>
  </si>
  <si>
    <t>TXN_02711</t>
  </si>
  <si>
    <t>TXN_02712</t>
  </si>
  <si>
    <t>TXN_02713</t>
  </si>
  <si>
    <t>TXN_02714</t>
  </si>
  <si>
    <t>TXN_02715</t>
  </si>
  <si>
    <t>TXN_02716</t>
  </si>
  <si>
    <t>TXN_02717</t>
  </si>
  <si>
    <t>TXN_02718</t>
  </si>
  <si>
    <t>TXN_02719</t>
  </si>
  <si>
    <t>TXN_02720</t>
  </si>
  <si>
    <t>TXN_02721</t>
  </si>
  <si>
    <t>TXN_02722</t>
  </si>
  <si>
    <t>TXN_02723</t>
  </si>
  <si>
    <t>TXN_02724</t>
  </si>
  <si>
    <t>TXN_02725</t>
  </si>
  <si>
    <t>TXN_02726</t>
  </si>
  <si>
    <t>TXN_02727</t>
  </si>
  <si>
    <t>TXN_02728</t>
  </si>
  <si>
    <t>TXN_02729</t>
  </si>
  <si>
    <t>TXN_02730</t>
  </si>
  <si>
    <t>TXN_02731</t>
  </si>
  <si>
    <t>TXN_02732</t>
  </si>
  <si>
    <t>TXN_02733</t>
  </si>
  <si>
    <t>TXN_02734</t>
  </si>
  <si>
    <t>TXN_02735</t>
  </si>
  <si>
    <t>TXN_02736</t>
  </si>
  <si>
    <t>CUST_00652</t>
  </si>
  <si>
    <t>TXN_02737</t>
  </si>
  <si>
    <t>TXN_02738</t>
  </si>
  <si>
    <t>TXN_02739</t>
  </si>
  <si>
    <t>TXN_02740</t>
  </si>
  <si>
    <t>TXN_02741</t>
  </si>
  <si>
    <t>TXN_02742</t>
  </si>
  <si>
    <t>TXN_02743</t>
  </si>
  <si>
    <t>TXN_02744</t>
  </si>
  <si>
    <t>CUST_00345</t>
  </si>
  <si>
    <t>TXN_02745</t>
  </si>
  <si>
    <t>TXN_02746</t>
  </si>
  <si>
    <t>TXN_02747</t>
  </si>
  <si>
    <t>TXN_02748</t>
  </si>
  <si>
    <t>TXN_02749</t>
  </si>
  <si>
    <t>TXN_02750</t>
  </si>
  <si>
    <t>TXN_02751</t>
  </si>
  <si>
    <t>TXN_02752</t>
  </si>
  <si>
    <t>TXN_02753</t>
  </si>
  <si>
    <t>TXN_02754</t>
  </si>
  <si>
    <t>TXN_02755</t>
  </si>
  <si>
    <t>TXN_02756</t>
  </si>
  <si>
    <t>TXN_02757</t>
  </si>
  <si>
    <t>TXN_02758</t>
  </si>
  <si>
    <t>TXN_02759</t>
  </si>
  <si>
    <t>TXN_02760</t>
  </si>
  <si>
    <t>TXN_02761</t>
  </si>
  <si>
    <t>TXN_02762</t>
  </si>
  <si>
    <t>TXN_02763</t>
  </si>
  <si>
    <t>TXN_02764</t>
  </si>
  <si>
    <t>TXN_02765</t>
  </si>
  <si>
    <t>TXN_02766</t>
  </si>
  <si>
    <t>TXN_02767</t>
  </si>
  <si>
    <t>TXN_02768</t>
  </si>
  <si>
    <t>TXN_02769</t>
  </si>
  <si>
    <t>TXN_02770</t>
  </si>
  <si>
    <t>TXN_02771</t>
  </si>
  <si>
    <t>TXN_02772</t>
  </si>
  <si>
    <t>TXN_02773</t>
  </si>
  <si>
    <t>TXN_02774</t>
  </si>
  <si>
    <t>TXN_02775</t>
  </si>
  <si>
    <t>TXN_02776</t>
  </si>
  <si>
    <t>TXN_02777</t>
  </si>
  <si>
    <t>TXN_02778</t>
  </si>
  <si>
    <t>TXN_02779</t>
  </si>
  <si>
    <t>TXN_02780</t>
  </si>
  <si>
    <t>TXN_02781</t>
  </si>
  <si>
    <t>TXN_02782</t>
  </si>
  <si>
    <t>TXN_02783</t>
  </si>
  <si>
    <t>TXN_02784</t>
  </si>
  <si>
    <t>TXN_02785</t>
  </si>
  <si>
    <t>TXN_02786</t>
  </si>
  <si>
    <t>TXN_02787</t>
  </si>
  <si>
    <t>TXN_02788</t>
  </si>
  <si>
    <t>TXN_02789</t>
  </si>
  <si>
    <t>TXN_02790</t>
  </si>
  <si>
    <t>CUST_00977</t>
  </si>
  <si>
    <t>TXN_02791</t>
  </si>
  <si>
    <t>TXN_02792</t>
  </si>
  <si>
    <t>TXN_02793</t>
  </si>
  <si>
    <t>TXN_02794</t>
  </si>
  <si>
    <t>CUST_00767</t>
  </si>
  <si>
    <t>TXN_02795</t>
  </si>
  <si>
    <t>TXN_02796</t>
  </si>
  <si>
    <t>TXN_02797</t>
  </si>
  <si>
    <t>TXN_02798</t>
  </si>
  <si>
    <t>TXN_02799</t>
  </si>
  <si>
    <t>TXN_02800</t>
  </si>
  <si>
    <t>TXN_02801</t>
  </si>
  <si>
    <t>TXN_02802</t>
  </si>
  <si>
    <t>TXN_02803</t>
  </si>
  <si>
    <t>TXN_02804</t>
  </si>
  <si>
    <t>TXN_02805</t>
  </si>
  <si>
    <t>TXN_02806</t>
  </si>
  <si>
    <t>TXN_02807</t>
  </si>
  <si>
    <t>TXN_02808</t>
  </si>
  <si>
    <t>CUST_00959</t>
  </si>
  <si>
    <t>TXN_02809</t>
  </si>
  <si>
    <t>TXN_02810</t>
  </si>
  <si>
    <t>TXN_02811</t>
  </si>
  <si>
    <t>TXN_02812</t>
  </si>
  <si>
    <t>TXN_02813</t>
  </si>
  <si>
    <t>TXN_02814</t>
  </si>
  <si>
    <t>TXN_02815</t>
  </si>
  <si>
    <t>TXN_02816</t>
  </si>
  <si>
    <t>TXN_02817</t>
  </si>
  <si>
    <t>CUST_00461</t>
  </si>
  <si>
    <t>TXN_02818</t>
  </si>
  <si>
    <t>TXN_02819</t>
  </si>
  <si>
    <t>CUST_00334</t>
  </si>
  <si>
    <t>TXN_02820</t>
  </si>
  <si>
    <t>TXN_02821</t>
  </si>
  <si>
    <t>TXN_02822</t>
  </si>
  <si>
    <t>TXN_02823</t>
  </si>
  <si>
    <t>TXN_02824</t>
  </si>
  <si>
    <t>TXN_02825</t>
  </si>
  <si>
    <t>TXN_02826</t>
  </si>
  <si>
    <t>TXN_02827</t>
  </si>
  <si>
    <t>TXN_02828</t>
  </si>
  <si>
    <t>TXN_02829</t>
  </si>
  <si>
    <t>TXN_02830</t>
  </si>
  <si>
    <t>TXN_02831</t>
  </si>
  <si>
    <t>TXN_02832</t>
  </si>
  <si>
    <t>TXN_02833</t>
  </si>
  <si>
    <t>TXN_02834</t>
  </si>
  <si>
    <t>TXN_02835</t>
  </si>
  <si>
    <t>TXN_02836</t>
  </si>
  <si>
    <t>TXN_02837</t>
  </si>
  <si>
    <t>TXN_02838</t>
  </si>
  <si>
    <t>TXN_02839</t>
  </si>
  <si>
    <t>TXN_02840</t>
  </si>
  <si>
    <t>TXN_02841</t>
  </si>
  <si>
    <t>TXN_02842</t>
  </si>
  <si>
    <t>TXN_02843</t>
  </si>
  <si>
    <t>TXN_02844</t>
  </si>
  <si>
    <t>TXN_02845</t>
  </si>
  <si>
    <t>TXN_02846</t>
  </si>
  <si>
    <t>TXN_02847</t>
  </si>
  <si>
    <t>TXN_02848</t>
  </si>
  <si>
    <t>TXN_02849</t>
  </si>
  <si>
    <t>TXN_02850</t>
  </si>
  <si>
    <t>TXN_02851</t>
  </si>
  <si>
    <t>TXN_02852</t>
  </si>
  <si>
    <t>TXN_02853</t>
  </si>
  <si>
    <t>TXN_02854</t>
  </si>
  <si>
    <t>TXN_02855</t>
  </si>
  <si>
    <t>TXN_02856</t>
  </si>
  <si>
    <t>TXN_02857</t>
  </si>
  <si>
    <t>TXN_02858</t>
  </si>
  <si>
    <t>TXN_02859</t>
  </si>
  <si>
    <t>TXN_02860</t>
  </si>
  <si>
    <t>TXN_02861</t>
  </si>
  <si>
    <t>TXN_02862</t>
  </si>
  <si>
    <t>TXN_02863</t>
  </si>
  <si>
    <t>TXN_02864</t>
  </si>
  <si>
    <t>TXN_02865</t>
  </si>
  <si>
    <t>TXN_02866</t>
  </si>
  <si>
    <t>TXN_02867</t>
  </si>
  <si>
    <t>TXN_02868</t>
  </si>
  <si>
    <t>CUST_00274</t>
  </si>
  <si>
    <t>TXN_02869</t>
  </si>
  <si>
    <t>TXN_02870</t>
  </si>
  <si>
    <t>TXN_02871</t>
  </si>
  <si>
    <t>TXN_02872</t>
  </si>
  <si>
    <t>TXN_02873</t>
  </si>
  <si>
    <t>TXN_02874</t>
  </si>
  <si>
    <t>TXN_02875</t>
  </si>
  <si>
    <t>TXN_02876</t>
  </si>
  <si>
    <t>CUST_00355</t>
  </si>
  <si>
    <t>TXN_02877</t>
  </si>
  <si>
    <t>TXN_02878</t>
  </si>
  <si>
    <t>TXN_02879</t>
  </si>
  <si>
    <t>TXN_02880</t>
  </si>
  <si>
    <t>TXN_02881</t>
  </si>
  <si>
    <t>TXN_02882</t>
  </si>
  <si>
    <t>TXN_02883</t>
  </si>
  <si>
    <t>TXN_02884</t>
  </si>
  <si>
    <t>TXN_02885</t>
  </si>
  <si>
    <t>TXN_02886</t>
  </si>
  <si>
    <t>TXN_02887</t>
  </si>
  <si>
    <t>TXN_02888</t>
  </si>
  <si>
    <t>TXN_02889</t>
  </si>
  <si>
    <t>TXN_02890</t>
  </si>
  <si>
    <t>TXN_02891</t>
  </si>
  <si>
    <t>TXN_02892</t>
  </si>
  <si>
    <t>CUST_00362</t>
  </si>
  <si>
    <t>TXN_02893</t>
  </si>
  <si>
    <t>TXN_02894</t>
  </si>
  <si>
    <t>TXN_02895</t>
  </si>
  <si>
    <t>CUST_00279</t>
  </si>
  <si>
    <t>TXN_02896</t>
  </si>
  <si>
    <t>TXN_02897</t>
  </si>
  <si>
    <t>TXN_02898</t>
  </si>
  <si>
    <t>TXN_02899</t>
  </si>
  <si>
    <t>TXN_02900</t>
  </si>
  <si>
    <t>TXN_02901</t>
  </si>
  <si>
    <t>TXN_02902</t>
  </si>
  <si>
    <t>TXN_02903</t>
  </si>
  <si>
    <t>TXN_02904</t>
  </si>
  <si>
    <t>TXN_02905</t>
  </si>
  <si>
    <t>TXN_02906</t>
  </si>
  <si>
    <t>TXN_02907</t>
  </si>
  <si>
    <t>TXN_02908</t>
  </si>
  <si>
    <t>TXN_02909</t>
  </si>
  <si>
    <t>TXN_02910</t>
  </si>
  <si>
    <t>TXN_02911</t>
  </si>
  <si>
    <t>TXN_02912</t>
  </si>
  <si>
    <t>TXN_02913</t>
  </si>
  <si>
    <t>TXN_02914</t>
  </si>
  <si>
    <t>TXN_02915</t>
  </si>
  <si>
    <t>TXN_02916</t>
  </si>
  <si>
    <t>TXN_02917</t>
  </si>
  <si>
    <t>TXN_02918</t>
  </si>
  <si>
    <t>TXN_02919</t>
  </si>
  <si>
    <t>TXN_02920</t>
  </si>
  <si>
    <t>TXN_02921</t>
  </si>
  <si>
    <t>TXN_02922</t>
  </si>
  <si>
    <t>TXN_02923</t>
  </si>
  <si>
    <t>TXN_02924</t>
  </si>
  <si>
    <t>TXN_02925</t>
  </si>
  <si>
    <t>TXN_02926</t>
  </si>
  <si>
    <t>TXN_02927</t>
  </si>
  <si>
    <t>TXN_02928</t>
  </si>
  <si>
    <t>TXN_02929</t>
  </si>
  <si>
    <t>TXN_02930</t>
  </si>
  <si>
    <t>TXN_02931</t>
  </si>
  <si>
    <t>TXN_02932</t>
  </si>
  <si>
    <t>TXN_02933</t>
  </si>
  <si>
    <t>TXN_02934</t>
  </si>
  <si>
    <t>TXN_02935</t>
  </si>
  <si>
    <t>TXN_02936</t>
  </si>
  <si>
    <t>TXN_02937</t>
  </si>
  <si>
    <t>TXN_02938</t>
  </si>
  <si>
    <t>TXN_02939</t>
  </si>
  <si>
    <t>TXN_02940</t>
  </si>
  <si>
    <t>CUST_00624</t>
  </si>
  <si>
    <t>TXN_02941</t>
  </si>
  <si>
    <t>TXN_02942</t>
  </si>
  <si>
    <t>TXN_02943</t>
  </si>
  <si>
    <t>TXN_02944</t>
  </si>
  <si>
    <t>TXN_02945</t>
  </si>
  <si>
    <t>TXN_02946</t>
  </si>
  <si>
    <t>TXN_02947</t>
  </si>
  <si>
    <t>TXN_02948</t>
  </si>
  <si>
    <t>TXN_02949</t>
  </si>
  <si>
    <t>TXN_02950</t>
  </si>
  <si>
    <t>TXN_02951</t>
  </si>
  <si>
    <t>TXN_02952</t>
  </si>
  <si>
    <t>TXN_02953</t>
  </si>
  <si>
    <t>TXN_02954</t>
  </si>
  <si>
    <t>TXN_02955</t>
  </si>
  <si>
    <t>TXN_02956</t>
  </si>
  <si>
    <t>TXN_02957</t>
  </si>
  <si>
    <t>TXN_02958</t>
  </si>
  <si>
    <t>CUST_00208</t>
  </si>
  <si>
    <t>TXN_02959</t>
  </si>
  <si>
    <t>TXN_02960</t>
  </si>
  <si>
    <t>TXN_02961</t>
  </si>
  <si>
    <t>TXN_02962</t>
  </si>
  <si>
    <t>CUST_00154</t>
  </si>
  <si>
    <t>TXN_02963</t>
  </si>
  <si>
    <t>TXN_02964</t>
  </si>
  <si>
    <t>TXN_02965</t>
  </si>
  <si>
    <t>TXN_02966</t>
  </si>
  <si>
    <t>CUST_00931</t>
  </si>
  <si>
    <t>TXN_02967</t>
  </si>
  <si>
    <t>TXN_02968</t>
  </si>
  <si>
    <t>TXN_02969</t>
  </si>
  <si>
    <t>TXN_02970</t>
  </si>
  <si>
    <t>TXN_02971</t>
  </si>
  <si>
    <t>TXN_02972</t>
  </si>
  <si>
    <t>TXN_02973</t>
  </si>
  <si>
    <t>TXN_02974</t>
  </si>
  <si>
    <t>TXN_02975</t>
  </si>
  <si>
    <t>TXN_02976</t>
  </si>
  <si>
    <t>TXN_02977</t>
  </si>
  <si>
    <t>TXN_02978</t>
  </si>
  <si>
    <t>CUST_00530</t>
  </si>
  <si>
    <t>TXN_02979</t>
  </si>
  <si>
    <t>TXN_02980</t>
  </si>
  <si>
    <t>TXN_02981</t>
  </si>
  <si>
    <t>TXN_02982</t>
  </si>
  <si>
    <t>TXN_02983</t>
  </si>
  <si>
    <t>TXN_02984</t>
  </si>
  <si>
    <t>TXN_02985</t>
  </si>
  <si>
    <t>TXN_02986</t>
  </si>
  <si>
    <t>TXN_02987</t>
  </si>
  <si>
    <t>TXN_02988</t>
  </si>
  <si>
    <t>TXN_02989</t>
  </si>
  <si>
    <t>TXN_02990</t>
  </si>
  <si>
    <t>TXN_02991</t>
  </si>
  <si>
    <t>TXN_02992</t>
  </si>
  <si>
    <t>TXN_02993</t>
  </si>
  <si>
    <t>TXN_02994</t>
  </si>
  <si>
    <t>TXN_02995</t>
  </si>
  <si>
    <t>TXN_02996</t>
  </si>
  <si>
    <t>TXN_02997</t>
  </si>
  <si>
    <t>TXN_02998</t>
  </si>
  <si>
    <t>TXN_02999</t>
  </si>
  <si>
    <t>TXN_03000</t>
  </si>
  <si>
    <t>TXN_03001</t>
  </si>
  <si>
    <t>TXN_03002</t>
  </si>
  <si>
    <t>TXN_03003</t>
  </si>
  <si>
    <t>TXN_03004</t>
  </si>
  <si>
    <t>TXN_03005</t>
  </si>
  <si>
    <t>TXN_03006</t>
  </si>
  <si>
    <t>TXN_03007</t>
  </si>
  <si>
    <t>TXN_03008</t>
  </si>
  <si>
    <t>TXN_03009</t>
  </si>
  <si>
    <t>TXN_03010</t>
  </si>
  <si>
    <t>TXN_03011</t>
  </si>
  <si>
    <t>TXN_03012</t>
  </si>
  <si>
    <t>TXN_03013</t>
  </si>
  <si>
    <t>TXN_03014</t>
  </si>
  <si>
    <t>TXN_03015</t>
  </si>
  <si>
    <t>TXN_03016</t>
  </si>
  <si>
    <t>TXN_03017</t>
  </si>
  <si>
    <t>TXN_03018</t>
  </si>
  <si>
    <t>TXN_03019</t>
  </si>
  <si>
    <t>TXN_03020</t>
  </si>
  <si>
    <t>TXN_03021</t>
  </si>
  <si>
    <t>TXN_03022</t>
  </si>
  <si>
    <t>TXN_03023</t>
  </si>
  <si>
    <t>TXN_03024</t>
  </si>
  <si>
    <t>TXN_03025</t>
  </si>
  <si>
    <t>CUST_00914</t>
  </si>
  <si>
    <t>TXN_03026</t>
  </si>
  <si>
    <t>TXN_03027</t>
  </si>
  <si>
    <t>CUST_00312</t>
  </si>
  <si>
    <t>TXN_03028</t>
  </si>
  <si>
    <t>TXN_03029</t>
  </si>
  <si>
    <t>TXN_03030</t>
  </si>
  <si>
    <t>TXN_03031</t>
  </si>
  <si>
    <t>TXN_03032</t>
  </si>
  <si>
    <t>TXN_03033</t>
  </si>
  <si>
    <t>TXN_03034</t>
  </si>
  <si>
    <t>CUST_00763</t>
  </si>
  <si>
    <t>TXN_03035</t>
  </si>
  <si>
    <t>TXN_03036</t>
  </si>
  <si>
    <t>TXN_03037</t>
  </si>
  <si>
    <t>TXN_03038</t>
  </si>
  <si>
    <t>TXN_03039</t>
  </si>
  <si>
    <t>TXN_03040</t>
  </si>
  <si>
    <t>TXN_03041</t>
  </si>
  <si>
    <t>TXN_03042</t>
  </si>
  <si>
    <t>TXN_03043</t>
  </si>
  <si>
    <t>TXN_03044</t>
  </si>
  <si>
    <t>TXN_03045</t>
  </si>
  <si>
    <t>TXN_03046</t>
  </si>
  <si>
    <t>TXN_03047</t>
  </si>
  <si>
    <t>TXN_03048</t>
  </si>
  <si>
    <t>TXN_03049</t>
  </si>
  <si>
    <t>TXN_03050</t>
  </si>
  <si>
    <t>TXN_03051</t>
  </si>
  <si>
    <t>TXN_03052</t>
  </si>
  <si>
    <t>TXN_03053</t>
  </si>
  <si>
    <t>TXN_03054</t>
  </si>
  <si>
    <t>TXN_03055</t>
  </si>
  <si>
    <t>TXN_03056</t>
  </si>
  <si>
    <t>TXN_03057</t>
  </si>
  <si>
    <t>TXN_03058</t>
  </si>
  <si>
    <t>TXN_03059</t>
  </si>
  <si>
    <t>TXN_03060</t>
  </si>
  <si>
    <t>TXN_03061</t>
  </si>
  <si>
    <t>TXN_03062</t>
  </si>
  <si>
    <t>TXN_03063</t>
  </si>
  <si>
    <t>TXN_03064</t>
  </si>
  <si>
    <t>TXN_03065</t>
  </si>
  <si>
    <t>TXN_03066</t>
  </si>
  <si>
    <t>TXN_03067</t>
  </si>
  <si>
    <t>TXN_03068</t>
  </si>
  <si>
    <t>TXN_03069</t>
  </si>
  <si>
    <t>TXN_03070</t>
  </si>
  <si>
    <t>TXN_03071</t>
  </si>
  <si>
    <t>TXN_03072</t>
  </si>
  <si>
    <t>TXN_03073</t>
  </si>
  <si>
    <t>CUST_00459</t>
  </si>
  <si>
    <t>TXN_03074</t>
  </si>
  <si>
    <t>TXN_03075</t>
  </si>
  <si>
    <t>CUST_00369</t>
  </si>
  <si>
    <t>TXN_03076</t>
  </si>
  <si>
    <t>TXN_03077</t>
  </si>
  <si>
    <t>TXN_03078</t>
  </si>
  <si>
    <t>TXN_03079</t>
  </si>
  <si>
    <t>TXN_03080</t>
  </si>
  <si>
    <t>TXN_03081</t>
  </si>
  <si>
    <t>TXN_03082</t>
  </si>
  <si>
    <t>TXN_03083</t>
  </si>
  <si>
    <t>TXN_03084</t>
  </si>
  <si>
    <t>TXN_03085</t>
  </si>
  <si>
    <t>TXN_03086</t>
  </si>
  <si>
    <t>TXN_03087</t>
  </si>
  <si>
    <t>TXN_03088</t>
  </si>
  <si>
    <t>TXN_03089</t>
  </si>
  <si>
    <t>TXN_03090</t>
  </si>
  <si>
    <t>TXN_03091</t>
  </si>
  <si>
    <t>TXN_03092</t>
  </si>
  <si>
    <t>TXN_03093</t>
  </si>
  <si>
    <t>TXN_03094</t>
  </si>
  <si>
    <t>TXN_03095</t>
  </si>
  <si>
    <t>TXN_03096</t>
  </si>
  <si>
    <t>TXN_03097</t>
  </si>
  <si>
    <t>TXN_03098</t>
  </si>
  <si>
    <t>TXN_03099</t>
  </si>
  <si>
    <t>TXN_03100</t>
  </si>
  <si>
    <t>TXN_03101</t>
  </si>
  <si>
    <t>TXN_03102</t>
  </si>
  <si>
    <t>TXN_03103</t>
  </si>
  <si>
    <t>TXN_03104</t>
  </si>
  <si>
    <t>TXN_03105</t>
  </si>
  <si>
    <t>TXN_03106</t>
  </si>
  <si>
    <t>TXN_03107</t>
  </si>
  <si>
    <t>TXN_03108</t>
  </si>
  <si>
    <t>TXN_03109</t>
  </si>
  <si>
    <t>TXN_03110</t>
  </si>
  <si>
    <t>TXN_03111</t>
  </si>
  <si>
    <t>TXN_03112</t>
  </si>
  <si>
    <t>TXN_03113</t>
  </si>
  <si>
    <t>TXN_03114</t>
  </si>
  <si>
    <t>TXN_03115</t>
  </si>
  <si>
    <t>TXN_03116</t>
  </si>
  <si>
    <t>TXN_03117</t>
  </si>
  <si>
    <t>TXN_03118</t>
  </si>
  <si>
    <t>TXN_03119</t>
  </si>
  <si>
    <t>TXN_03120</t>
  </si>
  <si>
    <t>TXN_03121</t>
  </si>
  <si>
    <t>TXN_03122</t>
  </si>
  <si>
    <t>TXN_03123</t>
  </si>
  <si>
    <t>TXN_03124</t>
  </si>
  <si>
    <t>TXN_03125</t>
  </si>
  <si>
    <t>TXN_03126</t>
  </si>
  <si>
    <t>TXN_03127</t>
  </si>
  <si>
    <t>TXN_03128</t>
  </si>
  <si>
    <t>TXN_03129</t>
  </si>
  <si>
    <t>TXN_03130</t>
  </si>
  <si>
    <t>TXN_03131</t>
  </si>
  <si>
    <t>TXN_03132</t>
  </si>
  <si>
    <t>TXN_03133</t>
  </si>
  <si>
    <t>TXN_03134</t>
  </si>
  <si>
    <t>TXN_03135</t>
  </si>
  <si>
    <t>TXN_03136</t>
  </si>
  <si>
    <t>TXN_03137</t>
  </si>
  <si>
    <t>TXN_03138</t>
  </si>
  <si>
    <t>TXN_03139</t>
  </si>
  <si>
    <t>TXN_03140</t>
  </si>
  <si>
    <t>TXN_03141</t>
  </si>
  <si>
    <t>TXN_03142</t>
  </si>
  <si>
    <t>TXN_03143</t>
  </si>
  <si>
    <t>TXN_03144</t>
  </si>
  <si>
    <t>TXN_03145</t>
  </si>
  <si>
    <t>TXN_03146</t>
  </si>
  <si>
    <t>TXN_03147</t>
  </si>
  <si>
    <t>TXN_03148</t>
  </si>
  <si>
    <t>TXN_03149</t>
  </si>
  <si>
    <t>TXN_03150</t>
  </si>
  <si>
    <t>TXN_03151</t>
  </si>
  <si>
    <t>TXN_03152</t>
  </si>
  <si>
    <t>TXN_03153</t>
  </si>
  <si>
    <t>TXN_03154</t>
  </si>
  <si>
    <t>TXN_03155</t>
  </si>
  <si>
    <t>TXN_03156</t>
  </si>
  <si>
    <t>TXN_03157</t>
  </si>
  <si>
    <t>TXN_03158</t>
  </si>
  <si>
    <t>TXN_03159</t>
  </si>
  <si>
    <t>TXN_03160</t>
  </si>
  <si>
    <t>TXN_03161</t>
  </si>
  <si>
    <t>TXN_03162</t>
  </si>
  <si>
    <t>TXN_03163</t>
  </si>
  <si>
    <t>TXN_03164</t>
  </si>
  <si>
    <t>TXN_03165</t>
  </si>
  <si>
    <t>TXN_03166</t>
  </si>
  <si>
    <t>TXN_03167</t>
  </si>
  <si>
    <t>TXN_03168</t>
  </si>
  <si>
    <t>TXN_03169</t>
  </si>
  <si>
    <t>TXN_03170</t>
  </si>
  <si>
    <t>TXN_03171</t>
  </si>
  <si>
    <t>TXN_03172</t>
  </si>
  <si>
    <t>TXN_03173</t>
  </si>
  <si>
    <t>TXN_03174</t>
  </si>
  <si>
    <t>TXN_03175</t>
  </si>
  <si>
    <t>TXN_03176</t>
  </si>
  <si>
    <t>TXN_03177</t>
  </si>
  <si>
    <t>TXN_03178</t>
  </si>
  <si>
    <t>TXN_03179</t>
  </si>
  <si>
    <t>TXN_03180</t>
  </si>
  <si>
    <t>CUST_00703</t>
  </si>
  <si>
    <t>TXN_03181</t>
  </si>
  <si>
    <t>TXN_03182</t>
  </si>
  <si>
    <t>TXN_03183</t>
  </si>
  <si>
    <t>TXN_03184</t>
  </si>
  <si>
    <t>TXN_03185</t>
  </si>
  <si>
    <t>TXN_03186</t>
  </si>
  <si>
    <t>TXN_03187</t>
  </si>
  <si>
    <t>TXN_03188</t>
  </si>
  <si>
    <t>TXN_03189</t>
  </si>
  <si>
    <t>TXN_03190</t>
  </si>
  <si>
    <t>TXN_03191</t>
  </si>
  <si>
    <t>TXN_03192</t>
  </si>
  <si>
    <t>TXN_03193</t>
  </si>
  <si>
    <t>TXN_03194</t>
  </si>
  <si>
    <t>TXN_03195</t>
  </si>
  <si>
    <t>TXN_03196</t>
  </si>
  <si>
    <t>TXN_03197</t>
  </si>
  <si>
    <t>TXN_03198</t>
  </si>
  <si>
    <t>TXN_03199</t>
  </si>
  <si>
    <t>TXN_03200</t>
  </si>
  <si>
    <t>TXN_03201</t>
  </si>
  <si>
    <t>TXN_03202</t>
  </si>
  <si>
    <t>TXN_03203</t>
  </si>
  <si>
    <t>TXN_03204</t>
  </si>
  <si>
    <t>TXN_03205</t>
  </si>
  <si>
    <t>TXN_03206</t>
  </si>
  <si>
    <t>TXN_03207</t>
  </si>
  <si>
    <t>TXN_03208</t>
  </si>
  <si>
    <t>TXN_03209</t>
  </si>
  <si>
    <t>TXN_03210</t>
  </si>
  <si>
    <t>TXN_03211</t>
  </si>
  <si>
    <t>TXN_03212</t>
  </si>
  <si>
    <t>TXN_03213</t>
  </si>
  <si>
    <t>TXN_03214</t>
  </si>
  <si>
    <t>TXN_03215</t>
  </si>
  <si>
    <t>TXN_03216</t>
  </si>
  <si>
    <t>TXN_03217</t>
  </si>
  <si>
    <t>TXN_03218</t>
  </si>
  <si>
    <t>TXN_03219</t>
  </si>
  <si>
    <t>TXN_03220</t>
  </si>
  <si>
    <t>TXN_03221</t>
  </si>
  <si>
    <t>TXN_03222</t>
  </si>
  <si>
    <t>TXN_03223</t>
  </si>
  <si>
    <t>TXN_03224</t>
  </si>
  <si>
    <t>TXN_03225</t>
  </si>
  <si>
    <t>TXN_03226</t>
  </si>
  <si>
    <t>TXN_03227</t>
  </si>
  <si>
    <t>TXN_03228</t>
  </si>
  <si>
    <t>TXN_03229</t>
  </si>
  <si>
    <t>TXN_03230</t>
  </si>
  <si>
    <t>TXN_03231</t>
  </si>
  <si>
    <t>TXN_03232</t>
  </si>
  <si>
    <t>TXN_03233</t>
  </si>
  <si>
    <t>CUST_00531</t>
  </si>
  <si>
    <t>TXN_03234</t>
  </si>
  <si>
    <t>TXN_03235</t>
  </si>
  <si>
    <t>TXN_03236</t>
  </si>
  <si>
    <t>TXN_03237</t>
  </si>
  <si>
    <t>TXN_03238</t>
  </si>
  <si>
    <t>TXN_03239</t>
  </si>
  <si>
    <t>TXN_03240</t>
  </si>
  <si>
    <t>TXN_03241</t>
  </si>
  <si>
    <t>TXN_03242</t>
  </si>
  <si>
    <t>TXN_03243</t>
  </si>
  <si>
    <t>TXN_03244</t>
  </si>
  <si>
    <t>TXN_03245</t>
  </si>
  <si>
    <t>TXN_03246</t>
  </si>
  <si>
    <t>TXN_03247</t>
  </si>
  <si>
    <t>TXN_03248</t>
  </si>
  <si>
    <t>TXN_03249</t>
  </si>
  <si>
    <t>TXN_03250</t>
  </si>
  <si>
    <t>TXN_03251</t>
  </si>
  <si>
    <t>TXN_03252</t>
  </si>
  <si>
    <t>TXN_03253</t>
  </si>
  <si>
    <t>TXN_03254</t>
  </si>
  <si>
    <t>TXN_03255</t>
  </si>
  <si>
    <t>TXN_03256</t>
  </si>
  <si>
    <t>TXN_03257</t>
  </si>
  <si>
    <t>TXN_03258</t>
  </si>
  <si>
    <t>TXN_03259</t>
  </si>
  <si>
    <t>TXN_03260</t>
  </si>
  <si>
    <t>TXN_03261</t>
  </si>
  <si>
    <t>TXN_03262</t>
  </si>
  <si>
    <t>TXN_03263</t>
  </si>
  <si>
    <t>CUST_00040</t>
  </si>
  <si>
    <t>TXN_03264</t>
  </si>
  <si>
    <t>TXN_03265</t>
  </si>
  <si>
    <t>TXN_03266</t>
  </si>
  <si>
    <t>TXN_03267</t>
  </si>
  <si>
    <t>TXN_03268</t>
  </si>
  <si>
    <t>TXN_03269</t>
  </si>
  <si>
    <t>TXN_03270</t>
  </si>
  <si>
    <t>TXN_03271</t>
  </si>
  <si>
    <t>TXN_03272</t>
  </si>
  <si>
    <t>TXN_03273</t>
  </si>
  <si>
    <t>TXN_03274</t>
  </si>
  <si>
    <t>TXN_03275</t>
  </si>
  <si>
    <t>TXN_03276</t>
  </si>
  <si>
    <t>TXN_03277</t>
  </si>
  <si>
    <t>TXN_03278</t>
  </si>
  <si>
    <t>TXN_03279</t>
  </si>
  <si>
    <t>TXN_03280</t>
  </si>
  <si>
    <t>TXN_03281</t>
  </si>
  <si>
    <t>TXN_03282</t>
  </si>
  <si>
    <t>TXN_03283</t>
  </si>
  <si>
    <t>TXN_03284</t>
  </si>
  <si>
    <t>TXN_03285</t>
  </si>
  <si>
    <t>TXN_03286</t>
  </si>
  <si>
    <t>TXN_03287</t>
  </si>
  <si>
    <t>TXN_03288</t>
  </si>
  <si>
    <t>TXN_03289</t>
  </si>
  <si>
    <t>TXN_03290</t>
  </si>
  <si>
    <t>TXN_03291</t>
  </si>
  <si>
    <t>TXN_03292</t>
  </si>
  <si>
    <t>TXN_03293</t>
  </si>
  <si>
    <t>TXN_03294</t>
  </si>
  <si>
    <t>TXN_03295</t>
  </si>
  <si>
    <t>TXN_03296</t>
  </si>
  <si>
    <t>TXN_03297</t>
  </si>
  <si>
    <t>TXN_03298</t>
  </si>
  <si>
    <t>TXN_03299</t>
  </si>
  <si>
    <t>TXN_03300</t>
  </si>
  <si>
    <t>TXN_03301</t>
  </si>
  <si>
    <t>TXN_03302</t>
  </si>
  <si>
    <t>TXN_03303</t>
  </si>
  <si>
    <t>TXN_03304</t>
  </si>
  <si>
    <t>TXN_03305</t>
  </si>
  <si>
    <t>TXN_03306</t>
  </si>
  <si>
    <t>TXN_03307</t>
  </si>
  <si>
    <t>TXN_03308</t>
  </si>
  <si>
    <t>TXN_03309</t>
  </si>
  <si>
    <t>TXN_03310</t>
  </si>
  <si>
    <t>TXN_03311</t>
  </si>
  <si>
    <t>TXN_03312</t>
  </si>
  <si>
    <t>TXN_03313</t>
  </si>
  <si>
    <t>TXN_03314</t>
  </si>
  <si>
    <t>TXN_03315</t>
  </si>
  <si>
    <t>TXN_03316</t>
  </si>
  <si>
    <t>TXN_03317</t>
  </si>
  <si>
    <t>TXN_03318</t>
  </si>
  <si>
    <t>TXN_03319</t>
  </si>
  <si>
    <t>TXN_03320</t>
  </si>
  <si>
    <t>TXN_03321</t>
  </si>
  <si>
    <t>TXN_03322</t>
  </si>
  <si>
    <t>TXN_03323</t>
  </si>
  <si>
    <t>TXN_03324</t>
  </si>
  <si>
    <t>TXN_03325</t>
  </si>
  <si>
    <t>TXN_03326</t>
  </si>
  <si>
    <t>TXN_03327</t>
  </si>
  <si>
    <t>TXN_03328</t>
  </si>
  <si>
    <t>TXN_03329</t>
  </si>
  <si>
    <t>TXN_03330</t>
  </si>
  <si>
    <t>TXN_03331</t>
  </si>
  <si>
    <t>TXN_03332</t>
  </si>
  <si>
    <t>TXN_03333</t>
  </si>
  <si>
    <t>TXN_03334</t>
  </si>
  <si>
    <t>TXN_03335</t>
  </si>
  <si>
    <t>TXN_03336</t>
  </si>
  <si>
    <t>TXN_03337</t>
  </si>
  <si>
    <t>TXN_03338</t>
  </si>
  <si>
    <t>TXN_03339</t>
  </si>
  <si>
    <t>TXN_03340</t>
  </si>
  <si>
    <t>TXN_03341</t>
  </si>
  <si>
    <t>TXN_03342</t>
  </si>
  <si>
    <t>TXN_03343</t>
  </si>
  <si>
    <t>TXN_03344</t>
  </si>
  <si>
    <t>TXN_03345</t>
  </si>
  <si>
    <t>TXN_03346</t>
  </si>
  <si>
    <t>TXN_03347</t>
  </si>
  <si>
    <t>TXN_03348</t>
  </si>
  <si>
    <t>TXN_03349</t>
  </si>
  <si>
    <t>TXN_03350</t>
  </si>
  <si>
    <t>TXN_03351</t>
  </si>
  <si>
    <t>TXN_03352</t>
  </si>
  <si>
    <t>TXN_03353</t>
  </si>
  <si>
    <t>TXN_03354</t>
  </si>
  <si>
    <t>TXN_03355</t>
  </si>
  <si>
    <t>TXN_03356</t>
  </si>
  <si>
    <t>TXN_03357</t>
  </si>
  <si>
    <t>TXN_03358</t>
  </si>
  <si>
    <t>TXN_03359</t>
  </si>
  <si>
    <t>TXN_03360</t>
  </si>
  <si>
    <t>TXN_03361</t>
  </si>
  <si>
    <t>TXN_03362</t>
  </si>
  <si>
    <t>TXN_03363</t>
  </si>
  <si>
    <t>TXN_03364</t>
  </si>
  <si>
    <t>CUST_00303</t>
  </si>
  <si>
    <t>TXN_03365</t>
  </si>
  <si>
    <t>TXN_03366</t>
  </si>
  <si>
    <t>TXN_03367</t>
  </si>
  <si>
    <t>TXN_03368</t>
  </si>
  <si>
    <t>TXN_03369</t>
  </si>
  <si>
    <t>TXN_03370</t>
  </si>
  <si>
    <t>TXN_03371</t>
  </si>
  <si>
    <t>TXN_03372</t>
  </si>
  <si>
    <t>TXN_03373</t>
  </si>
  <si>
    <t>TXN_03374</t>
  </si>
  <si>
    <t>TXN_03375</t>
  </si>
  <si>
    <t>TXN_03376</t>
  </si>
  <si>
    <t>TXN_03377</t>
  </si>
  <si>
    <t>TXN_03378</t>
  </si>
  <si>
    <t>TXN_03379</t>
  </si>
  <si>
    <t>TXN_03380</t>
  </si>
  <si>
    <t>TXN_03381</t>
  </si>
  <si>
    <t>TXN_03382</t>
  </si>
  <si>
    <t>TXN_03383</t>
  </si>
  <si>
    <t>TXN_03384</t>
  </si>
  <si>
    <t>CUST_00815</t>
  </si>
  <si>
    <t>TXN_03385</t>
  </si>
  <si>
    <t>TXN_03386</t>
  </si>
  <si>
    <t>TXN_03387</t>
  </si>
  <si>
    <t>TXN_03388</t>
  </si>
  <si>
    <t>TXN_03389</t>
  </si>
  <si>
    <t>TXN_03390</t>
  </si>
  <si>
    <t>TXN_03391</t>
  </si>
  <si>
    <t>TXN_03392</t>
  </si>
  <si>
    <t>TXN_03393</t>
  </si>
  <si>
    <t>TXN_03394</t>
  </si>
  <si>
    <t>TXN_03395</t>
  </si>
  <si>
    <t>TXN_03396</t>
  </si>
  <si>
    <t>TXN_03397</t>
  </si>
  <si>
    <t>TXN_03398</t>
  </si>
  <si>
    <t>TXN_03399</t>
  </si>
  <si>
    <t>TXN_03400</t>
  </si>
  <si>
    <t>TXN_03401</t>
  </si>
  <si>
    <t>TXN_03402</t>
  </si>
  <si>
    <t>CUST_00071</t>
  </si>
  <si>
    <t>TXN_03403</t>
  </si>
  <si>
    <t>TXN_03404</t>
  </si>
  <si>
    <t>TXN_03405</t>
  </si>
  <si>
    <t>TXN_03406</t>
  </si>
  <si>
    <t>TXN_03407</t>
  </si>
  <si>
    <t>TXN_03408</t>
  </si>
  <si>
    <t>TXN_03409</t>
  </si>
  <si>
    <t>TXN_03410</t>
  </si>
  <si>
    <t>TXN_03411</t>
  </si>
  <si>
    <t>TXN_03412</t>
  </si>
  <si>
    <t>TXN_03413</t>
  </si>
  <si>
    <t>TXN_03414</t>
  </si>
  <si>
    <t>TXN_03415</t>
  </si>
  <si>
    <t>TXN_03416</t>
  </si>
  <si>
    <t>TXN_03417</t>
  </si>
  <si>
    <t>TXN_03418</t>
  </si>
  <si>
    <t>TXN_03419</t>
  </si>
  <si>
    <t>TXN_03420</t>
  </si>
  <si>
    <t>TXN_03421</t>
  </si>
  <si>
    <t>TXN_03422</t>
  </si>
  <si>
    <t>TXN_03423</t>
  </si>
  <si>
    <t>TXN_03424</t>
  </si>
  <si>
    <t>TXN_03425</t>
  </si>
  <si>
    <t>TXN_03426</t>
  </si>
  <si>
    <t>TXN_03427</t>
  </si>
  <si>
    <t>TXN_03428</t>
  </si>
  <si>
    <t>TXN_03429</t>
  </si>
  <si>
    <t>TXN_03430</t>
  </si>
  <si>
    <t>TXN_03431</t>
  </si>
  <si>
    <t>TXN_03432</t>
  </si>
  <si>
    <t>TXN_03433</t>
  </si>
  <si>
    <t>TXN_03434</t>
  </si>
  <si>
    <t>TXN_03435</t>
  </si>
  <si>
    <t>TXN_03436</t>
  </si>
  <si>
    <t>TXN_03437</t>
  </si>
  <si>
    <t>TXN_03438</t>
  </si>
  <si>
    <t>TXN_03439</t>
  </si>
  <si>
    <t>TXN_03440</t>
  </si>
  <si>
    <t>TXN_03441</t>
  </si>
  <si>
    <t>TXN_03442</t>
  </si>
  <si>
    <t>TXN_03443</t>
  </si>
  <si>
    <t>TXN_03444</t>
  </si>
  <si>
    <t>TXN_03445</t>
  </si>
  <si>
    <t>TXN_03446</t>
  </si>
  <si>
    <t>TXN_03447</t>
  </si>
  <si>
    <t>TXN_03448</t>
  </si>
  <si>
    <t>TXN_03449</t>
  </si>
  <si>
    <t>TXN_03450</t>
  </si>
  <si>
    <t>TXN_03451</t>
  </si>
  <si>
    <t>TXN_03452</t>
  </si>
  <si>
    <t>CUST_00329</t>
  </si>
  <si>
    <t>TXN_03453</t>
  </si>
  <si>
    <t>TXN_03454</t>
  </si>
  <si>
    <t>TXN_03455</t>
  </si>
  <si>
    <t>TXN_03456</t>
  </si>
  <si>
    <t>TXN_03457</t>
  </si>
  <si>
    <t>TXN_03458</t>
  </si>
  <si>
    <t>TXN_03459</t>
  </si>
  <si>
    <t>TXN_03460</t>
  </si>
  <si>
    <t>TXN_03461</t>
  </si>
  <si>
    <t>TXN_03462</t>
  </si>
  <si>
    <t>TXN_03463</t>
  </si>
  <si>
    <t>TXN_03464</t>
  </si>
  <si>
    <t>TXN_03465</t>
  </si>
  <si>
    <t>TXN_03466</t>
  </si>
  <si>
    <t>CUST_00019</t>
  </si>
  <si>
    <t>TXN_03467</t>
  </si>
  <si>
    <t>TXN_03468</t>
  </si>
  <si>
    <t>TXN_03469</t>
  </si>
  <si>
    <t>TXN_03470</t>
  </si>
  <si>
    <t>TXN_03471</t>
  </si>
  <si>
    <t>TXN_03472</t>
  </si>
  <si>
    <t>TXN_03473</t>
  </si>
  <si>
    <t>TXN_03474</t>
  </si>
  <si>
    <t>TXN_03475</t>
  </si>
  <si>
    <t>TXN_03476</t>
  </si>
  <si>
    <t>TXN_03477</t>
  </si>
  <si>
    <t>TXN_03478</t>
  </si>
  <si>
    <t>TXN_03479</t>
  </si>
  <si>
    <t>TXN_03480</t>
  </si>
  <si>
    <t>TXN_03481</t>
  </si>
  <si>
    <t>TXN_03482</t>
  </si>
  <si>
    <t>TXN_03483</t>
  </si>
  <si>
    <t>TXN_03484</t>
  </si>
  <si>
    <t>TXN_03485</t>
  </si>
  <si>
    <t>TXN_03486</t>
  </si>
  <si>
    <t>TXN_03487</t>
  </si>
  <si>
    <t>TXN_03488</t>
  </si>
  <si>
    <t>TXN_03489</t>
  </si>
  <si>
    <t>TXN_03490</t>
  </si>
  <si>
    <t>TXN_03491</t>
  </si>
  <si>
    <t>TXN_03492</t>
  </si>
  <si>
    <t>TXN_03493</t>
  </si>
  <si>
    <t>TXN_03494</t>
  </si>
  <si>
    <t>TXN_03495</t>
  </si>
  <si>
    <t>TXN_03496</t>
  </si>
  <si>
    <t>TXN_03497</t>
  </si>
  <si>
    <t>TXN_03498</t>
  </si>
  <si>
    <t>TXN_03499</t>
  </si>
  <si>
    <t>TXN_03500</t>
  </si>
  <si>
    <t>TXN_03501</t>
  </si>
  <si>
    <t>TXN_03502</t>
  </si>
  <si>
    <t>TXN_03503</t>
  </si>
  <si>
    <t>TXN_03504</t>
  </si>
  <si>
    <t>TXN_03505</t>
  </si>
  <si>
    <t>TXN_03506</t>
  </si>
  <si>
    <t>TXN_03507</t>
  </si>
  <si>
    <t>TXN_03508</t>
  </si>
  <si>
    <t>TXN_03509</t>
  </si>
  <si>
    <t>TXN_03510</t>
  </si>
  <si>
    <t>TXN_03511</t>
  </si>
  <si>
    <t>TXN_03512</t>
  </si>
  <si>
    <t>TXN_03513</t>
  </si>
  <si>
    <t>TXN_03514</t>
  </si>
  <si>
    <t>TXN_03515</t>
  </si>
  <si>
    <t>TXN_03516</t>
  </si>
  <si>
    <t>TXN_03517</t>
  </si>
  <si>
    <t>TXN_03518</t>
  </si>
  <si>
    <t>TXN_03519</t>
  </si>
  <si>
    <t>TXN_03520</t>
  </si>
  <si>
    <t>TXN_03521</t>
  </si>
  <si>
    <t>TXN_03522</t>
  </si>
  <si>
    <t>TXN_03523</t>
  </si>
  <si>
    <t>TXN_03524</t>
  </si>
  <si>
    <t>TXN_03525</t>
  </si>
  <si>
    <t>TXN_03526</t>
  </si>
  <si>
    <t>TXN_03527</t>
  </si>
  <si>
    <t>TXN_03528</t>
  </si>
  <si>
    <t>TXN_03529</t>
  </si>
  <si>
    <t>TXN_03530</t>
  </si>
  <si>
    <t>TXN_03531</t>
  </si>
  <si>
    <t>TXN_03532</t>
  </si>
  <si>
    <t>TXN_03533</t>
  </si>
  <si>
    <t>TXN_03534</t>
  </si>
  <si>
    <t>TXN_03535</t>
  </si>
  <si>
    <t>TXN_03536</t>
  </si>
  <si>
    <t>CUST_00581</t>
  </si>
  <si>
    <t>TXN_03537</t>
  </si>
  <si>
    <t>TXN_03538</t>
  </si>
  <si>
    <t>TXN_03539</t>
  </si>
  <si>
    <t>TXN_03540</t>
  </si>
  <si>
    <t>TXN_03541</t>
  </si>
  <si>
    <t>TXN_03542</t>
  </si>
  <si>
    <t>TXN_03543</t>
  </si>
  <si>
    <t>TXN_03544</t>
  </si>
  <si>
    <t>TXN_03545</t>
  </si>
  <si>
    <t>TXN_03546</t>
  </si>
  <si>
    <t>TXN_03547</t>
  </si>
  <si>
    <t>TXN_03548</t>
  </si>
  <si>
    <t>TXN_03549</t>
  </si>
  <si>
    <t>TXN_03550</t>
  </si>
  <si>
    <t>TXN_03551</t>
  </si>
  <si>
    <t>TXN_03552</t>
  </si>
  <si>
    <t>TXN_03553</t>
  </si>
  <si>
    <t>TXN_03554</t>
  </si>
  <si>
    <t>TXN_03555</t>
  </si>
  <si>
    <t>TXN_03556</t>
  </si>
  <si>
    <t>TXN_03557</t>
  </si>
  <si>
    <t>TXN_03558</t>
  </si>
  <si>
    <t>TXN_03559</t>
  </si>
  <si>
    <t>TXN_03560</t>
  </si>
  <si>
    <t>TXN_03561</t>
  </si>
  <si>
    <t>TXN_03562</t>
  </si>
  <si>
    <t>TXN_03563</t>
  </si>
  <si>
    <t>TXN_03564</t>
  </si>
  <si>
    <t>TXN_03565</t>
  </si>
  <si>
    <t>TXN_03566</t>
  </si>
  <si>
    <t>TXN_03567</t>
  </si>
  <si>
    <t>TXN_03568</t>
  </si>
  <si>
    <t>TXN_03569</t>
  </si>
  <si>
    <t>TXN_03570</t>
  </si>
  <si>
    <t>TXN_03571</t>
  </si>
  <si>
    <t>TXN_03572</t>
  </si>
  <si>
    <t>TXN_03573</t>
  </si>
  <si>
    <t>TXN_03574</t>
  </si>
  <si>
    <t>TXN_03575</t>
  </si>
  <si>
    <t>TXN_03576</t>
  </si>
  <si>
    <t>TXN_03577</t>
  </si>
  <si>
    <t>TXN_03578</t>
  </si>
  <si>
    <t>TXN_03579</t>
  </si>
  <si>
    <t>CUST_00498</t>
  </si>
  <si>
    <t>TXN_03580</t>
  </si>
  <si>
    <t>TXN_03581</t>
  </si>
  <si>
    <t>TXN_03582</t>
  </si>
  <si>
    <t>TXN_03583</t>
  </si>
  <si>
    <t>TXN_03584</t>
  </si>
  <si>
    <t>TXN_03585</t>
  </si>
  <si>
    <t>TXN_03586</t>
  </si>
  <si>
    <t>CUST_00467</t>
  </si>
  <si>
    <t>TXN_03587</t>
  </si>
  <si>
    <t>TXN_03588</t>
  </si>
  <si>
    <t>CUST_00901</t>
  </si>
  <si>
    <t>TXN_03589</t>
  </si>
  <si>
    <t>TXN_03590</t>
  </si>
  <si>
    <t>TXN_03591</t>
  </si>
  <si>
    <t>TXN_03592</t>
  </si>
  <si>
    <t>TXN_03593</t>
  </si>
  <si>
    <t>TXN_03594</t>
  </si>
  <si>
    <t>TXN_03595</t>
  </si>
  <si>
    <t>TXN_03596</t>
  </si>
  <si>
    <t>TXN_03597</t>
  </si>
  <si>
    <t>TXN_03598</t>
  </si>
  <si>
    <t>TXN_03599</t>
  </si>
  <si>
    <t>TXN_03600</t>
  </si>
  <si>
    <t>TXN_03601</t>
  </si>
  <si>
    <t>TXN_03602</t>
  </si>
  <si>
    <t>TXN_03603</t>
  </si>
  <si>
    <t>TXN_03604</t>
  </si>
  <si>
    <t>TXN_03605</t>
  </si>
  <si>
    <t>TXN_03606</t>
  </si>
  <si>
    <t>TXN_03607</t>
  </si>
  <si>
    <t>TXN_03608</t>
  </si>
  <si>
    <t>TXN_03609</t>
  </si>
  <si>
    <t>TXN_03610</t>
  </si>
  <si>
    <t>TXN_03611</t>
  </si>
  <si>
    <t>TXN_03612</t>
  </si>
  <si>
    <t>TXN_03613</t>
  </si>
  <si>
    <t>TXN_03614</t>
  </si>
  <si>
    <t>TXN_03615</t>
  </si>
  <si>
    <t>TXN_03616</t>
  </si>
  <si>
    <t>TXN_03617</t>
  </si>
  <si>
    <t>TXN_03618</t>
  </si>
  <si>
    <t>TXN_03619</t>
  </si>
  <si>
    <t>TXN_03620</t>
  </si>
  <si>
    <t>TXN_03621</t>
  </si>
  <si>
    <t>TXN_03622</t>
  </si>
  <si>
    <t>TXN_03623</t>
  </si>
  <si>
    <t>TXN_03624</t>
  </si>
  <si>
    <t>TXN_03625</t>
  </si>
  <si>
    <t>TXN_03626</t>
  </si>
  <si>
    <t>TXN_03627</t>
  </si>
  <si>
    <t>CUST_00541</t>
  </si>
  <si>
    <t>TXN_03628</t>
  </si>
  <si>
    <t>TXN_03629</t>
  </si>
  <si>
    <t>TXN_03630</t>
  </si>
  <si>
    <t>TXN_03631</t>
  </si>
  <si>
    <t>TXN_03632</t>
  </si>
  <si>
    <t>TXN_03633</t>
  </si>
  <si>
    <t>TXN_03634</t>
  </si>
  <si>
    <t>TXN_03635</t>
  </si>
  <si>
    <t>TXN_03636</t>
  </si>
  <si>
    <t>TXN_03637</t>
  </si>
  <si>
    <t>TXN_03638</t>
  </si>
  <si>
    <t>TXN_03639</t>
  </si>
  <si>
    <t>TXN_03640</t>
  </si>
  <si>
    <t>TXN_03641</t>
  </si>
  <si>
    <t>TXN_03642</t>
  </si>
  <si>
    <t>TXN_03643</t>
  </si>
  <si>
    <t>TXN_03644</t>
  </si>
  <si>
    <t>TXN_03645</t>
  </si>
  <si>
    <t>TXN_03646</t>
  </si>
  <si>
    <t>TXN_03647</t>
  </si>
  <si>
    <t>TXN_03648</t>
  </si>
  <si>
    <t>TXN_03649</t>
  </si>
  <si>
    <t>TXN_03650</t>
  </si>
  <si>
    <t>TXN_03651</t>
  </si>
  <si>
    <t>TXN_03652</t>
  </si>
  <si>
    <t>TXN_03653</t>
  </si>
  <si>
    <t>TXN_03654</t>
  </si>
  <si>
    <t>TXN_03655</t>
  </si>
  <si>
    <t>TXN_03656</t>
  </si>
  <si>
    <t>TXN_03657</t>
  </si>
  <si>
    <t>CUST_00542</t>
  </si>
  <si>
    <t>TXN_03658</t>
  </si>
  <si>
    <t>TXN_03659</t>
  </si>
  <si>
    <t>TXN_03660</t>
  </si>
  <si>
    <t>TXN_03661</t>
  </si>
  <si>
    <t>TXN_03662</t>
  </si>
  <si>
    <t>TXN_03663</t>
  </si>
  <si>
    <t>TXN_03664</t>
  </si>
  <si>
    <t>TXN_03665</t>
  </si>
  <si>
    <t>CUST_00758</t>
  </si>
  <si>
    <t>TXN_03666</t>
  </si>
  <si>
    <t>TXN_03667</t>
  </si>
  <si>
    <t>TXN_03668</t>
  </si>
  <si>
    <t>TXN_03669</t>
  </si>
  <si>
    <t>TXN_03670</t>
  </si>
  <si>
    <t>TXN_03671</t>
  </si>
  <si>
    <t>TXN_03672</t>
  </si>
  <si>
    <t>TXN_03673</t>
  </si>
  <si>
    <t>TXN_03674</t>
  </si>
  <si>
    <t>TXN_03675</t>
  </si>
  <si>
    <t>TXN_03676</t>
  </si>
  <si>
    <t>TXN_03677</t>
  </si>
  <si>
    <t>TXN_03678</t>
  </si>
  <si>
    <t>TXN_03679</t>
  </si>
  <si>
    <t>TXN_03680</t>
  </si>
  <si>
    <t>TXN_03681</t>
  </si>
  <si>
    <t>TXN_03682</t>
  </si>
  <si>
    <t>TXN_03683</t>
  </si>
  <si>
    <t>TXN_03684</t>
  </si>
  <si>
    <t>TXN_03685</t>
  </si>
  <si>
    <t>TXN_03686</t>
  </si>
  <si>
    <t>TXN_03687</t>
  </si>
  <si>
    <t>TXN_03688</t>
  </si>
  <si>
    <t>TXN_03689</t>
  </si>
  <si>
    <t>TXN_03690</t>
  </si>
  <si>
    <t>TXN_03691</t>
  </si>
  <si>
    <t>TXN_03692</t>
  </si>
  <si>
    <t>TXN_03693</t>
  </si>
  <si>
    <t>TXN_03694</t>
  </si>
  <si>
    <t>TXN_03695</t>
  </si>
  <si>
    <t>TXN_03696</t>
  </si>
  <si>
    <t>TXN_03697</t>
  </si>
  <si>
    <t>TXN_03698</t>
  </si>
  <si>
    <t>TXN_03699</t>
  </si>
  <si>
    <t>TXN_03700</t>
  </si>
  <si>
    <t>TXN_03701</t>
  </si>
  <si>
    <t>TXN_03702</t>
  </si>
  <si>
    <t>TXN_03703</t>
  </si>
  <si>
    <t>TXN_03704</t>
  </si>
  <si>
    <t>TXN_03705</t>
  </si>
  <si>
    <t>TXN_03706</t>
  </si>
  <si>
    <t>TXN_03707</t>
  </si>
  <si>
    <t>TXN_03708</t>
  </si>
  <si>
    <t>TXN_03709</t>
  </si>
  <si>
    <t>TXN_03710</t>
  </si>
  <si>
    <t>TXN_03711</t>
  </si>
  <si>
    <t>TXN_03712</t>
  </si>
  <si>
    <t>TXN_03713</t>
  </si>
  <si>
    <t>TXN_03714</t>
  </si>
  <si>
    <t>TXN_03715</t>
  </si>
  <si>
    <t>TXN_03716</t>
  </si>
  <si>
    <t>TXN_03717</t>
  </si>
  <si>
    <t>TXN_03718</t>
  </si>
  <si>
    <t>TXN_03719</t>
  </si>
  <si>
    <t>CUST_00612</t>
  </si>
  <si>
    <t>TXN_03720</t>
  </si>
  <si>
    <t>TXN_03721</t>
  </si>
  <si>
    <t>TXN_03722</t>
  </si>
  <si>
    <t>TXN_03723</t>
  </si>
  <si>
    <t>TXN_03724</t>
  </si>
  <si>
    <t>TXN_03725</t>
  </si>
  <si>
    <t>TXN_03726</t>
  </si>
  <si>
    <t>TXN_03727</t>
  </si>
  <si>
    <t>TXN_03728</t>
  </si>
  <si>
    <t>TXN_03729</t>
  </si>
  <si>
    <t>TXN_03730</t>
  </si>
  <si>
    <t>TXN_03731</t>
  </si>
  <si>
    <t>TXN_03732</t>
  </si>
  <si>
    <t>TXN_03733</t>
  </si>
  <si>
    <t>TXN_03734</t>
  </si>
  <si>
    <t>TXN_03735</t>
  </si>
  <si>
    <t>TXN_03736</t>
  </si>
  <si>
    <t>TXN_03737</t>
  </si>
  <si>
    <t>TXN_03738</t>
  </si>
  <si>
    <t>TXN_03739</t>
  </si>
  <si>
    <t>TXN_03740</t>
  </si>
  <si>
    <t>TXN_03741</t>
  </si>
  <si>
    <t>TXN_03742</t>
  </si>
  <si>
    <t>TXN_03743</t>
  </si>
  <si>
    <t>TXN_03744</t>
  </si>
  <si>
    <t>TXN_03745</t>
  </si>
  <si>
    <t>TXN_03746</t>
  </si>
  <si>
    <t>TXN_03747</t>
  </si>
  <si>
    <t>TXN_03748</t>
  </si>
  <si>
    <t>TXN_03749</t>
  </si>
  <si>
    <t>TXN_03750</t>
  </si>
  <si>
    <t>TXN_03751</t>
  </si>
  <si>
    <t>TXN_03752</t>
  </si>
  <si>
    <t>TXN_03753</t>
  </si>
  <si>
    <t>TXN_03754</t>
  </si>
  <si>
    <t>TXN_03755</t>
  </si>
  <si>
    <t>TXN_03756</t>
  </si>
  <si>
    <t>TXN_03757</t>
  </si>
  <si>
    <t>TXN_03758</t>
  </si>
  <si>
    <t>TXN_03759</t>
  </si>
  <si>
    <t>TXN_03760</t>
  </si>
  <si>
    <t>TXN_03761</t>
  </si>
  <si>
    <t>TXN_03762</t>
  </si>
  <si>
    <t>TXN_03763</t>
  </si>
  <si>
    <t>TXN_03764</t>
  </si>
  <si>
    <t>TXN_03765</t>
  </si>
  <si>
    <t>TXN_03766</t>
  </si>
  <si>
    <t>CUST_00830</t>
  </si>
  <si>
    <t>TXN_03767</t>
  </si>
  <si>
    <t>CUST_00875</t>
  </si>
  <si>
    <t>TXN_03768</t>
  </si>
  <si>
    <t>TXN_03769</t>
  </si>
  <si>
    <t>TXN_03770</t>
  </si>
  <si>
    <t>TXN_03771</t>
  </si>
  <si>
    <t>TXN_03772</t>
  </si>
  <si>
    <t>TXN_03773</t>
  </si>
  <si>
    <t>TXN_03774</t>
  </si>
  <si>
    <t>TXN_03775</t>
  </si>
  <si>
    <t>TXN_03776</t>
  </si>
  <si>
    <t>TXN_03777</t>
  </si>
  <si>
    <t>TXN_03778</t>
  </si>
  <si>
    <t>TXN_03779</t>
  </si>
  <si>
    <t>TXN_03780</t>
  </si>
  <si>
    <t>TXN_03781</t>
  </si>
  <si>
    <t>TXN_03782</t>
  </si>
  <si>
    <t>TXN_03783</t>
  </si>
  <si>
    <t>TXN_03784</t>
  </si>
  <si>
    <t>TXN_03785</t>
  </si>
  <si>
    <t>TXN_03786</t>
  </si>
  <si>
    <t>TXN_03787</t>
  </si>
  <si>
    <t>TXN_03788</t>
  </si>
  <si>
    <t>TXN_03789</t>
  </si>
  <si>
    <t>TXN_03790</t>
  </si>
  <si>
    <t>TXN_03791</t>
  </si>
  <si>
    <t>TXN_03792</t>
  </si>
  <si>
    <t>TXN_03793</t>
  </si>
  <si>
    <t>TXN_03794</t>
  </si>
  <si>
    <t>TXN_03795</t>
  </si>
  <si>
    <t>TXN_03796</t>
  </si>
  <si>
    <t>TXN_03797</t>
  </si>
  <si>
    <t>TXN_03798</t>
  </si>
  <si>
    <t>TXN_03799</t>
  </si>
  <si>
    <t>TXN_03800</t>
  </si>
  <si>
    <t>TXN_03801</t>
  </si>
  <si>
    <t>TXN_03802</t>
  </si>
  <si>
    <t>TXN_03803</t>
  </si>
  <si>
    <t>TXN_03804</t>
  </si>
  <si>
    <t>TXN_03805</t>
  </si>
  <si>
    <t>TXN_03806</t>
  </si>
  <si>
    <t>TXN_03807</t>
  </si>
  <si>
    <t>TXN_03808</t>
  </si>
  <si>
    <t>TXN_03809</t>
  </si>
  <si>
    <t>TXN_03810</t>
  </si>
  <si>
    <t>TXN_03811</t>
  </si>
  <si>
    <t>TXN_03812</t>
  </si>
  <si>
    <t>TXN_03813</t>
  </si>
  <si>
    <t>TXN_03814</t>
  </si>
  <si>
    <t>TXN_03815</t>
  </si>
  <si>
    <t>TXN_03816</t>
  </si>
  <si>
    <t>TXN_03817</t>
  </si>
  <si>
    <t>TXN_03818</t>
  </si>
  <si>
    <t>TXN_03819</t>
  </si>
  <si>
    <t>TXN_03820</t>
  </si>
  <si>
    <t>TXN_03821</t>
  </si>
  <si>
    <t>TXN_03822</t>
  </si>
  <si>
    <t>TXN_03823</t>
  </si>
  <si>
    <t>TXN_03824</t>
  </si>
  <si>
    <t>TXN_03825</t>
  </si>
  <si>
    <t>TXN_03826</t>
  </si>
  <si>
    <t>TXN_03827</t>
  </si>
  <si>
    <t>TXN_03828</t>
  </si>
  <si>
    <t>TXN_03829</t>
  </si>
  <si>
    <t>TXN_03830</t>
  </si>
  <si>
    <t>TXN_03831</t>
  </si>
  <si>
    <t>TXN_03832</t>
  </si>
  <si>
    <t>TXN_03833</t>
  </si>
  <si>
    <t>TXN_03834</t>
  </si>
  <si>
    <t>TXN_03835</t>
  </si>
  <si>
    <t>TXN_03836</t>
  </si>
  <si>
    <t>TXN_03837</t>
  </si>
  <si>
    <t>TXN_03838</t>
  </si>
  <si>
    <t>TXN_03839</t>
  </si>
  <si>
    <t>TXN_03840</t>
  </si>
  <si>
    <t>CUST_00352</t>
  </si>
  <si>
    <t>TXN_03841</t>
  </si>
  <si>
    <t>TXN_03842</t>
  </si>
  <si>
    <t>TXN_03843</t>
  </si>
  <si>
    <t>TXN_03844</t>
  </si>
  <si>
    <t>TXN_03845</t>
  </si>
  <si>
    <t>TXN_03846</t>
  </si>
  <si>
    <t>TXN_03847</t>
  </si>
  <si>
    <t>TXN_03848</t>
  </si>
  <si>
    <t>TXN_03849</t>
  </si>
  <si>
    <t>TXN_03850</t>
  </si>
  <si>
    <t>TXN_03851</t>
  </si>
  <si>
    <t>TXN_03852</t>
  </si>
  <si>
    <t>TXN_03853</t>
  </si>
  <si>
    <t>TXN_03854</t>
  </si>
  <si>
    <t>TXN_03855</t>
  </si>
  <si>
    <t>TXN_03856</t>
  </si>
  <si>
    <t>TXN_03857</t>
  </si>
  <si>
    <t>TXN_03858</t>
  </si>
  <si>
    <t>TXN_03859</t>
  </si>
  <si>
    <t>TXN_03860</t>
  </si>
  <si>
    <t>TXN_03861</t>
  </si>
  <si>
    <t>TXN_03862</t>
  </si>
  <si>
    <t>TXN_03863</t>
  </si>
  <si>
    <t>TXN_03864</t>
  </si>
  <si>
    <t>TXN_03865</t>
  </si>
  <si>
    <t>TXN_03866</t>
  </si>
  <si>
    <t>TXN_03867</t>
  </si>
  <si>
    <t>TXN_03868</t>
  </si>
  <si>
    <t>TXN_03869</t>
  </si>
  <si>
    <t>TXN_03870</t>
  </si>
  <si>
    <t>TXN_03871</t>
  </si>
  <si>
    <t>TXN_03872</t>
  </si>
  <si>
    <t>TXN_03873</t>
  </si>
  <si>
    <t>TXN_03874</t>
  </si>
  <si>
    <t>TXN_03875</t>
  </si>
  <si>
    <t>TXN_03876</t>
  </si>
  <si>
    <t>TXN_03877</t>
  </si>
  <si>
    <t>CUST_00248</t>
  </si>
  <si>
    <t>TXN_03878</t>
  </si>
  <si>
    <t>TXN_03879</t>
  </si>
  <si>
    <t>TXN_03880</t>
  </si>
  <si>
    <t>TXN_03881</t>
  </si>
  <si>
    <t>TXN_03882</t>
  </si>
  <si>
    <t>TXN_03883</t>
  </si>
  <si>
    <t>TXN_03884</t>
  </si>
  <si>
    <t>TXN_03885</t>
  </si>
  <si>
    <t>TXN_03886</t>
  </si>
  <si>
    <t>TXN_03887</t>
  </si>
  <si>
    <t>TXN_03888</t>
  </si>
  <si>
    <t>TXN_03889</t>
  </si>
  <si>
    <t>TXN_03890</t>
  </si>
  <si>
    <t>TXN_03891</t>
  </si>
  <si>
    <t>TXN_03892</t>
  </si>
  <si>
    <t>TXN_03893</t>
  </si>
  <si>
    <t>TXN_03894</t>
  </si>
  <si>
    <t>TXN_03895</t>
  </si>
  <si>
    <t>TXN_03896</t>
  </si>
  <si>
    <t>TXN_03897</t>
  </si>
  <si>
    <t>TXN_03898</t>
  </si>
  <si>
    <t>TXN_03899</t>
  </si>
  <si>
    <t>TXN_03900</t>
  </si>
  <si>
    <t>TXN_03901</t>
  </si>
  <si>
    <t>TXN_03902</t>
  </si>
  <si>
    <t>TXN_03903</t>
  </si>
  <si>
    <t>TXN_03904</t>
  </si>
  <si>
    <t>TXN_03905</t>
  </si>
  <si>
    <t>TXN_03906</t>
  </si>
  <si>
    <t>TXN_03907</t>
  </si>
  <si>
    <t>TXN_03908</t>
  </si>
  <si>
    <t>TXN_03909</t>
  </si>
  <si>
    <t>TXN_03910</t>
  </si>
  <si>
    <t>TXN_03911</t>
  </si>
  <si>
    <t>TXN_03912</t>
  </si>
  <si>
    <t>TXN_03913</t>
  </si>
  <si>
    <t>TXN_03914</t>
  </si>
  <si>
    <t>TXN_03915</t>
  </si>
  <si>
    <t>TXN_03916</t>
  </si>
  <si>
    <t>TXN_03917</t>
  </si>
  <si>
    <t>TXN_03918</t>
  </si>
  <si>
    <t>TXN_03919</t>
  </si>
  <si>
    <t>TXN_03920</t>
  </si>
  <si>
    <t>CUST_00172</t>
  </si>
  <si>
    <t>TXN_03921</t>
  </si>
  <si>
    <t>TXN_03922</t>
  </si>
  <si>
    <t>TXN_03923</t>
  </si>
  <si>
    <t>TXN_03924</t>
  </si>
  <si>
    <t>TXN_03925</t>
  </si>
  <si>
    <t>TXN_03926</t>
  </si>
  <si>
    <t>TXN_03927</t>
  </si>
  <si>
    <t>TXN_03928</t>
  </si>
  <si>
    <t>TXN_03929</t>
  </si>
  <si>
    <t>TXN_03930</t>
  </si>
  <si>
    <t>TXN_03931</t>
  </si>
  <si>
    <t>TXN_03932</t>
  </si>
  <si>
    <t>TXN_03933</t>
  </si>
  <si>
    <t>TXN_03934</t>
  </si>
  <si>
    <t>TXN_03935</t>
  </si>
  <si>
    <t>TXN_03936</t>
  </si>
  <si>
    <t>TXN_03937</t>
  </si>
  <si>
    <t>TXN_03938</t>
  </si>
  <si>
    <t>TXN_03939</t>
  </si>
  <si>
    <t>TXN_03940</t>
  </si>
  <si>
    <t>TXN_03941</t>
  </si>
  <si>
    <t>TXN_03942</t>
  </si>
  <si>
    <t>TXN_03943</t>
  </si>
  <si>
    <t>TXN_03944</t>
  </si>
  <si>
    <t>TXN_03945</t>
  </si>
  <si>
    <t>TXN_03946</t>
  </si>
  <si>
    <t>TXN_03947</t>
  </si>
  <si>
    <t>TXN_03948</t>
  </si>
  <si>
    <t>TXN_03949</t>
  </si>
  <si>
    <t>TXN_03950</t>
  </si>
  <si>
    <t>TXN_03951</t>
  </si>
  <si>
    <t>TXN_03952</t>
  </si>
  <si>
    <t>TXN_03953</t>
  </si>
  <si>
    <t>TXN_03954</t>
  </si>
  <si>
    <t>TXN_03955</t>
  </si>
  <si>
    <t>TXN_03956</t>
  </si>
  <si>
    <t>TXN_03957</t>
  </si>
  <si>
    <t>TXN_03958</t>
  </si>
  <si>
    <t>TXN_03959</t>
  </si>
  <si>
    <t>TXN_03960</t>
  </si>
  <si>
    <t>TXN_03961</t>
  </si>
  <si>
    <t>TXN_03962</t>
  </si>
  <si>
    <t>TXN_03963</t>
  </si>
  <si>
    <t>TXN_03964</t>
  </si>
  <si>
    <t>TXN_03965</t>
  </si>
  <si>
    <t>TXN_03966</t>
  </si>
  <si>
    <t>TXN_03967</t>
  </si>
  <si>
    <t>TXN_03968</t>
  </si>
  <si>
    <t>TXN_03969</t>
  </si>
  <si>
    <t>TXN_03970</t>
  </si>
  <si>
    <t>TXN_03971</t>
  </si>
  <si>
    <t>TXN_03972</t>
  </si>
  <si>
    <t>TXN_03973</t>
  </si>
  <si>
    <t>TXN_03974</t>
  </si>
  <si>
    <t>TXN_03975</t>
  </si>
  <si>
    <t>TXN_03976</t>
  </si>
  <si>
    <t>TXN_03977</t>
  </si>
  <si>
    <t>TXN_03978</t>
  </si>
  <si>
    <t>TXN_03979</t>
  </si>
  <si>
    <t>TXN_03980</t>
  </si>
  <si>
    <t>TXN_03981</t>
  </si>
  <si>
    <t>TXN_03982</t>
  </si>
  <si>
    <t>TXN_03983</t>
  </si>
  <si>
    <t>TXN_03984</t>
  </si>
  <si>
    <t>TXN_03985</t>
  </si>
  <si>
    <t>TXN_03986</t>
  </si>
  <si>
    <t>TXN_03987</t>
  </si>
  <si>
    <t>TXN_03988</t>
  </si>
  <si>
    <t>TXN_03989</t>
  </si>
  <si>
    <t>TXN_03990</t>
  </si>
  <si>
    <t>TXN_03991</t>
  </si>
  <si>
    <t>TXN_03992</t>
  </si>
  <si>
    <t>TXN_03993</t>
  </si>
  <si>
    <t>TXN_03994</t>
  </si>
  <si>
    <t>TXN_03995</t>
  </si>
  <si>
    <t>TXN_03996</t>
  </si>
  <si>
    <t>TXN_03997</t>
  </si>
  <si>
    <t>TXN_03998</t>
  </si>
  <si>
    <t>TXN_03999</t>
  </si>
  <si>
    <t>TXN_04000</t>
  </si>
  <si>
    <t>TXN_04001</t>
  </si>
  <si>
    <t>TXN_04002</t>
  </si>
  <si>
    <t>TXN_04003</t>
  </si>
  <si>
    <t>TXN_04004</t>
  </si>
  <si>
    <t>TXN_04005</t>
  </si>
  <si>
    <t>TXN_04006</t>
  </si>
  <si>
    <t>TXN_04007</t>
  </si>
  <si>
    <t>TXN_04008</t>
  </si>
  <si>
    <t>TXN_04009</t>
  </si>
  <si>
    <t>TXN_04010</t>
  </si>
  <si>
    <t>TXN_04011</t>
  </si>
  <si>
    <t>TXN_04012</t>
  </si>
  <si>
    <t>TXN_04013</t>
  </si>
  <si>
    <t>TXN_04014</t>
  </si>
  <si>
    <t>TXN_04015</t>
  </si>
  <si>
    <t>TXN_04016</t>
  </si>
  <si>
    <t>TXN_04017</t>
  </si>
  <si>
    <t>TXN_04018</t>
  </si>
  <si>
    <t>TXN_04019</t>
  </si>
  <si>
    <t>TXN_04020</t>
  </si>
  <si>
    <t>TXN_04021</t>
  </si>
  <si>
    <t>TXN_04022</t>
  </si>
  <si>
    <t>TXN_04023</t>
  </si>
  <si>
    <t>TXN_04024</t>
  </si>
  <si>
    <t>TXN_04025</t>
  </si>
  <si>
    <t>TXN_04026</t>
  </si>
  <si>
    <t>TXN_04027</t>
  </si>
  <si>
    <t>TXN_04028</t>
  </si>
  <si>
    <t>TXN_04029</t>
  </si>
  <si>
    <t>TXN_04030</t>
  </si>
  <si>
    <t>TXN_04031</t>
  </si>
  <si>
    <t>TXN_04032</t>
  </si>
  <si>
    <t>TXN_04033</t>
  </si>
  <si>
    <t>TXN_04034</t>
  </si>
  <si>
    <t>TXN_04035</t>
  </si>
  <si>
    <t>TXN_04036</t>
  </si>
  <si>
    <t>TXN_04037</t>
  </si>
  <si>
    <t>TXN_04038</t>
  </si>
  <si>
    <t>TXN_04039</t>
  </si>
  <si>
    <t>TXN_04040</t>
  </si>
  <si>
    <t>TXN_04041</t>
  </si>
  <si>
    <t>TXN_04042</t>
  </si>
  <si>
    <t>TXN_04043</t>
  </si>
  <si>
    <t>TXN_04044</t>
  </si>
  <si>
    <t>TXN_04045</t>
  </si>
  <si>
    <t>TXN_04046</t>
  </si>
  <si>
    <t>TXN_04047</t>
  </si>
  <si>
    <t>TXN_04048</t>
  </si>
  <si>
    <t>TXN_04049</t>
  </si>
  <si>
    <t>TXN_04050</t>
  </si>
  <si>
    <t>TXN_04051</t>
  </si>
  <si>
    <t>TXN_04052</t>
  </si>
  <si>
    <t>TXN_04053</t>
  </si>
  <si>
    <t>TXN_04054</t>
  </si>
  <si>
    <t>TXN_04055</t>
  </si>
  <si>
    <t>TXN_04056</t>
  </si>
  <si>
    <t>TXN_04057</t>
  </si>
  <si>
    <t>TXN_04058</t>
  </si>
  <si>
    <t>TXN_04059</t>
  </si>
  <si>
    <t>TXN_04060</t>
  </si>
  <si>
    <t>TXN_04061</t>
  </si>
  <si>
    <t>TXN_04062</t>
  </si>
  <si>
    <t>TXN_04063</t>
  </si>
  <si>
    <t>TXN_04064</t>
  </si>
  <si>
    <t>TXN_04065</t>
  </si>
  <si>
    <t>TXN_04066</t>
  </si>
  <si>
    <t>TXN_04067</t>
  </si>
  <si>
    <t>TXN_04068</t>
  </si>
  <si>
    <t>TXN_04069</t>
  </si>
  <si>
    <t>TXN_04070</t>
  </si>
  <si>
    <t>TXN_04071</t>
  </si>
  <si>
    <t>TXN_04072</t>
  </si>
  <si>
    <t>TXN_04073</t>
  </si>
  <si>
    <t>TXN_04074</t>
  </si>
  <si>
    <t>TXN_04075</t>
  </si>
  <si>
    <t>TXN_04076</t>
  </si>
  <si>
    <t>TXN_04077</t>
  </si>
  <si>
    <t>TXN_04078</t>
  </si>
  <si>
    <t>TXN_04079</t>
  </si>
  <si>
    <t>TXN_04080</t>
  </si>
  <si>
    <t>TXN_04081</t>
  </si>
  <si>
    <t>TXN_04082</t>
  </si>
  <si>
    <t>TXN_04083</t>
  </si>
  <si>
    <t>TXN_04084</t>
  </si>
  <si>
    <t>TXN_04085</t>
  </si>
  <si>
    <t>TXN_04086</t>
  </si>
  <si>
    <t>TXN_04087</t>
  </si>
  <si>
    <t>TXN_04088</t>
  </si>
  <si>
    <t>TXN_04089</t>
  </si>
  <si>
    <t>TXN_04090</t>
  </si>
  <si>
    <t>TXN_04091</t>
  </si>
  <si>
    <t>TXN_04092</t>
  </si>
  <si>
    <t>TXN_04093</t>
  </si>
  <si>
    <t>TXN_04094</t>
  </si>
  <si>
    <t>TXN_04095</t>
  </si>
  <si>
    <t>TXN_04096</t>
  </si>
  <si>
    <t>TXN_04097</t>
  </si>
  <si>
    <t>TXN_04098</t>
  </si>
  <si>
    <t>TXN_04099</t>
  </si>
  <si>
    <t>TXN_04100</t>
  </si>
  <si>
    <t>TXN_04101</t>
  </si>
  <si>
    <t>TXN_04102</t>
  </si>
  <si>
    <t>TXN_04103</t>
  </si>
  <si>
    <t>TXN_04104</t>
  </si>
  <si>
    <t>TXN_04105</t>
  </si>
  <si>
    <t>TXN_04106</t>
  </si>
  <si>
    <t>TXN_04107</t>
  </si>
  <si>
    <t>TXN_04108</t>
  </si>
  <si>
    <t>TXN_04109</t>
  </si>
  <si>
    <t>TXN_04110</t>
  </si>
  <si>
    <t>TXN_04111</t>
  </si>
  <si>
    <t>TXN_04112</t>
  </si>
  <si>
    <t>TXN_04113</t>
  </si>
  <si>
    <t>TXN_04114</t>
  </si>
  <si>
    <t>TXN_04115</t>
  </si>
  <si>
    <t>TXN_04116</t>
  </si>
  <si>
    <t>TXN_04117</t>
  </si>
  <si>
    <t>TXN_04118</t>
  </si>
  <si>
    <t>TXN_04119</t>
  </si>
  <si>
    <t>TXN_04120</t>
  </si>
  <si>
    <t>TXN_04121</t>
  </si>
  <si>
    <t>TXN_04122</t>
  </si>
  <si>
    <t>TXN_04123</t>
  </si>
  <si>
    <t>TXN_04124</t>
  </si>
  <si>
    <t>TXN_04125</t>
  </si>
  <si>
    <t>TXN_04126</t>
  </si>
  <si>
    <t>TXN_04127</t>
  </si>
  <si>
    <t>TXN_04128</t>
  </si>
  <si>
    <t>TXN_04129</t>
  </si>
  <si>
    <t>TXN_04130</t>
  </si>
  <si>
    <t>TXN_04131</t>
  </si>
  <si>
    <t>TXN_04132</t>
  </si>
  <si>
    <t>TXN_04133</t>
  </si>
  <si>
    <t>TXN_04134</t>
  </si>
  <si>
    <t>TXN_04135</t>
  </si>
  <si>
    <t>TXN_04136</t>
  </si>
  <si>
    <t>TXN_04137</t>
  </si>
  <si>
    <t>TXN_04138</t>
  </si>
  <si>
    <t>TXN_04139</t>
  </si>
  <si>
    <t>TXN_04140</t>
  </si>
  <si>
    <t>TXN_04141</t>
  </si>
  <si>
    <t>CUST_00143</t>
  </si>
  <si>
    <t>TXN_04142</t>
  </si>
  <si>
    <t>TXN_04143</t>
  </si>
  <si>
    <t>TXN_04144</t>
  </si>
  <si>
    <t>TXN_04145</t>
  </si>
  <si>
    <t>TXN_04146</t>
  </si>
  <si>
    <t>TXN_04147</t>
  </si>
  <si>
    <t>TXN_04148</t>
  </si>
  <si>
    <t>TXN_04149</t>
  </si>
  <si>
    <t>TXN_04150</t>
  </si>
  <si>
    <t>TXN_04151</t>
  </si>
  <si>
    <t>CUST_00630</t>
  </si>
  <si>
    <t>TXN_04152</t>
  </si>
  <si>
    <t>TXN_04153</t>
  </si>
  <si>
    <t>TXN_04154</t>
  </si>
  <si>
    <t>TXN_04155</t>
  </si>
  <si>
    <t>TXN_04156</t>
  </si>
  <si>
    <t>TXN_04157</t>
  </si>
  <si>
    <t>CUST_00514</t>
  </si>
  <si>
    <t>TXN_04158</t>
  </si>
  <si>
    <t>TXN_04159</t>
  </si>
  <si>
    <t>TXN_04160</t>
  </si>
  <si>
    <t>TXN_04161</t>
  </si>
  <si>
    <t>TXN_04162</t>
  </si>
  <si>
    <t>TXN_04163</t>
  </si>
  <si>
    <t>TXN_04164</t>
  </si>
  <si>
    <t>TXN_04165</t>
  </si>
  <si>
    <t>TXN_04166</t>
  </si>
  <si>
    <t>TXN_04167</t>
  </si>
  <si>
    <t>TXN_04168</t>
  </si>
  <si>
    <t>TXN_04169</t>
  </si>
  <si>
    <t>TXN_04170</t>
  </si>
  <si>
    <t>TXN_04171</t>
  </si>
  <si>
    <t>TXN_04172</t>
  </si>
  <si>
    <t>TXN_04173</t>
  </si>
  <si>
    <t>TXN_04174</t>
  </si>
  <si>
    <t>TXN_04175</t>
  </si>
  <si>
    <t>TXN_04176</t>
  </si>
  <si>
    <t>TXN_04177</t>
  </si>
  <si>
    <t>TXN_04178</t>
  </si>
  <si>
    <t>TXN_04179</t>
  </si>
  <si>
    <t>TXN_04180</t>
  </si>
  <si>
    <t>TXN_04181</t>
  </si>
  <si>
    <t>TXN_04182</t>
  </si>
  <si>
    <t>TXN_04183</t>
  </si>
  <si>
    <t>TXN_04184</t>
  </si>
  <si>
    <t>TXN_04185</t>
  </si>
  <si>
    <t>TXN_04186</t>
  </si>
  <si>
    <t>TXN_04187</t>
  </si>
  <si>
    <t>TXN_04188</t>
  </si>
  <si>
    <t>TXN_04189</t>
  </si>
  <si>
    <t>TXN_04190</t>
  </si>
  <si>
    <t>TXN_04191</t>
  </si>
  <si>
    <t>TXN_04192</t>
  </si>
  <si>
    <t>TXN_04193</t>
  </si>
  <si>
    <t>TXN_04194</t>
  </si>
  <si>
    <t>TXN_04195</t>
  </si>
  <si>
    <t>TXN_04196</t>
  </si>
  <si>
    <t>TXN_04197</t>
  </si>
  <si>
    <t>TXN_04198</t>
  </si>
  <si>
    <t>TXN_04199</t>
  </si>
  <si>
    <t>TXN_04200</t>
  </si>
  <si>
    <t>TXN_04201</t>
  </si>
  <si>
    <t>TXN_04202</t>
  </si>
  <si>
    <t>TXN_04203</t>
  </si>
  <si>
    <t>TXN_04204</t>
  </si>
  <si>
    <t>TXN_04205</t>
  </si>
  <si>
    <t>TXN_04206</t>
  </si>
  <si>
    <t>TXN_04207</t>
  </si>
  <si>
    <t>TXN_04208</t>
  </si>
  <si>
    <t>TXN_04209</t>
  </si>
  <si>
    <t>TXN_04210</t>
  </si>
  <si>
    <t>TXN_04211</t>
  </si>
  <si>
    <t>TXN_04212</t>
  </si>
  <si>
    <t>TXN_04213</t>
  </si>
  <si>
    <t>TXN_04214</t>
  </si>
  <si>
    <t>TXN_04215</t>
  </si>
  <si>
    <t>TXN_04216</t>
  </si>
  <si>
    <t>TXN_04217</t>
  </si>
  <si>
    <t>TXN_04218</t>
  </si>
  <si>
    <t>TXN_04219</t>
  </si>
  <si>
    <t>TXN_04220</t>
  </si>
  <si>
    <t>TXN_04221</t>
  </si>
  <si>
    <t>TXN_04222</t>
  </si>
  <si>
    <t>TXN_04223</t>
  </si>
  <si>
    <t>TXN_04224</t>
  </si>
  <si>
    <t>TXN_04225</t>
  </si>
  <si>
    <t>TXN_04226</t>
  </si>
  <si>
    <t>TXN_04227</t>
  </si>
  <si>
    <t>TXN_04228</t>
  </si>
  <si>
    <t>TXN_04229</t>
  </si>
  <si>
    <t>TXN_04230</t>
  </si>
  <si>
    <t>TXN_04231</t>
  </si>
  <si>
    <t>TXN_04232</t>
  </si>
  <si>
    <t>TXN_04233</t>
  </si>
  <si>
    <t>TXN_04234</t>
  </si>
  <si>
    <t>TXN_04235</t>
  </si>
  <si>
    <t>TXN_04236</t>
  </si>
  <si>
    <t>TXN_04237</t>
  </si>
  <si>
    <t>TXN_04238</t>
  </si>
  <si>
    <t>TXN_04239</t>
  </si>
  <si>
    <t>TXN_04240</t>
  </si>
  <si>
    <t>TXN_04241</t>
  </si>
  <si>
    <t>TXN_04242</t>
  </si>
  <si>
    <t>TXN_04243</t>
  </si>
  <si>
    <t>TXN_04244</t>
  </si>
  <si>
    <t>TXN_04245</t>
  </si>
  <si>
    <t>TXN_04246</t>
  </si>
  <si>
    <t>TXN_04247</t>
  </si>
  <si>
    <t>TXN_04248</t>
  </si>
  <si>
    <t>TXN_04249</t>
  </si>
  <si>
    <t>TXN_04250</t>
  </si>
  <si>
    <t>TXN_04251</t>
  </si>
  <si>
    <t>TXN_04252</t>
  </si>
  <si>
    <t>TXN_04253</t>
  </si>
  <si>
    <t>TXN_04254</t>
  </si>
  <si>
    <t>TXN_04255</t>
  </si>
  <si>
    <t>TXN_04256</t>
  </si>
  <si>
    <t>TXN_04257</t>
  </si>
  <si>
    <t>TXN_04258</t>
  </si>
  <si>
    <t>TXN_04259</t>
  </si>
  <si>
    <t>TXN_04260</t>
  </si>
  <si>
    <t>TXN_04261</t>
  </si>
  <si>
    <t>TXN_04262</t>
  </si>
  <si>
    <t>TXN_04263</t>
  </si>
  <si>
    <t>TXN_04264</t>
  </si>
  <si>
    <t>TXN_04265</t>
  </si>
  <si>
    <t>TXN_04266</t>
  </si>
  <si>
    <t>TXN_04267</t>
  </si>
  <si>
    <t>TXN_04268</t>
  </si>
  <si>
    <t>CUST_00358</t>
  </si>
  <si>
    <t>TXN_04269</t>
  </si>
  <si>
    <t>TXN_04270</t>
  </si>
  <si>
    <t>TXN_04271</t>
  </si>
  <si>
    <t>TXN_04272</t>
  </si>
  <si>
    <t>TXN_04273</t>
  </si>
  <si>
    <t>TXN_04274</t>
  </si>
  <si>
    <t>TXN_04275</t>
  </si>
  <si>
    <t>TXN_04276</t>
  </si>
  <si>
    <t>TXN_04277</t>
  </si>
  <si>
    <t>TXN_04278</t>
  </si>
  <si>
    <t>CUST_00457</t>
  </si>
  <si>
    <t>TXN_04279</t>
  </si>
  <si>
    <t>TXN_04280</t>
  </si>
  <si>
    <t>TXN_04281</t>
  </si>
  <si>
    <t>TXN_04282</t>
  </si>
  <si>
    <t>TXN_04283</t>
  </si>
  <si>
    <t>TXN_04284</t>
  </si>
  <si>
    <t>TXN_04285</t>
  </si>
  <si>
    <t>TXN_04286</t>
  </si>
  <si>
    <t>TXN_04287</t>
  </si>
  <si>
    <t>TXN_04288</t>
  </si>
  <si>
    <t>TXN_04289</t>
  </si>
  <si>
    <t>TXN_04290</t>
  </si>
  <si>
    <t>TXN_04291</t>
  </si>
  <si>
    <t>TXN_04292</t>
  </si>
  <si>
    <t>TXN_04293</t>
  </si>
  <si>
    <t>TXN_04294</t>
  </si>
  <si>
    <t>TXN_04295</t>
  </si>
  <si>
    <t>TXN_04296</t>
  </si>
  <si>
    <t>TXN_04297</t>
  </si>
  <si>
    <t>TXN_04298</t>
  </si>
  <si>
    <t>TXN_04299</t>
  </si>
  <si>
    <t>TXN_04300</t>
  </si>
  <si>
    <t>TXN_04301</t>
  </si>
  <si>
    <t>TXN_04302</t>
  </si>
  <si>
    <t>TXN_04303</t>
  </si>
  <si>
    <t>TXN_04304</t>
  </si>
  <si>
    <t>TXN_04305</t>
  </si>
  <si>
    <t>TXN_04306</t>
  </si>
  <si>
    <t>TXN_04307</t>
  </si>
  <si>
    <t>TXN_04308</t>
  </si>
  <si>
    <t>TXN_04309</t>
  </si>
  <si>
    <t>TXN_04310</t>
  </si>
  <si>
    <t>TXN_04311</t>
  </si>
  <si>
    <t>TXN_04312</t>
  </si>
  <si>
    <t>TXN_04313</t>
  </si>
  <si>
    <t>TXN_04314</t>
  </si>
  <si>
    <t>TXN_04315</t>
  </si>
  <si>
    <t>TXN_04316</t>
  </si>
  <si>
    <t>TXN_04317</t>
  </si>
  <si>
    <t>TXN_04318</t>
  </si>
  <si>
    <t>TXN_04319</t>
  </si>
  <si>
    <t>TXN_04320</t>
  </si>
  <si>
    <t>TXN_04321</t>
  </si>
  <si>
    <t>TXN_04322</t>
  </si>
  <si>
    <t>TXN_04323</t>
  </si>
  <si>
    <t>TXN_04324</t>
  </si>
  <si>
    <t>TXN_04325</t>
  </si>
  <si>
    <t>TXN_04326</t>
  </si>
  <si>
    <t>TXN_04327</t>
  </si>
  <si>
    <t>TXN_04328</t>
  </si>
  <si>
    <t>TXN_04329</t>
  </si>
  <si>
    <t>TXN_04330</t>
  </si>
  <si>
    <t>TXN_04331</t>
  </si>
  <si>
    <t>TXN_04332</t>
  </si>
  <si>
    <t>TXN_04333</t>
  </si>
  <si>
    <t>TXN_04334</t>
  </si>
  <si>
    <t>TXN_04335</t>
  </si>
  <si>
    <t>TXN_04336</t>
  </si>
  <si>
    <t>TXN_04337</t>
  </si>
  <si>
    <t>TXN_04338</t>
  </si>
  <si>
    <t>TXN_04339</t>
  </si>
  <si>
    <t>TXN_04340</t>
  </si>
  <si>
    <t>TXN_04341</t>
  </si>
  <si>
    <t>TXN_04342</t>
  </si>
  <si>
    <t>TXN_04343</t>
  </si>
  <si>
    <t>TXN_04344</t>
  </si>
  <si>
    <t>TXN_04345</t>
  </si>
  <si>
    <t>TXN_04346</t>
  </si>
  <si>
    <t>TXN_04347</t>
  </si>
  <si>
    <t>TXN_04348</t>
  </si>
  <si>
    <t>TXN_04349</t>
  </si>
  <si>
    <t>TXN_04350</t>
  </si>
  <si>
    <t>TXN_04351</t>
  </si>
  <si>
    <t>TXN_04352</t>
  </si>
  <si>
    <t>TXN_04353</t>
  </si>
  <si>
    <t>TXN_04354</t>
  </si>
  <si>
    <t>TXN_04355</t>
  </si>
  <si>
    <t>TXN_04356</t>
  </si>
  <si>
    <t>TXN_04357</t>
  </si>
  <si>
    <t>TXN_04358</t>
  </si>
  <si>
    <t>TXN_04359</t>
  </si>
  <si>
    <t>TXN_04360</t>
  </si>
  <si>
    <t>TXN_04361</t>
  </si>
  <si>
    <t>TXN_04362</t>
  </si>
  <si>
    <t>TXN_04363</t>
  </si>
  <si>
    <t>TXN_04364</t>
  </si>
  <si>
    <t>TXN_04365</t>
  </si>
  <si>
    <t>TXN_04366</t>
  </si>
  <si>
    <t>TXN_04367</t>
  </si>
  <si>
    <t>TXN_04368</t>
  </si>
  <si>
    <t>TXN_04369</t>
  </si>
  <si>
    <t>TXN_04370</t>
  </si>
  <si>
    <t>TXN_04371</t>
  </si>
  <si>
    <t>TXN_04372</t>
  </si>
  <si>
    <t>TXN_04373</t>
  </si>
  <si>
    <t>TXN_04374</t>
  </si>
  <si>
    <t>TXN_04375</t>
  </si>
  <si>
    <t>TXN_04376</t>
  </si>
  <si>
    <t>TXN_04377</t>
  </si>
  <si>
    <t>TXN_04378</t>
  </si>
  <si>
    <t>TXN_04379</t>
  </si>
  <si>
    <t>TXN_04380</t>
  </si>
  <si>
    <t>TXN_04381</t>
  </si>
  <si>
    <t>TXN_04382</t>
  </si>
  <si>
    <t>TXN_04383</t>
  </si>
  <si>
    <t>TXN_04384</t>
  </si>
  <si>
    <t>TXN_04385</t>
  </si>
  <si>
    <t>TXN_04386</t>
  </si>
  <si>
    <t>TXN_04387</t>
  </si>
  <si>
    <t>TXN_04388</t>
  </si>
  <si>
    <t>TXN_04389</t>
  </si>
  <si>
    <t>TXN_04390</t>
  </si>
  <si>
    <t>TXN_04391</t>
  </si>
  <si>
    <t>TXN_04392</t>
  </si>
  <si>
    <t>TXN_04393</t>
  </si>
  <si>
    <t>TXN_04394</t>
  </si>
  <si>
    <t>TXN_04395</t>
  </si>
  <si>
    <t>TXN_04396</t>
  </si>
  <si>
    <t>TXN_04397</t>
  </si>
  <si>
    <t>TXN_04398</t>
  </si>
  <si>
    <t>TXN_04399</t>
  </si>
  <si>
    <t>TXN_04400</t>
  </si>
  <si>
    <t>TXN_04401</t>
  </si>
  <si>
    <t>TXN_04402</t>
  </si>
  <si>
    <t>TXN_04403</t>
  </si>
  <si>
    <t>TXN_04404</t>
  </si>
  <si>
    <t>TXN_04405</t>
  </si>
  <si>
    <t>TXN_04406</t>
  </si>
  <si>
    <t>TXN_04407</t>
  </si>
  <si>
    <t>TXN_04408</t>
  </si>
  <si>
    <t>TXN_04409</t>
  </si>
  <si>
    <t>TXN_04410</t>
  </si>
  <si>
    <t>TXN_04411</t>
  </si>
  <si>
    <t>TXN_04412</t>
  </si>
  <si>
    <t>TXN_04413</t>
  </si>
  <si>
    <t>TXN_04414</t>
  </si>
  <si>
    <t>TXN_04415</t>
  </si>
  <si>
    <t>TXN_04416</t>
  </si>
  <si>
    <t>TXN_04417</t>
  </si>
  <si>
    <t>TXN_04418</t>
  </si>
  <si>
    <t>TXN_04419</t>
  </si>
  <si>
    <t>TXN_04420</t>
  </si>
  <si>
    <t>TXN_04421</t>
  </si>
  <si>
    <t>CUST_00918</t>
  </si>
  <si>
    <t>TXN_04422</t>
  </si>
  <si>
    <t>TXN_04423</t>
  </si>
  <si>
    <t>TXN_04424</t>
  </si>
  <si>
    <t>TXN_04425</t>
  </si>
  <si>
    <t>TXN_04426</t>
  </si>
  <si>
    <t>TXN_04427</t>
  </si>
  <si>
    <t>TXN_04428</t>
  </si>
  <si>
    <t>TXN_04429</t>
  </si>
  <si>
    <t>TXN_04430</t>
  </si>
  <si>
    <t>TXN_04431</t>
  </si>
  <si>
    <t>TXN_04432</t>
  </si>
  <si>
    <t>TXN_04433</t>
  </si>
  <si>
    <t>TXN_04434</t>
  </si>
  <si>
    <t>TXN_04435</t>
  </si>
  <si>
    <t>TXN_04436</t>
  </si>
  <si>
    <t>TXN_04437</t>
  </si>
  <si>
    <t>TXN_04438</t>
  </si>
  <si>
    <t>TXN_04439</t>
  </si>
  <si>
    <t>TXN_04440</t>
  </si>
  <si>
    <t>TXN_04441</t>
  </si>
  <si>
    <t>TXN_04442</t>
  </si>
  <si>
    <t>TXN_04443</t>
  </si>
  <si>
    <t>TXN_04444</t>
  </si>
  <si>
    <t>TXN_04445</t>
  </si>
  <si>
    <t>TXN_04446</t>
  </si>
  <si>
    <t>TXN_04447</t>
  </si>
  <si>
    <t>TXN_04448</t>
  </si>
  <si>
    <t>TXN_04449</t>
  </si>
  <si>
    <t>TXN_04450</t>
  </si>
  <si>
    <t>TXN_04451</t>
  </si>
  <si>
    <t>TXN_04452</t>
  </si>
  <si>
    <t>TXN_04453</t>
  </si>
  <si>
    <t>TXN_04454</t>
  </si>
  <si>
    <t>TXN_04455</t>
  </si>
  <si>
    <t>TXN_04456</t>
  </si>
  <si>
    <t>TXN_04457</t>
  </si>
  <si>
    <t>TXN_04458</t>
  </si>
  <si>
    <t>TXN_04459</t>
  </si>
  <si>
    <t>TXN_04460</t>
  </si>
  <si>
    <t>TXN_04461</t>
  </si>
  <si>
    <t>TXN_04462</t>
  </si>
  <si>
    <t>TXN_04463</t>
  </si>
  <si>
    <t>TXN_04464</t>
  </si>
  <si>
    <t>TXN_04465</t>
  </si>
  <si>
    <t>TXN_04466</t>
  </si>
  <si>
    <t>TXN_04467</t>
  </si>
  <si>
    <t>TXN_04468</t>
  </si>
  <si>
    <t>TXN_04469</t>
  </si>
  <si>
    <t>TXN_04470</t>
  </si>
  <si>
    <t>TXN_04471</t>
  </si>
  <si>
    <t>TXN_04472</t>
  </si>
  <si>
    <t>TXN_04473</t>
  </si>
  <si>
    <t>TXN_04474</t>
  </si>
  <si>
    <t>TXN_04475</t>
  </si>
  <si>
    <t>TXN_04476</t>
  </si>
  <si>
    <t>TXN_04477</t>
  </si>
  <si>
    <t>TXN_04478</t>
  </si>
  <si>
    <t>TXN_04479</t>
  </si>
  <si>
    <t>TXN_04480</t>
  </si>
  <si>
    <t>TXN_04481</t>
  </si>
  <si>
    <t>TXN_04482</t>
  </si>
  <si>
    <t>TXN_04483</t>
  </si>
  <si>
    <t>TXN_04484</t>
  </si>
  <si>
    <t>TXN_04485</t>
  </si>
  <si>
    <t>TXN_04486</t>
  </si>
  <si>
    <t>TXN_04487</t>
  </si>
  <si>
    <t>TXN_04488</t>
  </si>
  <si>
    <t>TXN_04489</t>
  </si>
  <si>
    <t>TXN_04490</t>
  </si>
  <si>
    <t>TXN_04491</t>
  </si>
  <si>
    <t>TXN_04492</t>
  </si>
  <si>
    <t>TXN_04493</t>
  </si>
  <si>
    <t>TXN_04494</t>
  </si>
  <si>
    <t>TXN_04495</t>
  </si>
  <si>
    <t>TXN_04496</t>
  </si>
  <si>
    <t>TXN_04497</t>
  </si>
  <si>
    <t>TXN_04498</t>
  </si>
  <si>
    <t>TXN_04499</t>
  </si>
  <si>
    <t>TXN_04500</t>
  </si>
  <si>
    <t>TXN_04501</t>
  </si>
  <si>
    <t>TXN_04502</t>
  </si>
  <si>
    <t>TXN_04503</t>
  </si>
  <si>
    <t>TXN_04504</t>
  </si>
  <si>
    <t>TXN_04505</t>
  </si>
  <si>
    <t>TXN_04506</t>
  </si>
  <si>
    <t>TXN_04507</t>
  </si>
  <si>
    <t>TXN_04508</t>
  </si>
  <si>
    <t>TXN_04509</t>
  </si>
  <si>
    <t>TXN_04510</t>
  </si>
  <si>
    <t>TXN_04511</t>
  </si>
  <si>
    <t>TXN_04512</t>
  </si>
  <si>
    <t>TXN_04513</t>
  </si>
  <si>
    <t>TXN_04514</t>
  </si>
  <si>
    <t>TXN_04515</t>
  </si>
  <si>
    <t>TXN_04516</t>
  </si>
  <si>
    <t>TXN_04517</t>
  </si>
  <si>
    <t>TXN_04518</t>
  </si>
  <si>
    <t>TXN_04519</t>
  </si>
  <si>
    <t>TXN_04520</t>
  </si>
  <si>
    <t>TXN_04521</t>
  </si>
  <si>
    <t>TXN_04522</t>
  </si>
  <si>
    <t>TXN_04523</t>
  </si>
  <si>
    <t>TXN_04524</t>
  </si>
  <si>
    <t>TXN_04525</t>
  </si>
  <si>
    <t>TXN_04526</t>
  </si>
  <si>
    <t>TXN_04527</t>
  </si>
  <si>
    <t>TXN_04528</t>
  </si>
  <si>
    <t>TXN_04529</t>
  </si>
  <si>
    <t>TXN_04530</t>
  </si>
  <si>
    <t>TXN_04531</t>
  </si>
  <si>
    <t>TXN_04532</t>
  </si>
  <si>
    <t>TXN_04533</t>
  </si>
  <si>
    <t>TXN_04534</t>
  </si>
  <si>
    <t>TXN_04535</t>
  </si>
  <si>
    <t>TXN_04536</t>
  </si>
  <si>
    <t>TXN_04537</t>
  </si>
  <si>
    <t>TXN_04538</t>
  </si>
  <si>
    <t>TXN_04539</t>
  </si>
  <si>
    <t>TXN_04540</t>
  </si>
  <si>
    <t>TXN_04541</t>
  </si>
  <si>
    <t>CUST_00543</t>
  </si>
  <si>
    <t>TXN_04542</t>
  </si>
  <si>
    <t>TXN_04543</t>
  </si>
  <si>
    <t>TXN_04544</t>
  </si>
  <si>
    <t>TXN_04545</t>
  </si>
  <si>
    <t>TXN_04546</t>
  </si>
  <si>
    <t>TXN_04547</t>
  </si>
  <si>
    <t>TXN_04548</t>
  </si>
  <si>
    <t>TXN_04549</t>
  </si>
  <si>
    <t>TXN_04550</t>
  </si>
  <si>
    <t>TXN_04551</t>
  </si>
  <si>
    <t>TXN_04552</t>
  </si>
  <si>
    <t>TXN_04553</t>
  </si>
  <si>
    <t>TXN_04554</t>
  </si>
  <si>
    <t>TXN_04555</t>
  </si>
  <si>
    <t>TXN_04556</t>
  </si>
  <si>
    <t>TXN_04557</t>
  </si>
  <si>
    <t>TXN_04558</t>
  </si>
  <si>
    <t>TXN_04559</t>
  </si>
  <si>
    <t>TXN_04560</t>
  </si>
  <si>
    <t>TXN_04561</t>
  </si>
  <si>
    <t>TXN_04562</t>
  </si>
  <si>
    <t>TXN_04563</t>
  </si>
  <si>
    <t>TXN_04564</t>
  </si>
  <si>
    <t>TXN_04565</t>
  </si>
  <si>
    <t>TXN_04566</t>
  </si>
  <si>
    <t>TXN_04567</t>
  </si>
  <si>
    <t>TXN_04568</t>
  </si>
  <si>
    <t>TXN_04569</t>
  </si>
  <si>
    <t>TXN_04570</t>
  </si>
  <si>
    <t>TXN_04571</t>
  </si>
  <si>
    <t>TXN_04572</t>
  </si>
  <si>
    <t>TXN_04573</t>
  </si>
  <si>
    <t>TXN_04574</t>
  </si>
  <si>
    <t>TXN_04575</t>
  </si>
  <si>
    <t>TXN_04576</t>
  </si>
  <si>
    <t>TXN_04577</t>
  </si>
  <si>
    <t>TXN_04578</t>
  </si>
  <si>
    <t>TXN_04579</t>
  </si>
  <si>
    <t>TXN_04580</t>
  </si>
  <si>
    <t>TXN_04581</t>
  </si>
  <si>
    <t>TXN_04582</t>
  </si>
  <si>
    <t>TXN_04583</t>
  </si>
  <si>
    <t>TXN_04584</t>
  </si>
  <si>
    <t>TXN_04585</t>
  </si>
  <si>
    <t>TXN_04586</t>
  </si>
  <si>
    <t>TXN_04587</t>
  </si>
  <si>
    <t>TXN_04588</t>
  </si>
  <si>
    <t>TXN_04589</t>
  </si>
  <si>
    <t>TXN_04590</t>
  </si>
  <si>
    <t>TXN_04591</t>
  </si>
  <si>
    <t>TXN_04592</t>
  </si>
  <si>
    <t>TXN_04593</t>
  </si>
  <si>
    <t>TXN_04594</t>
  </si>
  <si>
    <t>TXN_04595</t>
  </si>
  <si>
    <t>TXN_04596</t>
  </si>
  <si>
    <t>TXN_04597</t>
  </si>
  <si>
    <t>TXN_04598</t>
  </si>
  <si>
    <t>TXN_04599</t>
  </si>
  <si>
    <t>TXN_04600</t>
  </si>
  <si>
    <t>TXN_04601</t>
  </si>
  <si>
    <t>TXN_04602</t>
  </si>
  <si>
    <t>TXN_04603</t>
  </si>
  <si>
    <t>TXN_04604</t>
  </si>
  <si>
    <t>TXN_04605</t>
  </si>
  <si>
    <t>TXN_04606</t>
  </si>
  <si>
    <t>TXN_04607</t>
  </si>
  <si>
    <t>TXN_04608</t>
  </si>
  <si>
    <t>TXN_04609</t>
  </si>
  <si>
    <t>TXN_04610</t>
  </si>
  <si>
    <t>TXN_04611</t>
  </si>
  <si>
    <t>TXN_04612</t>
  </si>
  <si>
    <t>TXN_04613</t>
  </si>
  <si>
    <t>TXN_04614</t>
  </si>
  <si>
    <t>TXN_04615</t>
  </si>
  <si>
    <t>TXN_04616</t>
  </si>
  <si>
    <t>TXN_04617</t>
  </si>
  <si>
    <t>TXN_04618</t>
  </si>
  <si>
    <t>TXN_04619</t>
  </si>
  <si>
    <t>TXN_04620</t>
  </si>
  <si>
    <t>TXN_04621</t>
  </si>
  <si>
    <t>TXN_04622</t>
  </si>
  <si>
    <t>TXN_04623</t>
  </si>
  <si>
    <t>TXN_04624</t>
  </si>
  <si>
    <t>TXN_04625</t>
  </si>
  <si>
    <t>TXN_04626</t>
  </si>
  <si>
    <t>TXN_04627</t>
  </si>
  <si>
    <t>TXN_04628</t>
  </si>
  <si>
    <t>TXN_04629</t>
  </si>
  <si>
    <t>TXN_04630</t>
  </si>
  <si>
    <t>TXN_04631</t>
  </si>
  <si>
    <t>TXN_04632</t>
  </si>
  <si>
    <t>TXN_04633</t>
  </si>
  <si>
    <t>TXN_04634</t>
  </si>
  <si>
    <t>TXN_04635</t>
  </si>
  <si>
    <t>TXN_04636</t>
  </si>
  <si>
    <t>TXN_04637</t>
  </si>
  <si>
    <t>TXN_04638</t>
  </si>
  <si>
    <t>TXN_04639</t>
  </si>
  <si>
    <t>TXN_04640</t>
  </si>
  <si>
    <t>TXN_04641</t>
  </si>
  <si>
    <t>TXN_04642</t>
  </si>
  <si>
    <t>TXN_04643</t>
  </si>
  <si>
    <t>TXN_04644</t>
  </si>
  <si>
    <t>TXN_04645</t>
  </si>
  <si>
    <t>TXN_04646</t>
  </si>
  <si>
    <t>TXN_04647</t>
  </si>
  <si>
    <t>TXN_04648</t>
  </si>
  <si>
    <t>CUST_00723</t>
  </si>
  <si>
    <t>TXN_04649</t>
  </si>
  <si>
    <t>TXN_04650</t>
  </si>
  <si>
    <t>TXN_04651</t>
  </si>
  <si>
    <t>TXN_04652</t>
  </si>
  <si>
    <t>TXN_04653</t>
  </si>
  <si>
    <t>TXN_04654</t>
  </si>
  <si>
    <t>TXN_04655</t>
  </si>
  <si>
    <t>TXN_04656</t>
  </si>
  <si>
    <t>TXN_04657</t>
  </si>
  <si>
    <t>TXN_04658</t>
  </si>
  <si>
    <t>TXN_04659</t>
  </si>
  <si>
    <t>TXN_04660</t>
  </si>
  <si>
    <t>CUST_00823</t>
  </si>
  <si>
    <t>TXN_04661</t>
  </si>
  <si>
    <t>TXN_04662</t>
  </si>
  <si>
    <t>TXN_04663</t>
  </si>
  <si>
    <t>TXN_04664</t>
  </si>
  <si>
    <t>TXN_04665</t>
  </si>
  <si>
    <t>TXN_04666</t>
  </si>
  <si>
    <t>TXN_04667</t>
  </si>
  <si>
    <t>TXN_04668</t>
  </si>
  <si>
    <t>TXN_04669</t>
  </si>
  <si>
    <t>TXN_04670</t>
  </si>
  <si>
    <t>TXN_04671</t>
  </si>
  <si>
    <t>TXN_04672</t>
  </si>
  <si>
    <t>TXN_04673</t>
  </si>
  <si>
    <t>TXN_04674</t>
  </si>
  <si>
    <t>TXN_04675</t>
  </si>
  <si>
    <t>TXN_04676</t>
  </si>
  <si>
    <t>CUST_00521</t>
  </si>
  <si>
    <t>TXN_04677</t>
  </si>
  <si>
    <t>TXN_04678</t>
  </si>
  <si>
    <t>TXN_04679</t>
  </si>
  <si>
    <t>TXN_04680</t>
  </si>
  <si>
    <t>TXN_04681</t>
  </si>
  <si>
    <t>TXN_04682</t>
  </si>
  <si>
    <t>TXN_04683</t>
  </si>
  <si>
    <t>TXN_04684</t>
  </si>
  <si>
    <t>TXN_04685</t>
  </si>
  <si>
    <t>TXN_04686</t>
  </si>
  <si>
    <t>TXN_04687</t>
  </si>
  <si>
    <t>TXN_04688</t>
  </si>
  <si>
    <t>TXN_04689</t>
  </si>
  <si>
    <t>TXN_04690</t>
  </si>
  <si>
    <t>TXN_04691</t>
  </si>
  <si>
    <t>TXN_04692</t>
  </si>
  <si>
    <t>TXN_04693</t>
  </si>
  <si>
    <t>TXN_04694</t>
  </si>
  <si>
    <t>TXN_04695</t>
  </si>
  <si>
    <t>TXN_04696</t>
  </si>
  <si>
    <t>TXN_04697</t>
  </si>
  <si>
    <t>TXN_04698</t>
  </si>
  <si>
    <t>TXN_04699</t>
  </si>
  <si>
    <t>TXN_04700</t>
  </si>
  <si>
    <t>TXN_04701</t>
  </si>
  <si>
    <t>TXN_04702</t>
  </si>
  <si>
    <t>TXN_04703</t>
  </si>
  <si>
    <t>TXN_04704</t>
  </si>
  <si>
    <t>TXN_04705</t>
  </si>
  <si>
    <t>TXN_04706</t>
  </si>
  <si>
    <t>TXN_04707</t>
  </si>
  <si>
    <t>TXN_04708</t>
  </si>
  <si>
    <t>TXN_04709</t>
  </si>
  <si>
    <t>TXN_04710</t>
  </si>
  <si>
    <t>TXN_04711</t>
  </si>
  <si>
    <t>TXN_04712</t>
  </si>
  <si>
    <t>TXN_04713</t>
  </si>
  <si>
    <t>TXN_04714</t>
  </si>
  <si>
    <t>TXN_04715</t>
  </si>
  <si>
    <t>TXN_04716</t>
  </si>
  <si>
    <t>TXN_04717</t>
  </si>
  <si>
    <t>TXN_04718</t>
  </si>
  <si>
    <t>TXN_04719</t>
  </si>
  <si>
    <t>TXN_04720</t>
  </si>
  <si>
    <t>TXN_04721</t>
  </si>
  <si>
    <t>TXN_04722</t>
  </si>
  <si>
    <t>TXN_04723</t>
  </si>
  <si>
    <t>TXN_04724</t>
  </si>
  <si>
    <t>TXN_04725</t>
  </si>
  <si>
    <t>TXN_04726</t>
  </si>
  <si>
    <t>TXN_04727</t>
  </si>
  <si>
    <t>TXN_04728</t>
  </si>
  <si>
    <t>TXN_04729</t>
  </si>
  <si>
    <t>TXN_04730</t>
  </si>
  <si>
    <t>TXN_04731</t>
  </si>
  <si>
    <t>TXN_04732</t>
  </si>
  <si>
    <t>TXN_04733</t>
  </si>
  <si>
    <t>TXN_04734</t>
  </si>
  <si>
    <t>TXN_04735</t>
  </si>
  <si>
    <t>TXN_04736</t>
  </si>
  <si>
    <t>TXN_04737</t>
  </si>
  <si>
    <t>TXN_04738</t>
  </si>
  <si>
    <t>TXN_04739</t>
  </si>
  <si>
    <t>TXN_04740</t>
  </si>
  <si>
    <t>TXN_04741</t>
  </si>
  <si>
    <t>TXN_04742</t>
  </si>
  <si>
    <t>TXN_04743</t>
  </si>
  <si>
    <t>TXN_04744</t>
  </si>
  <si>
    <t>TXN_04745</t>
  </si>
  <si>
    <t>TXN_04746</t>
  </si>
  <si>
    <t>TXN_04747</t>
  </si>
  <si>
    <t>TXN_04748</t>
  </si>
  <si>
    <t>TXN_04749</t>
  </si>
  <si>
    <t>TXN_04750</t>
  </si>
  <si>
    <t>TXN_04751</t>
  </si>
  <si>
    <t>TXN_04752</t>
  </si>
  <si>
    <t>CUST_00375</t>
  </si>
  <si>
    <t>TXN_04753</t>
  </si>
  <si>
    <t>TXN_04754</t>
  </si>
  <si>
    <t>TXN_04755</t>
  </si>
  <si>
    <t>TXN_04756</t>
  </si>
  <si>
    <t>TXN_04757</t>
  </si>
  <si>
    <t>TXN_04758</t>
  </si>
  <si>
    <t>TXN_04759</t>
  </si>
  <si>
    <t>TXN_04760</t>
  </si>
  <si>
    <t>TXN_04761</t>
  </si>
  <si>
    <t>TXN_04762</t>
  </si>
  <si>
    <t>TXN_04763</t>
  </si>
  <si>
    <t>TXN_04764</t>
  </si>
  <si>
    <t>TXN_04765</t>
  </si>
  <si>
    <t>TXN_04766</t>
  </si>
  <si>
    <t>TXN_04767</t>
  </si>
  <si>
    <t>TXN_04768</t>
  </si>
  <si>
    <t>TXN_04769</t>
  </si>
  <si>
    <t>TXN_04770</t>
  </si>
  <si>
    <t>TXN_04771</t>
  </si>
  <si>
    <t>TXN_04772</t>
  </si>
  <si>
    <t>TXN_04773</t>
  </si>
  <si>
    <t>TXN_04774</t>
  </si>
  <si>
    <t>TXN_04775</t>
  </si>
  <si>
    <t>TXN_04776</t>
  </si>
  <si>
    <t>TXN_04777</t>
  </si>
  <si>
    <t>TXN_04778</t>
  </si>
  <si>
    <t>TXN_04779</t>
  </si>
  <si>
    <t>TXN_04780</t>
  </si>
  <si>
    <t>TXN_04781</t>
  </si>
  <si>
    <t>TXN_04782</t>
  </si>
  <si>
    <t>TXN_04783</t>
  </si>
  <si>
    <t>TXN_04784</t>
  </si>
  <si>
    <t>TXN_04785</t>
  </si>
  <si>
    <t>TXN_04786</t>
  </si>
  <si>
    <t>TXN_04787</t>
  </si>
  <si>
    <t>TXN_04788</t>
  </si>
  <si>
    <t>TXN_04789</t>
  </si>
  <si>
    <t>TXN_04790</t>
  </si>
  <si>
    <t>TXN_04791</t>
  </si>
  <si>
    <t>TXN_04792</t>
  </si>
  <si>
    <t>TXN_04793</t>
  </si>
  <si>
    <t>TXN_04794</t>
  </si>
  <si>
    <t>TXN_04795</t>
  </si>
  <si>
    <t>TXN_04796</t>
  </si>
  <si>
    <t>TXN_04797</t>
  </si>
  <si>
    <t>TXN_04798</t>
  </si>
  <si>
    <t>TXN_04799</t>
  </si>
  <si>
    <t>TXN_04800</t>
  </si>
  <si>
    <t>TXN_04801</t>
  </si>
  <si>
    <t>TXN_04802</t>
  </si>
  <si>
    <t>TXN_04803</t>
  </si>
  <si>
    <t>TXN_04804</t>
  </si>
  <si>
    <t>TXN_04805</t>
  </si>
  <si>
    <t>TXN_04806</t>
  </si>
  <si>
    <t>TXN_04807</t>
  </si>
  <si>
    <t>TXN_04808</t>
  </si>
  <si>
    <t>TXN_04809</t>
  </si>
  <si>
    <t>TXN_04810</t>
  </si>
  <si>
    <t>TXN_04811</t>
  </si>
  <si>
    <t>TXN_04812</t>
  </si>
  <si>
    <t>TXN_04813</t>
  </si>
  <si>
    <t>TXN_04814</t>
  </si>
  <si>
    <t>TXN_04815</t>
  </si>
  <si>
    <t>TXN_04816</t>
  </si>
  <si>
    <t>TXN_04817</t>
  </si>
  <si>
    <t>TXN_04818</t>
  </si>
  <si>
    <t>TXN_04819</t>
  </si>
  <si>
    <t>TXN_04820</t>
  </si>
  <si>
    <t>TXN_04821</t>
  </si>
  <si>
    <t>TXN_04822</t>
  </si>
  <si>
    <t>TXN_04823</t>
  </si>
  <si>
    <t>TXN_04824</t>
  </si>
  <si>
    <t>TXN_04825</t>
  </si>
  <si>
    <t>TXN_04826</t>
  </si>
  <si>
    <t>TXN_04827</t>
  </si>
  <si>
    <t>TXN_04828</t>
  </si>
  <si>
    <t>TXN_04829</t>
  </si>
  <si>
    <t>TXN_04830</t>
  </si>
  <si>
    <t>TXN_04831</t>
  </si>
  <si>
    <t>TXN_04832</t>
  </si>
  <si>
    <t>TXN_04833</t>
  </si>
  <si>
    <t>TXN_04834</t>
  </si>
  <si>
    <t>TXN_04835</t>
  </si>
  <si>
    <t>TXN_04836</t>
  </si>
  <si>
    <t>TXN_04837</t>
  </si>
  <si>
    <t>CUST_00595</t>
  </si>
  <si>
    <t>TXN_04838</t>
  </si>
  <si>
    <t>TXN_04839</t>
  </si>
  <si>
    <t>TXN_04840</t>
  </si>
  <si>
    <t>TXN_04841</t>
  </si>
  <si>
    <t>TXN_04842</t>
  </si>
  <si>
    <t>TXN_04843</t>
  </si>
  <si>
    <t>TXN_04844</t>
  </si>
  <si>
    <t>TXN_04845</t>
  </si>
  <si>
    <t>TXN_04846</t>
  </si>
  <si>
    <t>TXN_04847</t>
  </si>
  <si>
    <t>TXN_04848</t>
  </si>
  <si>
    <t>TXN_04849</t>
  </si>
  <si>
    <t>TXN_04850</t>
  </si>
  <si>
    <t>TXN_04851</t>
  </si>
  <si>
    <t>TXN_04852</t>
  </si>
  <si>
    <t>TXN_04853</t>
  </si>
  <si>
    <t>TXN_04854</t>
  </si>
  <si>
    <t>TXN_04855</t>
  </si>
  <si>
    <t>TXN_04856</t>
  </si>
  <si>
    <t>TXN_04857</t>
  </si>
  <si>
    <t>TXN_04858</t>
  </si>
  <si>
    <t>TXN_04859</t>
  </si>
  <si>
    <t>TXN_04860</t>
  </si>
  <si>
    <t>TXN_04861</t>
  </si>
  <si>
    <t>TXN_04862</t>
  </si>
  <si>
    <t>TXN_04863</t>
  </si>
  <si>
    <t>TXN_04864</t>
  </si>
  <si>
    <t>TXN_04865</t>
  </si>
  <si>
    <t>TXN_04866</t>
  </si>
  <si>
    <t>TXN_04867</t>
  </si>
  <si>
    <t>TXN_04868</t>
  </si>
  <si>
    <t>TXN_04869</t>
  </si>
  <si>
    <t>TXN_04870</t>
  </si>
  <si>
    <t>TXN_04871</t>
  </si>
  <si>
    <t>TXN_04872</t>
  </si>
  <si>
    <t>TXN_04873</t>
  </si>
  <si>
    <t>TXN_04874</t>
  </si>
  <si>
    <t>TXN_04875</t>
  </si>
  <si>
    <t>TXN_04876</t>
  </si>
  <si>
    <t>TXN_04877</t>
  </si>
  <si>
    <t>TXN_04878</t>
  </si>
  <si>
    <t>TXN_04879</t>
  </si>
  <si>
    <t>TXN_04880</t>
  </si>
  <si>
    <t>TXN_04881</t>
  </si>
  <si>
    <t>TXN_04882</t>
  </si>
  <si>
    <t>TXN_04883</t>
  </si>
  <si>
    <t>TXN_04884</t>
  </si>
  <si>
    <t>TXN_04885</t>
  </si>
  <si>
    <t>TXN_04886</t>
  </si>
  <si>
    <t>TXN_04887</t>
  </si>
  <si>
    <t>TXN_04888</t>
  </si>
  <si>
    <t>TXN_04889</t>
  </si>
  <si>
    <t>TXN_04890</t>
  </si>
  <si>
    <t>TXN_04891</t>
  </si>
  <si>
    <t>TXN_04892</t>
  </si>
  <si>
    <t>TXN_04893</t>
  </si>
  <si>
    <t>TXN_04894</t>
  </si>
  <si>
    <t>TXN_04895</t>
  </si>
  <si>
    <t>TXN_04896</t>
  </si>
  <si>
    <t>TXN_04897</t>
  </si>
  <si>
    <t>TXN_04898</t>
  </si>
  <si>
    <t>TXN_04899</t>
  </si>
  <si>
    <t>TXN_04900</t>
  </si>
  <si>
    <t>TXN_04901</t>
  </si>
  <si>
    <t>TXN_04902</t>
  </si>
  <si>
    <t>TXN_04903</t>
  </si>
  <si>
    <t>TXN_04904</t>
  </si>
  <si>
    <t>TXN_04905</t>
  </si>
  <si>
    <t>TXN_04906</t>
  </si>
  <si>
    <t>TXN_04907</t>
  </si>
  <si>
    <t>TXN_04908</t>
  </si>
  <si>
    <t>TXN_04909</t>
  </si>
  <si>
    <t>TXN_04910</t>
  </si>
  <si>
    <t>TXN_04911</t>
  </si>
  <si>
    <t>TXN_04912</t>
  </si>
  <si>
    <t>TXN_04913</t>
  </si>
  <si>
    <t>TXN_04914</t>
  </si>
  <si>
    <t>TXN_04915</t>
  </si>
  <si>
    <t>TXN_04916</t>
  </si>
  <si>
    <t>TXN_04917</t>
  </si>
  <si>
    <t>TXN_04918</t>
  </si>
  <si>
    <t>TXN_04919</t>
  </si>
  <si>
    <t>TXN_04920</t>
  </si>
  <si>
    <t>TXN_04921</t>
  </si>
  <si>
    <t>TXN_04922</t>
  </si>
  <si>
    <t>TXN_04923</t>
  </si>
  <si>
    <t>TXN_04924</t>
  </si>
  <si>
    <t>TXN_04925</t>
  </si>
  <si>
    <t>TXN_04926</t>
  </si>
  <si>
    <t>TXN_04927</t>
  </si>
  <si>
    <t>TXN_04928</t>
  </si>
  <si>
    <t>TXN_04929</t>
  </si>
  <si>
    <t>TXN_04930</t>
  </si>
  <si>
    <t>TXN_04931</t>
  </si>
  <si>
    <t>TXN_04932</t>
  </si>
  <si>
    <t>TXN_04933</t>
  </si>
  <si>
    <t>TXN_04934</t>
  </si>
  <si>
    <t>TXN_04935</t>
  </si>
  <si>
    <t>TXN_04936</t>
  </si>
  <si>
    <t>TXN_04937</t>
  </si>
  <si>
    <t>TXN_04938</t>
  </si>
  <si>
    <t>TXN_04939</t>
  </si>
  <si>
    <t>TXN_04940</t>
  </si>
  <si>
    <t>TXN_04941</t>
  </si>
  <si>
    <t>TXN_04942</t>
  </si>
  <si>
    <t>TXN_04943</t>
  </si>
  <si>
    <t>TXN_04944</t>
  </si>
  <si>
    <t>TXN_04945</t>
  </si>
  <si>
    <t>TXN_04946</t>
  </si>
  <si>
    <t>TXN_04947</t>
  </si>
  <si>
    <t>TXN_04948</t>
  </si>
  <si>
    <t>TXN_04949</t>
  </si>
  <si>
    <t>TXN_04950</t>
  </si>
  <si>
    <t>TXN_04951</t>
  </si>
  <si>
    <t>TXN_04952</t>
  </si>
  <si>
    <t>TXN_04953</t>
  </si>
  <si>
    <t>TXN_04954</t>
  </si>
  <si>
    <t>TXN_04955</t>
  </si>
  <si>
    <t>TXN_04956</t>
  </si>
  <si>
    <t>TXN_04957</t>
  </si>
  <si>
    <t>TXN_04958</t>
  </si>
  <si>
    <t>TXN_04959</t>
  </si>
  <si>
    <t>TXN_04960</t>
  </si>
  <si>
    <t>TXN_04961</t>
  </si>
  <si>
    <t>TXN_04962</t>
  </si>
  <si>
    <t>TXN_04963</t>
  </si>
  <si>
    <t>TXN_04964</t>
  </si>
  <si>
    <t>TXN_04965</t>
  </si>
  <si>
    <t>TXN_04966</t>
  </si>
  <si>
    <t>TXN_04967</t>
  </si>
  <si>
    <t>TXN_04968</t>
  </si>
  <si>
    <t>TXN_04969</t>
  </si>
  <si>
    <t>TXN_04970</t>
  </si>
  <si>
    <t>TXN_04971</t>
  </si>
  <si>
    <t>TXN_04972</t>
  </si>
  <si>
    <t>TXN_04973</t>
  </si>
  <si>
    <t>TXN_04974</t>
  </si>
  <si>
    <t>TXN_04975</t>
  </si>
  <si>
    <t>TXN_04976</t>
  </si>
  <si>
    <t>TXN_04977</t>
  </si>
  <si>
    <t>TXN_04978</t>
  </si>
  <si>
    <t>TXN_04979</t>
  </si>
  <si>
    <t>TXN_04980</t>
  </si>
  <si>
    <t>TXN_04981</t>
  </si>
  <si>
    <t>TXN_04982</t>
  </si>
  <si>
    <t>TXN_04983</t>
  </si>
  <si>
    <t>TXN_04984</t>
  </si>
  <si>
    <t>TXN_04985</t>
  </si>
  <si>
    <t>TXN_04986</t>
  </si>
  <si>
    <t>TXN_04987</t>
  </si>
  <si>
    <t>TXN_04988</t>
  </si>
  <si>
    <t>TXN_04989</t>
  </si>
  <si>
    <t>TXN_04990</t>
  </si>
  <si>
    <t>TXN_04991</t>
  </si>
  <si>
    <t>TXN_04992</t>
  </si>
  <si>
    <t>TXN_04993</t>
  </si>
  <si>
    <t>TXN_04994</t>
  </si>
  <si>
    <t>TXN_04995</t>
  </si>
  <si>
    <t>TXN_04996</t>
  </si>
  <si>
    <t>TXN_04997</t>
  </si>
  <si>
    <t>TXN_04998</t>
  </si>
  <si>
    <t>TXN_04999</t>
  </si>
  <si>
    <t>TXN_05000</t>
  </si>
  <si>
    <t>Profit</t>
  </si>
  <si>
    <t>Discount Tier</t>
  </si>
  <si>
    <t>Grand Total</t>
  </si>
  <si>
    <t>Sum of Final_Price</t>
  </si>
  <si>
    <t>Total</t>
  </si>
  <si>
    <t>Sum of Quantity</t>
  </si>
  <si>
    <t>Values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</si>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</sst>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 &quot;₹&quot;\ * #,##0.00_ ;_ &quot;₹&quot;\ * \-#,##0.00_ ;_ &quot;₹&quot;\ * &quot;-&quot;??_ ;_ @_ "/>
    <numFmt numFmtId="164" formatCode="[$-14009]yyyy/mm/dd;@"/>
    <numFmt numFmtId="165" formatCode="&quot;₹&quot;\ #,##0.00"/>
    <numFmt numFmtId="166" formatCode="_ [$₹-4009]\ * #,##0.00_ ;_ [$₹-4009]\ * \-#,##0.00_ ;_ [$₹-4009]\ 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166" fontId="0" fillId="0" borderId="0" xfId="0" applyNumberFormat="1"/>
    <xf numFmtId="44" fontId="0" fillId="0" borderId="0" xfId="42" applyFont="1"/>
    <xf numFmtId="14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0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164" formatCode="[$-14009]yyyy/mm/dd;@"/>
      <alignment horizontal="left" vertical="bottom" textRotation="0" wrapText="0" indent="0" justifyLastLine="0" shrinkToFit="0" readingOrder="0"/>
    </dxf>
    <dxf>
      <numFmt numFmtId="164" formatCode="[$-14009]yyyy/mm/dd;@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[retail_sales_dataset-1.xlsx]PT1_Revenue_Region!PivotTable1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Revenue by Region-2024</a:t>
            </a:r>
          </a:p>
        </c:rich>
      </c:tx>
      <c:layout>
        <c:manualLayout>
          <c:xMode val="edge"/>
          <c:yMode val="edge"/>
          <c:x val="0.25636019762235601"/>
          <c:y val="3.9162679596930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888567237918788"/>
          <c:y val="0.14275039870697365"/>
          <c:w val="0.51876837270341203"/>
          <c:h val="0.629315762613006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PT1_Revenue_Region!$B$1:$B$2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PT1_Revenue_Region!$A$3:$A$8</c:f>
              <c:strCache>
                <c:ptCount val="5"/>
                <c:pt idx="0">
                  <c:v>Central</c:v>
                </c:pt>
                <c:pt idx="1">
                  <c:v>South</c:v>
                </c:pt>
                <c:pt idx="2">
                  <c:v>North</c:v>
                </c:pt>
                <c:pt idx="3">
                  <c:v>East</c:v>
                </c:pt>
                <c:pt idx="4">
                  <c:v>West</c:v>
                </c:pt>
              </c:strCache>
            </c:strRef>
          </c:cat>
          <c:val>
            <c:numRef>
              <c:f>PT1_Revenue_Region!$B$3:$B$8</c:f>
              <c:numCache>
                <c:formatCode>"₹"\ #,##0.00</c:formatCode>
                <c:ptCount val="5"/>
                <c:pt idx="0">
                  <c:v>5903850.9600000018</c:v>
                </c:pt>
                <c:pt idx="1">
                  <c:v>5747346.3599999985</c:v>
                </c:pt>
                <c:pt idx="2">
                  <c:v>5695429.2499999963</c:v>
                </c:pt>
                <c:pt idx="3">
                  <c:v>5506560.5299999928</c:v>
                </c:pt>
                <c:pt idx="4">
                  <c:v>5483914.6299999952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91532296"/>
        <c:axId val="292636168"/>
      </c:barChart>
      <c:catAx>
        <c:axId val="291532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636168"/>
        <c:crosses val="autoZero"/>
        <c:auto val="1"/>
        <c:lblAlgn val="ctr"/>
        <c:lblOffset val="100"/>
        <c:noMultiLvlLbl val="0"/>
      </c:catAx>
      <c:valAx>
        <c:axId val="292636168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crossAx val="291532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4091496834954449"/>
          <c:y val="0.2332050319323164"/>
          <c:w val="0.14437914929751428"/>
          <c:h val="6.7666187503128861E-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[retail_sales_dataset-1.xlsx]PT2_Sales_Category!PivotTable2</c:name>
    <c:fmtId val="9"/>
  </c:pivotSource>
  <c:chart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8146981627296585"/>
          <c:y val="0.21844207831637868"/>
          <c:w val="0.53508464566929137"/>
          <c:h val="0.39566371303638309"/>
        </c:manualLayout>
      </c:layout>
      <c:lineChart>
        <c:grouping val="standard"/>
        <c:varyColors val="0"/>
        <c:ser>
          <c:idx val="0"/>
          <c:order val="0"/>
          <c:tx>
            <c:strRef>
              <c:f>PT2_Sales_Category!$B$3:$B$4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PT2_Sales_Category!$A$5:$A$13</c:f>
              <c:strCache>
                <c:ptCount val="8"/>
                <c:pt idx="0">
                  <c:v>Home &amp; Garden</c:v>
                </c:pt>
                <c:pt idx="1">
                  <c:v>Sports</c:v>
                </c:pt>
                <c:pt idx="2">
                  <c:v>Electronics</c:v>
                </c:pt>
                <c:pt idx="3">
                  <c:v>Clothing</c:v>
                </c:pt>
                <c:pt idx="4">
                  <c:v>Toys</c:v>
                </c:pt>
                <c:pt idx="5">
                  <c:v>Beauty</c:v>
                </c:pt>
                <c:pt idx="6">
                  <c:v>Books</c:v>
                </c:pt>
                <c:pt idx="7">
                  <c:v>Food &amp; Beverages</c:v>
                </c:pt>
              </c:strCache>
            </c:strRef>
          </c:cat>
          <c:val>
            <c:numRef>
              <c:f>PT2_Sales_Category!$B$5:$B$13</c:f>
              <c:numCache>
                <c:formatCode>General</c:formatCode>
                <c:ptCount val="8"/>
                <c:pt idx="0">
                  <c:v>3581</c:v>
                </c:pt>
                <c:pt idx="1">
                  <c:v>3668</c:v>
                </c:pt>
                <c:pt idx="2">
                  <c:v>3471</c:v>
                </c:pt>
                <c:pt idx="3">
                  <c:v>3369</c:v>
                </c:pt>
                <c:pt idx="4">
                  <c:v>3833</c:v>
                </c:pt>
                <c:pt idx="5">
                  <c:v>3425</c:v>
                </c:pt>
                <c:pt idx="6">
                  <c:v>3433</c:v>
                </c:pt>
                <c:pt idx="7">
                  <c:v>3230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PT2_Sales_Category!$C$3:$C$4</c:f>
              <c:strCache>
                <c:ptCount val="1"/>
                <c:pt idx="0">
                  <c:v>Sum of Final_Price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PT2_Sales_Category!$A$5:$A$13</c:f>
              <c:strCache>
                <c:ptCount val="8"/>
                <c:pt idx="0">
                  <c:v>Home &amp; Garden</c:v>
                </c:pt>
                <c:pt idx="1">
                  <c:v>Sports</c:v>
                </c:pt>
                <c:pt idx="2">
                  <c:v>Electronics</c:v>
                </c:pt>
                <c:pt idx="3">
                  <c:v>Clothing</c:v>
                </c:pt>
                <c:pt idx="4">
                  <c:v>Toys</c:v>
                </c:pt>
                <c:pt idx="5">
                  <c:v>Beauty</c:v>
                </c:pt>
                <c:pt idx="6">
                  <c:v>Books</c:v>
                </c:pt>
                <c:pt idx="7">
                  <c:v>Food &amp; Beverages</c:v>
                </c:pt>
              </c:strCache>
            </c:strRef>
          </c:cat>
          <c:val>
            <c:numRef>
              <c:f>PT2_Sales_Category!$C$5:$C$13</c:f>
              <c:numCache>
                <c:formatCode>General</c:formatCode>
                <c:ptCount val="8"/>
                <c:pt idx="0">
                  <c:v>10202037.079999993</c:v>
                </c:pt>
                <c:pt idx="1">
                  <c:v>5621150.8799999943</c:v>
                </c:pt>
                <c:pt idx="2">
                  <c:v>4088246.9899999993</c:v>
                </c:pt>
                <c:pt idx="3">
                  <c:v>2842599.310000001</c:v>
                </c:pt>
                <c:pt idx="4">
                  <c:v>2148944.52</c:v>
                </c:pt>
                <c:pt idx="5">
                  <c:v>1422705.9799999995</c:v>
                </c:pt>
                <c:pt idx="6">
                  <c:v>1201312.6999999993</c:v>
                </c:pt>
                <c:pt idx="7">
                  <c:v>810104.27000000014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8204736"/>
        <c:axId val="258205120"/>
      </c:lineChart>
      <c:catAx>
        <c:axId val="258204736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05120"/>
        <c:crosses val="autoZero"/>
        <c:auto val="1"/>
        <c:lblAlgn val="ctr"/>
        <c:lblOffset val="100"/>
        <c:noMultiLvlLbl val="0"/>
      </c:catAx>
      <c:valAx>
        <c:axId val="25820512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20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[retail_sales_dataset-1.xlsx]PT3_Revenue_Month!PivotTable1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Monthly_Trend -2024</a:t>
            </a:r>
          </a:p>
        </c:rich>
      </c:tx>
      <c:layout>
        <c:manualLayout>
          <c:xMode val="edge"/>
          <c:yMode val="edge"/>
          <c:x val="0.27441666666666664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>
        <c:manualLayout>
          <c:layoutTarget val="inner"/>
          <c:xMode val="edge"/>
          <c:yMode val="edge"/>
          <c:x val="0.14658092738407696"/>
          <c:y val="0.22365522018081074"/>
          <c:w val="0.68391863517060369"/>
          <c:h val="0.40915354330708659"/>
        </c:manualLayout>
      </c:layout>
      <c:lineChart>
        <c:grouping val="standard"/>
        <c:varyColors val="0"/>
        <c:ser>
          <c:idx val="0"/>
          <c:order val="0"/>
          <c:tx>
            <c:strRef>
              <c:f>PT3_Revenue_Month!$B$1:$B$2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PT3_Revenue_Month!$A$3:$A$15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PT3_Revenue_Month!$B$3:$B$15</c:f>
              <c:numCache>
                <c:formatCode>General</c:formatCode>
                <c:ptCount val="12"/>
                <c:pt idx="0">
                  <c:v>2382846.9999999977</c:v>
                </c:pt>
                <c:pt idx="1">
                  <c:v>2190607.29</c:v>
                </c:pt>
                <c:pt idx="2">
                  <c:v>2211432.5300000003</c:v>
                </c:pt>
                <c:pt idx="3">
                  <c:v>1925902.6099999994</c:v>
                </c:pt>
                <c:pt idx="4">
                  <c:v>2324668.2900000014</c:v>
                </c:pt>
                <c:pt idx="5">
                  <c:v>2560756.1599999974</c:v>
                </c:pt>
                <c:pt idx="6">
                  <c:v>2426256.5300000007</c:v>
                </c:pt>
                <c:pt idx="7">
                  <c:v>2275599.6200000006</c:v>
                </c:pt>
                <c:pt idx="8">
                  <c:v>2392040.2299999977</c:v>
                </c:pt>
                <c:pt idx="9">
                  <c:v>2596513.12</c:v>
                </c:pt>
                <c:pt idx="10">
                  <c:v>2337424.870000001</c:v>
                </c:pt>
                <c:pt idx="11">
                  <c:v>2713053.4800000014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355832"/>
        <c:axId val="255338840"/>
      </c:lineChart>
      <c:catAx>
        <c:axId val="255355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38840"/>
        <c:crosses val="autoZero"/>
        <c:auto val="1"/>
        <c:lblAlgn val="ctr"/>
        <c:lblOffset val="100"/>
        <c:noMultiLvlLbl val="0"/>
      </c:catAx>
      <c:valAx>
        <c:axId val="255338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355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457200</xdr:colOff>
      <xdr:row>0</xdr:row>
      <xdr:rowOff>0</xdr:rowOff>
    </xdr:from>
    <xdr:to>
      <xdr:col>11</xdr:col>
      <xdr:colOff>152400</xdr:colOff>
      <xdr:row>18</xdr:row>
      <xdr:rowOff>9525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</cdr:x>
      <cdr:y>0.5625</cdr:y>
    </cdr:from>
    <cdr:to>
      <cdr:x>0.7</cdr:x>
      <cdr:y>0.89583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86000" y="15430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  <cdr:relSizeAnchor xmlns:cdr="http://schemas.openxmlformats.org/drawingml/2006/chartDrawing">
    <cdr:from>
      <cdr:x>0.25184</cdr:x>
      <cdr:y>0.88011</cdr:y>
    </cdr:from>
    <cdr:to>
      <cdr:x>0.91176</cdr:x>
      <cdr:y>0.9782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304925" y="3076575"/>
          <a:ext cx="3419475" cy="3429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IN" sz="1200" b="1">
              <a:solidFill>
                <a:schemeClr val="accent1">
                  <a:lumMod val="75000"/>
                </a:schemeClr>
              </a:solidFill>
            </a:rPr>
            <a:t>Central leads with</a:t>
          </a:r>
          <a:r>
            <a:rPr lang="en-IN" sz="1200" b="1" baseline="0">
              <a:solidFill>
                <a:schemeClr val="accent1">
                  <a:lumMod val="75000"/>
                </a:schemeClr>
              </a:solidFill>
            </a:rPr>
            <a:t> 59.03 L (20.8% of total )</a:t>
          </a:r>
          <a:endParaRPr lang="en-IN" sz="1200" b="1">
            <a:solidFill>
              <a:schemeClr val="accent1">
                <a:lumMod val="75000"/>
              </a:schemeClr>
            </a:solidFill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309562</xdr:colOff>
      <xdr:row>2</xdr:row>
      <xdr:rowOff>4761</xdr:rowOff>
    </xdr:from>
    <xdr:to>
      <xdr:col>11</xdr:col>
      <xdr:colOff>4762</xdr:colOff>
      <xdr:row>19</xdr:row>
      <xdr:rowOff>66675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542925</xdr:colOff>
      <xdr:row>16</xdr:row>
      <xdr:rowOff>161925</xdr:rowOff>
    </xdr:from>
    <xdr:to>
      <xdr:col>10</xdr:col>
      <xdr:colOff>552450</xdr:colOff>
      <xdr:row>18</xdr:row>
      <xdr:rowOff>104775</xdr:rowOff>
    </xdr:to>
    <xdr:sp macro="" textlink="">
      <xdr:nvSpPr>
        <xdr:cNvPr id="3" name="TextBox 2"/>
        <xdr:cNvSpPr txBox="1"/>
      </xdr:nvSpPr>
      <xdr:spPr>
        <a:xfrm>
          <a:off x="4486275" y="3209925"/>
          <a:ext cx="3667125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>
              <a:solidFill>
                <a:schemeClr val="bg1"/>
              </a:solidFill>
            </a:rPr>
            <a:t>Home</a:t>
          </a:r>
          <a:r>
            <a:rPr lang="en-IN" sz="1200" b="1" baseline="0">
              <a:solidFill>
                <a:schemeClr val="bg1"/>
              </a:solidFill>
            </a:rPr>
            <a:t> &amp; Garden  is Top Category with 1.02 Cr </a:t>
          </a:r>
          <a:endParaRPr lang="en-IN" sz="1200" b="1">
            <a:solidFill>
              <a:schemeClr val="bg1"/>
            </a:solidFill>
          </a:endParaRPr>
        </a:p>
      </xdr:txBody>
    </xdr: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0.24479</cdr:x>
      <cdr:y>0.82973</cdr:y>
    </cdr:from>
    <cdr:to>
      <cdr:x>0.86771</cdr:x>
      <cdr:y>0.88456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19188" y="2738439"/>
          <a:ext cx="2847975" cy="1809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IN" sz="1100"/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</xdr:colOff>
      <xdr:row>1</xdr:row>
      <xdr:rowOff>38100</xdr:rowOff>
    </xdr:from>
    <xdr:to>
      <xdr:col>10</xdr:col>
      <xdr:colOff>309562</xdr:colOff>
      <xdr:row>16</xdr:row>
      <xdr:rowOff>157163</xdr:rowOff>
    </xdr:to>
    <xdr:grpSp>
      <xdr:nvGrpSpPr>
        <xdr:cNvPr id="6" name="Group 5"/>
        <xdr:cNvGrpSpPr/>
      </xdr:nvGrpSpPr>
      <xdr:grpSpPr>
        <a:xfrm>
          <a:off x="2586037" y="228600"/>
          <a:ext cx="4572000" cy="2976563"/>
          <a:chOff x="2586037" y="228600"/>
          <a:chExt cx="4572000" cy="2976563"/>
        </a:xfrm>
      </xdr:grpSpPr>
      <xdr:graphicFrame macro="">
        <xdr:nvGraphicFramePr>
          <xdr:cNvPr id="3" name="Chart 2"/>
          <xdr:cNvGraphicFramePr/>
        </xdr:nvGraphicFramePr>
        <xdr:xfrm>
          <a:off x="2586037" y="228600"/>
          <a:ext cx="4572000" cy="29765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/>
          <xdr:cNvSpPr txBox="1"/>
        </xdr:nvSpPr>
        <xdr:spPr>
          <a:xfrm>
            <a:off x="3429000" y="2771774"/>
            <a:ext cx="3505200" cy="39052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200" b="1">
                <a:solidFill>
                  <a:schemeClr val="accent6"/>
                </a:solidFill>
              </a:rPr>
              <a:t>December  Peak</a:t>
            </a:r>
            <a:r>
              <a:rPr lang="en-IN" sz="1200" b="1" baseline="0">
                <a:solidFill>
                  <a:schemeClr val="accent6"/>
                </a:solidFill>
              </a:rPr>
              <a:t>s at 27.1 L </a:t>
            </a:r>
            <a:r>
              <a:rPr lang="en-IN" sz="1400" b="1" baseline="0">
                <a:solidFill>
                  <a:schemeClr val="bg1"/>
                </a:solidFill>
              </a:rPr>
              <a:t>|</a:t>
            </a:r>
            <a:r>
              <a:rPr lang="en-IN" sz="1200" b="1" baseline="0">
                <a:solidFill>
                  <a:schemeClr val="bg1"/>
                </a:solidFill>
              </a:rPr>
              <a:t> </a:t>
            </a:r>
            <a:r>
              <a:rPr lang="en-IN" sz="1200" b="1" baseline="0">
                <a:solidFill>
                  <a:srgbClr val="C00000"/>
                </a:solidFill>
              </a:rPr>
              <a:t>April Lowest at 19.2  L</a:t>
            </a:r>
          </a:p>
          <a:p>
            <a:endParaRPr lang="en-IN" sz="1100">
              <a:solidFill>
                <a:srgbClr val="C00000"/>
              </a:solidFill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104.460501851849" createdVersion="5" refreshedVersion="5" minRefreshableVersion="3" recordCount="5000">
  <cacheSource type="worksheet">
    <worksheetSource name="Retail_Sales_Analyis"/>
  </cacheSource>
  <cacheFields count="20">
    <cacheField name="Transaction_ID" numFmtId="0">
      <sharedItems/>
    </cacheField>
    <cacheField name="Date" numFmtId="164">
      <sharedItems containsSemiMixedTypes="0" containsNonDate="0" containsDate="1" containsString="0" minDate="2024-01-01T00:00:00" maxDate="2025-01-01T00:00:00"/>
    </cacheField>
    <cacheField name="Month" numFmtId="0">
      <sharedItems count="12">
        <s v="November"/>
        <s v="February"/>
        <s v="January"/>
        <s v="May"/>
        <s v="April"/>
        <s v="March"/>
        <s v="December"/>
        <s v="October"/>
        <s v="August"/>
        <s v="September"/>
        <s v="June"/>
        <s v="July"/>
      </sharedItems>
    </cacheField>
    <cacheField name="Day_of_Week" numFmtId="0">
      <sharedItems/>
    </cacheField>
    <cacheField name="Store_ID" numFmtId="0">
      <sharedItems/>
    </cacheField>
    <cacheField name="Region" numFmtId="0">
      <sharedItems count="5">
        <s v="South"/>
        <s v="East"/>
        <s v="North"/>
        <s v="West"/>
        <s v="Central"/>
      </sharedItems>
    </cacheField>
    <cacheField name="Category" numFmtId="0">
      <sharedItems count="8">
        <s v="Toys"/>
        <s v="Food &amp; Beverages"/>
        <s v="Beauty"/>
        <s v="Sports"/>
        <s v="Books"/>
        <s v="Home &amp; Garden"/>
        <s v="Electronics"/>
        <s v="Clothing"/>
      </sharedItems>
    </cacheField>
    <cacheField name="Product" numFmtId="0">
      <sharedItems count="40">
        <s v="Board Game"/>
        <s v="Chocolate"/>
        <s v="Face Cream"/>
        <s v="Juice"/>
        <s v="Doll"/>
        <s v="Bicycle"/>
        <s v="Snacks"/>
        <s v="Face Wash"/>
        <s v="Fiction Novel"/>
        <s v="Chair"/>
        <s v="Table"/>
        <s v="Lamp"/>
        <s v="Dumbbells"/>
        <s v="Perfume"/>
        <s v="Mobile Phone"/>
        <s v="Headphones"/>
        <s v="Cricket Bat"/>
        <s v="Tech Manual"/>
        <s v="Action Figure"/>
        <s v="Cook Book"/>
        <s v="Self-Help"/>
        <s v="Yoga Mat"/>
        <s v="Running Shoes"/>
        <s v="Shoes"/>
        <s v="Dress"/>
        <s v="Bed"/>
        <s v="Smart Watch"/>
        <s v="Building Blocks"/>
        <s v="T-Shirt"/>
        <s v="Lipstick"/>
        <s v="Laptop"/>
        <s v="Tea"/>
        <s v="Puzzle"/>
        <s v="Tablet"/>
        <s v="Sofa"/>
        <s v="History Book"/>
        <s v="Coffee"/>
        <s v="Jacket"/>
        <s v="Jeans"/>
        <s v="Shampoo"/>
      </sharedItems>
    </cacheField>
    <cacheField name="Unit_Price" numFmtId="0">
      <sharedItems containsSemiMixedTypes="0" containsString="0" containsNumber="1" minValue="50.32" maxValue="4992.3599999999997"/>
    </cacheField>
    <cacheField name="Quantity" numFmtId="0">
      <sharedItems containsSemiMixedTypes="0" containsString="0" containsNumber="1" containsInteger="1" minValue="1" maxValue="10"/>
    </cacheField>
    <cacheField name="Total_Price" numFmtId="0">
      <sharedItems containsSemiMixedTypes="0" containsString="0" containsNumber="1" minValue="54.57" maxValue="49796.1"/>
    </cacheField>
    <cacheField name="Discount_Percent" numFmtId="0">
      <sharedItems containsSemiMixedTypes="0" containsString="0" containsNumber="1" containsInteger="1" minValue="0" maxValue="20"/>
    </cacheField>
    <cacheField name="Discount_Amount" numFmtId="0">
      <sharedItems containsSemiMixedTypes="0" containsString="0" containsNumber="1" minValue="0" maxValue="9959.2199999999993"/>
    </cacheField>
    <cacheField name="Final_Price" numFmtId="0">
      <sharedItems containsSemiMixedTypes="0" containsString="0" containsNumber="1" minValue="53.73" maxValue="48874.5"/>
    </cacheField>
    <cacheField name="Payment_Method" numFmtId="0">
      <sharedItems/>
    </cacheField>
    <cacheField name="Customer_ID" numFmtId="0">
      <sharedItems/>
    </cacheField>
    <cacheField name="Customer_Rating" numFmtId="0">
      <sharedItems containsSemiMixedTypes="0" containsString="0" containsNumber="1" containsInteger="1" minValue="1" maxValue="5"/>
    </cacheField>
    <cacheField name="Profit" numFmtId="0">
      <sharedItems containsSemiMixedTypes="0" containsString="0" containsNumber="1" minValue="0" maxValue="9959.2200000000012"/>
    </cacheField>
    <cacheField name="Revenue" numFmtId="0">
      <sharedItems containsSemiMixedTypes="0" containsString="0" containsNumber="1" minValue="43.327500000000001" maxValue="4960.59"/>
    </cacheField>
    <cacheField name="Discount Tier" numFmtId="0">
      <sharedItems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0">
  <r>
    <s v="TXN_00001"/>
    <d v="2024-11-23T00:00:00"/>
    <x v="0"/>
    <s v="Saturday"/>
    <s v="STORE_042"/>
    <x v="0"/>
    <x v="0"/>
    <x v="0"/>
    <n v="871.23"/>
    <n v="9"/>
    <n v="7841.07"/>
    <n v="10"/>
    <n v="784.11"/>
    <n v="7056.96"/>
    <s v="Credit Card"/>
    <s v="CUST_00518"/>
    <n v="1"/>
    <n v="784.10999999999967"/>
    <n v="784.10666666666668"/>
    <s v="Medium"/>
  </r>
  <r>
    <s v="TXN_00002"/>
    <d v="2024-02-27T00:00:00"/>
    <x v="1"/>
    <s v="Tuesday"/>
    <s v="STORE_016"/>
    <x v="1"/>
    <x v="1"/>
    <x v="1"/>
    <n v="441.24"/>
    <n v="2"/>
    <n v="882.48"/>
    <n v="20"/>
    <n v="176.5"/>
    <n v="705.98"/>
    <s v="UPI"/>
    <s v="CUST_00994"/>
    <n v="3"/>
    <n v="176.5"/>
    <n v="352.99"/>
    <s v="High"/>
  </r>
  <r>
    <s v="TXN_00003"/>
    <d v="2024-01-13T00:00:00"/>
    <x v="2"/>
    <s v="Saturday"/>
    <s v="STORE_016"/>
    <x v="2"/>
    <x v="2"/>
    <x v="2"/>
    <n v="454.85"/>
    <n v="9"/>
    <n v="4093.65"/>
    <n v="15"/>
    <n v="614.04999999999995"/>
    <n v="3479.6"/>
    <s v="UPI"/>
    <s v="CUST_00471"/>
    <n v="4"/>
    <n v="614.05000000000018"/>
    <n v="386.62222222222221"/>
    <s v="Medium"/>
  </r>
  <r>
    <s v="TXN_00004"/>
    <d v="2024-05-20T00:00:00"/>
    <x v="3"/>
    <s v="Monday"/>
    <s v="STORE_032"/>
    <x v="2"/>
    <x v="1"/>
    <x v="3"/>
    <n v="251.64"/>
    <n v="8"/>
    <n v="2013.12"/>
    <n v="5"/>
    <n v="100.66"/>
    <n v="1912.46"/>
    <s v="Cash"/>
    <s v="CUST_00106"/>
    <n v="1"/>
    <n v="100.65999999999985"/>
    <n v="239.0575"/>
    <s v="Low"/>
  </r>
  <r>
    <s v="TXN_00005"/>
    <d v="2024-05-05T00:00:00"/>
    <x v="3"/>
    <s v="Sunday"/>
    <s v="STORE_040"/>
    <x v="1"/>
    <x v="0"/>
    <x v="4"/>
    <n v="228.67"/>
    <n v="9"/>
    <n v="2058.0300000000002"/>
    <n v="0"/>
    <n v="0"/>
    <n v="2058.0300000000002"/>
    <s v="Credit Card"/>
    <s v="CUST_00912"/>
    <n v="5"/>
    <n v="0"/>
    <n v="228.67000000000002"/>
    <s v="No Discount"/>
  </r>
  <r>
    <s v="TXN_00006"/>
    <d v="2024-04-24T00:00:00"/>
    <x v="4"/>
    <s v="Wednesday"/>
    <s v="STORE_030"/>
    <x v="1"/>
    <x v="3"/>
    <x v="5"/>
    <n v="2860.99"/>
    <n v="6"/>
    <n v="17165.939999999999"/>
    <n v="20"/>
    <n v="3433.19"/>
    <n v="13732.75"/>
    <s v="Credit Card"/>
    <s v="CUST_00574"/>
    <n v="2"/>
    <n v="3433.1899999999987"/>
    <n v="2288.7916666666665"/>
    <s v="High"/>
  </r>
  <r>
    <s v="TXN_00007"/>
    <d v="2024-03-12T00:00:00"/>
    <x v="5"/>
    <s v="Tuesday"/>
    <s v="STORE_022"/>
    <x v="1"/>
    <x v="1"/>
    <x v="6"/>
    <n v="372.16"/>
    <n v="2"/>
    <n v="744.32"/>
    <n v="0"/>
    <n v="0"/>
    <n v="744.32"/>
    <s v="Debit Card"/>
    <s v="CUST_00850"/>
    <n v="1"/>
    <n v="0"/>
    <n v="372.16"/>
    <s v="No Discount"/>
  </r>
  <r>
    <s v="TXN_00008"/>
    <d v="2024-02-22T00:00:00"/>
    <x v="1"/>
    <s v="Thursday"/>
    <s v="STORE_009"/>
    <x v="3"/>
    <x v="2"/>
    <x v="7"/>
    <n v="465.39"/>
    <n v="2"/>
    <n v="930.78"/>
    <n v="0"/>
    <n v="0"/>
    <n v="930.78"/>
    <s v="Debit Card"/>
    <s v="CUST_00110"/>
    <n v="4"/>
    <n v="0"/>
    <n v="465.39"/>
    <s v="No Discount"/>
  </r>
  <r>
    <s v="TXN_00009"/>
    <d v="2024-12-12T00:00:00"/>
    <x v="6"/>
    <s v="Thursday"/>
    <s v="STORE_030"/>
    <x v="0"/>
    <x v="2"/>
    <x v="7"/>
    <n v="237.15"/>
    <n v="2"/>
    <n v="474.3"/>
    <n v="20"/>
    <n v="94.86"/>
    <n v="379.44"/>
    <s v="UPI"/>
    <s v="CUST_00734"/>
    <n v="2"/>
    <n v="94.860000000000014"/>
    <n v="189.72"/>
    <s v="High"/>
  </r>
  <r>
    <s v="TXN_00010"/>
    <d v="2024-10-06T00:00:00"/>
    <x v="7"/>
    <s v="Sunday"/>
    <s v="STORE_050"/>
    <x v="3"/>
    <x v="4"/>
    <x v="8"/>
    <n v="490.72"/>
    <n v="1"/>
    <n v="490.72"/>
    <n v="15"/>
    <n v="73.61"/>
    <n v="417.11"/>
    <s v="Wallet"/>
    <s v="CUST_00469"/>
    <n v="1"/>
    <n v="73.610000000000014"/>
    <n v="417.11"/>
    <s v="Medium"/>
  </r>
  <r>
    <s v="TXN_00011"/>
    <d v="2024-02-14T00:00:00"/>
    <x v="1"/>
    <s v="Wednesday"/>
    <s v="STORE_031"/>
    <x v="4"/>
    <x v="5"/>
    <x v="9"/>
    <n v="1017.35"/>
    <n v="1"/>
    <n v="1017.35"/>
    <n v="10"/>
    <n v="101.74"/>
    <n v="915.61"/>
    <s v="UPI"/>
    <s v="CUST_00800"/>
    <n v="5"/>
    <n v="101.74000000000001"/>
    <n v="915.61"/>
    <s v="Medium"/>
  </r>
  <r>
    <s v="TXN_00012"/>
    <d v="2024-10-29T00:00:00"/>
    <x v="7"/>
    <s v="Tuesday"/>
    <s v="STORE_039"/>
    <x v="1"/>
    <x v="5"/>
    <x v="10"/>
    <n v="1694.6"/>
    <n v="3"/>
    <n v="5083.8"/>
    <n v="0"/>
    <n v="0"/>
    <n v="5083.8"/>
    <s v="UPI"/>
    <s v="CUST_00517"/>
    <n v="5"/>
    <n v="0"/>
    <n v="1694.6000000000001"/>
    <s v="No Discount"/>
  </r>
  <r>
    <s v="TXN_00013"/>
    <d v="2024-08-04T00:00:00"/>
    <x v="8"/>
    <s v="Sunday"/>
    <s v="STORE_019"/>
    <x v="3"/>
    <x v="0"/>
    <x v="4"/>
    <n v="983.6"/>
    <n v="4"/>
    <n v="3934.4"/>
    <n v="0"/>
    <n v="0"/>
    <n v="3934.4"/>
    <s v="UPI"/>
    <s v="CUST_00825"/>
    <n v="3"/>
    <n v="0"/>
    <n v="983.6"/>
    <s v="No Discount"/>
  </r>
  <r>
    <s v="TXN_00014"/>
    <d v="2024-01-17T00:00:00"/>
    <x v="2"/>
    <s v="Wednesday"/>
    <s v="STORE_046"/>
    <x v="4"/>
    <x v="5"/>
    <x v="11"/>
    <n v="2650.98"/>
    <n v="9"/>
    <n v="23858.82"/>
    <n v="0"/>
    <n v="0"/>
    <n v="23858.82"/>
    <s v="Wallet"/>
    <s v="CUST_00648"/>
    <n v="3"/>
    <n v="0"/>
    <n v="2650.98"/>
    <s v="No Discount"/>
  </r>
  <r>
    <s v="TXN_00015"/>
    <d v="2024-01-16T00:00:00"/>
    <x v="2"/>
    <s v="Tuesday"/>
    <s v="STORE_046"/>
    <x v="0"/>
    <x v="3"/>
    <x v="12"/>
    <n v="787.2"/>
    <n v="5"/>
    <n v="3936"/>
    <n v="15"/>
    <n v="590.4"/>
    <n v="3345.6"/>
    <s v="Cash"/>
    <s v="CUST_00516"/>
    <n v="2"/>
    <n v="590.40000000000009"/>
    <n v="669.12"/>
    <s v="Medium"/>
  </r>
  <r>
    <s v="TXN_00016"/>
    <d v="2024-02-17T00:00:00"/>
    <x v="1"/>
    <s v="Saturday"/>
    <s v="STORE_043"/>
    <x v="3"/>
    <x v="4"/>
    <x v="8"/>
    <n v="492.35"/>
    <n v="9"/>
    <n v="4431.1499999999996"/>
    <n v="5"/>
    <n v="221.56"/>
    <n v="4209.59"/>
    <s v="Wallet"/>
    <s v="CUST_00691"/>
    <n v="5"/>
    <n v="221.55999999999949"/>
    <n v="467.73222222222222"/>
    <s v="Low"/>
  </r>
  <r>
    <s v="TXN_00017"/>
    <d v="2024-04-21T00:00:00"/>
    <x v="4"/>
    <s v="Sunday"/>
    <s v="STORE_010"/>
    <x v="2"/>
    <x v="2"/>
    <x v="13"/>
    <n v="665.81"/>
    <n v="9"/>
    <n v="5992.29"/>
    <n v="0"/>
    <n v="0"/>
    <n v="5992.29"/>
    <s v="Credit Card"/>
    <s v="CUST_00687"/>
    <n v="4"/>
    <n v="0"/>
    <n v="665.81"/>
    <s v="No Discount"/>
  </r>
  <r>
    <s v="TXN_00018"/>
    <d v="2024-04-29T00:00:00"/>
    <x v="4"/>
    <s v="Monday"/>
    <s v="STORE_004"/>
    <x v="1"/>
    <x v="6"/>
    <x v="14"/>
    <n v="900.47"/>
    <n v="3"/>
    <n v="2701.41"/>
    <n v="0"/>
    <n v="0"/>
    <n v="2701.41"/>
    <s v="Cash"/>
    <s v="CUST_00209"/>
    <n v="2"/>
    <n v="0"/>
    <n v="900.46999999999991"/>
    <s v="No Discount"/>
  </r>
  <r>
    <s v="TXN_00019"/>
    <d v="2024-09-15T00:00:00"/>
    <x v="9"/>
    <s v="Sunday"/>
    <s v="STORE_048"/>
    <x v="4"/>
    <x v="6"/>
    <x v="15"/>
    <n v="1721.04"/>
    <n v="2"/>
    <n v="3442.08"/>
    <n v="10"/>
    <n v="344.21"/>
    <n v="3097.87"/>
    <s v="Wallet"/>
    <s v="CUST_00399"/>
    <n v="2"/>
    <n v="344.21000000000004"/>
    <n v="1548.9349999999999"/>
    <s v="Medium"/>
  </r>
  <r>
    <s v="TXN_00020"/>
    <d v="2024-11-04T00:00:00"/>
    <x v="0"/>
    <s v="Monday"/>
    <s v="STORE_025"/>
    <x v="3"/>
    <x v="3"/>
    <x v="16"/>
    <n v="2396.06"/>
    <n v="5"/>
    <n v="11980.3"/>
    <n v="15"/>
    <n v="1797.04"/>
    <n v="10183.26"/>
    <s v="Credit Card"/>
    <s v="CUST_00980"/>
    <n v="4"/>
    <n v="1797.0399999999991"/>
    <n v="2036.652"/>
    <s v="Medium"/>
  </r>
  <r>
    <s v="TXN_00021"/>
    <d v="2024-01-14T00:00:00"/>
    <x v="2"/>
    <s v="Sunday"/>
    <s v="STORE_015"/>
    <x v="1"/>
    <x v="4"/>
    <x v="17"/>
    <n v="174.21"/>
    <n v="5"/>
    <n v="871.05"/>
    <n v="0"/>
    <n v="0"/>
    <n v="871.05"/>
    <s v="Wallet"/>
    <s v="CUST_00774"/>
    <n v="4"/>
    <n v="0"/>
    <n v="174.20999999999998"/>
    <s v="No Discount"/>
  </r>
  <r>
    <s v="TXN_00022"/>
    <d v="2024-10-14T00:00:00"/>
    <x v="7"/>
    <s v="Monday"/>
    <s v="STORE_012"/>
    <x v="4"/>
    <x v="3"/>
    <x v="12"/>
    <n v="1023.7"/>
    <n v="3"/>
    <n v="3071.1"/>
    <n v="15"/>
    <n v="460.66"/>
    <n v="2610.44"/>
    <s v="Credit Card"/>
    <s v="CUST_00123"/>
    <n v="2"/>
    <n v="460.65999999999985"/>
    <n v="870.14666666666665"/>
    <s v="Medium"/>
  </r>
  <r>
    <s v="TXN_00023"/>
    <d v="2024-04-11T00:00:00"/>
    <x v="4"/>
    <s v="Thursday"/>
    <s v="STORE_038"/>
    <x v="1"/>
    <x v="0"/>
    <x v="18"/>
    <n v="542.80999999999995"/>
    <n v="9"/>
    <n v="4885.29"/>
    <n v="0"/>
    <n v="0"/>
    <n v="4885.29"/>
    <s v="Debit Card"/>
    <s v="CUST_00006"/>
    <n v="2"/>
    <n v="0"/>
    <n v="542.80999999999995"/>
    <s v="No Discount"/>
  </r>
  <r>
    <s v="TXN_00024"/>
    <d v="2024-11-28T00:00:00"/>
    <x v="0"/>
    <s v="Thursday"/>
    <s v="STORE_039"/>
    <x v="2"/>
    <x v="4"/>
    <x v="19"/>
    <n v="469.36"/>
    <n v="3"/>
    <n v="1408.08"/>
    <n v="0"/>
    <n v="0"/>
    <n v="1408.08"/>
    <s v="Debit Card"/>
    <s v="CUST_00793"/>
    <n v="3"/>
    <n v="0"/>
    <n v="469.35999999999996"/>
    <s v="No Discount"/>
  </r>
  <r>
    <s v="TXN_00025"/>
    <d v="2024-12-25T00:00:00"/>
    <x v="6"/>
    <s v="Wednesday"/>
    <s v="STORE_034"/>
    <x v="0"/>
    <x v="2"/>
    <x v="13"/>
    <n v="652.94000000000005"/>
    <n v="9"/>
    <n v="5876.46"/>
    <n v="0"/>
    <n v="0"/>
    <n v="5876.46"/>
    <s v="Credit Card"/>
    <s v="CUST_00980"/>
    <n v="3"/>
    <n v="0"/>
    <n v="652.94000000000005"/>
    <s v="No Discount"/>
  </r>
  <r>
    <s v="TXN_00026"/>
    <d v="2024-10-06T00:00:00"/>
    <x v="7"/>
    <s v="Sunday"/>
    <s v="STORE_035"/>
    <x v="3"/>
    <x v="5"/>
    <x v="10"/>
    <n v="1272.71"/>
    <n v="9"/>
    <n v="11454.39"/>
    <n v="0"/>
    <n v="0"/>
    <n v="11454.39"/>
    <s v="UPI"/>
    <s v="CUST_00095"/>
    <n v="5"/>
    <n v="0"/>
    <n v="1272.71"/>
    <s v="No Discount"/>
  </r>
  <r>
    <s v="TXN_00027"/>
    <d v="2024-08-02T00:00:00"/>
    <x v="8"/>
    <s v="Friday"/>
    <s v="STORE_014"/>
    <x v="4"/>
    <x v="4"/>
    <x v="20"/>
    <n v="547.53"/>
    <n v="6"/>
    <n v="3285.18"/>
    <n v="0"/>
    <n v="0"/>
    <n v="3285.18"/>
    <s v="Cash"/>
    <s v="CUST_00544"/>
    <n v="3"/>
    <n v="0"/>
    <n v="547.53"/>
    <s v="No Discount"/>
  </r>
  <r>
    <s v="TXN_00028"/>
    <d v="2024-04-22T00:00:00"/>
    <x v="4"/>
    <s v="Monday"/>
    <s v="STORE_016"/>
    <x v="4"/>
    <x v="1"/>
    <x v="3"/>
    <n v="420.66"/>
    <n v="1"/>
    <n v="420.66"/>
    <n v="0"/>
    <n v="0"/>
    <n v="420.66"/>
    <s v="Cash"/>
    <s v="CUST_00941"/>
    <n v="4"/>
    <n v="0"/>
    <n v="420.66"/>
    <s v="No Discount"/>
  </r>
  <r>
    <s v="TXN_00029"/>
    <d v="2024-08-17T00:00:00"/>
    <x v="8"/>
    <s v="Saturday"/>
    <s v="STORE_017"/>
    <x v="4"/>
    <x v="3"/>
    <x v="21"/>
    <n v="2111.14"/>
    <n v="6"/>
    <n v="12666.84"/>
    <n v="5"/>
    <n v="633.34"/>
    <n v="12033.5"/>
    <s v="Credit Card"/>
    <s v="CUST_00742"/>
    <n v="4"/>
    <n v="633.34000000000015"/>
    <n v="2005.5833333333333"/>
    <s v="Low"/>
  </r>
  <r>
    <s v="TXN_00030"/>
    <d v="2024-10-28T00:00:00"/>
    <x v="7"/>
    <s v="Monday"/>
    <s v="STORE_032"/>
    <x v="2"/>
    <x v="2"/>
    <x v="2"/>
    <n v="737.94"/>
    <n v="6"/>
    <n v="4427.6400000000003"/>
    <n v="10"/>
    <n v="442.76"/>
    <n v="3984.88"/>
    <s v="Wallet"/>
    <s v="CUST_00304"/>
    <n v="4"/>
    <n v="442.76000000000022"/>
    <n v="664.14666666666665"/>
    <s v="Medium"/>
  </r>
  <r>
    <s v="TXN_00031"/>
    <d v="2024-05-22T00:00:00"/>
    <x v="3"/>
    <s v="Wednesday"/>
    <s v="STORE_001"/>
    <x v="2"/>
    <x v="3"/>
    <x v="22"/>
    <n v="1638.91"/>
    <n v="2"/>
    <n v="3277.82"/>
    <n v="0"/>
    <n v="0"/>
    <n v="3277.82"/>
    <s v="Wallet"/>
    <s v="CUST_00216"/>
    <n v="5"/>
    <n v="0"/>
    <n v="1638.91"/>
    <s v="No Discount"/>
  </r>
  <r>
    <s v="TXN_00032"/>
    <d v="2024-01-04T00:00:00"/>
    <x v="2"/>
    <s v="Thursday"/>
    <s v="STORE_048"/>
    <x v="0"/>
    <x v="3"/>
    <x v="5"/>
    <n v="2539.86"/>
    <n v="4"/>
    <n v="10159.44"/>
    <n v="10"/>
    <n v="1015.94"/>
    <n v="9143.5"/>
    <s v="UPI"/>
    <s v="CUST_00025"/>
    <n v="1"/>
    <n v="1015.9400000000005"/>
    <n v="2285.875"/>
    <s v="Medium"/>
  </r>
  <r>
    <s v="TXN_00033"/>
    <d v="2024-03-22T00:00:00"/>
    <x v="5"/>
    <s v="Friday"/>
    <s v="STORE_036"/>
    <x v="2"/>
    <x v="1"/>
    <x v="6"/>
    <n v="67.05"/>
    <n v="2"/>
    <n v="134.1"/>
    <n v="0"/>
    <n v="0"/>
    <n v="134.1"/>
    <s v="Debit Card"/>
    <s v="CUST_00589"/>
    <n v="3"/>
    <n v="0"/>
    <n v="67.05"/>
    <s v="No Discount"/>
  </r>
  <r>
    <s v="TXN_00034"/>
    <d v="2024-12-23T00:00:00"/>
    <x v="6"/>
    <s v="Monday"/>
    <s v="STORE_021"/>
    <x v="2"/>
    <x v="3"/>
    <x v="22"/>
    <n v="1341.37"/>
    <n v="8"/>
    <n v="10730.96"/>
    <n v="15"/>
    <n v="1609.64"/>
    <n v="9121.32"/>
    <s v="UPI"/>
    <s v="CUST_00399"/>
    <n v="4"/>
    <n v="1609.6399999999994"/>
    <n v="1140.165"/>
    <s v="Medium"/>
  </r>
  <r>
    <s v="TXN_00035"/>
    <d v="2024-08-04T00:00:00"/>
    <x v="8"/>
    <s v="Sunday"/>
    <s v="STORE_045"/>
    <x v="2"/>
    <x v="7"/>
    <x v="23"/>
    <n v="307.08"/>
    <n v="10"/>
    <n v="3070.8"/>
    <n v="0"/>
    <n v="0"/>
    <n v="3070.8"/>
    <s v="Wallet"/>
    <s v="CUST_00367"/>
    <n v="1"/>
    <n v="0"/>
    <n v="307.08000000000004"/>
    <s v="No Discount"/>
  </r>
  <r>
    <s v="TXN_00036"/>
    <d v="2024-06-23T00:00:00"/>
    <x v="10"/>
    <s v="Sunday"/>
    <s v="STORE_049"/>
    <x v="3"/>
    <x v="7"/>
    <x v="24"/>
    <n v="1244.27"/>
    <n v="5"/>
    <n v="6221.35"/>
    <n v="10"/>
    <n v="622.14"/>
    <n v="5599.21"/>
    <s v="Credit Card"/>
    <s v="CUST_00391"/>
    <n v="3"/>
    <n v="622.14000000000033"/>
    <n v="1119.8420000000001"/>
    <s v="Medium"/>
  </r>
  <r>
    <s v="TXN_00037"/>
    <d v="2024-05-22T00:00:00"/>
    <x v="3"/>
    <s v="Wednesday"/>
    <s v="STORE_035"/>
    <x v="1"/>
    <x v="0"/>
    <x v="18"/>
    <n v="579.19000000000005"/>
    <n v="9"/>
    <n v="5212.71"/>
    <n v="0"/>
    <n v="0"/>
    <n v="5212.71"/>
    <s v="Debit Card"/>
    <s v="CUST_00984"/>
    <n v="4"/>
    <n v="0"/>
    <n v="579.19000000000005"/>
    <s v="No Discount"/>
  </r>
  <r>
    <s v="TXN_00038"/>
    <d v="2024-03-20T00:00:00"/>
    <x v="5"/>
    <s v="Wednesday"/>
    <s v="STORE_010"/>
    <x v="2"/>
    <x v="5"/>
    <x v="25"/>
    <n v="3709.16"/>
    <n v="6"/>
    <n v="22254.959999999999"/>
    <n v="0"/>
    <n v="0"/>
    <n v="22254.959999999999"/>
    <s v="Wallet"/>
    <s v="CUST_00043"/>
    <n v="5"/>
    <n v="0"/>
    <n v="3709.16"/>
    <s v="No Discount"/>
  </r>
  <r>
    <s v="TXN_00039"/>
    <d v="2024-04-20T00:00:00"/>
    <x v="4"/>
    <s v="Saturday"/>
    <s v="STORE_014"/>
    <x v="1"/>
    <x v="6"/>
    <x v="26"/>
    <n v="1394.98"/>
    <n v="9"/>
    <n v="12554.82"/>
    <n v="10"/>
    <n v="1255.48"/>
    <n v="11299.34"/>
    <s v="Credit Card"/>
    <s v="CUST_00217"/>
    <n v="3"/>
    <n v="1255.4799999999996"/>
    <n v="1255.4822222222222"/>
    <s v="Medium"/>
  </r>
  <r>
    <s v="TXN_00040"/>
    <d v="2024-06-21T00:00:00"/>
    <x v="10"/>
    <s v="Friday"/>
    <s v="STORE_013"/>
    <x v="2"/>
    <x v="0"/>
    <x v="27"/>
    <n v="313.95999999999998"/>
    <n v="3"/>
    <n v="941.88"/>
    <n v="0"/>
    <n v="0"/>
    <n v="941.88"/>
    <s v="Wallet"/>
    <s v="CUST_00186"/>
    <n v="3"/>
    <n v="0"/>
    <n v="313.95999999999998"/>
    <s v="No Discount"/>
  </r>
  <r>
    <s v="TXN_00041"/>
    <d v="2024-02-22T00:00:00"/>
    <x v="1"/>
    <s v="Thursday"/>
    <s v="STORE_017"/>
    <x v="2"/>
    <x v="6"/>
    <x v="26"/>
    <n v="1191.9000000000001"/>
    <n v="9"/>
    <n v="10727.1"/>
    <n v="0"/>
    <n v="0"/>
    <n v="10727.1"/>
    <s v="Cash"/>
    <s v="CUST_00203"/>
    <n v="1"/>
    <n v="0"/>
    <n v="1191.9000000000001"/>
    <s v="No Discount"/>
  </r>
  <r>
    <s v="TXN_00042"/>
    <d v="2024-02-17T00:00:00"/>
    <x v="1"/>
    <s v="Saturday"/>
    <s v="STORE_005"/>
    <x v="0"/>
    <x v="1"/>
    <x v="6"/>
    <n v="210.71"/>
    <n v="4"/>
    <n v="842.84"/>
    <n v="0"/>
    <n v="0"/>
    <n v="842.84"/>
    <s v="Cash"/>
    <s v="CUST_00326"/>
    <n v="5"/>
    <n v="0"/>
    <n v="210.71"/>
    <s v="No Discount"/>
  </r>
  <r>
    <s v="TXN_00043"/>
    <d v="2024-07-13T00:00:00"/>
    <x v="11"/>
    <s v="Saturday"/>
    <s v="STORE_037"/>
    <x v="4"/>
    <x v="1"/>
    <x v="1"/>
    <n v="197.76"/>
    <n v="5"/>
    <n v="988.8"/>
    <n v="15"/>
    <n v="148.32"/>
    <n v="840.48"/>
    <s v="Wallet"/>
    <s v="CUST_00374"/>
    <n v="2"/>
    <n v="148.31999999999994"/>
    <n v="168.096"/>
    <s v="Medium"/>
  </r>
  <r>
    <s v="TXN_00044"/>
    <d v="2024-02-19T00:00:00"/>
    <x v="1"/>
    <s v="Monday"/>
    <s v="STORE_018"/>
    <x v="1"/>
    <x v="4"/>
    <x v="19"/>
    <n v="225.89"/>
    <n v="6"/>
    <n v="1355.34"/>
    <n v="0"/>
    <n v="0"/>
    <n v="1355.34"/>
    <s v="Debit Card"/>
    <s v="CUST_00138"/>
    <n v="4"/>
    <n v="0"/>
    <n v="225.89"/>
    <s v="No Discount"/>
  </r>
  <r>
    <s v="TXN_00045"/>
    <d v="2024-07-02T00:00:00"/>
    <x v="11"/>
    <s v="Tuesday"/>
    <s v="STORE_036"/>
    <x v="2"/>
    <x v="4"/>
    <x v="19"/>
    <n v="358.28"/>
    <n v="6"/>
    <n v="2149.6799999999998"/>
    <n v="20"/>
    <n v="429.94"/>
    <n v="1719.74"/>
    <s v="Cash"/>
    <s v="CUST_00180"/>
    <n v="4"/>
    <n v="429.93999999999983"/>
    <n v="286.62333333333333"/>
    <s v="High"/>
  </r>
  <r>
    <s v="TXN_00046"/>
    <d v="2024-06-25T00:00:00"/>
    <x v="10"/>
    <s v="Tuesday"/>
    <s v="STORE_047"/>
    <x v="2"/>
    <x v="7"/>
    <x v="24"/>
    <n v="1330.46"/>
    <n v="3"/>
    <n v="3991.38"/>
    <n v="10"/>
    <n v="399.14"/>
    <n v="3592.24"/>
    <s v="Debit Card"/>
    <s v="CUST_00745"/>
    <n v="3"/>
    <n v="399.14000000000033"/>
    <n v="1197.4133333333332"/>
    <s v="Medium"/>
  </r>
  <r>
    <s v="TXN_00047"/>
    <d v="2024-11-05T00:00:00"/>
    <x v="0"/>
    <s v="Tuesday"/>
    <s v="STORE_026"/>
    <x v="4"/>
    <x v="7"/>
    <x v="28"/>
    <n v="1319.5"/>
    <n v="1"/>
    <n v="1319.5"/>
    <n v="20"/>
    <n v="263.89999999999998"/>
    <n v="1055.5999999999999"/>
    <s v="Wallet"/>
    <s v="CUST_00218"/>
    <n v="5"/>
    <n v="263.90000000000009"/>
    <n v="1055.5999999999999"/>
    <s v="High"/>
  </r>
  <r>
    <s v="TXN_00048"/>
    <d v="2024-05-15T00:00:00"/>
    <x v="3"/>
    <s v="Wednesday"/>
    <s v="STORE_026"/>
    <x v="0"/>
    <x v="6"/>
    <x v="26"/>
    <n v="890.92"/>
    <n v="9"/>
    <n v="8018.28"/>
    <n v="5"/>
    <n v="400.91"/>
    <n v="7617.37"/>
    <s v="Debit Card"/>
    <s v="CUST_00913"/>
    <n v="3"/>
    <n v="400.90999999999985"/>
    <n v="846.37444444444441"/>
    <s v="Low"/>
  </r>
  <r>
    <s v="TXN_00049"/>
    <d v="2024-01-23T00:00:00"/>
    <x v="2"/>
    <s v="Tuesday"/>
    <s v="STORE_033"/>
    <x v="2"/>
    <x v="2"/>
    <x v="29"/>
    <n v="425.29"/>
    <n v="9"/>
    <n v="3827.61"/>
    <n v="0"/>
    <n v="0"/>
    <n v="3827.61"/>
    <s v="UPI"/>
    <s v="CUST_00679"/>
    <n v="3"/>
    <n v="0"/>
    <n v="425.29"/>
    <s v="No Discount"/>
  </r>
  <r>
    <s v="TXN_00050"/>
    <d v="2024-08-23T00:00:00"/>
    <x v="8"/>
    <s v="Friday"/>
    <s v="STORE_012"/>
    <x v="4"/>
    <x v="3"/>
    <x v="16"/>
    <n v="2115.65"/>
    <n v="9"/>
    <n v="19040.849999999999"/>
    <n v="0"/>
    <n v="0"/>
    <n v="19040.849999999999"/>
    <s v="UPI"/>
    <s v="CUST_00972"/>
    <n v="2"/>
    <n v="0"/>
    <n v="2115.6499999999996"/>
    <s v="No Discount"/>
  </r>
  <r>
    <s v="TXN_00051"/>
    <d v="2024-10-01T00:00:00"/>
    <x v="7"/>
    <s v="Tuesday"/>
    <s v="STORE_005"/>
    <x v="1"/>
    <x v="5"/>
    <x v="9"/>
    <n v="4756.7"/>
    <n v="1"/>
    <n v="4756.7"/>
    <n v="0"/>
    <n v="0"/>
    <n v="4756.7"/>
    <s v="UPI"/>
    <s v="CUST_00379"/>
    <n v="2"/>
    <n v="0"/>
    <n v="4756.7"/>
    <s v="No Discount"/>
  </r>
  <r>
    <s v="TXN_00052"/>
    <d v="2024-03-04T00:00:00"/>
    <x v="5"/>
    <s v="Monday"/>
    <s v="STORE_031"/>
    <x v="3"/>
    <x v="3"/>
    <x v="21"/>
    <n v="2072.04"/>
    <n v="9"/>
    <n v="18648.36"/>
    <n v="20"/>
    <n v="3729.67"/>
    <n v="14918.69"/>
    <s v="Cash"/>
    <s v="CUST_00903"/>
    <n v="4"/>
    <n v="3729.67"/>
    <n v="1657.6322222222223"/>
    <s v="High"/>
  </r>
  <r>
    <s v="TXN_00053"/>
    <d v="2024-07-12T00:00:00"/>
    <x v="11"/>
    <s v="Friday"/>
    <s v="STORE_048"/>
    <x v="1"/>
    <x v="6"/>
    <x v="30"/>
    <n v="1970.88"/>
    <n v="6"/>
    <n v="11825.28"/>
    <n v="0"/>
    <n v="0"/>
    <n v="11825.28"/>
    <s v="Wallet"/>
    <s v="CUST_00593"/>
    <n v="3"/>
    <n v="0"/>
    <n v="1970.88"/>
    <s v="No Discount"/>
  </r>
  <r>
    <s v="TXN_00054"/>
    <d v="2024-02-10T00:00:00"/>
    <x v="1"/>
    <s v="Saturday"/>
    <s v="STORE_017"/>
    <x v="3"/>
    <x v="5"/>
    <x v="9"/>
    <n v="3614.7"/>
    <n v="6"/>
    <n v="21688.2"/>
    <n v="10"/>
    <n v="2168.8200000000002"/>
    <n v="19519.38"/>
    <s v="Credit Card"/>
    <s v="CUST_00997"/>
    <n v="5"/>
    <n v="2168.8199999999997"/>
    <n v="3253.23"/>
    <s v="Medium"/>
  </r>
  <r>
    <s v="TXN_00055"/>
    <d v="2024-10-09T00:00:00"/>
    <x v="7"/>
    <s v="Wednesday"/>
    <s v="STORE_001"/>
    <x v="4"/>
    <x v="3"/>
    <x v="16"/>
    <n v="1336.36"/>
    <n v="6"/>
    <n v="8018.16"/>
    <n v="5"/>
    <n v="400.91"/>
    <n v="7617.25"/>
    <s v="UPI"/>
    <s v="CUST_00904"/>
    <n v="5"/>
    <n v="400.90999999999985"/>
    <n v="1269.5416666666667"/>
    <s v="Low"/>
  </r>
  <r>
    <s v="TXN_00056"/>
    <d v="2024-05-30T00:00:00"/>
    <x v="3"/>
    <s v="Thursday"/>
    <s v="STORE_010"/>
    <x v="0"/>
    <x v="5"/>
    <x v="9"/>
    <n v="1662.42"/>
    <n v="2"/>
    <n v="3324.84"/>
    <n v="10"/>
    <n v="332.48"/>
    <n v="2992.36"/>
    <s v="Cash"/>
    <s v="CUST_00162"/>
    <n v="2"/>
    <n v="332.48"/>
    <n v="1496.18"/>
    <s v="Medium"/>
  </r>
  <r>
    <s v="TXN_00057"/>
    <d v="2024-11-17T00:00:00"/>
    <x v="0"/>
    <s v="Sunday"/>
    <s v="STORE_022"/>
    <x v="2"/>
    <x v="4"/>
    <x v="17"/>
    <n v="472.79"/>
    <n v="2"/>
    <n v="945.58"/>
    <n v="15"/>
    <n v="141.84"/>
    <n v="803.74"/>
    <s v="Debit Card"/>
    <s v="CUST_00494"/>
    <n v="4"/>
    <n v="141.84000000000003"/>
    <n v="401.87"/>
    <s v="Medium"/>
  </r>
  <r>
    <s v="TXN_00058"/>
    <d v="2024-11-12T00:00:00"/>
    <x v="0"/>
    <s v="Tuesday"/>
    <s v="STORE_016"/>
    <x v="2"/>
    <x v="1"/>
    <x v="1"/>
    <n v="144.82"/>
    <n v="3"/>
    <n v="434.46"/>
    <n v="15"/>
    <n v="65.17"/>
    <n v="369.29"/>
    <s v="UPI"/>
    <s v="CUST_00131"/>
    <n v="1"/>
    <n v="65.169999999999959"/>
    <n v="123.09666666666668"/>
    <s v="Medium"/>
  </r>
  <r>
    <s v="TXN_00059"/>
    <d v="2024-07-04T00:00:00"/>
    <x v="11"/>
    <s v="Thursday"/>
    <s v="STORE_011"/>
    <x v="1"/>
    <x v="5"/>
    <x v="11"/>
    <n v="3518.16"/>
    <n v="1"/>
    <n v="3518.16"/>
    <n v="10"/>
    <n v="351.82"/>
    <n v="3166.34"/>
    <s v="Debit Card"/>
    <s v="CUST_00945"/>
    <n v="1"/>
    <n v="351.81999999999971"/>
    <n v="3166.34"/>
    <s v="Medium"/>
  </r>
  <r>
    <s v="TXN_00060"/>
    <d v="2024-10-22T00:00:00"/>
    <x v="7"/>
    <s v="Tuesday"/>
    <s v="STORE_006"/>
    <x v="0"/>
    <x v="5"/>
    <x v="10"/>
    <n v="4832.95"/>
    <n v="10"/>
    <n v="48329.5"/>
    <n v="10"/>
    <n v="4832.95"/>
    <n v="43496.55"/>
    <s v="Credit Card"/>
    <s v="CUST_00460"/>
    <n v="3"/>
    <n v="4832.9499999999971"/>
    <n v="4349.6550000000007"/>
    <s v="Medium"/>
  </r>
  <r>
    <s v="TXN_00061"/>
    <d v="2024-04-08T00:00:00"/>
    <x v="4"/>
    <s v="Monday"/>
    <s v="STORE_050"/>
    <x v="0"/>
    <x v="1"/>
    <x v="1"/>
    <n v="126.76"/>
    <n v="7"/>
    <n v="887.32"/>
    <n v="10"/>
    <n v="88.73"/>
    <n v="798.59"/>
    <s v="Debit Card"/>
    <s v="CUST_00639"/>
    <n v="5"/>
    <n v="88.730000000000018"/>
    <n v="114.08428571428571"/>
    <s v="Medium"/>
  </r>
  <r>
    <s v="TXN_00062"/>
    <d v="2024-12-26T00:00:00"/>
    <x v="6"/>
    <s v="Thursday"/>
    <s v="STORE_005"/>
    <x v="0"/>
    <x v="2"/>
    <x v="29"/>
    <n v="606.92999999999995"/>
    <n v="6"/>
    <n v="3641.58"/>
    <n v="5"/>
    <n v="182.08"/>
    <n v="3459.5"/>
    <s v="Wallet"/>
    <s v="CUST_00388"/>
    <n v="5"/>
    <n v="182.07999999999993"/>
    <n v="576.58333333333337"/>
    <s v="Low"/>
  </r>
  <r>
    <s v="TXN_00063"/>
    <d v="2024-02-05T00:00:00"/>
    <x v="1"/>
    <s v="Monday"/>
    <s v="STORE_010"/>
    <x v="4"/>
    <x v="0"/>
    <x v="0"/>
    <n v="286.86"/>
    <n v="4"/>
    <n v="1147.44"/>
    <n v="10"/>
    <n v="114.74"/>
    <n v="1032.7"/>
    <s v="Wallet"/>
    <s v="CUST_00099"/>
    <n v="4"/>
    <n v="114.74000000000001"/>
    <n v="258.17500000000001"/>
    <s v="Medium"/>
  </r>
  <r>
    <s v="TXN_00064"/>
    <d v="2024-01-24T00:00:00"/>
    <x v="2"/>
    <s v="Wednesday"/>
    <s v="STORE_049"/>
    <x v="2"/>
    <x v="5"/>
    <x v="9"/>
    <n v="4606.43"/>
    <n v="10"/>
    <n v="46064.3"/>
    <n v="0"/>
    <n v="0"/>
    <n v="46064.3"/>
    <s v="Wallet"/>
    <s v="CUST_00096"/>
    <n v="5"/>
    <n v="0"/>
    <n v="4606.43"/>
    <s v="No Discount"/>
  </r>
  <r>
    <s v="TXN_00065"/>
    <d v="2024-12-04T00:00:00"/>
    <x v="6"/>
    <s v="Wednesday"/>
    <s v="STORE_034"/>
    <x v="3"/>
    <x v="1"/>
    <x v="31"/>
    <n v="455.89"/>
    <n v="9"/>
    <n v="4103.01"/>
    <n v="20"/>
    <n v="820.6"/>
    <n v="3282.41"/>
    <s v="Credit Card"/>
    <s v="CUST_00380"/>
    <n v="4"/>
    <n v="820.60000000000036"/>
    <n v="364.71222222222218"/>
    <s v="High"/>
  </r>
  <r>
    <s v="TXN_00066"/>
    <d v="2024-04-26T00:00:00"/>
    <x v="4"/>
    <s v="Friday"/>
    <s v="STORE_038"/>
    <x v="4"/>
    <x v="6"/>
    <x v="26"/>
    <n v="1143.43"/>
    <n v="8"/>
    <n v="9147.44"/>
    <n v="20"/>
    <n v="1829.49"/>
    <n v="7317.95"/>
    <s v="UPI"/>
    <s v="CUST_00101"/>
    <n v="3"/>
    <n v="1829.4900000000007"/>
    <n v="914.74374999999998"/>
    <s v="High"/>
  </r>
  <r>
    <s v="TXN_00067"/>
    <d v="2024-05-28T00:00:00"/>
    <x v="3"/>
    <s v="Tuesday"/>
    <s v="STORE_039"/>
    <x v="4"/>
    <x v="0"/>
    <x v="0"/>
    <n v="403.61"/>
    <n v="4"/>
    <n v="1614.44"/>
    <n v="20"/>
    <n v="322.89"/>
    <n v="1291.55"/>
    <s v="Credit Card"/>
    <s v="CUST_00419"/>
    <n v="3"/>
    <n v="322.8900000000001"/>
    <n v="322.88749999999999"/>
    <s v="High"/>
  </r>
  <r>
    <s v="TXN_00068"/>
    <d v="2024-02-10T00:00:00"/>
    <x v="1"/>
    <s v="Saturday"/>
    <s v="STORE_034"/>
    <x v="2"/>
    <x v="2"/>
    <x v="29"/>
    <n v="103.83"/>
    <n v="1"/>
    <n v="103.83"/>
    <n v="10"/>
    <n v="10.38"/>
    <n v="93.45"/>
    <s v="Wallet"/>
    <s v="CUST_00385"/>
    <n v="1"/>
    <n v="10.379999999999995"/>
    <n v="93.45"/>
    <s v="Medium"/>
  </r>
  <r>
    <s v="TXN_00069"/>
    <d v="2024-04-29T00:00:00"/>
    <x v="4"/>
    <s v="Monday"/>
    <s v="STORE_017"/>
    <x v="1"/>
    <x v="3"/>
    <x v="22"/>
    <n v="1344.77"/>
    <n v="2"/>
    <n v="2689.54"/>
    <n v="0"/>
    <n v="0"/>
    <n v="2689.54"/>
    <s v="UPI"/>
    <s v="CUST_00876"/>
    <n v="5"/>
    <n v="0"/>
    <n v="1344.77"/>
    <s v="No Discount"/>
  </r>
  <r>
    <s v="TXN_00070"/>
    <d v="2024-02-21T00:00:00"/>
    <x v="1"/>
    <s v="Wednesday"/>
    <s v="STORE_027"/>
    <x v="4"/>
    <x v="0"/>
    <x v="27"/>
    <n v="492.52"/>
    <n v="5"/>
    <n v="2462.6"/>
    <n v="15"/>
    <n v="369.39"/>
    <n v="2093.21"/>
    <s v="UPI"/>
    <s v="CUST_00803"/>
    <n v="2"/>
    <n v="369.38999999999987"/>
    <n v="418.642"/>
    <s v="Medium"/>
  </r>
  <r>
    <s v="TXN_00071"/>
    <d v="2024-07-13T00:00:00"/>
    <x v="11"/>
    <s v="Saturday"/>
    <s v="STORE_037"/>
    <x v="1"/>
    <x v="1"/>
    <x v="31"/>
    <n v="216.6"/>
    <n v="9"/>
    <n v="1949.4"/>
    <n v="5"/>
    <n v="97.47"/>
    <n v="1851.93"/>
    <s v="Cash"/>
    <s v="CUST_00793"/>
    <n v="3"/>
    <n v="97.470000000000027"/>
    <n v="205.77"/>
    <s v="Low"/>
  </r>
  <r>
    <s v="TXN_00072"/>
    <d v="2024-05-22T00:00:00"/>
    <x v="3"/>
    <s v="Wednesday"/>
    <s v="STORE_045"/>
    <x v="0"/>
    <x v="0"/>
    <x v="0"/>
    <n v="884"/>
    <n v="2"/>
    <n v="1768"/>
    <n v="15"/>
    <n v="265.2"/>
    <n v="1502.8"/>
    <s v="Debit Card"/>
    <s v="CUST_00103"/>
    <n v="4"/>
    <n v="265.20000000000005"/>
    <n v="751.4"/>
    <s v="Medium"/>
  </r>
  <r>
    <s v="TXN_00073"/>
    <d v="2024-08-20T00:00:00"/>
    <x v="8"/>
    <s v="Tuesday"/>
    <s v="STORE_045"/>
    <x v="2"/>
    <x v="3"/>
    <x v="16"/>
    <n v="1321.57"/>
    <n v="6"/>
    <n v="7929.42"/>
    <n v="20"/>
    <n v="1585.88"/>
    <n v="6343.54"/>
    <s v="Wallet"/>
    <s v="CUST_00165"/>
    <n v="5"/>
    <n v="1585.88"/>
    <n v="1057.2566666666667"/>
    <s v="High"/>
  </r>
  <r>
    <s v="TXN_00074"/>
    <d v="2024-11-21T00:00:00"/>
    <x v="0"/>
    <s v="Thursday"/>
    <s v="STORE_006"/>
    <x v="2"/>
    <x v="0"/>
    <x v="18"/>
    <n v="843.5"/>
    <n v="3"/>
    <n v="2530.5"/>
    <n v="5"/>
    <n v="126.53"/>
    <n v="2403.9699999999998"/>
    <s v="Wallet"/>
    <s v="CUST_00270"/>
    <n v="4"/>
    <n v="126.5300000000002"/>
    <n v="801.32333333333327"/>
    <s v="Low"/>
  </r>
  <r>
    <s v="TXN_00075"/>
    <d v="2024-07-05T00:00:00"/>
    <x v="11"/>
    <s v="Friday"/>
    <s v="STORE_040"/>
    <x v="4"/>
    <x v="3"/>
    <x v="22"/>
    <n v="424.11"/>
    <n v="1"/>
    <n v="424.11"/>
    <n v="15"/>
    <n v="63.62"/>
    <n v="360.49"/>
    <s v="UPI"/>
    <s v="CUST_00294"/>
    <n v="4"/>
    <n v="63.620000000000005"/>
    <n v="360.49"/>
    <s v="Medium"/>
  </r>
  <r>
    <s v="TXN_00076"/>
    <d v="2024-03-24T00:00:00"/>
    <x v="5"/>
    <s v="Sunday"/>
    <s v="STORE_019"/>
    <x v="0"/>
    <x v="6"/>
    <x v="14"/>
    <n v="1460.44"/>
    <n v="8"/>
    <n v="11683.52"/>
    <n v="0"/>
    <n v="0"/>
    <n v="11683.52"/>
    <s v="Debit Card"/>
    <s v="CUST_00035"/>
    <n v="5"/>
    <n v="0"/>
    <n v="1460.44"/>
    <s v="No Discount"/>
  </r>
  <r>
    <s v="TXN_00077"/>
    <d v="2024-07-08T00:00:00"/>
    <x v="11"/>
    <s v="Monday"/>
    <s v="STORE_011"/>
    <x v="2"/>
    <x v="3"/>
    <x v="16"/>
    <n v="674.55"/>
    <n v="1"/>
    <n v="674.55"/>
    <n v="0"/>
    <n v="0"/>
    <n v="674.55"/>
    <s v="Debit Card"/>
    <s v="CUST_00283"/>
    <n v="1"/>
    <n v="0"/>
    <n v="674.55"/>
    <s v="No Discount"/>
  </r>
  <r>
    <s v="TXN_00078"/>
    <d v="2024-06-30T00:00:00"/>
    <x v="10"/>
    <s v="Sunday"/>
    <s v="STORE_001"/>
    <x v="2"/>
    <x v="0"/>
    <x v="32"/>
    <n v="735.73"/>
    <n v="7"/>
    <n v="5150.1099999999997"/>
    <n v="10"/>
    <n v="515.01"/>
    <n v="4635.1000000000004"/>
    <s v="Debit Card"/>
    <s v="CUST_00942"/>
    <n v="5"/>
    <n v="515.00999999999931"/>
    <n v="662.15714285714296"/>
    <s v="Medium"/>
  </r>
  <r>
    <s v="TXN_00079"/>
    <d v="2024-04-17T00:00:00"/>
    <x v="4"/>
    <s v="Wednesday"/>
    <s v="STORE_018"/>
    <x v="0"/>
    <x v="7"/>
    <x v="23"/>
    <n v="641.39"/>
    <n v="9"/>
    <n v="5772.51"/>
    <n v="10"/>
    <n v="577.25"/>
    <n v="5195.26"/>
    <s v="Cash"/>
    <s v="CUST_00621"/>
    <n v="3"/>
    <n v="577.25"/>
    <n v="577.25111111111119"/>
    <s v="Medium"/>
  </r>
  <r>
    <s v="TXN_00080"/>
    <d v="2024-12-09T00:00:00"/>
    <x v="6"/>
    <s v="Monday"/>
    <s v="STORE_027"/>
    <x v="4"/>
    <x v="3"/>
    <x v="5"/>
    <n v="2803.2"/>
    <n v="10"/>
    <n v="28032"/>
    <n v="0"/>
    <n v="0"/>
    <n v="28032"/>
    <s v="Cash"/>
    <s v="CUST_00110"/>
    <n v="2"/>
    <n v="0"/>
    <n v="2803.2"/>
    <s v="No Discount"/>
  </r>
  <r>
    <s v="TXN_00081"/>
    <d v="2024-05-16T00:00:00"/>
    <x v="3"/>
    <s v="Thursday"/>
    <s v="STORE_035"/>
    <x v="4"/>
    <x v="7"/>
    <x v="23"/>
    <n v="653.1"/>
    <n v="2"/>
    <n v="1306.2"/>
    <n v="20"/>
    <n v="261.24"/>
    <n v="1044.96"/>
    <s v="Wallet"/>
    <s v="CUST_00257"/>
    <n v="3"/>
    <n v="261.24"/>
    <n v="522.48"/>
    <s v="High"/>
  </r>
  <r>
    <s v="TXN_00082"/>
    <d v="2024-12-25T00:00:00"/>
    <x v="6"/>
    <s v="Wednesday"/>
    <s v="STORE_044"/>
    <x v="3"/>
    <x v="1"/>
    <x v="1"/>
    <n v="303.43"/>
    <n v="4"/>
    <n v="1213.72"/>
    <n v="20"/>
    <n v="242.74"/>
    <n v="970.98"/>
    <s v="Cash"/>
    <s v="CUST_00919"/>
    <n v="4"/>
    <n v="242.74"/>
    <n v="242.745"/>
    <s v="High"/>
  </r>
  <r>
    <s v="TXN_00083"/>
    <d v="2024-12-15T00:00:00"/>
    <x v="6"/>
    <s v="Sunday"/>
    <s v="STORE_021"/>
    <x v="3"/>
    <x v="6"/>
    <x v="33"/>
    <n v="674.4"/>
    <n v="2"/>
    <n v="1348.8"/>
    <n v="5"/>
    <n v="67.44"/>
    <n v="1281.3599999999999"/>
    <s v="Debit Card"/>
    <s v="CUST_00979"/>
    <n v="2"/>
    <n v="67.440000000000055"/>
    <n v="640.67999999999995"/>
    <s v="Low"/>
  </r>
  <r>
    <s v="TXN_00084"/>
    <d v="2024-11-27T00:00:00"/>
    <x v="0"/>
    <s v="Wednesday"/>
    <s v="STORE_026"/>
    <x v="1"/>
    <x v="4"/>
    <x v="17"/>
    <n v="391.04"/>
    <n v="5"/>
    <n v="1955.2"/>
    <n v="0"/>
    <n v="0"/>
    <n v="1955.2"/>
    <s v="Cash"/>
    <s v="CUST_00078"/>
    <n v="1"/>
    <n v="0"/>
    <n v="391.04"/>
    <s v="No Discount"/>
  </r>
  <r>
    <s v="TXN_00085"/>
    <d v="2024-02-06T00:00:00"/>
    <x v="1"/>
    <s v="Tuesday"/>
    <s v="STORE_048"/>
    <x v="0"/>
    <x v="5"/>
    <x v="9"/>
    <n v="2255.4899999999998"/>
    <n v="4"/>
    <n v="9021.9599999999991"/>
    <n v="10"/>
    <n v="902.2"/>
    <n v="8119.76"/>
    <s v="Cash"/>
    <s v="CUST_00511"/>
    <n v="2"/>
    <n v="902.19999999999891"/>
    <n v="2029.94"/>
    <s v="Medium"/>
  </r>
  <r>
    <s v="TXN_00086"/>
    <d v="2024-11-07T00:00:00"/>
    <x v="0"/>
    <s v="Thursday"/>
    <s v="STORE_016"/>
    <x v="4"/>
    <x v="3"/>
    <x v="12"/>
    <n v="2259.1999999999998"/>
    <n v="5"/>
    <n v="11296"/>
    <n v="0"/>
    <n v="0"/>
    <n v="11296"/>
    <s v="Debit Card"/>
    <s v="CUST_00365"/>
    <n v="2"/>
    <n v="0"/>
    <n v="2259.1999999999998"/>
    <s v="No Discount"/>
  </r>
  <r>
    <s v="TXN_00087"/>
    <d v="2024-11-21T00:00:00"/>
    <x v="0"/>
    <s v="Thursday"/>
    <s v="STORE_001"/>
    <x v="4"/>
    <x v="5"/>
    <x v="34"/>
    <n v="1479.51"/>
    <n v="2"/>
    <n v="2959.02"/>
    <n v="15"/>
    <n v="443.85"/>
    <n v="2515.17"/>
    <s v="UPI"/>
    <s v="CUST_00981"/>
    <n v="5"/>
    <n v="443.84999999999991"/>
    <n v="1257.585"/>
    <s v="Medium"/>
  </r>
  <r>
    <s v="TXN_00088"/>
    <d v="2024-03-28T00:00:00"/>
    <x v="5"/>
    <s v="Thursday"/>
    <s v="STORE_032"/>
    <x v="0"/>
    <x v="6"/>
    <x v="33"/>
    <n v="1056.79"/>
    <n v="6"/>
    <n v="6340.74"/>
    <n v="5"/>
    <n v="317.04000000000002"/>
    <n v="6023.7"/>
    <s v="Wallet"/>
    <s v="CUST_00783"/>
    <n v="3"/>
    <n v="317.03999999999996"/>
    <n v="1003.9499999999999"/>
    <s v="Low"/>
  </r>
  <r>
    <s v="TXN_00089"/>
    <d v="2024-09-30T00:00:00"/>
    <x v="9"/>
    <s v="Monday"/>
    <s v="STORE_028"/>
    <x v="3"/>
    <x v="2"/>
    <x v="13"/>
    <n v="255.46"/>
    <n v="10"/>
    <n v="2554.6"/>
    <n v="0"/>
    <n v="0"/>
    <n v="2554.6"/>
    <s v="Credit Card"/>
    <s v="CUST_00963"/>
    <n v="5"/>
    <n v="0"/>
    <n v="255.45999999999998"/>
    <s v="No Discount"/>
  </r>
  <r>
    <s v="TXN_00090"/>
    <d v="2024-05-05T00:00:00"/>
    <x v="3"/>
    <s v="Sunday"/>
    <s v="STORE_030"/>
    <x v="1"/>
    <x v="6"/>
    <x v="26"/>
    <n v="1020.93"/>
    <n v="3"/>
    <n v="3062.79"/>
    <n v="5"/>
    <n v="153.13999999999999"/>
    <n v="2909.65"/>
    <s v="Credit Card"/>
    <s v="CUST_00706"/>
    <n v="5"/>
    <n v="153.13999999999987"/>
    <n v="969.88333333333333"/>
    <s v="Low"/>
  </r>
  <r>
    <s v="TXN_00091"/>
    <d v="2024-03-24T00:00:00"/>
    <x v="5"/>
    <s v="Sunday"/>
    <s v="STORE_024"/>
    <x v="4"/>
    <x v="6"/>
    <x v="30"/>
    <n v="1511.15"/>
    <n v="7"/>
    <n v="10578.05"/>
    <n v="10"/>
    <n v="1057.81"/>
    <n v="9520.24"/>
    <s v="Credit Card"/>
    <s v="CUST_00883"/>
    <n v="3"/>
    <n v="1057.8099999999995"/>
    <n v="1360.0342857142857"/>
    <s v="Medium"/>
  </r>
  <r>
    <s v="TXN_00092"/>
    <d v="2024-08-24T00:00:00"/>
    <x v="8"/>
    <s v="Saturday"/>
    <s v="STORE_022"/>
    <x v="1"/>
    <x v="2"/>
    <x v="29"/>
    <n v="483.99"/>
    <n v="4"/>
    <n v="1935.96"/>
    <n v="0"/>
    <n v="0"/>
    <n v="1935.96"/>
    <s v="UPI"/>
    <s v="CUST_00189"/>
    <n v="5"/>
    <n v="0"/>
    <n v="483.99"/>
    <s v="No Discount"/>
  </r>
  <r>
    <s v="TXN_00093"/>
    <d v="2024-07-13T00:00:00"/>
    <x v="11"/>
    <s v="Saturday"/>
    <s v="STORE_029"/>
    <x v="0"/>
    <x v="1"/>
    <x v="1"/>
    <n v="144.74"/>
    <n v="6"/>
    <n v="868.44"/>
    <n v="0"/>
    <n v="0"/>
    <n v="868.44"/>
    <s v="UPI"/>
    <s v="CUST_00586"/>
    <n v="3"/>
    <n v="0"/>
    <n v="144.74"/>
    <s v="No Discount"/>
  </r>
  <r>
    <s v="TXN_00094"/>
    <d v="2024-05-18T00:00:00"/>
    <x v="3"/>
    <s v="Saturday"/>
    <s v="STORE_036"/>
    <x v="3"/>
    <x v="5"/>
    <x v="10"/>
    <n v="3744.05"/>
    <n v="2"/>
    <n v="7488.1"/>
    <n v="15"/>
    <n v="1123.21"/>
    <n v="6364.89"/>
    <s v="Cash"/>
    <s v="CUST_00877"/>
    <n v="2"/>
    <n v="1123.21"/>
    <n v="3182.4450000000002"/>
    <s v="Medium"/>
  </r>
  <r>
    <s v="TXN_00095"/>
    <d v="2024-11-23T00:00:00"/>
    <x v="0"/>
    <s v="Saturday"/>
    <s v="STORE_027"/>
    <x v="3"/>
    <x v="0"/>
    <x v="0"/>
    <n v="316.67"/>
    <n v="3"/>
    <n v="950.01"/>
    <n v="5"/>
    <n v="47.5"/>
    <n v="902.51"/>
    <s v="Credit Card"/>
    <s v="CUST_00138"/>
    <n v="2"/>
    <n v="47.5"/>
    <n v="300.83666666666664"/>
    <s v="Low"/>
  </r>
  <r>
    <s v="TXN_00096"/>
    <d v="2024-12-18T00:00:00"/>
    <x v="6"/>
    <s v="Wednesday"/>
    <s v="STORE_026"/>
    <x v="2"/>
    <x v="4"/>
    <x v="19"/>
    <n v="285.02"/>
    <n v="9"/>
    <n v="2565.1799999999998"/>
    <n v="20"/>
    <n v="513.04"/>
    <n v="2052.14"/>
    <s v="Wallet"/>
    <s v="CUST_00708"/>
    <n v="1"/>
    <n v="513.04"/>
    <n v="228.01555555555555"/>
    <s v="High"/>
  </r>
  <r>
    <s v="TXN_00097"/>
    <d v="2024-10-12T00:00:00"/>
    <x v="7"/>
    <s v="Saturday"/>
    <s v="STORE_048"/>
    <x v="1"/>
    <x v="5"/>
    <x v="34"/>
    <n v="1861.87"/>
    <n v="5"/>
    <n v="9309.35"/>
    <n v="5"/>
    <n v="465.47"/>
    <n v="8843.8799999999992"/>
    <s v="Credit Card"/>
    <s v="CUST_00267"/>
    <n v="4"/>
    <n v="465.47000000000116"/>
    <n v="1768.7759999999998"/>
    <s v="Low"/>
  </r>
  <r>
    <s v="TXN_00098"/>
    <d v="2024-04-22T00:00:00"/>
    <x v="4"/>
    <s v="Monday"/>
    <s v="STORE_008"/>
    <x v="1"/>
    <x v="4"/>
    <x v="35"/>
    <n v="402.16"/>
    <n v="5"/>
    <n v="2010.8"/>
    <n v="0"/>
    <n v="0"/>
    <n v="2010.8"/>
    <s v="Credit Card"/>
    <s v="CUST_00889"/>
    <n v="4"/>
    <n v="0"/>
    <n v="402.15999999999997"/>
    <s v="No Discount"/>
  </r>
  <r>
    <s v="TXN_00099"/>
    <d v="2024-12-16T00:00:00"/>
    <x v="6"/>
    <s v="Monday"/>
    <s v="STORE_021"/>
    <x v="4"/>
    <x v="3"/>
    <x v="16"/>
    <n v="1812.5"/>
    <n v="9"/>
    <n v="16312.5"/>
    <n v="0"/>
    <n v="0"/>
    <n v="16312.5"/>
    <s v="Cash"/>
    <s v="CUST_00500"/>
    <n v="3"/>
    <n v="0"/>
    <n v="1812.5"/>
    <s v="No Discount"/>
  </r>
  <r>
    <s v="TXN_00100"/>
    <d v="2024-06-15T00:00:00"/>
    <x v="10"/>
    <s v="Saturday"/>
    <s v="STORE_041"/>
    <x v="1"/>
    <x v="1"/>
    <x v="36"/>
    <n v="221.48"/>
    <n v="5"/>
    <n v="1107.4000000000001"/>
    <n v="5"/>
    <n v="55.37"/>
    <n v="1052.03"/>
    <s v="Debit Card"/>
    <s v="CUST_00432"/>
    <n v="2"/>
    <n v="55.370000000000118"/>
    <n v="210.40600000000001"/>
    <s v="Low"/>
  </r>
  <r>
    <s v="TXN_00101"/>
    <d v="2024-01-29T00:00:00"/>
    <x v="2"/>
    <s v="Monday"/>
    <s v="STORE_042"/>
    <x v="1"/>
    <x v="0"/>
    <x v="18"/>
    <n v="263.29000000000002"/>
    <n v="6"/>
    <n v="1579.74"/>
    <n v="0"/>
    <n v="0"/>
    <n v="1579.74"/>
    <s v="Cash"/>
    <s v="CUST_00728"/>
    <n v="3"/>
    <n v="0"/>
    <n v="263.29000000000002"/>
    <s v="No Discount"/>
  </r>
  <r>
    <s v="TXN_00102"/>
    <d v="2024-04-27T00:00:00"/>
    <x v="4"/>
    <s v="Saturday"/>
    <s v="STORE_034"/>
    <x v="3"/>
    <x v="2"/>
    <x v="7"/>
    <n v="551.25"/>
    <n v="5"/>
    <n v="2756.25"/>
    <n v="5"/>
    <n v="137.81"/>
    <n v="2618.44"/>
    <s v="Cash"/>
    <s v="CUST_00424"/>
    <n v="5"/>
    <n v="137.80999999999995"/>
    <n v="523.68799999999999"/>
    <s v="Low"/>
  </r>
  <r>
    <s v="TXN_00103"/>
    <d v="2024-01-17T00:00:00"/>
    <x v="2"/>
    <s v="Wednesday"/>
    <s v="STORE_048"/>
    <x v="2"/>
    <x v="5"/>
    <x v="11"/>
    <n v="4416.8500000000004"/>
    <n v="3"/>
    <n v="13250.55"/>
    <n v="15"/>
    <n v="1987.58"/>
    <n v="11262.97"/>
    <s v="Debit Card"/>
    <s v="CUST_00216"/>
    <n v="3"/>
    <n v="1987.58"/>
    <n v="3754.3233333333333"/>
    <s v="Medium"/>
  </r>
  <r>
    <s v="TXN_00104"/>
    <d v="2024-06-10T00:00:00"/>
    <x v="10"/>
    <s v="Monday"/>
    <s v="STORE_002"/>
    <x v="3"/>
    <x v="5"/>
    <x v="9"/>
    <n v="1412.04"/>
    <n v="2"/>
    <n v="2824.08"/>
    <n v="5"/>
    <n v="141.19999999999999"/>
    <n v="2682.88"/>
    <s v="Wallet"/>
    <s v="CUST_00537"/>
    <n v="1"/>
    <n v="141.19999999999982"/>
    <n v="1341.44"/>
    <s v="Low"/>
  </r>
  <r>
    <s v="TXN_00105"/>
    <d v="2024-07-24T00:00:00"/>
    <x v="11"/>
    <s v="Wednesday"/>
    <s v="STORE_015"/>
    <x v="0"/>
    <x v="7"/>
    <x v="28"/>
    <n v="614.94000000000005"/>
    <n v="3"/>
    <n v="1844.82"/>
    <n v="0"/>
    <n v="0"/>
    <n v="1844.82"/>
    <s v="UPI"/>
    <s v="CUST_00756"/>
    <n v="3"/>
    <n v="0"/>
    <n v="614.93999999999994"/>
    <s v="No Discount"/>
  </r>
  <r>
    <s v="TXN_00106"/>
    <d v="2024-05-17T00:00:00"/>
    <x v="3"/>
    <s v="Friday"/>
    <s v="STORE_003"/>
    <x v="1"/>
    <x v="2"/>
    <x v="13"/>
    <n v="538.54"/>
    <n v="3"/>
    <n v="1615.62"/>
    <n v="10"/>
    <n v="161.56"/>
    <n v="1454.06"/>
    <s v="Debit Card"/>
    <s v="CUST_00882"/>
    <n v="1"/>
    <n v="161.55999999999995"/>
    <n v="484.68666666666667"/>
    <s v="Medium"/>
  </r>
  <r>
    <s v="TXN_00107"/>
    <d v="2024-02-03T00:00:00"/>
    <x v="1"/>
    <s v="Saturday"/>
    <s v="STORE_009"/>
    <x v="4"/>
    <x v="4"/>
    <x v="19"/>
    <n v="360.24"/>
    <n v="9"/>
    <n v="3242.16"/>
    <n v="0"/>
    <n v="0"/>
    <n v="3242.16"/>
    <s v="Wallet"/>
    <s v="CUST_00182"/>
    <n v="4"/>
    <n v="0"/>
    <n v="360.24"/>
    <s v="No Discount"/>
  </r>
  <r>
    <s v="TXN_00108"/>
    <d v="2024-04-18T00:00:00"/>
    <x v="4"/>
    <s v="Thursday"/>
    <s v="STORE_035"/>
    <x v="0"/>
    <x v="1"/>
    <x v="3"/>
    <n v="245.74"/>
    <n v="9"/>
    <n v="2211.66"/>
    <n v="0"/>
    <n v="0"/>
    <n v="2211.66"/>
    <s v="Cash"/>
    <s v="CUST_00825"/>
    <n v="4"/>
    <n v="0"/>
    <n v="245.73999999999998"/>
    <s v="No Discount"/>
  </r>
  <r>
    <s v="TXN_00109"/>
    <d v="2024-10-17T00:00:00"/>
    <x v="7"/>
    <s v="Thursday"/>
    <s v="STORE_001"/>
    <x v="2"/>
    <x v="7"/>
    <x v="37"/>
    <n v="669.44"/>
    <n v="7"/>
    <n v="4686.08"/>
    <n v="0"/>
    <n v="0"/>
    <n v="4686.08"/>
    <s v="Debit Card"/>
    <s v="CUST_00536"/>
    <n v="3"/>
    <n v="0"/>
    <n v="669.43999999999994"/>
    <s v="No Discount"/>
  </r>
  <r>
    <s v="TXN_00110"/>
    <d v="2024-06-10T00:00:00"/>
    <x v="10"/>
    <s v="Monday"/>
    <s v="STORE_020"/>
    <x v="2"/>
    <x v="5"/>
    <x v="25"/>
    <n v="2147.0500000000002"/>
    <n v="9"/>
    <n v="19323.45"/>
    <n v="0"/>
    <n v="0"/>
    <n v="19323.45"/>
    <s v="UPI"/>
    <s v="CUST_00785"/>
    <n v="4"/>
    <n v="0"/>
    <n v="2147.0500000000002"/>
    <s v="No Discount"/>
  </r>
  <r>
    <s v="TXN_00111"/>
    <d v="2024-04-18T00:00:00"/>
    <x v="4"/>
    <s v="Thursday"/>
    <s v="STORE_027"/>
    <x v="4"/>
    <x v="0"/>
    <x v="32"/>
    <n v="677.6"/>
    <n v="1"/>
    <n v="677.6"/>
    <n v="10"/>
    <n v="67.760000000000005"/>
    <n v="609.84"/>
    <s v="Cash"/>
    <s v="CUST_00448"/>
    <n v="2"/>
    <n v="67.759999999999991"/>
    <n v="609.84"/>
    <s v="Medium"/>
  </r>
  <r>
    <s v="TXN_00112"/>
    <d v="2024-12-01T00:00:00"/>
    <x v="6"/>
    <s v="Sunday"/>
    <s v="STORE_017"/>
    <x v="2"/>
    <x v="0"/>
    <x v="0"/>
    <n v="330.62"/>
    <n v="7"/>
    <n v="2314.34"/>
    <n v="20"/>
    <n v="462.87"/>
    <n v="1851.47"/>
    <s v="UPI"/>
    <s v="CUST_00433"/>
    <n v="2"/>
    <n v="462.87000000000012"/>
    <n v="264.49571428571431"/>
    <s v="High"/>
  </r>
  <r>
    <s v="TXN_00113"/>
    <d v="2024-09-12T00:00:00"/>
    <x v="9"/>
    <s v="Thursday"/>
    <s v="STORE_042"/>
    <x v="4"/>
    <x v="3"/>
    <x v="16"/>
    <n v="2340.71"/>
    <n v="10"/>
    <n v="23407.1"/>
    <n v="20"/>
    <n v="4681.42"/>
    <n v="18725.68"/>
    <s v="Cash"/>
    <s v="CUST_00829"/>
    <n v="3"/>
    <n v="4681.4199999999983"/>
    <n v="1872.568"/>
    <s v="High"/>
  </r>
  <r>
    <s v="TXN_00114"/>
    <d v="2024-07-21T00:00:00"/>
    <x v="11"/>
    <s v="Sunday"/>
    <s v="STORE_008"/>
    <x v="3"/>
    <x v="2"/>
    <x v="13"/>
    <n v="231.6"/>
    <n v="2"/>
    <n v="463.2"/>
    <n v="0"/>
    <n v="0"/>
    <n v="463.2"/>
    <s v="Debit Card"/>
    <s v="CUST_00633"/>
    <n v="3"/>
    <n v="0"/>
    <n v="231.6"/>
    <s v="No Discount"/>
  </r>
  <r>
    <s v="TXN_00115"/>
    <d v="2024-11-25T00:00:00"/>
    <x v="0"/>
    <s v="Monday"/>
    <s v="STORE_010"/>
    <x v="2"/>
    <x v="1"/>
    <x v="6"/>
    <n v="365.21"/>
    <n v="8"/>
    <n v="2921.68"/>
    <n v="0"/>
    <n v="0"/>
    <n v="2921.68"/>
    <s v="Cash"/>
    <s v="CUST_00993"/>
    <n v="1"/>
    <n v="0"/>
    <n v="365.21"/>
    <s v="No Discount"/>
  </r>
  <r>
    <s v="TXN_00116"/>
    <d v="2024-08-22T00:00:00"/>
    <x v="8"/>
    <s v="Thursday"/>
    <s v="STORE_047"/>
    <x v="2"/>
    <x v="6"/>
    <x v="14"/>
    <n v="1958.5"/>
    <n v="5"/>
    <n v="9792.5"/>
    <n v="0"/>
    <n v="0"/>
    <n v="9792.5"/>
    <s v="Debit Card"/>
    <s v="CUST_00239"/>
    <n v="4"/>
    <n v="0"/>
    <n v="1958.5"/>
    <s v="No Discount"/>
  </r>
  <r>
    <s v="TXN_00117"/>
    <d v="2024-03-14T00:00:00"/>
    <x v="5"/>
    <s v="Thursday"/>
    <s v="STORE_032"/>
    <x v="1"/>
    <x v="7"/>
    <x v="38"/>
    <n v="317.67"/>
    <n v="4"/>
    <n v="1270.68"/>
    <n v="0"/>
    <n v="0"/>
    <n v="1270.68"/>
    <s v="UPI"/>
    <s v="CUST_00475"/>
    <n v="3"/>
    <n v="0"/>
    <n v="317.67"/>
    <s v="No Discount"/>
  </r>
  <r>
    <s v="TXN_00118"/>
    <d v="2024-05-15T00:00:00"/>
    <x v="3"/>
    <s v="Wednesday"/>
    <s v="STORE_005"/>
    <x v="4"/>
    <x v="6"/>
    <x v="15"/>
    <n v="620.33000000000004"/>
    <n v="3"/>
    <n v="1860.99"/>
    <n v="0"/>
    <n v="0"/>
    <n v="1860.99"/>
    <s v="Cash"/>
    <s v="CUST_00482"/>
    <n v="4"/>
    <n v="0"/>
    <n v="620.33000000000004"/>
    <s v="No Discount"/>
  </r>
  <r>
    <s v="TXN_00119"/>
    <d v="2024-03-12T00:00:00"/>
    <x v="5"/>
    <s v="Tuesday"/>
    <s v="STORE_008"/>
    <x v="0"/>
    <x v="5"/>
    <x v="11"/>
    <n v="4582.8"/>
    <n v="5"/>
    <n v="22914"/>
    <n v="20"/>
    <n v="4582.8"/>
    <n v="18331.2"/>
    <s v="UPI"/>
    <s v="CUST_00395"/>
    <n v="1"/>
    <n v="4582.7999999999993"/>
    <n v="3666.2400000000002"/>
    <s v="High"/>
  </r>
  <r>
    <s v="TXN_00120"/>
    <d v="2024-05-06T00:00:00"/>
    <x v="3"/>
    <s v="Monday"/>
    <s v="STORE_034"/>
    <x v="0"/>
    <x v="1"/>
    <x v="31"/>
    <n v="381.93"/>
    <n v="1"/>
    <n v="381.93"/>
    <n v="0"/>
    <n v="0"/>
    <n v="381.93"/>
    <s v="UPI"/>
    <s v="CUST_00485"/>
    <n v="1"/>
    <n v="0"/>
    <n v="381.93"/>
    <s v="No Discount"/>
  </r>
  <r>
    <s v="TXN_00121"/>
    <d v="2024-10-14T00:00:00"/>
    <x v="7"/>
    <s v="Monday"/>
    <s v="STORE_034"/>
    <x v="2"/>
    <x v="0"/>
    <x v="32"/>
    <n v="948.97"/>
    <n v="3"/>
    <n v="2846.91"/>
    <n v="15"/>
    <n v="427.04"/>
    <n v="2419.87"/>
    <s v="Credit Card"/>
    <s v="CUST_00260"/>
    <n v="5"/>
    <n v="427.03999999999996"/>
    <n v="806.62333333333333"/>
    <s v="Medium"/>
  </r>
  <r>
    <s v="TXN_00122"/>
    <d v="2024-10-02T00:00:00"/>
    <x v="7"/>
    <s v="Wednesday"/>
    <s v="STORE_016"/>
    <x v="3"/>
    <x v="1"/>
    <x v="6"/>
    <n v="139.43"/>
    <n v="1"/>
    <n v="139.43"/>
    <n v="20"/>
    <n v="27.89"/>
    <n v="111.54"/>
    <s v="Debit Card"/>
    <s v="CUST_00333"/>
    <n v="1"/>
    <n v="27.89"/>
    <n v="111.54"/>
    <s v="High"/>
  </r>
  <r>
    <s v="TXN_00123"/>
    <d v="2024-05-14T00:00:00"/>
    <x v="3"/>
    <s v="Tuesday"/>
    <s v="STORE_001"/>
    <x v="2"/>
    <x v="6"/>
    <x v="14"/>
    <n v="1691.59"/>
    <n v="10"/>
    <n v="16915.900000000001"/>
    <n v="0"/>
    <n v="0"/>
    <n v="16915.900000000001"/>
    <s v="UPI"/>
    <s v="CUST_00596"/>
    <n v="2"/>
    <n v="0"/>
    <n v="1691.5900000000001"/>
    <s v="No Discount"/>
  </r>
  <r>
    <s v="TXN_00124"/>
    <d v="2024-10-26T00:00:00"/>
    <x v="7"/>
    <s v="Saturday"/>
    <s v="STORE_006"/>
    <x v="4"/>
    <x v="1"/>
    <x v="3"/>
    <n v="119.75"/>
    <n v="2"/>
    <n v="239.5"/>
    <n v="0"/>
    <n v="0"/>
    <n v="239.5"/>
    <s v="Debit Card"/>
    <s v="CUST_00347"/>
    <n v="4"/>
    <n v="0"/>
    <n v="119.75"/>
    <s v="No Discount"/>
  </r>
  <r>
    <s v="TXN_00125"/>
    <d v="2024-08-07T00:00:00"/>
    <x v="8"/>
    <s v="Wednesday"/>
    <s v="STORE_009"/>
    <x v="3"/>
    <x v="6"/>
    <x v="30"/>
    <n v="1033.28"/>
    <n v="3"/>
    <n v="3099.84"/>
    <n v="15"/>
    <n v="464.98"/>
    <n v="2634.86"/>
    <s v="Wallet"/>
    <s v="CUST_00239"/>
    <n v="1"/>
    <n v="464.98"/>
    <n v="878.28666666666675"/>
    <s v="Medium"/>
  </r>
  <r>
    <s v="TXN_00126"/>
    <d v="2024-10-25T00:00:00"/>
    <x v="7"/>
    <s v="Friday"/>
    <s v="STORE_002"/>
    <x v="3"/>
    <x v="4"/>
    <x v="17"/>
    <n v="504.85"/>
    <n v="6"/>
    <n v="3029.1"/>
    <n v="20"/>
    <n v="605.82000000000005"/>
    <n v="2423.2800000000002"/>
    <s v="UPI"/>
    <s v="CUST_00367"/>
    <n v="2"/>
    <n v="605.81999999999971"/>
    <n v="403.88000000000005"/>
    <s v="High"/>
  </r>
  <r>
    <s v="TXN_00127"/>
    <d v="2024-07-23T00:00:00"/>
    <x v="11"/>
    <s v="Tuesday"/>
    <s v="STORE_019"/>
    <x v="4"/>
    <x v="5"/>
    <x v="25"/>
    <n v="4594.6499999999996"/>
    <n v="8"/>
    <n v="36757.199999999997"/>
    <n v="15"/>
    <n v="5513.58"/>
    <n v="31243.62"/>
    <s v="UPI"/>
    <s v="CUST_00714"/>
    <n v="5"/>
    <n v="5513.5799999999981"/>
    <n v="3905.4524999999999"/>
    <s v="Medium"/>
  </r>
  <r>
    <s v="TXN_00128"/>
    <d v="2024-07-04T00:00:00"/>
    <x v="11"/>
    <s v="Thursday"/>
    <s v="STORE_018"/>
    <x v="4"/>
    <x v="1"/>
    <x v="31"/>
    <n v="305.02"/>
    <n v="9"/>
    <n v="2745.18"/>
    <n v="0"/>
    <n v="0"/>
    <n v="2745.18"/>
    <s v="Cash"/>
    <s v="CUST_00937"/>
    <n v="4"/>
    <n v="0"/>
    <n v="305.02"/>
    <s v="No Discount"/>
  </r>
  <r>
    <s v="TXN_00129"/>
    <d v="2024-04-22T00:00:00"/>
    <x v="4"/>
    <s v="Monday"/>
    <s v="STORE_024"/>
    <x v="3"/>
    <x v="5"/>
    <x v="34"/>
    <n v="3124.55"/>
    <n v="8"/>
    <n v="24996.400000000001"/>
    <n v="0"/>
    <n v="0"/>
    <n v="24996.400000000001"/>
    <s v="Cash"/>
    <s v="CUST_00001"/>
    <n v="5"/>
    <n v="0"/>
    <n v="3124.55"/>
    <s v="No Discount"/>
  </r>
  <r>
    <s v="TXN_00130"/>
    <d v="2024-03-11T00:00:00"/>
    <x v="5"/>
    <s v="Monday"/>
    <s v="STORE_016"/>
    <x v="1"/>
    <x v="0"/>
    <x v="0"/>
    <n v="906.35"/>
    <n v="10"/>
    <n v="9063.5"/>
    <n v="20"/>
    <n v="1812.7"/>
    <n v="7250.8"/>
    <s v="Cash"/>
    <s v="CUST_00739"/>
    <n v="5"/>
    <n v="1812.6999999999998"/>
    <n v="725.08"/>
    <s v="High"/>
  </r>
  <r>
    <s v="TXN_00131"/>
    <d v="2024-09-17T00:00:00"/>
    <x v="9"/>
    <s v="Tuesday"/>
    <s v="STORE_010"/>
    <x v="4"/>
    <x v="7"/>
    <x v="23"/>
    <n v="1282.8599999999999"/>
    <n v="4"/>
    <n v="5131.4399999999996"/>
    <n v="10"/>
    <n v="513.14"/>
    <n v="4618.3"/>
    <s v="UPI"/>
    <s v="CUST_00290"/>
    <n v="5"/>
    <n v="513.13999999999942"/>
    <n v="1154.575"/>
    <s v="Medium"/>
  </r>
  <r>
    <s v="TXN_00132"/>
    <d v="2024-09-09T00:00:00"/>
    <x v="9"/>
    <s v="Monday"/>
    <s v="STORE_003"/>
    <x v="0"/>
    <x v="4"/>
    <x v="19"/>
    <n v="438.41"/>
    <n v="2"/>
    <n v="876.82"/>
    <n v="0"/>
    <n v="0"/>
    <n v="876.82"/>
    <s v="Wallet"/>
    <s v="CUST_00183"/>
    <n v="1"/>
    <n v="0"/>
    <n v="438.41"/>
    <s v="No Discount"/>
  </r>
  <r>
    <s v="TXN_00133"/>
    <d v="2024-02-16T00:00:00"/>
    <x v="1"/>
    <s v="Friday"/>
    <s v="STORE_042"/>
    <x v="3"/>
    <x v="6"/>
    <x v="14"/>
    <n v="660.58"/>
    <n v="4"/>
    <n v="2642.32"/>
    <n v="0"/>
    <n v="0"/>
    <n v="2642.32"/>
    <s v="Credit Card"/>
    <s v="CUST_00674"/>
    <n v="5"/>
    <n v="0"/>
    <n v="660.58"/>
    <s v="No Discount"/>
  </r>
  <r>
    <s v="TXN_00134"/>
    <d v="2024-01-25T00:00:00"/>
    <x v="2"/>
    <s v="Thursday"/>
    <s v="STORE_015"/>
    <x v="4"/>
    <x v="1"/>
    <x v="3"/>
    <n v="330.79"/>
    <n v="10"/>
    <n v="3307.9"/>
    <n v="0"/>
    <n v="0"/>
    <n v="3307.9"/>
    <s v="Credit Card"/>
    <s v="CUST_00736"/>
    <n v="3"/>
    <n v="0"/>
    <n v="330.79"/>
    <s v="No Discount"/>
  </r>
  <r>
    <s v="TXN_00135"/>
    <d v="2024-02-26T00:00:00"/>
    <x v="1"/>
    <s v="Monday"/>
    <s v="STORE_030"/>
    <x v="2"/>
    <x v="7"/>
    <x v="28"/>
    <n v="1416.25"/>
    <n v="4"/>
    <n v="5665"/>
    <n v="15"/>
    <n v="849.75"/>
    <n v="4815.25"/>
    <s v="UPI"/>
    <s v="CUST_00370"/>
    <n v="1"/>
    <n v="849.75"/>
    <n v="1203.8125"/>
    <s v="Medium"/>
  </r>
  <r>
    <s v="TXN_00136"/>
    <d v="2024-03-19T00:00:00"/>
    <x v="5"/>
    <s v="Tuesday"/>
    <s v="STORE_034"/>
    <x v="2"/>
    <x v="0"/>
    <x v="32"/>
    <n v="835.4"/>
    <n v="1"/>
    <n v="835.4"/>
    <n v="20"/>
    <n v="167.08"/>
    <n v="668.32"/>
    <s v="Wallet"/>
    <s v="CUST_00752"/>
    <n v="3"/>
    <n v="167.07999999999993"/>
    <n v="668.32"/>
    <s v="High"/>
  </r>
  <r>
    <s v="TXN_00137"/>
    <d v="2024-11-17T00:00:00"/>
    <x v="0"/>
    <s v="Sunday"/>
    <s v="STORE_047"/>
    <x v="0"/>
    <x v="7"/>
    <x v="24"/>
    <n v="393.52"/>
    <n v="4"/>
    <n v="1574.08"/>
    <n v="10"/>
    <n v="157.41"/>
    <n v="1416.67"/>
    <s v="Credit Card"/>
    <s v="CUST_00545"/>
    <n v="1"/>
    <n v="157.40999999999985"/>
    <n v="354.16750000000002"/>
    <s v="Medium"/>
  </r>
  <r>
    <s v="TXN_00138"/>
    <d v="2024-03-22T00:00:00"/>
    <x v="5"/>
    <s v="Friday"/>
    <s v="STORE_048"/>
    <x v="4"/>
    <x v="0"/>
    <x v="0"/>
    <n v="354.5"/>
    <n v="4"/>
    <n v="1418"/>
    <n v="10"/>
    <n v="141.80000000000001"/>
    <n v="1276.2"/>
    <s v="Debit Card"/>
    <s v="CUST_00426"/>
    <n v="5"/>
    <n v="141.79999999999995"/>
    <n v="319.05"/>
    <s v="Medium"/>
  </r>
  <r>
    <s v="TXN_00139"/>
    <d v="2024-12-14T00:00:00"/>
    <x v="6"/>
    <s v="Saturday"/>
    <s v="STORE_011"/>
    <x v="0"/>
    <x v="7"/>
    <x v="23"/>
    <n v="729.56"/>
    <n v="8"/>
    <n v="5836.48"/>
    <n v="15"/>
    <n v="875.47"/>
    <n v="4961.01"/>
    <s v="UPI"/>
    <s v="CUST_00564"/>
    <n v="1"/>
    <n v="875.46999999999935"/>
    <n v="620.12625000000003"/>
    <s v="Medium"/>
  </r>
  <r>
    <s v="TXN_00140"/>
    <d v="2024-08-04T00:00:00"/>
    <x v="8"/>
    <s v="Sunday"/>
    <s v="STORE_023"/>
    <x v="1"/>
    <x v="0"/>
    <x v="27"/>
    <n v="470.01"/>
    <n v="3"/>
    <n v="1410.03"/>
    <n v="10"/>
    <n v="141"/>
    <n v="1269.03"/>
    <s v="Wallet"/>
    <s v="CUST_00564"/>
    <n v="4"/>
    <n v="141"/>
    <n v="423.01"/>
    <s v="Medium"/>
  </r>
  <r>
    <s v="TXN_00141"/>
    <d v="2024-11-01T00:00:00"/>
    <x v="0"/>
    <s v="Friday"/>
    <s v="STORE_016"/>
    <x v="4"/>
    <x v="4"/>
    <x v="35"/>
    <n v="335.55"/>
    <n v="7"/>
    <n v="2348.85"/>
    <n v="20"/>
    <n v="469.77"/>
    <n v="1879.08"/>
    <s v="Cash"/>
    <s v="CUST_00559"/>
    <n v="5"/>
    <n v="469.77"/>
    <n v="268.44"/>
    <s v="High"/>
  </r>
  <r>
    <s v="TXN_00142"/>
    <d v="2024-02-02T00:00:00"/>
    <x v="1"/>
    <s v="Friday"/>
    <s v="STORE_026"/>
    <x v="2"/>
    <x v="3"/>
    <x v="5"/>
    <n v="2343.98"/>
    <n v="5"/>
    <n v="11719.9"/>
    <n v="0"/>
    <n v="0"/>
    <n v="11719.9"/>
    <s v="UPI"/>
    <s v="CUST_00744"/>
    <n v="4"/>
    <n v="0"/>
    <n v="2343.98"/>
    <s v="No Discount"/>
  </r>
  <r>
    <s v="TXN_00143"/>
    <d v="2024-07-16T00:00:00"/>
    <x v="11"/>
    <s v="Tuesday"/>
    <s v="STORE_020"/>
    <x v="0"/>
    <x v="6"/>
    <x v="15"/>
    <n v="1393.64"/>
    <n v="9"/>
    <n v="12542.76"/>
    <n v="0"/>
    <n v="0"/>
    <n v="12542.76"/>
    <s v="Cash"/>
    <s v="CUST_00220"/>
    <n v="1"/>
    <n v="0"/>
    <n v="1393.64"/>
    <s v="No Discount"/>
  </r>
  <r>
    <s v="TXN_00144"/>
    <d v="2024-07-14T00:00:00"/>
    <x v="11"/>
    <s v="Sunday"/>
    <s v="STORE_037"/>
    <x v="4"/>
    <x v="4"/>
    <x v="8"/>
    <n v="497.19"/>
    <n v="5"/>
    <n v="2485.9499999999998"/>
    <n v="10"/>
    <n v="248.59"/>
    <n v="2237.36"/>
    <s v="Wallet"/>
    <s v="CUST_00159"/>
    <n v="5"/>
    <n v="248.58999999999969"/>
    <n v="447.47200000000004"/>
    <s v="Medium"/>
  </r>
  <r>
    <s v="TXN_00145"/>
    <d v="2024-11-01T00:00:00"/>
    <x v="0"/>
    <s v="Friday"/>
    <s v="STORE_038"/>
    <x v="0"/>
    <x v="7"/>
    <x v="28"/>
    <n v="852.44"/>
    <n v="3"/>
    <n v="2557.3200000000002"/>
    <n v="0"/>
    <n v="0"/>
    <n v="2557.3200000000002"/>
    <s v="Cash"/>
    <s v="CUST_00239"/>
    <n v="3"/>
    <n v="0"/>
    <n v="852.44"/>
    <s v="No Discount"/>
  </r>
  <r>
    <s v="TXN_00146"/>
    <d v="2024-08-27T00:00:00"/>
    <x v="8"/>
    <s v="Tuesday"/>
    <s v="STORE_047"/>
    <x v="1"/>
    <x v="2"/>
    <x v="39"/>
    <n v="164.33"/>
    <n v="7"/>
    <n v="1150.31"/>
    <n v="10"/>
    <n v="115.03"/>
    <n v="1035.28"/>
    <s v="Debit Card"/>
    <s v="CUST_00812"/>
    <n v="1"/>
    <n v="115.02999999999997"/>
    <n v="147.89714285714285"/>
    <s v="Medium"/>
  </r>
  <r>
    <s v="TXN_00147"/>
    <d v="2024-09-27T00:00:00"/>
    <x v="9"/>
    <s v="Friday"/>
    <s v="STORE_042"/>
    <x v="1"/>
    <x v="1"/>
    <x v="31"/>
    <n v="269.72000000000003"/>
    <n v="10"/>
    <n v="2697.2"/>
    <n v="20"/>
    <n v="539.44000000000005"/>
    <n v="2157.7600000000002"/>
    <s v="Credit Card"/>
    <s v="CUST_00039"/>
    <n v="5"/>
    <n v="539.4399999999996"/>
    <n v="215.77600000000001"/>
    <s v="High"/>
  </r>
  <r>
    <s v="TXN_00148"/>
    <d v="2024-05-08T00:00:00"/>
    <x v="3"/>
    <s v="Wednesday"/>
    <s v="STORE_008"/>
    <x v="0"/>
    <x v="0"/>
    <x v="18"/>
    <n v="824.1"/>
    <n v="6"/>
    <n v="4944.6000000000004"/>
    <n v="0"/>
    <n v="0"/>
    <n v="4944.6000000000004"/>
    <s v="UPI"/>
    <s v="CUST_00766"/>
    <n v="4"/>
    <n v="0"/>
    <n v="824.1"/>
    <s v="No Discount"/>
  </r>
  <r>
    <s v="TXN_00149"/>
    <d v="2024-10-10T00:00:00"/>
    <x v="7"/>
    <s v="Thursday"/>
    <s v="STORE_037"/>
    <x v="0"/>
    <x v="6"/>
    <x v="33"/>
    <n v="581.19000000000005"/>
    <n v="9"/>
    <n v="5230.71"/>
    <n v="0"/>
    <n v="0"/>
    <n v="5230.71"/>
    <s v="Cash"/>
    <s v="CUST_00335"/>
    <n v="5"/>
    <n v="0"/>
    <n v="581.19000000000005"/>
    <s v="No Discount"/>
  </r>
  <r>
    <s v="TXN_00150"/>
    <d v="2024-01-06T00:00:00"/>
    <x v="2"/>
    <s v="Saturday"/>
    <s v="STORE_033"/>
    <x v="2"/>
    <x v="3"/>
    <x v="12"/>
    <n v="341.46"/>
    <n v="7"/>
    <n v="2390.2199999999998"/>
    <n v="5"/>
    <n v="119.51"/>
    <n v="2270.71"/>
    <s v="Wallet"/>
    <s v="CUST_00228"/>
    <n v="5"/>
    <n v="119.50999999999976"/>
    <n v="324.38714285714286"/>
    <s v="Low"/>
  </r>
  <r>
    <s v="TXN_00151"/>
    <d v="2024-12-14T00:00:00"/>
    <x v="6"/>
    <s v="Saturday"/>
    <s v="STORE_031"/>
    <x v="4"/>
    <x v="0"/>
    <x v="32"/>
    <n v="829.09"/>
    <n v="3"/>
    <n v="2487.27"/>
    <n v="0"/>
    <n v="0"/>
    <n v="2487.27"/>
    <s v="Cash"/>
    <s v="CUST_00764"/>
    <n v="1"/>
    <n v="0"/>
    <n v="829.09"/>
    <s v="No Discount"/>
  </r>
  <r>
    <s v="TXN_00152"/>
    <d v="2024-02-28T00:00:00"/>
    <x v="1"/>
    <s v="Wednesday"/>
    <s v="STORE_050"/>
    <x v="0"/>
    <x v="6"/>
    <x v="26"/>
    <n v="1098.79"/>
    <n v="2"/>
    <n v="2197.58"/>
    <n v="5"/>
    <n v="109.88"/>
    <n v="2087.6999999999998"/>
    <s v="Wallet"/>
    <s v="CUST_00781"/>
    <n v="4"/>
    <n v="109.88000000000011"/>
    <n v="1043.8499999999999"/>
    <s v="Low"/>
  </r>
  <r>
    <s v="TXN_00153"/>
    <d v="2024-12-15T00:00:00"/>
    <x v="6"/>
    <s v="Sunday"/>
    <s v="STORE_036"/>
    <x v="4"/>
    <x v="5"/>
    <x v="9"/>
    <n v="3237.18"/>
    <n v="8"/>
    <n v="25897.439999999999"/>
    <n v="5"/>
    <n v="1294.8699999999999"/>
    <n v="24602.57"/>
    <s v="Wallet"/>
    <s v="CUST_00754"/>
    <n v="2"/>
    <n v="1294.869999999999"/>
    <n v="3075.32125"/>
    <s v="Low"/>
  </r>
  <r>
    <s v="TXN_00154"/>
    <d v="2024-10-01T00:00:00"/>
    <x v="7"/>
    <s v="Tuesday"/>
    <s v="STORE_008"/>
    <x v="3"/>
    <x v="3"/>
    <x v="12"/>
    <n v="400.6"/>
    <n v="7"/>
    <n v="2804.2"/>
    <n v="0"/>
    <n v="0"/>
    <n v="2804.2"/>
    <s v="Wallet"/>
    <s v="CUST_00434"/>
    <n v="1"/>
    <n v="0"/>
    <n v="400.59999999999997"/>
    <s v="No Discount"/>
  </r>
  <r>
    <s v="TXN_00155"/>
    <d v="2024-05-16T00:00:00"/>
    <x v="3"/>
    <s v="Thursday"/>
    <s v="STORE_011"/>
    <x v="1"/>
    <x v="4"/>
    <x v="35"/>
    <n v="235.72"/>
    <n v="6"/>
    <n v="1414.32"/>
    <n v="10"/>
    <n v="141.43"/>
    <n v="1272.8900000000001"/>
    <s v="Credit Card"/>
    <s v="CUST_00632"/>
    <n v="3"/>
    <n v="141.42999999999984"/>
    <n v="212.14833333333334"/>
    <s v="Medium"/>
  </r>
  <r>
    <s v="TXN_00156"/>
    <d v="2024-11-24T00:00:00"/>
    <x v="0"/>
    <s v="Sunday"/>
    <s v="STORE_044"/>
    <x v="1"/>
    <x v="1"/>
    <x v="3"/>
    <n v="115.62"/>
    <n v="1"/>
    <n v="115.62"/>
    <n v="20"/>
    <n v="23.12"/>
    <n v="92.5"/>
    <s v="Debit Card"/>
    <s v="CUST_00160"/>
    <n v="2"/>
    <n v="23.120000000000005"/>
    <n v="92.5"/>
    <s v="High"/>
  </r>
  <r>
    <s v="TXN_00157"/>
    <d v="2024-06-23T00:00:00"/>
    <x v="10"/>
    <s v="Sunday"/>
    <s v="STORE_001"/>
    <x v="1"/>
    <x v="7"/>
    <x v="28"/>
    <n v="1187.5"/>
    <n v="4"/>
    <n v="4750"/>
    <n v="10"/>
    <n v="475"/>
    <n v="4275"/>
    <s v="Debit Card"/>
    <s v="CUST_00711"/>
    <n v="3"/>
    <n v="475"/>
    <n v="1068.75"/>
    <s v="Medium"/>
  </r>
  <r>
    <s v="TXN_00158"/>
    <d v="2024-02-27T00:00:00"/>
    <x v="1"/>
    <s v="Tuesday"/>
    <s v="STORE_014"/>
    <x v="0"/>
    <x v="7"/>
    <x v="24"/>
    <n v="840.07"/>
    <n v="1"/>
    <n v="840.07"/>
    <n v="0"/>
    <n v="0"/>
    <n v="840.07"/>
    <s v="Debit Card"/>
    <s v="CUST_00560"/>
    <n v="5"/>
    <n v="0"/>
    <n v="840.07"/>
    <s v="No Discount"/>
  </r>
  <r>
    <s v="TXN_00159"/>
    <d v="2024-05-30T00:00:00"/>
    <x v="3"/>
    <s v="Thursday"/>
    <s v="STORE_038"/>
    <x v="4"/>
    <x v="2"/>
    <x v="7"/>
    <n v="438.12"/>
    <n v="3"/>
    <n v="1314.36"/>
    <n v="15"/>
    <n v="197.15"/>
    <n v="1117.21"/>
    <s v="Credit Card"/>
    <s v="CUST_00045"/>
    <n v="4"/>
    <n v="197.14999999999986"/>
    <n v="372.40333333333336"/>
    <s v="Medium"/>
  </r>
  <r>
    <s v="TXN_00160"/>
    <d v="2024-08-10T00:00:00"/>
    <x v="8"/>
    <s v="Saturday"/>
    <s v="STORE_004"/>
    <x v="3"/>
    <x v="2"/>
    <x v="29"/>
    <n v="142.08000000000001"/>
    <n v="4"/>
    <n v="568.32000000000005"/>
    <n v="20"/>
    <n v="113.66"/>
    <n v="454.66"/>
    <s v="Wallet"/>
    <s v="CUST_00671"/>
    <n v="3"/>
    <n v="113.66000000000003"/>
    <n v="113.66500000000001"/>
    <s v="High"/>
  </r>
  <r>
    <s v="TXN_00161"/>
    <d v="2024-03-21T00:00:00"/>
    <x v="5"/>
    <s v="Thursday"/>
    <s v="STORE_002"/>
    <x v="1"/>
    <x v="6"/>
    <x v="30"/>
    <n v="1082.97"/>
    <n v="5"/>
    <n v="5414.85"/>
    <n v="15"/>
    <n v="812.23"/>
    <n v="4602.62"/>
    <s v="Cash"/>
    <s v="CUST_00889"/>
    <n v="1"/>
    <n v="812.23000000000047"/>
    <n v="920.524"/>
    <s v="Medium"/>
  </r>
  <r>
    <s v="TXN_00162"/>
    <d v="2024-08-20T00:00:00"/>
    <x v="8"/>
    <s v="Tuesday"/>
    <s v="STORE_032"/>
    <x v="4"/>
    <x v="0"/>
    <x v="0"/>
    <n v="983.83"/>
    <n v="9"/>
    <n v="8854.4699999999993"/>
    <n v="15"/>
    <n v="1328.17"/>
    <n v="7526.3"/>
    <s v="Credit Card"/>
    <s v="CUST_00545"/>
    <n v="3"/>
    <n v="1328.1699999999992"/>
    <n v="836.25555555555559"/>
    <s v="Medium"/>
  </r>
  <r>
    <s v="TXN_00163"/>
    <d v="2024-01-02T00:00:00"/>
    <x v="2"/>
    <s v="Tuesday"/>
    <s v="STORE_016"/>
    <x v="4"/>
    <x v="7"/>
    <x v="38"/>
    <n v="538.65"/>
    <n v="8"/>
    <n v="4309.2"/>
    <n v="10"/>
    <n v="430.92"/>
    <n v="3878.28"/>
    <s v="Credit Card"/>
    <s v="CUST_00313"/>
    <n v="1"/>
    <n v="430.91999999999962"/>
    <n v="484.78500000000003"/>
    <s v="Medium"/>
  </r>
  <r>
    <s v="TXN_00164"/>
    <d v="2024-05-14T00:00:00"/>
    <x v="3"/>
    <s v="Tuesday"/>
    <s v="STORE_023"/>
    <x v="1"/>
    <x v="4"/>
    <x v="19"/>
    <n v="327.02999999999997"/>
    <n v="3"/>
    <n v="981.09"/>
    <n v="0"/>
    <n v="0"/>
    <n v="981.09"/>
    <s v="Cash"/>
    <s v="CUST_00242"/>
    <n v="3"/>
    <n v="0"/>
    <n v="327.03000000000003"/>
    <s v="No Discount"/>
  </r>
  <r>
    <s v="TXN_00165"/>
    <d v="2024-09-13T00:00:00"/>
    <x v="9"/>
    <s v="Friday"/>
    <s v="STORE_018"/>
    <x v="0"/>
    <x v="2"/>
    <x v="2"/>
    <n v="538.04999999999995"/>
    <n v="7"/>
    <n v="3766.35"/>
    <n v="20"/>
    <n v="753.27"/>
    <n v="3013.08"/>
    <s v="Credit Card"/>
    <s v="CUST_00156"/>
    <n v="5"/>
    <n v="753.27"/>
    <n v="430.44"/>
    <s v="High"/>
  </r>
  <r>
    <s v="TXN_00166"/>
    <d v="2024-04-01T00:00:00"/>
    <x v="4"/>
    <s v="Monday"/>
    <s v="STORE_044"/>
    <x v="4"/>
    <x v="4"/>
    <x v="19"/>
    <n v="445.62"/>
    <n v="2"/>
    <n v="891.24"/>
    <n v="15"/>
    <n v="133.69"/>
    <n v="757.55"/>
    <s v="UPI"/>
    <s v="CUST_00894"/>
    <n v="5"/>
    <n v="133.69000000000005"/>
    <n v="378.77499999999998"/>
    <s v="Medium"/>
  </r>
  <r>
    <s v="TXN_00167"/>
    <d v="2024-09-16T00:00:00"/>
    <x v="9"/>
    <s v="Monday"/>
    <s v="STORE_022"/>
    <x v="3"/>
    <x v="3"/>
    <x v="5"/>
    <n v="873.01"/>
    <n v="3"/>
    <n v="2619.0300000000002"/>
    <n v="5"/>
    <n v="130.94999999999999"/>
    <n v="2488.08"/>
    <s v="Cash"/>
    <s v="CUST_00556"/>
    <n v="5"/>
    <n v="130.95000000000027"/>
    <n v="829.36"/>
    <s v="Low"/>
  </r>
  <r>
    <s v="TXN_00168"/>
    <d v="2024-02-24T00:00:00"/>
    <x v="1"/>
    <s v="Saturday"/>
    <s v="STORE_020"/>
    <x v="4"/>
    <x v="5"/>
    <x v="11"/>
    <n v="3609.89"/>
    <n v="10"/>
    <n v="36098.9"/>
    <n v="10"/>
    <n v="3609.89"/>
    <n v="32489.01"/>
    <s v="Debit Card"/>
    <s v="CUST_00932"/>
    <n v="2"/>
    <n v="3609.8900000000031"/>
    <n v="3248.9009999999998"/>
    <s v="Medium"/>
  </r>
  <r>
    <s v="TXN_00169"/>
    <d v="2024-11-16T00:00:00"/>
    <x v="0"/>
    <s v="Saturday"/>
    <s v="STORE_021"/>
    <x v="2"/>
    <x v="5"/>
    <x v="9"/>
    <n v="4982.74"/>
    <n v="3"/>
    <n v="14948.22"/>
    <n v="15"/>
    <n v="2242.23"/>
    <n v="12705.99"/>
    <s v="Wallet"/>
    <s v="CUST_00571"/>
    <n v="2"/>
    <n v="2242.2299999999996"/>
    <n v="4235.33"/>
    <s v="Medium"/>
  </r>
  <r>
    <s v="TXN_00170"/>
    <d v="2024-06-01T00:00:00"/>
    <x v="10"/>
    <s v="Saturday"/>
    <s v="STORE_027"/>
    <x v="3"/>
    <x v="7"/>
    <x v="38"/>
    <n v="681.12"/>
    <n v="3"/>
    <n v="2043.36"/>
    <n v="15"/>
    <n v="306.5"/>
    <n v="1736.86"/>
    <s v="Credit Card"/>
    <s v="CUST_00311"/>
    <n v="3"/>
    <n v="306.5"/>
    <n v="578.95333333333326"/>
    <s v="Medium"/>
  </r>
  <r>
    <s v="TXN_00171"/>
    <d v="2024-11-23T00:00:00"/>
    <x v="0"/>
    <s v="Saturday"/>
    <s v="STORE_002"/>
    <x v="4"/>
    <x v="1"/>
    <x v="6"/>
    <n v="118.38"/>
    <n v="4"/>
    <n v="473.52"/>
    <n v="0"/>
    <n v="0"/>
    <n v="473.52"/>
    <s v="Debit Card"/>
    <s v="CUST_00632"/>
    <n v="2"/>
    <n v="0"/>
    <n v="118.38"/>
    <s v="No Discount"/>
  </r>
  <r>
    <s v="TXN_00172"/>
    <d v="2024-09-16T00:00:00"/>
    <x v="9"/>
    <s v="Monday"/>
    <s v="STORE_044"/>
    <x v="2"/>
    <x v="2"/>
    <x v="7"/>
    <n v="496.93"/>
    <n v="4"/>
    <n v="1987.72"/>
    <n v="10"/>
    <n v="198.77"/>
    <n v="1788.95"/>
    <s v="Debit Card"/>
    <s v="CUST_00368"/>
    <n v="2"/>
    <n v="198.76999999999998"/>
    <n v="447.23750000000001"/>
    <s v="Medium"/>
  </r>
  <r>
    <s v="TXN_00173"/>
    <d v="2024-11-07T00:00:00"/>
    <x v="0"/>
    <s v="Thursday"/>
    <s v="STORE_025"/>
    <x v="3"/>
    <x v="7"/>
    <x v="37"/>
    <n v="460.9"/>
    <n v="10"/>
    <n v="4609"/>
    <n v="5"/>
    <n v="230.45"/>
    <n v="4378.55"/>
    <s v="Cash"/>
    <s v="CUST_00486"/>
    <n v="2"/>
    <n v="230.44999999999982"/>
    <n v="437.85500000000002"/>
    <s v="Low"/>
  </r>
  <r>
    <s v="TXN_00174"/>
    <d v="2024-04-11T00:00:00"/>
    <x v="4"/>
    <s v="Thursday"/>
    <s v="STORE_027"/>
    <x v="0"/>
    <x v="5"/>
    <x v="11"/>
    <n v="1773.04"/>
    <n v="1"/>
    <n v="1773.04"/>
    <n v="5"/>
    <n v="88.65"/>
    <n v="1684.39"/>
    <s v="Credit Card"/>
    <s v="CUST_00761"/>
    <n v="3"/>
    <n v="88.649999999999864"/>
    <n v="1684.39"/>
    <s v="Low"/>
  </r>
  <r>
    <s v="TXN_00175"/>
    <d v="2024-03-19T00:00:00"/>
    <x v="5"/>
    <s v="Tuesday"/>
    <s v="STORE_045"/>
    <x v="1"/>
    <x v="3"/>
    <x v="12"/>
    <n v="385.18"/>
    <n v="8"/>
    <n v="3081.44"/>
    <n v="20"/>
    <n v="616.29"/>
    <n v="2465.15"/>
    <s v="Wallet"/>
    <s v="CUST_00888"/>
    <n v="4"/>
    <n v="616.29"/>
    <n v="308.14375000000001"/>
    <s v="High"/>
  </r>
  <r>
    <s v="TXN_00176"/>
    <d v="2024-07-10T00:00:00"/>
    <x v="11"/>
    <s v="Wednesday"/>
    <s v="STORE_026"/>
    <x v="4"/>
    <x v="1"/>
    <x v="31"/>
    <n v="242.4"/>
    <n v="1"/>
    <n v="242.4"/>
    <n v="10"/>
    <n v="24.24"/>
    <n v="218.16"/>
    <s v="UPI"/>
    <s v="CUST_00962"/>
    <n v="3"/>
    <n v="24.240000000000009"/>
    <n v="218.16"/>
    <s v="Medium"/>
  </r>
  <r>
    <s v="TXN_00177"/>
    <d v="2024-03-23T00:00:00"/>
    <x v="5"/>
    <s v="Saturday"/>
    <s v="STORE_034"/>
    <x v="4"/>
    <x v="6"/>
    <x v="26"/>
    <n v="663.97"/>
    <n v="8"/>
    <n v="5311.76"/>
    <n v="20"/>
    <n v="1062.3499999999999"/>
    <n v="4249.41"/>
    <s v="Credit Card"/>
    <s v="CUST_00406"/>
    <n v="2"/>
    <n v="1062.3500000000004"/>
    <n v="531.17624999999998"/>
    <s v="High"/>
  </r>
  <r>
    <s v="TXN_00178"/>
    <d v="2024-10-03T00:00:00"/>
    <x v="7"/>
    <s v="Thursday"/>
    <s v="STORE_026"/>
    <x v="1"/>
    <x v="6"/>
    <x v="26"/>
    <n v="1081.0999999999999"/>
    <n v="1"/>
    <n v="1081.0999999999999"/>
    <n v="0"/>
    <n v="0"/>
    <n v="1081.0999999999999"/>
    <s v="Cash"/>
    <s v="CUST_00793"/>
    <n v="4"/>
    <n v="0"/>
    <n v="1081.0999999999999"/>
    <s v="No Discount"/>
  </r>
  <r>
    <s v="TXN_00179"/>
    <d v="2024-09-28T00:00:00"/>
    <x v="9"/>
    <s v="Saturday"/>
    <s v="STORE_010"/>
    <x v="3"/>
    <x v="2"/>
    <x v="13"/>
    <n v="216.54"/>
    <n v="5"/>
    <n v="1082.7"/>
    <n v="10"/>
    <n v="108.27"/>
    <n v="974.43"/>
    <s v="Credit Card"/>
    <s v="CUST_00850"/>
    <n v="5"/>
    <n v="108.2700000000001"/>
    <n v="194.886"/>
    <s v="Medium"/>
  </r>
  <r>
    <s v="TXN_00180"/>
    <d v="2024-01-01T00:00:00"/>
    <x v="2"/>
    <s v="Monday"/>
    <s v="STORE_009"/>
    <x v="3"/>
    <x v="1"/>
    <x v="36"/>
    <n v="375.19"/>
    <n v="2"/>
    <n v="750.38"/>
    <n v="0"/>
    <n v="0"/>
    <n v="750.38"/>
    <s v="Wallet"/>
    <s v="CUST_00424"/>
    <n v="5"/>
    <n v="0"/>
    <n v="375.19"/>
    <s v="No Discount"/>
  </r>
  <r>
    <s v="TXN_00181"/>
    <d v="2024-11-02T00:00:00"/>
    <x v="0"/>
    <s v="Saturday"/>
    <s v="STORE_006"/>
    <x v="1"/>
    <x v="4"/>
    <x v="19"/>
    <n v="161.21"/>
    <n v="8"/>
    <n v="1289.68"/>
    <n v="10"/>
    <n v="128.97"/>
    <n v="1160.71"/>
    <s v="Debit Card"/>
    <s v="CUST_00332"/>
    <n v="4"/>
    <n v="128.97000000000003"/>
    <n v="145.08875"/>
    <s v="Medium"/>
  </r>
  <r>
    <s v="TXN_00182"/>
    <d v="2024-06-14T00:00:00"/>
    <x v="10"/>
    <s v="Friday"/>
    <s v="STORE_034"/>
    <x v="3"/>
    <x v="5"/>
    <x v="34"/>
    <n v="1364.76"/>
    <n v="8"/>
    <n v="10918.08"/>
    <n v="15"/>
    <n v="1637.71"/>
    <n v="9280.3700000000008"/>
    <s v="Cash"/>
    <s v="CUST_00745"/>
    <n v="1"/>
    <n v="1637.7099999999991"/>
    <n v="1160.0462500000001"/>
    <s v="Medium"/>
  </r>
  <r>
    <s v="TXN_00183"/>
    <d v="2024-09-07T00:00:00"/>
    <x v="9"/>
    <s v="Saturday"/>
    <s v="STORE_037"/>
    <x v="0"/>
    <x v="5"/>
    <x v="9"/>
    <n v="3201.38"/>
    <n v="1"/>
    <n v="3201.38"/>
    <n v="20"/>
    <n v="640.28"/>
    <n v="2561.1"/>
    <s v="Debit Card"/>
    <s v="CUST_00167"/>
    <n v="3"/>
    <n v="640.2800000000002"/>
    <n v="2561.1"/>
    <s v="High"/>
  </r>
  <r>
    <s v="TXN_00184"/>
    <d v="2024-01-10T00:00:00"/>
    <x v="2"/>
    <s v="Wednesday"/>
    <s v="STORE_047"/>
    <x v="3"/>
    <x v="5"/>
    <x v="11"/>
    <n v="4076.63"/>
    <n v="1"/>
    <n v="4076.63"/>
    <n v="5"/>
    <n v="203.83"/>
    <n v="3872.8"/>
    <s v="Cash"/>
    <s v="CUST_00296"/>
    <n v="3"/>
    <n v="203.82999999999993"/>
    <n v="3872.8"/>
    <s v="Low"/>
  </r>
  <r>
    <s v="TXN_00185"/>
    <d v="2024-02-27T00:00:00"/>
    <x v="1"/>
    <s v="Tuesday"/>
    <s v="STORE_001"/>
    <x v="3"/>
    <x v="5"/>
    <x v="34"/>
    <n v="4594.17"/>
    <n v="4"/>
    <n v="18376.68"/>
    <n v="0"/>
    <n v="0"/>
    <n v="18376.68"/>
    <s v="Wallet"/>
    <s v="CUST_00510"/>
    <n v="3"/>
    <n v="0"/>
    <n v="4594.17"/>
    <s v="No Discount"/>
  </r>
  <r>
    <s v="TXN_00186"/>
    <d v="2024-07-04T00:00:00"/>
    <x v="11"/>
    <s v="Thursday"/>
    <s v="STORE_038"/>
    <x v="3"/>
    <x v="1"/>
    <x v="3"/>
    <n v="413.35"/>
    <n v="10"/>
    <n v="4133.5"/>
    <n v="5"/>
    <n v="206.68"/>
    <n v="3926.82"/>
    <s v="Debit Card"/>
    <s v="CUST_00465"/>
    <n v="2"/>
    <n v="206.67999999999984"/>
    <n v="392.68200000000002"/>
    <s v="Low"/>
  </r>
  <r>
    <s v="TXN_00187"/>
    <d v="2024-06-06T00:00:00"/>
    <x v="10"/>
    <s v="Thursday"/>
    <s v="STORE_018"/>
    <x v="4"/>
    <x v="0"/>
    <x v="4"/>
    <n v="263.52"/>
    <n v="10"/>
    <n v="2635.2"/>
    <n v="0"/>
    <n v="0"/>
    <n v="2635.2"/>
    <s v="Debit Card"/>
    <s v="CUST_00644"/>
    <n v="5"/>
    <n v="0"/>
    <n v="263.52"/>
    <s v="No Discount"/>
  </r>
  <r>
    <s v="TXN_00188"/>
    <d v="2024-05-02T00:00:00"/>
    <x v="3"/>
    <s v="Thursday"/>
    <s v="STORE_010"/>
    <x v="2"/>
    <x v="3"/>
    <x v="21"/>
    <n v="717.55"/>
    <n v="1"/>
    <n v="717.55"/>
    <n v="15"/>
    <n v="107.63"/>
    <n v="609.91999999999996"/>
    <s v="Cash"/>
    <s v="CUST_00684"/>
    <n v="1"/>
    <n v="107.63"/>
    <n v="609.91999999999996"/>
    <s v="Medium"/>
  </r>
  <r>
    <s v="TXN_00189"/>
    <d v="2024-01-30T00:00:00"/>
    <x v="2"/>
    <s v="Tuesday"/>
    <s v="STORE_011"/>
    <x v="1"/>
    <x v="2"/>
    <x v="39"/>
    <n v="744.27"/>
    <n v="1"/>
    <n v="744.27"/>
    <n v="0"/>
    <n v="0"/>
    <n v="744.27"/>
    <s v="UPI"/>
    <s v="CUST_00626"/>
    <n v="2"/>
    <n v="0"/>
    <n v="744.27"/>
    <s v="No Discount"/>
  </r>
  <r>
    <s v="TXN_00190"/>
    <d v="2024-05-03T00:00:00"/>
    <x v="3"/>
    <s v="Friday"/>
    <s v="STORE_021"/>
    <x v="1"/>
    <x v="5"/>
    <x v="9"/>
    <n v="3997.34"/>
    <n v="6"/>
    <n v="23984.04"/>
    <n v="0"/>
    <n v="0"/>
    <n v="23984.04"/>
    <s v="Credit Card"/>
    <s v="CUST_00920"/>
    <n v="3"/>
    <n v="0"/>
    <n v="3997.34"/>
    <s v="No Discount"/>
  </r>
  <r>
    <s v="TXN_00191"/>
    <d v="2024-10-17T00:00:00"/>
    <x v="7"/>
    <s v="Thursday"/>
    <s v="STORE_009"/>
    <x v="2"/>
    <x v="0"/>
    <x v="18"/>
    <n v="806.75"/>
    <n v="9"/>
    <n v="7260.75"/>
    <n v="0"/>
    <n v="0"/>
    <n v="7260.75"/>
    <s v="Cash"/>
    <s v="CUST_00712"/>
    <n v="4"/>
    <n v="0"/>
    <n v="806.75"/>
    <s v="No Discount"/>
  </r>
  <r>
    <s v="TXN_00192"/>
    <d v="2024-02-10T00:00:00"/>
    <x v="1"/>
    <s v="Saturday"/>
    <s v="STORE_004"/>
    <x v="2"/>
    <x v="2"/>
    <x v="39"/>
    <n v="468.94"/>
    <n v="9"/>
    <n v="4220.46"/>
    <n v="0"/>
    <n v="0"/>
    <n v="4220.46"/>
    <s v="Debit Card"/>
    <s v="CUST_00586"/>
    <n v="5"/>
    <n v="0"/>
    <n v="468.94"/>
    <s v="No Discount"/>
  </r>
  <r>
    <s v="TXN_00193"/>
    <d v="2024-02-13T00:00:00"/>
    <x v="1"/>
    <s v="Tuesday"/>
    <s v="STORE_039"/>
    <x v="1"/>
    <x v="7"/>
    <x v="37"/>
    <n v="1168.8900000000001"/>
    <n v="10"/>
    <n v="11688.9"/>
    <n v="20"/>
    <n v="2337.7800000000002"/>
    <n v="9351.1200000000008"/>
    <s v="Cash"/>
    <s v="CUST_00266"/>
    <n v="4"/>
    <n v="2337.7799999999988"/>
    <n v="935.11200000000008"/>
    <s v="High"/>
  </r>
  <r>
    <s v="TXN_00194"/>
    <d v="2024-09-05T00:00:00"/>
    <x v="9"/>
    <s v="Thursday"/>
    <s v="STORE_012"/>
    <x v="4"/>
    <x v="4"/>
    <x v="20"/>
    <n v="426.43"/>
    <n v="8"/>
    <n v="3411.44"/>
    <n v="10"/>
    <n v="341.14"/>
    <n v="3070.3"/>
    <s v="UPI"/>
    <s v="CUST_00239"/>
    <n v="4"/>
    <n v="341.13999999999987"/>
    <n v="383.78750000000002"/>
    <s v="Medium"/>
  </r>
  <r>
    <s v="TXN_00195"/>
    <d v="2024-02-05T00:00:00"/>
    <x v="1"/>
    <s v="Monday"/>
    <s v="STORE_040"/>
    <x v="3"/>
    <x v="2"/>
    <x v="29"/>
    <n v="101.11"/>
    <n v="1"/>
    <n v="101.11"/>
    <n v="5"/>
    <n v="5.0599999999999996"/>
    <n v="96.05"/>
    <s v="Credit Card"/>
    <s v="CUST_00424"/>
    <n v="2"/>
    <n v="5.0600000000000023"/>
    <n v="96.05"/>
    <s v="Low"/>
  </r>
  <r>
    <s v="TXN_00196"/>
    <d v="2024-09-29T00:00:00"/>
    <x v="9"/>
    <s v="Sunday"/>
    <s v="STORE_017"/>
    <x v="2"/>
    <x v="6"/>
    <x v="15"/>
    <n v="1024.48"/>
    <n v="4"/>
    <n v="4097.92"/>
    <n v="0"/>
    <n v="0"/>
    <n v="4097.92"/>
    <s v="Debit Card"/>
    <s v="CUST_00316"/>
    <n v="3"/>
    <n v="0"/>
    <n v="1024.48"/>
    <s v="No Discount"/>
  </r>
  <r>
    <s v="TXN_00197"/>
    <d v="2024-03-05T00:00:00"/>
    <x v="5"/>
    <s v="Tuesday"/>
    <s v="STORE_026"/>
    <x v="4"/>
    <x v="2"/>
    <x v="7"/>
    <n v="485"/>
    <n v="1"/>
    <n v="485"/>
    <n v="0"/>
    <n v="0"/>
    <n v="485"/>
    <s v="Cash"/>
    <s v="CUST_00631"/>
    <n v="3"/>
    <n v="0"/>
    <n v="485"/>
    <s v="No Discount"/>
  </r>
  <r>
    <s v="TXN_00198"/>
    <d v="2024-03-06T00:00:00"/>
    <x v="5"/>
    <s v="Wednesday"/>
    <s v="STORE_003"/>
    <x v="0"/>
    <x v="6"/>
    <x v="14"/>
    <n v="791.02"/>
    <n v="6"/>
    <n v="4746.12"/>
    <n v="15"/>
    <n v="711.92"/>
    <n v="4034.2"/>
    <s v="UPI"/>
    <s v="CUST_00494"/>
    <n v="4"/>
    <n v="711.92000000000007"/>
    <n v="672.36666666666667"/>
    <s v="Medium"/>
  </r>
  <r>
    <s v="TXN_00199"/>
    <d v="2024-12-03T00:00:00"/>
    <x v="6"/>
    <s v="Tuesday"/>
    <s v="STORE_048"/>
    <x v="2"/>
    <x v="5"/>
    <x v="9"/>
    <n v="4568.2299999999996"/>
    <n v="9"/>
    <n v="41114.07"/>
    <n v="0"/>
    <n v="0"/>
    <n v="41114.07"/>
    <s v="UPI"/>
    <s v="CUST_00856"/>
    <n v="4"/>
    <n v="0"/>
    <n v="4568.2299999999996"/>
    <s v="No Discount"/>
  </r>
  <r>
    <s v="TXN_00200"/>
    <d v="2024-08-31T00:00:00"/>
    <x v="8"/>
    <s v="Saturday"/>
    <s v="STORE_014"/>
    <x v="4"/>
    <x v="2"/>
    <x v="7"/>
    <n v="607.47"/>
    <n v="6"/>
    <n v="3644.82"/>
    <n v="10"/>
    <n v="364.48"/>
    <n v="3280.34"/>
    <s v="Wallet"/>
    <s v="CUST_00702"/>
    <n v="1"/>
    <n v="364.48"/>
    <n v="546.72333333333336"/>
    <s v="Medium"/>
  </r>
  <r>
    <s v="TXN_00201"/>
    <d v="2024-10-08T00:00:00"/>
    <x v="7"/>
    <s v="Tuesday"/>
    <s v="STORE_025"/>
    <x v="4"/>
    <x v="4"/>
    <x v="35"/>
    <n v="179.8"/>
    <n v="3"/>
    <n v="539.4"/>
    <n v="0"/>
    <n v="0"/>
    <n v="539.4"/>
    <s v="Credit Card"/>
    <s v="CUST_00863"/>
    <n v="3"/>
    <n v="0"/>
    <n v="179.79999999999998"/>
    <s v="No Discount"/>
  </r>
  <r>
    <s v="TXN_00202"/>
    <d v="2024-03-25T00:00:00"/>
    <x v="5"/>
    <s v="Monday"/>
    <s v="STORE_046"/>
    <x v="1"/>
    <x v="5"/>
    <x v="10"/>
    <n v="3422.76"/>
    <n v="3"/>
    <n v="10268.280000000001"/>
    <n v="10"/>
    <n v="1026.83"/>
    <n v="9241.4500000000007"/>
    <s v="Credit Card"/>
    <s v="CUST_00727"/>
    <n v="3"/>
    <n v="1026.83"/>
    <n v="3080.4833333333336"/>
    <s v="Medium"/>
  </r>
  <r>
    <s v="TXN_00203"/>
    <d v="2024-05-15T00:00:00"/>
    <x v="3"/>
    <s v="Wednesday"/>
    <s v="STORE_020"/>
    <x v="0"/>
    <x v="6"/>
    <x v="15"/>
    <n v="1120.8"/>
    <n v="8"/>
    <n v="8966.4"/>
    <n v="0"/>
    <n v="0"/>
    <n v="8966.4"/>
    <s v="Cash"/>
    <s v="CUST_00538"/>
    <n v="4"/>
    <n v="0"/>
    <n v="1120.8"/>
    <s v="No Discount"/>
  </r>
  <r>
    <s v="TXN_00204"/>
    <d v="2024-09-27T00:00:00"/>
    <x v="9"/>
    <s v="Friday"/>
    <s v="STORE_029"/>
    <x v="4"/>
    <x v="2"/>
    <x v="29"/>
    <n v="178.56"/>
    <n v="1"/>
    <n v="178.56"/>
    <n v="20"/>
    <n v="35.71"/>
    <n v="142.85"/>
    <s v="Debit Card"/>
    <s v="CUST_00026"/>
    <n v="1"/>
    <n v="35.710000000000008"/>
    <n v="142.85"/>
    <s v="High"/>
  </r>
  <r>
    <s v="TXN_00205"/>
    <d v="2024-11-06T00:00:00"/>
    <x v="0"/>
    <s v="Wednesday"/>
    <s v="STORE_050"/>
    <x v="1"/>
    <x v="1"/>
    <x v="3"/>
    <n v="119.33"/>
    <n v="6"/>
    <n v="715.98"/>
    <n v="5"/>
    <n v="35.799999999999997"/>
    <n v="680.18"/>
    <s v="Wallet"/>
    <s v="CUST_00147"/>
    <n v="3"/>
    <n v="35.800000000000068"/>
    <n v="113.36333333333333"/>
    <s v="Low"/>
  </r>
  <r>
    <s v="TXN_00206"/>
    <d v="2024-08-04T00:00:00"/>
    <x v="8"/>
    <s v="Sunday"/>
    <s v="STORE_025"/>
    <x v="4"/>
    <x v="7"/>
    <x v="23"/>
    <n v="1112.06"/>
    <n v="3"/>
    <n v="3336.18"/>
    <n v="0"/>
    <n v="0"/>
    <n v="3336.18"/>
    <s v="Credit Card"/>
    <s v="CUST_00119"/>
    <n v="4"/>
    <n v="0"/>
    <n v="1112.06"/>
    <s v="No Discount"/>
  </r>
  <r>
    <s v="TXN_00207"/>
    <d v="2024-04-18T00:00:00"/>
    <x v="4"/>
    <s v="Thursday"/>
    <s v="STORE_030"/>
    <x v="2"/>
    <x v="6"/>
    <x v="15"/>
    <n v="1898.51"/>
    <n v="10"/>
    <n v="18985.099999999999"/>
    <n v="20"/>
    <n v="3797.02"/>
    <n v="15188.08"/>
    <s v="Credit Card"/>
    <s v="CUST_00106"/>
    <n v="3"/>
    <n v="3797.0199999999986"/>
    <n v="1518.808"/>
    <s v="High"/>
  </r>
  <r>
    <s v="TXN_00208"/>
    <d v="2024-10-03T00:00:00"/>
    <x v="7"/>
    <s v="Thursday"/>
    <s v="STORE_013"/>
    <x v="0"/>
    <x v="2"/>
    <x v="2"/>
    <n v="504.29"/>
    <n v="5"/>
    <n v="2521.4499999999998"/>
    <n v="15"/>
    <n v="378.22"/>
    <n v="2143.23"/>
    <s v="Debit Card"/>
    <s v="CUST_00294"/>
    <n v="3"/>
    <n v="378.2199999999998"/>
    <n v="428.64600000000002"/>
    <s v="Medium"/>
  </r>
  <r>
    <s v="TXN_00209"/>
    <d v="2024-12-19T00:00:00"/>
    <x v="6"/>
    <s v="Thursday"/>
    <s v="STORE_010"/>
    <x v="0"/>
    <x v="2"/>
    <x v="7"/>
    <n v="323.39999999999998"/>
    <n v="8"/>
    <n v="2587.1999999999998"/>
    <n v="15"/>
    <n v="388.08"/>
    <n v="2199.12"/>
    <s v="Credit Card"/>
    <s v="CUST_00281"/>
    <n v="3"/>
    <n v="388.07999999999993"/>
    <n v="274.89"/>
    <s v="Medium"/>
  </r>
  <r>
    <s v="TXN_00210"/>
    <d v="2024-04-12T00:00:00"/>
    <x v="4"/>
    <s v="Friday"/>
    <s v="STORE_035"/>
    <x v="1"/>
    <x v="7"/>
    <x v="28"/>
    <n v="1449.96"/>
    <n v="9"/>
    <n v="13049.64"/>
    <n v="10"/>
    <n v="1304.96"/>
    <n v="11744.68"/>
    <s v="Credit Card"/>
    <s v="CUST_00563"/>
    <n v="2"/>
    <n v="1304.9599999999991"/>
    <n v="1304.9644444444446"/>
    <s v="Medium"/>
  </r>
  <r>
    <s v="TXN_00211"/>
    <d v="2024-12-31T00:00:00"/>
    <x v="6"/>
    <s v="Tuesday"/>
    <s v="STORE_005"/>
    <x v="1"/>
    <x v="4"/>
    <x v="35"/>
    <n v="213.7"/>
    <n v="5"/>
    <n v="1068.5"/>
    <n v="10"/>
    <n v="106.85"/>
    <n v="961.65"/>
    <s v="Debit Card"/>
    <s v="CUST_00628"/>
    <n v="2"/>
    <n v="106.85000000000002"/>
    <n v="192.32999999999998"/>
    <s v="Medium"/>
  </r>
  <r>
    <s v="TXN_00212"/>
    <d v="2024-06-08T00:00:00"/>
    <x v="10"/>
    <s v="Saturday"/>
    <s v="STORE_007"/>
    <x v="3"/>
    <x v="4"/>
    <x v="17"/>
    <n v="349.64"/>
    <n v="3"/>
    <n v="1048.92"/>
    <n v="0"/>
    <n v="0"/>
    <n v="1048.92"/>
    <s v="UPI"/>
    <s v="CUST_00056"/>
    <n v="1"/>
    <n v="0"/>
    <n v="349.64000000000004"/>
    <s v="No Discount"/>
  </r>
  <r>
    <s v="TXN_00213"/>
    <d v="2024-07-23T00:00:00"/>
    <x v="11"/>
    <s v="Tuesday"/>
    <s v="STORE_023"/>
    <x v="1"/>
    <x v="7"/>
    <x v="37"/>
    <n v="770.3"/>
    <n v="10"/>
    <n v="7703"/>
    <n v="10"/>
    <n v="770.3"/>
    <n v="6932.7"/>
    <s v="UPI"/>
    <s v="CUST_00341"/>
    <n v="5"/>
    <n v="770.30000000000018"/>
    <n v="693.27"/>
    <s v="Medium"/>
  </r>
  <r>
    <s v="TXN_00214"/>
    <d v="2024-12-09T00:00:00"/>
    <x v="6"/>
    <s v="Monday"/>
    <s v="STORE_045"/>
    <x v="3"/>
    <x v="3"/>
    <x v="16"/>
    <n v="419.93"/>
    <n v="8"/>
    <n v="3359.44"/>
    <n v="10"/>
    <n v="335.94"/>
    <n v="3023.5"/>
    <s v="Debit Card"/>
    <s v="CUST_00100"/>
    <n v="1"/>
    <n v="335.94000000000005"/>
    <n v="377.9375"/>
    <s v="Medium"/>
  </r>
  <r>
    <s v="TXN_00215"/>
    <d v="2024-11-28T00:00:00"/>
    <x v="0"/>
    <s v="Thursday"/>
    <s v="STORE_010"/>
    <x v="4"/>
    <x v="1"/>
    <x v="6"/>
    <n v="358.02"/>
    <n v="8"/>
    <n v="2864.16"/>
    <n v="5"/>
    <n v="143.21"/>
    <n v="2720.95"/>
    <s v="Debit Card"/>
    <s v="CUST_00265"/>
    <n v="2"/>
    <n v="143.21000000000004"/>
    <n v="340.11874999999998"/>
    <s v="Low"/>
  </r>
  <r>
    <s v="TXN_00216"/>
    <d v="2024-07-10T00:00:00"/>
    <x v="11"/>
    <s v="Wednesday"/>
    <s v="STORE_032"/>
    <x v="2"/>
    <x v="4"/>
    <x v="19"/>
    <n v="232.51"/>
    <n v="6"/>
    <n v="1395.06"/>
    <n v="20"/>
    <n v="279.01"/>
    <n v="1116.05"/>
    <s v="Cash"/>
    <s v="CUST_00067"/>
    <n v="4"/>
    <n v="279.01"/>
    <n v="186.00833333333333"/>
    <s v="High"/>
  </r>
  <r>
    <s v="TXN_00217"/>
    <d v="2024-08-12T00:00:00"/>
    <x v="8"/>
    <s v="Monday"/>
    <s v="STORE_050"/>
    <x v="1"/>
    <x v="1"/>
    <x v="36"/>
    <n v="208.15"/>
    <n v="8"/>
    <n v="1665.2"/>
    <n v="20"/>
    <n v="333.04"/>
    <n v="1332.16"/>
    <s v="Debit Card"/>
    <s v="CUST_00619"/>
    <n v="3"/>
    <n v="333.03999999999996"/>
    <n v="166.52"/>
    <s v="High"/>
  </r>
  <r>
    <s v="TXN_00218"/>
    <d v="2024-09-21T00:00:00"/>
    <x v="9"/>
    <s v="Saturday"/>
    <s v="STORE_020"/>
    <x v="4"/>
    <x v="5"/>
    <x v="10"/>
    <n v="1411.73"/>
    <n v="2"/>
    <n v="2823.46"/>
    <n v="0"/>
    <n v="0"/>
    <n v="2823.46"/>
    <s v="Wallet"/>
    <s v="CUST_00473"/>
    <n v="1"/>
    <n v="0"/>
    <n v="1411.73"/>
    <s v="No Discount"/>
  </r>
  <r>
    <s v="TXN_00219"/>
    <d v="2024-08-19T00:00:00"/>
    <x v="8"/>
    <s v="Monday"/>
    <s v="STORE_031"/>
    <x v="3"/>
    <x v="0"/>
    <x v="27"/>
    <n v="530.75"/>
    <n v="10"/>
    <n v="5307.5"/>
    <n v="0"/>
    <n v="0"/>
    <n v="5307.5"/>
    <s v="Wallet"/>
    <s v="CUST_00068"/>
    <n v="2"/>
    <n v="0"/>
    <n v="530.75"/>
    <s v="No Discount"/>
  </r>
  <r>
    <s v="TXN_00220"/>
    <d v="2024-03-02T00:00:00"/>
    <x v="5"/>
    <s v="Saturday"/>
    <s v="STORE_022"/>
    <x v="4"/>
    <x v="4"/>
    <x v="20"/>
    <n v="516.26"/>
    <n v="10"/>
    <n v="5162.6000000000004"/>
    <n v="5"/>
    <n v="258.13"/>
    <n v="4904.47"/>
    <s v="UPI"/>
    <s v="CUST_00711"/>
    <n v="5"/>
    <n v="258.13000000000011"/>
    <n v="490.447"/>
    <s v="Low"/>
  </r>
  <r>
    <s v="TXN_00221"/>
    <d v="2024-05-06T00:00:00"/>
    <x v="3"/>
    <s v="Monday"/>
    <s v="STORE_008"/>
    <x v="4"/>
    <x v="3"/>
    <x v="12"/>
    <n v="2055.31"/>
    <n v="2"/>
    <n v="4110.62"/>
    <n v="15"/>
    <n v="616.59"/>
    <n v="3494.03"/>
    <s v="Wallet"/>
    <s v="CUST_00611"/>
    <n v="4"/>
    <n v="616.58999999999969"/>
    <n v="1747.0150000000001"/>
    <s v="Medium"/>
  </r>
  <r>
    <s v="TXN_00222"/>
    <d v="2024-04-25T00:00:00"/>
    <x v="4"/>
    <s v="Thursday"/>
    <s v="STORE_005"/>
    <x v="4"/>
    <x v="1"/>
    <x v="6"/>
    <n v="299.79000000000002"/>
    <n v="8"/>
    <n v="2398.3200000000002"/>
    <n v="0"/>
    <n v="0"/>
    <n v="2398.3200000000002"/>
    <s v="Cash"/>
    <s v="CUST_00112"/>
    <n v="4"/>
    <n v="0"/>
    <n v="299.79000000000002"/>
    <s v="No Discount"/>
  </r>
  <r>
    <s v="TXN_00223"/>
    <d v="2024-02-02T00:00:00"/>
    <x v="1"/>
    <s v="Friday"/>
    <s v="STORE_038"/>
    <x v="2"/>
    <x v="0"/>
    <x v="32"/>
    <n v="595.44000000000005"/>
    <n v="1"/>
    <n v="595.44000000000005"/>
    <n v="0"/>
    <n v="0"/>
    <n v="595.44000000000005"/>
    <s v="Debit Card"/>
    <s v="CUST_00776"/>
    <n v="2"/>
    <n v="0"/>
    <n v="595.44000000000005"/>
    <s v="No Discount"/>
  </r>
  <r>
    <s v="TXN_00224"/>
    <d v="2024-06-22T00:00:00"/>
    <x v="10"/>
    <s v="Saturday"/>
    <s v="STORE_029"/>
    <x v="0"/>
    <x v="5"/>
    <x v="11"/>
    <n v="2811.9"/>
    <n v="5"/>
    <n v="14059.5"/>
    <n v="5"/>
    <n v="702.98"/>
    <n v="13356.52"/>
    <s v="Wallet"/>
    <s v="CUST_00211"/>
    <n v="5"/>
    <n v="702.97999999999956"/>
    <n v="2671.3040000000001"/>
    <s v="Low"/>
  </r>
  <r>
    <s v="TXN_00225"/>
    <d v="2024-01-11T00:00:00"/>
    <x v="2"/>
    <s v="Thursday"/>
    <s v="STORE_038"/>
    <x v="2"/>
    <x v="4"/>
    <x v="35"/>
    <n v="406.62"/>
    <n v="5"/>
    <n v="2033.1"/>
    <n v="5"/>
    <n v="101.66"/>
    <n v="1931.44"/>
    <s v="Cash"/>
    <s v="CUST_00627"/>
    <n v="1"/>
    <n v="101.65999999999985"/>
    <n v="386.28800000000001"/>
    <s v="Low"/>
  </r>
  <r>
    <s v="TXN_00226"/>
    <d v="2024-10-28T00:00:00"/>
    <x v="7"/>
    <s v="Monday"/>
    <s v="STORE_001"/>
    <x v="4"/>
    <x v="0"/>
    <x v="0"/>
    <n v="882"/>
    <n v="1"/>
    <n v="882"/>
    <n v="0"/>
    <n v="0"/>
    <n v="882"/>
    <s v="Wallet"/>
    <s v="CUST_00841"/>
    <n v="1"/>
    <n v="0"/>
    <n v="882"/>
    <s v="No Discount"/>
  </r>
  <r>
    <s v="TXN_00227"/>
    <d v="2024-10-10T00:00:00"/>
    <x v="7"/>
    <s v="Thursday"/>
    <s v="STORE_026"/>
    <x v="1"/>
    <x v="4"/>
    <x v="8"/>
    <n v="537.55999999999995"/>
    <n v="1"/>
    <n v="537.55999999999995"/>
    <n v="0"/>
    <n v="0"/>
    <n v="537.55999999999995"/>
    <s v="UPI"/>
    <s v="CUST_00729"/>
    <n v="5"/>
    <n v="0"/>
    <n v="537.55999999999995"/>
    <s v="No Discount"/>
  </r>
  <r>
    <s v="TXN_00228"/>
    <d v="2024-04-27T00:00:00"/>
    <x v="4"/>
    <s v="Saturday"/>
    <s v="STORE_009"/>
    <x v="0"/>
    <x v="0"/>
    <x v="4"/>
    <n v="505.25"/>
    <n v="9"/>
    <n v="4547.25"/>
    <n v="0"/>
    <n v="0"/>
    <n v="4547.25"/>
    <s v="Debit Card"/>
    <s v="CUST_00569"/>
    <n v="4"/>
    <n v="0"/>
    <n v="505.25"/>
    <s v="No Discount"/>
  </r>
  <r>
    <s v="TXN_00229"/>
    <d v="2024-10-28T00:00:00"/>
    <x v="7"/>
    <s v="Monday"/>
    <s v="STORE_001"/>
    <x v="2"/>
    <x v="0"/>
    <x v="32"/>
    <n v="871.97"/>
    <n v="3"/>
    <n v="2615.91"/>
    <n v="0"/>
    <n v="0"/>
    <n v="2615.91"/>
    <s v="Debit Card"/>
    <s v="CUST_00664"/>
    <n v="2"/>
    <n v="0"/>
    <n v="871.96999999999991"/>
    <s v="No Discount"/>
  </r>
  <r>
    <s v="TXN_00230"/>
    <d v="2024-04-22T00:00:00"/>
    <x v="4"/>
    <s v="Monday"/>
    <s v="STORE_006"/>
    <x v="0"/>
    <x v="6"/>
    <x v="14"/>
    <n v="1582.01"/>
    <n v="8"/>
    <n v="12656.08"/>
    <n v="15"/>
    <n v="1898.41"/>
    <n v="10757.67"/>
    <s v="UPI"/>
    <s v="CUST_00658"/>
    <n v="2"/>
    <n v="1898.4099999999999"/>
    <n v="1344.70875"/>
    <s v="Medium"/>
  </r>
  <r>
    <s v="TXN_00231"/>
    <d v="2024-01-04T00:00:00"/>
    <x v="2"/>
    <s v="Thursday"/>
    <s v="STORE_030"/>
    <x v="4"/>
    <x v="0"/>
    <x v="4"/>
    <n v="914.87"/>
    <n v="10"/>
    <n v="9148.7000000000007"/>
    <n v="5"/>
    <n v="457.44"/>
    <n v="8691.26"/>
    <s v="Wallet"/>
    <s v="CUST_00435"/>
    <n v="2"/>
    <n v="457.44000000000051"/>
    <n v="869.12599999999998"/>
    <s v="Low"/>
  </r>
  <r>
    <s v="TXN_00232"/>
    <d v="2024-02-06T00:00:00"/>
    <x v="1"/>
    <s v="Tuesday"/>
    <s v="STORE_037"/>
    <x v="3"/>
    <x v="1"/>
    <x v="1"/>
    <n v="209.89"/>
    <n v="3"/>
    <n v="629.66999999999996"/>
    <n v="5"/>
    <n v="31.48"/>
    <n v="598.19000000000005"/>
    <s v="Wallet"/>
    <s v="CUST_00868"/>
    <n v="1"/>
    <n v="31.479999999999905"/>
    <n v="199.39666666666668"/>
    <s v="Low"/>
  </r>
  <r>
    <s v="TXN_00233"/>
    <d v="2024-12-28T00:00:00"/>
    <x v="6"/>
    <s v="Saturday"/>
    <s v="STORE_003"/>
    <x v="4"/>
    <x v="3"/>
    <x v="16"/>
    <n v="953.9"/>
    <n v="9"/>
    <n v="8585.1"/>
    <n v="10"/>
    <n v="858.51"/>
    <n v="7726.59"/>
    <s v="Cash"/>
    <s v="CUST_00495"/>
    <n v="1"/>
    <n v="858.51000000000022"/>
    <n v="858.51"/>
    <s v="Medium"/>
  </r>
  <r>
    <s v="TXN_00234"/>
    <d v="2024-11-19T00:00:00"/>
    <x v="0"/>
    <s v="Tuesday"/>
    <s v="STORE_030"/>
    <x v="4"/>
    <x v="4"/>
    <x v="8"/>
    <n v="411.12"/>
    <n v="2"/>
    <n v="822.24"/>
    <n v="0"/>
    <n v="0"/>
    <n v="822.24"/>
    <s v="Wallet"/>
    <s v="CUST_00081"/>
    <n v="3"/>
    <n v="0"/>
    <n v="411.12"/>
    <s v="No Discount"/>
  </r>
  <r>
    <s v="TXN_00235"/>
    <d v="2024-01-31T00:00:00"/>
    <x v="2"/>
    <s v="Wednesday"/>
    <s v="STORE_020"/>
    <x v="4"/>
    <x v="7"/>
    <x v="38"/>
    <n v="866.94"/>
    <n v="2"/>
    <n v="1733.88"/>
    <n v="15"/>
    <n v="260.08"/>
    <n v="1473.8"/>
    <s v="Wallet"/>
    <s v="CUST_00055"/>
    <n v="5"/>
    <n v="260.08000000000015"/>
    <n v="736.9"/>
    <s v="Medium"/>
  </r>
  <r>
    <s v="TXN_00236"/>
    <d v="2024-04-27T00:00:00"/>
    <x v="4"/>
    <s v="Saturday"/>
    <s v="STORE_037"/>
    <x v="1"/>
    <x v="4"/>
    <x v="17"/>
    <n v="500.34"/>
    <n v="8"/>
    <n v="4002.72"/>
    <n v="5"/>
    <n v="200.14"/>
    <n v="3802.58"/>
    <s v="Wallet"/>
    <s v="CUST_00432"/>
    <n v="4"/>
    <n v="200.13999999999987"/>
    <n v="475.32249999999999"/>
    <s v="Low"/>
  </r>
  <r>
    <s v="TXN_00237"/>
    <d v="2024-02-04T00:00:00"/>
    <x v="1"/>
    <s v="Sunday"/>
    <s v="STORE_047"/>
    <x v="4"/>
    <x v="4"/>
    <x v="35"/>
    <n v="280.14"/>
    <n v="1"/>
    <n v="280.14"/>
    <n v="15"/>
    <n v="42.02"/>
    <n v="238.12"/>
    <s v="Wallet"/>
    <s v="CUST_00267"/>
    <n v="3"/>
    <n v="42.019999999999982"/>
    <n v="238.12"/>
    <s v="Medium"/>
  </r>
  <r>
    <s v="TXN_00238"/>
    <d v="2024-01-17T00:00:00"/>
    <x v="2"/>
    <s v="Wednesday"/>
    <s v="STORE_002"/>
    <x v="1"/>
    <x v="6"/>
    <x v="33"/>
    <n v="1367.21"/>
    <n v="10"/>
    <n v="13672.1"/>
    <n v="0"/>
    <n v="0"/>
    <n v="13672.1"/>
    <s v="Cash"/>
    <s v="CUST_00497"/>
    <n v="5"/>
    <n v="0"/>
    <n v="1367.21"/>
    <s v="No Discount"/>
  </r>
  <r>
    <s v="TXN_00239"/>
    <d v="2024-06-18T00:00:00"/>
    <x v="10"/>
    <s v="Tuesday"/>
    <s v="STORE_018"/>
    <x v="1"/>
    <x v="7"/>
    <x v="38"/>
    <n v="906.72"/>
    <n v="5"/>
    <n v="4533.6000000000004"/>
    <n v="0"/>
    <n v="0"/>
    <n v="4533.6000000000004"/>
    <s v="Debit Card"/>
    <s v="CUST_00879"/>
    <n v="5"/>
    <n v="0"/>
    <n v="906.72"/>
    <s v="No Discount"/>
  </r>
  <r>
    <s v="TXN_00240"/>
    <d v="2024-02-06T00:00:00"/>
    <x v="1"/>
    <s v="Tuesday"/>
    <s v="STORE_043"/>
    <x v="3"/>
    <x v="2"/>
    <x v="2"/>
    <n v="619"/>
    <n v="10"/>
    <n v="6190"/>
    <n v="0"/>
    <n v="0"/>
    <n v="6190"/>
    <s v="Wallet"/>
    <s v="CUST_00379"/>
    <n v="2"/>
    <n v="0"/>
    <n v="619"/>
    <s v="No Discount"/>
  </r>
  <r>
    <s v="TXN_00241"/>
    <d v="2024-09-20T00:00:00"/>
    <x v="9"/>
    <s v="Friday"/>
    <s v="STORE_003"/>
    <x v="1"/>
    <x v="5"/>
    <x v="25"/>
    <n v="4130.1099999999997"/>
    <n v="4"/>
    <n v="16520.439999999999"/>
    <n v="5"/>
    <n v="826.02"/>
    <n v="15694.42"/>
    <s v="Debit Card"/>
    <s v="CUST_00087"/>
    <n v="5"/>
    <n v="826.01999999999862"/>
    <n v="3923.605"/>
    <s v="Low"/>
  </r>
  <r>
    <s v="TXN_00242"/>
    <d v="2024-05-01T00:00:00"/>
    <x v="3"/>
    <s v="Wednesday"/>
    <s v="STORE_050"/>
    <x v="3"/>
    <x v="5"/>
    <x v="10"/>
    <n v="4735.7700000000004"/>
    <n v="3"/>
    <n v="14207.31"/>
    <n v="20"/>
    <n v="2841.46"/>
    <n v="11365.85"/>
    <s v="UPI"/>
    <s v="CUST_00244"/>
    <n v="4"/>
    <n v="2841.4599999999991"/>
    <n v="3788.6166666666668"/>
    <s v="High"/>
  </r>
  <r>
    <s v="TXN_00243"/>
    <d v="2024-05-22T00:00:00"/>
    <x v="3"/>
    <s v="Wednesday"/>
    <s v="STORE_004"/>
    <x v="0"/>
    <x v="1"/>
    <x v="31"/>
    <n v="144.88999999999999"/>
    <n v="6"/>
    <n v="869.34"/>
    <n v="0"/>
    <n v="0"/>
    <n v="869.34"/>
    <s v="Cash"/>
    <s v="CUST_00476"/>
    <n v="1"/>
    <n v="0"/>
    <n v="144.89000000000001"/>
    <s v="No Discount"/>
  </r>
  <r>
    <s v="TXN_00244"/>
    <d v="2024-12-08T00:00:00"/>
    <x v="6"/>
    <s v="Sunday"/>
    <s v="STORE_031"/>
    <x v="1"/>
    <x v="0"/>
    <x v="4"/>
    <n v="441.09"/>
    <n v="9"/>
    <n v="3969.81"/>
    <n v="0"/>
    <n v="0"/>
    <n v="3969.81"/>
    <s v="UPI"/>
    <s v="CUST_00149"/>
    <n v="4"/>
    <n v="0"/>
    <n v="441.09"/>
    <s v="No Discount"/>
  </r>
  <r>
    <s v="TXN_00245"/>
    <d v="2024-09-05T00:00:00"/>
    <x v="9"/>
    <s v="Thursday"/>
    <s v="STORE_044"/>
    <x v="2"/>
    <x v="0"/>
    <x v="18"/>
    <n v="431.03"/>
    <n v="8"/>
    <n v="3448.24"/>
    <n v="5"/>
    <n v="172.41"/>
    <n v="3275.83"/>
    <s v="Cash"/>
    <s v="CUST_00100"/>
    <n v="5"/>
    <n v="172.40999999999985"/>
    <n v="409.47874999999999"/>
    <s v="Low"/>
  </r>
  <r>
    <s v="TXN_00246"/>
    <d v="2024-04-19T00:00:00"/>
    <x v="4"/>
    <s v="Friday"/>
    <s v="STORE_007"/>
    <x v="1"/>
    <x v="4"/>
    <x v="19"/>
    <n v="424.72"/>
    <n v="5"/>
    <n v="2123.6"/>
    <n v="0"/>
    <n v="0"/>
    <n v="2123.6"/>
    <s v="Cash"/>
    <s v="CUST_00671"/>
    <n v="3"/>
    <n v="0"/>
    <n v="424.71999999999997"/>
    <s v="No Discount"/>
  </r>
  <r>
    <s v="TXN_00247"/>
    <d v="2024-10-03T00:00:00"/>
    <x v="7"/>
    <s v="Thursday"/>
    <s v="STORE_034"/>
    <x v="1"/>
    <x v="0"/>
    <x v="4"/>
    <n v="818.52"/>
    <n v="4"/>
    <n v="3274.08"/>
    <n v="15"/>
    <n v="491.11"/>
    <n v="2782.97"/>
    <s v="Wallet"/>
    <s v="CUST_00694"/>
    <n v="2"/>
    <n v="491.11000000000013"/>
    <n v="695.74249999999995"/>
    <s v="Medium"/>
  </r>
  <r>
    <s v="TXN_00248"/>
    <d v="2024-03-08T00:00:00"/>
    <x v="5"/>
    <s v="Friday"/>
    <s v="STORE_027"/>
    <x v="2"/>
    <x v="5"/>
    <x v="25"/>
    <n v="3190.45"/>
    <n v="1"/>
    <n v="3190.45"/>
    <n v="20"/>
    <n v="638.09"/>
    <n v="2552.36"/>
    <s v="Credit Card"/>
    <s v="CUST_00538"/>
    <n v="1"/>
    <n v="638.08999999999969"/>
    <n v="2552.36"/>
    <s v="High"/>
  </r>
  <r>
    <s v="TXN_00249"/>
    <d v="2024-10-19T00:00:00"/>
    <x v="7"/>
    <s v="Saturday"/>
    <s v="STORE_002"/>
    <x v="4"/>
    <x v="7"/>
    <x v="37"/>
    <n v="721.82"/>
    <n v="5"/>
    <n v="3609.1"/>
    <n v="0"/>
    <n v="0"/>
    <n v="3609.1"/>
    <s v="Debit Card"/>
    <s v="CUST_00095"/>
    <n v="1"/>
    <n v="0"/>
    <n v="721.81999999999994"/>
    <s v="No Discount"/>
  </r>
  <r>
    <s v="TXN_00250"/>
    <d v="2024-10-22T00:00:00"/>
    <x v="7"/>
    <s v="Tuesday"/>
    <s v="STORE_006"/>
    <x v="4"/>
    <x v="6"/>
    <x v="26"/>
    <n v="1484.91"/>
    <n v="4"/>
    <n v="5939.64"/>
    <n v="10"/>
    <n v="593.96"/>
    <n v="5345.68"/>
    <s v="Credit Card"/>
    <s v="CUST_00134"/>
    <n v="1"/>
    <n v="593.96"/>
    <n v="1336.42"/>
    <s v="Medium"/>
  </r>
  <r>
    <s v="TXN_00251"/>
    <d v="2024-08-30T00:00:00"/>
    <x v="8"/>
    <s v="Friday"/>
    <s v="STORE_019"/>
    <x v="3"/>
    <x v="0"/>
    <x v="27"/>
    <n v="842.56"/>
    <n v="3"/>
    <n v="2527.6799999999998"/>
    <n v="0"/>
    <n v="0"/>
    <n v="2527.6799999999998"/>
    <s v="Debit Card"/>
    <s v="CUST_00677"/>
    <n v="3"/>
    <n v="0"/>
    <n v="842.56"/>
    <s v="No Discount"/>
  </r>
  <r>
    <s v="TXN_00252"/>
    <d v="2024-05-04T00:00:00"/>
    <x v="3"/>
    <s v="Saturday"/>
    <s v="STORE_017"/>
    <x v="0"/>
    <x v="7"/>
    <x v="37"/>
    <n v="1407.23"/>
    <n v="5"/>
    <n v="7036.15"/>
    <n v="20"/>
    <n v="1407.23"/>
    <n v="5628.92"/>
    <s v="UPI"/>
    <s v="CUST_00800"/>
    <n v="3"/>
    <n v="1407.2299999999996"/>
    <n v="1125.7840000000001"/>
    <s v="High"/>
  </r>
  <r>
    <s v="TXN_00253"/>
    <d v="2024-08-30T00:00:00"/>
    <x v="8"/>
    <s v="Friday"/>
    <s v="STORE_017"/>
    <x v="1"/>
    <x v="7"/>
    <x v="24"/>
    <n v="1232.53"/>
    <n v="7"/>
    <n v="8627.7099999999991"/>
    <n v="5"/>
    <n v="431.39"/>
    <n v="8196.32"/>
    <s v="Cash"/>
    <s v="CUST_00183"/>
    <n v="1"/>
    <n v="431.38999999999942"/>
    <n v="1170.9028571428571"/>
    <s v="Low"/>
  </r>
  <r>
    <s v="TXN_00254"/>
    <d v="2024-07-27T00:00:00"/>
    <x v="11"/>
    <s v="Saturday"/>
    <s v="STORE_042"/>
    <x v="3"/>
    <x v="1"/>
    <x v="36"/>
    <n v="271.27"/>
    <n v="4"/>
    <n v="1085.08"/>
    <n v="10"/>
    <n v="108.51"/>
    <n v="976.57"/>
    <s v="UPI"/>
    <s v="CUST_00112"/>
    <n v="2"/>
    <n v="108.50999999999988"/>
    <n v="244.14250000000001"/>
    <s v="Medium"/>
  </r>
  <r>
    <s v="TXN_00255"/>
    <d v="2024-04-07T00:00:00"/>
    <x v="4"/>
    <s v="Sunday"/>
    <s v="STORE_046"/>
    <x v="1"/>
    <x v="5"/>
    <x v="10"/>
    <n v="4074.83"/>
    <n v="4"/>
    <n v="16299.32"/>
    <n v="10"/>
    <n v="1629.93"/>
    <n v="14669.39"/>
    <s v="Credit Card"/>
    <s v="CUST_00106"/>
    <n v="4"/>
    <n v="1629.9300000000003"/>
    <n v="3667.3474999999999"/>
    <s v="Medium"/>
  </r>
  <r>
    <s v="TXN_00256"/>
    <d v="2024-02-18T00:00:00"/>
    <x v="1"/>
    <s v="Sunday"/>
    <s v="STORE_032"/>
    <x v="0"/>
    <x v="6"/>
    <x v="30"/>
    <n v="605.62"/>
    <n v="5"/>
    <n v="3028.1"/>
    <n v="20"/>
    <n v="605.62"/>
    <n v="2422.48"/>
    <s v="UPI"/>
    <s v="CUST_00669"/>
    <n v="1"/>
    <n v="605.61999999999989"/>
    <n v="484.49599999999998"/>
    <s v="High"/>
  </r>
  <r>
    <s v="TXN_00257"/>
    <d v="2024-02-19T00:00:00"/>
    <x v="1"/>
    <s v="Monday"/>
    <s v="STORE_037"/>
    <x v="2"/>
    <x v="6"/>
    <x v="30"/>
    <n v="1496.91"/>
    <n v="5"/>
    <n v="7484.55"/>
    <n v="0"/>
    <n v="0"/>
    <n v="7484.55"/>
    <s v="Cash"/>
    <s v="CUST_00528"/>
    <n v="4"/>
    <n v="0"/>
    <n v="1496.91"/>
    <s v="No Discount"/>
  </r>
  <r>
    <s v="TXN_00258"/>
    <d v="2024-12-03T00:00:00"/>
    <x v="6"/>
    <s v="Tuesday"/>
    <s v="STORE_025"/>
    <x v="3"/>
    <x v="1"/>
    <x v="1"/>
    <n v="246.23"/>
    <n v="2"/>
    <n v="492.46"/>
    <n v="10"/>
    <n v="49.25"/>
    <n v="443.21"/>
    <s v="Debit Card"/>
    <s v="CUST_00125"/>
    <n v="1"/>
    <n v="49.25"/>
    <n v="221.60499999999999"/>
    <s v="Medium"/>
  </r>
  <r>
    <s v="TXN_00259"/>
    <d v="2024-08-08T00:00:00"/>
    <x v="8"/>
    <s v="Thursday"/>
    <s v="STORE_035"/>
    <x v="1"/>
    <x v="4"/>
    <x v="35"/>
    <n v="456.83"/>
    <n v="7"/>
    <n v="3197.81"/>
    <n v="0"/>
    <n v="0"/>
    <n v="3197.81"/>
    <s v="Credit Card"/>
    <s v="CUST_00083"/>
    <n v="3"/>
    <n v="0"/>
    <n v="456.83"/>
    <s v="No Discount"/>
  </r>
  <r>
    <s v="TXN_00260"/>
    <d v="2024-06-30T00:00:00"/>
    <x v="10"/>
    <s v="Sunday"/>
    <s v="STORE_043"/>
    <x v="0"/>
    <x v="1"/>
    <x v="6"/>
    <n v="341.51"/>
    <n v="3"/>
    <n v="1024.53"/>
    <n v="10"/>
    <n v="102.45"/>
    <n v="922.08"/>
    <s v="Credit Card"/>
    <s v="CUST_00307"/>
    <n v="4"/>
    <n v="102.44999999999993"/>
    <n v="307.36"/>
    <s v="Medium"/>
  </r>
  <r>
    <s v="TXN_00261"/>
    <d v="2024-08-04T00:00:00"/>
    <x v="8"/>
    <s v="Sunday"/>
    <s v="STORE_048"/>
    <x v="0"/>
    <x v="0"/>
    <x v="18"/>
    <n v="704.49"/>
    <n v="6"/>
    <n v="4226.9399999999996"/>
    <n v="5"/>
    <n v="211.35"/>
    <n v="4015.59"/>
    <s v="Credit Card"/>
    <s v="CUST_00144"/>
    <n v="4"/>
    <n v="211.34999999999945"/>
    <n v="669.26499999999999"/>
    <s v="Low"/>
  </r>
  <r>
    <s v="TXN_00262"/>
    <d v="2024-07-29T00:00:00"/>
    <x v="11"/>
    <s v="Monday"/>
    <s v="STORE_005"/>
    <x v="4"/>
    <x v="6"/>
    <x v="14"/>
    <n v="538.04999999999995"/>
    <n v="10"/>
    <n v="5380.5"/>
    <n v="0"/>
    <n v="0"/>
    <n v="5380.5"/>
    <s v="UPI"/>
    <s v="CUST_00659"/>
    <n v="4"/>
    <n v="0"/>
    <n v="538.04999999999995"/>
    <s v="No Discount"/>
  </r>
  <r>
    <s v="TXN_00263"/>
    <d v="2024-08-27T00:00:00"/>
    <x v="8"/>
    <s v="Tuesday"/>
    <s v="STORE_004"/>
    <x v="1"/>
    <x v="2"/>
    <x v="13"/>
    <n v="473.76"/>
    <n v="8"/>
    <n v="3790.08"/>
    <n v="0"/>
    <n v="0"/>
    <n v="3790.08"/>
    <s v="Credit Card"/>
    <s v="CUST_00807"/>
    <n v="3"/>
    <n v="0"/>
    <n v="473.76"/>
    <s v="No Discount"/>
  </r>
  <r>
    <s v="TXN_00264"/>
    <d v="2024-01-28T00:00:00"/>
    <x v="2"/>
    <s v="Sunday"/>
    <s v="STORE_048"/>
    <x v="4"/>
    <x v="6"/>
    <x v="33"/>
    <n v="677.28"/>
    <n v="9"/>
    <n v="6095.52"/>
    <n v="5"/>
    <n v="304.77999999999997"/>
    <n v="5790.74"/>
    <s v="Wallet"/>
    <s v="CUST_00239"/>
    <n v="2"/>
    <n v="304.78000000000065"/>
    <n v="643.41555555555556"/>
    <s v="Low"/>
  </r>
  <r>
    <s v="TXN_00265"/>
    <d v="2024-12-10T00:00:00"/>
    <x v="6"/>
    <s v="Tuesday"/>
    <s v="STORE_040"/>
    <x v="2"/>
    <x v="7"/>
    <x v="28"/>
    <n v="1182.55"/>
    <n v="8"/>
    <n v="9460.4"/>
    <n v="15"/>
    <n v="1419.06"/>
    <n v="8041.34"/>
    <s v="Credit Card"/>
    <s v="CUST_00249"/>
    <n v="4"/>
    <n v="1419.0599999999995"/>
    <n v="1005.1675"/>
    <s v="Medium"/>
  </r>
  <r>
    <s v="TXN_00266"/>
    <d v="2024-11-30T00:00:00"/>
    <x v="0"/>
    <s v="Saturday"/>
    <s v="STORE_040"/>
    <x v="0"/>
    <x v="5"/>
    <x v="34"/>
    <n v="1689"/>
    <n v="1"/>
    <n v="1689"/>
    <n v="0"/>
    <n v="0"/>
    <n v="1689"/>
    <s v="Credit Card"/>
    <s v="CUST_00856"/>
    <n v="4"/>
    <n v="0"/>
    <n v="1689"/>
    <s v="No Discount"/>
  </r>
  <r>
    <s v="TXN_00267"/>
    <d v="2024-11-26T00:00:00"/>
    <x v="0"/>
    <s v="Tuesday"/>
    <s v="STORE_005"/>
    <x v="0"/>
    <x v="7"/>
    <x v="28"/>
    <n v="437.02"/>
    <n v="10"/>
    <n v="4370.2"/>
    <n v="20"/>
    <n v="874.04"/>
    <n v="3496.16"/>
    <s v="Wallet"/>
    <s v="CUST_00437"/>
    <n v="2"/>
    <n v="874.04"/>
    <n v="349.61599999999999"/>
    <s v="High"/>
  </r>
  <r>
    <s v="TXN_00268"/>
    <d v="2024-02-20T00:00:00"/>
    <x v="1"/>
    <s v="Tuesday"/>
    <s v="STORE_014"/>
    <x v="2"/>
    <x v="4"/>
    <x v="19"/>
    <n v="295.91000000000003"/>
    <n v="10"/>
    <n v="2959.1"/>
    <n v="10"/>
    <n v="295.91000000000003"/>
    <n v="2663.19"/>
    <s v="Debit Card"/>
    <s v="CUST_00608"/>
    <n v="3"/>
    <n v="295.90999999999985"/>
    <n v="266.31900000000002"/>
    <s v="Medium"/>
  </r>
  <r>
    <s v="TXN_00269"/>
    <d v="2024-02-01T00:00:00"/>
    <x v="1"/>
    <s v="Thursday"/>
    <s v="STORE_045"/>
    <x v="1"/>
    <x v="5"/>
    <x v="25"/>
    <n v="1252.8900000000001"/>
    <n v="5"/>
    <n v="6264.45"/>
    <n v="0"/>
    <n v="0"/>
    <n v="6264.45"/>
    <s v="UPI"/>
    <s v="CUST_00567"/>
    <n v="2"/>
    <n v="0"/>
    <n v="1252.8899999999999"/>
    <s v="No Discount"/>
  </r>
  <r>
    <s v="TXN_00270"/>
    <d v="2024-07-25T00:00:00"/>
    <x v="11"/>
    <s v="Thursday"/>
    <s v="STORE_041"/>
    <x v="4"/>
    <x v="5"/>
    <x v="9"/>
    <n v="1974.58"/>
    <n v="10"/>
    <n v="19745.8"/>
    <n v="0"/>
    <n v="0"/>
    <n v="19745.8"/>
    <s v="Debit Card"/>
    <s v="CUST_00386"/>
    <n v="1"/>
    <n v="0"/>
    <n v="1974.58"/>
    <s v="No Discount"/>
  </r>
  <r>
    <s v="TXN_00271"/>
    <d v="2024-06-22T00:00:00"/>
    <x v="10"/>
    <s v="Saturday"/>
    <s v="STORE_006"/>
    <x v="4"/>
    <x v="5"/>
    <x v="34"/>
    <n v="4518.51"/>
    <n v="2"/>
    <n v="9037.02"/>
    <n v="0"/>
    <n v="0"/>
    <n v="9037.02"/>
    <s v="Credit Card"/>
    <s v="CUST_00909"/>
    <n v="2"/>
    <n v="0"/>
    <n v="4518.51"/>
    <s v="No Discount"/>
  </r>
  <r>
    <s v="TXN_00272"/>
    <d v="2024-02-25T00:00:00"/>
    <x v="1"/>
    <s v="Sunday"/>
    <s v="STORE_010"/>
    <x v="1"/>
    <x v="2"/>
    <x v="13"/>
    <n v="585.45000000000005"/>
    <n v="8"/>
    <n v="4683.6000000000004"/>
    <n v="15"/>
    <n v="702.54"/>
    <n v="3981.06"/>
    <s v="Debit Card"/>
    <s v="CUST_00536"/>
    <n v="2"/>
    <n v="702.54000000000042"/>
    <n v="497.63249999999999"/>
    <s v="Medium"/>
  </r>
  <r>
    <s v="TXN_00273"/>
    <d v="2024-05-07T00:00:00"/>
    <x v="3"/>
    <s v="Tuesday"/>
    <s v="STORE_012"/>
    <x v="3"/>
    <x v="1"/>
    <x v="1"/>
    <n v="157.66"/>
    <n v="3"/>
    <n v="472.98"/>
    <n v="10"/>
    <n v="47.3"/>
    <n v="425.68"/>
    <s v="Credit Card"/>
    <s v="CUST_00627"/>
    <n v="5"/>
    <n v="47.300000000000011"/>
    <n v="141.89333333333335"/>
    <s v="Medium"/>
  </r>
  <r>
    <s v="TXN_00274"/>
    <d v="2024-04-08T00:00:00"/>
    <x v="4"/>
    <s v="Monday"/>
    <s v="STORE_008"/>
    <x v="4"/>
    <x v="7"/>
    <x v="24"/>
    <n v="717.42"/>
    <n v="1"/>
    <n v="717.42"/>
    <n v="10"/>
    <n v="71.739999999999995"/>
    <n v="645.67999999999995"/>
    <s v="Debit Card"/>
    <s v="CUST_00098"/>
    <n v="2"/>
    <n v="71.740000000000009"/>
    <n v="645.67999999999995"/>
    <s v="Medium"/>
  </r>
  <r>
    <s v="TXN_00275"/>
    <d v="2024-04-07T00:00:00"/>
    <x v="4"/>
    <s v="Sunday"/>
    <s v="STORE_004"/>
    <x v="0"/>
    <x v="4"/>
    <x v="17"/>
    <n v="378.39"/>
    <n v="8"/>
    <n v="3027.12"/>
    <n v="20"/>
    <n v="605.41999999999996"/>
    <n v="2421.6999999999998"/>
    <s v="Debit Card"/>
    <s v="CUST_00116"/>
    <n v="3"/>
    <n v="605.42000000000007"/>
    <n v="302.71249999999998"/>
    <s v="High"/>
  </r>
  <r>
    <s v="TXN_00276"/>
    <d v="2024-10-01T00:00:00"/>
    <x v="7"/>
    <s v="Tuesday"/>
    <s v="STORE_042"/>
    <x v="1"/>
    <x v="5"/>
    <x v="9"/>
    <n v="2990.06"/>
    <n v="3"/>
    <n v="8970.18"/>
    <n v="15"/>
    <n v="1345.53"/>
    <n v="7624.65"/>
    <s v="Credit Card"/>
    <s v="CUST_00292"/>
    <n v="1"/>
    <n v="1345.5300000000007"/>
    <n v="2541.5499999999997"/>
    <s v="Medium"/>
  </r>
  <r>
    <s v="TXN_00277"/>
    <d v="2024-08-17T00:00:00"/>
    <x v="8"/>
    <s v="Saturday"/>
    <s v="STORE_007"/>
    <x v="2"/>
    <x v="3"/>
    <x v="5"/>
    <n v="903.87"/>
    <n v="10"/>
    <n v="9038.7000000000007"/>
    <n v="20"/>
    <n v="1807.74"/>
    <n v="7230.96"/>
    <s v="UPI"/>
    <s v="CUST_00948"/>
    <n v="1"/>
    <n v="1807.7400000000007"/>
    <n v="723.096"/>
    <s v="High"/>
  </r>
  <r>
    <s v="TXN_00278"/>
    <d v="2024-03-12T00:00:00"/>
    <x v="5"/>
    <s v="Tuesday"/>
    <s v="STORE_016"/>
    <x v="3"/>
    <x v="5"/>
    <x v="11"/>
    <n v="4141.97"/>
    <n v="8"/>
    <n v="33135.760000000002"/>
    <n v="10"/>
    <n v="3313.58"/>
    <n v="29822.18"/>
    <s v="Credit Card"/>
    <s v="CUST_00607"/>
    <n v="1"/>
    <n v="3313.5800000000017"/>
    <n v="3727.7725"/>
    <s v="Medium"/>
  </r>
  <r>
    <s v="TXN_00279"/>
    <d v="2024-08-04T00:00:00"/>
    <x v="8"/>
    <s v="Sunday"/>
    <s v="STORE_015"/>
    <x v="2"/>
    <x v="4"/>
    <x v="19"/>
    <n v="239.44"/>
    <n v="6"/>
    <n v="1436.64"/>
    <n v="0"/>
    <n v="0"/>
    <n v="1436.64"/>
    <s v="Credit Card"/>
    <s v="CUST_00243"/>
    <n v="3"/>
    <n v="0"/>
    <n v="239.44000000000003"/>
    <s v="No Discount"/>
  </r>
  <r>
    <s v="TXN_00280"/>
    <d v="2024-04-03T00:00:00"/>
    <x v="4"/>
    <s v="Wednesday"/>
    <s v="STORE_032"/>
    <x v="2"/>
    <x v="0"/>
    <x v="0"/>
    <n v="500.43"/>
    <n v="4"/>
    <n v="2001.72"/>
    <n v="0"/>
    <n v="0"/>
    <n v="2001.72"/>
    <s v="UPI"/>
    <s v="CUST_00912"/>
    <n v="5"/>
    <n v="0"/>
    <n v="500.43"/>
    <s v="No Discount"/>
  </r>
  <r>
    <s v="TXN_00281"/>
    <d v="2024-05-22T00:00:00"/>
    <x v="3"/>
    <s v="Wednesday"/>
    <s v="STORE_024"/>
    <x v="0"/>
    <x v="0"/>
    <x v="0"/>
    <n v="372.93"/>
    <n v="10"/>
    <n v="3729.3"/>
    <n v="5"/>
    <n v="186.47"/>
    <n v="3542.83"/>
    <s v="Debit Card"/>
    <s v="CUST_00469"/>
    <n v="4"/>
    <n v="186.47000000000025"/>
    <n v="354.28300000000002"/>
    <s v="Low"/>
  </r>
  <r>
    <s v="TXN_00282"/>
    <d v="2024-08-24T00:00:00"/>
    <x v="8"/>
    <s v="Saturday"/>
    <s v="STORE_045"/>
    <x v="4"/>
    <x v="3"/>
    <x v="22"/>
    <n v="2931.56"/>
    <n v="4"/>
    <n v="11726.24"/>
    <n v="0"/>
    <n v="0"/>
    <n v="11726.24"/>
    <s v="Debit Card"/>
    <s v="CUST_00062"/>
    <n v="1"/>
    <n v="0"/>
    <n v="2931.56"/>
    <s v="No Discount"/>
  </r>
  <r>
    <s v="TXN_00283"/>
    <d v="2024-05-07T00:00:00"/>
    <x v="3"/>
    <s v="Tuesday"/>
    <s v="STORE_049"/>
    <x v="1"/>
    <x v="2"/>
    <x v="29"/>
    <n v="177.78"/>
    <n v="8"/>
    <n v="1422.24"/>
    <n v="5"/>
    <n v="71.11"/>
    <n v="1351.13"/>
    <s v="UPI"/>
    <s v="CUST_00226"/>
    <n v="2"/>
    <n v="71.1099999999999"/>
    <n v="168.89125000000001"/>
    <s v="Low"/>
  </r>
  <r>
    <s v="TXN_00284"/>
    <d v="2024-02-08T00:00:00"/>
    <x v="1"/>
    <s v="Thursday"/>
    <s v="STORE_015"/>
    <x v="2"/>
    <x v="2"/>
    <x v="7"/>
    <n v="209.75"/>
    <n v="10"/>
    <n v="2097.5"/>
    <n v="0"/>
    <n v="0"/>
    <n v="2097.5"/>
    <s v="Wallet"/>
    <s v="CUST_00422"/>
    <n v="5"/>
    <n v="0"/>
    <n v="209.75"/>
    <s v="No Discount"/>
  </r>
  <r>
    <s v="TXN_00285"/>
    <d v="2024-08-14T00:00:00"/>
    <x v="8"/>
    <s v="Wednesday"/>
    <s v="STORE_048"/>
    <x v="0"/>
    <x v="1"/>
    <x v="31"/>
    <n v="316.20999999999998"/>
    <n v="8"/>
    <n v="2529.6799999999998"/>
    <n v="0"/>
    <n v="0"/>
    <n v="2529.6799999999998"/>
    <s v="Credit Card"/>
    <s v="CUST_00254"/>
    <n v="4"/>
    <n v="0"/>
    <n v="316.20999999999998"/>
    <s v="No Discount"/>
  </r>
  <r>
    <s v="TXN_00286"/>
    <d v="2024-10-08T00:00:00"/>
    <x v="7"/>
    <s v="Tuesday"/>
    <s v="STORE_027"/>
    <x v="2"/>
    <x v="4"/>
    <x v="19"/>
    <n v="410.76"/>
    <n v="10"/>
    <n v="4107.6000000000004"/>
    <n v="0"/>
    <n v="0"/>
    <n v="4107.6000000000004"/>
    <s v="Wallet"/>
    <s v="CUST_00042"/>
    <n v="1"/>
    <n v="0"/>
    <n v="410.76000000000005"/>
    <s v="No Discount"/>
  </r>
  <r>
    <s v="TXN_00287"/>
    <d v="2024-02-20T00:00:00"/>
    <x v="1"/>
    <s v="Tuesday"/>
    <s v="STORE_029"/>
    <x v="3"/>
    <x v="1"/>
    <x v="3"/>
    <n v="65.13"/>
    <n v="9"/>
    <n v="586.16999999999996"/>
    <n v="5"/>
    <n v="29.31"/>
    <n v="556.86"/>
    <s v="UPI"/>
    <s v="CUST_00247"/>
    <n v="1"/>
    <n v="29.309999999999945"/>
    <n v="61.873333333333335"/>
    <s v="Low"/>
  </r>
  <r>
    <s v="TXN_00288"/>
    <d v="2024-01-26T00:00:00"/>
    <x v="2"/>
    <s v="Friday"/>
    <s v="STORE_019"/>
    <x v="0"/>
    <x v="7"/>
    <x v="23"/>
    <n v="1203.69"/>
    <n v="7"/>
    <n v="8425.83"/>
    <n v="0"/>
    <n v="0"/>
    <n v="8425.83"/>
    <s v="Debit Card"/>
    <s v="CUST_00664"/>
    <n v="3"/>
    <n v="0"/>
    <n v="1203.69"/>
    <s v="No Discount"/>
  </r>
  <r>
    <s v="TXN_00289"/>
    <d v="2024-11-29T00:00:00"/>
    <x v="0"/>
    <s v="Friday"/>
    <s v="STORE_048"/>
    <x v="4"/>
    <x v="7"/>
    <x v="28"/>
    <n v="875.74"/>
    <n v="5"/>
    <n v="4378.7"/>
    <n v="0"/>
    <n v="0"/>
    <n v="4378.7"/>
    <s v="UPI"/>
    <s v="CUST_00025"/>
    <n v="5"/>
    <n v="0"/>
    <n v="875.74"/>
    <s v="No Discount"/>
  </r>
  <r>
    <s v="TXN_00290"/>
    <d v="2024-10-03T00:00:00"/>
    <x v="7"/>
    <s v="Thursday"/>
    <s v="STORE_046"/>
    <x v="2"/>
    <x v="1"/>
    <x v="1"/>
    <n v="397.33"/>
    <n v="7"/>
    <n v="2781.31"/>
    <n v="0"/>
    <n v="0"/>
    <n v="2781.31"/>
    <s v="Cash"/>
    <s v="CUST_00882"/>
    <n v="4"/>
    <n v="0"/>
    <n v="397.33"/>
    <s v="No Discount"/>
  </r>
  <r>
    <s v="TXN_00291"/>
    <d v="2024-01-08T00:00:00"/>
    <x v="2"/>
    <s v="Monday"/>
    <s v="STORE_028"/>
    <x v="1"/>
    <x v="7"/>
    <x v="37"/>
    <n v="1372.12"/>
    <n v="6"/>
    <n v="8232.7199999999993"/>
    <n v="10"/>
    <n v="823.27"/>
    <n v="7409.45"/>
    <s v="Credit Card"/>
    <s v="CUST_00715"/>
    <n v="3"/>
    <n v="823.26999999999953"/>
    <n v="1234.9083333333333"/>
    <s v="Medium"/>
  </r>
  <r>
    <s v="TXN_00292"/>
    <d v="2024-02-17T00:00:00"/>
    <x v="1"/>
    <s v="Saturday"/>
    <s v="STORE_044"/>
    <x v="1"/>
    <x v="3"/>
    <x v="21"/>
    <n v="1937.27"/>
    <n v="6"/>
    <n v="11623.62"/>
    <n v="15"/>
    <n v="1743.54"/>
    <n v="9880.08"/>
    <s v="Credit Card"/>
    <s v="CUST_00910"/>
    <n v="5"/>
    <n v="1743.5400000000009"/>
    <n v="1646.68"/>
    <s v="Medium"/>
  </r>
  <r>
    <s v="TXN_00293"/>
    <d v="2024-05-01T00:00:00"/>
    <x v="3"/>
    <s v="Wednesday"/>
    <s v="STORE_024"/>
    <x v="0"/>
    <x v="6"/>
    <x v="30"/>
    <n v="1074.43"/>
    <n v="8"/>
    <n v="8595.44"/>
    <n v="10"/>
    <n v="859.54"/>
    <n v="7735.9"/>
    <s v="Credit Card"/>
    <s v="CUST_00664"/>
    <n v="3"/>
    <n v="859.54000000000087"/>
    <n v="966.98749999999995"/>
    <s v="Medium"/>
  </r>
  <r>
    <s v="TXN_00294"/>
    <d v="2024-03-26T00:00:00"/>
    <x v="5"/>
    <s v="Tuesday"/>
    <s v="STORE_035"/>
    <x v="2"/>
    <x v="7"/>
    <x v="23"/>
    <n v="1151.2"/>
    <n v="4"/>
    <n v="4604.8"/>
    <n v="0"/>
    <n v="0"/>
    <n v="4604.8"/>
    <s v="Cash"/>
    <s v="CUST_00665"/>
    <n v="2"/>
    <n v="0"/>
    <n v="1151.2"/>
    <s v="No Discount"/>
  </r>
  <r>
    <s v="TXN_00295"/>
    <d v="2024-07-27T00:00:00"/>
    <x v="11"/>
    <s v="Saturday"/>
    <s v="STORE_023"/>
    <x v="1"/>
    <x v="1"/>
    <x v="3"/>
    <n v="442.01"/>
    <n v="4"/>
    <n v="1768.04"/>
    <n v="20"/>
    <n v="353.61"/>
    <n v="1414.43"/>
    <s v="Debit Card"/>
    <s v="CUST_00516"/>
    <n v="3"/>
    <n v="353.6099999999999"/>
    <n v="353.60750000000002"/>
    <s v="High"/>
  </r>
  <r>
    <s v="TXN_00296"/>
    <d v="2024-09-05T00:00:00"/>
    <x v="9"/>
    <s v="Thursday"/>
    <s v="STORE_033"/>
    <x v="4"/>
    <x v="0"/>
    <x v="32"/>
    <n v="243.57"/>
    <n v="6"/>
    <n v="1461.42"/>
    <n v="0"/>
    <n v="0"/>
    <n v="1461.42"/>
    <s v="UPI"/>
    <s v="CUST_00850"/>
    <n v="4"/>
    <n v="0"/>
    <n v="243.57000000000002"/>
    <s v="No Discount"/>
  </r>
  <r>
    <s v="TXN_00297"/>
    <d v="2024-09-03T00:00:00"/>
    <x v="9"/>
    <s v="Tuesday"/>
    <s v="STORE_024"/>
    <x v="2"/>
    <x v="7"/>
    <x v="37"/>
    <n v="1151.79"/>
    <n v="9"/>
    <n v="10366.11"/>
    <n v="0"/>
    <n v="0"/>
    <n v="10366.11"/>
    <s v="UPI"/>
    <s v="CUST_00193"/>
    <n v="5"/>
    <n v="0"/>
    <n v="1151.79"/>
    <s v="No Discount"/>
  </r>
  <r>
    <s v="TXN_00298"/>
    <d v="2024-04-19T00:00:00"/>
    <x v="4"/>
    <s v="Friday"/>
    <s v="STORE_011"/>
    <x v="1"/>
    <x v="1"/>
    <x v="36"/>
    <n v="86.08"/>
    <n v="3"/>
    <n v="258.24"/>
    <n v="0"/>
    <n v="0"/>
    <n v="258.24"/>
    <s v="Credit Card"/>
    <s v="CUST_00115"/>
    <n v="1"/>
    <n v="0"/>
    <n v="86.08"/>
    <s v="No Discount"/>
  </r>
  <r>
    <s v="TXN_00299"/>
    <d v="2024-07-24T00:00:00"/>
    <x v="11"/>
    <s v="Wednesday"/>
    <s v="STORE_027"/>
    <x v="4"/>
    <x v="5"/>
    <x v="9"/>
    <n v="1601.99"/>
    <n v="4"/>
    <n v="6407.96"/>
    <n v="10"/>
    <n v="640.79999999999995"/>
    <n v="5767.16"/>
    <s v="Credit Card"/>
    <s v="CUST_00955"/>
    <n v="3"/>
    <n v="640.80000000000018"/>
    <n v="1441.79"/>
    <s v="Medium"/>
  </r>
  <r>
    <s v="TXN_00300"/>
    <d v="2024-01-31T00:00:00"/>
    <x v="2"/>
    <s v="Wednesday"/>
    <s v="STORE_013"/>
    <x v="2"/>
    <x v="5"/>
    <x v="9"/>
    <n v="2386.8000000000002"/>
    <n v="8"/>
    <n v="19094.400000000001"/>
    <n v="15"/>
    <n v="2864.16"/>
    <n v="16230.24"/>
    <s v="Credit Card"/>
    <s v="CUST_00023"/>
    <n v="3"/>
    <n v="2864.1600000000017"/>
    <n v="2028.78"/>
    <s v="Medium"/>
  </r>
  <r>
    <s v="TXN_00301"/>
    <d v="2024-03-25T00:00:00"/>
    <x v="5"/>
    <s v="Monday"/>
    <s v="STORE_032"/>
    <x v="4"/>
    <x v="3"/>
    <x v="16"/>
    <n v="2005.08"/>
    <n v="7"/>
    <n v="14035.56"/>
    <n v="10"/>
    <n v="1403.56"/>
    <n v="12632"/>
    <s v="Cash"/>
    <s v="CUST_00682"/>
    <n v="3"/>
    <n v="1403.5599999999995"/>
    <n v="1804.5714285714287"/>
    <s v="Medium"/>
  </r>
  <r>
    <s v="TXN_00302"/>
    <d v="2024-07-13T00:00:00"/>
    <x v="11"/>
    <s v="Saturday"/>
    <s v="STORE_017"/>
    <x v="0"/>
    <x v="1"/>
    <x v="1"/>
    <n v="186.84"/>
    <n v="3"/>
    <n v="560.52"/>
    <n v="20"/>
    <n v="112.1"/>
    <n v="448.42"/>
    <s v="Cash"/>
    <s v="CUST_00496"/>
    <n v="2"/>
    <n v="112.09999999999997"/>
    <n v="149.47333333333333"/>
    <s v="High"/>
  </r>
  <r>
    <s v="TXN_00303"/>
    <d v="2024-01-02T00:00:00"/>
    <x v="2"/>
    <s v="Tuesday"/>
    <s v="STORE_030"/>
    <x v="0"/>
    <x v="4"/>
    <x v="35"/>
    <n v="496.39"/>
    <n v="1"/>
    <n v="496.39"/>
    <n v="0"/>
    <n v="0"/>
    <n v="496.39"/>
    <s v="Cash"/>
    <s v="CUST_00634"/>
    <n v="3"/>
    <n v="0"/>
    <n v="496.39"/>
    <s v="No Discount"/>
  </r>
  <r>
    <s v="TXN_00304"/>
    <d v="2024-07-18T00:00:00"/>
    <x v="11"/>
    <s v="Thursday"/>
    <s v="STORE_016"/>
    <x v="2"/>
    <x v="5"/>
    <x v="10"/>
    <n v="2140.9899999999998"/>
    <n v="3"/>
    <n v="6422.97"/>
    <n v="20"/>
    <n v="1284.5899999999999"/>
    <n v="5138.38"/>
    <s v="Debit Card"/>
    <s v="CUST_00043"/>
    <n v="2"/>
    <n v="1284.5900000000001"/>
    <n v="1712.7933333333333"/>
    <s v="High"/>
  </r>
  <r>
    <s v="TXN_00305"/>
    <d v="2024-05-15T00:00:00"/>
    <x v="3"/>
    <s v="Wednesday"/>
    <s v="STORE_036"/>
    <x v="2"/>
    <x v="4"/>
    <x v="17"/>
    <n v="206.91"/>
    <n v="5"/>
    <n v="1034.55"/>
    <n v="0"/>
    <n v="0"/>
    <n v="1034.55"/>
    <s v="Debit Card"/>
    <s v="CUST_00682"/>
    <n v="2"/>
    <n v="0"/>
    <n v="206.91"/>
    <s v="No Discount"/>
  </r>
  <r>
    <s v="TXN_00306"/>
    <d v="2024-08-20T00:00:00"/>
    <x v="8"/>
    <s v="Tuesday"/>
    <s v="STORE_020"/>
    <x v="2"/>
    <x v="4"/>
    <x v="35"/>
    <n v="216.57"/>
    <n v="8"/>
    <n v="1732.56"/>
    <n v="10"/>
    <n v="173.26"/>
    <n v="1559.3"/>
    <s v="Debit Card"/>
    <s v="CUST_00943"/>
    <n v="5"/>
    <n v="173.26"/>
    <n v="194.91249999999999"/>
    <s v="Medium"/>
  </r>
  <r>
    <s v="TXN_00307"/>
    <d v="2024-05-26T00:00:00"/>
    <x v="3"/>
    <s v="Sunday"/>
    <s v="STORE_001"/>
    <x v="4"/>
    <x v="6"/>
    <x v="33"/>
    <n v="1896.6"/>
    <n v="3"/>
    <n v="5689.8"/>
    <n v="5"/>
    <n v="284.49"/>
    <n v="5405.31"/>
    <s v="Cash"/>
    <s v="CUST_01000"/>
    <n v="2"/>
    <n v="284.48999999999978"/>
    <n v="1801.7700000000002"/>
    <s v="Low"/>
  </r>
  <r>
    <s v="TXN_00308"/>
    <d v="2024-08-04T00:00:00"/>
    <x v="8"/>
    <s v="Sunday"/>
    <s v="STORE_037"/>
    <x v="3"/>
    <x v="4"/>
    <x v="35"/>
    <n v="363.26"/>
    <n v="5"/>
    <n v="1816.3"/>
    <n v="20"/>
    <n v="363.26"/>
    <n v="1453.04"/>
    <s v="Wallet"/>
    <s v="CUST_00347"/>
    <n v="2"/>
    <n v="363.26"/>
    <n v="290.608"/>
    <s v="High"/>
  </r>
  <r>
    <s v="TXN_00309"/>
    <d v="2024-12-22T00:00:00"/>
    <x v="6"/>
    <s v="Sunday"/>
    <s v="STORE_020"/>
    <x v="2"/>
    <x v="7"/>
    <x v="37"/>
    <n v="1380.21"/>
    <n v="3"/>
    <n v="4140.63"/>
    <n v="15"/>
    <n v="621.09"/>
    <n v="3519.54"/>
    <s v="Wallet"/>
    <s v="CUST_00412"/>
    <n v="1"/>
    <n v="621.09000000000015"/>
    <n v="1173.18"/>
    <s v="Medium"/>
  </r>
  <r>
    <s v="TXN_00310"/>
    <d v="2024-10-11T00:00:00"/>
    <x v="7"/>
    <s v="Friday"/>
    <s v="STORE_038"/>
    <x v="4"/>
    <x v="3"/>
    <x v="5"/>
    <n v="1200.7"/>
    <n v="6"/>
    <n v="7204.2"/>
    <n v="0"/>
    <n v="0"/>
    <n v="7204.2"/>
    <s v="Wallet"/>
    <s v="CUST_00228"/>
    <n v="2"/>
    <n v="0"/>
    <n v="1200.7"/>
    <s v="No Discount"/>
  </r>
  <r>
    <s v="TXN_00311"/>
    <d v="2024-12-04T00:00:00"/>
    <x v="6"/>
    <s v="Wednesday"/>
    <s v="STORE_033"/>
    <x v="3"/>
    <x v="2"/>
    <x v="29"/>
    <n v="115.78"/>
    <n v="9"/>
    <n v="1042.02"/>
    <n v="20"/>
    <n v="208.4"/>
    <n v="833.62"/>
    <s v="UPI"/>
    <s v="CUST_00200"/>
    <n v="1"/>
    <n v="208.39999999999998"/>
    <n v="92.62444444444445"/>
    <s v="High"/>
  </r>
  <r>
    <s v="TXN_00312"/>
    <d v="2024-09-06T00:00:00"/>
    <x v="9"/>
    <s v="Friday"/>
    <s v="STORE_010"/>
    <x v="3"/>
    <x v="1"/>
    <x v="6"/>
    <n v="321.43"/>
    <n v="9"/>
    <n v="2892.87"/>
    <n v="0"/>
    <n v="0"/>
    <n v="2892.87"/>
    <s v="Cash"/>
    <s v="CUST_00379"/>
    <n v="4"/>
    <n v="0"/>
    <n v="321.43"/>
    <s v="No Discount"/>
  </r>
  <r>
    <s v="TXN_00313"/>
    <d v="2024-03-20T00:00:00"/>
    <x v="5"/>
    <s v="Wednesday"/>
    <s v="STORE_036"/>
    <x v="2"/>
    <x v="0"/>
    <x v="32"/>
    <n v="209.75"/>
    <n v="6"/>
    <n v="1258.5"/>
    <n v="0"/>
    <n v="0"/>
    <n v="1258.5"/>
    <s v="Cash"/>
    <s v="CUST_00221"/>
    <n v="4"/>
    <n v="0"/>
    <n v="209.75"/>
    <s v="No Discount"/>
  </r>
  <r>
    <s v="TXN_00314"/>
    <d v="2024-04-07T00:00:00"/>
    <x v="4"/>
    <s v="Sunday"/>
    <s v="STORE_009"/>
    <x v="4"/>
    <x v="1"/>
    <x v="1"/>
    <n v="411.66"/>
    <n v="5"/>
    <n v="2058.3000000000002"/>
    <n v="0"/>
    <n v="0"/>
    <n v="2058.3000000000002"/>
    <s v="UPI"/>
    <s v="CUST_00613"/>
    <n v="4"/>
    <n v="0"/>
    <n v="411.66"/>
    <s v="No Discount"/>
  </r>
  <r>
    <s v="TXN_00315"/>
    <d v="2024-05-31T00:00:00"/>
    <x v="3"/>
    <s v="Friday"/>
    <s v="STORE_005"/>
    <x v="4"/>
    <x v="7"/>
    <x v="38"/>
    <n v="549.34"/>
    <n v="8"/>
    <n v="4394.72"/>
    <n v="20"/>
    <n v="878.94"/>
    <n v="3515.78"/>
    <s v="Wallet"/>
    <s v="CUST_00775"/>
    <n v="3"/>
    <n v="878.94"/>
    <n v="439.47250000000003"/>
    <s v="High"/>
  </r>
  <r>
    <s v="TXN_00316"/>
    <d v="2024-04-21T00:00:00"/>
    <x v="4"/>
    <s v="Sunday"/>
    <s v="STORE_030"/>
    <x v="4"/>
    <x v="0"/>
    <x v="18"/>
    <n v="205.3"/>
    <n v="5"/>
    <n v="1026.5"/>
    <n v="5"/>
    <n v="51.33"/>
    <n v="975.17"/>
    <s v="Debit Card"/>
    <s v="CUST_00774"/>
    <n v="5"/>
    <n v="51.330000000000041"/>
    <n v="195.03399999999999"/>
    <s v="Low"/>
  </r>
  <r>
    <s v="TXN_00317"/>
    <d v="2024-01-30T00:00:00"/>
    <x v="2"/>
    <s v="Tuesday"/>
    <s v="STORE_003"/>
    <x v="1"/>
    <x v="5"/>
    <x v="11"/>
    <n v="1744.03"/>
    <n v="7"/>
    <n v="12208.21"/>
    <n v="0"/>
    <n v="0"/>
    <n v="12208.21"/>
    <s v="Wallet"/>
    <s v="CUST_00855"/>
    <n v="4"/>
    <n v="0"/>
    <n v="1744.03"/>
    <s v="No Discount"/>
  </r>
  <r>
    <s v="TXN_00318"/>
    <d v="2024-10-23T00:00:00"/>
    <x v="7"/>
    <s v="Wednesday"/>
    <s v="STORE_010"/>
    <x v="1"/>
    <x v="2"/>
    <x v="13"/>
    <n v="491.5"/>
    <n v="8"/>
    <n v="3932"/>
    <n v="0"/>
    <n v="0"/>
    <n v="3932"/>
    <s v="Credit Card"/>
    <s v="CUST_00308"/>
    <n v="1"/>
    <n v="0"/>
    <n v="491.5"/>
    <s v="No Discount"/>
  </r>
  <r>
    <s v="TXN_00319"/>
    <d v="2024-10-04T00:00:00"/>
    <x v="7"/>
    <s v="Friday"/>
    <s v="STORE_045"/>
    <x v="0"/>
    <x v="1"/>
    <x v="36"/>
    <n v="344.22"/>
    <n v="5"/>
    <n v="1721.1"/>
    <n v="5"/>
    <n v="86.06"/>
    <n v="1635.04"/>
    <s v="Debit Card"/>
    <s v="CUST_00030"/>
    <n v="4"/>
    <n v="86.059999999999945"/>
    <n v="327.00799999999998"/>
    <s v="Low"/>
  </r>
  <r>
    <s v="TXN_00320"/>
    <d v="2024-02-01T00:00:00"/>
    <x v="1"/>
    <s v="Thursday"/>
    <s v="STORE_031"/>
    <x v="4"/>
    <x v="7"/>
    <x v="24"/>
    <n v="891.66"/>
    <n v="2"/>
    <n v="1783.32"/>
    <n v="10"/>
    <n v="178.33"/>
    <n v="1604.99"/>
    <s v="Cash"/>
    <s v="CUST_00447"/>
    <n v="5"/>
    <n v="178.32999999999993"/>
    <n v="802.495"/>
    <s v="Medium"/>
  </r>
  <r>
    <s v="TXN_00321"/>
    <d v="2024-06-09T00:00:00"/>
    <x v="10"/>
    <s v="Sunday"/>
    <s v="STORE_002"/>
    <x v="1"/>
    <x v="2"/>
    <x v="13"/>
    <n v="781.98"/>
    <n v="2"/>
    <n v="1563.96"/>
    <n v="0"/>
    <n v="0"/>
    <n v="1563.96"/>
    <s v="Wallet"/>
    <s v="CUST_00167"/>
    <n v="5"/>
    <n v="0"/>
    <n v="781.98"/>
    <s v="No Discount"/>
  </r>
  <r>
    <s v="TXN_00322"/>
    <d v="2024-01-30T00:00:00"/>
    <x v="2"/>
    <s v="Tuesday"/>
    <s v="STORE_018"/>
    <x v="1"/>
    <x v="6"/>
    <x v="14"/>
    <n v="979.52"/>
    <n v="3"/>
    <n v="2938.56"/>
    <n v="0"/>
    <n v="0"/>
    <n v="2938.56"/>
    <s v="Debit Card"/>
    <s v="CUST_00430"/>
    <n v="1"/>
    <n v="0"/>
    <n v="979.52"/>
    <s v="No Discount"/>
  </r>
  <r>
    <s v="TXN_00323"/>
    <d v="2024-01-26T00:00:00"/>
    <x v="2"/>
    <s v="Friday"/>
    <s v="STORE_013"/>
    <x v="0"/>
    <x v="4"/>
    <x v="8"/>
    <n v="280.44"/>
    <n v="9"/>
    <n v="2523.96"/>
    <n v="15"/>
    <n v="378.59"/>
    <n v="2145.37"/>
    <s v="Credit Card"/>
    <s v="CUST_00784"/>
    <n v="5"/>
    <n v="378.59000000000015"/>
    <n v="238.37444444444444"/>
    <s v="Medium"/>
  </r>
  <r>
    <s v="TXN_00324"/>
    <d v="2024-10-26T00:00:00"/>
    <x v="7"/>
    <s v="Saturday"/>
    <s v="STORE_018"/>
    <x v="1"/>
    <x v="7"/>
    <x v="23"/>
    <n v="1203.1500000000001"/>
    <n v="9"/>
    <n v="10828.35"/>
    <n v="0"/>
    <n v="0"/>
    <n v="10828.35"/>
    <s v="Cash"/>
    <s v="CUST_00099"/>
    <n v="3"/>
    <n v="0"/>
    <n v="1203.1500000000001"/>
    <s v="No Discount"/>
  </r>
  <r>
    <s v="TXN_00325"/>
    <d v="2024-09-01T00:00:00"/>
    <x v="9"/>
    <s v="Sunday"/>
    <s v="STORE_027"/>
    <x v="1"/>
    <x v="4"/>
    <x v="20"/>
    <n v="155.80000000000001"/>
    <n v="9"/>
    <n v="1402.2"/>
    <n v="0"/>
    <n v="0"/>
    <n v="1402.2"/>
    <s v="Cash"/>
    <s v="CUST_00944"/>
    <n v="4"/>
    <n v="0"/>
    <n v="155.80000000000001"/>
    <s v="No Discount"/>
  </r>
  <r>
    <s v="TXN_00326"/>
    <d v="2024-09-14T00:00:00"/>
    <x v="9"/>
    <s v="Saturday"/>
    <s v="STORE_040"/>
    <x v="4"/>
    <x v="5"/>
    <x v="34"/>
    <n v="1871.5"/>
    <n v="9"/>
    <n v="16843.5"/>
    <n v="0"/>
    <n v="0"/>
    <n v="16843.5"/>
    <s v="Debit Card"/>
    <s v="CUST_00867"/>
    <n v="5"/>
    <n v="0"/>
    <n v="1871.5"/>
    <s v="No Discount"/>
  </r>
  <r>
    <s v="TXN_00327"/>
    <d v="2024-09-28T00:00:00"/>
    <x v="9"/>
    <s v="Saturday"/>
    <s v="STORE_031"/>
    <x v="1"/>
    <x v="7"/>
    <x v="37"/>
    <n v="852.59"/>
    <n v="2"/>
    <n v="1705.18"/>
    <n v="0"/>
    <n v="0"/>
    <n v="1705.18"/>
    <s v="Debit Card"/>
    <s v="CUST_00320"/>
    <n v="1"/>
    <n v="0"/>
    <n v="852.59"/>
    <s v="No Discount"/>
  </r>
  <r>
    <s v="TXN_00328"/>
    <d v="2024-03-21T00:00:00"/>
    <x v="5"/>
    <s v="Thursday"/>
    <s v="STORE_046"/>
    <x v="1"/>
    <x v="4"/>
    <x v="20"/>
    <n v="517.66999999999996"/>
    <n v="10"/>
    <n v="5176.7"/>
    <n v="10"/>
    <n v="517.66999999999996"/>
    <n v="4659.03"/>
    <s v="Cash"/>
    <s v="CUST_00030"/>
    <n v="2"/>
    <n v="517.67000000000007"/>
    <n v="465.90299999999996"/>
    <s v="Medium"/>
  </r>
  <r>
    <s v="TXN_00329"/>
    <d v="2024-01-30T00:00:00"/>
    <x v="2"/>
    <s v="Tuesday"/>
    <s v="STORE_009"/>
    <x v="0"/>
    <x v="7"/>
    <x v="38"/>
    <n v="454.46"/>
    <n v="3"/>
    <n v="1363.38"/>
    <n v="15"/>
    <n v="204.51"/>
    <n v="1158.8699999999999"/>
    <s v="Debit Card"/>
    <s v="CUST_00134"/>
    <n v="3"/>
    <n v="204.51000000000022"/>
    <n v="386.28999999999996"/>
    <s v="Medium"/>
  </r>
  <r>
    <s v="TXN_00330"/>
    <d v="2024-09-17T00:00:00"/>
    <x v="9"/>
    <s v="Tuesday"/>
    <s v="STORE_049"/>
    <x v="3"/>
    <x v="7"/>
    <x v="37"/>
    <n v="1128.98"/>
    <n v="2"/>
    <n v="2257.96"/>
    <n v="0"/>
    <n v="0"/>
    <n v="2257.96"/>
    <s v="Credit Card"/>
    <s v="CUST_00044"/>
    <n v="4"/>
    <n v="0"/>
    <n v="1128.98"/>
    <s v="No Discount"/>
  </r>
  <r>
    <s v="TXN_00331"/>
    <d v="2024-02-11T00:00:00"/>
    <x v="1"/>
    <s v="Sunday"/>
    <s v="STORE_008"/>
    <x v="1"/>
    <x v="3"/>
    <x v="21"/>
    <n v="291.82"/>
    <n v="9"/>
    <n v="2626.38"/>
    <n v="10"/>
    <n v="262.64"/>
    <n v="2363.7399999999998"/>
    <s v="Credit Card"/>
    <s v="CUST_00045"/>
    <n v="4"/>
    <n v="262.64000000000033"/>
    <n v="262.63777777777773"/>
    <s v="Medium"/>
  </r>
  <r>
    <s v="TXN_00332"/>
    <d v="2024-04-05T00:00:00"/>
    <x v="4"/>
    <s v="Friday"/>
    <s v="STORE_014"/>
    <x v="4"/>
    <x v="7"/>
    <x v="24"/>
    <n v="1101.0999999999999"/>
    <n v="2"/>
    <n v="2202.1999999999998"/>
    <n v="20"/>
    <n v="440.44"/>
    <n v="1761.76"/>
    <s v="Credit Card"/>
    <s v="CUST_00923"/>
    <n v="5"/>
    <n v="440.43999999999983"/>
    <n v="880.88"/>
    <s v="High"/>
  </r>
  <r>
    <s v="TXN_00333"/>
    <d v="2024-02-05T00:00:00"/>
    <x v="1"/>
    <s v="Monday"/>
    <s v="STORE_038"/>
    <x v="1"/>
    <x v="3"/>
    <x v="12"/>
    <n v="2077.6799999999998"/>
    <n v="1"/>
    <n v="2077.6799999999998"/>
    <n v="0"/>
    <n v="0"/>
    <n v="2077.6799999999998"/>
    <s v="Debit Card"/>
    <s v="CUST_00361"/>
    <n v="3"/>
    <n v="0"/>
    <n v="2077.6799999999998"/>
    <s v="No Discount"/>
  </r>
  <r>
    <s v="TXN_00334"/>
    <d v="2024-10-31T00:00:00"/>
    <x v="7"/>
    <s v="Thursday"/>
    <s v="STORE_005"/>
    <x v="2"/>
    <x v="5"/>
    <x v="10"/>
    <n v="4123.21"/>
    <n v="10"/>
    <n v="41232.1"/>
    <n v="0"/>
    <n v="0"/>
    <n v="41232.1"/>
    <s v="Wallet"/>
    <s v="CUST_00840"/>
    <n v="5"/>
    <n v="0"/>
    <n v="4123.21"/>
    <s v="No Discount"/>
  </r>
  <r>
    <s v="TXN_00335"/>
    <d v="2024-02-04T00:00:00"/>
    <x v="1"/>
    <s v="Sunday"/>
    <s v="STORE_001"/>
    <x v="2"/>
    <x v="6"/>
    <x v="26"/>
    <n v="825.5"/>
    <n v="4"/>
    <n v="3302"/>
    <n v="0"/>
    <n v="0"/>
    <n v="3302"/>
    <s v="Debit Card"/>
    <s v="CUST_00947"/>
    <n v="5"/>
    <n v="0"/>
    <n v="825.5"/>
    <s v="No Discount"/>
  </r>
  <r>
    <s v="TXN_00336"/>
    <d v="2024-12-11T00:00:00"/>
    <x v="6"/>
    <s v="Wednesday"/>
    <s v="STORE_029"/>
    <x v="2"/>
    <x v="3"/>
    <x v="16"/>
    <n v="2583.63"/>
    <n v="8"/>
    <n v="20669.04"/>
    <n v="0"/>
    <n v="0"/>
    <n v="20669.04"/>
    <s v="Wallet"/>
    <s v="CUST_00186"/>
    <n v="2"/>
    <n v="0"/>
    <n v="2583.63"/>
    <s v="No Discount"/>
  </r>
  <r>
    <s v="TXN_00337"/>
    <d v="2024-04-30T00:00:00"/>
    <x v="4"/>
    <s v="Tuesday"/>
    <s v="STORE_049"/>
    <x v="1"/>
    <x v="4"/>
    <x v="19"/>
    <n v="340.84"/>
    <n v="9"/>
    <n v="3067.56"/>
    <n v="0"/>
    <n v="0"/>
    <n v="3067.56"/>
    <s v="UPI"/>
    <s v="CUST_00127"/>
    <n v="1"/>
    <n v="0"/>
    <n v="340.84"/>
    <s v="No Discount"/>
  </r>
  <r>
    <s v="TXN_00338"/>
    <d v="2024-07-25T00:00:00"/>
    <x v="11"/>
    <s v="Thursday"/>
    <s v="STORE_036"/>
    <x v="2"/>
    <x v="1"/>
    <x v="36"/>
    <n v="283.88"/>
    <n v="8"/>
    <n v="2271.04"/>
    <n v="20"/>
    <n v="454.21"/>
    <n v="1816.83"/>
    <s v="Cash"/>
    <s v="CUST_00085"/>
    <n v="3"/>
    <n v="454.21000000000004"/>
    <n v="227.10374999999999"/>
    <s v="High"/>
  </r>
  <r>
    <s v="TXN_00339"/>
    <d v="2024-03-02T00:00:00"/>
    <x v="5"/>
    <s v="Saturday"/>
    <s v="STORE_044"/>
    <x v="3"/>
    <x v="4"/>
    <x v="19"/>
    <n v="202.08"/>
    <n v="5"/>
    <n v="1010.4"/>
    <n v="5"/>
    <n v="50.52"/>
    <n v="959.88"/>
    <s v="Wallet"/>
    <s v="CUST_00232"/>
    <n v="3"/>
    <n v="50.519999999999982"/>
    <n v="191.976"/>
    <s v="Low"/>
  </r>
  <r>
    <s v="TXN_00340"/>
    <d v="2024-10-18T00:00:00"/>
    <x v="7"/>
    <s v="Friday"/>
    <s v="STORE_044"/>
    <x v="1"/>
    <x v="0"/>
    <x v="32"/>
    <n v="987.97"/>
    <n v="7"/>
    <n v="6915.79"/>
    <n v="0"/>
    <n v="0"/>
    <n v="6915.79"/>
    <s v="Credit Card"/>
    <s v="CUST_00184"/>
    <n v="4"/>
    <n v="0"/>
    <n v="987.97"/>
    <s v="No Discount"/>
  </r>
  <r>
    <s v="TXN_00341"/>
    <d v="2024-05-06T00:00:00"/>
    <x v="3"/>
    <s v="Monday"/>
    <s v="STORE_008"/>
    <x v="0"/>
    <x v="6"/>
    <x v="33"/>
    <n v="1508.14"/>
    <n v="7"/>
    <n v="10556.98"/>
    <n v="5"/>
    <n v="527.85"/>
    <n v="10029.129999999999"/>
    <s v="Wallet"/>
    <s v="CUST_00405"/>
    <n v="1"/>
    <n v="527.85000000000036"/>
    <n v="1432.732857142857"/>
    <s v="Low"/>
  </r>
  <r>
    <s v="TXN_00342"/>
    <d v="2024-10-23T00:00:00"/>
    <x v="7"/>
    <s v="Wednesday"/>
    <s v="STORE_022"/>
    <x v="0"/>
    <x v="0"/>
    <x v="27"/>
    <n v="982.06"/>
    <n v="3"/>
    <n v="2946.18"/>
    <n v="0"/>
    <n v="0"/>
    <n v="2946.18"/>
    <s v="Cash"/>
    <s v="CUST_00610"/>
    <n v="2"/>
    <n v="0"/>
    <n v="982.06"/>
    <s v="No Discount"/>
  </r>
  <r>
    <s v="TXN_00343"/>
    <d v="2024-10-31T00:00:00"/>
    <x v="7"/>
    <s v="Thursday"/>
    <s v="STORE_049"/>
    <x v="4"/>
    <x v="0"/>
    <x v="18"/>
    <n v="386.3"/>
    <n v="7"/>
    <n v="2704.1"/>
    <n v="15"/>
    <n v="405.61"/>
    <n v="2298.4899999999998"/>
    <s v="UPI"/>
    <s v="CUST_00608"/>
    <n v="3"/>
    <n v="405.61000000000013"/>
    <n v="328.35571428571427"/>
    <s v="Medium"/>
  </r>
  <r>
    <s v="TXN_00344"/>
    <d v="2024-01-21T00:00:00"/>
    <x v="2"/>
    <s v="Sunday"/>
    <s v="STORE_018"/>
    <x v="0"/>
    <x v="2"/>
    <x v="13"/>
    <n v="349.27"/>
    <n v="10"/>
    <n v="3492.7"/>
    <n v="5"/>
    <n v="174.63"/>
    <n v="3318.07"/>
    <s v="UPI"/>
    <s v="CUST_00787"/>
    <n v="5"/>
    <n v="174.62999999999965"/>
    <n v="331.80700000000002"/>
    <s v="Low"/>
  </r>
  <r>
    <s v="TXN_00345"/>
    <d v="2024-11-13T00:00:00"/>
    <x v="0"/>
    <s v="Wednesday"/>
    <s v="STORE_002"/>
    <x v="2"/>
    <x v="1"/>
    <x v="36"/>
    <n v="104.99"/>
    <n v="8"/>
    <n v="839.92"/>
    <n v="5"/>
    <n v="42"/>
    <n v="797.92"/>
    <s v="Debit Card"/>
    <s v="CUST_00756"/>
    <n v="2"/>
    <n v="42"/>
    <n v="99.74"/>
    <s v="Low"/>
  </r>
  <r>
    <s v="TXN_00346"/>
    <d v="2024-02-11T00:00:00"/>
    <x v="1"/>
    <s v="Sunday"/>
    <s v="STORE_044"/>
    <x v="1"/>
    <x v="6"/>
    <x v="30"/>
    <n v="1247.2"/>
    <n v="1"/>
    <n v="1247.2"/>
    <n v="0"/>
    <n v="0"/>
    <n v="1247.2"/>
    <s v="UPI"/>
    <s v="CUST_00157"/>
    <n v="5"/>
    <n v="0"/>
    <n v="1247.2"/>
    <s v="No Discount"/>
  </r>
  <r>
    <s v="TXN_00347"/>
    <d v="2024-08-02T00:00:00"/>
    <x v="8"/>
    <s v="Friday"/>
    <s v="STORE_030"/>
    <x v="0"/>
    <x v="2"/>
    <x v="7"/>
    <n v="536.26"/>
    <n v="2"/>
    <n v="1072.52"/>
    <n v="15"/>
    <n v="160.88"/>
    <n v="911.64"/>
    <s v="Wallet"/>
    <s v="CUST_00301"/>
    <n v="4"/>
    <n v="160.88"/>
    <n v="455.82"/>
    <s v="Medium"/>
  </r>
  <r>
    <s v="TXN_00348"/>
    <d v="2024-12-02T00:00:00"/>
    <x v="6"/>
    <s v="Monday"/>
    <s v="STORE_002"/>
    <x v="2"/>
    <x v="1"/>
    <x v="1"/>
    <n v="277.16000000000003"/>
    <n v="9"/>
    <n v="2494.44"/>
    <n v="0"/>
    <n v="0"/>
    <n v="2494.44"/>
    <s v="Wallet"/>
    <s v="CUST_00441"/>
    <n v="5"/>
    <n v="0"/>
    <n v="277.16000000000003"/>
    <s v="No Discount"/>
  </r>
  <r>
    <s v="TXN_00349"/>
    <d v="2024-10-25T00:00:00"/>
    <x v="7"/>
    <s v="Friday"/>
    <s v="STORE_003"/>
    <x v="0"/>
    <x v="7"/>
    <x v="37"/>
    <n v="840.14"/>
    <n v="7"/>
    <n v="5880.98"/>
    <n v="5"/>
    <n v="294.05"/>
    <n v="5586.93"/>
    <s v="UPI"/>
    <s v="CUST_00571"/>
    <n v="1"/>
    <n v="294.04999999999927"/>
    <n v="798.13285714285723"/>
    <s v="Low"/>
  </r>
  <r>
    <s v="TXN_00350"/>
    <d v="2024-10-16T00:00:00"/>
    <x v="7"/>
    <s v="Wednesday"/>
    <s v="STORE_049"/>
    <x v="2"/>
    <x v="2"/>
    <x v="29"/>
    <n v="444.04"/>
    <n v="3"/>
    <n v="1332.12"/>
    <n v="0"/>
    <n v="0"/>
    <n v="1332.12"/>
    <s v="UPI"/>
    <s v="CUST_00583"/>
    <n v="4"/>
    <n v="0"/>
    <n v="444.03999999999996"/>
    <s v="No Discount"/>
  </r>
  <r>
    <s v="TXN_00351"/>
    <d v="2024-09-24T00:00:00"/>
    <x v="9"/>
    <s v="Tuesday"/>
    <s v="STORE_011"/>
    <x v="4"/>
    <x v="1"/>
    <x v="3"/>
    <n v="358.42"/>
    <n v="10"/>
    <n v="3584.2"/>
    <n v="5"/>
    <n v="179.21"/>
    <n v="3404.99"/>
    <s v="UPI"/>
    <s v="CUST_00058"/>
    <n v="5"/>
    <n v="179.21000000000004"/>
    <n v="340.49899999999997"/>
    <s v="Low"/>
  </r>
  <r>
    <s v="TXN_00352"/>
    <d v="2024-06-10T00:00:00"/>
    <x v="10"/>
    <s v="Monday"/>
    <s v="STORE_021"/>
    <x v="2"/>
    <x v="0"/>
    <x v="32"/>
    <n v="595.75"/>
    <n v="7"/>
    <n v="4170.25"/>
    <n v="10"/>
    <n v="417.03"/>
    <n v="3753.22"/>
    <s v="Cash"/>
    <s v="CUST_00029"/>
    <n v="3"/>
    <n v="417.0300000000002"/>
    <n v="536.1742857142857"/>
    <s v="Medium"/>
  </r>
  <r>
    <s v="TXN_00353"/>
    <d v="2024-05-13T00:00:00"/>
    <x v="3"/>
    <s v="Monday"/>
    <s v="STORE_049"/>
    <x v="1"/>
    <x v="6"/>
    <x v="14"/>
    <n v="1755.4"/>
    <n v="6"/>
    <n v="10532.4"/>
    <n v="20"/>
    <n v="2106.48"/>
    <n v="8425.92"/>
    <s v="Wallet"/>
    <s v="CUST_00390"/>
    <n v="1"/>
    <n v="2106.4799999999996"/>
    <n v="1404.32"/>
    <s v="High"/>
  </r>
  <r>
    <s v="TXN_00354"/>
    <d v="2024-04-14T00:00:00"/>
    <x v="4"/>
    <s v="Sunday"/>
    <s v="STORE_043"/>
    <x v="0"/>
    <x v="7"/>
    <x v="37"/>
    <n v="714.17"/>
    <n v="6"/>
    <n v="4285.0200000000004"/>
    <n v="5"/>
    <n v="214.25"/>
    <n v="4070.77"/>
    <s v="Cash"/>
    <s v="CUST_00254"/>
    <n v="1"/>
    <n v="214.25000000000045"/>
    <n v="678.4616666666667"/>
    <s v="Low"/>
  </r>
  <r>
    <s v="TXN_00355"/>
    <d v="2024-12-08T00:00:00"/>
    <x v="6"/>
    <s v="Sunday"/>
    <s v="STORE_022"/>
    <x v="0"/>
    <x v="3"/>
    <x v="22"/>
    <n v="1859.09"/>
    <n v="2"/>
    <n v="3718.18"/>
    <n v="20"/>
    <n v="743.64"/>
    <n v="2974.54"/>
    <s v="Cash"/>
    <s v="CUST_00021"/>
    <n v="1"/>
    <n v="743.63999999999987"/>
    <n v="1487.27"/>
    <s v="High"/>
  </r>
  <r>
    <s v="TXN_00356"/>
    <d v="2024-06-09T00:00:00"/>
    <x v="10"/>
    <s v="Sunday"/>
    <s v="STORE_018"/>
    <x v="2"/>
    <x v="4"/>
    <x v="8"/>
    <n v="357.41"/>
    <n v="7"/>
    <n v="2501.87"/>
    <n v="10"/>
    <n v="250.19"/>
    <n v="2251.6799999999998"/>
    <s v="Wallet"/>
    <s v="CUST_00713"/>
    <n v="4"/>
    <n v="250.19000000000005"/>
    <n v="321.6685714285714"/>
    <s v="Medium"/>
  </r>
  <r>
    <s v="TXN_00357"/>
    <d v="2024-05-02T00:00:00"/>
    <x v="3"/>
    <s v="Thursday"/>
    <s v="STORE_021"/>
    <x v="4"/>
    <x v="1"/>
    <x v="3"/>
    <n v="60.01"/>
    <n v="6"/>
    <n v="360.06"/>
    <n v="5"/>
    <n v="18"/>
    <n v="342.06"/>
    <s v="Wallet"/>
    <s v="CUST_00101"/>
    <n v="4"/>
    <n v="18"/>
    <n v="57.01"/>
    <s v="Low"/>
  </r>
  <r>
    <s v="TXN_00358"/>
    <d v="2024-05-15T00:00:00"/>
    <x v="3"/>
    <s v="Wednesday"/>
    <s v="STORE_049"/>
    <x v="1"/>
    <x v="1"/>
    <x v="36"/>
    <n v="360.89"/>
    <n v="4"/>
    <n v="1443.56"/>
    <n v="0"/>
    <n v="0"/>
    <n v="1443.56"/>
    <s v="UPI"/>
    <s v="CUST_00171"/>
    <n v="5"/>
    <n v="0"/>
    <n v="360.89"/>
    <s v="No Discount"/>
  </r>
  <r>
    <s v="TXN_00359"/>
    <d v="2024-07-21T00:00:00"/>
    <x v="11"/>
    <s v="Sunday"/>
    <s v="STORE_014"/>
    <x v="1"/>
    <x v="2"/>
    <x v="39"/>
    <n v="778.6"/>
    <n v="4"/>
    <n v="3114.4"/>
    <n v="5"/>
    <n v="155.72"/>
    <n v="2958.68"/>
    <s v="Credit Card"/>
    <s v="CUST_00272"/>
    <n v="5"/>
    <n v="155.72000000000025"/>
    <n v="739.67"/>
    <s v="Low"/>
  </r>
  <r>
    <s v="TXN_00360"/>
    <d v="2024-03-08T00:00:00"/>
    <x v="5"/>
    <s v="Friday"/>
    <s v="STORE_048"/>
    <x v="2"/>
    <x v="6"/>
    <x v="15"/>
    <n v="1994.34"/>
    <n v="7"/>
    <n v="13960.38"/>
    <n v="20"/>
    <n v="2792.08"/>
    <n v="11168.3"/>
    <s v="Debit Card"/>
    <s v="CUST_00735"/>
    <n v="5"/>
    <n v="2792.08"/>
    <n v="1595.4714285714285"/>
    <s v="High"/>
  </r>
  <r>
    <s v="TXN_00361"/>
    <d v="2024-12-09T00:00:00"/>
    <x v="6"/>
    <s v="Monday"/>
    <s v="STORE_028"/>
    <x v="0"/>
    <x v="7"/>
    <x v="23"/>
    <n v="704.21"/>
    <n v="2"/>
    <n v="1408.42"/>
    <n v="10"/>
    <n v="140.84"/>
    <n v="1267.58"/>
    <s v="Wallet"/>
    <s v="CUST_00356"/>
    <n v="4"/>
    <n v="140.84000000000015"/>
    <n v="633.79"/>
    <s v="Medium"/>
  </r>
  <r>
    <s v="TXN_00362"/>
    <d v="2024-11-26T00:00:00"/>
    <x v="0"/>
    <s v="Tuesday"/>
    <s v="STORE_013"/>
    <x v="3"/>
    <x v="7"/>
    <x v="24"/>
    <n v="905.57"/>
    <n v="5"/>
    <n v="4527.8500000000004"/>
    <n v="5"/>
    <n v="226.39"/>
    <n v="4301.46"/>
    <s v="Wallet"/>
    <s v="CUST_00412"/>
    <n v="3"/>
    <n v="226.39000000000033"/>
    <n v="860.29200000000003"/>
    <s v="Low"/>
  </r>
  <r>
    <s v="TXN_00363"/>
    <d v="2024-06-02T00:00:00"/>
    <x v="10"/>
    <s v="Sunday"/>
    <s v="STORE_012"/>
    <x v="4"/>
    <x v="2"/>
    <x v="7"/>
    <n v="460.76"/>
    <n v="9"/>
    <n v="4146.84"/>
    <n v="0"/>
    <n v="0"/>
    <n v="4146.84"/>
    <s v="Credit Card"/>
    <s v="CUST_00512"/>
    <n v="5"/>
    <n v="0"/>
    <n v="460.76"/>
    <s v="No Discount"/>
  </r>
  <r>
    <s v="TXN_00364"/>
    <d v="2024-08-22T00:00:00"/>
    <x v="8"/>
    <s v="Thursday"/>
    <s v="STORE_037"/>
    <x v="2"/>
    <x v="3"/>
    <x v="5"/>
    <n v="950.22"/>
    <n v="9"/>
    <n v="8551.98"/>
    <n v="20"/>
    <n v="1710.4"/>
    <n v="6841.58"/>
    <s v="Wallet"/>
    <s v="CUST_00535"/>
    <n v="4"/>
    <n v="1710.3999999999996"/>
    <n v="760.17555555555555"/>
    <s v="High"/>
  </r>
  <r>
    <s v="TXN_00365"/>
    <d v="2024-06-10T00:00:00"/>
    <x v="10"/>
    <s v="Monday"/>
    <s v="STORE_027"/>
    <x v="1"/>
    <x v="3"/>
    <x v="22"/>
    <n v="1494.96"/>
    <n v="4"/>
    <n v="5979.84"/>
    <n v="0"/>
    <n v="0"/>
    <n v="5979.84"/>
    <s v="Cash"/>
    <s v="CUST_00881"/>
    <n v="4"/>
    <n v="0"/>
    <n v="1494.96"/>
    <s v="No Discount"/>
  </r>
  <r>
    <s v="TXN_00366"/>
    <d v="2024-02-07T00:00:00"/>
    <x v="1"/>
    <s v="Wednesday"/>
    <s v="STORE_017"/>
    <x v="4"/>
    <x v="7"/>
    <x v="38"/>
    <n v="1315.16"/>
    <n v="5"/>
    <n v="6575.8"/>
    <n v="20"/>
    <n v="1315.16"/>
    <n v="5260.64"/>
    <s v="Cash"/>
    <s v="CUST_00242"/>
    <n v="2"/>
    <n v="1315.1599999999999"/>
    <n v="1052.1280000000002"/>
    <s v="High"/>
  </r>
  <r>
    <s v="TXN_00367"/>
    <d v="2024-01-05T00:00:00"/>
    <x v="2"/>
    <s v="Friday"/>
    <s v="STORE_030"/>
    <x v="3"/>
    <x v="0"/>
    <x v="0"/>
    <n v="290.85000000000002"/>
    <n v="4"/>
    <n v="1163.4000000000001"/>
    <n v="0"/>
    <n v="0"/>
    <n v="1163.4000000000001"/>
    <s v="Debit Card"/>
    <s v="CUST_00574"/>
    <n v="3"/>
    <n v="0"/>
    <n v="290.85000000000002"/>
    <s v="No Discount"/>
  </r>
  <r>
    <s v="TXN_00368"/>
    <d v="2024-08-22T00:00:00"/>
    <x v="8"/>
    <s v="Thursday"/>
    <s v="STORE_009"/>
    <x v="2"/>
    <x v="0"/>
    <x v="4"/>
    <n v="717.54"/>
    <n v="1"/>
    <n v="717.54"/>
    <n v="0"/>
    <n v="0"/>
    <n v="717.54"/>
    <s v="Debit Card"/>
    <s v="CUST_00265"/>
    <n v="3"/>
    <n v="0"/>
    <n v="717.54"/>
    <s v="No Discount"/>
  </r>
  <r>
    <s v="TXN_00369"/>
    <d v="2024-11-14T00:00:00"/>
    <x v="0"/>
    <s v="Thursday"/>
    <s v="STORE_004"/>
    <x v="2"/>
    <x v="2"/>
    <x v="7"/>
    <n v="223.19"/>
    <n v="1"/>
    <n v="223.19"/>
    <n v="15"/>
    <n v="33.479999999999997"/>
    <n v="189.71"/>
    <s v="UPI"/>
    <s v="CUST_00322"/>
    <n v="1"/>
    <n v="33.47999999999999"/>
    <n v="189.71"/>
    <s v="Medium"/>
  </r>
  <r>
    <s v="TXN_00370"/>
    <d v="2024-10-15T00:00:00"/>
    <x v="7"/>
    <s v="Tuesday"/>
    <s v="STORE_047"/>
    <x v="0"/>
    <x v="2"/>
    <x v="2"/>
    <n v="730.4"/>
    <n v="7"/>
    <n v="5112.8"/>
    <n v="0"/>
    <n v="0"/>
    <n v="5112.8"/>
    <s v="Credit Card"/>
    <s v="CUST_00242"/>
    <n v="4"/>
    <n v="0"/>
    <n v="730.4"/>
    <s v="No Discount"/>
  </r>
  <r>
    <s v="TXN_00371"/>
    <d v="2024-02-21T00:00:00"/>
    <x v="1"/>
    <s v="Wednesday"/>
    <s v="STORE_017"/>
    <x v="3"/>
    <x v="7"/>
    <x v="23"/>
    <n v="1181.3800000000001"/>
    <n v="2"/>
    <n v="2362.7600000000002"/>
    <n v="10"/>
    <n v="236.28"/>
    <n v="2126.48"/>
    <s v="Wallet"/>
    <s v="CUST_00906"/>
    <n v="5"/>
    <n v="236.2800000000002"/>
    <n v="1063.24"/>
    <s v="Medium"/>
  </r>
  <r>
    <s v="TXN_00372"/>
    <d v="2024-02-07T00:00:00"/>
    <x v="1"/>
    <s v="Wednesday"/>
    <s v="STORE_048"/>
    <x v="0"/>
    <x v="7"/>
    <x v="38"/>
    <n v="1019.79"/>
    <n v="6"/>
    <n v="6118.74"/>
    <n v="0"/>
    <n v="0"/>
    <n v="6118.74"/>
    <s v="Wallet"/>
    <s v="CUST_00958"/>
    <n v="4"/>
    <n v="0"/>
    <n v="1019.79"/>
    <s v="No Discount"/>
  </r>
  <r>
    <s v="TXN_00373"/>
    <d v="2024-10-02T00:00:00"/>
    <x v="7"/>
    <s v="Wednesday"/>
    <s v="STORE_027"/>
    <x v="1"/>
    <x v="0"/>
    <x v="0"/>
    <n v="315.42"/>
    <n v="3"/>
    <n v="946.26"/>
    <n v="0"/>
    <n v="0"/>
    <n v="946.26"/>
    <s v="Cash"/>
    <s v="CUST_00884"/>
    <n v="4"/>
    <n v="0"/>
    <n v="315.42"/>
    <s v="No Discount"/>
  </r>
  <r>
    <s v="TXN_00374"/>
    <d v="2024-04-19T00:00:00"/>
    <x v="4"/>
    <s v="Friday"/>
    <s v="STORE_031"/>
    <x v="0"/>
    <x v="6"/>
    <x v="33"/>
    <n v="1300.2"/>
    <n v="2"/>
    <n v="2600.4"/>
    <n v="0"/>
    <n v="0"/>
    <n v="2600.4"/>
    <s v="Wallet"/>
    <s v="CUST_00987"/>
    <n v="4"/>
    <n v="0"/>
    <n v="1300.2"/>
    <s v="No Discount"/>
  </r>
  <r>
    <s v="TXN_00375"/>
    <d v="2024-09-16T00:00:00"/>
    <x v="9"/>
    <s v="Monday"/>
    <s v="STORE_042"/>
    <x v="4"/>
    <x v="2"/>
    <x v="29"/>
    <n v="354.1"/>
    <n v="6"/>
    <n v="2124.6"/>
    <n v="20"/>
    <n v="424.92"/>
    <n v="1699.68"/>
    <s v="Cash"/>
    <s v="CUST_00036"/>
    <n v="1"/>
    <n v="424.91999999999985"/>
    <n v="283.28000000000003"/>
    <s v="High"/>
  </r>
  <r>
    <s v="TXN_00376"/>
    <d v="2024-05-15T00:00:00"/>
    <x v="3"/>
    <s v="Wednesday"/>
    <s v="STORE_035"/>
    <x v="0"/>
    <x v="6"/>
    <x v="14"/>
    <n v="879.47"/>
    <n v="7"/>
    <n v="6156.29"/>
    <n v="0"/>
    <n v="0"/>
    <n v="6156.29"/>
    <s v="Cash"/>
    <s v="CUST_00879"/>
    <n v="1"/>
    <n v="0"/>
    <n v="879.47"/>
    <s v="No Discount"/>
  </r>
  <r>
    <s v="TXN_00377"/>
    <d v="2024-03-08T00:00:00"/>
    <x v="5"/>
    <s v="Friday"/>
    <s v="STORE_049"/>
    <x v="0"/>
    <x v="1"/>
    <x v="1"/>
    <n v="53.54"/>
    <n v="7"/>
    <n v="374.78"/>
    <n v="0"/>
    <n v="0"/>
    <n v="374.78"/>
    <s v="Cash"/>
    <s v="CUST_00305"/>
    <n v="1"/>
    <n v="0"/>
    <n v="53.54"/>
    <s v="No Discount"/>
  </r>
  <r>
    <s v="TXN_00378"/>
    <d v="2024-06-27T00:00:00"/>
    <x v="10"/>
    <s v="Thursday"/>
    <s v="STORE_018"/>
    <x v="2"/>
    <x v="3"/>
    <x v="12"/>
    <n v="2764.49"/>
    <n v="6"/>
    <n v="16586.939999999999"/>
    <n v="20"/>
    <n v="3317.39"/>
    <n v="13269.55"/>
    <s v="UPI"/>
    <s v="CUST_00843"/>
    <n v="1"/>
    <n v="3317.3899999999994"/>
    <n v="2211.5916666666667"/>
    <s v="High"/>
  </r>
  <r>
    <s v="TXN_00379"/>
    <d v="2024-02-05T00:00:00"/>
    <x v="1"/>
    <s v="Monday"/>
    <s v="STORE_011"/>
    <x v="1"/>
    <x v="1"/>
    <x v="1"/>
    <n v="381.62"/>
    <n v="6"/>
    <n v="2289.7199999999998"/>
    <n v="15"/>
    <n v="343.46"/>
    <n v="1946.26"/>
    <s v="UPI"/>
    <s v="CUST_00519"/>
    <n v="1"/>
    <n v="343.45999999999981"/>
    <n v="324.37666666666667"/>
    <s v="Medium"/>
  </r>
  <r>
    <s v="TXN_00380"/>
    <d v="2024-05-05T00:00:00"/>
    <x v="3"/>
    <s v="Sunday"/>
    <s v="STORE_045"/>
    <x v="2"/>
    <x v="7"/>
    <x v="24"/>
    <n v="805.04"/>
    <n v="9"/>
    <n v="7245.36"/>
    <n v="15"/>
    <n v="1086.8"/>
    <n v="6158.56"/>
    <s v="Cash"/>
    <s v="CUST_00781"/>
    <n v="4"/>
    <n v="1086.7999999999993"/>
    <n v="684.28444444444449"/>
    <s v="Medium"/>
  </r>
  <r>
    <s v="TXN_00381"/>
    <d v="2024-07-08T00:00:00"/>
    <x v="11"/>
    <s v="Monday"/>
    <s v="STORE_041"/>
    <x v="1"/>
    <x v="6"/>
    <x v="14"/>
    <n v="1445.23"/>
    <n v="3"/>
    <n v="4335.6899999999996"/>
    <n v="0"/>
    <n v="0"/>
    <n v="4335.6899999999996"/>
    <s v="UPI"/>
    <s v="CUST_00322"/>
    <n v="2"/>
    <n v="0"/>
    <n v="1445.2299999999998"/>
    <s v="No Discount"/>
  </r>
  <r>
    <s v="TXN_00382"/>
    <d v="2024-05-25T00:00:00"/>
    <x v="3"/>
    <s v="Saturday"/>
    <s v="STORE_044"/>
    <x v="3"/>
    <x v="7"/>
    <x v="28"/>
    <n v="489.39"/>
    <n v="9"/>
    <n v="4404.51"/>
    <n v="15"/>
    <n v="660.68"/>
    <n v="3743.83"/>
    <s v="Debit Card"/>
    <s v="CUST_00812"/>
    <n v="5"/>
    <n v="660.68000000000029"/>
    <n v="415.98111111111109"/>
    <s v="Medium"/>
  </r>
  <r>
    <s v="TXN_00383"/>
    <d v="2024-03-21T00:00:00"/>
    <x v="5"/>
    <s v="Thursday"/>
    <s v="STORE_021"/>
    <x v="1"/>
    <x v="4"/>
    <x v="19"/>
    <n v="365.26"/>
    <n v="3"/>
    <n v="1095.78"/>
    <n v="0"/>
    <n v="0"/>
    <n v="1095.78"/>
    <s v="Debit Card"/>
    <s v="CUST_00204"/>
    <n v="5"/>
    <n v="0"/>
    <n v="365.26"/>
    <s v="No Discount"/>
  </r>
  <r>
    <s v="TXN_00384"/>
    <d v="2024-08-12T00:00:00"/>
    <x v="8"/>
    <s v="Monday"/>
    <s v="STORE_002"/>
    <x v="2"/>
    <x v="7"/>
    <x v="37"/>
    <n v="741.12"/>
    <n v="7"/>
    <n v="5187.84"/>
    <n v="5"/>
    <n v="259.39"/>
    <n v="4928.45"/>
    <s v="Wallet"/>
    <s v="CUST_00946"/>
    <n v="2"/>
    <n v="259.39000000000033"/>
    <n v="704.06428571428569"/>
    <s v="Low"/>
  </r>
  <r>
    <s v="TXN_00385"/>
    <d v="2024-10-05T00:00:00"/>
    <x v="7"/>
    <s v="Saturday"/>
    <s v="STORE_026"/>
    <x v="4"/>
    <x v="3"/>
    <x v="21"/>
    <n v="2927.56"/>
    <n v="4"/>
    <n v="11710.24"/>
    <n v="0"/>
    <n v="0"/>
    <n v="11710.24"/>
    <s v="Debit Card"/>
    <s v="CUST_00440"/>
    <n v="1"/>
    <n v="0"/>
    <n v="2927.56"/>
    <s v="No Discount"/>
  </r>
  <r>
    <s v="TXN_00386"/>
    <d v="2024-12-26T00:00:00"/>
    <x v="6"/>
    <s v="Thursday"/>
    <s v="STORE_001"/>
    <x v="4"/>
    <x v="2"/>
    <x v="29"/>
    <n v="162.34"/>
    <n v="6"/>
    <n v="974.04"/>
    <n v="0"/>
    <n v="0"/>
    <n v="974.04"/>
    <s v="Wallet"/>
    <s v="CUST_00446"/>
    <n v="1"/>
    <n v="0"/>
    <n v="162.34"/>
    <s v="No Discount"/>
  </r>
  <r>
    <s v="TXN_00387"/>
    <d v="2024-06-03T00:00:00"/>
    <x v="10"/>
    <s v="Monday"/>
    <s v="STORE_048"/>
    <x v="3"/>
    <x v="1"/>
    <x v="1"/>
    <n v="103.33"/>
    <n v="4"/>
    <n v="413.32"/>
    <n v="0"/>
    <n v="0"/>
    <n v="413.32"/>
    <s v="Cash"/>
    <s v="CUST_00392"/>
    <n v="3"/>
    <n v="0"/>
    <n v="103.33"/>
    <s v="No Discount"/>
  </r>
  <r>
    <s v="TXN_00388"/>
    <d v="2024-11-09T00:00:00"/>
    <x v="0"/>
    <s v="Saturday"/>
    <s v="STORE_027"/>
    <x v="0"/>
    <x v="5"/>
    <x v="9"/>
    <n v="4425.3500000000004"/>
    <n v="10"/>
    <n v="44253.5"/>
    <n v="0"/>
    <n v="0"/>
    <n v="44253.5"/>
    <s v="Cash"/>
    <s v="CUST_00419"/>
    <n v="2"/>
    <n v="0"/>
    <n v="4425.3500000000004"/>
    <s v="No Discount"/>
  </r>
  <r>
    <s v="TXN_00389"/>
    <d v="2024-11-30T00:00:00"/>
    <x v="0"/>
    <s v="Saturday"/>
    <s v="STORE_016"/>
    <x v="1"/>
    <x v="5"/>
    <x v="34"/>
    <n v="2160.77"/>
    <n v="5"/>
    <n v="10803.85"/>
    <n v="0"/>
    <n v="0"/>
    <n v="10803.85"/>
    <s v="Wallet"/>
    <s v="CUST_00597"/>
    <n v="4"/>
    <n v="0"/>
    <n v="2160.77"/>
    <s v="No Discount"/>
  </r>
  <r>
    <s v="TXN_00390"/>
    <d v="2024-09-27T00:00:00"/>
    <x v="9"/>
    <s v="Friday"/>
    <s v="STORE_044"/>
    <x v="0"/>
    <x v="1"/>
    <x v="36"/>
    <n v="54.64"/>
    <n v="3"/>
    <n v="163.92"/>
    <n v="20"/>
    <n v="32.78"/>
    <n v="131.13999999999999"/>
    <s v="Cash"/>
    <s v="CUST_00731"/>
    <n v="4"/>
    <n v="32.78"/>
    <n v="43.713333333333331"/>
    <s v="High"/>
  </r>
  <r>
    <s v="TXN_00391"/>
    <d v="2024-01-05T00:00:00"/>
    <x v="2"/>
    <s v="Friday"/>
    <s v="STORE_004"/>
    <x v="2"/>
    <x v="0"/>
    <x v="4"/>
    <n v="788.88"/>
    <n v="5"/>
    <n v="3944.4"/>
    <n v="0"/>
    <n v="0"/>
    <n v="3944.4"/>
    <s v="Credit Card"/>
    <s v="CUST_00341"/>
    <n v="5"/>
    <n v="0"/>
    <n v="788.88"/>
    <s v="No Discount"/>
  </r>
  <r>
    <s v="TXN_00392"/>
    <d v="2024-12-07T00:00:00"/>
    <x v="6"/>
    <s v="Saturday"/>
    <s v="STORE_001"/>
    <x v="1"/>
    <x v="3"/>
    <x v="5"/>
    <n v="2743.03"/>
    <n v="10"/>
    <n v="27430.3"/>
    <n v="15"/>
    <n v="4114.55"/>
    <n v="23315.75"/>
    <s v="Wallet"/>
    <s v="CUST_00517"/>
    <n v="1"/>
    <n v="4114.5499999999993"/>
    <n v="2331.5749999999998"/>
    <s v="Medium"/>
  </r>
  <r>
    <s v="TXN_00393"/>
    <d v="2024-10-10T00:00:00"/>
    <x v="7"/>
    <s v="Thursday"/>
    <s v="STORE_038"/>
    <x v="0"/>
    <x v="0"/>
    <x v="32"/>
    <n v="982.02"/>
    <n v="6"/>
    <n v="5892.12"/>
    <n v="0"/>
    <n v="0"/>
    <n v="5892.12"/>
    <s v="Wallet"/>
    <s v="CUST_00267"/>
    <n v="1"/>
    <n v="0"/>
    <n v="982.02"/>
    <s v="No Discount"/>
  </r>
  <r>
    <s v="TXN_00394"/>
    <d v="2024-06-02T00:00:00"/>
    <x v="10"/>
    <s v="Sunday"/>
    <s v="STORE_021"/>
    <x v="4"/>
    <x v="5"/>
    <x v="10"/>
    <n v="2971.36"/>
    <n v="6"/>
    <n v="17828.16"/>
    <n v="5"/>
    <n v="891.41"/>
    <n v="16936.75"/>
    <s v="Debit Card"/>
    <s v="CUST_00444"/>
    <n v="1"/>
    <n v="891.40999999999985"/>
    <n v="2822.7916666666665"/>
    <s v="Low"/>
  </r>
  <r>
    <s v="TXN_00395"/>
    <d v="2024-12-05T00:00:00"/>
    <x v="6"/>
    <s v="Thursday"/>
    <s v="STORE_048"/>
    <x v="1"/>
    <x v="5"/>
    <x v="25"/>
    <n v="1467.37"/>
    <n v="1"/>
    <n v="1467.37"/>
    <n v="0"/>
    <n v="0"/>
    <n v="1467.37"/>
    <s v="UPI"/>
    <s v="CUST_00949"/>
    <n v="3"/>
    <n v="0"/>
    <n v="1467.37"/>
    <s v="No Discount"/>
  </r>
  <r>
    <s v="TXN_00396"/>
    <d v="2024-02-23T00:00:00"/>
    <x v="1"/>
    <s v="Friday"/>
    <s v="STORE_021"/>
    <x v="3"/>
    <x v="0"/>
    <x v="32"/>
    <n v="922.23"/>
    <n v="5"/>
    <n v="4611.1499999999996"/>
    <n v="10"/>
    <n v="461.12"/>
    <n v="4150.03"/>
    <s v="Cash"/>
    <s v="CUST_00915"/>
    <n v="5"/>
    <n v="461.11999999999989"/>
    <n v="830.00599999999997"/>
    <s v="Medium"/>
  </r>
  <r>
    <s v="TXN_00397"/>
    <d v="2024-03-09T00:00:00"/>
    <x v="5"/>
    <s v="Saturday"/>
    <s v="STORE_043"/>
    <x v="3"/>
    <x v="5"/>
    <x v="25"/>
    <n v="3947.48"/>
    <n v="8"/>
    <n v="31579.84"/>
    <n v="20"/>
    <n v="6315.97"/>
    <n v="25263.87"/>
    <s v="Debit Card"/>
    <s v="CUST_00055"/>
    <n v="5"/>
    <n v="6315.9700000000012"/>
    <n v="3157.9837499999999"/>
    <s v="High"/>
  </r>
  <r>
    <s v="TXN_00398"/>
    <d v="2024-05-15T00:00:00"/>
    <x v="3"/>
    <s v="Wednesday"/>
    <s v="STORE_011"/>
    <x v="3"/>
    <x v="3"/>
    <x v="12"/>
    <n v="352.79"/>
    <n v="3"/>
    <n v="1058.3699999999999"/>
    <n v="0"/>
    <n v="0"/>
    <n v="1058.3699999999999"/>
    <s v="UPI"/>
    <s v="CUST_00447"/>
    <n v="3"/>
    <n v="0"/>
    <n v="352.78999999999996"/>
    <s v="No Discount"/>
  </r>
  <r>
    <s v="TXN_00399"/>
    <d v="2024-02-29T00:00:00"/>
    <x v="1"/>
    <s v="Thursday"/>
    <s v="STORE_030"/>
    <x v="3"/>
    <x v="7"/>
    <x v="37"/>
    <n v="348.95"/>
    <n v="6"/>
    <n v="2093.6999999999998"/>
    <n v="15"/>
    <n v="314.05"/>
    <n v="1779.65"/>
    <s v="Wallet"/>
    <s v="CUST_00116"/>
    <n v="4"/>
    <n v="314.04999999999973"/>
    <n v="296.60833333333335"/>
    <s v="Medium"/>
  </r>
  <r>
    <s v="TXN_00400"/>
    <d v="2024-02-24T00:00:00"/>
    <x v="1"/>
    <s v="Saturday"/>
    <s v="STORE_011"/>
    <x v="4"/>
    <x v="5"/>
    <x v="34"/>
    <n v="2398.42"/>
    <n v="4"/>
    <n v="9593.68"/>
    <n v="20"/>
    <n v="1918.74"/>
    <n v="7674.94"/>
    <s v="Cash"/>
    <s v="CUST_00843"/>
    <n v="2"/>
    <n v="1918.7400000000007"/>
    <n v="1918.7349999999999"/>
    <s v="High"/>
  </r>
  <r>
    <s v="TXN_00401"/>
    <d v="2024-10-10T00:00:00"/>
    <x v="7"/>
    <s v="Thursday"/>
    <s v="STORE_034"/>
    <x v="4"/>
    <x v="2"/>
    <x v="7"/>
    <n v="723.63"/>
    <n v="10"/>
    <n v="7236.3"/>
    <n v="0"/>
    <n v="0"/>
    <n v="7236.3"/>
    <s v="Wallet"/>
    <s v="CUST_00185"/>
    <n v="1"/>
    <n v="0"/>
    <n v="723.63"/>
    <s v="No Discount"/>
  </r>
  <r>
    <s v="TXN_00402"/>
    <d v="2024-03-20T00:00:00"/>
    <x v="5"/>
    <s v="Wednesday"/>
    <s v="STORE_002"/>
    <x v="1"/>
    <x v="0"/>
    <x v="18"/>
    <n v="396.93"/>
    <n v="8"/>
    <n v="3175.44"/>
    <n v="15"/>
    <n v="476.32"/>
    <n v="2699.12"/>
    <s v="Credit Card"/>
    <s v="CUST_00698"/>
    <n v="3"/>
    <n v="476.32000000000016"/>
    <n v="337.39"/>
    <s v="Medium"/>
  </r>
  <r>
    <s v="TXN_00403"/>
    <d v="2024-05-19T00:00:00"/>
    <x v="3"/>
    <s v="Sunday"/>
    <s v="STORE_002"/>
    <x v="2"/>
    <x v="7"/>
    <x v="37"/>
    <n v="748.27"/>
    <n v="2"/>
    <n v="1496.54"/>
    <n v="20"/>
    <n v="299.31"/>
    <n v="1197.23"/>
    <s v="Cash"/>
    <s v="CUST_00472"/>
    <n v="2"/>
    <n v="299.30999999999995"/>
    <n v="598.61500000000001"/>
    <s v="High"/>
  </r>
  <r>
    <s v="TXN_00404"/>
    <d v="2024-05-24T00:00:00"/>
    <x v="3"/>
    <s v="Friday"/>
    <s v="STORE_003"/>
    <x v="4"/>
    <x v="1"/>
    <x v="1"/>
    <n v="332.76"/>
    <n v="5"/>
    <n v="1663.8"/>
    <n v="10"/>
    <n v="166.38"/>
    <n v="1497.42"/>
    <s v="Credit Card"/>
    <s v="CUST_00974"/>
    <n v="3"/>
    <n v="166.37999999999988"/>
    <n v="299.48400000000004"/>
    <s v="Medium"/>
  </r>
  <r>
    <s v="TXN_00405"/>
    <d v="2024-11-05T00:00:00"/>
    <x v="0"/>
    <s v="Tuesday"/>
    <s v="STORE_042"/>
    <x v="1"/>
    <x v="1"/>
    <x v="6"/>
    <n v="476.34"/>
    <n v="10"/>
    <n v="4763.3999999999996"/>
    <n v="0"/>
    <n v="0"/>
    <n v="4763.3999999999996"/>
    <s v="Debit Card"/>
    <s v="CUST_00331"/>
    <n v="1"/>
    <n v="0"/>
    <n v="476.34"/>
    <s v="No Discount"/>
  </r>
  <r>
    <s v="TXN_00406"/>
    <d v="2024-04-17T00:00:00"/>
    <x v="4"/>
    <s v="Wednesday"/>
    <s v="STORE_017"/>
    <x v="0"/>
    <x v="6"/>
    <x v="30"/>
    <n v="1320.73"/>
    <n v="10"/>
    <n v="13207.3"/>
    <n v="5"/>
    <n v="660.37"/>
    <n v="12546.93"/>
    <s v="Credit Card"/>
    <s v="CUST_00246"/>
    <n v="4"/>
    <n v="660.36999999999898"/>
    <n v="1254.693"/>
    <s v="Low"/>
  </r>
  <r>
    <s v="TXN_00407"/>
    <d v="2024-06-24T00:00:00"/>
    <x v="10"/>
    <s v="Monday"/>
    <s v="STORE_019"/>
    <x v="0"/>
    <x v="0"/>
    <x v="18"/>
    <n v="216.41"/>
    <n v="4"/>
    <n v="865.64"/>
    <n v="0"/>
    <n v="0"/>
    <n v="865.64"/>
    <s v="UPI"/>
    <s v="CUST_00124"/>
    <n v="4"/>
    <n v="0"/>
    <n v="216.41"/>
    <s v="No Discount"/>
  </r>
  <r>
    <s v="TXN_00408"/>
    <d v="2024-04-14T00:00:00"/>
    <x v="4"/>
    <s v="Sunday"/>
    <s v="STORE_023"/>
    <x v="2"/>
    <x v="2"/>
    <x v="13"/>
    <n v="660.77"/>
    <n v="5"/>
    <n v="3303.85"/>
    <n v="15"/>
    <n v="495.58"/>
    <n v="2808.27"/>
    <s v="Wallet"/>
    <s v="CUST_00853"/>
    <n v="2"/>
    <n v="495.57999999999993"/>
    <n v="561.654"/>
    <s v="Medium"/>
  </r>
  <r>
    <s v="TXN_00409"/>
    <d v="2024-12-17T00:00:00"/>
    <x v="6"/>
    <s v="Tuesday"/>
    <s v="STORE_037"/>
    <x v="4"/>
    <x v="4"/>
    <x v="17"/>
    <n v="239.94"/>
    <n v="8"/>
    <n v="1919.52"/>
    <n v="5"/>
    <n v="95.98"/>
    <n v="1823.54"/>
    <s v="UPI"/>
    <s v="CUST_00434"/>
    <n v="3"/>
    <n v="95.980000000000018"/>
    <n v="227.9425"/>
    <s v="Low"/>
  </r>
  <r>
    <s v="TXN_00410"/>
    <d v="2024-11-20T00:00:00"/>
    <x v="0"/>
    <s v="Wednesday"/>
    <s v="STORE_006"/>
    <x v="2"/>
    <x v="7"/>
    <x v="37"/>
    <n v="1273.19"/>
    <n v="10"/>
    <n v="12731.9"/>
    <n v="0"/>
    <n v="0"/>
    <n v="12731.9"/>
    <s v="UPI"/>
    <s v="CUST_00526"/>
    <n v="4"/>
    <n v="0"/>
    <n v="1273.19"/>
    <s v="No Discount"/>
  </r>
  <r>
    <s v="TXN_00411"/>
    <d v="2024-05-15T00:00:00"/>
    <x v="3"/>
    <s v="Wednesday"/>
    <s v="STORE_006"/>
    <x v="1"/>
    <x v="4"/>
    <x v="19"/>
    <n v="454.4"/>
    <n v="3"/>
    <n v="1363.2"/>
    <n v="5"/>
    <n v="68.16"/>
    <n v="1295.04"/>
    <s v="Wallet"/>
    <s v="CUST_00480"/>
    <n v="5"/>
    <n v="68.160000000000082"/>
    <n v="431.68"/>
    <s v="Low"/>
  </r>
  <r>
    <s v="TXN_00412"/>
    <d v="2024-09-15T00:00:00"/>
    <x v="9"/>
    <s v="Sunday"/>
    <s v="STORE_044"/>
    <x v="1"/>
    <x v="0"/>
    <x v="18"/>
    <n v="925.77"/>
    <n v="8"/>
    <n v="7406.16"/>
    <n v="0"/>
    <n v="0"/>
    <n v="7406.16"/>
    <s v="Debit Card"/>
    <s v="CUST_00862"/>
    <n v="2"/>
    <n v="0"/>
    <n v="925.77"/>
    <s v="No Discount"/>
  </r>
  <r>
    <s v="TXN_00413"/>
    <d v="2024-09-07T00:00:00"/>
    <x v="9"/>
    <s v="Saturday"/>
    <s v="STORE_003"/>
    <x v="4"/>
    <x v="3"/>
    <x v="16"/>
    <n v="1397.65"/>
    <n v="10"/>
    <n v="13976.5"/>
    <n v="0"/>
    <n v="0"/>
    <n v="13976.5"/>
    <s v="Wallet"/>
    <s v="CUST_00111"/>
    <n v="1"/>
    <n v="0"/>
    <n v="1397.65"/>
    <s v="No Discount"/>
  </r>
  <r>
    <s v="TXN_00414"/>
    <d v="2024-05-08T00:00:00"/>
    <x v="3"/>
    <s v="Wednesday"/>
    <s v="STORE_017"/>
    <x v="4"/>
    <x v="0"/>
    <x v="4"/>
    <n v="275.58999999999997"/>
    <n v="10"/>
    <n v="2755.9"/>
    <n v="20"/>
    <n v="551.17999999999995"/>
    <n v="2204.7199999999998"/>
    <s v="Cash"/>
    <s v="CUST_00084"/>
    <n v="3"/>
    <n v="551.18000000000029"/>
    <n v="220.47199999999998"/>
    <s v="High"/>
  </r>
  <r>
    <s v="TXN_00415"/>
    <d v="2024-01-27T00:00:00"/>
    <x v="2"/>
    <s v="Saturday"/>
    <s v="STORE_003"/>
    <x v="2"/>
    <x v="6"/>
    <x v="30"/>
    <n v="1610.77"/>
    <n v="8"/>
    <n v="12886.16"/>
    <n v="0"/>
    <n v="0"/>
    <n v="12886.16"/>
    <s v="Debit Card"/>
    <s v="CUST_00427"/>
    <n v="4"/>
    <n v="0"/>
    <n v="1610.77"/>
    <s v="No Discount"/>
  </r>
  <r>
    <s v="TXN_00416"/>
    <d v="2024-02-17T00:00:00"/>
    <x v="1"/>
    <s v="Saturday"/>
    <s v="STORE_017"/>
    <x v="1"/>
    <x v="2"/>
    <x v="39"/>
    <n v="511.05"/>
    <n v="8"/>
    <n v="4088.4"/>
    <n v="20"/>
    <n v="817.68"/>
    <n v="3270.72"/>
    <s v="UPI"/>
    <s v="CUST_00990"/>
    <n v="5"/>
    <n v="817.68000000000029"/>
    <n v="408.84"/>
    <s v="High"/>
  </r>
  <r>
    <s v="TXN_00417"/>
    <d v="2024-11-20T00:00:00"/>
    <x v="0"/>
    <s v="Wednesday"/>
    <s v="STORE_035"/>
    <x v="2"/>
    <x v="5"/>
    <x v="11"/>
    <n v="1740.35"/>
    <n v="10"/>
    <n v="17403.5"/>
    <n v="0"/>
    <n v="0"/>
    <n v="17403.5"/>
    <s v="Credit Card"/>
    <s v="CUST_00006"/>
    <n v="4"/>
    <n v="0"/>
    <n v="1740.35"/>
    <s v="No Discount"/>
  </r>
  <r>
    <s v="TXN_00418"/>
    <d v="2024-08-04T00:00:00"/>
    <x v="8"/>
    <s v="Sunday"/>
    <s v="STORE_047"/>
    <x v="3"/>
    <x v="0"/>
    <x v="18"/>
    <n v="210.64"/>
    <n v="8"/>
    <n v="1685.12"/>
    <n v="5"/>
    <n v="84.26"/>
    <n v="1600.86"/>
    <s v="UPI"/>
    <s v="CUST_00311"/>
    <n v="5"/>
    <n v="84.259999999999991"/>
    <n v="200.10749999999999"/>
    <s v="Low"/>
  </r>
  <r>
    <s v="TXN_00419"/>
    <d v="2024-05-21T00:00:00"/>
    <x v="3"/>
    <s v="Tuesday"/>
    <s v="STORE_013"/>
    <x v="2"/>
    <x v="4"/>
    <x v="19"/>
    <n v="512.09"/>
    <n v="2"/>
    <n v="1024.18"/>
    <n v="0"/>
    <n v="0"/>
    <n v="1024.18"/>
    <s v="Debit Card"/>
    <s v="CUST_00836"/>
    <n v="1"/>
    <n v="0"/>
    <n v="512.09"/>
    <s v="No Discount"/>
  </r>
  <r>
    <s v="TXN_00420"/>
    <d v="2024-01-23T00:00:00"/>
    <x v="2"/>
    <s v="Tuesday"/>
    <s v="STORE_028"/>
    <x v="4"/>
    <x v="6"/>
    <x v="14"/>
    <n v="1788.52"/>
    <n v="4"/>
    <n v="7154.08"/>
    <n v="5"/>
    <n v="357.7"/>
    <n v="6796.38"/>
    <s v="Debit Card"/>
    <s v="CUST_00196"/>
    <n v="2"/>
    <n v="357.69999999999982"/>
    <n v="1699.095"/>
    <s v="Low"/>
  </r>
  <r>
    <s v="TXN_00421"/>
    <d v="2024-01-02T00:00:00"/>
    <x v="2"/>
    <s v="Tuesday"/>
    <s v="STORE_008"/>
    <x v="0"/>
    <x v="7"/>
    <x v="24"/>
    <n v="1223.67"/>
    <n v="3"/>
    <n v="3671.01"/>
    <n v="5"/>
    <n v="183.55"/>
    <n v="3487.46"/>
    <s v="UPI"/>
    <s v="CUST_00925"/>
    <n v="1"/>
    <n v="183.55000000000018"/>
    <n v="1162.4866666666667"/>
    <s v="Low"/>
  </r>
  <r>
    <s v="TXN_00422"/>
    <d v="2024-06-19T00:00:00"/>
    <x v="10"/>
    <s v="Wednesday"/>
    <s v="STORE_016"/>
    <x v="0"/>
    <x v="5"/>
    <x v="9"/>
    <n v="4855.47"/>
    <n v="8"/>
    <n v="38843.760000000002"/>
    <n v="0"/>
    <n v="0"/>
    <n v="38843.760000000002"/>
    <s v="UPI"/>
    <s v="CUST_00302"/>
    <n v="5"/>
    <n v="0"/>
    <n v="4855.47"/>
    <s v="No Discount"/>
  </r>
  <r>
    <s v="TXN_00423"/>
    <d v="2024-03-07T00:00:00"/>
    <x v="5"/>
    <s v="Thursday"/>
    <s v="STORE_032"/>
    <x v="4"/>
    <x v="0"/>
    <x v="18"/>
    <n v="467.08"/>
    <n v="2"/>
    <n v="934.16"/>
    <n v="15"/>
    <n v="140.12"/>
    <n v="794.04"/>
    <s v="UPI"/>
    <s v="CUST_00611"/>
    <n v="4"/>
    <n v="140.12"/>
    <n v="397.02"/>
    <s v="Medium"/>
  </r>
  <r>
    <s v="TXN_00424"/>
    <d v="2024-11-22T00:00:00"/>
    <x v="0"/>
    <s v="Friday"/>
    <s v="STORE_044"/>
    <x v="3"/>
    <x v="2"/>
    <x v="2"/>
    <n v="441.25"/>
    <n v="8"/>
    <n v="3530"/>
    <n v="10"/>
    <n v="353"/>
    <n v="3177"/>
    <s v="Wallet"/>
    <s v="CUST_00238"/>
    <n v="5"/>
    <n v="353"/>
    <n v="397.125"/>
    <s v="Medium"/>
  </r>
  <r>
    <s v="TXN_00425"/>
    <d v="2024-05-14T00:00:00"/>
    <x v="3"/>
    <s v="Tuesday"/>
    <s v="STORE_018"/>
    <x v="3"/>
    <x v="6"/>
    <x v="26"/>
    <n v="528.53"/>
    <n v="10"/>
    <n v="5285.3"/>
    <n v="0"/>
    <n v="0"/>
    <n v="5285.3"/>
    <s v="Wallet"/>
    <s v="CUST_00911"/>
    <n v="1"/>
    <n v="0"/>
    <n v="528.53"/>
    <s v="No Discount"/>
  </r>
  <r>
    <s v="TXN_00426"/>
    <d v="2024-03-23T00:00:00"/>
    <x v="5"/>
    <s v="Saturday"/>
    <s v="STORE_011"/>
    <x v="1"/>
    <x v="1"/>
    <x v="36"/>
    <n v="272.64999999999998"/>
    <n v="6"/>
    <n v="1635.9"/>
    <n v="5"/>
    <n v="81.8"/>
    <n v="1554.1"/>
    <s v="UPI"/>
    <s v="CUST_00744"/>
    <n v="1"/>
    <n v="81.800000000000182"/>
    <n v="259.01666666666665"/>
    <s v="Low"/>
  </r>
  <r>
    <s v="TXN_00427"/>
    <d v="2024-08-14T00:00:00"/>
    <x v="8"/>
    <s v="Wednesday"/>
    <s v="STORE_044"/>
    <x v="1"/>
    <x v="3"/>
    <x v="5"/>
    <n v="1162.77"/>
    <n v="4"/>
    <n v="4651.08"/>
    <n v="10"/>
    <n v="465.11"/>
    <n v="4185.97"/>
    <s v="Debit Card"/>
    <s v="CUST_00944"/>
    <n v="5"/>
    <n v="465.10999999999967"/>
    <n v="1046.4925000000001"/>
    <s v="Medium"/>
  </r>
  <r>
    <s v="TXN_00428"/>
    <d v="2024-10-09T00:00:00"/>
    <x v="7"/>
    <s v="Wednesday"/>
    <s v="STORE_011"/>
    <x v="4"/>
    <x v="1"/>
    <x v="31"/>
    <n v="447.43"/>
    <n v="7"/>
    <n v="3132.01"/>
    <n v="5"/>
    <n v="156.6"/>
    <n v="2975.41"/>
    <s v="Cash"/>
    <s v="CUST_00213"/>
    <n v="4"/>
    <n v="156.60000000000036"/>
    <n v="425.05857142857138"/>
    <s v="Low"/>
  </r>
  <r>
    <s v="TXN_00429"/>
    <d v="2024-12-27T00:00:00"/>
    <x v="6"/>
    <s v="Friday"/>
    <s v="STORE_039"/>
    <x v="3"/>
    <x v="2"/>
    <x v="2"/>
    <n v="566.94000000000005"/>
    <n v="3"/>
    <n v="1700.82"/>
    <n v="0"/>
    <n v="0"/>
    <n v="1700.82"/>
    <s v="Debit Card"/>
    <s v="CUST_00104"/>
    <n v="2"/>
    <n v="0"/>
    <n v="566.93999999999994"/>
    <s v="No Discount"/>
  </r>
  <r>
    <s v="TXN_00430"/>
    <d v="2024-08-06T00:00:00"/>
    <x v="8"/>
    <s v="Tuesday"/>
    <s v="STORE_023"/>
    <x v="1"/>
    <x v="0"/>
    <x v="4"/>
    <n v="442.92"/>
    <n v="4"/>
    <n v="1771.68"/>
    <n v="10"/>
    <n v="177.17"/>
    <n v="1594.51"/>
    <s v="Credit Card"/>
    <s v="CUST_00366"/>
    <n v="1"/>
    <n v="177.17000000000007"/>
    <n v="398.6275"/>
    <s v="Medium"/>
  </r>
  <r>
    <s v="TXN_00431"/>
    <d v="2024-10-14T00:00:00"/>
    <x v="7"/>
    <s v="Monday"/>
    <s v="STORE_028"/>
    <x v="2"/>
    <x v="5"/>
    <x v="11"/>
    <n v="4311.79"/>
    <n v="9"/>
    <n v="38806.11"/>
    <n v="0"/>
    <n v="0"/>
    <n v="38806.11"/>
    <s v="Credit Card"/>
    <s v="CUST_00633"/>
    <n v="3"/>
    <n v="0"/>
    <n v="4311.79"/>
    <s v="No Discount"/>
  </r>
  <r>
    <s v="TXN_00432"/>
    <d v="2024-01-05T00:00:00"/>
    <x v="2"/>
    <s v="Friday"/>
    <s v="STORE_050"/>
    <x v="2"/>
    <x v="3"/>
    <x v="21"/>
    <n v="1773.55"/>
    <n v="8"/>
    <n v="14188.4"/>
    <n v="0"/>
    <n v="0"/>
    <n v="14188.4"/>
    <s v="Cash"/>
    <s v="CUST_00789"/>
    <n v="3"/>
    <n v="0"/>
    <n v="1773.55"/>
    <s v="No Discount"/>
  </r>
  <r>
    <s v="TXN_00433"/>
    <d v="2024-02-27T00:00:00"/>
    <x v="1"/>
    <s v="Tuesday"/>
    <s v="STORE_029"/>
    <x v="3"/>
    <x v="2"/>
    <x v="29"/>
    <n v="697.39"/>
    <n v="9"/>
    <n v="6276.51"/>
    <n v="10"/>
    <n v="627.65"/>
    <n v="5648.86"/>
    <s v="Credit Card"/>
    <s v="CUST_00986"/>
    <n v="1"/>
    <n v="627.65000000000055"/>
    <n v="627.65111111111105"/>
    <s v="Medium"/>
  </r>
  <r>
    <s v="TXN_00434"/>
    <d v="2024-02-08T00:00:00"/>
    <x v="1"/>
    <s v="Thursday"/>
    <s v="STORE_003"/>
    <x v="4"/>
    <x v="7"/>
    <x v="28"/>
    <n v="1237.98"/>
    <n v="10"/>
    <n v="12379.8"/>
    <n v="20"/>
    <n v="2475.96"/>
    <n v="9903.84"/>
    <s v="Credit Card"/>
    <s v="CUST_00108"/>
    <n v="5"/>
    <n v="2475.9599999999991"/>
    <n v="990.38400000000001"/>
    <s v="High"/>
  </r>
  <r>
    <s v="TXN_00435"/>
    <d v="2024-12-19T00:00:00"/>
    <x v="6"/>
    <s v="Thursday"/>
    <s v="STORE_049"/>
    <x v="4"/>
    <x v="5"/>
    <x v="34"/>
    <n v="4483.4799999999996"/>
    <n v="6"/>
    <n v="26900.880000000001"/>
    <n v="0"/>
    <n v="0"/>
    <n v="26900.880000000001"/>
    <s v="Cash"/>
    <s v="CUST_00511"/>
    <n v="4"/>
    <n v="0"/>
    <n v="4483.4800000000005"/>
    <s v="No Discount"/>
  </r>
  <r>
    <s v="TXN_00436"/>
    <d v="2024-03-17T00:00:00"/>
    <x v="5"/>
    <s v="Sunday"/>
    <s v="STORE_013"/>
    <x v="3"/>
    <x v="7"/>
    <x v="38"/>
    <n v="1076.51"/>
    <n v="6"/>
    <n v="6459.06"/>
    <n v="20"/>
    <n v="1291.81"/>
    <n v="5167.25"/>
    <s v="Debit Card"/>
    <s v="CUST_00993"/>
    <n v="1"/>
    <n v="1291.8100000000004"/>
    <n v="861.20833333333337"/>
    <s v="High"/>
  </r>
  <r>
    <s v="TXN_00437"/>
    <d v="2024-10-06T00:00:00"/>
    <x v="7"/>
    <s v="Sunday"/>
    <s v="STORE_011"/>
    <x v="2"/>
    <x v="0"/>
    <x v="18"/>
    <n v="396.25"/>
    <n v="8"/>
    <n v="3170"/>
    <n v="0"/>
    <n v="0"/>
    <n v="3170"/>
    <s v="Cash"/>
    <s v="CUST_00273"/>
    <n v="5"/>
    <n v="0"/>
    <n v="396.25"/>
    <s v="No Discount"/>
  </r>
  <r>
    <s v="TXN_00438"/>
    <d v="2024-01-19T00:00:00"/>
    <x v="2"/>
    <s v="Friday"/>
    <s v="STORE_015"/>
    <x v="0"/>
    <x v="4"/>
    <x v="19"/>
    <n v="312.29000000000002"/>
    <n v="4"/>
    <n v="1249.1600000000001"/>
    <n v="0"/>
    <n v="0"/>
    <n v="1249.1600000000001"/>
    <s v="Wallet"/>
    <s v="CUST_00822"/>
    <n v="4"/>
    <n v="0"/>
    <n v="312.29000000000002"/>
    <s v="No Discount"/>
  </r>
  <r>
    <s v="TXN_00439"/>
    <d v="2024-07-08T00:00:00"/>
    <x v="11"/>
    <s v="Monday"/>
    <s v="STORE_002"/>
    <x v="3"/>
    <x v="0"/>
    <x v="4"/>
    <n v="934.42"/>
    <n v="8"/>
    <n v="7475.36"/>
    <n v="20"/>
    <n v="1495.07"/>
    <n v="5980.29"/>
    <s v="Wallet"/>
    <s v="CUST_00150"/>
    <n v="3"/>
    <n v="1495.0699999999997"/>
    <n v="747.53625"/>
    <s v="High"/>
  </r>
  <r>
    <s v="TXN_00440"/>
    <d v="2024-10-25T00:00:00"/>
    <x v="7"/>
    <s v="Friday"/>
    <s v="STORE_050"/>
    <x v="0"/>
    <x v="6"/>
    <x v="26"/>
    <n v="1915.46"/>
    <n v="2"/>
    <n v="3830.92"/>
    <n v="0"/>
    <n v="0"/>
    <n v="3830.92"/>
    <s v="Cash"/>
    <s v="CUST_00445"/>
    <n v="4"/>
    <n v="0"/>
    <n v="1915.46"/>
    <s v="No Discount"/>
  </r>
  <r>
    <s v="TXN_00441"/>
    <d v="2024-10-09T00:00:00"/>
    <x v="7"/>
    <s v="Wednesday"/>
    <s v="STORE_019"/>
    <x v="3"/>
    <x v="6"/>
    <x v="33"/>
    <n v="1638.79"/>
    <n v="3"/>
    <n v="4916.37"/>
    <n v="10"/>
    <n v="491.64"/>
    <n v="4424.7299999999996"/>
    <s v="Credit Card"/>
    <s v="CUST_00412"/>
    <n v="5"/>
    <n v="491.64000000000033"/>
    <n v="1474.9099999999999"/>
    <s v="Medium"/>
  </r>
  <r>
    <s v="TXN_00442"/>
    <d v="2024-03-16T00:00:00"/>
    <x v="5"/>
    <s v="Saturday"/>
    <s v="STORE_040"/>
    <x v="0"/>
    <x v="2"/>
    <x v="39"/>
    <n v="736.46"/>
    <n v="1"/>
    <n v="736.46"/>
    <n v="20"/>
    <n v="147.29"/>
    <n v="589.16999999999996"/>
    <s v="Cash"/>
    <s v="CUST_00718"/>
    <n v="5"/>
    <n v="147.29000000000008"/>
    <n v="589.16999999999996"/>
    <s v="High"/>
  </r>
  <r>
    <s v="TXN_00443"/>
    <d v="2024-08-08T00:00:00"/>
    <x v="8"/>
    <s v="Thursday"/>
    <s v="STORE_045"/>
    <x v="1"/>
    <x v="0"/>
    <x v="4"/>
    <n v="715.1"/>
    <n v="9"/>
    <n v="6435.9"/>
    <n v="10"/>
    <n v="643.59"/>
    <n v="5792.31"/>
    <s v="Wallet"/>
    <s v="CUST_00909"/>
    <n v="4"/>
    <n v="643.58999999999924"/>
    <n v="643.59"/>
    <s v="Medium"/>
  </r>
  <r>
    <s v="TXN_00444"/>
    <d v="2024-03-06T00:00:00"/>
    <x v="5"/>
    <s v="Wednesday"/>
    <s v="STORE_025"/>
    <x v="0"/>
    <x v="0"/>
    <x v="0"/>
    <n v="904.78"/>
    <n v="2"/>
    <n v="1809.56"/>
    <n v="0"/>
    <n v="0"/>
    <n v="1809.56"/>
    <s v="Wallet"/>
    <s v="CUST_00533"/>
    <n v="3"/>
    <n v="0"/>
    <n v="904.78"/>
    <s v="No Discount"/>
  </r>
  <r>
    <s v="TXN_00445"/>
    <d v="2024-01-22T00:00:00"/>
    <x v="2"/>
    <s v="Monday"/>
    <s v="STORE_049"/>
    <x v="0"/>
    <x v="2"/>
    <x v="29"/>
    <n v="164.97"/>
    <n v="9"/>
    <n v="1484.73"/>
    <n v="0"/>
    <n v="0"/>
    <n v="1484.73"/>
    <s v="Wallet"/>
    <s v="CUST_00024"/>
    <n v="3"/>
    <n v="0"/>
    <n v="164.97"/>
    <s v="No Discount"/>
  </r>
  <r>
    <s v="TXN_00446"/>
    <d v="2024-06-06T00:00:00"/>
    <x v="10"/>
    <s v="Thursday"/>
    <s v="STORE_033"/>
    <x v="2"/>
    <x v="6"/>
    <x v="26"/>
    <n v="1388.76"/>
    <n v="4"/>
    <n v="5555.04"/>
    <n v="20"/>
    <n v="1111.01"/>
    <n v="4444.03"/>
    <s v="Cash"/>
    <s v="CUST_00750"/>
    <n v="4"/>
    <n v="1111.0100000000002"/>
    <n v="1111.0074999999999"/>
    <s v="High"/>
  </r>
  <r>
    <s v="TXN_00447"/>
    <d v="2024-07-05T00:00:00"/>
    <x v="11"/>
    <s v="Friday"/>
    <s v="STORE_049"/>
    <x v="2"/>
    <x v="6"/>
    <x v="15"/>
    <n v="889.63"/>
    <n v="9"/>
    <n v="8006.67"/>
    <n v="0"/>
    <n v="0"/>
    <n v="8006.67"/>
    <s v="Credit Card"/>
    <s v="CUST_00460"/>
    <n v="1"/>
    <n v="0"/>
    <n v="889.63"/>
    <s v="No Discount"/>
  </r>
  <r>
    <s v="TXN_00448"/>
    <d v="2024-01-21T00:00:00"/>
    <x v="2"/>
    <s v="Sunday"/>
    <s v="STORE_037"/>
    <x v="4"/>
    <x v="2"/>
    <x v="7"/>
    <n v="615.79999999999995"/>
    <n v="8"/>
    <n v="4926.3999999999996"/>
    <n v="0"/>
    <n v="0"/>
    <n v="4926.3999999999996"/>
    <s v="Debit Card"/>
    <s v="CUST_00865"/>
    <n v="5"/>
    <n v="0"/>
    <n v="615.79999999999995"/>
    <s v="No Discount"/>
  </r>
  <r>
    <s v="TXN_00449"/>
    <d v="2024-07-02T00:00:00"/>
    <x v="11"/>
    <s v="Tuesday"/>
    <s v="STORE_034"/>
    <x v="0"/>
    <x v="3"/>
    <x v="22"/>
    <n v="1037.76"/>
    <n v="10"/>
    <n v="10377.6"/>
    <n v="15"/>
    <n v="1556.64"/>
    <n v="8820.9599999999991"/>
    <s v="Debit Card"/>
    <s v="CUST_00108"/>
    <n v="4"/>
    <n v="1556.6400000000012"/>
    <n v="882.09599999999989"/>
    <s v="Medium"/>
  </r>
  <r>
    <s v="TXN_00450"/>
    <d v="2024-04-17T00:00:00"/>
    <x v="4"/>
    <s v="Wednesday"/>
    <s v="STORE_046"/>
    <x v="3"/>
    <x v="4"/>
    <x v="17"/>
    <n v="412.07"/>
    <n v="6"/>
    <n v="2472.42"/>
    <n v="5"/>
    <n v="123.62"/>
    <n v="2348.8000000000002"/>
    <s v="Credit Card"/>
    <s v="CUST_00849"/>
    <n v="2"/>
    <n v="123.61999999999989"/>
    <n v="391.4666666666667"/>
    <s v="Low"/>
  </r>
  <r>
    <s v="TXN_00451"/>
    <d v="2024-12-15T00:00:00"/>
    <x v="6"/>
    <s v="Sunday"/>
    <s v="STORE_029"/>
    <x v="2"/>
    <x v="0"/>
    <x v="18"/>
    <n v="273.8"/>
    <n v="7"/>
    <n v="1916.6"/>
    <n v="0"/>
    <n v="0"/>
    <n v="1916.6"/>
    <s v="UPI"/>
    <s v="CUST_00379"/>
    <n v="2"/>
    <n v="0"/>
    <n v="273.8"/>
    <s v="No Discount"/>
  </r>
  <r>
    <s v="TXN_00452"/>
    <d v="2024-05-07T00:00:00"/>
    <x v="3"/>
    <s v="Tuesday"/>
    <s v="STORE_032"/>
    <x v="3"/>
    <x v="0"/>
    <x v="27"/>
    <n v="647.16999999999996"/>
    <n v="7"/>
    <n v="4530.1899999999996"/>
    <n v="20"/>
    <n v="906.04"/>
    <n v="3624.15"/>
    <s v="Cash"/>
    <s v="CUST_00451"/>
    <n v="5"/>
    <n v="906.03999999999951"/>
    <n v="517.73571428571427"/>
    <s v="High"/>
  </r>
  <r>
    <s v="TXN_00453"/>
    <d v="2024-12-07T00:00:00"/>
    <x v="6"/>
    <s v="Saturday"/>
    <s v="STORE_046"/>
    <x v="3"/>
    <x v="1"/>
    <x v="1"/>
    <n v="420.72"/>
    <n v="3"/>
    <n v="1262.1600000000001"/>
    <n v="10"/>
    <n v="126.22"/>
    <n v="1135.94"/>
    <s v="Debit Card"/>
    <s v="CUST_00133"/>
    <n v="4"/>
    <n v="126.22000000000003"/>
    <n v="378.6466666666667"/>
    <s v="Medium"/>
  </r>
  <r>
    <s v="TXN_00454"/>
    <d v="2024-02-22T00:00:00"/>
    <x v="1"/>
    <s v="Thursday"/>
    <s v="STORE_024"/>
    <x v="2"/>
    <x v="7"/>
    <x v="38"/>
    <n v="846.52"/>
    <n v="1"/>
    <n v="846.52"/>
    <n v="15"/>
    <n v="126.98"/>
    <n v="719.54"/>
    <s v="Debit Card"/>
    <s v="CUST_00617"/>
    <n v="5"/>
    <n v="126.98000000000002"/>
    <n v="719.54"/>
    <s v="Medium"/>
  </r>
  <r>
    <s v="TXN_00455"/>
    <d v="2024-06-30T00:00:00"/>
    <x v="10"/>
    <s v="Sunday"/>
    <s v="STORE_010"/>
    <x v="2"/>
    <x v="0"/>
    <x v="18"/>
    <n v="296.69"/>
    <n v="10"/>
    <n v="2966.9"/>
    <n v="0"/>
    <n v="0"/>
    <n v="2966.9"/>
    <s v="Credit Card"/>
    <s v="CUST_00381"/>
    <n v="5"/>
    <n v="0"/>
    <n v="296.69"/>
    <s v="No Discount"/>
  </r>
  <r>
    <s v="TXN_00456"/>
    <d v="2024-10-13T00:00:00"/>
    <x v="7"/>
    <s v="Sunday"/>
    <s v="STORE_038"/>
    <x v="3"/>
    <x v="2"/>
    <x v="39"/>
    <n v="312.27999999999997"/>
    <n v="8"/>
    <n v="2498.2399999999998"/>
    <n v="0"/>
    <n v="0"/>
    <n v="2498.2399999999998"/>
    <s v="Debit Card"/>
    <s v="CUST_00050"/>
    <n v="2"/>
    <n v="0"/>
    <n v="312.27999999999997"/>
    <s v="No Discount"/>
  </r>
  <r>
    <s v="TXN_00457"/>
    <d v="2024-07-27T00:00:00"/>
    <x v="11"/>
    <s v="Saturday"/>
    <s v="STORE_023"/>
    <x v="2"/>
    <x v="2"/>
    <x v="39"/>
    <n v="250.91"/>
    <n v="8"/>
    <n v="2007.28"/>
    <n v="0"/>
    <n v="0"/>
    <n v="2007.28"/>
    <s v="Credit Card"/>
    <s v="CUST_00892"/>
    <n v="5"/>
    <n v="0"/>
    <n v="250.91"/>
    <s v="No Discount"/>
  </r>
  <r>
    <s v="TXN_00458"/>
    <d v="2024-11-13T00:00:00"/>
    <x v="0"/>
    <s v="Wednesday"/>
    <s v="STORE_025"/>
    <x v="3"/>
    <x v="6"/>
    <x v="33"/>
    <n v="1221.76"/>
    <n v="5"/>
    <n v="6108.8"/>
    <n v="10"/>
    <n v="610.88"/>
    <n v="5497.92"/>
    <s v="UPI"/>
    <s v="CUST_00855"/>
    <n v="3"/>
    <n v="610.88000000000011"/>
    <n v="1099.5840000000001"/>
    <s v="Medium"/>
  </r>
  <r>
    <s v="TXN_00459"/>
    <d v="2024-03-20T00:00:00"/>
    <x v="5"/>
    <s v="Wednesday"/>
    <s v="STORE_010"/>
    <x v="1"/>
    <x v="5"/>
    <x v="11"/>
    <n v="3019.06"/>
    <n v="8"/>
    <n v="24152.48"/>
    <n v="20"/>
    <n v="4830.5"/>
    <n v="19321.98"/>
    <s v="UPI"/>
    <s v="CUST_00092"/>
    <n v="4"/>
    <n v="4830.5"/>
    <n v="2415.2474999999999"/>
    <s v="High"/>
  </r>
  <r>
    <s v="TXN_00460"/>
    <d v="2024-05-01T00:00:00"/>
    <x v="3"/>
    <s v="Wednesday"/>
    <s v="STORE_043"/>
    <x v="3"/>
    <x v="0"/>
    <x v="4"/>
    <n v="386.26"/>
    <n v="7"/>
    <n v="2703.82"/>
    <n v="0"/>
    <n v="0"/>
    <n v="2703.82"/>
    <s v="Wallet"/>
    <s v="CUST_00754"/>
    <n v="1"/>
    <n v="0"/>
    <n v="386.26000000000005"/>
    <s v="No Discount"/>
  </r>
  <r>
    <s v="TXN_00461"/>
    <d v="2024-03-24T00:00:00"/>
    <x v="5"/>
    <s v="Sunday"/>
    <s v="STORE_042"/>
    <x v="2"/>
    <x v="2"/>
    <x v="2"/>
    <n v="706.17"/>
    <n v="1"/>
    <n v="706.17"/>
    <n v="10"/>
    <n v="70.62"/>
    <n v="635.54999999999995"/>
    <s v="Cash"/>
    <s v="CUST_00660"/>
    <n v="5"/>
    <n v="70.62"/>
    <n v="635.54999999999995"/>
    <s v="Medium"/>
  </r>
  <r>
    <s v="TXN_00462"/>
    <d v="2024-03-31T00:00:00"/>
    <x v="5"/>
    <s v="Sunday"/>
    <s v="STORE_034"/>
    <x v="0"/>
    <x v="7"/>
    <x v="38"/>
    <n v="1446.2"/>
    <n v="9"/>
    <n v="13015.8"/>
    <n v="10"/>
    <n v="1301.58"/>
    <n v="11714.22"/>
    <s v="Credit Card"/>
    <s v="CUST_00769"/>
    <n v="5"/>
    <n v="1301.58"/>
    <n v="1301.58"/>
    <s v="Medium"/>
  </r>
  <r>
    <s v="TXN_00463"/>
    <d v="2024-07-30T00:00:00"/>
    <x v="11"/>
    <s v="Tuesday"/>
    <s v="STORE_002"/>
    <x v="1"/>
    <x v="1"/>
    <x v="3"/>
    <n v="453.59"/>
    <n v="2"/>
    <n v="907.18"/>
    <n v="15"/>
    <n v="136.08000000000001"/>
    <n v="771.1"/>
    <s v="Wallet"/>
    <s v="CUST_00806"/>
    <n v="2"/>
    <n v="136.07999999999993"/>
    <n v="385.55"/>
    <s v="Medium"/>
  </r>
  <r>
    <s v="TXN_00464"/>
    <d v="2024-01-13T00:00:00"/>
    <x v="2"/>
    <s v="Saturday"/>
    <s v="STORE_039"/>
    <x v="1"/>
    <x v="3"/>
    <x v="12"/>
    <n v="2523.13"/>
    <n v="10"/>
    <n v="25231.3"/>
    <n v="5"/>
    <n v="1261.57"/>
    <n v="23969.73"/>
    <s v="Credit Card"/>
    <s v="CUST_00412"/>
    <n v="5"/>
    <n v="1261.5699999999997"/>
    <n v="2396.973"/>
    <s v="Low"/>
  </r>
  <r>
    <s v="TXN_00465"/>
    <d v="2024-04-01T00:00:00"/>
    <x v="4"/>
    <s v="Monday"/>
    <s v="STORE_027"/>
    <x v="2"/>
    <x v="6"/>
    <x v="33"/>
    <n v="1792.96"/>
    <n v="1"/>
    <n v="1792.96"/>
    <n v="0"/>
    <n v="0"/>
    <n v="1792.96"/>
    <s v="UPI"/>
    <s v="CUST_00881"/>
    <n v="2"/>
    <n v="0"/>
    <n v="1792.96"/>
    <s v="No Discount"/>
  </r>
  <r>
    <s v="TXN_00466"/>
    <d v="2024-06-19T00:00:00"/>
    <x v="10"/>
    <s v="Wednesday"/>
    <s v="STORE_019"/>
    <x v="0"/>
    <x v="4"/>
    <x v="19"/>
    <n v="265.73"/>
    <n v="2"/>
    <n v="531.46"/>
    <n v="0"/>
    <n v="0"/>
    <n v="531.46"/>
    <s v="Wallet"/>
    <s v="CUST_00188"/>
    <n v="2"/>
    <n v="0"/>
    <n v="265.73"/>
    <s v="No Discount"/>
  </r>
  <r>
    <s v="TXN_00467"/>
    <d v="2024-07-29T00:00:00"/>
    <x v="11"/>
    <s v="Monday"/>
    <s v="STORE_040"/>
    <x v="1"/>
    <x v="2"/>
    <x v="2"/>
    <n v="207.96"/>
    <n v="7"/>
    <n v="1455.72"/>
    <n v="15"/>
    <n v="218.36"/>
    <n v="1237.3599999999999"/>
    <s v="Debit Card"/>
    <s v="CUST_00186"/>
    <n v="1"/>
    <n v="218.36000000000013"/>
    <n v="176.76571428571427"/>
    <s v="Medium"/>
  </r>
  <r>
    <s v="TXN_00468"/>
    <d v="2024-12-08T00:00:00"/>
    <x v="6"/>
    <s v="Sunday"/>
    <s v="STORE_021"/>
    <x v="1"/>
    <x v="6"/>
    <x v="30"/>
    <n v="947.04"/>
    <n v="2"/>
    <n v="1894.08"/>
    <n v="0"/>
    <n v="0"/>
    <n v="1894.08"/>
    <s v="Debit Card"/>
    <s v="CUST_00385"/>
    <n v="4"/>
    <n v="0"/>
    <n v="947.04"/>
    <s v="No Discount"/>
  </r>
  <r>
    <s v="TXN_00469"/>
    <d v="2024-05-07T00:00:00"/>
    <x v="3"/>
    <s v="Tuesday"/>
    <s v="STORE_033"/>
    <x v="4"/>
    <x v="7"/>
    <x v="28"/>
    <n v="543.07000000000005"/>
    <n v="10"/>
    <n v="5430.7"/>
    <n v="10"/>
    <n v="543.07000000000005"/>
    <n v="4887.63"/>
    <s v="Debit Card"/>
    <s v="CUST_00395"/>
    <n v="4"/>
    <n v="543.06999999999971"/>
    <n v="488.76300000000003"/>
    <s v="Medium"/>
  </r>
  <r>
    <s v="TXN_00470"/>
    <d v="2024-05-16T00:00:00"/>
    <x v="3"/>
    <s v="Thursday"/>
    <s v="STORE_031"/>
    <x v="2"/>
    <x v="7"/>
    <x v="24"/>
    <n v="372.76"/>
    <n v="8"/>
    <n v="2982.08"/>
    <n v="10"/>
    <n v="298.20999999999998"/>
    <n v="2683.87"/>
    <s v="UPI"/>
    <s v="CUST_00418"/>
    <n v="1"/>
    <n v="298.21000000000004"/>
    <n v="335.48374999999999"/>
    <s v="Medium"/>
  </r>
  <r>
    <s v="TXN_00471"/>
    <d v="2024-03-22T00:00:00"/>
    <x v="5"/>
    <s v="Friday"/>
    <s v="STORE_049"/>
    <x v="4"/>
    <x v="3"/>
    <x v="21"/>
    <n v="953.65"/>
    <n v="10"/>
    <n v="9536.5"/>
    <n v="15"/>
    <n v="1430.47"/>
    <n v="8106.03"/>
    <s v="Credit Card"/>
    <s v="CUST_00668"/>
    <n v="2"/>
    <n v="1430.4700000000003"/>
    <n v="810.60299999999995"/>
    <s v="Medium"/>
  </r>
  <r>
    <s v="TXN_00472"/>
    <d v="2024-12-25T00:00:00"/>
    <x v="6"/>
    <s v="Wednesday"/>
    <s v="STORE_010"/>
    <x v="1"/>
    <x v="5"/>
    <x v="25"/>
    <n v="3272.98"/>
    <n v="8"/>
    <n v="26183.84"/>
    <n v="0"/>
    <n v="0"/>
    <n v="26183.84"/>
    <s v="Wallet"/>
    <s v="CUST_00554"/>
    <n v="2"/>
    <n v="0"/>
    <n v="3272.98"/>
    <s v="No Discount"/>
  </r>
  <r>
    <s v="TXN_00473"/>
    <d v="2024-02-25T00:00:00"/>
    <x v="1"/>
    <s v="Sunday"/>
    <s v="STORE_001"/>
    <x v="3"/>
    <x v="5"/>
    <x v="11"/>
    <n v="3150.14"/>
    <n v="7"/>
    <n v="22050.98"/>
    <n v="10"/>
    <n v="2205.1"/>
    <n v="19845.88"/>
    <s v="UPI"/>
    <s v="CUST_00985"/>
    <n v="1"/>
    <n v="2205.0999999999985"/>
    <n v="2835.1257142857144"/>
    <s v="Medium"/>
  </r>
  <r>
    <s v="TXN_00474"/>
    <d v="2024-07-14T00:00:00"/>
    <x v="11"/>
    <s v="Sunday"/>
    <s v="STORE_044"/>
    <x v="3"/>
    <x v="2"/>
    <x v="29"/>
    <n v="100.38"/>
    <n v="8"/>
    <n v="803.04"/>
    <n v="0"/>
    <n v="0"/>
    <n v="803.04"/>
    <s v="Wallet"/>
    <s v="CUST_00360"/>
    <n v="3"/>
    <n v="0"/>
    <n v="100.38"/>
    <s v="No Discount"/>
  </r>
  <r>
    <s v="TXN_00475"/>
    <d v="2024-01-20T00:00:00"/>
    <x v="2"/>
    <s v="Saturday"/>
    <s v="STORE_037"/>
    <x v="2"/>
    <x v="3"/>
    <x v="16"/>
    <n v="2553.92"/>
    <n v="5"/>
    <n v="12769.6"/>
    <n v="0"/>
    <n v="0"/>
    <n v="12769.6"/>
    <s v="Debit Card"/>
    <s v="CUST_00308"/>
    <n v="5"/>
    <n v="0"/>
    <n v="2553.92"/>
    <s v="No Discount"/>
  </r>
  <r>
    <s v="TXN_00476"/>
    <d v="2024-08-28T00:00:00"/>
    <x v="8"/>
    <s v="Wednesday"/>
    <s v="STORE_028"/>
    <x v="0"/>
    <x v="7"/>
    <x v="37"/>
    <n v="1138.1199999999999"/>
    <n v="3"/>
    <n v="3414.36"/>
    <n v="15"/>
    <n v="512.15"/>
    <n v="2902.21"/>
    <s v="Wallet"/>
    <s v="CUST_00626"/>
    <n v="3"/>
    <n v="512.15000000000009"/>
    <n v="967.40333333333331"/>
    <s v="Medium"/>
  </r>
  <r>
    <s v="TXN_00477"/>
    <d v="2024-04-23T00:00:00"/>
    <x v="4"/>
    <s v="Tuesday"/>
    <s v="STORE_022"/>
    <x v="0"/>
    <x v="4"/>
    <x v="35"/>
    <n v="435.83"/>
    <n v="8"/>
    <n v="3486.64"/>
    <n v="0"/>
    <n v="0"/>
    <n v="3486.64"/>
    <s v="Debit Card"/>
    <s v="CUST_00471"/>
    <n v="3"/>
    <n v="0"/>
    <n v="435.83"/>
    <s v="No Discount"/>
  </r>
  <r>
    <s v="TXN_00478"/>
    <d v="2024-04-12T00:00:00"/>
    <x v="4"/>
    <s v="Friday"/>
    <s v="STORE_031"/>
    <x v="2"/>
    <x v="4"/>
    <x v="8"/>
    <n v="561.30999999999995"/>
    <n v="3"/>
    <n v="1683.93"/>
    <n v="15"/>
    <n v="252.59"/>
    <n v="1431.34"/>
    <s v="Credit Card"/>
    <s v="CUST_00924"/>
    <n v="5"/>
    <n v="252.59000000000015"/>
    <n v="477.11333333333329"/>
    <s v="Medium"/>
  </r>
  <r>
    <s v="TXN_00479"/>
    <d v="2024-08-23T00:00:00"/>
    <x v="8"/>
    <s v="Friday"/>
    <s v="STORE_006"/>
    <x v="2"/>
    <x v="6"/>
    <x v="14"/>
    <n v="1119.74"/>
    <n v="8"/>
    <n v="8957.92"/>
    <n v="20"/>
    <n v="1791.58"/>
    <n v="7166.34"/>
    <s v="UPI"/>
    <s v="CUST_00552"/>
    <n v="5"/>
    <n v="1791.58"/>
    <n v="895.79250000000002"/>
    <s v="High"/>
  </r>
  <r>
    <s v="TXN_00480"/>
    <d v="2024-06-28T00:00:00"/>
    <x v="10"/>
    <s v="Friday"/>
    <s v="STORE_023"/>
    <x v="3"/>
    <x v="6"/>
    <x v="33"/>
    <n v="1508.37"/>
    <n v="6"/>
    <n v="9050.2199999999993"/>
    <n v="20"/>
    <n v="1810.04"/>
    <n v="7240.18"/>
    <s v="UPI"/>
    <s v="CUST_00182"/>
    <n v="5"/>
    <n v="1810.0399999999991"/>
    <n v="1206.6966666666667"/>
    <s v="High"/>
  </r>
  <r>
    <s v="TXN_00481"/>
    <d v="2024-06-05T00:00:00"/>
    <x v="10"/>
    <s v="Wednesday"/>
    <s v="STORE_048"/>
    <x v="2"/>
    <x v="6"/>
    <x v="30"/>
    <n v="1194.04"/>
    <n v="4"/>
    <n v="4776.16"/>
    <n v="5"/>
    <n v="238.81"/>
    <n v="4537.3500000000004"/>
    <s v="Credit Card"/>
    <s v="CUST_00777"/>
    <n v="2"/>
    <n v="238.80999999999949"/>
    <n v="1134.3375000000001"/>
    <s v="Low"/>
  </r>
  <r>
    <s v="TXN_00482"/>
    <d v="2024-04-26T00:00:00"/>
    <x v="4"/>
    <s v="Friday"/>
    <s v="STORE_015"/>
    <x v="3"/>
    <x v="2"/>
    <x v="39"/>
    <n v="234.06"/>
    <n v="10"/>
    <n v="2340.6"/>
    <n v="15"/>
    <n v="351.09"/>
    <n v="1989.51"/>
    <s v="Cash"/>
    <s v="CUST_00991"/>
    <n v="2"/>
    <n v="351.08999999999992"/>
    <n v="198.95099999999999"/>
    <s v="Medium"/>
  </r>
  <r>
    <s v="TXN_00483"/>
    <d v="2024-04-24T00:00:00"/>
    <x v="4"/>
    <s v="Wednesday"/>
    <s v="STORE_041"/>
    <x v="3"/>
    <x v="4"/>
    <x v="8"/>
    <n v="276.33999999999997"/>
    <n v="10"/>
    <n v="2763.4"/>
    <n v="0"/>
    <n v="0"/>
    <n v="2763.4"/>
    <s v="Credit Card"/>
    <s v="CUST_00114"/>
    <n v="2"/>
    <n v="0"/>
    <n v="276.34000000000003"/>
    <s v="No Discount"/>
  </r>
  <r>
    <s v="TXN_00484"/>
    <d v="2024-01-13T00:00:00"/>
    <x v="2"/>
    <s v="Saturday"/>
    <s v="STORE_044"/>
    <x v="4"/>
    <x v="2"/>
    <x v="7"/>
    <n v="450.23"/>
    <n v="3"/>
    <n v="1350.69"/>
    <n v="10"/>
    <n v="135.07"/>
    <n v="1215.6199999999999"/>
    <s v="Debit Card"/>
    <s v="CUST_00579"/>
    <n v="5"/>
    <n v="135.07000000000016"/>
    <n v="405.20666666666665"/>
    <s v="Medium"/>
  </r>
  <r>
    <s v="TXN_00485"/>
    <d v="2024-12-03T00:00:00"/>
    <x v="6"/>
    <s v="Tuesday"/>
    <s v="STORE_015"/>
    <x v="4"/>
    <x v="5"/>
    <x v="34"/>
    <n v="3352.66"/>
    <n v="2"/>
    <n v="6705.32"/>
    <n v="0"/>
    <n v="0"/>
    <n v="6705.32"/>
    <s v="Cash"/>
    <s v="CUST_00747"/>
    <n v="5"/>
    <n v="0"/>
    <n v="3352.66"/>
    <s v="No Discount"/>
  </r>
  <r>
    <s v="TXN_00486"/>
    <d v="2024-04-08T00:00:00"/>
    <x v="4"/>
    <s v="Monday"/>
    <s v="STORE_017"/>
    <x v="4"/>
    <x v="2"/>
    <x v="29"/>
    <n v="693.37"/>
    <n v="1"/>
    <n v="693.37"/>
    <n v="15"/>
    <n v="104.01"/>
    <n v="589.36"/>
    <s v="Wallet"/>
    <s v="CUST_00905"/>
    <n v="5"/>
    <n v="104.00999999999999"/>
    <n v="589.36"/>
    <s v="Medium"/>
  </r>
  <r>
    <s v="TXN_00487"/>
    <d v="2024-07-23T00:00:00"/>
    <x v="11"/>
    <s v="Tuesday"/>
    <s v="STORE_027"/>
    <x v="1"/>
    <x v="1"/>
    <x v="36"/>
    <n v="472.05"/>
    <n v="1"/>
    <n v="472.05"/>
    <n v="20"/>
    <n v="94.41"/>
    <n v="377.64"/>
    <s v="Cash"/>
    <s v="CUST_00125"/>
    <n v="4"/>
    <n v="94.410000000000025"/>
    <n v="377.64"/>
    <s v="High"/>
  </r>
  <r>
    <s v="TXN_00488"/>
    <d v="2024-06-17T00:00:00"/>
    <x v="10"/>
    <s v="Monday"/>
    <s v="STORE_018"/>
    <x v="3"/>
    <x v="1"/>
    <x v="1"/>
    <n v="212.66"/>
    <n v="1"/>
    <n v="212.66"/>
    <n v="15"/>
    <n v="31.9"/>
    <n v="180.76"/>
    <s v="Debit Card"/>
    <s v="CUST_00546"/>
    <n v="1"/>
    <n v="31.900000000000006"/>
    <n v="180.76"/>
    <s v="Medium"/>
  </r>
  <r>
    <s v="TXN_00489"/>
    <d v="2024-05-22T00:00:00"/>
    <x v="3"/>
    <s v="Wednesday"/>
    <s v="STORE_002"/>
    <x v="0"/>
    <x v="1"/>
    <x v="6"/>
    <n v="52.32"/>
    <n v="4"/>
    <n v="209.28"/>
    <n v="0"/>
    <n v="0"/>
    <n v="209.28"/>
    <s v="Credit Card"/>
    <s v="CUST_00707"/>
    <n v="5"/>
    <n v="0"/>
    <n v="52.32"/>
    <s v="No Discount"/>
  </r>
  <r>
    <s v="TXN_00490"/>
    <d v="2024-02-05T00:00:00"/>
    <x v="1"/>
    <s v="Monday"/>
    <s v="STORE_005"/>
    <x v="2"/>
    <x v="0"/>
    <x v="18"/>
    <n v="933.6"/>
    <n v="4"/>
    <n v="3734.4"/>
    <n v="0"/>
    <n v="0"/>
    <n v="3734.4"/>
    <s v="Cash"/>
    <s v="CUST_00029"/>
    <n v="3"/>
    <n v="0"/>
    <n v="933.6"/>
    <s v="No Discount"/>
  </r>
  <r>
    <s v="TXN_00491"/>
    <d v="2024-05-22T00:00:00"/>
    <x v="3"/>
    <s v="Wednesday"/>
    <s v="STORE_016"/>
    <x v="2"/>
    <x v="1"/>
    <x v="1"/>
    <n v="413.63"/>
    <n v="10"/>
    <n v="4136.3"/>
    <n v="20"/>
    <n v="827.26"/>
    <n v="3309.04"/>
    <s v="Cash"/>
    <s v="CUST_00485"/>
    <n v="3"/>
    <n v="827.26000000000022"/>
    <n v="330.904"/>
    <s v="High"/>
  </r>
  <r>
    <s v="TXN_00492"/>
    <d v="2024-06-28T00:00:00"/>
    <x v="10"/>
    <s v="Friday"/>
    <s v="STORE_050"/>
    <x v="4"/>
    <x v="3"/>
    <x v="22"/>
    <n v="2531.0500000000002"/>
    <n v="6"/>
    <n v="15186.3"/>
    <n v="10"/>
    <n v="1518.63"/>
    <n v="13667.67"/>
    <s v="Debit Card"/>
    <s v="CUST_00635"/>
    <n v="1"/>
    <n v="1518.6299999999992"/>
    <n v="2277.9450000000002"/>
    <s v="Medium"/>
  </r>
  <r>
    <s v="TXN_00493"/>
    <d v="2024-11-24T00:00:00"/>
    <x v="0"/>
    <s v="Sunday"/>
    <s v="STORE_003"/>
    <x v="3"/>
    <x v="1"/>
    <x v="36"/>
    <n v="331.41"/>
    <n v="10"/>
    <n v="3314.1"/>
    <n v="0"/>
    <n v="0"/>
    <n v="3314.1"/>
    <s v="Credit Card"/>
    <s v="CUST_00321"/>
    <n v="1"/>
    <n v="0"/>
    <n v="331.40999999999997"/>
    <s v="No Discount"/>
  </r>
  <r>
    <s v="TXN_00494"/>
    <d v="2024-09-17T00:00:00"/>
    <x v="9"/>
    <s v="Tuesday"/>
    <s v="STORE_041"/>
    <x v="3"/>
    <x v="7"/>
    <x v="38"/>
    <n v="374.4"/>
    <n v="8"/>
    <n v="2995.2"/>
    <n v="0"/>
    <n v="0"/>
    <n v="2995.2"/>
    <s v="Cash"/>
    <s v="CUST_00068"/>
    <n v="5"/>
    <n v="0"/>
    <n v="374.4"/>
    <s v="No Discount"/>
  </r>
  <r>
    <s v="TXN_00495"/>
    <d v="2024-07-23T00:00:00"/>
    <x v="11"/>
    <s v="Tuesday"/>
    <s v="STORE_007"/>
    <x v="4"/>
    <x v="7"/>
    <x v="28"/>
    <n v="971.11"/>
    <n v="5"/>
    <n v="4855.55"/>
    <n v="20"/>
    <n v="971.11"/>
    <n v="3884.44"/>
    <s v="UPI"/>
    <s v="CUST_00771"/>
    <n v="4"/>
    <n v="971.11000000000013"/>
    <n v="776.88800000000003"/>
    <s v="High"/>
  </r>
  <r>
    <s v="TXN_00496"/>
    <d v="2024-12-13T00:00:00"/>
    <x v="6"/>
    <s v="Friday"/>
    <s v="STORE_030"/>
    <x v="3"/>
    <x v="0"/>
    <x v="0"/>
    <n v="891.67"/>
    <n v="10"/>
    <n v="8916.7000000000007"/>
    <n v="0"/>
    <n v="0"/>
    <n v="8916.7000000000007"/>
    <s v="UPI"/>
    <s v="CUST_00902"/>
    <n v="4"/>
    <n v="0"/>
    <n v="891.67000000000007"/>
    <s v="No Discount"/>
  </r>
  <r>
    <s v="TXN_00497"/>
    <d v="2024-10-01T00:00:00"/>
    <x v="7"/>
    <s v="Tuesday"/>
    <s v="STORE_038"/>
    <x v="0"/>
    <x v="7"/>
    <x v="24"/>
    <n v="1081.1099999999999"/>
    <n v="1"/>
    <n v="1081.1099999999999"/>
    <n v="5"/>
    <n v="54.06"/>
    <n v="1027.05"/>
    <s v="Wallet"/>
    <s v="CUST_00111"/>
    <n v="3"/>
    <n v="54.059999999999945"/>
    <n v="1027.05"/>
    <s v="Low"/>
  </r>
  <r>
    <s v="TXN_00498"/>
    <d v="2024-06-18T00:00:00"/>
    <x v="10"/>
    <s v="Tuesday"/>
    <s v="STORE_009"/>
    <x v="4"/>
    <x v="7"/>
    <x v="28"/>
    <n v="1014.21"/>
    <n v="2"/>
    <n v="2028.42"/>
    <n v="10"/>
    <n v="202.84"/>
    <n v="1825.58"/>
    <s v="Debit Card"/>
    <s v="CUST_00263"/>
    <n v="5"/>
    <n v="202.84000000000015"/>
    <n v="912.79"/>
    <s v="Medium"/>
  </r>
  <r>
    <s v="TXN_00499"/>
    <d v="2024-01-15T00:00:00"/>
    <x v="2"/>
    <s v="Monday"/>
    <s v="STORE_009"/>
    <x v="2"/>
    <x v="4"/>
    <x v="19"/>
    <n v="366.63"/>
    <n v="10"/>
    <n v="3666.3"/>
    <n v="5"/>
    <n v="183.32"/>
    <n v="3482.98"/>
    <s v="Debit Card"/>
    <s v="CUST_00062"/>
    <n v="2"/>
    <n v="183.32000000000016"/>
    <n v="348.298"/>
    <s v="Low"/>
  </r>
  <r>
    <s v="TXN_00500"/>
    <d v="2024-02-29T00:00:00"/>
    <x v="1"/>
    <s v="Thursday"/>
    <s v="STORE_038"/>
    <x v="4"/>
    <x v="5"/>
    <x v="25"/>
    <n v="3338.09"/>
    <n v="9"/>
    <n v="30042.81"/>
    <n v="15"/>
    <n v="4506.42"/>
    <n v="25536.39"/>
    <s v="Cash"/>
    <s v="CUST_00795"/>
    <n v="3"/>
    <n v="4506.4200000000019"/>
    <n v="2837.3766666666666"/>
    <s v="Medium"/>
  </r>
  <r>
    <s v="TXN_00501"/>
    <d v="2024-05-13T00:00:00"/>
    <x v="3"/>
    <s v="Monday"/>
    <s v="STORE_001"/>
    <x v="4"/>
    <x v="5"/>
    <x v="11"/>
    <n v="2878.1"/>
    <n v="10"/>
    <n v="28781"/>
    <n v="0"/>
    <n v="0"/>
    <n v="28781"/>
    <s v="Cash"/>
    <s v="CUST_00601"/>
    <n v="3"/>
    <n v="0"/>
    <n v="2878.1"/>
    <s v="No Discount"/>
  </r>
  <r>
    <s v="TXN_00502"/>
    <d v="2024-04-01T00:00:00"/>
    <x v="4"/>
    <s v="Monday"/>
    <s v="STORE_023"/>
    <x v="0"/>
    <x v="5"/>
    <x v="34"/>
    <n v="1949.55"/>
    <n v="9"/>
    <n v="17545.95"/>
    <n v="20"/>
    <n v="3509.19"/>
    <n v="14036.76"/>
    <s v="Credit Card"/>
    <s v="CUST_01000"/>
    <n v="4"/>
    <n v="3509.1900000000005"/>
    <n v="1559.64"/>
    <s v="High"/>
  </r>
  <r>
    <s v="TXN_00503"/>
    <d v="2024-10-24T00:00:00"/>
    <x v="7"/>
    <s v="Thursday"/>
    <s v="STORE_039"/>
    <x v="1"/>
    <x v="3"/>
    <x v="12"/>
    <n v="2398.7399999999998"/>
    <n v="6"/>
    <n v="14392.44"/>
    <n v="0"/>
    <n v="0"/>
    <n v="14392.44"/>
    <s v="UPI"/>
    <s v="CUST_00873"/>
    <n v="4"/>
    <n v="0"/>
    <n v="2398.7400000000002"/>
    <s v="No Discount"/>
  </r>
  <r>
    <s v="TXN_00504"/>
    <d v="2024-05-15T00:00:00"/>
    <x v="3"/>
    <s v="Wednesday"/>
    <s v="STORE_003"/>
    <x v="3"/>
    <x v="4"/>
    <x v="17"/>
    <n v="284.83"/>
    <n v="6"/>
    <n v="1708.98"/>
    <n v="0"/>
    <n v="0"/>
    <n v="1708.98"/>
    <s v="Credit Card"/>
    <s v="CUST_00225"/>
    <n v="4"/>
    <n v="0"/>
    <n v="284.83"/>
    <s v="No Discount"/>
  </r>
  <r>
    <s v="TXN_00505"/>
    <d v="2024-01-20T00:00:00"/>
    <x v="2"/>
    <s v="Saturday"/>
    <s v="STORE_031"/>
    <x v="1"/>
    <x v="6"/>
    <x v="14"/>
    <n v="1539.83"/>
    <n v="8"/>
    <n v="12318.64"/>
    <n v="10"/>
    <n v="1231.8599999999999"/>
    <n v="11086.78"/>
    <s v="Debit Card"/>
    <s v="CUST_00827"/>
    <n v="2"/>
    <n v="1231.8599999999988"/>
    <n v="1385.8475000000001"/>
    <s v="Medium"/>
  </r>
  <r>
    <s v="TXN_00506"/>
    <d v="2024-02-25T00:00:00"/>
    <x v="1"/>
    <s v="Sunday"/>
    <s v="STORE_023"/>
    <x v="2"/>
    <x v="0"/>
    <x v="0"/>
    <n v="520.25"/>
    <n v="1"/>
    <n v="520.25"/>
    <n v="0"/>
    <n v="0"/>
    <n v="520.25"/>
    <s v="Credit Card"/>
    <s v="CUST_00569"/>
    <n v="1"/>
    <n v="0"/>
    <n v="520.25"/>
    <s v="No Discount"/>
  </r>
  <r>
    <s v="TXN_00507"/>
    <d v="2024-11-01T00:00:00"/>
    <x v="0"/>
    <s v="Friday"/>
    <s v="STORE_003"/>
    <x v="2"/>
    <x v="7"/>
    <x v="38"/>
    <n v="648.69000000000005"/>
    <n v="4"/>
    <n v="2594.7600000000002"/>
    <n v="15"/>
    <n v="389.21"/>
    <n v="2205.5500000000002"/>
    <s v="Wallet"/>
    <s v="CUST_00204"/>
    <n v="3"/>
    <n v="389.21000000000004"/>
    <n v="551.38750000000005"/>
    <s v="Medium"/>
  </r>
  <r>
    <s v="TXN_00508"/>
    <d v="2024-08-10T00:00:00"/>
    <x v="8"/>
    <s v="Saturday"/>
    <s v="STORE_036"/>
    <x v="0"/>
    <x v="3"/>
    <x v="22"/>
    <n v="687.61"/>
    <n v="5"/>
    <n v="3438.05"/>
    <n v="15"/>
    <n v="515.71"/>
    <n v="2922.34"/>
    <s v="Debit Card"/>
    <s v="CUST_00183"/>
    <n v="3"/>
    <n v="515.71"/>
    <n v="584.46800000000007"/>
    <s v="Medium"/>
  </r>
  <r>
    <s v="TXN_00509"/>
    <d v="2024-06-25T00:00:00"/>
    <x v="10"/>
    <s v="Tuesday"/>
    <s v="STORE_025"/>
    <x v="2"/>
    <x v="3"/>
    <x v="21"/>
    <n v="693.02"/>
    <n v="5"/>
    <n v="3465.1"/>
    <n v="0"/>
    <n v="0"/>
    <n v="3465.1"/>
    <s v="Credit Card"/>
    <s v="CUST_00347"/>
    <n v="2"/>
    <n v="0"/>
    <n v="693.02"/>
    <s v="No Discount"/>
  </r>
  <r>
    <s v="TXN_00510"/>
    <d v="2024-06-09T00:00:00"/>
    <x v="10"/>
    <s v="Sunday"/>
    <s v="STORE_034"/>
    <x v="4"/>
    <x v="3"/>
    <x v="22"/>
    <n v="1477.37"/>
    <n v="6"/>
    <n v="8864.2199999999993"/>
    <n v="20"/>
    <n v="1772.84"/>
    <n v="7091.38"/>
    <s v="Cash"/>
    <s v="CUST_00903"/>
    <n v="2"/>
    <n v="1772.8399999999992"/>
    <n v="1181.8966666666668"/>
    <s v="High"/>
  </r>
  <r>
    <s v="TXN_00511"/>
    <d v="2024-08-11T00:00:00"/>
    <x v="8"/>
    <s v="Sunday"/>
    <s v="STORE_035"/>
    <x v="3"/>
    <x v="0"/>
    <x v="18"/>
    <n v="294.79000000000002"/>
    <n v="3"/>
    <n v="884.37"/>
    <n v="20"/>
    <n v="176.87"/>
    <n v="707.5"/>
    <s v="Debit Card"/>
    <s v="CUST_00712"/>
    <n v="2"/>
    <n v="176.87"/>
    <n v="235.83333333333334"/>
    <s v="High"/>
  </r>
  <r>
    <s v="TXN_00512"/>
    <d v="2024-11-06T00:00:00"/>
    <x v="0"/>
    <s v="Wednesday"/>
    <s v="STORE_013"/>
    <x v="4"/>
    <x v="4"/>
    <x v="35"/>
    <n v="419.8"/>
    <n v="4"/>
    <n v="1679.2"/>
    <n v="0"/>
    <n v="0"/>
    <n v="1679.2"/>
    <s v="Wallet"/>
    <s v="CUST_00302"/>
    <n v="5"/>
    <n v="0"/>
    <n v="419.8"/>
    <s v="No Discount"/>
  </r>
  <r>
    <s v="TXN_00513"/>
    <d v="2024-09-18T00:00:00"/>
    <x v="9"/>
    <s v="Wednesday"/>
    <s v="STORE_038"/>
    <x v="3"/>
    <x v="5"/>
    <x v="25"/>
    <n v="1988.69"/>
    <n v="5"/>
    <n v="9943.4500000000007"/>
    <n v="20"/>
    <n v="1988.69"/>
    <n v="7954.76"/>
    <s v="Debit Card"/>
    <s v="CUST_00215"/>
    <n v="5"/>
    <n v="1988.6900000000005"/>
    <n v="1590.952"/>
    <s v="High"/>
  </r>
  <r>
    <s v="TXN_00514"/>
    <d v="2024-02-29T00:00:00"/>
    <x v="1"/>
    <s v="Thursday"/>
    <s v="STORE_025"/>
    <x v="4"/>
    <x v="7"/>
    <x v="37"/>
    <n v="1249.2"/>
    <n v="10"/>
    <n v="12492"/>
    <n v="0"/>
    <n v="0"/>
    <n v="12492"/>
    <s v="Debit Card"/>
    <s v="CUST_00384"/>
    <n v="5"/>
    <n v="0"/>
    <n v="1249.2"/>
    <s v="No Discount"/>
  </r>
  <r>
    <s v="TXN_00515"/>
    <d v="2024-07-16T00:00:00"/>
    <x v="11"/>
    <s v="Tuesday"/>
    <s v="STORE_045"/>
    <x v="3"/>
    <x v="1"/>
    <x v="3"/>
    <n v="258.92"/>
    <n v="6"/>
    <n v="1553.52"/>
    <n v="15"/>
    <n v="233.03"/>
    <n v="1320.49"/>
    <s v="Cash"/>
    <s v="CUST_00733"/>
    <n v="5"/>
    <n v="233.02999999999997"/>
    <n v="220.08166666666668"/>
    <s v="Medium"/>
  </r>
  <r>
    <s v="TXN_00516"/>
    <d v="2024-10-22T00:00:00"/>
    <x v="7"/>
    <s v="Tuesday"/>
    <s v="STORE_014"/>
    <x v="0"/>
    <x v="1"/>
    <x v="1"/>
    <n v="170.75"/>
    <n v="7"/>
    <n v="1195.25"/>
    <n v="15"/>
    <n v="179.29"/>
    <n v="1015.96"/>
    <s v="Wallet"/>
    <s v="CUST_00917"/>
    <n v="1"/>
    <n v="179.28999999999996"/>
    <n v="145.13714285714286"/>
    <s v="Medium"/>
  </r>
  <r>
    <s v="TXN_00517"/>
    <d v="2024-04-07T00:00:00"/>
    <x v="4"/>
    <s v="Sunday"/>
    <s v="STORE_025"/>
    <x v="4"/>
    <x v="3"/>
    <x v="5"/>
    <n v="2616.87"/>
    <n v="7"/>
    <n v="18318.09"/>
    <n v="0"/>
    <n v="0"/>
    <n v="18318.09"/>
    <s v="Cash"/>
    <s v="CUST_00161"/>
    <n v="4"/>
    <n v="0"/>
    <n v="2616.87"/>
    <s v="No Discount"/>
  </r>
  <r>
    <s v="TXN_00518"/>
    <d v="2024-05-10T00:00:00"/>
    <x v="3"/>
    <s v="Friday"/>
    <s v="STORE_029"/>
    <x v="4"/>
    <x v="4"/>
    <x v="35"/>
    <n v="397.75"/>
    <n v="3"/>
    <n v="1193.25"/>
    <n v="20"/>
    <n v="238.65"/>
    <n v="954.6"/>
    <s v="Credit Card"/>
    <s v="CUST_00361"/>
    <n v="3"/>
    <n v="238.64999999999998"/>
    <n v="318.2"/>
    <s v="High"/>
  </r>
  <r>
    <s v="TXN_00519"/>
    <d v="2024-01-23T00:00:00"/>
    <x v="2"/>
    <s v="Tuesday"/>
    <s v="STORE_029"/>
    <x v="3"/>
    <x v="3"/>
    <x v="16"/>
    <n v="315.2"/>
    <n v="9"/>
    <n v="2836.8"/>
    <n v="10"/>
    <n v="283.68"/>
    <n v="2553.12"/>
    <s v="Cash"/>
    <s v="CUST_00443"/>
    <n v="4"/>
    <n v="283.68000000000029"/>
    <n v="283.68"/>
    <s v="Medium"/>
  </r>
  <r>
    <s v="TXN_00520"/>
    <d v="2024-12-28T00:00:00"/>
    <x v="6"/>
    <s v="Saturday"/>
    <s v="STORE_012"/>
    <x v="3"/>
    <x v="0"/>
    <x v="32"/>
    <n v="843.6"/>
    <n v="6"/>
    <n v="5061.6000000000004"/>
    <n v="0"/>
    <n v="0"/>
    <n v="5061.6000000000004"/>
    <s v="UPI"/>
    <s v="CUST_00240"/>
    <n v="1"/>
    <n v="0"/>
    <n v="843.6"/>
    <s v="No Discount"/>
  </r>
  <r>
    <s v="TXN_00521"/>
    <d v="2024-08-11T00:00:00"/>
    <x v="8"/>
    <s v="Sunday"/>
    <s v="STORE_035"/>
    <x v="2"/>
    <x v="2"/>
    <x v="2"/>
    <n v="351.37"/>
    <n v="2"/>
    <n v="702.74"/>
    <n v="0"/>
    <n v="0"/>
    <n v="702.74"/>
    <s v="Wallet"/>
    <s v="CUST_00805"/>
    <n v="5"/>
    <n v="0"/>
    <n v="351.37"/>
    <s v="No Discount"/>
  </r>
  <r>
    <s v="TXN_00522"/>
    <d v="2024-01-01T00:00:00"/>
    <x v="2"/>
    <s v="Monday"/>
    <s v="STORE_013"/>
    <x v="1"/>
    <x v="2"/>
    <x v="29"/>
    <n v="168.89"/>
    <n v="2"/>
    <n v="337.78"/>
    <n v="0"/>
    <n v="0"/>
    <n v="337.78"/>
    <s v="Credit Card"/>
    <s v="CUST_00202"/>
    <n v="5"/>
    <n v="0"/>
    <n v="168.89"/>
    <s v="No Discount"/>
  </r>
  <r>
    <s v="TXN_00523"/>
    <d v="2024-09-23T00:00:00"/>
    <x v="9"/>
    <s v="Monday"/>
    <s v="STORE_049"/>
    <x v="4"/>
    <x v="4"/>
    <x v="35"/>
    <n v="286.22000000000003"/>
    <n v="5"/>
    <n v="1431.1"/>
    <n v="0"/>
    <n v="0"/>
    <n v="1431.1"/>
    <s v="Wallet"/>
    <s v="CUST_00935"/>
    <n v="2"/>
    <n v="0"/>
    <n v="286.21999999999997"/>
    <s v="No Discount"/>
  </r>
  <r>
    <s v="TXN_00524"/>
    <d v="2024-10-02T00:00:00"/>
    <x v="7"/>
    <s v="Wednesday"/>
    <s v="STORE_026"/>
    <x v="4"/>
    <x v="2"/>
    <x v="2"/>
    <n v="639.04999999999995"/>
    <n v="5"/>
    <n v="3195.25"/>
    <n v="20"/>
    <n v="639.04999999999995"/>
    <n v="2556.1999999999998"/>
    <s v="Cash"/>
    <s v="CUST_00776"/>
    <n v="4"/>
    <n v="639.05000000000018"/>
    <n v="511.23999999999995"/>
    <s v="High"/>
  </r>
  <r>
    <s v="TXN_00525"/>
    <d v="2024-12-17T00:00:00"/>
    <x v="6"/>
    <s v="Tuesday"/>
    <s v="STORE_015"/>
    <x v="0"/>
    <x v="6"/>
    <x v="33"/>
    <n v="1481.14"/>
    <n v="3"/>
    <n v="4443.42"/>
    <n v="20"/>
    <n v="888.68"/>
    <n v="3554.74"/>
    <s v="UPI"/>
    <s v="CUST_00486"/>
    <n v="2"/>
    <n v="888.68000000000029"/>
    <n v="1184.9133333333332"/>
    <s v="High"/>
  </r>
  <r>
    <s v="TXN_00526"/>
    <d v="2024-12-09T00:00:00"/>
    <x v="6"/>
    <s v="Monday"/>
    <s v="STORE_022"/>
    <x v="2"/>
    <x v="3"/>
    <x v="16"/>
    <n v="1843.61"/>
    <n v="9"/>
    <n v="16592.490000000002"/>
    <n v="20"/>
    <n v="3318.5"/>
    <n v="13273.99"/>
    <s v="UPI"/>
    <s v="CUST_00321"/>
    <n v="4"/>
    <n v="3318.5000000000018"/>
    <n v="1474.8877777777777"/>
    <s v="High"/>
  </r>
  <r>
    <s v="TXN_00527"/>
    <d v="2024-04-10T00:00:00"/>
    <x v="4"/>
    <s v="Wednesday"/>
    <s v="STORE_036"/>
    <x v="2"/>
    <x v="3"/>
    <x v="5"/>
    <n v="2356.37"/>
    <n v="7"/>
    <n v="16494.59"/>
    <n v="0"/>
    <n v="0"/>
    <n v="16494.59"/>
    <s v="UPI"/>
    <s v="CUST_00384"/>
    <n v="4"/>
    <n v="0"/>
    <n v="2356.37"/>
    <s v="No Discount"/>
  </r>
  <r>
    <s v="TXN_00528"/>
    <d v="2024-07-05T00:00:00"/>
    <x v="11"/>
    <s v="Friday"/>
    <s v="STORE_043"/>
    <x v="1"/>
    <x v="5"/>
    <x v="10"/>
    <n v="4495"/>
    <n v="5"/>
    <n v="22475"/>
    <n v="15"/>
    <n v="3371.25"/>
    <n v="19103.75"/>
    <s v="Credit Card"/>
    <s v="CUST_00348"/>
    <n v="4"/>
    <n v="3371.25"/>
    <n v="3820.75"/>
    <s v="Medium"/>
  </r>
  <r>
    <s v="TXN_00529"/>
    <d v="2024-08-08T00:00:00"/>
    <x v="8"/>
    <s v="Thursday"/>
    <s v="STORE_021"/>
    <x v="4"/>
    <x v="3"/>
    <x v="5"/>
    <n v="1392.01"/>
    <n v="7"/>
    <n v="9744.07"/>
    <n v="20"/>
    <n v="1948.81"/>
    <n v="7795.26"/>
    <s v="Wallet"/>
    <s v="CUST_00024"/>
    <n v="3"/>
    <n v="1948.8099999999995"/>
    <n v="1113.6085714285714"/>
    <s v="High"/>
  </r>
  <r>
    <s v="TXN_00530"/>
    <d v="2024-02-05T00:00:00"/>
    <x v="1"/>
    <s v="Monday"/>
    <s v="STORE_037"/>
    <x v="3"/>
    <x v="6"/>
    <x v="14"/>
    <n v="730.54"/>
    <n v="6"/>
    <n v="4383.24"/>
    <n v="10"/>
    <n v="438.32"/>
    <n v="3944.92"/>
    <s v="Wallet"/>
    <s v="CUST_00391"/>
    <n v="5"/>
    <n v="438.31999999999971"/>
    <n v="657.48666666666668"/>
    <s v="Medium"/>
  </r>
  <r>
    <s v="TXN_00531"/>
    <d v="2024-12-06T00:00:00"/>
    <x v="6"/>
    <s v="Friday"/>
    <s v="STORE_022"/>
    <x v="4"/>
    <x v="3"/>
    <x v="5"/>
    <n v="378.39"/>
    <n v="7"/>
    <n v="2648.73"/>
    <n v="0"/>
    <n v="0"/>
    <n v="2648.73"/>
    <s v="UPI"/>
    <s v="CUST_00986"/>
    <n v="1"/>
    <n v="0"/>
    <n v="378.39"/>
    <s v="No Discount"/>
  </r>
  <r>
    <s v="TXN_00532"/>
    <d v="2024-06-18T00:00:00"/>
    <x v="10"/>
    <s v="Tuesday"/>
    <s v="STORE_003"/>
    <x v="4"/>
    <x v="1"/>
    <x v="6"/>
    <n v="91.96"/>
    <n v="2"/>
    <n v="183.92"/>
    <n v="15"/>
    <n v="27.59"/>
    <n v="156.33000000000001"/>
    <s v="Wallet"/>
    <s v="CUST_00501"/>
    <n v="2"/>
    <n v="27.589999999999975"/>
    <n v="78.165000000000006"/>
    <s v="Medium"/>
  </r>
  <r>
    <s v="TXN_00533"/>
    <d v="2024-11-15T00:00:00"/>
    <x v="0"/>
    <s v="Friday"/>
    <s v="STORE_019"/>
    <x v="4"/>
    <x v="6"/>
    <x v="14"/>
    <n v="798.5"/>
    <n v="7"/>
    <n v="5589.5"/>
    <n v="0"/>
    <n v="0"/>
    <n v="5589.5"/>
    <s v="Debit Card"/>
    <s v="CUST_00072"/>
    <n v="2"/>
    <n v="0"/>
    <n v="798.5"/>
    <s v="No Discount"/>
  </r>
  <r>
    <s v="TXN_00534"/>
    <d v="2024-06-09T00:00:00"/>
    <x v="10"/>
    <s v="Sunday"/>
    <s v="STORE_026"/>
    <x v="0"/>
    <x v="1"/>
    <x v="36"/>
    <n v="215.89"/>
    <n v="1"/>
    <n v="215.89"/>
    <n v="0"/>
    <n v="0"/>
    <n v="215.89"/>
    <s v="Cash"/>
    <s v="CUST_00114"/>
    <n v="4"/>
    <n v="0"/>
    <n v="215.89"/>
    <s v="No Discount"/>
  </r>
  <r>
    <s v="TXN_00535"/>
    <d v="2024-12-05T00:00:00"/>
    <x v="6"/>
    <s v="Thursday"/>
    <s v="STORE_014"/>
    <x v="1"/>
    <x v="5"/>
    <x v="10"/>
    <n v="2673.65"/>
    <n v="2"/>
    <n v="5347.3"/>
    <n v="5"/>
    <n v="267.37"/>
    <n v="5079.93"/>
    <s v="Debit Card"/>
    <s v="CUST_00443"/>
    <n v="2"/>
    <n v="267.36999999999989"/>
    <n v="2539.9650000000001"/>
    <s v="Low"/>
  </r>
  <r>
    <s v="TXN_00536"/>
    <d v="2024-03-04T00:00:00"/>
    <x v="5"/>
    <s v="Monday"/>
    <s v="STORE_046"/>
    <x v="3"/>
    <x v="1"/>
    <x v="31"/>
    <n v="321.67"/>
    <n v="5"/>
    <n v="1608.35"/>
    <n v="10"/>
    <n v="160.84"/>
    <n v="1447.51"/>
    <s v="Debit Card"/>
    <s v="CUST_00283"/>
    <n v="5"/>
    <n v="160.83999999999992"/>
    <n v="289.50200000000001"/>
    <s v="Medium"/>
  </r>
  <r>
    <s v="TXN_00537"/>
    <d v="2024-06-02T00:00:00"/>
    <x v="10"/>
    <s v="Sunday"/>
    <s v="STORE_016"/>
    <x v="4"/>
    <x v="3"/>
    <x v="21"/>
    <n v="2975.04"/>
    <n v="8"/>
    <n v="23800.32"/>
    <n v="0"/>
    <n v="0"/>
    <n v="23800.32"/>
    <s v="UPI"/>
    <s v="CUST_00337"/>
    <n v="5"/>
    <n v="0"/>
    <n v="2975.04"/>
    <s v="No Discount"/>
  </r>
  <r>
    <s v="TXN_00538"/>
    <d v="2024-09-16T00:00:00"/>
    <x v="9"/>
    <s v="Monday"/>
    <s v="STORE_042"/>
    <x v="3"/>
    <x v="1"/>
    <x v="1"/>
    <n v="258.20999999999998"/>
    <n v="1"/>
    <n v="258.20999999999998"/>
    <n v="15"/>
    <n v="38.729999999999997"/>
    <n v="219.48"/>
    <s v="Credit Card"/>
    <s v="CUST_00356"/>
    <n v="3"/>
    <n v="38.72999999999999"/>
    <n v="219.48"/>
    <s v="Medium"/>
  </r>
  <r>
    <s v="TXN_00539"/>
    <d v="2024-06-07T00:00:00"/>
    <x v="10"/>
    <s v="Friday"/>
    <s v="STORE_040"/>
    <x v="3"/>
    <x v="2"/>
    <x v="13"/>
    <n v="529.12"/>
    <n v="3"/>
    <n v="1587.36"/>
    <n v="5"/>
    <n v="79.37"/>
    <n v="1507.99"/>
    <s v="Debit Card"/>
    <s v="CUST_00469"/>
    <n v="2"/>
    <n v="79.369999999999891"/>
    <n v="502.66333333333336"/>
    <s v="Low"/>
  </r>
  <r>
    <s v="TXN_00540"/>
    <d v="2024-12-07T00:00:00"/>
    <x v="6"/>
    <s v="Saturday"/>
    <s v="STORE_011"/>
    <x v="1"/>
    <x v="0"/>
    <x v="0"/>
    <n v="758.82"/>
    <n v="2"/>
    <n v="1517.64"/>
    <n v="5"/>
    <n v="75.88"/>
    <n v="1441.76"/>
    <s v="Credit Card"/>
    <s v="CUST_00904"/>
    <n v="2"/>
    <n v="75.880000000000109"/>
    <n v="720.88"/>
    <s v="Low"/>
  </r>
  <r>
    <s v="TXN_00541"/>
    <d v="2024-07-28T00:00:00"/>
    <x v="11"/>
    <s v="Sunday"/>
    <s v="STORE_008"/>
    <x v="1"/>
    <x v="2"/>
    <x v="2"/>
    <n v="588.63"/>
    <n v="4"/>
    <n v="2354.52"/>
    <n v="5"/>
    <n v="117.73"/>
    <n v="2236.79"/>
    <s v="UPI"/>
    <s v="CUST_00079"/>
    <n v="5"/>
    <n v="117.73000000000002"/>
    <n v="559.19749999999999"/>
    <s v="Low"/>
  </r>
  <r>
    <s v="TXN_00542"/>
    <d v="2024-06-16T00:00:00"/>
    <x v="10"/>
    <s v="Sunday"/>
    <s v="STORE_017"/>
    <x v="0"/>
    <x v="7"/>
    <x v="23"/>
    <n v="1219.8499999999999"/>
    <n v="6"/>
    <n v="7319.1"/>
    <n v="5"/>
    <n v="365.96"/>
    <n v="6953.14"/>
    <s v="UPI"/>
    <s v="CUST_00519"/>
    <n v="2"/>
    <n v="365.96000000000004"/>
    <n v="1158.8566666666668"/>
    <s v="Low"/>
  </r>
  <r>
    <s v="TXN_00543"/>
    <d v="2024-07-25T00:00:00"/>
    <x v="11"/>
    <s v="Thursday"/>
    <s v="STORE_013"/>
    <x v="3"/>
    <x v="6"/>
    <x v="33"/>
    <n v="540.08000000000004"/>
    <n v="8"/>
    <n v="4320.6400000000003"/>
    <n v="5"/>
    <n v="216.03"/>
    <n v="4104.6099999999997"/>
    <s v="Cash"/>
    <s v="CUST_00039"/>
    <n v="4"/>
    <n v="216.03000000000065"/>
    <n v="513.07624999999996"/>
    <s v="Low"/>
  </r>
  <r>
    <s v="TXN_00544"/>
    <d v="2024-12-22T00:00:00"/>
    <x v="6"/>
    <s v="Sunday"/>
    <s v="STORE_030"/>
    <x v="2"/>
    <x v="6"/>
    <x v="15"/>
    <n v="672.02"/>
    <n v="3"/>
    <n v="2016.06"/>
    <n v="0"/>
    <n v="0"/>
    <n v="2016.06"/>
    <s v="UPI"/>
    <s v="CUST_00085"/>
    <n v="4"/>
    <n v="0"/>
    <n v="672.02"/>
    <s v="No Discount"/>
  </r>
  <r>
    <s v="TXN_00545"/>
    <d v="2024-05-31T00:00:00"/>
    <x v="3"/>
    <s v="Friday"/>
    <s v="STORE_002"/>
    <x v="4"/>
    <x v="3"/>
    <x v="5"/>
    <n v="592.72"/>
    <n v="5"/>
    <n v="2963.6"/>
    <n v="20"/>
    <n v="592.72"/>
    <n v="2370.88"/>
    <s v="Debit Card"/>
    <s v="CUST_00103"/>
    <n v="2"/>
    <n v="592.7199999999998"/>
    <n v="474.17600000000004"/>
    <s v="High"/>
  </r>
  <r>
    <s v="TXN_00546"/>
    <d v="2024-10-10T00:00:00"/>
    <x v="7"/>
    <s v="Thursday"/>
    <s v="STORE_044"/>
    <x v="1"/>
    <x v="5"/>
    <x v="25"/>
    <n v="1496.61"/>
    <n v="7"/>
    <n v="10476.27"/>
    <n v="0"/>
    <n v="0"/>
    <n v="10476.27"/>
    <s v="Credit Card"/>
    <s v="CUST_00158"/>
    <n v="1"/>
    <n v="0"/>
    <n v="1496.6100000000001"/>
    <s v="No Discount"/>
  </r>
  <r>
    <s v="TXN_00547"/>
    <d v="2024-03-06T00:00:00"/>
    <x v="5"/>
    <s v="Wednesday"/>
    <s v="STORE_029"/>
    <x v="2"/>
    <x v="1"/>
    <x v="6"/>
    <n v="130.07"/>
    <n v="1"/>
    <n v="130.07"/>
    <n v="15"/>
    <n v="19.510000000000002"/>
    <n v="110.56"/>
    <s v="Wallet"/>
    <s v="CUST_00857"/>
    <n v="2"/>
    <n v="19.509999999999991"/>
    <n v="110.56"/>
    <s v="Medium"/>
  </r>
  <r>
    <s v="TXN_00548"/>
    <d v="2024-04-08T00:00:00"/>
    <x v="4"/>
    <s v="Monday"/>
    <s v="STORE_004"/>
    <x v="3"/>
    <x v="7"/>
    <x v="37"/>
    <n v="1128.42"/>
    <n v="8"/>
    <n v="9027.36"/>
    <n v="0"/>
    <n v="0"/>
    <n v="9027.36"/>
    <s v="Wallet"/>
    <s v="CUST_00786"/>
    <n v="1"/>
    <n v="0"/>
    <n v="1128.42"/>
    <s v="No Discount"/>
  </r>
  <r>
    <s v="TXN_00549"/>
    <d v="2024-08-03T00:00:00"/>
    <x v="8"/>
    <s v="Saturday"/>
    <s v="STORE_027"/>
    <x v="2"/>
    <x v="3"/>
    <x v="12"/>
    <n v="1249.01"/>
    <n v="4"/>
    <n v="4996.04"/>
    <n v="0"/>
    <n v="0"/>
    <n v="4996.04"/>
    <s v="Credit Card"/>
    <s v="CUST_00015"/>
    <n v="1"/>
    <n v="0"/>
    <n v="1249.01"/>
    <s v="No Discount"/>
  </r>
  <r>
    <s v="TXN_00550"/>
    <d v="2024-12-06T00:00:00"/>
    <x v="6"/>
    <s v="Friday"/>
    <s v="STORE_047"/>
    <x v="0"/>
    <x v="4"/>
    <x v="20"/>
    <n v="455.98"/>
    <n v="2"/>
    <n v="911.96"/>
    <n v="0"/>
    <n v="0"/>
    <n v="911.96"/>
    <s v="Credit Card"/>
    <s v="CUST_00046"/>
    <n v="2"/>
    <n v="0"/>
    <n v="455.98"/>
    <s v="No Discount"/>
  </r>
  <r>
    <s v="TXN_00551"/>
    <d v="2024-07-13T00:00:00"/>
    <x v="11"/>
    <s v="Saturday"/>
    <s v="STORE_040"/>
    <x v="0"/>
    <x v="0"/>
    <x v="27"/>
    <n v="286.14999999999998"/>
    <n v="6"/>
    <n v="1716.9"/>
    <n v="0"/>
    <n v="0"/>
    <n v="1716.9"/>
    <s v="Wallet"/>
    <s v="CUST_00957"/>
    <n v="2"/>
    <n v="0"/>
    <n v="286.15000000000003"/>
    <s v="No Discount"/>
  </r>
  <r>
    <s v="TXN_00552"/>
    <d v="2024-12-12T00:00:00"/>
    <x v="6"/>
    <s v="Thursday"/>
    <s v="STORE_012"/>
    <x v="2"/>
    <x v="0"/>
    <x v="4"/>
    <n v="296.64"/>
    <n v="4"/>
    <n v="1186.56"/>
    <n v="0"/>
    <n v="0"/>
    <n v="1186.56"/>
    <s v="Cash"/>
    <s v="CUST_00412"/>
    <n v="3"/>
    <n v="0"/>
    <n v="296.64"/>
    <s v="No Discount"/>
  </r>
  <r>
    <s v="TXN_00553"/>
    <d v="2024-03-30T00:00:00"/>
    <x v="5"/>
    <s v="Saturday"/>
    <s v="STORE_042"/>
    <x v="4"/>
    <x v="4"/>
    <x v="8"/>
    <n v="325.13"/>
    <n v="8"/>
    <n v="2601.04"/>
    <n v="0"/>
    <n v="0"/>
    <n v="2601.04"/>
    <s v="Credit Card"/>
    <s v="CUST_00378"/>
    <n v="3"/>
    <n v="0"/>
    <n v="325.13"/>
    <s v="No Discount"/>
  </r>
  <r>
    <s v="TXN_00554"/>
    <d v="2024-11-11T00:00:00"/>
    <x v="0"/>
    <s v="Monday"/>
    <s v="STORE_007"/>
    <x v="4"/>
    <x v="6"/>
    <x v="30"/>
    <n v="1828.19"/>
    <n v="7"/>
    <n v="12797.33"/>
    <n v="0"/>
    <n v="0"/>
    <n v="12797.33"/>
    <s v="Wallet"/>
    <s v="CUST_00811"/>
    <n v="4"/>
    <n v="0"/>
    <n v="1828.19"/>
    <s v="No Discount"/>
  </r>
  <r>
    <s v="TXN_00555"/>
    <d v="2024-10-18T00:00:00"/>
    <x v="7"/>
    <s v="Friday"/>
    <s v="STORE_022"/>
    <x v="0"/>
    <x v="5"/>
    <x v="25"/>
    <n v="4836.1400000000003"/>
    <n v="10"/>
    <n v="48361.4"/>
    <n v="0"/>
    <n v="0"/>
    <n v="48361.4"/>
    <s v="UPI"/>
    <s v="CUST_00651"/>
    <n v="2"/>
    <n v="0"/>
    <n v="4836.1400000000003"/>
    <s v="No Discount"/>
  </r>
  <r>
    <s v="TXN_00556"/>
    <d v="2024-06-03T00:00:00"/>
    <x v="10"/>
    <s v="Monday"/>
    <s v="STORE_025"/>
    <x v="4"/>
    <x v="4"/>
    <x v="19"/>
    <n v="180.38"/>
    <n v="1"/>
    <n v="180.38"/>
    <n v="10"/>
    <n v="18.04"/>
    <n v="162.34"/>
    <s v="Wallet"/>
    <s v="CUST_00656"/>
    <n v="4"/>
    <n v="18.039999999999992"/>
    <n v="162.34"/>
    <s v="Medium"/>
  </r>
  <r>
    <s v="TXN_00557"/>
    <d v="2024-07-26T00:00:00"/>
    <x v="11"/>
    <s v="Friday"/>
    <s v="STORE_049"/>
    <x v="2"/>
    <x v="3"/>
    <x v="16"/>
    <n v="1844.91"/>
    <n v="1"/>
    <n v="1844.91"/>
    <n v="0"/>
    <n v="0"/>
    <n v="1844.91"/>
    <s v="Credit Card"/>
    <s v="CUST_00317"/>
    <n v="5"/>
    <n v="0"/>
    <n v="1844.91"/>
    <s v="No Discount"/>
  </r>
  <r>
    <s v="TXN_00558"/>
    <d v="2024-10-07T00:00:00"/>
    <x v="7"/>
    <s v="Monday"/>
    <s v="STORE_024"/>
    <x v="3"/>
    <x v="3"/>
    <x v="5"/>
    <n v="2320.29"/>
    <n v="10"/>
    <n v="23202.9"/>
    <n v="0"/>
    <n v="0"/>
    <n v="23202.9"/>
    <s v="Credit Card"/>
    <s v="CUST_00304"/>
    <n v="2"/>
    <n v="0"/>
    <n v="2320.29"/>
    <s v="No Discount"/>
  </r>
  <r>
    <s v="TXN_00559"/>
    <d v="2024-01-01T00:00:00"/>
    <x v="2"/>
    <s v="Monday"/>
    <s v="STORE_048"/>
    <x v="1"/>
    <x v="3"/>
    <x v="12"/>
    <n v="1252.0899999999999"/>
    <n v="1"/>
    <n v="1252.0899999999999"/>
    <n v="0"/>
    <n v="0"/>
    <n v="1252.0899999999999"/>
    <s v="Wallet"/>
    <s v="CUST_00138"/>
    <n v="4"/>
    <n v="0"/>
    <n v="1252.0899999999999"/>
    <s v="No Discount"/>
  </r>
  <r>
    <s v="TXN_00560"/>
    <d v="2024-06-04T00:00:00"/>
    <x v="10"/>
    <s v="Tuesday"/>
    <s v="STORE_049"/>
    <x v="2"/>
    <x v="2"/>
    <x v="39"/>
    <n v="550.52"/>
    <n v="1"/>
    <n v="550.52"/>
    <n v="10"/>
    <n v="55.05"/>
    <n v="495.47"/>
    <s v="UPI"/>
    <s v="CUST_00235"/>
    <n v="3"/>
    <n v="55.049999999999955"/>
    <n v="495.47"/>
    <s v="Medium"/>
  </r>
  <r>
    <s v="TXN_00561"/>
    <d v="2024-05-26T00:00:00"/>
    <x v="3"/>
    <s v="Sunday"/>
    <s v="STORE_039"/>
    <x v="3"/>
    <x v="4"/>
    <x v="35"/>
    <n v="259.01"/>
    <n v="9"/>
    <n v="2331.09"/>
    <n v="0"/>
    <n v="0"/>
    <n v="2331.09"/>
    <s v="Debit Card"/>
    <s v="CUST_00534"/>
    <n v="2"/>
    <n v="0"/>
    <n v="259.01"/>
    <s v="No Discount"/>
  </r>
  <r>
    <s v="TXN_00562"/>
    <d v="2024-04-17T00:00:00"/>
    <x v="4"/>
    <s v="Wednesday"/>
    <s v="STORE_013"/>
    <x v="2"/>
    <x v="4"/>
    <x v="20"/>
    <n v="349.06"/>
    <n v="1"/>
    <n v="349.06"/>
    <n v="0"/>
    <n v="0"/>
    <n v="349.06"/>
    <s v="UPI"/>
    <s v="CUST_00650"/>
    <n v="1"/>
    <n v="0"/>
    <n v="349.06"/>
    <s v="No Discount"/>
  </r>
  <r>
    <s v="TXN_00563"/>
    <d v="2024-08-08T00:00:00"/>
    <x v="8"/>
    <s v="Thursday"/>
    <s v="STORE_016"/>
    <x v="4"/>
    <x v="5"/>
    <x v="11"/>
    <n v="1502.24"/>
    <n v="3"/>
    <n v="4506.72"/>
    <n v="10"/>
    <n v="450.67"/>
    <n v="4056.05"/>
    <s v="Wallet"/>
    <s v="CUST_00081"/>
    <n v="2"/>
    <n v="450.67000000000007"/>
    <n v="1352.0166666666667"/>
    <s v="Medium"/>
  </r>
  <r>
    <s v="TXN_00564"/>
    <d v="2024-10-23T00:00:00"/>
    <x v="7"/>
    <s v="Wednesday"/>
    <s v="STORE_039"/>
    <x v="0"/>
    <x v="0"/>
    <x v="4"/>
    <n v="449.17"/>
    <n v="4"/>
    <n v="1796.68"/>
    <n v="0"/>
    <n v="0"/>
    <n v="1796.68"/>
    <s v="UPI"/>
    <s v="CUST_00311"/>
    <n v="2"/>
    <n v="0"/>
    <n v="449.17"/>
    <s v="No Discount"/>
  </r>
  <r>
    <s v="TXN_00565"/>
    <d v="2024-11-06T00:00:00"/>
    <x v="0"/>
    <s v="Wednesday"/>
    <s v="STORE_024"/>
    <x v="3"/>
    <x v="2"/>
    <x v="7"/>
    <n v="413.79"/>
    <n v="4"/>
    <n v="1655.16"/>
    <n v="0"/>
    <n v="0"/>
    <n v="1655.16"/>
    <s v="UPI"/>
    <s v="CUST_00387"/>
    <n v="1"/>
    <n v="0"/>
    <n v="413.79"/>
    <s v="No Discount"/>
  </r>
  <r>
    <s v="TXN_00566"/>
    <d v="2024-12-01T00:00:00"/>
    <x v="6"/>
    <s v="Sunday"/>
    <s v="STORE_031"/>
    <x v="2"/>
    <x v="5"/>
    <x v="9"/>
    <n v="2765.5"/>
    <n v="9"/>
    <n v="24889.5"/>
    <n v="10"/>
    <n v="2488.9499999999998"/>
    <n v="22400.55"/>
    <s v="UPI"/>
    <s v="CUST_00781"/>
    <n v="2"/>
    <n v="2488.9500000000007"/>
    <n v="2488.9499999999998"/>
    <s v="Medium"/>
  </r>
  <r>
    <s v="TXN_00567"/>
    <d v="2024-06-13T00:00:00"/>
    <x v="10"/>
    <s v="Thursday"/>
    <s v="STORE_036"/>
    <x v="0"/>
    <x v="0"/>
    <x v="4"/>
    <n v="883.23"/>
    <n v="5"/>
    <n v="4416.1499999999996"/>
    <n v="10"/>
    <n v="441.62"/>
    <n v="3974.53"/>
    <s v="Wallet"/>
    <s v="CUST_00264"/>
    <n v="2"/>
    <n v="441.61999999999944"/>
    <n v="794.90600000000006"/>
    <s v="Medium"/>
  </r>
  <r>
    <s v="TXN_00568"/>
    <d v="2024-08-26T00:00:00"/>
    <x v="8"/>
    <s v="Monday"/>
    <s v="STORE_031"/>
    <x v="2"/>
    <x v="0"/>
    <x v="4"/>
    <n v="444.68"/>
    <n v="5"/>
    <n v="2223.4"/>
    <n v="5"/>
    <n v="111.17"/>
    <n v="2112.23"/>
    <s v="Wallet"/>
    <s v="CUST_00342"/>
    <n v="5"/>
    <n v="111.17000000000007"/>
    <n v="422.44600000000003"/>
    <s v="Low"/>
  </r>
  <r>
    <s v="TXN_00569"/>
    <d v="2024-08-14T00:00:00"/>
    <x v="8"/>
    <s v="Wednesday"/>
    <s v="STORE_047"/>
    <x v="1"/>
    <x v="5"/>
    <x v="9"/>
    <n v="1782.86"/>
    <n v="4"/>
    <n v="7131.44"/>
    <n v="0"/>
    <n v="0"/>
    <n v="7131.44"/>
    <s v="Credit Card"/>
    <s v="CUST_00504"/>
    <n v="5"/>
    <n v="0"/>
    <n v="1782.86"/>
    <s v="No Discount"/>
  </r>
  <r>
    <s v="TXN_00570"/>
    <d v="2024-08-14T00:00:00"/>
    <x v="8"/>
    <s v="Wednesday"/>
    <s v="STORE_042"/>
    <x v="4"/>
    <x v="0"/>
    <x v="4"/>
    <n v="952.23"/>
    <n v="6"/>
    <n v="5713.38"/>
    <n v="5"/>
    <n v="285.67"/>
    <n v="5427.71"/>
    <s v="UPI"/>
    <s v="CUST_00073"/>
    <n v="3"/>
    <n v="285.67000000000007"/>
    <n v="904.61833333333334"/>
    <s v="Low"/>
  </r>
  <r>
    <s v="TXN_00571"/>
    <d v="2024-12-11T00:00:00"/>
    <x v="6"/>
    <s v="Wednesday"/>
    <s v="STORE_013"/>
    <x v="3"/>
    <x v="0"/>
    <x v="18"/>
    <n v="993.98"/>
    <n v="2"/>
    <n v="1987.96"/>
    <n v="5"/>
    <n v="99.4"/>
    <n v="1888.56"/>
    <s v="Wallet"/>
    <s v="CUST_00981"/>
    <n v="2"/>
    <n v="99.400000000000091"/>
    <n v="944.28"/>
    <s v="Low"/>
  </r>
  <r>
    <s v="TXN_00572"/>
    <d v="2024-04-19T00:00:00"/>
    <x v="4"/>
    <s v="Friday"/>
    <s v="STORE_042"/>
    <x v="3"/>
    <x v="2"/>
    <x v="39"/>
    <n v="456.73"/>
    <n v="8"/>
    <n v="3653.84"/>
    <n v="15"/>
    <n v="548.08000000000004"/>
    <n v="3105.76"/>
    <s v="Cash"/>
    <s v="CUST_00949"/>
    <n v="1"/>
    <n v="548.07999999999993"/>
    <n v="388.22"/>
    <s v="Medium"/>
  </r>
  <r>
    <s v="TXN_00573"/>
    <d v="2024-09-18T00:00:00"/>
    <x v="9"/>
    <s v="Wednesday"/>
    <s v="STORE_045"/>
    <x v="0"/>
    <x v="0"/>
    <x v="0"/>
    <n v="393.88"/>
    <n v="1"/>
    <n v="393.88"/>
    <n v="20"/>
    <n v="78.78"/>
    <n v="315.10000000000002"/>
    <s v="Cash"/>
    <s v="CUST_00268"/>
    <n v="1"/>
    <n v="78.779999999999973"/>
    <n v="315.10000000000002"/>
    <s v="High"/>
  </r>
  <r>
    <s v="TXN_00574"/>
    <d v="2024-08-30T00:00:00"/>
    <x v="8"/>
    <s v="Friday"/>
    <s v="STORE_008"/>
    <x v="2"/>
    <x v="1"/>
    <x v="31"/>
    <n v="164.43"/>
    <n v="10"/>
    <n v="1644.3"/>
    <n v="10"/>
    <n v="164.43"/>
    <n v="1479.87"/>
    <s v="Debit Card"/>
    <s v="CUST_00660"/>
    <n v="1"/>
    <n v="164.43000000000006"/>
    <n v="147.98699999999999"/>
    <s v="Medium"/>
  </r>
  <r>
    <s v="TXN_00575"/>
    <d v="2024-03-27T00:00:00"/>
    <x v="5"/>
    <s v="Wednesday"/>
    <s v="STORE_011"/>
    <x v="3"/>
    <x v="0"/>
    <x v="4"/>
    <n v="764.86"/>
    <n v="2"/>
    <n v="1529.72"/>
    <n v="10"/>
    <n v="152.97"/>
    <n v="1376.75"/>
    <s v="Debit Card"/>
    <s v="CUST_00259"/>
    <n v="4"/>
    <n v="152.97000000000003"/>
    <n v="688.375"/>
    <s v="Medium"/>
  </r>
  <r>
    <s v="TXN_00576"/>
    <d v="2024-12-03T00:00:00"/>
    <x v="6"/>
    <s v="Tuesday"/>
    <s v="STORE_049"/>
    <x v="2"/>
    <x v="2"/>
    <x v="7"/>
    <n v="777.38"/>
    <n v="7"/>
    <n v="5441.66"/>
    <n v="10"/>
    <n v="544.16999999999996"/>
    <n v="4897.49"/>
    <s v="Cash"/>
    <s v="CUST_00112"/>
    <n v="4"/>
    <n v="544.17000000000007"/>
    <n v="699.64142857142849"/>
    <s v="Medium"/>
  </r>
  <r>
    <s v="TXN_00577"/>
    <d v="2024-02-13T00:00:00"/>
    <x v="1"/>
    <s v="Tuesday"/>
    <s v="STORE_001"/>
    <x v="0"/>
    <x v="4"/>
    <x v="20"/>
    <n v="271.06"/>
    <n v="4"/>
    <n v="1084.24"/>
    <n v="15"/>
    <n v="162.63999999999999"/>
    <n v="921.6"/>
    <s v="UPI"/>
    <s v="CUST_00836"/>
    <n v="3"/>
    <n v="162.63999999999999"/>
    <n v="230.4"/>
    <s v="Medium"/>
  </r>
  <r>
    <s v="TXN_00578"/>
    <d v="2024-05-25T00:00:00"/>
    <x v="3"/>
    <s v="Saturday"/>
    <s v="STORE_047"/>
    <x v="3"/>
    <x v="1"/>
    <x v="36"/>
    <n v="93.59"/>
    <n v="7"/>
    <n v="655.13"/>
    <n v="10"/>
    <n v="65.510000000000005"/>
    <n v="589.62"/>
    <s v="UPI"/>
    <s v="CUST_00175"/>
    <n v="3"/>
    <n v="65.509999999999991"/>
    <n v="84.231428571428566"/>
    <s v="Medium"/>
  </r>
  <r>
    <s v="TXN_00579"/>
    <d v="2024-09-20T00:00:00"/>
    <x v="9"/>
    <s v="Friday"/>
    <s v="STORE_033"/>
    <x v="2"/>
    <x v="5"/>
    <x v="25"/>
    <n v="1745.6"/>
    <n v="3"/>
    <n v="5236.8"/>
    <n v="0"/>
    <n v="0"/>
    <n v="5236.8"/>
    <s v="UPI"/>
    <s v="CUST_00462"/>
    <n v="2"/>
    <n v="0"/>
    <n v="1745.6000000000001"/>
    <s v="No Discount"/>
  </r>
  <r>
    <s v="TXN_00580"/>
    <d v="2024-12-05T00:00:00"/>
    <x v="6"/>
    <s v="Thursday"/>
    <s v="STORE_027"/>
    <x v="3"/>
    <x v="3"/>
    <x v="12"/>
    <n v="762.63"/>
    <n v="3"/>
    <n v="2287.89"/>
    <n v="20"/>
    <n v="457.58"/>
    <n v="1830.31"/>
    <s v="Debit Card"/>
    <s v="CUST_00642"/>
    <n v="3"/>
    <n v="457.57999999999993"/>
    <n v="610.10333333333335"/>
    <s v="High"/>
  </r>
  <r>
    <s v="TXN_00581"/>
    <d v="2024-11-20T00:00:00"/>
    <x v="0"/>
    <s v="Wednesday"/>
    <s v="STORE_005"/>
    <x v="1"/>
    <x v="7"/>
    <x v="38"/>
    <n v="395.77"/>
    <n v="2"/>
    <n v="791.54"/>
    <n v="5"/>
    <n v="39.58"/>
    <n v="751.96"/>
    <s v="Credit Card"/>
    <s v="CUST_00031"/>
    <n v="3"/>
    <n v="39.579999999999927"/>
    <n v="375.98"/>
    <s v="Low"/>
  </r>
  <r>
    <s v="TXN_00582"/>
    <d v="2024-11-13T00:00:00"/>
    <x v="0"/>
    <s v="Wednesday"/>
    <s v="STORE_049"/>
    <x v="2"/>
    <x v="3"/>
    <x v="5"/>
    <n v="1558.54"/>
    <n v="2"/>
    <n v="3117.08"/>
    <n v="0"/>
    <n v="0"/>
    <n v="3117.08"/>
    <s v="Credit Card"/>
    <s v="CUST_00682"/>
    <n v="3"/>
    <n v="0"/>
    <n v="1558.54"/>
    <s v="No Discount"/>
  </r>
  <r>
    <s v="TXN_00583"/>
    <d v="2024-06-20T00:00:00"/>
    <x v="10"/>
    <s v="Thursday"/>
    <s v="STORE_049"/>
    <x v="1"/>
    <x v="6"/>
    <x v="30"/>
    <n v="816.6"/>
    <n v="1"/>
    <n v="816.6"/>
    <n v="5"/>
    <n v="40.83"/>
    <n v="775.77"/>
    <s v="Wallet"/>
    <s v="CUST_00955"/>
    <n v="5"/>
    <n v="40.830000000000041"/>
    <n v="775.77"/>
    <s v="Low"/>
  </r>
  <r>
    <s v="TXN_00584"/>
    <d v="2024-02-17T00:00:00"/>
    <x v="1"/>
    <s v="Saturday"/>
    <s v="STORE_044"/>
    <x v="1"/>
    <x v="1"/>
    <x v="1"/>
    <n v="390.61"/>
    <n v="10"/>
    <n v="3906.1"/>
    <n v="5"/>
    <n v="195.31"/>
    <n v="3710.79"/>
    <s v="Cash"/>
    <s v="CUST_00323"/>
    <n v="3"/>
    <n v="195.30999999999995"/>
    <n v="371.07900000000001"/>
    <s v="Low"/>
  </r>
  <r>
    <s v="TXN_00585"/>
    <d v="2024-04-30T00:00:00"/>
    <x v="4"/>
    <s v="Tuesday"/>
    <s v="STORE_022"/>
    <x v="2"/>
    <x v="3"/>
    <x v="22"/>
    <n v="2062.2199999999998"/>
    <n v="7"/>
    <n v="14435.54"/>
    <n v="10"/>
    <n v="1443.55"/>
    <n v="12991.99"/>
    <s v="Credit Card"/>
    <s v="CUST_00004"/>
    <n v="3"/>
    <n v="1443.5500000000011"/>
    <n v="1855.9985714285715"/>
    <s v="Medium"/>
  </r>
  <r>
    <s v="TXN_00586"/>
    <d v="2024-12-10T00:00:00"/>
    <x v="6"/>
    <s v="Tuesday"/>
    <s v="STORE_034"/>
    <x v="1"/>
    <x v="1"/>
    <x v="1"/>
    <n v="376.35"/>
    <n v="3"/>
    <n v="1129.05"/>
    <n v="0"/>
    <n v="0"/>
    <n v="1129.05"/>
    <s v="Wallet"/>
    <s v="CUST_00974"/>
    <n v="1"/>
    <n v="0"/>
    <n v="376.34999999999997"/>
    <s v="No Discount"/>
  </r>
  <r>
    <s v="TXN_00587"/>
    <d v="2024-06-07T00:00:00"/>
    <x v="10"/>
    <s v="Friday"/>
    <s v="STORE_001"/>
    <x v="1"/>
    <x v="3"/>
    <x v="22"/>
    <n v="1465.37"/>
    <n v="8"/>
    <n v="11722.96"/>
    <n v="10"/>
    <n v="1172.3"/>
    <n v="10550.66"/>
    <s v="UPI"/>
    <s v="CUST_00018"/>
    <n v="2"/>
    <n v="1172.2999999999993"/>
    <n v="1318.8325"/>
    <s v="Medium"/>
  </r>
  <r>
    <s v="TXN_00588"/>
    <d v="2024-04-25T00:00:00"/>
    <x v="4"/>
    <s v="Thursday"/>
    <s v="STORE_039"/>
    <x v="3"/>
    <x v="4"/>
    <x v="8"/>
    <n v="586.32000000000005"/>
    <n v="6"/>
    <n v="3517.92"/>
    <n v="15"/>
    <n v="527.69000000000005"/>
    <n v="2990.23"/>
    <s v="UPI"/>
    <s v="CUST_00410"/>
    <n v="2"/>
    <n v="527.69000000000005"/>
    <n v="498.37166666666667"/>
    <s v="Medium"/>
  </r>
  <r>
    <s v="TXN_00589"/>
    <d v="2024-04-11T00:00:00"/>
    <x v="4"/>
    <s v="Thursday"/>
    <s v="STORE_019"/>
    <x v="4"/>
    <x v="7"/>
    <x v="24"/>
    <n v="813.5"/>
    <n v="8"/>
    <n v="6508"/>
    <n v="15"/>
    <n v="976.2"/>
    <n v="5531.8"/>
    <s v="Credit Card"/>
    <s v="CUST_00200"/>
    <n v="4"/>
    <n v="976.19999999999982"/>
    <n v="691.47500000000002"/>
    <s v="Medium"/>
  </r>
  <r>
    <s v="TXN_00590"/>
    <d v="2024-03-16T00:00:00"/>
    <x v="5"/>
    <s v="Saturday"/>
    <s v="STORE_006"/>
    <x v="1"/>
    <x v="5"/>
    <x v="10"/>
    <n v="4504.9399999999996"/>
    <n v="9"/>
    <n v="40544.46"/>
    <n v="0"/>
    <n v="0"/>
    <n v="40544.46"/>
    <s v="Debit Card"/>
    <s v="CUST_00853"/>
    <n v="4"/>
    <n v="0"/>
    <n v="4504.9399999999996"/>
    <s v="No Discount"/>
  </r>
  <r>
    <s v="TXN_00591"/>
    <d v="2024-01-13T00:00:00"/>
    <x v="2"/>
    <s v="Saturday"/>
    <s v="STORE_016"/>
    <x v="0"/>
    <x v="1"/>
    <x v="31"/>
    <n v="453.38"/>
    <n v="2"/>
    <n v="906.76"/>
    <n v="5"/>
    <n v="45.34"/>
    <n v="861.42"/>
    <s v="Wallet"/>
    <s v="CUST_00175"/>
    <n v="2"/>
    <n v="45.340000000000032"/>
    <n v="430.71"/>
    <s v="Low"/>
  </r>
  <r>
    <s v="TXN_00592"/>
    <d v="2024-01-24T00:00:00"/>
    <x v="2"/>
    <s v="Wednesday"/>
    <s v="STORE_050"/>
    <x v="1"/>
    <x v="7"/>
    <x v="28"/>
    <n v="821.87"/>
    <n v="1"/>
    <n v="821.87"/>
    <n v="0"/>
    <n v="0"/>
    <n v="821.87"/>
    <s v="Cash"/>
    <s v="CUST_00226"/>
    <n v="4"/>
    <n v="0"/>
    <n v="821.87"/>
    <s v="No Discount"/>
  </r>
  <r>
    <s v="TXN_00593"/>
    <d v="2024-05-05T00:00:00"/>
    <x v="3"/>
    <s v="Sunday"/>
    <s v="STORE_041"/>
    <x v="3"/>
    <x v="2"/>
    <x v="13"/>
    <n v="766.05"/>
    <n v="2"/>
    <n v="1532.1"/>
    <n v="15"/>
    <n v="229.81"/>
    <n v="1302.29"/>
    <s v="Debit Card"/>
    <s v="CUST_00093"/>
    <n v="5"/>
    <n v="229.80999999999995"/>
    <n v="651.14499999999998"/>
    <s v="Medium"/>
  </r>
  <r>
    <s v="TXN_00594"/>
    <d v="2024-08-31T00:00:00"/>
    <x v="8"/>
    <s v="Saturday"/>
    <s v="STORE_046"/>
    <x v="3"/>
    <x v="4"/>
    <x v="20"/>
    <n v="569.29999999999995"/>
    <n v="10"/>
    <n v="5693"/>
    <n v="0"/>
    <n v="0"/>
    <n v="5693"/>
    <s v="Cash"/>
    <s v="CUST_00670"/>
    <n v="4"/>
    <n v="0"/>
    <n v="569.29999999999995"/>
    <s v="No Discount"/>
  </r>
  <r>
    <s v="TXN_00595"/>
    <d v="2024-11-08T00:00:00"/>
    <x v="0"/>
    <s v="Friday"/>
    <s v="STORE_006"/>
    <x v="1"/>
    <x v="0"/>
    <x v="0"/>
    <n v="378.84"/>
    <n v="2"/>
    <n v="757.68"/>
    <n v="0"/>
    <n v="0"/>
    <n v="757.68"/>
    <s v="Credit Card"/>
    <s v="CUST_00759"/>
    <n v="1"/>
    <n v="0"/>
    <n v="378.84"/>
    <s v="No Discount"/>
  </r>
  <r>
    <s v="TXN_00596"/>
    <d v="2024-02-07T00:00:00"/>
    <x v="1"/>
    <s v="Wednesday"/>
    <s v="STORE_037"/>
    <x v="2"/>
    <x v="3"/>
    <x v="21"/>
    <n v="1803.95"/>
    <n v="3"/>
    <n v="5411.85"/>
    <n v="20"/>
    <n v="1082.3699999999999"/>
    <n v="4329.4799999999996"/>
    <s v="Cash"/>
    <s v="CUST_00319"/>
    <n v="4"/>
    <n v="1082.3700000000008"/>
    <n v="1443.1599999999999"/>
    <s v="High"/>
  </r>
  <r>
    <s v="TXN_00597"/>
    <d v="2024-08-21T00:00:00"/>
    <x v="8"/>
    <s v="Wednesday"/>
    <s v="STORE_044"/>
    <x v="0"/>
    <x v="6"/>
    <x v="26"/>
    <n v="1303.4000000000001"/>
    <n v="7"/>
    <n v="9123.7999999999993"/>
    <n v="5"/>
    <n v="456.19"/>
    <n v="8667.61"/>
    <s v="Cash"/>
    <s v="CUST_00533"/>
    <n v="3"/>
    <n v="456.18999999999869"/>
    <n v="1238.23"/>
    <s v="Low"/>
  </r>
  <r>
    <s v="TXN_00598"/>
    <d v="2024-07-31T00:00:00"/>
    <x v="11"/>
    <s v="Wednesday"/>
    <s v="STORE_010"/>
    <x v="1"/>
    <x v="3"/>
    <x v="21"/>
    <n v="1306.8699999999999"/>
    <n v="9"/>
    <n v="11761.83"/>
    <n v="20"/>
    <n v="2352.37"/>
    <n v="9409.4599999999991"/>
    <s v="UPI"/>
    <s v="CUST_00858"/>
    <n v="3"/>
    <n v="2352.3700000000008"/>
    <n v="1045.4955555555555"/>
    <s v="High"/>
  </r>
  <r>
    <s v="TXN_00599"/>
    <d v="2024-11-18T00:00:00"/>
    <x v="0"/>
    <s v="Monday"/>
    <s v="STORE_048"/>
    <x v="2"/>
    <x v="3"/>
    <x v="5"/>
    <n v="2103.9499999999998"/>
    <n v="3"/>
    <n v="6311.85"/>
    <n v="10"/>
    <n v="631.19000000000005"/>
    <n v="5680.66"/>
    <s v="Cash"/>
    <s v="CUST_00614"/>
    <n v="2"/>
    <n v="631.19000000000051"/>
    <n v="1893.5533333333333"/>
    <s v="Medium"/>
  </r>
  <r>
    <s v="TXN_00600"/>
    <d v="2024-10-21T00:00:00"/>
    <x v="7"/>
    <s v="Monday"/>
    <s v="STORE_041"/>
    <x v="0"/>
    <x v="4"/>
    <x v="35"/>
    <n v="376.07"/>
    <n v="2"/>
    <n v="752.14"/>
    <n v="0"/>
    <n v="0"/>
    <n v="752.14"/>
    <s v="Wallet"/>
    <s v="CUST_00507"/>
    <n v="4"/>
    <n v="0"/>
    <n v="376.07"/>
    <s v="No Discount"/>
  </r>
  <r>
    <s v="TXN_00601"/>
    <d v="2024-04-09T00:00:00"/>
    <x v="4"/>
    <s v="Tuesday"/>
    <s v="STORE_045"/>
    <x v="2"/>
    <x v="2"/>
    <x v="13"/>
    <n v="141.16999999999999"/>
    <n v="6"/>
    <n v="847.02"/>
    <n v="0"/>
    <n v="0"/>
    <n v="847.02"/>
    <s v="Debit Card"/>
    <s v="CUST_00946"/>
    <n v="2"/>
    <n v="0"/>
    <n v="141.16999999999999"/>
    <s v="No Discount"/>
  </r>
  <r>
    <s v="TXN_00602"/>
    <d v="2024-12-22T00:00:00"/>
    <x v="6"/>
    <s v="Sunday"/>
    <s v="STORE_036"/>
    <x v="3"/>
    <x v="5"/>
    <x v="9"/>
    <n v="3909.58"/>
    <n v="5"/>
    <n v="19547.900000000001"/>
    <n v="20"/>
    <n v="3909.58"/>
    <n v="15638.32"/>
    <s v="Debit Card"/>
    <s v="CUST_00346"/>
    <n v="1"/>
    <n v="3909.5800000000017"/>
    <n v="3127.6639999999998"/>
    <s v="High"/>
  </r>
  <r>
    <s v="TXN_00603"/>
    <d v="2024-07-15T00:00:00"/>
    <x v="11"/>
    <s v="Monday"/>
    <s v="STORE_047"/>
    <x v="1"/>
    <x v="0"/>
    <x v="4"/>
    <n v="992.25"/>
    <n v="7"/>
    <n v="6945.75"/>
    <n v="5"/>
    <n v="347.29"/>
    <n v="6598.46"/>
    <s v="Credit Card"/>
    <s v="CUST_00290"/>
    <n v="5"/>
    <n v="347.28999999999996"/>
    <n v="942.63714285714286"/>
    <s v="Low"/>
  </r>
  <r>
    <s v="TXN_00604"/>
    <d v="2024-09-10T00:00:00"/>
    <x v="9"/>
    <s v="Tuesday"/>
    <s v="STORE_046"/>
    <x v="1"/>
    <x v="3"/>
    <x v="16"/>
    <n v="1302.56"/>
    <n v="3"/>
    <n v="3907.68"/>
    <n v="0"/>
    <n v="0"/>
    <n v="3907.68"/>
    <s v="Wallet"/>
    <s v="CUST_00469"/>
    <n v="1"/>
    <n v="0"/>
    <n v="1302.56"/>
    <s v="No Discount"/>
  </r>
  <r>
    <s v="TXN_00605"/>
    <d v="2024-07-23T00:00:00"/>
    <x v="11"/>
    <s v="Tuesday"/>
    <s v="STORE_014"/>
    <x v="0"/>
    <x v="5"/>
    <x v="10"/>
    <n v="1550.24"/>
    <n v="8"/>
    <n v="12401.92"/>
    <n v="0"/>
    <n v="0"/>
    <n v="12401.92"/>
    <s v="Debit Card"/>
    <s v="CUST_00753"/>
    <n v="2"/>
    <n v="0"/>
    <n v="1550.24"/>
    <s v="No Discount"/>
  </r>
  <r>
    <s v="TXN_00606"/>
    <d v="2024-05-04T00:00:00"/>
    <x v="3"/>
    <s v="Saturday"/>
    <s v="STORE_028"/>
    <x v="0"/>
    <x v="6"/>
    <x v="15"/>
    <n v="1588.94"/>
    <n v="10"/>
    <n v="15889.4"/>
    <n v="0"/>
    <n v="0"/>
    <n v="15889.4"/>
    <s v="Debit Card"/>
    <s v="CUST_00949"/>
    <n v="4"/>
    <n v="0"/>
    <n v="1588.94"/>
    <s v="No Discount"/>
  </r>
  <r>
    <s v="TXN_00607"/>
    <d v="2024-03-16T00:00:00"/>
    <x v="5"/>
    <s v="Saturday"/>
    <s v="STORE_033"/>
    <x v="1"/>
    <x v="6"/>
    <x v="30"/>
    <n v="1033.3800000000001"/>
    <n v="8"/>
    <n v="8267.0400000000009"/>
    <n v="0"/>
    <n v="0"/>
    <n v="8267.0400000000009"/>
    <s v="Credit Card"/>
    <s v="CUST_00608"/>
    <n v="1"/>
    <n v="0"/>
    <n v="1033.3800000000001"/>
    <s v="No Discount"/>
  </r>
  <r>
    <s v="TXN_00608"/>
    <d v="2024-12-01T00:00:00"/>
    <x v="6"/>
    <s v="Sunday"/>
    <s v="STORE_016"/>
    <x v="3"/>
    <x v="0"/>
    <x v="0"/>
    <n v="701.58"/>
    <n v="7"/>
    <n v="4911.0600000000004"/>
    <n v="0"/>
    <n v="0"/>
    <n v="4911.0600000000004"/>
    <s v="Credit Card"/>
    <s v="CUST_00501"/>
    <n v="1"/>
    <n v="0"/>
    <n v="701.58"/>
    <s v="No Discount"/>
  </r>
  <r>
    <s v="TXN_00609"/>
    <d v="2024-12-18T00:00:00"/>
    <x v="6"/>
    <s v="Wednesday"/>
    <s v="STORE_042"/>
    <x v="3"/>
    <x v="2"/>
    <x v="7"/>
    <n v="768.19"/>
    <n v="7"/>
    <n v="5377.33"/>
    <n v="20"/>
    <n v="1075.47"/>
    <n v="4301.8599999999997"/>
    <s v="Credit Card"/>
    <s v="CUST_00282"/>
    <n v="4"/>
    <n v="1075.4700000000003"/>
    <n v="614.55142857142857"/>
    <s v="High"/>
  </r>
  <r>
    <s v="TXN_00610"/>
    <d v="2024-01-03T00:00:00"/>
    <x v="2"/>
    <s v="Wednesday"/>
    <s v="STORE_042"/>
    <x v="4"/>
    <x v="1"/>
    <x v="6"/>
    <n v="55.22"/>
    <n v="2"/>
    <n v="110.44"/>
    <n v="0"/>
    <n v="0"/>
    <n v="110.44"/>
    <s v="Credit Card"/>
    <s v="CUST_00231"/>
    <n v="4"/>
    <n v="0"/>
    <n v="55.22"/>
    <s v="No Discount"/>
  </r>
  <r>
    <s v="TXN_00611"/>
    <d v="2024-02-24T00:00:00"/>
    <x v="1"/>
    <s v="Saturday"/>
    <s v="STORE_038"/>
    <x v="0"/>
    <x v="6"/>
    <x v="26"/>
    <n v="1359.47"/>
    <n v="10"/>
    <n v="13594.7"/>
    <n v="5"/>
    <n v="679.74"/>
    <n v="12914.96"/>
    <s v="Cash"/>
    <s v="CUST_00394"/>
    <n v="1"/>
    <n v="679.7400000000016"/>
    <n v="1291.4959999999999"/>
    <s v="Low"/>
  </r>
  <r>
    <s v="TXN_00612"/>
    <d v="2024-08-05T00:00:00"/>
    <x v="8"/>
    <s v="Monday"/>
    <s v="STORE_046"/>
    <x v="4"/>
    <x v="1"/>
    <x v="1"/>
    <n v="184.26"/>
    <n v="3"/>
    <n v="552.78"/>
    <n v="0"/>
    <n v="0"/>
    <n v="552.78"/>
    <s v="Cash"/>
    <s v="CUST_00190"/>
    <n v="1"/>
    <n v="0"/>
    <n v="184.26"/>
    <s v="No Discount"/>
  </r>
  <r>
    <s v="TXN_00613"/>
    <d v="2024-04-22T00:00:00"/>
    <x v="4"/>
    <s v="Monday"/>
    <s v="STORE_005"/>
    <x v="4"/>
    <x v="0"/>
    <x v="18"/>
    <n v="515.04"/>
    <n v="9"/>
    <n v="4635.3599999999997"/>
    <n v="20"/>
    <n v="927.07"/>
    <n v="3708.29"/>
    <s v="Wallet"/>
    <s v="CUST_00858"/>
    <n v="4"/>
    <n v="927.06999999999971"/>
    <n v="412.03222222222223"/>
    <s v="High"/>
  </r>
  <r>
    <s v="TXN_00614"/>
    <d v="2024-03-31T00:00:00"/>
    <x v="5"/>
    <s v="Sunday"/>
    <s v="STORE_001"/>
    <x v="4"/>
    <x v="7"/>
    <x v="38"/>
    <n v="1458.82"/>
    <n v="2"/>
    <n v="2917.64"/>
    <n v="0"/>
    <n v="0"/>
    <n v="2917.64"/>
    <s v="Wallet"/>
    <s v="CUST_00458"/>
    <n v="2"/>
    <n v="0"/>
    <n v="1458.82"/>
    <s v="No Discount"/>
  </r>
  <r>
    <s v="TXN_00615"/>
    <d v="2024-12-22T00:00:00"/>
    <x v="6"/>
    <s v="Sunday"/>
    <s v="STORE_036"/>
    <x v="1"/>
    <x v="4"/>
    <x v="8"/>
    <n v="167.61"/>
    <n v="10"/>
    <n v="1676.1"/>
    <n v="0"/>
    <n v="0"/>
    <n v="1676.1"/>
    <s v="Debit Card"/>
    <s v="CUST_00872"/>
    <n v="1"/>
    <n v="0"/>
    <n v="167.60999999999999"/>
    <s v="No Discount"/>
  </r>
  <r>
    <s v="TXN_00616"/>
    <d v="2024-09-22T00:00:00"/>
    <x v="9"/>
    <s v="Sunday"/>
    <s v="STORE_011"/>
    <x v="3"/>
    <x v="6"/>
    <x v="30"/>
    <n v="1969.89"/>
    <n v="9"/>
    <n v="17729.009999999998"/>
    <n v="0"/>
    <n v="0"/>
    <n v="17729.009999999998"/>
    <s v="Cash"/>
    <s v="CUST_00968"/>
    <n v="5"/>
    <n v="0"/>
    <n v="1969.8899999999999"/>
    <s v="No Discount"/>
  </r>
  <r>
    <s v="TXN_00617"/>
    <d v="2024-08-25T00:00:00"/>
    <x v="8"/>
    <s v="Sunday"/>
    <s v="STORE_029"/>
    <x v="0"/>
    <x v="6"/>
    <x v="14"/>
    <n v="950.9"/>
    <n v="9"/>
    <n v="8558.1"/>
    <n v="20"/>
    <n v="1711.62"/>
    <n v="6846.48"/>
    <s v="Cash"/>
    <s v="CUST_00591"/>
    <n v="5"/>
    <n v="1711.6200000000008"/>
    <n v="760.71999999999991"/>
    <s v="High"/>
  </r>
  <r>
    <s v="TXN_00618"/>
    <d v="2024-01-26T00:00:00"/>
    <x v="2"/>
    <s v="Friday"/>
    <s v="STORE_014"/>
    <x v="2"/>
    <x v="1"/>
    <x v="6"/>
    <n v="285.2"/>
    <n v="6"/>
    <n v="1711.2"/>
    <n v="10"/>
    <n v="171.12"/>
    <n v="1540.08"/>
    <s v="Wallet"/>
    <s v="CUST_00679"/>
    <n v="5"/>
    <n v="171.12000000000012"/>
    <n v="256.68"/>
    <s v="Medium"/>
  </r>
  <r>
    <s v="TXN_00619"/>
    <d v="2024-10-12T00:00:00"/>
    <x v="7"/>
    <s v="Saturday"/>
    <s v="STORE_039"/>
    <x v="4"/>
    <x v="6"/>
    <x v="14"/>
    <n v="555.1"/>
    <n v="3"/>
    <n v="1665.3"/>
    <n v="0"/>
    <n v="0"/>
    <n v="1665.3"/>
    <s v="Debit Card"/>
    <s v="CUST_00222"/>
    <n v="2"/>
    <n v="0"/>
    <n v="555.1"/>
    <s v="No Discount"/>
  </r>
  <r>
    <s v="TXN_00620"/>
    <d v="2024-05-07T00:00:00"/>
    <x v="3"/>
    <s v="Tuesday"/>
    <s v="STORE_017"/>
    <x v="1"/>
    <x v="4"/>
    <x v="35"/>
    <n v="207.82"/>
    <n v="10"/>
    <n v="2078.1999999999998"/>
    <n v="5"/>
    <n v="103.91"/>
    <n v="1974.29"/>
    <s v="Credit Card"/>
    <s v="CUST_00391"/>
    <n v="5"/>
    <n v="103.90999999999985"/>
    <n v="197.429"/>
    <s v="Low"/>
  </r>
  <r>
    <s v="TXN_00621"/>
    <d v="2024-03-03T00:00:00"/>
    <x v="5"/>
    <s v="Sunday"/>
    <s v="STORE_035"/>
    <x v="0"/>
    <x v="5"/>
    <x v="9"/>
    <n v="2824.27"/>
    <n v="5"/>
    <n v="14121.35"/>
    <n v="15"/>
    <n v="2118.1999999999998"/>
    <n v="12003.15"/>
    <s v="UPI"/>
    <s v="CUST_00073"/>
    <n v="2"/>
    <n v="2118.2000000000007"/>
    <n v="2400.63"/>
    <s v="Medium"/>
  </r>
  <r>
    <s v="TXN_00622"/>
    <d v="2024-08-21T00:00:00"/>
    <x v="8"/>
    <s v="Wednesday"/>
    <s v="STORE_011"/>
    <x v="3"/>
    <x v="2"/>
    <x v="29"/>
    <n v="600.11"/>
    <n v="10"/>
    <n v="6001.1"/>
    <n v="15"/>
    <n v="900.17"/>
    <n v="5100.93"/>
    <s v="Wallet"/>
    <s v="CUST_00842"/>
    <n v="5"/>
    <n v="900.17000000000007"/>
    <n v="510.09300000000002"/>
    <s v="Medium"/>
  </r>
  <r>
    <s v="TXN_00623"/>
    <d v="2024-03-09T00:00:00"/>
    <x v="5"/>
    <s v="Saturday"/>
    <s v="STORE_016"/>
    <x v="2"/>
    <x v="5"/>
    <x v="25"/>
    <n v="4969.8"/>
    <n v="7"/>
    <n v="34788.6"/>
    <n v="5"/>
    <n v="1739.43"/>
    <n v="33049.17"/>
    <s v="Credit Card"/>
    <s v="CUST_00277"/>
    <n v="5"/>
    <n v="1739.4300000000003"/>
    <n v="4721.3099999999995"/>
    <s v="Low"/>
  </r>
  <r>
    <s v="TXN_00624"/>
    <d v="2024-08-25T00:00:00"/>
    <x v="8"/>
    <s v="Sunday"/>
    <s v="STORE_041"/>
    <x v="2"/>
    <x v="7"/>
    <x v="23"/>
    <n v="431.99"/>
    <n v="9"/>
    <n v="3887.91"/>
    <n v="5"/>
    <n v="194.4"/>
    <n v="3693.51"/>
    <s v="Credit Card"/>
    <s v="CUST_00372"/>
    <n v="3"/>
    <n v="194.39999999999964"/>
    <n v="410.39000000000004"/>
    <s v="Low"/>
  </r>
  <r>
    <s v="TXN_00625"/>
    <d v="2024-12-07T00:00:00"/>
    <x v="6"/>
    <s v="Saturday"/>
    <s v="STORE_025"/>
    <x v="0"/>
    <x v="4"/>
    <x v="35"/>
    <n v="215.85"/>
    <n v="4"/>
    <n v="863.4"/>
    <n v="0"/>
    <n v="0"/>
    <n v="863.4"/>
    <s v="Credit Card"/>
    <s v="CUST_00388"/>
    <n v="1"/>
    <n v="0"/>
    <n v="215.85"/>
    <s v="No Discount"/>
  </r>
  <r>
    <s v="TXN_00626"/>
    <d v="2024-09-28T00:00:00"/>
    <x v="9"/>
    <s v="Saturday"/>
    <s v="STORE_034"/>
    <x v="1"/>
    <x v="7"/>
    <x v="28"/>
    <n v="510.88"/>
    <n v="5"/>
    <n v="2554.4"/>
    <n v="10"/>
    <n v="255.44"/>
    <n v="2298.96"/>
    <s v="UPI"/>
    <s v="CUST_00718"/>
    <n v="1"/>
    <n v="255.44000000000005"/>
    <n v="459.79200000000003"/>
    <s v="Medium"/>
  </r>
  <r>
    <s v="TXN_00627"/>
    <d v="2024-10-13T00:00:00"/>
    <x v="7"/>
    <s v="Sunday"/>
    <s v="STORE_049"/>
    <x v="3"/>
    <x v="2"/>
    <x v="7"/>
    <n v="289.74"/>
    <n v="2"/>
    <n v="579.48"/>
    <n v="0"/>
    <n v="0"/>
    <n v="579.48"/>
    <s v="Debit Card"/>
    <s v="CUST_00186"/>
    <n v="3"/>
    <n v="0"/>
    <n v="289.74"/>
    <s v="No Discount"/>
  </r>
  <r>
    <s v="TXN_00628"/>
    <d v="2024-10-31T00:00:00"/>
    <x v="7"/>
    <s v="Thursday"/>
    <s v="STORE_017"/>
    <x v="2"/>
    <x v="4"/>
    <x v="17"/>
    <n v="398.25"/>
    <n v="7"/>
    <n v="2787.75"/>
    <n v="5"/>
    <n v="139.38999999999999"/>
    <n v="2648.36"/>
    <s v="Wallet"/>
    <s v="CUST_00704"/>
    <n v="2"/>
    <n v="139.38999999999987"/>
    <n v="378.33714285714285"/>
    <s v="Low"/>
  </r>
  <r>
    <s v="TXN_00629"/>
    <d v="2024-06-11T00:00:00"/>
    <x v="10"/>
    <s v="Tuesday"/>
    <s v="STORE_047"/>
    <x v="1"/>
    <x v="5"/>
    <x v="11"/>
    <n v="1570.68"/>
    <n v="10"/>
    <n v="15706.8"/>
    <n v="15"/>
    <n v="2356.02"/>
    <n v="13350.78"/>
    <s v="Cash"/>
    <s v="CUST_00725"/>
    <n v="1"/>
    <n v="2356.0199999999986"/>
    <n v="1335.078"/>
    <s v="Medium"/>
  </r>
  <r>
    <s v="TXN_00630"/>
    <d v="2024-08-14T00:00:00"/>
    <x v="8"/>
    <s v="Wednesday"/>
    <s v="STORE_030"/>
    <x v="4"/>
    <x v="3"/>
    <x v="16"/>
    <n v="1371.08"/>
    <n v="8"/>
    <n v="10968.64"/>
    <n v="0"/>
    <n v="0"/>
    <n v="10968.64"/>
    <s v="UPI"/>
    <s v="CUST_00294"/>
    <n v="3"/>
    <n v="0"/>
    <n v="1371.08"/>
    <s v="No Discount"/>
  </r>
  <r>
    <s v="TXN_00631"/>
    <d v="2024-11-09T00:00:00"/>
    <x v="0"/>
    <s v="Saturday"/>
    <s v="STORE_027"/>
    <x v="1"/>
    <x v="2"/>
    <x v="13"/>
    <n v="464.42"/>
    <n v="4"/>
    <n v="1857.68"/>
    <n v="0"/>
    <n v="0"/>
    <n v="1857.68"/>
    <s v="Credit Card"/>
    <s v="CUST_00866"/>
    <n v="3"/>
    <n v="0"/>
    <n v="464.42"/>
    <s v="No Discount"/>
  </r>
  <r>
    <s v="TXN_00632"/>
    <d v="2024-09-15T00:00:00"/>
    <x v="9"/>
    <s v="Sunday"/>
    <s v="STORE_004"/>
    <x v="2"/>
    <x v="7"/>
    <x v="28"/>
    <n v="392.03"/>
    <n v="4"/>
    <n v="1568.12"/>
    <n v="0"/>
    <n v="0"/>
    <n v="1568.12"/>
    <s v="Debit Card"/>
    <s v="CUST_00762"/>
    <n v="5"/>
    <n v="0"/>
    <n v="392.03"/>
    <s v="No Discount"/>
  </r>
  <r>
    <s v="TXN_00633"/>
    <d v="2024-08-06T00:00:00"/>
    <x v="8"/>
    <s v="Tuesday"/>
    <s v="STORE_031"/>
    <x v="3"/>
    <x v="2"/>
    <x v="7"/>
    <n v="750.71"/>
    <n v="1"/>
    <n v="750.71"/>
    <n v="5"/>
    <n v="37.54"/>
    <n v="713.17"/>
    <s v="Wallet"/>
    <s v="CUST_00528"/>
    <n v="2"/>
    <n v="37.540000000000077"/>
    <n v="713.17"/>
    <s v="Low"/>
  </r>
  <r>
    <s v="TXN_00634"/>
    <d v="2024-10-07T00:00:00"/>
    <x v="7"/>
    <s v="Monday"/>
    <s v="STORE_045"/>
    <x v="4"/>
    <x v="7"/>
    <x v="37"/>
    <n v="316.68"/>
    <n v="4"/>
    <n v="1266.72"/>
    <n v="20"/>
    <n v="253.34"/>
    <n v="1013.38"/>
    <s v="Credit Card"/>
    <s v="CUST_00768"/>
    <n v="4"/>
    <n v="253.34000000000003"/>
    <n v="253.345"/>
    <s v="High"/>
  </r>
  <r>
    <s v="TXN_00635"/>
    <d v="2024-08-16T00:00:00"/>
    <x v="8"/>
    <s v="Friday"/>
    <s v="STORE_039"/>
    <x v="3"/>
    <x v="4"/>
    <x v="20"/>
    <n v="597.4"/>
    <n v="9"/>
    <n v="5376.6"/>
    <n v="15"/>
    <n v="806.49"/>
    <n v="4570.1099999999997"/>
    <s v="Wallet"/>
    <s v="CUST_00988"/>
    <n v="1"/>
    <n v="806.49000000000069"/>
    <n v="507.78999999999996"/>
    <s v="Medium"/>
  </r>
  <r>
    <s v="TXN_00636"/>
    <d v="2024-03-22T00:00:00"/>
    <x v="5"/>
    <s v="Friday"/>
    <s v="STORE_033"/>
    <x v="1"/>
    <x v="5"/>
    <x v="10"/>
    <n v="4615.1899999999996"/>
    <n v="3"/>
    <n v="13845.57"/>
    <n v="0"/>
    <n v="0"/>
    <n v="13845.57"/>
    <s v="Cash"/>
    <s v="CUST_00976"/>
    <n v="2"/>
    <n v="0"/>
    <n v="4615.1899999999996"/>
    <s v="No Discount"/>
  </r>
  <r>
    <s v="TXN_00637"/>
    <d v="2024-08-31T00:00:00"/>
    <x v="8"/>
    <s v="Saturday"/>
    <s v="STORE_044"/>
    <x v="0"/>
    <x v="6"/>
    <x v="33"/>
    <n v="1243.26"/>
    <n v="3"/>
    <n v="3729.78"/>
    <n v="0"/>
    <n v="0"/>
    <n v="3729.78"/>
    <s v="Credit Card"/>
    <s v="CUST_00852"/>
    <n v="3"/>
    <n v="0"/>
    <n v="1243.26"/>
    <s v="No Discount"/>
  </r>
  <r>
    <s v="TXN_00638"/>
    <d v="2024-08-18T00:00:00"/>
    <x v="8"/>
    <s v="Sunday"/>
    <s v="STORE_048"/>
    <x v="4"/>
    <x v="7"/>
    <x v="24"/>
    <n v="659.01"/>
    <n v="5"/>
    <n v="3295.05"/>
    <n v="0"/>
    <n v="0"/>
    <n v="3295.05"/>
    <s v="Debit Card"/>
    <s v="CUST_00404"/>
    <n v="1"/>
    <n v="0"/>
    <n v="659.01"/>
    <s v="No Discount"/>
  </r>
  <r>
    <s v="TXN_00639"/>
    <d v="2024-05-12T00:00:00"/>
    <x v="3"/>
    <s v="Sunday"/>
    <s v="STORE_040"/>
    <x v="3"/>
    <x v="3"/>
    <x v="22"/>
    <n v="2801.51"/>
    <n v="9"/>
    <n v="25213.59"/>
    <n v="20"/>
    <n v="5042.72"/>
    <n v="20170.87"/>
    <s v="Credit Card"/>
    <s v="CUST_00059"/>
    <n v="4"/>
    <n v="5042.7200000000012"/>
    <n v="2241.2077777777777"/>
    <s v="High"/>
  </r>
  <r>
    <s v="TXN_00640"/>
    <d v="2024-05-06T00:00:00"/>
    <x v="3"/>
    <s v="Monday"/>
    <s v="STORE_001"/>
    <x v="1"/>
    <x v="4"/>
    <x v="8"/>
    <n v="426.99"/>
    <n v="6"/>
    <n v="2561.94"/>
    <n v="0"/>
    <n v="0"/>
    <n v="2561.94"/>
    <s v="Cash"/>
    <s v="CUST_00912"/>
    <n v="1"/>
    <n v="0"/>
    <n v="426.99"/>
    <s v="No Discount"/>
  </r>
  <r>
    <s v="TXN_00641"/>
    <d v="2024-11-22T00:00:00"/>
    <x v="0"/>
    <s v="Friday"/>
    <s v="STORE_006"/>
    <x v="4"/>
    <x v="5"/>
    <x v="9"/>
    <n v="2418.13"/>
    <n v="2"/>
    <n v="4836.26"/>
    <n v="5"/>
    <n v="241.81"/>
    <n v="4594.45"/>
    <s v="UPI"/>
    <s v="CUST_00527"/>
    <n v="2"/>
    <n v="241.8100000000004"/>
    <n v="2297.2249999999999"/>
    <s v="Low"/>
  </r>
  <r>
    <s v="TXN_00642"/>
    <d v="2024-05-21T00:00:00"/>
    <x v="3"/>
    <s v="Tuesday"/>
    <s v="STORE_015"/>
    <x v="3"/>
    <x v="5"/>
    <x v="9"/>
    <n v="1495.37"/>
    <n v="8"/>
    <n v="11962.96"/>
    <n v="0"/>
    <n v="0"/>
    <n v="11962.96"/>
    <s v="Debit Card"/>
    <s v="CUST_00405"/>
    <n v="3"/>
    <n v="0"/>
    <n v="1495.37"/>
    <s v="No Discount"/>
  </r>
  <r>
    <s v="TXN_00643"/>
    <d v="2024-09-23T00:00:00"/>
    <x v="9"/>
    <s v="Monday"/>
    <s v="STORE_029"/>
    <x v="3"/>
    <x v="4"/>
    <x v="35"/>
    <n v="314.02"/>
    <n v="3"/>
    <n v="942.06"/>
    <n v="10"/>
    <n v="94.21"/>
    <n v="847.85"/>
    <s v="Cash"/>
    <s v="CUST_00166"/>
    <n v="1"/>
    <n v="94.209999999999923"/>
    <n v="282.61666666666667"/>
    <s v="Medium"/>
  </r>
  <r>
    <s v="TXN_00644"/>
    <d v="2024-09-05T00:00:00"/>
    <x v="9"/>
    <s v="Thursday"/>
    <s v="STORE_013"/>
    <x v="1"/>
    <x v="5"/>
    <x v="25"/>
    <n v="3988.36"/>
    <n v="1"/>
    <n v="3988.36"/>
    <n v="0"/>
    <n v="0"/>
    <n v="3988.36"/>
    <s v="Debit Card"/>
    <s v="CUST_00042"/>
    <n v="1"/>
    <n v="0"/>
    <n v="3988.36"/>
    <s v="No Discount"/>
  </r>
  <r>
    <s v="TXN_00645"/>
    <d v="2024-11-16T00:00:00"/>
    <x v="0"/>
    <s v="Saturday"/>
    <s v="STORE_031"/>
    <x v="1"/>
    <x v="5"/>
    <x v="9"/>
    <n v="2684.22"/>
    <n v="6"/>
    <n v="16105.32"/>
    <n v="0"/>
    <n v="0"/>
    <n v="16105.32"/>
    <s v="Debit Card"/>
    <s v="CUST_00122"/>
    <n v="2"/>
    <n v="0"/>
    <n v="2684.22"/>
    <s v="No Discount"/>
  </r>
  <r>
    <s v="TXN_00646"/>
    <d v="2024-05-02T00:00:00"/>
    <x v="3"/>
    <s v="Thursday"/>
    <s v="STORE_047"/>
    <x v="3"/>
    <x v="0"/>
    <x v="4"/>
    <n v="640.1"/>
    <n v="3"/>
    <n v="1920.3"/>
    <n v="0"/>
    <n v="0"/>
    <n v="1920.3"/>
    <s v="UPI"/>
    <s v="CUST_00135"/>
    <n v="5"/>
    <n v="0"/>
    <n v="640.1"/>
    <s v="No Discount"/>
  </r>
  <r>
    <s v="TXN_00647"/>
    <d v="2024-05-20T00:00:00"/>
    <x v="3"/>
    <s v="Monday"/>
    <s v="STORE_001"/>
    <x v="0"/>
    <x v="7"/>
    <x v="28"/>
    <n v="1251.26"/>
    <n v="3"/>
    <n v="3753.78"/>
    <n v="0"/>
    <n v="0"/>
    <n v="3753.78"/>
    <s v="Cash"/>
    <s v="CUST_00054"/>
    <n v="5"/>
    <n v="0"/>
    <n v="1251.26"/>
    <s v="No Discount"/>
  </r>
  <r>
    <s v="TXN_00648"/>
    <d v="2024-08-13T00:00:00"/>
    <x v="8"/>
    <s v="Tuesday"/>
    <s v="STORE_019"/>
    <x v="3"/>
    <x v="4"/>
    <x v="19"/>
    <n v="589.4"/>
    <n v="1"/>
    <n v="589.4"/>
    <n v="5"/>
    <n v="29.47"/>
    <n v="559.92999999999995"/>
    <s v="UPI"/>
    <s v="CUST_00085"/>
    <n v="3"/>
    <n v="29.470000000000027"/>
    <n v="559.92999999999995"/>
    <s v="Low"/>
  </r>
  <r>
    <s v="TXN_00649"/>
    <d v="2024-02-09T00:00:00"/>
    <x v="1"/>
    <s v="Friday"/>
    <s v="STORE_050"/>
    <x v="2"/>
    <x v="0"/>
    <x v="0"/>
    <n v="694.09"/>
    <n v="9"/>
    <n v="6246.81"/>
    <n v="0"/>
    <n v="0"/>
    <n v="6246.81"/>
    <s v="Debit Card"/>
    <s v="CUST_00885"/>
    <n v="3"/>
    <n v="0"/>
    <n v="694.09"/>
    <s v="No Discount"/>
  </r>
  <r>
    <s v="TXN_00650"/>
    <d v="2024-12-31T00:00:00"/>
    <x v="6"/>
    <s v="Tuesday"/>
    <s v="STORE_045"/>
    <x v="4"/>
    <x v="2"/>
    <x v="29"/>
    <n v="566.42999999999995"/>
    <n v="7"/>
    <n v="3965.01"/>
    <n v="0"/>
    <n v="0"/>
    <n v="3965.01"/>
    <s v="UPI"/>
    <s v="CUST_00626"/>
    <n v="1"/>
    <n v="0"/>
    <n v="566.43000000000006"/>
    <s v="No Discount"/>
  </r>
  <r>
    <s v="TXN_00651"/>
    <d v="2024-05-26T00:00:00"/>
    <x v="3"/>
    <s v="Sunday"/>
    <s v="STORE_008"/>
    <x v="0"/>
    <x v="5"/>
    <x v="11"/>
    <n v="4970.21"/>
    <n v="10"/>
    <n v="49702.1"/>
    <n v="15"/>
    <n v="7455.31"/>
    <n v="42246.79"/>
    <s v="Debit Card"/>
    <s v="CUST_00411"/>
    <n v="2"/>
    <n v="7455.3099999999977"/>
    <n v="4224.6790000000001"/>
    <s v="Medium"/>
  </r>
  <r>
    <s v="TXN_00652"/>
    <d v="2024-04-30T00:00:00"/>
    <x v="4"/>
    <s v="Tuesday"/>
    <s v="STORE_013"/>
    <x v="2"/>
    <x v="6"/>
    <x v="15"/>
    <n v="1985.6"/>
    <n v="3"/>
    <n v="5956.8"/>
    <n v="5"/>
    <n v="297.83999999999997"/>
    <n v="5658.96"/>
    <s v="Credit Card"/>
    <s v="CUST_00886"/>
    <n v="5"/>
    <n v="297.84000000000015"/>
    <n v="1886.32"/>
    <s v="Low"/>
  </r>
  <r>
    <s v="TXN_00653"/>
    <d v="2024-05-19T00:00:00"/>
    <x v="3"/>
    <s v="Sunday"/>
    <s v="STORE_022"/>
    <x v="3"/>
    <x v="6"/>
    <x v="33"/>
    <n v="1110.95"/>
    <n v="5"/>
    <n v="5554.75"/>
    <n v="15"/>
    <n v="833.21"/>
    <n v="4721.54"/>
    <s v="Debit Card"/>
    <s v="CUST_00491"/>
    <n v="2"/>
    <n v="833.21"/>
    <n v="944.30799999999999"/>
    <s v="Medium"/>
  </r>
  <r>
    <s v="TXN_00654"/>
    <d v="2024-06-20T00:00:00"/>
    <x v="10"/>
    <s v="Thursday"/>
    <s v="STORE_024"/>
    <x v="1"/>
    <x v="6"/>
    <x v="26"/>
    <n v="1140.6099999999999"/>
    <n v="1"/>
    <n v="1140.6099999999999"/>
    <n v="0"/>
    <n v="0"/>
    <n v="1140.6099999999999"/>
    <s v="Credit Card"/>
    <s v="CUST_00966"/>
    <n v="3"/>
    <n v="0"/>
    <n v="1140.6099999999999"/>
    <s v="No Discount"/>
  </r>
  <r>
    <s v="TXN_00655"/>
    <d v="2024-06-12T00:00:00"/>
    <x v="10"/>
    <s v="Wednesday"/>
    <s v="STORE_004"/>
    <x v="1"/>
    <x v="4"/>
    <x v="19"/>
    <n v="261.14"/>
    <n v="1"/>
    <n v="261.14"/>
    <n v="0"/>
    <n v="0"/>
    <n v="261.14"/>
    <s v="Credit Card"/>
    <s v="CUST_00218"/>
    <n v="1"/>
    <n v="0"/>
    <n v="261.14"/>
    <s v="No Discount"/>
  </r>
  <r>
    <s v="TXN_00656"/>
    <d v="2024-10-03T00:00:00"/>
    <x v="7"/>
    <s v="Thursday"/>
    <s v="STORE_017"/>
    <x v="3"/>
    <x v="2"/>
    <x v="13"/>
    <n v="296.11"/>
    <n v="10"/>
    <n v="2961.1"/>
    <n v="0"/>
    <n v="0"/>
    <n v="2961.1"/>
    <s v="UPI"/>
    <s v="CUST_00373"/>
    <n v="2"/>
    <n v="0"/>
    <n v="296.11"/>
    <s v="No Discount"/>
  </r>
  <r>
    <s v="TXN_00657"/>
    <d v="2024-02-11T00:00:00"/>
    <x v="1"/>
    <s v="Sunday"/>
    <s v="STORE_022"/>
    <x v="1"/>
    <x v="4"/>
    <x v="35"/>
    <n v="200.19"/>
    <n v="1"/>
    <n v="200.19"/>
    <n v="15"/>
    <n v="30.03"/>
    <n v="170.16"/>
    <s v="Wallet"/>
    <s v="CUST_00760"/>
    <n v="2"/>
    <n v="30.03"/>
    <n v="170.16"/>
    <s v="Medium"/>
  </r>
  <r>
    <s v="TXN_00658"/>
    <d v="2024-03-11T00:00:00"/>
    <x v="5"/>
    <s v="Monday"/>
    <s v="STORE_038"/>
    <x v="3"/>
    <x v="4"/>
    <x v="17"/>
    <n v="387.99"/>
    <n v="6"/>
    <n v="2327.94"/>
    <n v="0"/>
    <n v="0"/>
    <n v="2327.94"/>
    <s v="Cash"/>
    <s v="CUST_00090"/>
    <n v="2"/>
    <n v="0"/>
    <n v="387.99"/>
    <s v="No Discount"/>
  </r>
  <r>
    <s v="TXN_00659"/>
    <d v="2024-03-18T00:00:00"/>
    <x v="5"/>
    <s v="Monday"/>
    <s v="STORE_042"/>
    <x v="0"/>
    <x v="7"/>
    <x v="38"/>
    <n v="1055.47"/>
    <n v="10"/>
    <n v="10554.7"/>
    <n v="0"/>
    <n v="0"/>
    <n v="10554.7"/>
    <s v="Credit Card"/>
    <s v="CUST_00198"/>
    <n v="5"/>
    <n v="0"/>
    <n v="1055.47"/>
    <s v="No Discount"/>
  </r>
  <r>
    <s v="TXN_00660"/>
    <d v="2024-04-28T00:00:00"/>
    <x v="4"/>
    <s v="Sunday"/>
    <s v="STORE_047"/>
    <x v="3"/>
    <x v="1"/>
    <x v="36"/>
    <n v="83.7"/>
    <n v="9"/>
    <n v="753.3"/>
    <n v="10"/>
    <n v="75.33"/>
    <n v="677.97"/>
    <s v="Cash"/>
    <s v="CUST_00780"/>
    <n v="3"/>
    <n v="75.329999999999927"/>
    <n v="75.33"/>
    <s v="Medium"/>
  </r>
  <r>
    <s v="TXN_00661"/>
    <d v="2024-07-15T00:00:00"/>
    <x v="11"/>
    <s v="Monday"/>
    <s v="STORE_036"/>
    <x v="1"/>
    <x v="3"/>
    <x v="16"/>
    <n v="2218.15"/>
    <n v="1"/>
    <n v="2218.15"/>
    <n v="0"/>
    <n v="0"/>
    <n v="2218.15"/>
    <s v="Debit Card"/>
    <s v="CUST_00913"/>
    <n v="4"/>
    <n v="0"/>
    <n v="2218.15"/>
    <s v="No Discount"/>
  </r>
  <r>
    <s v="TXN_00662"/>
    <d v="2024-12-21T00:00:00"/>
    <x v="6"/>
    <s v="Saturday"/>
    <s v="STORE_027"/>
    <x v="4"/>
    <x v="4"/>
    <x v="35"/>
    <n v="351.82"/>
    <n v="2"/>
    <n v="703.64"/>
    <n v="5"/>
    <n v="35.18"/>
    <n v="668.46"/>
    <s v="Credit Card"/>
    <s v="CUST_00954"/>
    <n v="4"/>
    <n v="35.17999999999995"/>
    <n v="334.23"/>
    <s v="Low"/>
  </r>
  <r>
    <s v="TXN_00663"/>
    <d v="2024-03-19T00:00:00"/>
    <x v="5"/>
    <s v="Tuesday"/>
    <s v="STORE_004"/>
    <x v="0"/>
    <x v="6"/>
    <x v="14"/>
    <n v="1398.73"/>
    <n v="3"/>
    <n v="4196.1899999999996"/>
    <n v="0"/>
    <n v="0"/>
    <n v="4196.1899999999996"/>
    <s v="Credit Card"/>
    <s v="CUST_00759"/>
    <n v="5"/>
    <n v="0"/>
    <n v="1398.7299999999998"/>
    <s v="No Discount"/>
  </r>
  <r>
    <s v="TXN_00664"/>
    <d v="2024-12-27T00:00:00"/>
    <x v="6"/>
    <s v="Friday"/>
    <s v="STORE_049"/>
    <x v="4"/>
    <x v="0"/>
    <x v="4"/>
    <n v="747.76"/>
    <n v="9"/>
    <n v="6729.84"/>
    <n v="0"/>
    <n v="0"/>
    <n v="6729.84"/>
    <s v="Debit Card"/>
    <s v="CUST_00394"/>
    <n v="4"/>
    <n v="0"/>
    <n v="747.76"/>
    <s v="No Discount"/>
  </r>
  <r>
    <s v="TXN_00665"/>
    <d v="2024-04-19T00:00:00"/>
    <x v="4"/>
    <s v="Friday"/>
    <s v="STORE_037"/>
    <x v="0"/>
    <x v="0"/>
    <x v="4"/>
    <n v="685.77"/>
    <n v="4"/>
    <n v="2743.08"/>
    <n v="0"/>
    <n v="0"/>
    <n v="2743.08"/>
    <s v="Credit Card"/>
    <s v="CUST_00607"/>
    <n v="2"/>
    <n v="0"/>
    <n v="685.77"/>
    <s v="No Discount"/>
  </r>
  <r>
    <s v="TXN_00666"/>
    <d v="2024-02-02T00:00:00"/>
    <x v="1"/>
    <s v="Friday"/>
    <s v="STORE_019"/>
    <x v="1"/>
    <x v="6"/>
    <x v="26"/>
    <n v="1183.1600000000001"/>
    <n v="9"/>
    <n v="10648.44"/>
    <n v="0"/>
    <n v="0"/>
    <n v="10648.44"/>
    <s v="Cash"/>
    <s v="CUST_00566"/>
    <n v="2"/>
    <n v="0"/>
    <n v="1183.1600000000001"/>
    <s v="No Discount"/>
  </r>
  <r>
    <s v="TXN_00667"/>
    <d v="2024-07-31T00:00:00"/>
    <x v="11"/>
    <s v="Wednesday"/>
    <s v="STORE_041"/>
    <x v="0"/>
    <x v="7"/>
    <x v="38"/>
    <n v="568.72"/>
    <n v="9"/>
    <n v="5118.4799999999996"/>
    <n v="0"/>
    <n v="0"/>
    <n v="5118.4799999999996"/>
    <s v="Cash"/>
    <s v="CUST_00965"/>
    <n v="1"/>
    <n v="0"/>
    <n v="568.71999999999991"/>
    <s v="No Discount"/>
  </r>
  <r>
    <s v="TXN_00668"/>
    <d v="2024-07-27T00:00:00"/>
    <x v="11"/>
    <s v="Saturday"/>
    <s v="STORE_035"/>
    <x v="2"/>
    <x v="2"/>
    <x v="29"/>
    <n v="289.3"/>
    <n v="1"/>
    <n v="289.3"/>
    <n v="15"/>
    <n v="43.4"/>
    <n v="245.9"/>
    <s v="Debit Card"/>
    <s v="CUST_00002"/>
    <n v="2"/>
    <n v="43.400000000000006"/>
    <n v="245.9"/>
    <s v="Medium"/>
  </r>
  <r>
    <s v="TXN_00669"/>
    <d v="2024-06-18T00:00:00"/>
    <x v="10"/>
    <s v="Tuesday"/>
    <s v="STORE_047"/>
    <x v="0"/>
    <x v="4"/>
    <x v="17"/>
    <n v="587.5"/>
    <n v="6"/>
    <n v="3525"/>
    <n v="0"/>
    <n v="0"/>
    <n v="3525"/>
    <s v="Wallet"/>
    <s v="CUST_00419"/>
    <n v="3"/>
    <n v="0"/>
    <n v="587.5"/>
    <s v="No Discount"/>
  </r>
  <r>
    <s v="TXN_00670"/>
    <d v="2024-10-04T00:00:00"/>
    <x v="7"/>
    <s v="Friday"/>
    <s v="STORE_047"/>
    <x v="1"/>
    <x v="2"/>
    <x v="39"/>
    <n v="789.68"/>
    <n v="1"/>
    <n v="789.68"/>
    <n v="20"/>
    <n v="157.94"/>
    <n v="631.74"/>
    <s v="Cash"/>
    <s v="CUST_00181"/>
    <n v="2"/>
    <n v="157.93999999999994"/>
    <n v="631.74"/>
    <s v="High"/>
  </r>
  <r>
    <s v="TXN_00671"/>
    <d v="2024-08-26T00:00:00"/>
    <x v="8"/>
    <s v="Monday"/>
    <s v="STORE_041"/>
    <x v="4"/>
    <x v="2"/>
    <x v="2"/>
    <n v="476.17"/>
    <n v="10"/>
    <n v="4761.7"/>
    <n v="0"/>
    <n v="0"/>
    <n v="4761.7"/>
    <s v="UPI"/>
    <s v="CUST_00565"/>
    <n v="3"/>
    <n v="0"/>
    <n v="476.16999999999996"/>
    <s v="No Discount"/>
  </r>
  <r>
    <s v="TXN_00672"/>
    <d v="2024-07-31T00:00:00"/>
    <x v="11"/>
    <s v="Wednesday"/>
    <s v="STORE_010"/>
    <x v="3"/>
    <x v="3"/>
    <x v="5"/>
    <n v="817.79"/>
    <n v="5"/>
    <n v="4088.95"/>
    <n v="0"/>
    <n v="0"/>
    <n v="4088.95"/>
    <s v="Wallet"/>
    <s v="CUST_00238"/>
    <n v="4"/>
    <n v="0"/>
    <n v="817.79"/>
    <s v="No Discount"/>
  </r>
  <r>
    <s v="TXN_00673"/>
    <d v="2024-02-01T00:00:00"/>
    <x v="1"/>
    <s v="Thursday"/>
    <s v="STORE_030"/>
    <x v="0"/>
    <x v="0"/>
    <x v="32"/>
    <n v="318.67"/>
    <n v="8"/>
    <n v="2549.36"/>
    <n v="0"/>
    <n v="0"/>
    <n v="2549.36"/>
    <s v="UPI"/>
    <s v="CUST_00836"/>
    <n v="2"/>
    <n v="0"/>
    <n v="318.67"/>
    <s v="No Discount"/>
  </r>
  <r>
    <s v="TXN_00674"/>
    <d v="2024-04-15T00:00:00"/>
    <x v="4"/>
    <s v="Monday"/>
    <s v="STORE_020"/>
    <x v="0"/>
    <x v="5"/>
    <x v="11"/>
    <n v="3278.63"/>
    <n v="3"/>
    <n v="9835.89"/>
    <n v="15"/>
    <n v="1475.38"/>
    <n v="8360.51"/>
    <s v="Cash"/>
    <s v="CUST_00907"/>
    <n v="1"/>
    <n v="1475.3799999999992"/>
    <n v="2786.8366666666666"/>
    <s v="Medium"/>
  </r>
  <r>
    <s v="TXN_00675"/>
    <d v="2024-08-03T00:00:00"/>
    <x v="8"/>
    <s v="Saturday"/>
    <s v="STORE_028"/>
    <x v="0"/>
    <x v="5"/>
    <x v="9"/>
    <n v="3749.47"/>
    <n v="4"/>
    <n v="14997.88"/>
    <n v="0"/>
    <n v="0"/>
    <n v="14997.88"/>
    <s v="Debit Card"/>
    <s v="CUST_00466"/>
    <n v="1"/>
    <n v="0"/>
    <n v="3749.47"/>
    <s v="No Discount"/>
  </r>
  <r>
    <s v="TXN_00676"/>
    <d v="2024-07-18T00:00:00"/>
    <x v="11"/>
    <s v="Thursday"/>
    <s v="STORE_007"/>
    <x v="3"/>
    <x v="0"/>
    <x v="18"/>
    <n v="779.45"/>
    <n v="3"/>
    <n v="2338.35"/>
    <n v="15"/>
    <n v="350.75"/>
    <n v="1987.6"/>
    <s v="Credit Card"/>
    <s v="CUST_00394"/>
    <n v="5"/>
    <n v="350.75"/>
    <n v="662.5333333333333"/>
    <s v="Medium"/>
  </r>
  <r>
    <s v="TXN_00677"/>
    <d v="2024-10-26T00:00:00"/>
    <x v="7"/>
    <s v="Saturday"/>
    <s v="STORE_018"/>
    <x v="0"/>
    <x v="6"/>
    <x v="30"/>
    <n v="1739.84"/>
    <n v="1"/>
    <n v="1739.84"/>
    <n v="0"/>
    <n v="0"/>
    <n v="1739.84"/>
    <s v="Debit Card"/>
    <s v="CUST_00962"/>
    <n v="1"/>
    <n v="0"/>
    <n v="1739.84"/>
    <s v="No Discount"/>
  </r>
  <r>
    <s v="TXN_00678"/>
    <d v="2024-12-22T00:00:00"/>
    <x v="6"/>
    <s v="Sunday"/>
    <s v="STORE_013"/>
    <x v="0"/>
    <x v="6"/>
    <x v="30"/>
    <n v="1936.43"/>
    <n v="2"/>
    <n v="3872.86"/>
    <n v="10"/>
    <n v="387.29"/>
    <n v="3485.57"/>
    <s v="Cash"/>
    <s v="CUST_00492"/>
    <n v="1"/>
    <n v="387.28999999999996"/>
    <n v="1742.7850000000001"/>
    <s v="Medium"/>
  </r>
  <r>
    <s v="TXN_00679"/>
    <d v="2024-01-11T00:00:00"/>
    <x v="2"/>
    <s v="Thursday"/>
    <s v="STORE_035"/>
    <x v="1"/>
    <x v="1"/>
    <x v="31"/>
    <n v="188.32"/>
    <n v="8"/>
    <n v="1506.56"/>
    <n v="0"/>
    <n v="0"/>
    <n v="1506.56"/>
    <s v="Debit Card"/>
    <s v="CUST_00643"/>
    <n v="1"/>
    <n v="0"/>
    <n v="188.32"/>
    <s v="No Discount"/>
  </r>
  <r>
    <s v="TXN_00680"/>
    <d v="2024-10-21T00:00:00"/>
    <x v="7"/>
    <s v="Monday"/>
    <s v="STORE_033"/>
    <x v="3"/>
    <x v="7"/>
    <x v="28"/>
    <n v="1289.9100000000001"/>
    <n v="2"/>
    <n v="2579.8200000000002"/>
    <n v="10"/>
    <n v="257.98"/>
    <n v="2321.84"/>
    <s v="Cash"/>
    <s v="CUST_00146"/>
    <n v="1"/>
    <n v="257.98"/>
    <n v="1160.92"/>
    <s v="Medium"/>
  </r>
  <r>
    <s v="TXN_00681"/>
    <d v="2024-07-13T00:00:00"/>
    <x v="11"/>
    <s v="Saturday"/>
    <s v="STORE_042"/>
    <x v="1"/>
    <x v="6"/>
    <x v="14"/>
    <n v="536"/>
    <n v="7"/>
    <n v="3752"/>
    <n v="5"/>
    <n v="187.6"/>
    <n v="3564.4"/>
    <s v="Debit Card"/>
    <s v="CUST_00232"/>
    <n v="3"/>
    <n v="187.59999999999991"/>
    <n v="509.2"/>
    <s v="Low"/>
  </r>
  <r>
    <s v="TXN_00682"/>
    <d v="2024-09-01T00:00:00"/>
    <x v="9"/>
    <s v="Sunday"/>
    <s v="STORE_023"/>
    <x v="2"/>
    <x v="0"/>
    <x v="18"/>
    <n v="593.46"/>
    <n v="2"/>
    <n v="1186.92"/>
    <n v="0"/>
    <n v="0"/>
    <n v="1186.92"/>
    <s v="Credit Card"/>
    <s v="CUST_00631"/>
    <n v="3"/>
    <n v="0"/>
    <n v="593.46"/>
    <s v="No Discount"/>
  </r>
  <r>
    <s v="TXN_00683"/>
    <d v="2024-01-04T00:00:00"/>
    <x v="2"/>
    <s v="Thursday"/>
    <s v="STORE_012"/>
    <x v="3"/>
    <x v="4"/>
    <x v="8"/>
    <n v="312.22000000000003"/>
    <n v="2"/>
    <n v="624.44000000000005"/>
    <n v="0"/>
    <n v="0"/>
    <n v="624.44000000000005"/>
    <s v="Wallet"/>
    <s v="CUST_00544"/>
    <n v="2"/>
    <n v="0"/>
    <n v="312.22000000000003"/>
    <s v="No Discount"/>
  </r>
  <r>
    <s v="TXN_00684"/>
    <d v="2024-06-29T00:00:00"/>
    <x v="10"/>
    <s v="Saturday"/>
    <s v="STORE_019"/>
    <x v="1"/>
    <x v="4"/>
    <x v="17"/>
    <n v="231.61"/>
    <n v="7"/>
    <n v="1621.27"/>
    <n v="0"/>
    <n v="0"/>
    <n v="1621.27"/>
    <s v="Cash"/>
    <s v="CUST_00897"/>
    <n v="5"/>
    <n v="0"/>
    <n v="231.60999999999999"/>
    <s v="No Discount"/>
  </r>
  <r>
    <s v="TXN_00685"/>
    <d v="2024-06-01T00:00:00"/>
    <x v="10"/>
    <s v="Saturday"/>
    <s v="STORE_010"/>
    <x v="0"/>
    <x v="7"/>
    <x v="24"/>
    <n v="1399.48"/>
    <n v="6"/>
    <n v="8396.8799999999992"/>
    <n v="0"/>
    <n v="0"/>
    <n v="8396.8799999999992"/>
    <s v="Credit Card"/>
    <s v="CUST_00328"/>
    <n v="1"/>
    <n v="0"/>
    <n v="1399.4799999999998"/>
    <s v="No Discount"/>
  </r>
  <r>
    <s v="TXN_00686"/>
    <d v="2024-07-18T00:00:00"/>
    <x v="11"/>
    <s v="Thursday"/>
    <s v="STORE_037"/>
    <x v="3"/>
    <x v="5"/>
    <x v="9"/>
    <n v="2786.78"/>
    <n v="8"/>
    <n v="22294.240000000002"/>
    <n v="20"/>
    <n v="4458.8500000000004"/>
    <n v="17835.39"/>
    <s v="Credit Card"/>
    <s v="CUST_00983"/>
    <n v="1"/>
    <n v="4458.8500000000022"/>
    <n v="2229.4237499999999"/>
    <s v="High"/>
  </r>
  <r>
    <s v="TXN_00687"/>
    <d v="2024-08-02T00:00:00"/>
    <x v="8"/>
    <s v="Friday"/>
    <s v="STORE_021"/>
    <x v="3"/>
    <x v="2"/>
    <x v="29"/>
    <n v="163.31"/>
    <n v="3"/>
    <n v="489.93"/>
    <n v="0"/>
    <n v="0"/>
    <n v="489.93"/>
    <s v="UPI"/>
    <s v="CUST_00435"/>
    <n v="3"/>
    <n v="0"/>
    <n v="163.31"/>
    <s v="No Discount"/>
  </r>
  <r>
    <s v="TXN_00688"/>
    <d v="2024-10-02T00:00:00"/>
    <x v="7"/>
    <s v="Wednesday"/>
    <s v="STORE_027"/>
    <x v="4"/>
    <x v="1"/>
    <x v="1"/>
    <n v="320.77999999999997"/>
    <n v="6"/>
    <n v="1924.68"/>
    <n v="0"/>
    <n v="0"/>
    <n v="1924.68"/>
    <s v="Debit Card"/>
    <s v="CUST_00510"/>
    <n v="4"/>
    <n v="0"/>
    <n v="320.78000000000003"/>
    <s v="No Discount"/>
  </r>
  <r>
    <s v="TXN_00689"/>
    <d v="2024-10-06T00:00:00"/>
    <x v="7"/>
    <s v="Sunday"/>
    <s v="STORE_046"/>
    <x v="3"/>
    <x v="1"/>
    <x v="3"/>
    <n v="291.3"/>
    <n v="4"/>
    <n v="1165.2"/>
    <n v="5"/>
    <n v="58.26"/>
    <n v="1106.94"/>
    <s v="Credit Card"/>
    <s v="CUST_00540"/>
    <n v="5"/>
    <n v="58.259999999999991"/>
    <n v="276.73500000000001"/>
    <s v="Low"/>
  </r>
  <r>
    <s v="TXN_00690"/>
    <d v="2024-11-04T00:00:00"/>
    <x v="0"/>
    <s v="Monday"/>
    <s v="STORE_036"/>
    <x v="3"/>
    <x v="3"/>
    <x v="21"/>
    <n v="858.54"/>
    <n v="1"/>
    <n v="858.54"/>
    <n v="0"/>
    <n v="0"/>
    <n v="858.54"/>
    <s v="Credit Card"/>
    <s v="CUST_00981"/>
    <n v="3"/>
    <n v="0"/>
    <n v="858.54"/>
    <s v="No Discount"/>
  </r>
  <r>
    <s v="TXN_00691"/>
    <d v="2024-04-22T00:00:00"/>
    <x v="4"/>
    <s v="Monday"/>
    <s v="STORE_030"/>
    <x v="0"/>
    <x v="5"/>
    <x v="34"/>
    <n v="1238.31"/>
    <n v="6"/>
    <n v="7429.86"/>
    <n v="0"/>
    <n v="0"/>
    <n v="7429.86"/>
    <s v="Debit Card"/>
    <s v="CUST_00856"/>
    <n v="3"/>
    <n v="0"/>
    <n v="1238.31"/>
    <s v="No Discount"/>
  </r>
  <r>
    <s v="TXN_00692"/>
    <d v="2024-09-06T00:00:00"/>
    <x v="9"/>
    <s v="Friday"/>
    <s v="STORE_045"/>
    <x v="0"/>
    <x v="0"/>
    <x v="0"/>
    <n v="368.59"/>
    <n v="4"/>
    <n v="1474.36"/>
    <n v="0"/>
    <n v="0"/>
    <n v="1474.36"/>
    <s v="Debit Card"/>
    <s v="CUST_00387"/>
    <n v="1"/>
    <n v="0"/>
    <n v="368.59"/>
    <s v="No Discount"/>
  </r>
  <r>
    <s v="TXN_00693"/>
    <d v="2024-04-22T00:00:00"/>
    <x v="4"/>
    <s v="Monday"/>
    <s v="STORE_031"/>
    <x v="4"/>
    <x v="6"/>
    <x v="33"/>
    <n v="1057.53"/>
    <n v="2"/>
    <n v="2115.06"/>
    <n v="15"/>
    <n v="317.26"/>
    <n v="1797.8"/>
    <s v="Wallet"/>
    <s v="CUST_00892"/>
    <n v="1"/>
    <n v="317.26"/>
    <n v="898.9"/>
    <s v="Medium"/>
  </r>
  <r>
    <s v="TXN_00694"/>
    <d v="2024-05-19T00:00:00"/>
    <x v="3"/>
    <s v="Sunday"/>
    <s v="STORE_001"/>
    <x v="4"/>
    <x v="5"/>
    <x v="34"/>
    <n v="1587.55"/>
    <n v="3"/>
    <n v="4762.6499999999996"/>
    <n v="0"/>
    <n v="0"/>
    <n v="4762.6499999999996"/>
    <s v="Debit Card"/>
    <s v="CUST_00852"/>
    <n v="1"/>
    <n v="0"/>
    <n v="1587.55"/>
    <s v="No Discount"/>
  </r>
  <r>
    <s v="TXN_00695"/>
    <d v="2024-08-11T00:00:00"/>
    <x v="8"/>
    <s v="Sunday"/>
    <s v="STORE_045"/>
    <x v="1"/>
    <x v="0"/>
    <x v="0"/>
    <n v="812.33"/>
    <n v="8"/>
    <n v="6498.64"/>
    <n v="15"/>
    <n v="974.8"/>
    <n v="5523.84"/>
    <s v="Debit Card"/>
    <s v="CUST_00482"/>
    <n v="5"/>
    <n v="974.80000000000018"/>
    <n v="690.48"/>
    <s v="Medium"/>
  </r>
  <r>
    <s v="TXN_00696"/>
    <d v="2024-09-05T00:00:00"/>
    <x v="9"/>
    <s v="Thursday"/>
    <s v="STORE_004"/>
    <x v="2"/>
    <x v="0"/>
    <x v="32"/>
    <n v="555.17999999999995"/>
    <n v="1"/>
    <n v="555.17999999999995"/>
    <n v="0"/>
    <n v="0"/>
    <n v="555.17999999999995"/>
    <s v="Credit Card"/>
    <s v="CUST_00619"/>
    <n v="2"/>
    <n v="0"/>
    <n v="555.17999999999995"/>
    <s v="No Discount"/>
  </r>
  <r>
    <s v="TXN_00697"/>
    <d v="2024-01-15T00:00:00"/>
    <x v="2"/>
    <s v="Monday"/>
    <s v="STORE_036"/>
    <x v="1"/>
    <x v="5"/>
    <x v="10"/>
    <n v="1641.4"/>
    <n v="7"/>
    <n v="11489.8"/>
    <n v="20"/>
    <n v="2297.96"/>
    <n v="9191.84"/>
    <s v="UPI"/>
    <s v="CUST_00942"/>
    <n v="4"/>
    <n v="2297.9599999999991"/>
    <n v="1313.1200000000001"/>
    <s v="High"/>
  </r>
  <r>
    <s v="TXN_00698"/>
    <d v="2024-07-18T00:00:00"/>
    <x v="11"/>
    <s v="Thursday"/>
    <s v="STORE_025"/>
    <x v="0"/>
    <x v="2"/>
    <x v="29"/>
    <n v="396.57"/>
    <n v="3"/>
    <n v="1189.71"/>
    <n v="0"/>
    <n v="0"/>
    <n v="1189.71"/>
    <s v="Credit Card"/>
    <s v="CUST_00761"/>
    <n v="5"/>
    <n v="0"/>
    <n v="396.57"/>
    <s v="No Discount"/>
  </r>
  <r>
    <s v="TXN_00699"/>
    <d v="2024-06-21T00:00:00"/>
    <x v="10"/>
    <s v="Friday"/>
    <s v="STORE_039"/>
    <x v="2"/>
    <x v="3"/>
    <x v="5"/>
    <n v="1933.32"/>
    <n v="4"/>
    <n v="7733.28"/>
    <n v="5"/>
    <n v="386.66"/>
    <n v="7346.62"/>
    <s v="Debit Card"/>
    <s v="CUST_00837"/>
    <n v="5"/>
    <n v="386.65999999999985"/>
    <n v="1836.655"/>
    <s v="Low"/>
  </r>
  <r>
    <s v="TXN_00700"/>
    <d v="2024-12-08T00:00:00"/>
    <x v="6"/>
    <s v="Sunday"/>
    <s v="STORE_004"/>
    <x v="1"/>
    <x v="1"/>
    <x v="1"/>
    <n v="190.94"/>
    <n v="7"/>
    <n v="1336.58"/>
    <n v="20"/>
    <n v="267.32"/>
    <n v="1069.26"/>
    <s v="UPI"/>
    <s v="CUST_00663"/>
    <n v="2"/>
    <n v="267.31999999999994"/>
    <n v="152.75142857142856"/>
    <s v="High"/>
  </r>
  <r>
    <s v="TXN_00701"/>
    <d v="2024-12-13T00:00:00"/>
    <x v="6"/>
    <s v="Friday"/>
    <s v="STORE_050"/>
    <x v="1"/>
    <x v="0"/>
    <x v="0"/>
    <n v="415.94"/>
    <n v="2"/>
    <n v="831.88"/>
    <n v="0"/>
    <n v="0"/>
    <n v="831.88"/>
    <s v="Cash"/>
    <s v="CUST_00029"/>
    <n v="5"/>
    <n v="0"/>
    <n v="415.94"/>
    <s v="No Discount"/>
  </r>
  <r>
    <s v="TXN_00702"/>
    <d v="2024-07-26T00:00:00"/>
    <x v="11"/>
    <s v="Friday"/>
    <s v="STORE_001"/>
    <x v="1"/>
    <x v="3"/>
    <x v="22"/>
    <n v="655.73"/>
    <n v="2"/>
    <n v="1311.46"/>
    <n v="0"/>
    <n v="0"/>
    <n v="1311.46"/>
    <s v="Debit Card"/>
    <s v="CUST_00193"/>
    <n v="5"/>
    <n v="0"/>
    <n v="655.73"/>
    <s v="No Discount"/>
  </r>
  <r>
    <s v="TXN_00703"/>
    <d v="2024-03-25T00:00:00"/>
    <x v="5"/>
    <s v="Monday"/>
    <s v="STORE_037"/>
    <x v="3"/>
    <x v="3"/>
    <x v="21"/>
    <n v="872.94"/>
    <n v="2"/>
    <n v="1745.88"/>
    <n v="10"/>
    <n v="174.59"/>
    <n v="1571.29"/>
    <s v="Wallet"/>
    <s v="CUST_00047"/>
    <n v="1"/>
    <n v="174.59000000000015"/>
    <n v="785.64499999999998"/>
    <s v="Medium"/>
  </r>
  <r>
    <s v="TXN_00704"/>
    <d v="2024-08-27T00:00:00"/>
    <x v="8"/>
    <s v="Tuesday"/>
    <s v="STORE_026"/>
    <x v="4"/>
    <x v="6"/>
    <x v="15"/>
    <n v="639.82000000000005"/>
    <n v="5"/>
    <n v="3199.1"/>
    <n v="0"/>
    <n v="0"/>
    <n v="3199.1"/>
    <s v="Cash"/>
    <s v="CUST_00200"/>
    <n v="3"/>
    <n v="0"/>
    <n v="639.81999999999994"/>
    <s v="No Discount"/>
  </r>
  <r>
    <s v="TXN_00705"/>
    <d v="2024-03-06T00:00:00"/>
    <x v="5"/>
    <s v="Wednesday"/>
    <s v="STORE_027"/>
    <x v="4"/>
    <x v="4"/>
    <x v="19"/>
    <n v="476.56"/>
    <n v="3"/>
    <n v="1429.68"/>
    <n v="15"/>
    <n v="214.45"/>
    <n v="1215.23"/>
    <s v="Credit Card"/>
    <s v="CUST_00104"/>
    <n v="3"/>
    <n v="214.45000000000005"/>
    <n v="405.07666666666665"/>
    <s v="Medium"/>
  </r>
  <r>
    <s v="TXN_00706"/>
    <d v="2024-11-14T00:00:00"/>
    <x v="0"/>
    <s v="Thursday"/>
    <s v="STORE_019"/>
    <x v="0"/>
    <x v="5"/>
    <x v="34"/>
    <n v="3348.7"/>
    <n v="7"/>
    <n v="23440.9"/>
    <n v="5"/>
    <n v="1172.05"/>
    <n v="22268.85"/>
    <s v="Wallet"/>
    <s v="CUST_00156"/>
    <n v="1"/>
    <n v="1172.0500000000029"/>
    <n v="3181.2642857142855"/>
    <s v="Low"/>
  </r>
  <r>
    <s v="TXN_00707"/>
    <d v="2024-09-30T00:00:00"/>
    <x v="9"/>
    <s v="Monday"/>
    <s v="STORE_044"/>
    <x v="0"/>
    <x v="1"/>
    <x v="36"/>
    <n v="448.34"/>
    <n v="2"/>
    <n v="896.68"/>
    <n v="15"/>
    <n v="134.5"/>
    <n v="762.18"/>
    <s v="Debit Card"/>
    <s v="CUST_00788"/>
    <n v="2"/>
    <n v="134.5"/>
    <n v="381.09"/>
    <s v="Medium"/>
  </r>
  <r>
    <s v="TXN_00708"/>
    <d v="2024-01-14T00:00:00"/>
    <x v="2"/>
    <s v="Sunday"/>
    <s v="STORE_029"/>
    <x v="0"/>
    <x v="5"/>
    <x v="10"/>
    <n v="3065.2"/>
    <n v="10"/>
    <n v="30652"/>
    <n v="15"/>
    <n v="4597.8"/>
    <n v="26054.2"/>
    <s v="Wallet"/>
    <s v="CUST_00348"/>
    <n v="3"/>
    <n v="4597.7999999999993"/>
    <n v="2605.42"/>
    <s v="Medium"/>
  </r>
  <r>
    <s v="TXN_00709"/>
    <d v="2024-07-20T00:00:00"/>
    <x v="11"/>
    <s v="Saturday"/>
    <s v="STORE_014"/>
    <x v="4"/>
    <x v="2"/>
    <x v="39"/>
    <n v="536.42999999999995"/>
    <n v="7"/>
    <n v="3755.01"/>
    <n v="0"/>
    <n v="0"/>
    <n v="3755.01"/>
    <s v="UPI"/>
    <s v="CUST_00622"/>
    <n v="2"/>
    <n v="0"/>
    <n v="536.43000000000006"/>
    <s v="No Discount"/>
  </r>
  <r>
    <s v="TXN_00710"/>
    <d v="2024-10-30T00:00:00"/>
    <x v="7"/>
    <s v="Wednesday"/>
    <s v="STORE_050"/>
    <x v="1"/>
    <x v="7"/>
    <x v="38"/>
    <n v="980.28"/>
    <n v="8"/>
    <n v="7842.24"/>
    <n v="0"/>
    <n v="0"/>
    <n v="7842.24"/>
    <s v="Credit Card"/>
    <s v="CUST_00561"/>
    <n v="2"/>
    <n v="0"/>
    <n v="980.28"/>
    <s v="No Discount"/>
  </r>
  <r>
    <s v="TXN_00711"/>
    <d v="2024-10-15T00:00:00"/>
    <x v="7"/>
    <s v="Tuesday"/>
    <s v="STORE_005"/>
    <x v="1"/>
    <x v="7"/>
    <x v="37"/>
    <n v="412.94"/>
    <n v="6"/>
    <n v="2477.64"/>
    <n v="0"/>
    <n v="0"/>
    <n v="2477.64"/>
    <s v="Cash"/>
    <s v="CUST_00591"/>
    <n v="2"/>
    <n v="0"/>
    <n v="412.94"/>
    <s v="No Discount"/>
  </r>
  <r>
    <s v="TXN_00712"/>
    <d v="2024-12-05T00:00:00"/>
    <x v="6"/>
    <s v="Thursday"/>
    <s v="STORE_031"/>
    <x v="1"/>
    <x v="4"/>
    <x v="35"/>
    <n v="190.15"/>
    <n v="3"/>
    <n v="570.45000000000005"/>
    <n v="15"/>
    <n v="85.57"/>
    <n v="484.88"/>
    <s v="UPI"/>
    <s v="CUST_00782"/>
    <n v="3"/>
    <n v="85.57000000000005"/>
    <n v="161.62666666666667"/>
    <s v="Medium"/>
  </r>
  <r>
    <s v="TXN_00713"/>
    <d v="2024-01-14T00:00:00"/>
    <x v="2"/>
    <s v="Sunday"/>
    <s v="STORE_019"/>
    <x v="3"/>
    <x v="1"/>
    <x v="31"/>
    <n v="472.92"/>
    <n v="10"/>
    <n v="4729.2"/>
    <n v="5"/>
    <n v="236.46"/>
    <n v="4492.74"/>
    <s v="Credit Card"/>
    <s v="CUST_00419"/>
    <n v="3"/>
    <n v="236.46000000000004"/>
    <n v="449.274"/>
    <s v="Low"/>
  </r>
  <r>
    <s v="TXN_00714"/>
    <d v="2024-02-12T00:00:00"/>
    <x v="1"/>
    <s v="Monday"/>
    <s v="STORE_044"/>
    <x v="3"/>
    <x v="5"/>
    <x v="9"/>
    <n v="2466.9299999999998"/>
    <n v="10"/>
    <n v="24669.3"/>
    <n v="0"/>
    <n v="0"/>
    <n v="24669.3"/>
    <s v="Cash"/>
    <s v="CUST_00519"/>
    <n v="1"/>
    <n v="0"/>
    <n v="2466.9299999999998"/>
    <s v="No Discount"/>
  </r>
  <r>
    <s v="TXN_00715"/>
    <d v="2024-11-25T00:00:00"/>
    <x v="0"/>
    <s v="Monday"/>
    <s v="STORE_045"/>
    <x v="4"/>
    <x v="1"/>
    <x v="6"/>
    <n v="444.83"/>
    <n v="1"/>
    <n v="444.83"/>
    <n v="10"/>
    <n v="44.48"/>
    <n v="400.35"/>
    <s v="Credit Card"/>
    <s v="CUST_00009"/>
    <n v="2"/>
    <n v="44.479999999999961"/>
    <n v="400.35"/>
    <s v="Medium"/>
  </r>
  <r>
    <s v="TXN_00716"/>
    <d v="2024-08-07T00:00:00"/>
    <x v="8"/>
    <s v="Wednesday"/>
    <s v="STORE_015"/>
    <x v="3"/>
    <x v="5"/>
    <x v="34"/>
    <n v="2162.64"/>
    <n v="3"/>
    <n v="6487.92"/>
    <n v="10"/>
    <n v="648.79"/>
    <n v="5839.13"/>
    <s v="UPI"/>
    <s v="CUST_00896"/>
    <n v="1"/>
    <n v="648.79"/>
    <n v="1946.3766666666668"/>
    <s v="Medium"/>
  </r>
  <r>
    <s v="TXN_00717"/>
    <d v="2024-03-10T00:00:00"/>
    <x v="5"/>
    <s v="Sunday"/>
    <s v="STORE_007"/>
    <x v="2"/>
    <x v="1"/>
    <x v="36"/>
    <n v="207.02"/>
    <n v="8"/>
    <n v="1656.16"/>
    <n v="15"/>
    <n v="248.42"/>
    <n v="1407.74"/>
    <s v="Wallet"/>
    <s v="CUST_00185"/>
    <n v="4"/>
    <n v="248.42000000000007"/>
    <n v="175.9675"/>
    <s v="Medium"/>
  </r>
  <r>
    <s v="TXN_00718"/>
    <d v="2024-08-24T00:00:00"/>
    <x v="8"/>
    <s v="Saturday"/>
    <s v="STORE_021"/>
    <x v="1"/>
    <x v="7"/>
    <x v="37"/>
    <n v="1221.8599999999999"/>
    <n v="4"/>
    <n v="4887.4399999999996"/>
    <n v="5"/>
    <n v="244.37"/>
    <n v="4643.07"/>
    <s v="Cash"/>
    <s v="CUST_00619"/>
    <n v="1"/>
    <n v="244.36999999999989"/>
    <n v="1160.7674999999999"/>
    <s v="Low"/>
  </r>
  <r>
    <s v="TXN_00719"/>
    <d v="2024-04-03T00:00:00"/>
    <x v="4"/>
    <s v="Wednesday"/>
    <s v="STORE_003"/>
    <x v="4"/>
    <x v="1"/>
    <x v="31"/>
    <n v="366.03"/>
    <n v="8"/>
    <n v="2928.24"/>
    <n v="0"/>
    <n v="0"/>
    <n v="2928.24"/>
    <s v="Cash"/>
    <s v="CUST_00160"/>
    <n v="4"/>
    <n v="0"/>
    <n v="366.03"/>
    <s v="No Discount"/>
  </r>
  <r>
    <s v="TXN_00720"/>
    <d v="2024-01-26T00:00:00"/>
    <x v="2"/>
    <s v="Friday"/>
    <s v="STORE_050"/>
    <x v="3"/>
    <x v="1"/>
    <x v="31"/>
    <n v="338.1"/>
    <n v="6"/>
    <n v="2028.6"/>
    <n v="10"/>
    <n v="202.86"/>
    <n v="1825.74"/>
    <s v="Credit Card"/>
    <s v="CUST_00064"/>
    <n v="5"/>
    <n v="202.8599999999999"/>
    <n v="304.29000000000002"/>
    <s v="Medium"/>
  </r>
  <r>
    <s v="TXN_00721"/>
    <d v="2024-05-13T00:00:00"/>
    <x v="3"/>
    <s v="Monday"/>
    <s v="STORE_049"/>
    <x v="3"/>
    <x v="4"/>
    <x v="19"/>
    <n v="590.35"/>
    <n v="4"/>
    <n v="2361.4"/>
    <n v="0"/>
    <n v="0"/>
    <n v="2361.4"/>
    <s v="Debit Card"/>
    <s v="CUST_00277"/>
    <n v="1"/>
    <n v="0"/>
    <n v="590.35"/>
    <s v="No Discount"/>
  </r>
  <r>
    <s v="TXN_00722"/>
    <d v="2024-07-13T00:00:00"/>
    <x v="11"/>
    <s v="Saturday"/>
    <s v="STORE_020"/>
    <x v="3"/>
    <x v="2"/>
    <x v="29"/>
    <n v="158.51"/>
    <n v="2"/>
    <n v="317.02"/>
    <n v="0"/>
    <n v="0"/>
    <n v="317.02"/>
    <s v="UPI"/>
    <s v="CUST_00893"/>
    <n v="1"/>
    <n v="0"/>
    <n v="158.51"/>
    <s v="No Discount"/>
  </r>
  <r>
    <s v="TXN_00723"/>
    <d v="2024-06-16T00:00:00"/>
    <x v="10"/>
    <s v="Sunday"/>
    <s v="STORE_028"/>
    <x v="1"/>
    <x v="0"/>
    <x v="27"/>
    <n v="371.28"/>
    <n v="5"/>
    <n v="1856.4"/>
    <n v="0"/>
    <n v="0"/>
    <n v="1856.4"/>
    <s v="Credit Card"/>
    <s v="CUST_00987"/>
    <n v="1"/>
    <n v="0"/>
    <n v="371.28000000000003"/>
    <s v="No Discount"/>
  </r>
  <r>
    <s v="TXN_00724"/>
    <d v="2024-04-18T00:00:00"/>
    <x v="4"/>
    <s v="Thursday"/>
    <s v="STORE_045"/>
    <x v="0"/>
    <x v="2"/>
    <x v="29"/>
    <n v="239.02"/>
    <n v="7"/>
    <n v="1673.14"/>
    <n v="5"/>
    <n v="83.66"/>
    <n v="1589.48"/>
    <s v="UPI"/>
    <s v="CUST_00989"/>
    <n v="5"/>
    <n v="83.660000000000082"/>
    <n v="227.06857142857143"/>
    <s v="Low"/>
  </r>
  <r>
    <s v="TXN_00725"/>
    <d v="2024-08-20T00:00:00"/>
    <x v="8"/>
    <s v="Tuesday"/>
    <s v="STORE_039"/>
    <x v="0"/>
    <x v="0"/>
    <x v="32"/>
    <n v="930.08"/>
    <n v="10"/>
    <n v="9300.7999999999993"/>
    <n v="5"/>
    <n v="465.04"/>
    <n v="8835.76"/>
    <s v="Credit Card"/>
    <s v="CUST_00080"/>
    <n v="5"/>
    <n v="465.03999999999905"/>
    <n v="883.57600000000002"/>
    <s v="Low"/>
  </r>
  <r>
    <s v="TXN_00726"/>
    <d v="2024-06-16T00:00:00"/>
    <x v="10"/>
    <s v="Sunday"/>
    <s v="STORE_010"/>
    <x v="3"/>
    <x v="5"/>
    <x v="25"/>
    <n v="3656.25"/>
    <n v="6"/>
    <n v="21937.5"/>
    <n v="0"/>
    <n v="0"/>
    <n v="21937.5"/>
    <s v="Debit Card"/>
    <s v="CUST_00886"/>
    <n v="4"/>
    <n v="0"/>
    <n v="3656.25"/>
    <s v="No Discount"/>
  </r>
  <r>
    <s v="TXN_00727"/>
    <d v="2024-06-21T00:00:00"/>
    <x v="10"/>
    <s v="Friday"/>
    <s v="STORE_029"/>
    <x v="0"/>
    <x v="4"/>
    <x v="8"/>
    <n v="506.41"/>
    <n v="7"/>
    <n v="3544.87"/>
    <n v="0"/>
    <n v="0"/>
    <n v="3544.87"/>
    <s v="Wallet"/>
    <s v="CUST_00650"/>
    <n v="1"/>
    <n v="0"/>
    <n v="506.40999999999997"/>
    <s v="No Discount"/>
  </r>
  <r>
    <s v="TXN_00728"/>
    <d v="2024-07-13T00:00:00"/>
    <x v="11"/>
    <s v="Saturday"/>
    <s v="STORE_045"/>
    <x v="4"/>
    <x v="1"/>
    <x v="3"/>
    <n v="93.85"/>
    <n v="4"/>
    <n v="375.4"/>
    <n v="15"/>
    <n v="56.31"/>
    <n v="319.08999999999997"/>
    <s v="Debit Card"/>
    <s v="CUST_00793"/>
    <n v="4"/>
    <n v="56.31"/>
    <n v="79.772499999999994"/>
    <s v="Medium"/>
  </r>
  <r>
    <s v="TXN_00729"/>
    <d v="2024-05-22T00:00:00"/>
    <x v="3"/>
    <s v="Wednesday"/>
    <s v="STORE_001"/>
    <x v="1"/>
    <x v="5"/>
    <x v="10"/>
    <n v="2510.23"/>
    <n v="6"/>
    <n v="15061.38"/>
    <n v="0"/>
    <n v="0"/>
    <n v="15061.38"/>
    <s v="Debit Card"/>
    <s v="CUST_00834"/>
    <n v="5"/>
    <n v="0"/>
    <n v="2510.23"/>
    <s v="No Discount"/>
  </r>
  <r>
    <s v="TXN_00730"/>
    <d v="2024-08-03T00:00:00"/>
    <x v="8"/>
    <s v="Saturday"/>
    <s v="STORE_042"/>
    <x v="3"/>
    <x v="4"/>
    <x v="8"/>
    <n v="285.88"/>
    <n v="5"/>
    <n v="1429.4"/>
    <n v="10"/>
    <n v="142.94"/>
    <n v="1286.46"/>
    <s v="Credit Card"/>
    <s v="CUST_00424"/>
    <n v="4"/>
    <n v="142.94000000000005"/>
    <n v="257.29200000000003"/>
    <s v="Medium"/>
  </r>
  <r>
    <s v="TXN_00731"/>
    <d v="2024-05-09T00:00:00"/>
    <x v="3"/>
    <s v="Thursday"/>
    <s v="STORE_008"/>
    <x v="0"/>
    <x v="0"/>
    <x v="32"/>
    <n v="481.77"/>
    <n v="9"/>
    <n v="4335.93"/>
    <n v="5"/>
    <n v="216.8"/>
    <n v="4119.13"/>
    <s v="Wallet"/>
    <s v="CUST_00470"/>
    <n v="3"/>
    <n v="216.80000000000018"/>
    <n v="457.68111111111114"/>
    <s v="Low"/>
  </r>
  <r>
    <s v="TXN_00732"/>
    <d v="2024-02-11T00:00:00"/>
    <x v="1"/>
    <s v="Sunday"/>
    <s v="STORE_025"/>
    <x v="1"/>
    <x v="0"/>
    <x v="32"/>
    <n v="341.52"/>
    <n v="10"/>
    <n v="3415.2"/>
    <n v="0"/>
    <n v="0"/>
    <n v="3415.2"/>
    <s v="Wallet"/>
    <s v="CUST_00866"/>
    <n v="4"/>
    <n v="0"/>
    <n v="341.52"/>
    <s v="No Discount"/>
  </r>
  <r>
    <s v="TXN_00733"/>
    <d v="2024-08-28T00:00:00"/>
    <x v="8"/>
    <s v="Wednesday"/>
    <s v="STORE_042"/>
    <x v="2"/>
    <x v="0"/>
    <x v="32"/>
    <n v="761.67"/>
    <n v="2"/>
    <n v="1523.34"/>
    <n v="0"/>
    <n v="0"/>
    <n v="1523.34"/>
    <s v="Credit Card"/>
    <s v="CUST_00632"/>
    <n v="1"/>
    <n v="0"/>
    <n v="761.67"/>
    <s v="No Discount"/>
  </r>
  <r>
    <s v="TXN_00734"/>
    <d v="2024-01-10T00:00:00"/>
    <x v="2"/>
    <s v="Wednesday"/>
    <s v="STORE_033"/>
    <x v="4"/>
    <x v="0"/>
    <x v="18"/>
    <n v="597.12"/>
    <n v="10"/>
    <n v="5971.2"/>
    <n v="10"/>
    <n v="597.12"/>
    <n v="5374.08"/>
    <s v="Credit Card"/>
    <s v="CUST_00826"/>
    <n v="4"/>
    <n v="597.11999999999989"/>
    <n v="537.40800000000002"/>
    <s v="Medium"/>
  </r>
  <r>
    <s v="TXN_00735"/>
    <d v="2024-10-03T00:00:00"/>
    <x v="7"/>
    <s v="Thursday"/>
    <s v="STORE_025"/>
    <x v="2"/>
    <x v="6"/>
    <x v="15"/>
    <n v="1777.56"/>
    <n v="4"/>
    <n v="7110.24"/>
    <n v="0"/>
    <n v="0"/>
    <n v="7110.24"/>
    <s v="UPI"/>
    <s v="CUST_00201"/>
    <n v="5"/>
    <n v="0"/>
    <n v="1777.56"/>
    <s v="No Discount"/>
  </r>
  <r>
    <s v="TXN_00736"/>
    <d v="2024-01-27T00:00:00"/>
    <x v="2"/>
    <s v="Saturday"/>
    <s v="STORE_024"/>
    <x v="0"/>
    <x v="1"/>
    <x v="36"/>
    <n v="207.78"/>
    <n v="8"/>
    <n v="1662.24"/>
    <n v="5"/>
    <n v="83.11"/>
    <n v="1579.13"/>
    <s v="UPI"/>
    <s v="CUST_00520"/>
    <n v="1"/>
    <n v="83.1099999999999"/>
    <n v="197.39125000000001"/>
    <s v="Low"/>
  </r>
  <r>
    <s v="TXN_00737"/>
    <d v="2024-06-28T00:00:00"/>
    <x v="10"/>
    <s v="Friday"/>
    <s v="STORE_001"/>
    <x v="3"/>
    <x v="2"/>
    <x v="39"/>
    <n v="715.73"/>
    <n v="5"/>
    <n v="3578.65"/>
    <n v="0"/>
    <n v="0"/>
    <n v="3578.65"/>
    <s v="UPI"/>
    <s v="CUST_00034"/>
    <n v="2"/>
    <n v="0"/>
    <n v="715.73"/>
    <s v="No Discount"/>
  </r>
  <r>
    <s v="TXN_00738"/>
    <d v="2024-04-24T00:00:00"/>
    <x v="4"/>
    <s v="Wednesday"/>
    <s v="STORE_021"/>
    <x v="1"/>
    <x v="6"/>
    <x v="30"/>
    <n v="730.06"/>
    <n v="6"/>
    <n v="4380.3599999999997"/>
    <n v="20"/>
    <n v="876.07"/>
    <n v="3504.29"/>
    <s v="Wallet"/>
    <s v="CUST_00175"/>
    <n v="5"/>
    <n v="876.06999999999971"/>
    <n v="584.04833333333329"/>
    <s v="High"/>
  </r>
  <r>
    <s v="TXN_00739"/>
    <d v="2024-11-28T00:00:00"/>
    <x v="0"/>
    <s v="Thursday"/>
    <s v="STORE_004"/>
    <x v="4"/>
    <x v="0"/>
    <x v="0"/>
    <n v="644.59"/>
    <n v="7"/>
    <n v="4512.13"/>
    <n v="0"/>
    <n v="0"/>
    <n v="4512.13"/>
    <s v="Wallet"/>
    <s v="CUST_00440"/>
    <n v="4"/>
    <n v="0"/>
    <n v="644.59"/>
    <s v="No Discount"/>
  </r>
  <r>
    <s v="TXN_00740"/>
    <d v="2024-02-05T00:00:00"/>
    <x v="1"/>
    <s v="Monday"/>
    <s v="STORE_011"/>
    <x v="3"/>
    <x v="5"/>
    <x v="9"/>
    <n v="4909.42"/>
    <n v="3"/>
    <n v="14728.26"/>
    <n v="5"/>
    <n v="736.41"/>
    <n v="13991.85"/>
    <s v="Cash"/>
    <s v="CUST_00237"/>
    <n v="5"/>
    <n v="736.40999999999985"/>
    <n v="4663.95"/>
    <s v="Low"/>
  </r>
  <r>
    <s v="TXN_00741"/>
    <d v="2024-11-29T00:00:00"/>
    <x v="0"/>
    <s v="Friday"/>
    <s v="STORE_036"/>
    <x v="0"/>
    <x v="7"/>
    <x v="38"/>
    <n v="905.11"/>
    <n v="10"/>
    <n v="9051.1"/>
    <n v="20"/>
    <n v="1810.22"/>
    <n v="7240.88"/>
    <s v="UPI"/>
    <s v="CUST_00972"/>
    <n v="3"/>
    <n v="1810.2200000000003"/>
    <n v="724.08799999999997"/>
    <s v="High"/>
  </r>
  <r>
    <s v="TXN_00742"/>
    <d v="2024-01-21T00:00:00"/>
    <x v="2"/>
    <s v="Sunday"/>
    <s v="STORE_010"/>
    <x v="2"/>
    <x v="4"/>
    <x v="20"/>
    <n v="191.96"/>
    <n v="1"/>
    <n v="191.96"/>
    <n v="5"/>
    <n v="9.6"/>
    <n v="182.36"/>
    <s v="Credit Card"/>
    <s v="CUST_00633"/>
    <n v="5"/>
    <n v="9.5999999999999943"/>
    <n v="182.36"/>
    <s v="Low"/>
  </r>
  <r>
    <s v="TXN_00743"/>
    <d v="2024-01-16T00:00:00"/>
    <x v="2"/>
    <s v="Tuesday"/>
    <s v="STORE_016"/>
    <x v="0"/>
    <x v="7"/>
    <x v="23"/>
    <n v="758.89"/>
    <n v="3"/>
    <n v="2276.67"/>
    <n v="5"/>
    <n v="113.83"/>
    <n v="2162.84"/>
    <s v="Cash"/>
    <s v="CUST_00305"/>
    <n v="2"/>
    <n v="113.82999999999993"/>
    <n v="720.94666666666672"/>
    <s v="Low"/>
  </r>
  <r>
    <s v="TXN_00744"/>
    <d v="2024-05-06T00:00:00"/>
    <x v="3"/>
    <s v="Monday"/>
    <s v="STORE_018"/>
    <x v="2"/>
    <x v="3"/>
    <x v="16"/>
    <n v="2553.2800000000002"/>
    <n v="7"/>
    <n v="17872.96"/>
    <n v="20"/>
    <n v="3574.59"/>
    <n v="14298.37"/>
    <s v="Cash"/>
    <s v="CUST_00958"/>
    <n v="1"/>
    <n v="3574.5899999999983"/>
    <n v="2042.6242857142859"/>
    <s v="High"/>
  </r>
  <r>
    <s v="TXN_00745"/>
    <d v="2024-04-12T00:00:00"/>
    <x v="4"/>
    <s v="Friday"/>
    <s v="STORE_030"/>
    <x v="4"/>
    <x v="5"/>
    <x v="34"/>
    <n v="3553.55"/>
    <n v="10"/>
    <n v="35535.5"/>
    <n v="20"/>
    <n v="7107.1"/>
    <n v="28428.400000000001"/>
    <s v="Credit Card"/>
    <s v="CUST_00126"/>
    <n v="1"/>
    <n v="7107.0999999999985"/>
    <n v="2842.84"/>
    <s v="High"/>
  </r>
  <r>
    <s v="TXN_00746"/>
    <d v="2024-01-11T00:00:00"/>
    <x v="2"/>
    <s v="Thursday"/>
    <s v="STORE_024"/>
    <x v="0"/>
    <x v="7"/>
    <x v="38"/>
    <n v="638.96"/>
    <n v="3"/>
    <n v="1916.88"/>
    <n v="0"/>
    <n v="0"/>
    <n v="1916.88"/>
    <s v="Credit Card"/>
    <s v="CUST_00401"/>
    <n v="4"/>
    <n v="0"/>
    <n v="638.96"/>
    <s v="No Discount"/>
  </r>
  <r>
    <s v="TXN_00747"/>
    <d v="2024-11-14T00:00:00"/>
    <x v="0"/>
    <s v="Thursday"/>
    <s v="STORE_014"/>
    <x v="3"/>
    <x v="7"/>
    <x v="37"/>
    <n v="1254.53"/>
    <n v="7"/>
    <n v="8781.7099999999991"/>
    <n v="0"/>
    <n v="0"/>
    <n v="8781.7099999999991"/>
    <s v="UPI"/>
    <s v="CUST_00385"/>
    <n v="1"/>
    <n v="0"/>
    <n v="1254.53"/>
    <s v="No Discount"/>
  </r>
  <r>
    <s v="TXN_00748"/>
    <d v="2024-03-19T00:00:00"/>
    <x v="5"/>
    <s v="Tuesday"/>
    <s v="STORE_043"/>
    <x v="4"/>
    <x v="4"/>
    <x v="19"/>
    <n v="513.85"/>
    <n v="3"/>
    <n v="1541.55"/>
    <n v="0"/>
    <n v="0"/>
    <n v="1541.55"/>
    <s v="Credit Card"/>
    <s v="CUST_00647"/>
    <n v="2"/>
    <n v="0"/>
    <n v="513.85"/>
    <s v="No Discount"/>
  </r>
  <r>
    <s v="TXN_00749"/>
    <d v="2024-05-02T00:00:00"/>
    <x v="3"/>
    <s v="Thursday"/>
    <s v="STORE_035"/>
    <x v="2"/>
    <x v="6"/>
    <x v="30"/>
    <n v="1963.87"/>
    <n v="6"/>
    <n v="11783.22"/>
    <n v="5"/>
    <n v="589.16"/>
    <n v="11194.06"/>
    <s v="Wallet"/>
    <s v="CUST_00163"/>
    <n v="5"/>
    <n v="589.15999999999985"/>
    <n v="1865.6766666666665"/>
    <s v="Low"/>
  </r>
  <r>
    <s v="TXN_00750"/>
    <d v="2024-03-05T00:00:00"/>
    <x v="5"/>
    <s v="Tuesday"/>
    <s v="STORE_033"/>
    <x v="0"/>
    <x v="2"/>
    <x v="2"/>
    <n v="234.99"/>
    <n v="1"/>
    <n v="234.99"/>
    <n v="10"/>
    <n v="23.5"/>
    <n v="211.49"/>
    <s v="Credit Card"/>
    <s v="CUST_00222"/>
    <n v="5"/>
    <n v="23.5"/>
    <n v="211.49"/>
    <s v="Medium"/>
  </r>
  <r>
    <s v="TXN_00751"/>
    <d v="2024-08-30T00:00:00"/>
    <x v="8"/>
    <s v="Friday"/>
    <s v="STORE_006"/>
    <x v="0"/>
    <x v="4"/>
    <x v="8"/>
    <n v="554.36"/>
    <n v="1"/>
    <n v="554.36"/>
    <n v="0"/>
    <n v="0"/>
    <n v="554.36"/>
    <s v="Debit Card"/>
    <s v="CUST_00275"/>
    <n v="2"/>
    <n v="0"/>
    <n v="554.36"/>
    <s v="No Discount"/>
  </r>
  <r>
    <s v="TXN_00752"/>
    <d v="2024-12-08T00:00:00"/>
    <x v="6"/>
    <s v="Sunday"/>
    <s v="STORE_030"/>
    <x v="3"/>
    <x v="2"/>
    <x v="13"/>
    <n v="239.47"/>
    <n v="2"/>
    <n v="478.94"/>
    <n v="0"/>
    <n v="0"/>
    <n v="478.94"/>
    <s v="Wallet"/>
    <s v="CUST_00447"/>
    <n v="3"/>
    <n v="0"/>
    <n v="239.47"/>
    <s v="No Discount"/>
  </r>
  <r>
    <s v="TXN_00753"/>
    <d v="2024-02-28T00:00:00"/>
    <x v="1"/>
    <s v="Wednesday"/>
    <s v="STORE_007"/>
    <x v="4"/>
    <x v="0"/>
    <x v="0"/>
    <n v="400.07"/>
    <n v="4"/>
    <n v="1600.28"/>
    <n v="15"/>
    <n v="240.04"/>
    <n v="1360.24"/>
    <s v="Cash"/>
    <s v="CUST_00813"/>
    <n v="4"/>
    <n v="240.03999999999996"/>
    <n v="340.06"/>
    <s v="Medium"/>
  </r>
  <r>
    <s v="TXN_00754"/>
    <d v="2024-10-15T00:00:00"/>
    <x v="7"/>
    <s v="Tuesday"/>
    <s v="STORE_039"/>
    <x v="1"/>
    <x v="2"/>
    <x v="29"/>
    <n v="655.87"/>
    <n v="8"/>
    <n v="5246.96"/>
    <n v="5"/>
    <n v="262.35000000000002"/>
    <n v="4984.6099999999997"/>
    <s v="UPI"/>
    <s v="CUST_00836"/>
    <n v="4"/>
    <n v="262.35000000000036"/>
    <n v="623.07624999999996"/>
    <s v="Low"/>
  </r>
  <r>
    <s v="TXN_00755"/>
    <d v="2024-04-21T00:00:00"/>
    <x v="4"/>
    <s v="Sunday"/>
    <s v="STORE_023"/>
    <x v="1"/>
    <x v="4"/>
    <x v="17"/>
    <n v="198.4"/>
    <n v="7"/>
    <n v="1388.8"/>
    <n v="5"/>
    <n v="69.44"/>
    <n v="1319.36"/>
    <s v="Debit Card"/>
    <s v="CUST_00920"/>
    <n v="5"/>
    <n v="69.440000000000055"/>
    <n v="188.48"/>
    <s v="Low"/>
  </r>
  <r>
    <s v="TXN_00756"/>
    <d v="2024-08-26T00:00:00"/>
    <x v="8"/>
    <s v="Monday"/>
    <s v="STORE_027"/>
    <x v="1"/>
    <x v="7"/>
    <x v="37"/>
    <n v="500.7"/>
    <n v="1"/>
    <n v="500.7"/>
    <n v="10"/>
    <n v="50.07"/>
    <n v="450.63"/>
    <s v="Cash"/>
    <s v="CUST_00619"/>
    <n v="5"/>
    <n v="50.069999999999993"/>
    <n v="450.63"/>
    <s v="Medium"/>
  </r>
  <r>
    <s v="TXN_00757"/>
    <d v="2024-12-24T00:00:00"/>
    <x v="6"/>
    <s v="Tuesday"/>
    <s v="STORE_012"/>
    <x v="1"/>
    <x v="4"/>
    <x v="19"/>
    <n v="163.47"/>
    <n v="3"/>
    <n v="490.41"/>
    <n v="20"/>
    <n v="98.08"/>
    <n v="392.33"/>
    <s v="Cash"/>
    <s v="CUST_00252"/>
    <n v="4"/>
    <n v="98.080000000000041"/>
    <n v="130.77666666666667"/>
    <s v="High"/>
  </r>
  <r>
    <s v="TXN_00758"/>
    <d v="2024-05-11T00:00:00"/>
    <x v="3"/>
    <s v="Saturday"/>
    <s v="STORE_001"/>
    <x v="1"/>
    <x v="7"/>
    <x v="38"/>
    <n v="1088.3499999999999"/>
    <n v="6"/>
    <n v="6530.1"/>
    <n v="0"/>
    <n v="0"/>
    <n v="6530.1"/>
    <s v="Cash"/>
    <s v="CUST_00705"/>
    <n v="1"/>
    <n v="0"/>
    <n v="1088.3500000000001"/>
    <s v="No Discount"/>
  </r>
  <r>
    <s v="TXN_00759"/>
    <d v="2024-07-07T00:00:00"/>
    <x v="11"/>
    <s v="Sunday"/>
    <s v="STORE_036"/>
    <x v="2"/>
    <x v="6"/>
    <x v="15"/>
    <n v="820.66"/>
    <n v="10"/>
    <n v="8206.6"/>
    <n v="20"/>
    <n v="1641.32"/>
    <n v="6565.28"/>
    <s v="Cash"/>
    <s v="CUST_00395"/>
    <n v="2"/>
    <n v="1641.3200000000006"/>
    <n v="656.52800000000002"/>
    <s v="High"/>
  </r>
  <r>
    <s v="TXN_00760"/>
    <d v="2024-03-26T00:00:00"/>
    <x v="5"/>
    <s v="Tuesday"/>
    <s v="STORE_046"/>
    <x v="4"/>
    <x v="2"/>
    <x v="7"/>
    <n v="248.52"/>
    <n v="4"/>
    <n v="994.08"/>
    <n v="0"/>
    <n v="0"/>
    <n v="994.08"/>
    <s v="Wallet"/>
    <s v="CUST_00969"/>
    <n v="3"/>
    <n v="0"/>
    <n v="248.52"/>
    <s v="No Discount"/>
  </r>
  <r>
    <s v="TXN_00761"/>
    <d v="2024-11-06T00:00:00"/>
    <x v="0"/>
    <s v="Wednesday"/>
    <s v="STORE_021"/>
    <x v="0"/>
    <x v="7"/>
    <x v="23"/>
    <n v="1371.2"/>
    <n v="7"/>
    <n v="9598.4"/>
    <n v="15"/>
    <n v="1439.76"/>
    <n v="8158.64"/>
    <s v="UPI"/>
    <s v="CUST_00202"/>
    <n v="3"/>
    <n v="1439.7599999999993"/>
    <n v="1165.52"/>
    <s v="Medium"/>
  </r>
  <r>
    <s v="TXN_00762"/>
    <d v="2024-11-06T00:00:00"/>
    <x v="0"/>
    <s v="Wednesday"/>
    <s v="STORE_029"/>
    <x v="0"/>
    <x v="6"/>
    <x v="33"/>
    <n v="1247.98"/>
    <n v="5"/>
    <n v="6239.9"/>
    <n v="5"/>
    <n v="312"/>
    <n v="5927.9"/>
    <s v="Credit Card"/>
    <s v="CUST_00616"/>
    <n v="1"/>
    <n v="312"/>
    <n v="1185.58"/>
    <s v="Low"/>
  </r>
  <r>
    <s v="TXN_00763"/>
    <d v="2024-02-28T00:00:00"/>
    <x v="1"/>
    <s v="Wednesday"/>
    <s v="STORE_042"/>
    <x v="4"/>
    <x v="4"/>
    <x v="17"/>
    <n v="322.29000000000002"/>
    <n v="10"/>
    <n v="3222.9"/>
    <n v="0"/>
    <n v="0"/>
    <n v="3222.9"/>
    <s v="Cash"/>
    <s v="CUST_00005"/>
    <n v="1"/>
    <n v="0"/>
    <n v="322.29000000000002"/>
    <s v="No Discount"/>
  </r>
  <r>
    <s v="TXN_00764"/>
    <d v="2024-03-24T00:00:00"/>
    <x v="5"/>
    <s v="Sunday"/>
    <s v="STORE_003"/>
    <x v="1"/>
    <x v="1"/>
    <x v="6"/>
    <n v="108.98"/>
    <n v="7"/>
    <n v="762.86"/>
    <n v="0"/>
    <n v="0"/>
    <n v="762.86"/>
    <s v="Wallet"/>
    <s v="CUST_00661"/>
    <n v="5"/>
    <n v="0"/>
    <n v="108.98"/>
    <s v="No Discount"/>
  </r>
  <r>
    <s v="TXN_00765"/>
    <d v="2024-06-08T00:00:00"/>
    <x v="10"/>
    <s v="Saturday"/>
    <s v="STORE_021"/>
    <x v="1"/>
    <x v="6"/>
    <x v="30"/>
    <n v="1204.8399999999999"/>
    <n v="7"/>
    <n v="8433.8799999999992"/>
    <n v="15"/>
    <n v="1265.08"/>
    <n v="7168.8"/>
    <s v="Cash"/>
    <s v="CUST_00410"/>
    <n v="3"/>
    <n v="1265.079999999999"/>
    <n v="1024.1142857142856"/>
    <s v="Medium"/>
  </r>
  <r>
    <s v="TXN_00766"/>
    <d v="2024-02-25T00:00:00"/>
    <x v="1"/>
    <s v="Sunday"/>
    <s v="STORE_020"/>
    <x v="3"/>
    <x v="7"/>
    <x v="23"/>
    <n v="1229.54"/>
    <n v="8"/>
    <n v="9836.32"/>
    <n v="10"/>
    <n v="983.63"/>
    <n v="8852.69"/>
    <s v="Credit Card"/>
    <s v="CUST_00506"/>
    <n v="4"/>
    <n v="983.6299999999992"/>
    <n v="1106.5862500000001"/>
    <s v="Medium"/>
  </r>
  <r>
    <s v="TXN_00767"/>
    <d v="2024-10-23T00:00:00"/>
    <x v="7"/>
    <s v="Wednesday"/>
    <s v="STORE_001"/>
    <x v="0"/>
    <x v="7"/>
    <x v="24"/>
    <n v="1425.24"/>
    <n v="2"/>
    <n v="2850.48"/>
    <n v="0"/>
    <n v="0"/>
    <n v="2850.48"/>
    <s v="Debit Card"/>
    <s v="CUST_00108"/>
    <n v="1"/>
    <n v="0"/>
    <n v="1425.24"/>
    <s v="No Discount"/>
  </r>
  <r>
    <s v="TXN_00768"/>
    <d v="2024-01-14T00:00:00"/>
    <x v="2"/>
    <s v="Sunday"/>
    <s v="STORE_001"/>
    <x v="2"/>
    <x v="4"/>
    <x v="19"/>
    <n v="251.85"/>
    <n v="2"/>
    <n v="503.7"/>
    <n v="0"/>
    <n v="0"/>
    <n v="503.7"/>
    <s v="Cash"/>
    <s v="CUST_00266"/>
    <n v="5"/>
    <n v="0"/>
    <n v="251.85"/>
    <s v="No Discount"/>
  </r>
  <r>
    <s v="TXN_00769"/>
    <d v="2024-06-08T00:00:00"/>
    <x v="10"/>
    <s v="Saturday"/>
    <s v="STORE_045"/>
    <x v="4"/>
    <x v="6"/>
    <x v="30"/>
    <n v="572.01"/>
    <n v="5"/>
    <n v="2860.05"/>
    <n v="0"/>
    <n v="0"/>
    <n v="2860.05"/>
    <s v="Cash"/>
    <s v="CUST_00811"/>
    <n v="3"/>
    <n v="0"/>
    <n v="572.01"/>
    <s v="No Discount"/>
  </r>
  <r>
    <s v="TXN_00770"/>
    <d v="2024-10-21T00:00:00"/>
    <x v="7"/>
    <s v="Monday"/>
    <s v="STORE_009"/>
    <x v="1"/>
    <x v="0"/>
    <x v="32"/>
    <n v="758.93"/>
    <n v="3"/>
    <n v="2276.79"/>
    <n v="10"/>
    <n v="227.68"/>
    <n v="2049.11"/>
    <s v="UPI"/>
    <s v="CUST_00883"/>
    <n v="1"/>
    <n v="227.67999999999984"/>
    <n v="683.03666666666675"/>
    <s v="Medium"/>
  </r>
  <r>
    <s v="TXN_00771"/>
    <d v="2024-12-12T00:00:00"/>
    <x v="6"/>
    <s v="Thursday"/>
    <s v="STORE_034"/>
    <x v="4"/>
    <x v="5"/>
    <x v="10"/>
    <n v="4551.1899999999996"/>
    <n v="7"/>
    <n v="31858.33"/>
    <n v="15"/>
    <n v="4778.75"/>
    <n v="27079.58"/>
    <s v="UPI"/>
    <s v="CUST_00247"/>
    <n v="1"/>
    <n v="4778.75"/>
    <n v="3868.511428571429"/>
    <s v="Medium"/>
  </r>
  <r>
    <s v="TXN_00772"/>
    <d v="2024-07-11T00:00:00"/>
    <x v="11"/>
    <s v="Thursday"/>
    <s v="STORE_006"/>
    <x v="1"/>
    <x v="1"/>
    <x v="1"/>
    <n v="489.36"/>
    <n v="6"/>
    <n v="2936.16"/>
    <n v="20"/>
    <n v="587.23"/>
    <n v="2348.9299999999998"/>
    <s v="UPI"/>
    <s v="CUST_00785"/>
    <n v="2"/>
    <n v="587.23"/>
    <n v="391.48833333333329"/>
    <s v="High"/>
  </r>
  <r>
    <s v="TXN_00773"/>
    <d v="2024-07-22T00:00:00"/>
    <x v="11"/>
    <s v="Monday"/>
    <s v="STORE_005"/>
    <x v="3"/>
    <x v="2"/>
    <x v="2"/>
    <n v="347.11"/>
    <n v="4"/>
    <n v="1388.44"/>
    <n v="15"/>
    <n v="208.27"/>
    <n v="1180.17"/>
    <s v="Debit Card"/>
    <s v="CUST_00062"/>
    <n v="1"/>
    <n v="208.26999999999998"/>
    <n v="295.04250000000002"/>
    <s v="Medium"/>
  </r>
  <r>
    <s v="TXN_00774"/>
    <d v="2024-04-11T00:00:00"/>
    <x v="4"/>
    <s v="Thursday"/>
    <s v="STORE_032"/>
    <x v="2"/>
    <x v="3"/>
    <x v="21"/>
    <n v="2077.4"/>
    <n v="8"/>
    <n v="16619.2"/>
    <n v="20"/>
    <n v="3323.84"/>
    <n v="13295.36"/>
    <s v="UPI"/>
    <s v="CUST_00349"/>
    <n v="2"/>
    <n v="3323.84"/>
    <n v="1661.92"/>
    <s v="High"/>
  </r>
  <r>
    <s v="TXN_00775"/>
    <d v="2024-02-08T00:00:00"/>
    <x v="1"/>
    <s v="Thursday"/>
    <s v="STORE_046"/>
    <x v="3"/>
    <x v="3"/>
    <x v="16"/>
    <n v="2332.4899999999998"/>
    <n v="9"/>
    <n v="20992.41"/>
    <n v="20"/>
    <n v="4198.4799999999996"/>
    <n v="16793.93"/>
    <s v="Cash"/>
    <s v="CUST_00672"/>
    <n v="3"/>
    <n v="4198.4799999999996"/>
    <n v="1865.9922222222222"/>
    <s v="High"/>
  </r>
  <r>
    <s v="TXN_00776"/>
    <d v="2024-10-30T00:00:00"/>
    <x v="7"/>
    <s v="Wednesday"/>
    <s v="STORE_029"/>
    <x v="4"/>
    <x v="5"/>
    <x v="10"/>
    <n v="1422.64"/>
    <n v="3"/>
    <n v="4267.92"/>
    <n v="0"/>
    <n v="0"/>
    <n v="4267.92"/>
    <s v="Cash"/>
    <s v="CUST_00526"/>
    <n v="4"/>
    <n v="0"/>
    <n v="1422.64"/>
    <s v="No Discount"/>
  </r>
  <r>
    <s v="TXN_00777"/>
    <d v="2024-12-19T00:00:00"/>
    <x v="6"/>
    <s v="Thursday"/>
    <s v="STORE_037"/>
    <x v="2"/>
    <x v="3"/>
    <x v="5"/>
    <n v="726.27"/>
    <n v="5"/>
    <n v="3631.35"/>
    <n v="5"/>
    <n v="181.57"/>
    <n v="3449.78"/>
    <s v="Debit Card"/>
    <s v="CUST_00151"/>
    <n v="3"/>
    <n v="181.56999999999971"/>
    <n v="689.95600000000002"/>
    <s v="Low"/>
  </r>
  <r>
    <s v="TXN_00778"/>
    <d v="2024-11-17T00:00:00"/>
    <x v="0"/>
    <s v="Sunday"/>
    <s v="STORE_018"/>
    <x v="2"/>
    <x v="1"/>
    <x v="36"/>
    <n v="385.26"/>
    <n v="4"/>
    <n v="1541.04"/>
    <n v="0"/>
    <n v="0"/>
    <n v="1541.04"/>
    <s v="UPI"/>
    <s v="CUST_00488"/>
    <n v="2"/>
    <n v="0"/>
    <n v="385.26"/>
    <s v="No Discount"/>
  </r>
  <r>
    <s v="TXN_00779"/>
    <d v="2024-05-04T00:00:00"/>
    <x v="3"/>
    <s v="Saturday"/>
    <s v="STORE_014"/>
    <x v="0"/>
    <x v="1"/>
    <x v="6"/>
    <n v="169.51"/>
    <n v="9"/>
    <n v="1525.59"/>
    <n v="0"/>
    <n v="0"/>
    <n v="1525.59"/>
    <s v="Cash"/>
    <s v="CUST_00407"/>
    <n v="4"/>
    <n v="0"/>
    <n v="169.51"/>
    <s v="No Discount"/>
  </r>
  <r>
    <s v="TXN_00780"/>
    <d v="2024-02-22T00:00:00"/>
    <x v="1"/>
    <s v="Thursday"/>
    <s v="STORE_004"/>
    <x v="3"/>
    <x v="0"/>
    <x v="27"/>
    <n v="466.99"/>
    <n v="8"/>
    <n v="3735.92"/>
    <n v="0"/>
    <n v="0"/>
    <n v="3735.92"/>
    <s v="Cash"/>
    <s v="CUST_00750"/>
    <n v="1"/>
    <n v="0"/>
    <n v="466.99"/>
    <s v="No Discount"/>
  </r>
  <r>
    <s v="TXN_00781"/>
    <d v="2024-12-22T00:00:00"/>
    <x v="6"/>
    <s v="Sunday"/>
    <s v="STORE_034"/>
    <x v="4"/>
    <x v="0"/>
    <x v="0"/>
    <n v="435.2"/>
    <n v="7"/>
    <n v="3046.4"/>
    <n v="0"/>
    <n v="0"/>
    <n v="3046.4"/>
    <s v="Wallet"/>
    <s v="CUST_00506"/>
    <n v="3"/>
    <n v="0"/>
    <n v="435.2"/>
    <s v="No Discount"/>
  </r>
  <r>
    <s v="TXN_00782"/>
    <d v="2024-06-03T00:00:00"/>
    <x v="10"/>
    <s v="Monday"/>
    <s v="STORE_004"/>
    <x v="2"/>
    <x v="0"/>
    <x v="18"/>
    <n v="744.93"/>
    <n v="4"/>
    <n v="2979.72"/>
    <n v="0"/>
    <n v="0"/>
    <n v="2979.72"/>
    <s v="Debit Card"/>
    <s v="CUST_00590"/>
    <n v="1"/>
    <n v="0"/>
    <n v="744.93"/>
    <s v="No Discount"/>
  </r>
  <r>
    <s v="TXN_00783"/>
    <d v="2024-12-16T00:00:00"/>
    <x v="6"/>
    <s v="Monday"/>
    <s v="STORE_045"/>
    <x v="3"/>
    <x v="2"/>
    <x v="29"/>
    <n v="146.09"/>
    <n v="2"/>
    <n v="292.18"/>
    <n v="0"/>
    <n v="0"/>
    <n v="292.18"/>
    <s v="Debit Card"/>
    <s v="CUST_00402"/>
    <n v="5"/>
    <n v="0"/>
    <n v="146.09"/>
    <s v="No Discount"/>
  </r>
  <r>
    <s v="TXN_00784"/>
    <d v="2024-11-03T00:00:00"/>
    <x v="0"/>
    <s v="Sunday"/>
    <s v="STORE_014"/>
    <x v="1"/>
    <x v="0"/>
    <x v="18"/>
    <n v="375.91"/>
    <n v="5"/>
    <n v="1879.55"/>
    <n v="5"/>
    <n v="93.98"/>
    <n v="1785.57"/>
    <s v="Debit Card"/>
    <s v="CUST_00653"/>
    <n v="2"/>
    <n v="93.980000000000018"/>
    <n v="357.11399999999998"/>
    <s v="Low"/>
  </r>
  <r>
    <s v="TXN_00785"/>
    <d v="2024-03-02T00:00:00"/>
    <x v="5"/>
    <s v="Saturday"/>
    <s v="STORE_045"/>
    <x v="4"/>
    <x v="2"/>
    <x v="7"/>
    <n v="301.58999999999997"/>
    <n v="1"/>
    <n v="301.58999999999997"/>
    <n v="0"/>
    <n v="0"/>
    <n v="301.58999999999997"/>
    <s v="Debit Card"/>
    <s v="CUST_00489"/>
    <n v="5"/>
    <n v="0"/>
    <n v="301.58999999999997"/>
    <s v="No Discount"/>
  </r>
  <r>
    <s v="TXN_00786"/>
    <d v="2024-10-16T00:00:00"/>
    <x v="7"/>
    <s v="Wednesday"/>
    <s v="STORE_030"/>
    <x v="0"/>
    <x v="2"/>
    <x v="29"/>
    <n v="219.16"/>
    <n v="2"/>
    <n v="438.32"/>
    <n v="0"/>
    <n v="0"/>
    <n v="438.32"/>
    <s v="Debit Card"/>
    <s v="CUST_00986"/>
    <n v="3"/>
    <n v="0"/>
    <n v="219.16"/>
    <s v="No Discount"/>
  </r>
  <r>
    <s v="TXN_00787"/>
    <d v="2024-01-22T00:00:00"/>
    <x v="2"/>
    <s v="Monday"/>
    <s v="STORE_011"/>
    <x v="2"/>
    <x v="6"/>
    <x v="33"/>
    <n v="1141.8800000000001"/>
    <n v="1"/>
    <n v="1141.8800000000001"/>
    <n v="0"/>
    <n v="0"/>
    <n v="1141.8800000000001"/>
    <s v="Cash"/>
    <s v="CUST_00609"/>
    <n v="1"/>
    <n v="0"/>
    <n v="1141.8800000000001"/>
    <s v="No Discount"/>
  </r>
  <r>
    <s v="TXN_00788"/>
    <d v="2024-06-26T00:00:00"/>
    <x v="10"/>
    <s v="Wednesday"/>
    <s v="STORE_008"/>
    <x v="2"/>
    <x v="4"/>
    <x v="19"/>
    <n v="412.42"/>
    <n v="8"/>
    <n v="3299.36"/>
    <n v="20"/>
    <n v="659.87"/>
    <n v="2639.49"/>
    <s v="Debit Card"/>
    <s v="CUST_00839"/>
    <n v="4"/>
    <n v="659.87000000000035"/>
    <n v="329.93624999999997"/>
    <s v="High"/>
  </r>
  <r>
    <s v="TXN_00789"/>
    <d v="2024-09-29T00:00:00"/>
    <x v="9"/>
    <s v="Sunday"/>
    <s v="STORE_033"/>
    <x v="0"/>
    <x v="6"/>
    <x v="26"/>
    <n v="1520.07"/>
    <n v="5"/>
    <n v="7600.35"/>
    <n v="20"/>
    <n v="1520.07"/>
    <n v="6080.28"/>
    <s v="Debit Card"/>
    <s v="CUST_00774"/>
    <n v="5"/>
    <n v="1520.0700000000006"/>
    <n v="1216.056"/>
    <s v="High"/>
  </r>
  <r>
    <s v="TXN_00790"/>
    <d v="2024-08-07T00:00:00"/>
    <x v="8"/>
    <s v="Wednesday"/>
    <s v="STORE_035"/>
    <x v="1"/>
    <x v="5"/>
    <x v="34"/>
    <n v="1399.97"/>
    <n v="6"/>
    <n v="8399.82"/>
    <n v="5"/>
    <n v="419.99"/>
    <n v="7979.83"/>
    <s v="UPI"/>
    <s v="CUST_00680"/>
    <n v="3"/>
    <n v="419.98999999999978"/>
    <n v="1329.9716666666666"/>
    <s v="Low"/>
  </r>
  <r>
    <s v="TXN_00791"/>
    <d v="2024-12-04T00:00:00"/>
    <x v="6"/>
    <s v="Wednesday"/>
    <s v="STORE_046"/>
    <x v="1"/>
    <x v="1"/>
    <x v="6"/>
    <n v="213.93"/>
    <n v="1"/>
    <n v="213.93"/>
    <n v="20"/>
    <n v="42.79"/>
    <n v="171.14"/>
    <s v="Cash"/>
    <s v="CUST_00913"/>
    <n v="3"/>
    <n v="42.79000000000002"/>
    <n v="171.14"/>
    <s v="High"/>
  </r>
  <r>
    <s v="TXN_00792"/>
    <d v="2024-07-08T00:00:00"/>
    <x v="11"/>
    <s v="Monday"/>
    <s v="STORE_027"/>
    <x v="0"/>
    <x v="1"/>
    <x v="36"/>
    <n v="171.47"/>
    <n v="9"/>
    <n v="1543.23"/>
    <n v="15"/>
    <n v="231.48"/>
    <n v="1311.75"/>
    <s v="Credit Card"/>
    <s v="CUST_00676"/>
    <n v="2"/>
    <n v="231.48000000000002"/>
    <n v="145.75"/>
    <s v="Medium"/>
  </r>
  <r>
    <s v="TXN_00793"/>
    <d v="2024-02-05T00:00:00"/>
    <x v="1"/>
    <s v="Monday"/>
    <s v="STORE_014"/>
    <x v="2"/>
    <x v="5"/>
    <x v="25"/>
    <n v="2991.33"/>
    <n v="4"/>
    <n v="11965.32"/>
    <n v="10"/>
    <n v="1196.53"/>
    <n v="10768.79"/>
    <s v="UPI"/>
    <s v="CUST_00199"/>
    <n v="3"/>
    <n v="1196.5299999999988"/>
    <n v="2692.1975000000002"/>
    <s v="Medium"/>
  </r>
  <r>
    <s v="TXN_00794"/>
    <d v="2024-09-16T00:00:00"/>
    <x v="9"/>
    <s v="Monday"/>
    <s v="STORE_017"/>
    <x v="1"/>
    <x v="0"/>
    <x v="18"/>
    <n v="972.36"/>
    <n v="9"/>
    <n v="8751.24"/>
    <n v="5"/>
    <n v="437.56"/>
    <n v="8313.68"/>
    <s v="Wallet"/>
    <s v="CUST_00910"/>
    <n v="2"/>
    <n v="437.55999999999949"/>
    <n v="923.74222222222227"/>
    <s v="Low"/>
  </r>
  <r>
    <s v="TXN_00795"/>
    <d v="2024-11-27T00:00:00"/>
    <x v="0"/>
    <s v="Wednesday"/>
    <s v="STORE_038"/>
    <x v="4"/>
    <x v="4"/>
    <x v="19"/>
    <n v="415.12"/>
    <n v="5"/>
    <n v="2075.6"/>
    <n v="0"/>
    <n v="0"/>
    <n v="2075.6"/>
    <s v="Debit Card"/>
    <s v="CUST_00719"/>
    <n v="1"/>
    <n v="0"/>
    <n v="415.12"/>
    <s v="No Discount"/>
  </r>
  <r>
    <s v="TXN_00796"/>
    <d v="2024-06-23T00:00:00"/>
    <x v="10"/>
    <s v="Sunday"/>
    <s v="STORE_008"/>
    <x v="2"/>
    <x v="4"/>
    <x v="17"/>
    <n v="205.33"/>
    <n v="8"/>
    <n v="1642.64"/>
    <n v="10"/>
    <n v="164.26"/>
    <n v="1478.38"/>
    <s v="Cash"/>
    <s v="CUST_00511"/>
    <n v="3"/>
    <n v="164.26"/>
    <n v="184.79750000000001"/>
    <s v="Medium"/>
  </r>
  <r>
    <s v="TXN_00797"/>
    <d v="2024-01-07T00:00:00"/>
    <x v="2"/>
    <s v="Sunday"/>
    <s v="STORE_043"/>
    <x v="0"/>
    <x v="5"/>
    <x v="9"/>
    <n v="3723.69"/>
    <n v="9"/>
    <n v="33513.21"/>
    <n v="0"/>
    <n v="0"/>
    <n v="33513.21"/>
    <s v="Wallet"/>
    <s v="CUST_00311"/>
    <n v="5"/>
    <n v="0"/>
    <n v="3723.69"/>
    <s v="No Discount"/>
  </r>
  <r>
    <s v="TXN_00798"/>
    <d v="2024-08-03T00:00:00"/>
    <x v="8"/>
    <s v="Saturday"/>
    <s v="STORE_014"/>
    <x v="1"/>
    <x v="1"/>
    <x v="6"/>
    <n v="79.08"/>
    <n v="5"/>
    <n v="395.4"/>
    <n v="0"/>
    <n v="0"/>
    <n v="395.4"/>
    <s v="UPI"/>
    <s v="CUST_00846"/>
    <n v="1"/>
    <n v="0"/>
    <n v="79.08"/>
    <s v="No Discount"/>
  </r>
  <r>
    <s v="TXN_00799"/>
    <d v="2024-09-07T00:00:00"/>
    <x v="9"/>
    <s v="Saturday"/>
    <s v="STORE_004"/>
    <x v="1"/>
    <x v="7"/>
    <x v="28"/>
    <n v="886.04"/>
    <n v="1"/>
    <n v="886.04"/>
    <n v="5"/>
    <n v="44.3"/>
    <n v="841.74"/>
    <s v="Cash"/>
    <s v="CUST_00142"/>
    <n v="1"/>
    <n v="44.299999999999955"/>
    <n v="841.74"/>
    <s v="Low"/>
  </r>
  <r>
    <s v="TXN_00800"/>
    <d v="2024-02-24T00:00:00"/>
    <x v="1"/>
    <s v="Saturday"/>
    <s v="STORE_006"/>
    <x v="1"/>
    <x v="4"/>
    <x v="35"/>
    <n v="503.37"/>
    <n v="9"/>
    <n v="4530.33"/>
    <n v="15"/>
    <n v="679.55"/>
    <n v="3850.78"/>
    <s v="Wallet"/>
    <s v="CUST_00147"/>
    <n v="2"/>
    <n v="679.54999999999973"/>
    <n v="427.86444444444447"/>
    <s v="Medium"/>
  </r>
  <r>
    <s v="TXN_00801"/>
    <d v="2024-08-09T00:00:00"/>
    <x v="8"/>
    <s v="Friday"/>
    <s v="STORE_031"/>
    <x v="1"/>
    <x v="3"/>
    <x v="5"/>
    <n v="1838.63"/>
    <n v="2"/>
    <n v="3677.26"/>
    <n v="0"/>
    <n v="0"/>
    <n v="3677.26"/>
    <s v="Debit Card"/>
    <s v="CUST_00255"/>
    <n v="1"/>
    <n v="0"/>
    <n v="1838.63"/>
    <s v="No Discount"/>
  </r>
  <r>
    <s v="TXN_00802"/>
    <d v="2024-07-04T00:00:00"/>
    <x v="11"/>
    <s v="Thursday"/>
    <s v="STORE_020"/>
    <x v="0"/>
    <x v="0"/>
    <x v="4"/>
    <n v="519.29"/>
    <n v="2"/>
    <n v="1038.58"/>
    <n v="0"/>
    <n v="0"/>
    <n v="1038.58"/>
    <s v="Cash"/>
    <s v="CUST_00578"/>
    <n v="5"/>
    <n v="0"/>
    <n v="519.29"/>
    <s v="No Discount"/>
  </r>
  <r>
    <s v="TXN_00803"/>
    <d v="2024-11-21T00:00:00"/>
    <x v="0"/>
    <s v="Thursday"/>
    <s v="STORE_009"/>
    <x v="3"/>
    <x v="0"/>
    <x v="32"/>
    <n v="843.5"/>
    <n v="3"/>
    <n v="2530.5"/>
    <n v="15"/>
    <n v="379.57"/>
    <n v="2150.9299999999998"/>
    <s v="Debit Card"/>
    <s v="CUST_00568"/>
    <n v="3"/>
    <n v="379.57000000000016"/>
    <n v="716.97666666666657"/>
    <s v="Medium"/>
  </r>
  <r>
    <s v="TXN_00804"/>
    <d v="2024-08-23T00:00:00"/>
    <x v="8"/>
    <s v="Friday"/>
    <s v="STORE_012"/>
    <x v="3"/>
    <x v="3"/>
    <x v="22"/>
    <n v="1053.99"/>
    <n v="5"/>
    <n v="5269.95"/>
    <n v="10"/>
    <n v="527"/>
    <n v="4742.95"/>
    <s v="UPI"/>
    <s v="CUST_00802"/>
    <n v="5"/>
    <n v="527"/>
    <n v="948.58999999999992"/>
    <s v="Medium"/>
  </r>
  <r>
    <s v="TXN_00805"/>
    <d v="2024-12-28T00:00:00"/>
    <x v="6"/>
    <s v="Saturday"/>
    <s v="STORE_044"/>
    <x v="1"/>
    <x v="0"/>
    <x v="18"/>
    <n v="310.89"/>
    <n v="8"/>
    <n v="2487.12"/>
    <n v="15"/>
    <n v="373.07"/>
    <n v="2114.0500000000002"/>
    <s v="Cash"/>
    <s v="CUST_00480"/>
    <n v="5"/>
    <n v="373.06999999999971"/>
    <n v="264.25625000000002"/>
    <s v="Medium"/>
  </r>
  <r>
    <s v="TXN_00806"/>
    <d v="2024-03-19T00:00:00"/>
    <x v="5"/>
    <s v="Tuesday"/>
    <s v="STORE_002"/>
    <x v="3"/>
    <x v="4"/>
    <x v="19"/>
    <n v="359.95"/>
    <n v="7"/>
    <n v="2519.65"/>
    <n v="5"/>
    <n v="125.98"/>
    <n v="2393.67"/>
    <s v="Credit Card"/>
    <s v="CUST_00091"/>
    <n v="5"/>
    <n v="125.98000000000002"/>
    <n v="341.95285714285717"/>
    <s v="Low"/>
  </r>
  <r>
    <s v="TXN_00807"/>
    <d v="2024-08-10T00:00:00"/>
    <x v="8"/>
    <s v="Saturday"/>
    <s v="STORE_009"/>
    <x v="4"/>
    <x v="5"/>
    <x v="10"/>
    <n v="4627.3999999999996"/>
    <n v="4"/>
    <n v="18509.599999999999"/>
    <n v="10"/>
    <n v="1850.96"/>
    <n v="16658.64"/>
    <s v="Wallet"/>
    <s v="CUST_00557"/>
    <n v="3"/>
    <n v="1850.9599999999991"/>
    <n v="4164.66"/>
    <s v="Medium"/>
  </r>
  <r>
    <s v="TXN_00808"/>
    <d v="2024-03-31T00:00:00"/>
    <x v="5"/>
    <s v="Sunday"/>
    <s v="STORE_030"/>
    <x v="4"/>
    <x v="2"/>
    <x v="2"/>
    <n v="628.73"/>
    <n v="7"/>
    <n v="4401.1099999999997"/>
    <n v="0"/>
    <n v="0"/>
    <n v="4401.1099999999997"/>
    <s v="UPI"/>
    <s v="CUST_00472"/>
    <n v="1"/>
    <n v="0"/>
    <n v="628.7299999999999"/>
    <s v="No Discount"/>
  </r>
  <r>
    <s v="TXN_00809"/>
    <d v="2024-09-24T00:00:00"/>
    <x v="9"/>
    <s v="Tuesday"/>
    <s v="STORE_019"/>
    <x v="4"/>
    <x v="6"/>
    <x v="30"/>
    <n v="582.04"/>
    <n v="2"/>
    <n v="1164.08"/>
    <n v="0"/>
    <n v="0"/>
    <n v="1164.08"/>
    <s v="Wallet"/>
    <s v="CUST_00494"/>
    <n v="1"/>
    <n v="0"/>
    <n v="582.04"/>
    <s v="No Discount"/>
  </r>
  <r>
    <s v="TXN_00810"/>
    <d v="2024-11-29T00:00:00"/>
    <x v="0"/>
    <s v="Friday"/>
    <s v="STORE_045"/>
    <x v="0"/>
    <x v="4"/>
    <x v="8"/>
    <n v="204.65"/>
    <n v="10"/>
    <n v="2046.5"/>
    <n v="15"/>
    <n v="306.97000000000003"/>
    <n v="1739.53"/>
    <s v="Wallet"/>
    <s v="CUST_00529"/>
    <n v="1"/>
    <n v="306.97000000000003"/>
    <n v="173.953"/>
    <s v="Medium"/>
  </r>
  <r>
    <s v="TXN_00811"/>
    <d v="2024-05-18T00:00:00"/>
    <x v="3"/>
    <s v="Saturday"/>
    <s v="STORE_020"/>
    <x v="1"/>
    <x v="5"/>
    <x v="10"/>
    <n v="3961.7"/>
    <n v="8"/>
    <n v="31693.599999999999"/>
    <n v="0"/>
    <n v="0"/>
    <n v="31693.599999999999"/>
    <s v="Debit Card"/>
    <s v="CUST_00737"/>
    <n v="2"/>
    <n v="0"/>
    <n v="3961.7"/>
    <s v="No Discount"/>
  </r>
  <r>
    <s v="TXN_00812"/>
    <d v="2024-11-11T00:00:00"/>
    <x v="0"/>
    <s v="Monday"/>
    <s v="STORE_010"/>
    <x v="4"/>
    <x v="6"/>
    <x v="33"/>
    <n v="1435.5"/>
    <n v="4"/>
    <n v="5742"/>
    <n v="0"/>
    <n v="0"/>
    <n v="5742"/>
    <s v="Credit Card"/>
    <s v="CUST_00902"/>
    <n v="1"/>
    <n v="0"/>
    <n v="1435.5"/>
    <s v="No Discount"/>
  </r>
  <r>
    <s v="TXN_00813"/>
    <d v="2024-10-02T00:00:00"/>
    <x v="7"/>
    <s v="Wednesday"/>
    <s v="STORE_033"/>
    <x v="3"/>
    <x v="7"/>
    <x v="23"/>
    <n v="416.24"/>
    <n v="4"/>
    <n v="1664.96"/>
    <n v="0"/>
    <n v="0"/>
    <n v="1664.96"/>
    <s v="UPI"/>
    <s v="CUST_00401"/>
    <n v="1"/>
    <n v="0"/>
    <n v="416.24"/>
    <s v="No Discount"/>
  </r>
  <r>
    <s v="TXN_00814"/>
    <d v="2024-09-04T00:00:00"/>
    <x v="9"/>
    <s v="Wednesday"/>
    <s v="STORE_017"/>
    <x v="4"/>
    <x v="6"/>
    <x v="30"/>
    <n v="949.89"/>
    <n v="8"/>
    <n v="7599.12"/>
    <n v="0"/>
    <n v="0"/>
    <n v="7599.12"/>
    <s v="Debit Card"/>
    <s v="CUST_00698"/>
    <n v="5"/>
    <n v="0"/>
    <n v="949.89"/>
    <s v="No Discount"/>
  </r>
  <r>
    <s v="TXN_00815"/>
    <d v="2024-08-26T00:00:00"/>
    <x v="8"/>
    <s v="Monday"/>
    <s v="STORE_010"/>
    <x v="0"/>
    <x v="1"/>
    <x v="3"/>
    <n v="105.44"/>
    <n v="3"/>
    <n v="316.32"/>
    <n v="15"/>
    <n v="47.45"/>
    <n v="268.87"/>
    <s v="Credit Card"/>
    <s v="CUST_00175"/>
    <n v="2"/>
    <n v="47.449999999999989"/>
    <n v="89.623333333333335"/>
    <s v="Medium"/>
  </r>
  <r>
    <s v="TXN_00816"/>
    <d v="2024-08-11T00:00:00"/>
    <x v="8"/>
    <s v="Sunday"/>
    <s v="STORE_032"/>
    <x v="1"/>
    <x v="3"/>
    <x v="5"/>
    <n v="1545.31"/>
    <n v="5"/>
    <n v="7726.55"/>
    <n v="15"/>
    <n v="1158.98"/>
    <n v="6567.57"/>
    <s v="Credit Card"/>
    <s v="CUST_00684"/>
    <n v="5"/>
    <n v="1158.9800000000005"/>
    <n v="1313.5139999999999"/>
    <s v="Medium"/>
  </r>
  <r>
    <s v="TXN_00817"/>
    <d v="2024-10-30T00:00:00"/>
    <x v="7"/>
    <s v="Wednesday"/>
    <s v="STORE_010"/>
    <x v="2"/>
    <x v="2"/>
    <x v="13"/>
    <n v="370.07"/>
    <n v="2"/>
    <n v="740.14"/>
    <n v="5"/>
    <n v="37.01"/>
    <n v="703.13"/>
    <s v="UPI"/>
    <s v="CUST_00291"/>
    <n v="4"/>
    <n v="37.009999999999991"/>
    <n v="351.565"/>
    <s v="Low"/>
  </r>
  <r>
    <s v="TXN_00818"/>
    <d v="2024-05-17T00:00:00"/>
    <x v="3"/>
    <s v="Friday"/>
    <s v="STORE_042"/>
    <x v="4"/>
    <x v="1"/>
    <x v="36"/>
    <n v="303.89"/>
    <n v="1"/>
    <n v="303.89"/>
    <n v="10"/>
    <n v="30.39"/>
    <n v="273.5"/>
    <s v="Cash"/>
    <s v="CUST_00456"/>
    <n v="1"/>
    <n v="30.389999999999986"/>
    <n v="273.5"/>
    <s v="Medium"/>
  </r>
  <r>
    <s v="TXN_00819"/>
    <d v="2024-06-14T00:00:00"/>
    <x v="10"/>
    <s v="Friday"/>
    <s v="STORE_001"/>
    <x v="0"/>
    <x v="6"/>
    <x v="15"/>
    <n v="1944.19"/>
    <n v="8"/>
    <n v="15553.52"/>
    <n v="15"/>
    <n v="2333.0300000000002"/>
    <n v="13220.49"/>
    <s v="UPI"/>
    <s v="CUST_00367"/>
    <n v="3"/>
    <n v="2333.0300000000007"/>
    <n v="1652.56125"/>
    <s v="Medium"/>
  </r>
  <r>
    <s v="TXN_00820"/>
    <d v="2024-05-05T00:00:00"/>
    <x v="3"/>
    <s v="Sunday"/>
    <s v="STORE_012"/>
    <x v="0"/>
    <x v="3"/>
    <x v="22"/>
    <n v="2727.14"/>
    <n v="9"/>
    <n v="24544.26"/>
    <n v="5"/>
    <n v="1227.21"/>
    <n v="23317.05"/>
    <s v="Wallet"/>
    <s v="CUST_00361"/>
    <n v="1"/>
    <n v="1227.2099999999991"/>
    <n v="2590.7833333333333"/>
    <s v="Low"/>
  </r>
  <r>
    <s v="TXN_00821"/>
    <d v="2024-02-14T00:00:00"/>
    <x v="1"/>
    <s v="Wednesday"/>
    <s v="STORE_005"/>
    <x v="3"/>
    <x v="4"/>
    <x v="19"/>
    <n v="471.83"/>
    <n v="3"/>
    <n v="1415.49"/>
    <n v="0"/>
    <n v="0"/>
    <n v="1415.49"/>
    <s v="Cash"/>
    <s v="CUST_00386"/>
    <n v="4"/>
    <n v="0"/>
    <n v="471.83"/>
    <s v="No Discount"/>
  </r>
  <r>
    <s v="TXN_00822"/>
    <d v="2024-05-22T00:00:00"/>
    <x v="3"/>
    <s v="Wednesday"/>
    <s v="STORE_017"/>
    <x v="0"/>
    <x v="1"/>
    <x v="3"/>
    <n v="346.54"/>
    <n v="10"/>
    <n v="3465.4"/>
    <n v="15"/>
    <n v="519.80999999999995"/>
    <n v="2945.59"/>
    <s v="Wallet"/>
    <s v="CUST_00715"/>
    <n v="5"/>
    <n v="519.80999999999995"/>
    <n v="294.55900000000003"/>
    <s v="Medium"/>
  </r>
  <r>
    <s v="TXN_00823"/>
    <d v="2024-08-18T00:00:00"/>
    <x v="8"/>
    <s v="Sunday"/>
    <s v="STORE_005"/>
    <x v="2"/>
    <x v="4"/>
    <x v="17"/>
    <n v="579.84"/>
    <n v="6"/>
    <n v="3479.04"/>
    <n v="10"/>
    <n v="347.9"/>
    <n v="3131.14"/>
    <s v="Wallet"/>
    <s v="CUST_00031"/>
    <n v="4"/>
    <n v="347.90000000000009"/>
    <n v="521.85666666666668"/>
    <s v="Medium"/>
  </r>
  <r>
    <s v="TXN_00824"/>
    <d v="2024-05-04T00:00:00"/>
    <x v="3"/>
    <s v="Saturday"/>
    <s v="STORE_049"/>
    <x v="0"/>
    <x v="5"/>
    <x v="11"/>
    <n v="1386.16"/>
    <n v="2"/>
    <n v="2772.32"/>
    <n v="5"/>
    <n v="138.62"/>
    <n v="2633.7"/>
    <s v="UPI"/>
    <s v="CUST_00791"/>
    <n v="3"/>
    <n v="138.62000000000035"/>
    <n v="1316.85"/>
    <s v="Low"/>
  </r>
  <r>
    <s v="TXN_00825"/>
    <d v="2024-08-25T00:00:00"/>
    <x v="8"/>
    <s v="Sunday"/>
    <s v="STORE_005"/>
    <x v="2"/>
    <x v="3"/>
    <x v="21"/>
    <n v="2719.42"/>
    <n v="3"/>
    <n v="8158.26"/>
    <n v="15"/>
    <n v="1223.74"/>
    <n v="6934.52"/>
    <s v="UPI"/>
    <s v="CUST_00627"/>
    <n v="4"/>
    <n v="1223.7399999999998"/>
    <n v="2311.5066666666667"/>
    <s v="Medium"/>
  </r>
  <r>
    <s v="TXN_00826"/>
    <d v="2024-10-18T00:00:00"/>
    <x v="7"/>
    <s v="Friday"/>
    <s v="STORE_041"/>
    <x v="2"/>
    <x v="2"/>
    <x v="2"/>
    <n v="126.19"/>
    <n v="2"/>
    <n v="252.38"/>
    <n v="5"/>
    <n v="12.62"/>
    <n v="239.76"/>
    <s v="Cash"/>
    <s v="CUST_00946"/>
    <n v="5"/>
    <n v="12.620000000000005"/>
    <n v="119.88"/>
    <s v="Low"/>
  </r>
  <r>
    <s v="TXN_00827"/>
    <d v="2024-11-08T00:00:00"/>
    <x v="0"/>
    <s v="Friday"/>
    <s v="STORE_036"/>
    <x v="0"/>
    <x v="5"/>
    <x v="25"/>
    <n v="1430.64"/>
    <n v="8"/>
    <n v="11445.12"/>
    <n v="5"/>
    <n v="572.26"/>
    <n v="10872.86"/>
    <s v="Debit Card"/>
    <s v="CUST_00201"/>
    <n v="5"/>
    <n v="572.26000000000022"/>
    <n v="1359.1075000000001"/>
    <s v="Low"/>
  </r>
  <r>
    <s v="TXN_00828"/>
    <d v="2024-12-08T00:00:00"/>
    <x v="6"/>
    <s v="Sunday"/>
    <s v="STORE_028"/>
    <x v="4"/>
    <x v="2"/>
    <x v="13"/>
    <n v="406.26"/>
    <n v="5"/>
    <n v="2031.3"/>
    <n v="0"/>
    <n v="0"/>
    <n v="2031.3"/>
    <s v="Debit Card"/>
    <s v="CUST_00829"/>
    <n v="2"/>
    <n v="0"/>
    <n v="406.26"/>
    <s v="No Discount"/>
  </r>
  <r>
    <s v="TXN_00829"/>
    <d v="2024-07-13T00:00:00"/>
    <x v="11"/>
    <s v="Saturday"/>
    <s v="STORE_001"/>
    <x v="1"/>
    <x v="3"/>
    <x v="21"/>
    <n v="1829.9"/>
    <n v="2"/>
    <n v="3659.8"/>
    <n v="0"/>
    <n v="0"/>
    <n v="3659.8"/>
    <s v="Credit Card"/>
    <s v="CUST_00793"/>
    <n v="2"/>
    <n v="0"/>
    <n v="1829.9"/>
    <s v="No Discount"/>
  </r>
  <r>
    <s v="TXN_00830"/>
    <d v="2024-06-21T00:00:00"/>
    <x v="10"/>
    <s v="Friday"/>
    <s v="STORE_032"/>
    <x v="0"/>
    <x v="0"/>
    <x v="27"/>
    <n v="637.26"/>
    <n v="2"/>
    <n v="1274.52"/>
    <n v="0"/>
    <n v="0"/>
    <n v="1274.52"/>
    <s v="Debit Card"/>
    <s v="CUST_00853"/>
    <n v="5"/>
    <n v="0"/>
    <n v="637.26"/>
    <s v="No Discount"/>
  </r>
  <r>
    <s v="TXN_00831"/>
    <d v="2024-01-15T00:00:00"/>
    <x v="2"/>
    <s v="Monday"/>
    <s v="STORE_036"/>
    <x v="0"/>
    <x v="3"/>
    <x v="16"/>
    <n v="2517.21"/>
    <n v="9"/>
    <n v="22654.89"/>
    <n v="0"/>
    <n v="0"/>
    <n v="22654.89"/>
    <s v="Cash"/>
    <s v="CUST_00821"/>
    <n v="5"/>
    <n v="0"/>
    <n v="2517.21"/>
    <s v="No Discount"/>
  </r>
  <r>
    <s v="TXN_00832"/>
    <d v="2024-09-10T00:00:00"/>
    <x v="9"/>
    <s v="Tuesday"/>
    <s v="STORE_006"/>
    <x v="0"/>
    <x v="7"/>
    <x v="37"/>
    <n v="813.01"/>
    <n v="7"/>
    <n v="5691.07"/>
    <n v="20"/>
    <n v="1138.21"/>
    <n v="4552.8599999999997"/>
    <s v="Credit Card"/>
    <s v="CUST_00802"/>
    <n v="5"/>
    <n v="1138.21"/>
    <n v="650.40857142857135"/>
    <s v="High"/>
  </r>
  <r>
    <s v="TXN_00833"/>
    <d v="2024-06-15T00:00:00"/>
    <x v="10"/>
    <s v="Saturday"/>
    <s v="STORE_022"/>
    <x v="2"/>
    <x v="2"/>
    <x v="2"/>
    <n v="182.55"/>
    <n v="4"/>
    <n v="730.2"/>
    <n v="0"/>
    <n v="0"/>
    <n v="730.2"/>
    <s v="Wallet"/>
    <s v="CUST_00230"/>
    <n v="5"/>
    <n v="0"/>
    <n v="182.55"/>
    <s v="No Discount"/>
  </r>
  <r>
    <s v="TXN_00834"/>
    <d v="2024-04-03T00:00:00"/>
    <x v="4"/>
    <s v="Wednesday"/>
    <s v="STORE_005"/>
    <x v="4"/>
    <x v="2"/>
    <x v="39"/>
    <n v="373.3"/>
    <n v="6"/>
    <n v="2239.8000000000002"/>
    <n v="0"/>
    <n v="0"/>
    <n v="2239.8000000000002"/>
    <s v="Debit Card"/>
    <s v="CUST_00590"/>
    <n v="3"/>
    <n v="0"/>
    <n v="373.3"/>
    <s v="No Discount"/>
  </r>
  <r>
    <s v="TXN_00835"/>
    <d v="2024-09-06T00:00:00"/>
    <x v="9"/>
    <s v="Friday"/>
    <s v="STORE_004"/>
    <x v="4"/>
    <x v="3"/>
    <x v="16"/>
    <n v="2809.07"/>
    <n v="9"/>
    <n v="25281.63"/>
    <n v="0"/>
    <n v="0"/>
    <n v="25281.63"/>
    <s v="UPI"/>
    <s v="CUST_00715"/>
    <n v="5"/>
    <n v="0"/>
    <n v="2809.07"/>
    <s v="No Discount"/>
  </r>
  <r>
    <s v="TXN_00836"/>
    <d v="2024-04-18T00:00:00"/>
    <x v="4"/>
    <s v="Thursday"/>
    <s v="STORE_022"/>
    <x v="3"/>
    <x v="7"/>
    <x v="23"/>
    <n v="865.17"/>
    <n v="5"/>
    <n v="4325.8500000000004"/>
    <n v="15"/>
    <n v="648.88"/>
    <n v="3676.97"/>
    <s v="Credit Card"/>
    <s v="CUST_00268"/>
    <n v="1"/>
    <n v="648.88000000000056"/>
    <n v="735.39400000000001"/>
    <s v="Medium"/>
  </r>
  <r>
    <s v="TXN_00837"/>
    <d v="2024-06-30T00:00:00"/>
    <x v="10"/>
    <s v="Sunday"/>
    <s v="STORE_047"/>
    <x v="1"/>
    <x v="3"/>
    <x v="22"/>
    <n v="2686.48"/>
    <n v="1"/>
    <n v="2686.48"/>
    <n v="0"/>
    <n v="0"/>
    <n v="2686.48"/>
    <s v="Debit Card"/>
    <s v="CUST_00947"/>
    <n v="5"/>
    <n v="0"/>
    <n v="2686.48"/>
    <s v="No Discount"/>
  </r>
  <r>
    <s v="TXN_00838"/>
    <d v="2024-05-12T00:00:00"/>
    <x v="3"/>
    <s v="Sunday"/>
    <s v="STORE_005"/>
    <x v="3"/>
    <x v="6"/>
    <x v="14"/>
    <n v="1240.33"/>
    <n v="10"/>
    <n v="12403.3"/>
    <n v="10"/>
    <n v="1240.33"/>
    <n v="11162.97"/>
    <s v="Credit Card"/>
    <s v="CUST_00613"/>
    <n v="3"/>
    <n v="1240.33"/>
    <n v="1116.297"/>
    <s v="Medium"/>
  </r>
  <r>
    <s v="TXN_00839"/>
    <d v="2024-06-23T00:00:00"/>
    <x v="10"/>
    <s v="Sunday"/>
    <s v="STORE_003"/>
    <x v="3"/>
    <x v="7"/>
    <x v="23"/>
    <n v="874.53"/>
    <n v="3"/>
    <n v="2623.59"/>
    <n v="0"/>
    <n v="0"/>
    <n v="2623.59"/>
    <s v="Credit Card"/>
    <s v="CUST_00520"/>
    <n v="1"/>
    <n v="0"/>
    <n v="874.53000000000009"/>
    <s v="No Discount"/>
  </r>
  <r>
    <s v="TXN_00840"/>
    <d v="2024-05-23T00:00:00"/>
    <x v="3"/>
    <s v="Thursday"/>
    <s v="STORE_004"/>
    <x v="2"/>
    <x v="3"/>
    <x v="22"/>
    <n v="1408.24"/>
    <n v="5"/>
    <n v="7041.2"/>
    <n v="20"/>
    <n v="1408.24"/>
    <n v="5632.96"/>
    <s v="Debit Card"/>
    <s v="CUST_00793"/>
    <n v="1"/>
    <n v="1408.2399999999998"/>
    <n v="1126.5920000000001"/>
    <s v="High"/>
  </r>
  <r>
    <s v="TXN_00841"/>
    <d v="2024-11-01T00:00:00"/>
    <x v="0"/>
    <s v="Friday"/>
    <s v="STORE_031"/>
    <x v="2"/>
    <x v="3"/>
    <x v="16"/>
    <n v="1902.79"/>
    <n v="7"/>
    <n v="13319.53"/>
    <n v="15"/>
    <n v="1997.93"/>
    <n v="11321.6"/>
    <s v="Credit Card"/>
    <s v="CUST_00397"/>
    <n v="5"/>
    <n v="1997.9300000000003"/>
    <n v="1617.3714285714286"/>
    <s v="Medium"/>
  </r>
  <r>
    <s v="TXN_00842"/>
    <d v="2024-12-25T00:00:00"/>
    <x v="6"/>
    <s v="Wednesday"/>
    <s v="STORE_029"/>
    <x v="2"/>
    <x v="0"/>
    <x v="0"/>
    <n v="543.77"/>
    <n v="7"/>
    <n v="3806.39"/>
    <n v="10"/>
    <n v="380.64"/>
    <n v="3425.75"/>
    <s v="Debit Card"/>
    <s v="CUST_00919"/>
    <n v="1"/>
    <n v="380.63999999999987"/>
    <n v="489.39285714285717"/>
    <s v="Medium"/>
  </r>
  <r>
    <s v="TXN_00843"/>
    <d v="2024-05-21T00:00:00"/>
    <x v="3"/>
    <s v="Tuesday"/>
    <s v="STORE_006"/>
    <x v="4"/>
    <x v="4"/>
    <x v="35"/>
    <n v="237.14"/>
    <n v="7"/>
    <n v="1659.98"/>
    <n v="0"/>
    <n v="0"/>
    <n v="1659.98"/>
    <s v="Debit Card"/>
    <s v="CUST_00011"/>
    <n v="2"/>
    <n v="0"/>
    <n v="237.14000000000001"/>
    <s v="No Discount"/>
  </r>
  <r>
    <s v="TXN_00844"/>
    <d v="2024-10-11T00:00:00"/>
    <x v="7"/>
    <s v="Friday"/>
    <s v="STORE_047"/>
    <x v="0"/>
    <x v="3"/>
    <x v="5"/>
    <n v="2292.9299999999998"/>
    <n v="9"/>
    <n v="20636.37"/>
    <n v="10"/>
    <n v="2063.64"/>
    <n v="18572.73"/>
    <s v="Credit Card"/>
    <s v="CUST_00833"/>
    <n v="1"/>
    <n v="2063.6399999999994"/>
    <n v="2063.6366666666668"/>
    <s v="Medium"/>
  </r>
  <r>
    <s v="TXN_00845"/>
    <d v="2024-01-06T00:00:00"/>
    <x v="2"/>
    <s v="Saturday"/>
    <s v="STORE_021"/>
    <x v="1"/>
    <x v="6"/>
    <x v="30"/>
    <n v="584.98"/>
    <n v="8"/>
    <n v="4679.84"/>
    <n v="0"/>
    <n v="0"/>
    <n v="4679.84"/>
    <s v="Cash"/>
    <s v="CUST_00617"/>
    <n v="1"/>
    <n v="0"/>
    <n v="584.98"/>
    <s v="No Discount"/>
  </r>
  <r>
    <s v="TXN_00846"/>
    <d v="2024-09-21T00:00:00"/>
    <x v="9"/>
    <s v="Saturday"/>
    <s v="STORE_005"/>
    <x v="1"/>
    <x v="3"/>
    <x v="22"/>
    <n v="563.21"/>
    <n v="7"/>
    <n v="3942.47"/>
    <n v="5"/>
    <n v="197.12"/>
    <n v="3745.35"/>
    <s v="Credit Card"/>
    <s v="CUST_00961"/>
    <n v="1"/>
    <n v="197.11999999999989"/>
    <n v="535.04999999999995"/>
    <s v="Low"/>
  </r>
  <r>
    <s v="TXN_00847"/>
    <d v="2024-04-07T00:00:00"/>
    <x v="4"/>
    <s v="Sunday"/>
    <s v="STORE_046"/>
    <x v="1"/>
    <x v="3"/>
    <x v="5"/>
    <n v="2174.71"/>
    <n v="6"/>
    <n v="13048.26"/>
    <n v="20"/>
    <n v="2609.65"/>
    <n v="10438.61"/>
    <s v="Debit Card"/>
    <s v="CUST_00965"/>
    <n v="4"/>
    <n v="2609.6499999999996"/>
    <n v="1739.7683333333334"/>
    <s v="High"/>
  </r>
  <r>
    <s v="TXN_00848"/>
    <d v="2024-02-13T00:00:00"/>
    <x v="1"/>
    <s v="Tuesday"/>
    <s v="STORE_045"/>
    <x v="4"/>
    <x v="4"/>
    <x v="17"/>
    <n v="281.70999999999998"/>
    <n v="4"/>
    <n v="1126.8399999999999"/>
    <n v="10"/>
    <n v="112.68"/>
    <n v="1014.16"/>
    <s v="Cash"/>
    <s v="CUST_00516"/>
    <n v="3"/>
    <n v="112.67999999999995"/>
    <n v="253.54"/>
    <s v="Medium"/>
  </r>
  <r>
    <s v="TXN_00849"/>
    <d v="2024-05-03T00:00:00"/>
    <x v="3"/>
    <s v="Friday"/>
    <s v="STORE_018"/>
    <x v="2"/>
    <x v="7"/>
    <x v="28"/>
    <n v="715.96"/>
    <n v="7"/>
    <n v="5011.72"/>
    <n v="15"/>
    <n v="751.76"/>
    <n v="4259.96"/>
    <s v="Wallet"/>
    <s v="CUST_00209"/>
    <n v="4"/>
    <n v="751.76000000000022"/>
    <n v="608.56571428571431"/>
    <s v="Medium"/>
  </r>
  <r>
    <s v="TXN_00850"/>
    <d v="2024-07-27T00:00:00"/>
    <x v="11"/>
    <s v="Saturday"/>
    <s v="STORE_047"/>
    <x v="0"/>
    <x v="5"/>
    <x v="10"/>
    <n v="1922.14"/>
    <n v="9"/>
    <n v="17299.259999999998"/>
    <n v="0"/>
    <n v="0"/>
    <n v="17299.259999999998"/>
    <s v="Credit Card"/>
    <s v="CUST_00037"/>
    <n v="3"/>
    <n v="0"/>
    <n v="1922.1399999999999"/>
    <s v="No Discount"/>
  </r>
  <r>
    <s v="TXN_00851"/>
    <d v="2024-09-07T00:00:00"/>
    <x v="9"/>
    <s v="Saturday"/>
    <s v="STORE_003"/>
    <x v="1"/>
    <x v="3"/>
    <x v="5"/>
    <n v="2019.74"/>
    <n v="8"/>
    <n v="16157.92"/>
    <n v="0"/>
    <n v="0"/>
    <n v="16157.92"/>
    <s v="Credit Card"/>
    <s v="CUST_00285"/>
    <n v="4"/>
    <n v="0"/>
    <n v="2019.74"/>
    <s v="No Discount"/>
  </r>
  <r>
    <s v="TXN_00852"/>
    <d v="2024-10-11T00:00:00"/>
    <x v="7"/>
    <s v="Friday"/>
    <s v="STORE_025"/>
    <x v="3"/>
    <x v="0"/>
    <x v="32"/>
    <n v="861.74"/>
    <n v="2"/>
    <n v="1723.48"/>
    <n v="0"/>
    <n v="0"/>
    <n v="1723.48"/>
    <s v="Cash"/>
    <s v="CUST_00020"/>
    <n v="5"/>
    <n v="0"/>
    <n v="861.74"/>
    <s v="No Discount"/>
  </r>
  <r>
    <s v="TXN_00853"/>
    <d v="2024-05-03T00:00:00"/>
    <x v="3"/>
    <s v="Friday"/>
    <s v="STORE_043"/>
    <x v="3"/>
    <x v="0"/>
    <x v="4"/>
    <n v="555.22"/>
    <n v="4"/>
    <n v="2220.88"/>
    <n v="0"/>
    <n v="0"/>
    <n v="2220.88"/>
    <s v="UPI"/>
    <s v="CUST_00546"/>
    <n v="2"/>
    <n v="0"/>
    <n v="555.22"/>
    <s v="No Discount"/>
  </r>
  <r>
    <s v="TXN_00854"/>
    <d v="2024-12-19T00:00:00"/>
    <x v="6"/>
    <s v="Thursday"/>
    <s v="STORE_017"/>
    <x v="4"/>
    <x v="6"/>
    <x v="15"/>
    <n v="546.96"/>
    <n v="6"/>
    <n v="3281.76"/>
    <n v="0"/>
    <n v="0"/>
    <n v="3281.76"/>
    <s v="Wallet"/>
    <s v="CUST_00222"/>
    <n v="3"/>
    <n v="0"/>
    <n v="546.96"/>
    <s v="No Discount"/>
  </r>
  <r>
    <s v="TXN_00855"/>
    <d v="2024-08-31T00:00:00"/>
    <x v="8"/>
    <s v="Saturday"/>
    <s v="STORE_007"/>
    <x v="4"/>
    <x v="6"/>
    <x v="15"/>
    <n v="1588.68"/>
    <n v="10"/>
    <n v="15886.8"/>
    <n v="5"/>
    <n v="794.34"/>
    <n v="15092.46"/>
    <s v="UPI"/>
    <s v="CUST_00398"/>
    <n v="1"/>
    <n v="794.34000000000015"/>
    <n v="1509.2459999999999"/>
    <s v="Low"/>
  </r>
  <r>
    <s v="TXN_00856"/>
    <d v="2024-11-26T00:00:00"/>
    <x v="0"/>
    <s v="Tuesday"/>
    <s v="STORE_017"/>
    <x v="0"/>
    <x v="2"/>
    <x v="7"/>
    <n v="424.45"/>
    <n v="10"/>
    <n v="4244.5"/>
    <n v="15"/>
    <n v="636.66999999999996"/>
    <n v="3607.83"/>
    <s v="Wallet"/>
    <s v="CUST_00984"/>
    <n v="5"/>
    <n v="636.67000000000007"/>
    <n v="360.78300000000002"/>
    <s v="Medium"/>
  </r>
  <r>
    <s v="TXN_00857"/>
    <d v="2024-12-30T00:00:00"/>
    <x v="6"/>
    <s v="Monday"/>
    <s v="STORE_044"/>
    <x v="1"/>
    <x v="0"/>
    <x v="4"/>
    <n v="796.51"/>
    <n v="4"/>
    <n v="3186.04"/>
    <n v="0"/>
    <n v="0"/>
    <n v="3186.04"/>
    <s v="Credit Card"/>
    <s v="CUST_00088"/>
    <n v="3"/>
    <n v="0"/>
    <n v="796.51"/>
    <s v="No Discount"/>
  </r>
  <r>
    <s v="TXN_00858"/>
    <d v="2024-09-08T00:00:00"/>
    <x v="9"/>
    <s v="Sunday"/>
    <s v="STORE_018"/>
    <x v="1"/>
    <x v="3"/>
    <x v="16"/>
    <n v="1028.31"/>
    <n v="10"/>
    <n v="10283.1"/>
    <n v="5"/>
    <n v="514.16"/>
    <n v="9768.94"/>
    <s v="Credit Card"/>
    <s v="CUST_00276"/>
    <n v="5"/>
    <n v="514.15999999999985"/>
    <n v="976.89400000000001"/>
    <s v="Low"/>
  </r>
  <r>
    <s v="TXN_00859"/>
    <d v="2024-08-17T00:00:00"/>
    <x v="8"/>
    <s v="Saturday"/>
    <s v="STORE_012"/>
    <x v="3"/>
    <x v="2"/>
    <x v="7"/>
    <n v="108.64"/>
    <n v="5"/>
    <n v="543.20000000000005"/>
    <n v="10"/>
    <n v="54.32"/>
    <n v="488.88"/>
    <s v="Cash"/>
    <s v="CUST_00474"/>
    <n v="3"/>
    <n v="54.32000000000005"/>
    <n v="97.775999999999996"/>
    <s v="Medium"/>
  </r>
  <r>
    <s v="TXN_00860"/>
    <d v="2024-01-09T00:00:00"/>
    <x v="2"/>
    <s v="Tuesday"/>
    <s v="STORE_014"/>
    <x v="3"/>
    <x v="6"/>
    <x v="33"/>
    <n v="513.30999999999995"/>
    <n v="1"/>
    <n v="513.30999999999995"/>
    <n v="0"/>
    <n v="0"/>
    <n v="513.30999999999995"/>
    <s v="UPI"/>
    <s v="CUST_00060"/>
    <n v="5"/>
    <n v="0"/>
    <n v="513.30999999999995"/>
    <s v="No Discount"/>
  </r>
  <r>
    <s v="TXN_00861"/>
    <d v="2024-02-17T00:00:00"/>
    <x v="1"/>
    <s v="Saturday"/>
    <s v="STORE_012"/>
    <x v="1"/>
    <x v="7"/>
    <x v="24"/>
    <n v="1376.45"/>
    <n v="9"/>
    <n v="12388.05"/>
    <n v="0"/>
    <n v="0"/>
    <n v="12388.05"/>
    <s v="Credit Card"/>
    <s v="CUST_00785"/>
    <n v="4"/>
    <n v="0"/>
    <n v="1376.4499999999998"/>
    <s v="No Discount"/>
  </r>
  <r>
    <s v="TXN_00862"/>
    <d v="2024-05-30T00:00:00"/>
    <x v="3"/>
    <s v="Thursday"/>
    <s v="STORE_040"/>
    <x v="2"/>
    <x v="2"/>
    <x v="39"/>
    <n v="708.34"/>
    <n v="3"/>
    <n v="2125.02"/>
    <n v="0"/>
    <n v="0"/>
    <n v="2125.02"/>
    <s v="Debit Card"/>
    <s v="CUST_00239"/>
    <n v="2"/>
    <n v="0"/>
    <n v="708.34"/>
    <s v="No Discount"/>
  </r>
  <r>
    <s v="TXN_00863"/>
    <d v="2024-04-23T00:00:00"/>
    <x v="4"/>
    <s v="Tuesday"/>
    <s v="STORE_021"/>
    <x v="2"/>
    <x v="7"/>
    <x v="28"/>
    <n v="521.11"/>
    <n v="9"/>
    <n v="4689.99"/>
    <n v="20"/>
    <n v="938"/>
    <n v="3751.99"/>
    <s v="UPI"/>
    <s v="CUST_00567"/>
    <n v="5"/>
    <n v="938"/>
    <n v="416.88777777777773"/>
    <s v="High"/>
  </r>
  <r>
    <s v="TXN_00864"/>
    <d v="2024-07-26T00:00:00"/>
    <x v="11"/>
    <s v="Friday"/>
    <s v="STORE_035"/>
    <x v="2"/>
    <x v="3"/>
    <x v="21"/>
    <n v="2864.77"/>
    <n v="5"/>
    <n v="14323.85"/>
    <n v="0"/>
    <n v="0"/>
    <n v="14323.85"/>
    <s v="Credit Card"/>
    <s v="CUST_00615"/>
    <n v="3"/>
    <n v="0"/>
    <n v="2864.77"/>
    <s v="No Discount"/>
  </r>
  <r>
    <s v="TXN_00865"/>
    <d v="2024-12-20T00:00:00"/>
    <x v="6"/>
    <s v="Friday"/>
    <s v="STORE_005"/>
    <x v="0"/>
    <x v="3"/>
    <x v="22"/>
    <n v="505.66"/>
    <n v="9"/>
    <n v="4550.9399999999996"/>
    <n v="5"/>
    <n v="227.55"/>
    <n v="4323.3900000000003"/>
    <s v="Credit Card"/>
    <s v="CUST_00209"/>
    <n v="5"/>
    <n v="227.54999999999927"/>
    <n v="480.37666666666672"/>
    <s v="Low"/>
  </r>
  <r>
    <s v="TXN_00866"/>
    <d v="2024-05-04T00:00:00"/>
    <x v="3"/>
    <s v="Saturday"/>
    <s v="STORE_010"/>
    <x v="2"/>
    <x v="4"/>
    <x v="17"/>
    <n v="317.11"/>
    <n v="7"/>
    <n v="2219.77"/>
    <n v="0"/>
    <n v="0"/>
    <n v="2219.77"/>
    <s v="UPI"/>
    <s v="CUST_00335"/>
    <n v="3"/>
    <n v="0"/>
    <n v="317.11"/>
    <s v="No Discount"/>
  </r>
  <r>
    <s v="TXN_00867"/>
    <d v="2024-06-05T00:00:00"/>
    <x v="10"/>
    <s v="Wednesday"/>
    <s v="STORE_002"/>
    <x v="0"/>
    <x v="4"/>
    <x v="35"/>
    <n v="588.79"/>
    <n v="6"/>
    <n v="3532.74"/>
    <n v="5"/>
    <n v="176.64"/>
    <n v="3356.1"/>
    <s v="Cash"/>
    <s v="CUST_00378"/>
    <n v="5"/>
    <n v="176.63999999999987"/>
    <n v="559.35"/>
    <s v="Low"/>
  </r>
  <r>
    <s v="TXN_00868"/>
    <d v="2024-12-05T00:00:00"/>
    <x v="6"/>
    <s v="Thursday"/>
    <s v="STORE_014"/>
    <x v="1"/>
    <x v="6"/>
    <x v="15"/>
    <n v="1895.46"/>
    <n v="10"/>
    <n v="18954.599999999999"/>
    <n v="0"/>
    <n v="0"/>
    <n v="18954.599999999999"/>
    <s v="Credit Card"/>
    <s v="CUST_00524"/>
    <n v="5"/>
    <n v="0"/>
    <n v="1895.4599999999998"/>
    <s v="No Discount"/>
  </r>
  <r>
    <s v="TXN_00869"/>
    <d v="2024-10-24T00:00:00"/>
    <x v="7"/>
    <s v="Thursday"/>
    <s v="STORE_049"/>
    <x v="2"/>
    <x v="4"/>
    <x v="20"/>
    <n v="320.48"/>
    <n v="10"/>
    <n v="3204.8"/>
    <n v="0"/>
    <n v="0"/>
    <n v="3204.8"/>
    <s v="Debit Card"/>
    <s v="CUST_00979"/>
    <n v="4"/>
    <n v="0"/>
    <n v="320.48"/>
    <s v="No Discount"/>
  </r>
  <r>
    <s v="TXN_00870"/>
    <d v="2024-07-07T00:00:00"/>
    <x v="11"/>
    <s v="Sunday"/>
    <s v="STORE_035"/>
    <x v="2"/>
    <x v="7"/>
    <x v="38"/>
    <n v="978.48"/>
    <n v="10"/>
    <n v="9784.7999999999993"/>
    <n v="15"/>
    <n v="1467.72"/>
    <n v="8317.08"/>
    <s v="Wallet"/>
    <s v="CUST_00868"/>
    <n v="4"/>
    <n v="1467.7199999999993"/>
    <n v="831.70799999999997"/>
    <s v="Medium"/>
  </r>
  <r>
    <s v="TXN_00871"/>
    <d v="2024-08-30T00:00:00"/>
    <x v="8"/>
    <s v="Friday"/>
    <s v="STORE_018"/>
    <x v="0"/>
    <x v="6"/>
    <x v="26"/>
    <n v="1208.49"/>
    <n v="9"/>
    <n v="10876.41"/>
    <n v="10"/>
    <n v="1087.6400000000001"/>
    <n v="9788.77"/>
    <s v="UPI"/>
    <s v="CUST_00857"/>
    <n v="3"/>
    <n v="1087.6399999999994"/>
    <n v="1087.6411111111111"/>
    <s v="Medium"/>
  </r>
  <r>
    <s v="TXN_00872"/>
    <d v="2024-10-10T00:00:00"/>
    <x v="7"/>
    <s v="Thursday"/>
    <s v="STORE_048"/>
    <x v="2"/>
    <x v="2"/>
    <x v="29"/>
    <n v="330.08"/>
    <n v="6"/>
    <n v="1980.48"/>
    <n v="0"/>
    <n v="0"/>
    <n v="1980.48"/>
    <s v="UPI"/>
    <s v="CUST_00710"/>
    <n v="3"/>
    <n v="0"/>
    <n v="330.08"/>
    <s v="No Discount"/>
  </r>
  <r>
    <s v="TXN_00873"/>
    <d v="2024-09-28T00:00:00"/>
    <x v="9"/>
    <s v="Saturday"/>
    <s v="STORE_036"/>
    <x v="4"/>
    <x v="3"/>
    <x v="5"/>
    <n v="2251.84"/>
    <n v="7"/>
    <n v="15762.88"/>
    <n v="0"/>
    <n v="0"/>
    <n v="15762.88"/>
    <s v="Credit Card"/>
    <s v="CUST_00079"/>
    <n v="3"/>
    <n v="0"/>
    <n v="2251.8399999999997"/>
    <s v="No Discount"/>
  </r>
  <r>
    <s v="TXN_00874"/>
    <d v="2024-06-25T00:00:00"/>
    <x v="10"/>
    <s v="Tuesday"/>
    <s v="STORE_037"/>
    <x v="0"/>
    <x v="4"/>
    <x v="19"/>
    <n v="422.35"/>
    <n v="8"/>
    <n v="3378.8"/>
    <n v="20"/>
    <n v="675.76"/>
    <n v="2703.04"/>
    <s v="UPI"/>
    <s v="CUST_00948"/>
    <n v="2"/>
    <n v="675.76000000000022"/>
    <n v="337.88"/>
    <s v="High"/>
  </r>
  <r>
    <s v="TXN_00875"/>
    <d v="2024-08-05T00:00:00"/>
    <x v="8"/>
    <s v="Monday"/>
    <s v="STORE_022"/>
    <x v="1"/>
    <x v="3"/>
    <x v="5"/>
    <n v="2087.4899999999998"/>
    <n v="3"/>
    <n v="6262.47"/>
    <n v="10"/>
    <n v="626.25"/>
    <n v="5636.22"/>
    <s v="Cash"/>
    <s v="CUST_00121"/>
    <n v="3"/>
    <n v="626.25"/>
    <n v="1878.74"/>
    <s v="Medium"/>
  </r>
  <r>
    <s v="TXN_00876"/>
    <d v="2024-10-08T00:00:00"/>
    <x v="7"/>
    <s v="Tuesday"/>
    <s v="STORE_012"/>
    <x v="3"/>
    <x v="7"/>
    <x v="37"/>
    <n v="805.23"/>
    <n v="3"/>
    <n v="2415.69"/>
    <n v="10"/>
    <n v="241.57"/>
    <n v="2174.12"/>
    <s v="UPI"/>
    <s v="CUST_00016"/>
    <n v="2"/>
    <n v="241.57000000000016"/>
    <n v="724.70666666666659"/>
    <s v="Medium"/>
  </r>
  <r>
    <s v="TXN_00877"/>
    <d v="2024-06-18T00:00:00"/>
    <x v="10"/>
    <s v="Tuesday"/>
    <s v="STORE_009"/>
    <x v="2"/>
    <x v="5"/>
    <x v="34"/>
    <n v="2674.5"/>
    <n v="9"/>
    <n v="24070.5"/>
    <n v="15"/>
    <n v="3610.57"/>
    <n v="20459.93"/>
    <s v="UPI"/>
    <s v="CUST_00854"/>
    <n v="1"/>
    <n v="3610.5699999999997"/>
    <n v="2273.3255555555556"/>
    <s v="Medium"/>
  </r>
  <r>
    <s v="TXN_00878"/>
    <d v="2024-06-29T00:00:00"/>
    <x v="10"/>
    <s v="Saturday"/>
    <s v="STORE_025"/>
    <x v="3"/>
    <x v="0"/>
    <x v="18"/>
    <n v="752.04"/>
    <n v="2"/>
    <n v="1504.08"/>
    <n v="0"/>
    <n v="0"/>
    <n v="1504.08"/>
    <s v="Wallet"/>
    <s v="CUST_00363"/>
    <n v="5"/>
    <n v="0"/>
    <n v="752.04"/>
    <s v="No Discount"/>
  </r>
  <r>
    <s v="TXN_00879"/>
    <d v="2024-12-25T00:00:00"/>
    <x v="6"/>
    <s v="Wednesday"/>
    <s v="STORE_022"/>
    <x v="1"/>
    <x v="5"/>
    <x v="9"/>
    <n v="3787.71"/>
    <n v="4"/>
    <n v="15150.84"/>
    <n v="15"/>
    <n v="2272.63"/>
    <n v="12878.21"/>
    <s v="Cash"/>
    <s v="CUST_00606"/>
    <n v="1"/>
    <n v="2272.630000000001"/>
    <n v="3219.5524999999998"/>
    <s v="Medium"/>
  </r>
  <r>
    <s v="TXN_00880"/>
    <d v="2024-08-20T00:00:00"/>
    <x v="8"/>
    <s v="Tuesday"/>
    <s v="STORE_048"/>
    <x v="3"/>
    <x v="7"/>
    <x v="28"/>
    <n v="388.5"/>
    <n v="6"/>
    <n v="2331"/>
    <n v="5"/>
    <n v="116.55"/>
    <n v="2214.4499999999998"/>
    <s v="UPI"/>
    <s v="CUST_00297"/>
    <n v="4"/>
    <n v="116.55000000000018"/>
    <n v="369.07499999999999"/>
    <s v="Low"/>
  </r>
  <r>
    <s v="TXN_00881"/>
    <d v="2024-05-18T00:00:00"/>
    <x v="3"/>
    <s v="Saturday"/>
    <s v="STORE_010"/>
    <x v="2"/>
    <x v="1"/>
    <x v="31"/>
    <n v="380.05"/>
    <n v="10"/>
    <n v="3800.5"/>
    <n v="20"/>
    <n v="760.1"/>
    <n v="3040.4"/>
    <s v="Wallet"/>
    <s v="CUST_00608"/>
    <n v="1"/>
    <n v="760.09999999999991"/>
    <n v="304.04000000000002"/>
    <s v="High"/>
  </r>
  <r>
    <s v="TXN_00882"/>
    <d v="2024-06-05T00:00:00"/>
    <x v="10"/>
    <s v="Wednesday"/>
    <s v="STORE_018"/>
    <x v="2"/>
    <x v="4"/>
    <x v="19"/>
    <n v="320.72000000000003"/>
    <n v="8"/>
    <n v="2565.7600000000002"/>
    <n v="0"/>
    <n v="0"/>
    <n v="2565.7600000000002"/>
    <s v="Wallet"/>
    <s v="CUST_00238"/>
    <n v="5"/>
    <n v="0"/>
    <n v="320.72000000000003"/>
    <s v="No Discount"/>
  </r>
  <r>
    <s v="TXN_00883"/>
    <d v="2024-05-08T00:00:00"/>
    <x v="3"/>
    <s v="Wednesday"/>
    <s v="STORE_033"/>
    <x v="3"/>
    <x v="2"/>
    <x v="13"/>
    <n v="338.78"/>
    <n v="10"/>
    <n v="3387.8"/>
    <n v="10"/>
    <n v="338.78"/>
    <n v="3049.02"/>
    <s v="Wallet"/>
    <s v="CUST_00293"/>
    <n v="5"/>
    <n v="338.7800000000002"/>
    <n v="304.90199999999999"/>
    <s v="Medium"/>
  </r>
  <r>
    <s v="TXN_00884"/>
    <d v="2024-04-28T00:00:00"/>
    <x v="4"/>
    <s v="Sunday"/>
    <s v="STORE_028"/>
    <x v="4"/>
    <x v="4"/>
    <x v="19"/>
    <n v="293.36"/>
    <n v="3"/>
    <n v="880.08"/>
    <n v="0"/>
    <n v="0"/>
    <n v="880.08"/>
    <s v="Credit Card"/>
    <s v="CUST_00285"/>
    <n v="2"/>
    <n v="0"/>
    <n v="293.36"/>
    <s v="No Discount"/>
  </r>
  <r>
    <s v="TXN_00885"/>
    <d v="2024-03-02T00:00:00"/>
    <x v="5"/>
    <s v="Saturday"/>
    <s v="STORE_032"/>
    <x v="3"/>
    <x v="4"/>
    <x v="8"/>
    <n v="306.31"/>
    <n v="3"/>
    <n v="918.93"/>
    <n v="0"/>
    <n v="0"/>
    <n v="918.93"/>
    <s v="Cash"/>
    <s v="CUST_00230"/>
    <n v="3"/>
    <n v="0"/>
    <n v="306.31"/>
    <s v="No Discount"/>
  </r>
  <r>
    <s v="TXN_00886"/>
    <d v="2024-04-08T00:00:00"/>
    <x v="4"/>
    <s v="Monday"/>
    <s v="STORE_043"/>
    <x v="1"/>
    <x v="5"/>
    <x v="25"/>
    <n v="4756.82"/>
    <n v="5"/>
    <n v="23784.1"/>
    <n v="10"/>
    <n v="2378.41"/>
    <n v="21405.69"/>
    <s v="Credit Card"/>
    <s v="CUST_00145"/>
    <n v="2"/>
    <n v="2378.41"/>
    <n v="4281.1379999999999"/>
    <s v="Medium"/>
  </r>
  <r>
    <s v="TXN_00887"/>
    <d v="2024-06-10T00:00:00"/>
    <x v="10"/>
    <s v="Monday"/>
    <s v="STORE_039"/>
    <x v="2"/>
    <x v="7"/>
    <x v="38"/>
    <n v="962.6"/>
    <n v="9"/>
    <n v="8663.4"/>
    <n v="20"/>
    <n v="1732.68"/>
    <n v="6930.72"/>
    <s v="Debit Card"/>
    <s v="CUST_00983"/>
    <n v="1"/>
    <n v="1732.6799999999994"/>
    <n v="770.08"/>
    <s v="High"/>
  </r>
  <r>
    <s v="TXN_00888"/>
    <d v="2024-03-02T00:00:00"/>
    <x v="5"/>
    <s v="Saturday"/>
    <s v="STORE_037"/>
    <x v="3"/>
    <x v="3"/>
    <x v="21"/>
    <n v="1567.42"/>
    <n v="1"/>
    <n v="1567.42"/>
    <n v="0"/>
    <n v="0"/>
    <n v="1567.42"/>
    <s v="Debit Card"/>
    <s v="CUST_00750"/>
    <n v="3"/>
    <n v="0"/>
    <n v="1567.42"/>
    <s v="No Discount"/>
  </r>
  <r>
    <s v="TXN_00889"/>
    <d v="2024-10-01T00:00:00"/>
    <x v="7"/>
    <s v="Tuesday"/>
    <s v="STORE_029"/>
    <x v="3"/>
    <x v="1"/>
    <x v="3"/>
    <n v="106.78"/>
    <n v="8"/>
    <n v="854.24"/>
    <n v="0"/>
    <n v="0"/>
    <n v="854.24"/>
    <s v="Credit Card"/>
    <s v="CUST_00506"/>
    <n v="1"/>
    <n v="0"/>
    <n v="106.78"/>
    <s v="No Discount"/>
  </r>
  <r>
    <s v="TXN_00890"/>
    <d v="2024-12-19T00:00:00"/>
    <x v="6"/>
    <s v="Thursday"/>
    <s v="STORE_006"/>
    <x v="0"/>
    <x v="2"/>
    <x v="2"/>
    <n v="705.15"/>
    <n v="5"/>
    <n v="3525.75"/>
    <n v="15"/>
    <n v="528.86"/>
    <n v="2996.89"/>
    <s v="Credit Card"/>
    <s v="CUST_00745"/>
    <n v="3"/>
    <n v="528.86000000000013"/>
    <n v="599.37799999999993"/>
    <s v="Medium"/>
  </r>
  <r>
    <s v="TXN_00891"/>
    <d v="2024-04-04T00:00:00"/>
    <x v="4"/>
    <s v="Thursday"/>
    <s v="STORE_044"/>
    <x v="2"/>
    <x v="7"/>
    <x v="24"/>
    <n v="488.07"/>
    <n v="6"/>
    <n v="2928.42"/>
    <n v="0"/>
    <n v="0"/>
    <n v="2928.42"/>
    <s v="UPI"/>
    <s v="CUST_00724"/>
    <n v="5"/>
    <n v="0"/>
    <n v="488.07"/>
    <s v="No Discount"/>
  </r>
  <r>
    <s v="TXN_00892"/>
    <d v="2024-04-08T00:00:00"/>
    <x v="4"/>
    <s v="Monday"/>
    <s v="STORE_043"/>
    <x v="2"/>
    <x v="4"/>
    <x v="8"/>
    <n v="345.02"/>
    <n v="9"/>
    <n v="3105.18"/>
    <n v="0"/>
    <n v="0"/>
    <n v="3105.18"/>
    <s v="Debit Card"/>
    <s v="CUST_00972"/>
    <n v="5"/>
    <n v="0"/>
    <n v="345.02"/>
    <s v="No Discount"/>
  </r>
  <r>
    <s v="TXN_00893"/>
    <d v="2024-04-20T00:00:00"/>
    <x v="4"/>
    <s v="Saturday"/>
    <s v="STORE_017"/>
    <x v="3"/>
    <x v="6"/>
    <x v="14"/>
    <n v="705.31"/>
    <n v="7"/>
    <n v="4937.17"/>
    <n v="20"/>
    <n v="987.43"/>
    <n v="3949.74"/>
    <s v="Debit Card"/>
    <s v="CUST_00156"/>
    <n v="2"/>
    <n v="987.43000000000029"/>
    <n v="564.24857142857138"/>
    <s v="High"/>
  </r>
  <r>
    <s v="TXN_00894"/>
    <d v="2024-09-04T00:00:00"/>
    <x v="9"/>
    <s v="Wednesday"/>
    <s v="STORE_034"/>
    <x v="0"/>
    <x v="1"/>
    <x v="31"/>
    <n v="380.1"/>
    <n v="5"/>
    <n v="1900.5"/>
    <n v="0"/>
    <n v="0"/>
    <n v="1900.5"/>
    <s v="Debit Card"/>
    <s v="CUST_00004"/>
    <n v="1"/>
    <n v="0"/>
    <n v="380.1"/>
    <s v="No Discount"/>
  </r>
  <r>
    <s v="TXN_00895"/>
    <d v="2024-05-21T00:00:00"/>
    <x v="3"/>
    <s v="Tuesday"/>
    <s v="STORE_027"/>
    <x v="1"/>
    <x v="0"/>
    <x v="18"/>
    <n v="592.54999999999995"/>
    <n v="10"/>
    <n v="5925.5"/>
    <n v="0"/>
    <n v="0"/>
    <n v="5925.5"/>
    <s v="Debit Card"/>
    <s v="CUST_00629"/>
    <n v="1"/>
    <n v="0"/>
    <n v="592.54999999999995"/>
    <s v="No Discount"/>
  </r>
  <r>
    <s v="TXN_00896"/>
    <d v="2024-10-28T00:00:00"/>
    <x v="7"/>
    <s v="Monday"/>
    <s v="STORE_020"/>
    <x v="0"/>
    <x v="0"/>
    <x v="27"/>
    <n v="387.77"/>
    <n v="6"/>
    <n v="2326.62"/>
    <n v="5"/>
    <n v="116.33"/>
    <n v="2210.29"/>
    <s v="Wallet"/>
    <s v="CUST_00897"/>
    <n v="2"/>
    <n v="116.32999999999993"/>
    <n v="368.38166666666666"/>
    <s v="Low"/>
  </r>
  <r>
    <s v="TXN_00897"/>
    <d v="2024-09-25T00:00:00"/>
    <x v="9"/>
    <s v="Wednesday"/>
    <s v="STORE_031"/>
    <x v="1"/>
    <x v="2"/>
    <x v="13"/>
    <n v="443.16"/>
    <n v="7"/>
    <n v="3102.12"/>
    <n v="10"/>
    <n v="310.20999999999998"/>
    <n v="2791.91"/>
    <s v="Cash"/>
    <s v="CUST_00099"/>
    <n v="5"/>
    <n v="310.21000000000004"/>
    <n v="398.84428571428572"/>
    <s v="Medium"/>
  </r>
  <r>
    <s v="TXN_00898"/>
    <d v="2024-11-01T00:00:00"/>
    <x v="0"/>
    <s v="Friday"/>
    <s v="STORE_016"/>
    <x v="3"/>
    <x v="3"/>
    <x v="21"/>
    <n v="2896.17"/>
    <n v="5"/>
    <n v="14480.85"/>
    <n v="5"/>
    <n v="724.04"/>
    <n v="13756.81"/>
    <s v="UPI"/>
    <s v="CUST_00119"/>
    <n v="3"/>
    <n v="724.04000000000087"/>
    <n v="2751.3620000000001"/>
    <s v="Low"/>
  </r>
  <r>
    <s v="TXN_00899"/>
    <d v="2024-05-24T00:00:00"/>
    <x v="3"/>
    <s v="Friday"/>
    <s v="STORE_050"/>
    <x v="3"/>
    <x v="5"/>
    <x v="9"/>
    <n v="4825.26"/>
    <n v="2"/>
    <n v="9650.52"/>
    <n v="0"/>
    <n v="0"/>
    <n v="9650.52"/>
    <s v="UPI"/>
    <s v="CUST_00861"/>
    <n v="2"/>
    <n v="0"/>
    <n v="4825.26"/>
    <s v="No Discount"/>
  </r>
  <r>
    <s v="TXN_00900"/>
    <d v="2024-02-21T00:00:00"/>
    <x v="1"/>
    <s v="Wednesday"/>
    <s v="STORE_033"/>
    <x v="0"/>
    <x v="1"/>
    <x v="3"/>
    <n v="235.4"/>
    <n v="4"/>
    <n v="941.6"/>
    <n v="0"/>
    <n v="0"/>
    <n v="941.6"/>
    <s v="Cash"/>
    <s v="CUST_00912"/>
    <n v="3"/>
    <n v="0"/>
    <n v="235.4"/>
    <s v="No Discount"/>
  </r>
  <r>
    <s v="TXN_00901"/>
    <d v="2024-04-09T00:00:00"/>
    <x v="4"/>
    <s v="Tuesday"/>
    <s v="STORE_026"/>
    <x v="3"/>
    <x v="0"/>
    <x v="18"/>
    <n v="649.80999999999995"/>
    <n v="6"/>
    <n v="3898.86"/>
    <n v="0"/>
    <n v="0"/>
    <n v="3898.86"/>
    <s v="Cash"/>
    <s v="CUST_00436"/>
    <n v="4"/>
    <n v="0"/>
    <n v="649.81000000000006"/>
    <s v="No Discount"/>
  </r>
  <r>
    <s v="TXN_00902"/>
    <d v="2024-05-31T00:00:00"/>
    <x v="3"/>
    <s v="Friday"/>
    <s v="STORE_041"/>
    <x v="2"/>
    <x v="0"/>
    <x v="32"/>
    <n v="929.89"/>
    <n v="5"/>
    <n v="4649.45"/>
    <n v="5"/>
    <n v="232.47"/>
    <n v="4416.9799999999996"/>
    <s v="Debit Card"/>
    <s v="CUST_00316"/>
    <n v="3"/>
    <n v="232.47000000000025"/>
    <n v="883.39599999999996"/>
    <s v="Low"/>
  </r>
  <r>
    <s v="TXN_00903"/>
    <d v="2024-04-26T00:00:00"/>
    <x v="4"/>
    <s v="Friday"/>
    <s v="STORE_040"/>
    <x v="4"/>
    <x v="1"/>
    <x v="1"/>
    <n v="149.59"/>
    <n v="3"/>
    <n v="448.77"/>
    <n v="10"/>
    <n v="44.88"/>
    <n v="403.89"/>
    <s v="Debit Card"/>
    <s v="CUST_00338"/>
    <n v="1"/>
    <n v="44.879999999999995"/>
    <n v="134.63"/>
    <s v="Medium"/>
  </r>
  <r>
    <s v="TXN_00904"/>
    <d v="2024-07-03T00:00:00"/>
    <x v="11"/>
    <s v="Wednesday"/>
    <s v="STORE_050"/>
    <x v="1"/>
    <x v="5"/>
    <x v="10"/>
    <n v="3159.07"/>
    <n v="1"/>
    <n v="3159.07"/>
    <n v="20"/>
    <n v="631.80999999999995"/>
    <n v="2527.2600000000002"/>
    <s v="UPI"/>
    <s v="CUST_00935"/>
    <n v="1"/>
    <n v="631.80999999999995"/>
    <n v="2527.2600000000002"/>
    <s v="High"/>
  </r>
  <r>
    <s v="TXN_00905"/>
    <d v="2024-04-01T00:00:00"/>
    <x v="4"/>
    <s v="Monday"/>
    <s v="STORE_035"/>
    <x v="0"/>
    <x v="4"/>
    <x v="17"/>
    <n v="178.56"/>
    <n v="1"/>
    <n v="178.56"/>
    <n v="10"/>
    <n v="17.86"/>
    <n v="160.69999999999999"/>
    <s v="Debit Card"/>
    <s v="CUST_00161"/>
    <n v="3"/>
    <n v="17.860000000000014"/>
    <n v="160.69999999999999"/>
    <s v="Medium"/>
  </r>
  <r>
    <s v="TXN_00906"/>
    <d v="2024-06-03T00:00:00"/>
    <x v="10"/>
    <s v="Monday"/>
    <s v="STORE_014"/>
    <x v="4"/>
    <x v="0"/>
    <x v="0"/>
    <n v="432.15"/>
    <n v="3"/>
    <n v="1296.45"/>
    <n v="0"/>
    <n v="0"/>
    <n v="1296.45"/>
    <s v="Cash"/>
    <s v="CUST_00751"/>
    <n v="4"/>
    <n v="0"/>
    <n v="432.15000000000003"/>
    <s v="No Discount"/>
  </r>
  <r>
    <s v="TXN_00907"/>
    <d v="2024-01-08T00:00:00"/>
    <x v="2"/>
    <s v="Monday"/>
    <s v="STORE_033"/>
    <x v="3"/>
    <x v="3"/>
    <x v="21"/>
    <n v="301.01"/>
    <n v="1"/>
    <n v="301.01"/>
    <n v="20"/>
    <n v="60.2"/>
    <n v="240.81"/>
    <s v="Wallet"/>
    <s v="CUST_00811"/>
    <n v="1"/>
    <n v="60.199999999999989"/>
    <n v="240.81"/>
    <s v="High"/>
  </r>
  <r>
    <s v="TXN_00908"/>
    <d v="2024-12-28T00:00:00"/>
    <x v="6"/>
    <s v="Saturday"/>
    <s v="STORE_003"/>
    <x v="1"/>
    <x v="1"/>
    <x v="36"/>
    <n v="120.63"/>
    <n v="5"/>
    <n v="603.15"/>
    <n v="0"/>
    <n v="0"/>
    <n v="603.15"/>
    <s v="Debit Card"/>
    <s v="CUST_00768"/>
    <n v="2"/>
    <n v="0"/>
    <n v="120.63"/>
    <s v="No Discount"/>
  </r>
  <r>
    <s v="TXN_00909"/>
    <d v="2024-09-30T00:00:00"/>
    <x v="9"/>
    <s v="Monday"/>
    <s v="STORE_005"/>
    <x v="2"/>
    <x v="7"/>
    <x v="37"/>
    <n v="1086.33"/>
    <n v="3"/>
    <n v="3258.99"/>
    <n v="20"/>
    <n v="651.79999999999995"/>
    <n v="2607.19"/>
    <s v="Cash"/>
    <s v="CUST_00517"/>
    <n v="1"/>
    <n v="651.79999999999973"/>
    <n v="869.06333333333339"/>
    <s v="High"/>
  </r>
  <r>
    <s v="TXN_00910"/>
    <d v="2024-03-05T00:00:00"/>
    <x v="5"/>
    <s v="Tuesday"/>
    <s v="STORE_048"/>
    <x v="4"/>
    <x v="0"/>
    <x v="18"/>
    <n v="211.79"/>
    <n v="9"/>
    <n v="1906.11"/>
    <n v="10"/>
    <n v="190.61"/>
    <n v="1715.5"/>
    <s v="Debit Card"/>
    <s v="CUST_00812"/>
    <n v="1"/>
    <n v="190.6099999999999"/>
    <n v="190.61111111111111"/>
    <s v="Medium"/>
  </r>
  <r>
    <s v="TXN_00911"/>
    <d v="2024-05-20T00:00:00"/>
    <x v="3"/>
    <s v="Monday"/>
    <s v="STORE_033"/>
    <x v="2"/>
    <x v="0"/>
    <x v="0"/>
    <n v="865.18"/>
    <n v="5"/>
    <n v="4325.8999999999996"/>
    <n v="20"/>
    <n v="865.18"/>
    <n v="3460.72"/>
    <s v="Cash"/>
    <s v="CUST_00310"/>
    <n v="4"/>
    <n v="865.17999999999984"/>
    <n v="692.14400000000001"/>
    <s v="High"/>
  </r>
  <r>
    <s v="TXN_00912"/>
    <d v="2024-01-24T00:00:00"/>
    <x v="2"/>
    <s v="Wednesday"/>
    <s v="STORE_025"/>
    <x v="1"/>
    <x v="2"/>
    <x v="13"/>
    <n v="241.87"/>
    <n v="5"/>
    <n v="1209.3499999999999"/>
    <n v="15"/>
    <n v="181.4"/>
    <n v="1027.95"/>
    <s v="Wallet"/>
    <s v="CUST_00440"/>
    <n v="4"/>
    <n v="181.39999999999986"/>
    <n v="205.59"/>
    <s v="Medium"/>
  </r>
  <r>
    <s v="TXN_00913"/>
    <d v="2024-01-28T00:00:00"/>
    <x v="2"/>
    <s v="Sunday"/>
    <s v="STORE_045"/>
    <x v="4"/>
    <x v="7"/>
    <x v="38"/>
    <n v="1460.26"/>
    <n v="9"/>
    <n v="13142.34"/>
    <n v="0"/>
    <n v="0"/>
    <n v="13142.34"/>
    <s v="UPI"/>
    <s v="CUST_00519"/>
    <n v="3"/>
    <n v="0"/>
    <n v="1460.26"/>
    <s v="No Discount"/>
  </r>
  <r>
    <s v="TXN_00914"/>
    <d v="2024-10-10T00:00:00"/>
    <x v="7"/>
    <s v="Thursday"/>
    <s v="STORE_049"/>
    <x v="4"/>
    <x v="3"/>
    <x v="5"/>
    <n v="248.2"/>
    <n v="8"/>
    <n v="1985.6"/>
    <n v="15"/>
    <n v="297.83999999999997"/>
    <n v="1687.76"/>
    <s v="UPI"/>
    <s v="CUST_00732"/>
    <n v="3"/>
    <n v="297.83999999999992"/>
    <n v="210.97"/>
    <s v="Medium"/>
  </r>
  <r>
    <s v="TXN_00915"/>
    <d v="2024-05-29T00:00:00"/>
    <x v="3"/>
    <s v="Wednesday"/>
    <s v="STORE_024"/>
    <x v="3"/>
    <x v="7"/>
    <x v="37"/>
    <n v="568.87"/>
    <n v="1"/>
    <n v="568.87"/>
    <n v="5"/>
    <n v="28.44"/>
    <n v="540.42999999999995"/>
    <s v="Debit Card"/>
    <s v="CUST_00577"/>
    <n v="4"/>
    <n v="28.440000000000055"/>
    <n v="540.42999999999995"/>
    <s v="Low"/>
  </r>
  <r>
    <s v="TXN_00916"/>
    <d v="2024-12-23T00:00:00"/>
    <x v="6"/>
    <s v="Monday"/>
    <s v="STORE_014"/>
    <x v="3"/>
    <x v="7"/>
    <x v="24"/>
    <n v="698.92"/>
    <n v="2"/>
    <n v="1397.84"/>
    <n v="0"/>
    <n v="0"/>
    <n v="1397.84"/>
    <s v="Wallet"/>
    <s v="CUST_00608"/>
    <n v="2"/>
    <n v="0"/>
    <n v="698.92"/>
    <s v="No Discount"/>
  </r>
  <r>
    <s v="TXN_00917"/>
    <d v="2024-03-05T00:00:00"/>
    <x v="5"/>
    <s v="Tuesday"/>
    <s v="STORE_047"/>
    <x v="4"/>
    <x v="3"/>
    <x v="21"/>
    <n v="595.73"/>
    <n v="10"/>
    <n v="5957.3"/>
    <n v="20"/>
    <n v="1191.46"/>
    <n v="4765.84"/>
    <s v="UPI"/>
    <s v="CUST_00779"/>
    <n v="5"/>
    <n v="1191.46"/>
    <n v="476.584"/>
    <s v="High"/>
  </r>
  <r>
    <s v="TXN_00918"/>
    <d v="2024-11-22T00:00:00"/>
    <x v="0"/>
    <s v="Friday"/>
    <s v="STORE_010"/>
    <x v="2"/>
    <x v="3"/>
    <x v="21"/>
    <n v="2348.7399999999998"/>
    <n v="5"/>
    <n v="11743.7"/>
    <n v="5"/>
    <n v="587.19000000000005"/>
    <n v="11156.51"/>
    <s v="Cash"/>
    <s v="CUST_00330"/>
    <n v="3"/>
    <n v="587.19000000000051"/>
    <n v="2231.3020000000001"/>
    <s v="Low"/>
  </r>
  <r>
    <s v="TXN_00919"/>
    <d v="2024-09-08T00:00:00"/>
    <x v="9"/>
    <s v="Sunday"/>
    <s v="STORE_035"/>
    <x v="3"/>
    <x v="0"/>
    <x v="18"/>
    <n v="414.52"/>
    <n v="4"/>
    <n v="1658.08"/>
    <n v="20"/>
    <n v="331.62"/>
    <n v="1326.46"/>
    <s v="Wallet"/>
    <s v="CUST_00321"/>
    <n v="4"/>
    <n v="331.61999999999989"/>
    <n v="331.61500000000001"/>
    <s v="High"/>
  </r>
  <r>
    <s v="TXN_00920"/>
    <d v="2024-02-22T00:00:00"/>
    <x v="1"/>
    <s v="Thursday"/>
    <s v="STORE_007"/>
    <x v="3"/>
    <x v="3"/>
    <x v="22"/>
    <n v="1491.84"/>
    <n v="8"/>
    <n v="11934.72"/>
    <n v="10"/>
    <n v="1193.47"/>
    <n v="10741.25"/>
    <s v="Wallet"/>
    <s v="CUST_00717"/>
    <n v="1"/>
    <n v="1193.4699999999993"/>
    <n v="1342.65625"/>
    <s v="Medium"/>
  </r>
  <r>
    <s v="TXN_00921"/>
    <d v="2024-01-07T00:00:00"/>
    <x v="2"/>
    <s v="Sunday"/>
    <s v="STORE_011"/>
    <x v="0"/>
    <x v="7"/>
    <x v="37"/>
    <n v="452.74"/>
    <n v="1"/>
    <n v="452.74"/>
    <n v="0"/>
    <n v="0"/>
    <n v="452.74"/>
    <s v="Wallet"/>
    <s v="CUST_00449"/>
    <n v="1"/>
    <n v="0"/>
    <n v="452.74"/>
    <s v="No Discount"/>
  </r>
  <r>
    <s v="TXN_00922"/>
    <d v="2024-10-20T00:00:00"/>
    <x v="7"/>
    <s v="Sunday"/>
    <s v="STORE_009"/>
    <x v="4"/>
    <x v="7"/>
    <x v="28"/>
    <n v="1362.6"/>
    <n v="8"/>
    <n v="10900.8"/>
    <n v="0"/>
    <n v="0"/>
    <n v="10900.8"/>
    <s v="Wallet"/>
    <s v="CUST_00429"/>
    <n v="4"/>
    <n v="0"/>
    <n v="1362.6"/>
    <s v="No Discount"/>
  </r>
  <r>
    <s v="TXN_00923"/>
    <d v="2024-05-25T00:00:00"/>
    <x v="3"/>
    <s v="Saturday"/>
    <s v="STORE_021"/>
    <x v="4"/>
    <x v="0"/>
    <x v="18"/>
    <n v="437.4"/>
    <n v="7"/>
    <n v="3061.8"/>
    <n v="0"/>
    <n v="0"/>
    <n v="3061.8"/>
    <s v="Cash"/>
    <s v="CUST_00911"/>
    <n v="5"/>
    <n v="0"/>
    <n v="437.40000000000003"/>
    <s v="No Discount"/>
  </r>
  <r>
    <s v="TXN_00924"/>
    <d v="2024-08-28T00:00:00"/>
    <x v="8"/>
    <s v="Wednesday"/>
    <s v="STORE_040"/>
    <x v="1"/>
    <x v="4"/>
    <x v="17"/>
    <n v="442.6"/>
    <n v="3"/>
    <n v="1327.8"/>
    <n v="0"/>
    <n v="0"/>
    <n v="1327.8"/>
    <s v="Wallet"/>
    <s v="CUST_00532"/>
    <n v="2"/>
    <n v="0"/>
    <n v="442.59999999999997"/>
    <s v="No Discount"/>
  </r>
  <r>
    <s v="TXN_00925"/>
    <d v="2024-09-02T00:00:00"/>
    <x v="9"/>
    <s v="Monday"/>
    <s v="STORE_034"/>
    <x v="3"/>
    <x v="2"/>
    <x v="13"/>
    <n v="424.02"/>
    <n v="6"/>
    <n v="2544.12"/>
    <n v="15"/>
    <n v="381.62"/>
    <n v="2162.5"/>
    <s v="Debit Card"/>
    <s v="CUST_00011"/>
    <n v="2"/>
    <n v="381.61999999999989"/>
    <n v="360.41666666666669"/>
    <s v="Medium"/>
  </r>
  <r>
    <s v="TXN_00926"/>
    <d v="2024-08-13T00:00:00"/>
    <x v="8"/>
    <s v="Tuesday"/>
    <s v="STORE_045"/>
    <x v="0"/>
    <x v="4"/>
    <x v="19"/>
    <n v="230.65"/>
    <n v="8"/>
    <n v="1845.2"/>
    <n v="0"/>
    <n v="0"/>
    <n v="1845.2"/>
    <s v="Credit Card"/>
    <s v="CUST_00205"/>
    <n v="3"/>
    <n v="0"/>
    <n v="230.65"/>
    <s v="No Discount"/>
  </r>
  <r>
    <s v="TXN_00927"/>
    <d v="2024-06-23T00:00:00"/>
    <x v="10"/>
    <s v="Sunday"/>
    <s v="STORE_039"/>
    <x v="0"/>
    <x v="7"/>
    <x v="23"/>
    <n v="850.31"/>
    <n v="2"/>
    <n v="1700.62"/>
    <n v="0"/>
    <n v="0"/>
    <n v="1700.62"/>
    <s v="Wallet"/>
    <s v="CUST_00069"/>
    <n v="4"/>
    <n v="0"/>
    <n v="850.31"/>
    <s v="No Discount"/>
  </r>
  <r>
    <s v="TXN_00928"/>
    <d v="2024-04-04T00:00:00"/>
    <x v="4"/>
    <s v="Thursday"/>
    <s v="STORE_018"/>
    <x v="1"/>
    <x v="4"/>
    <x v="17"/>
    <n v="547.5"/>
    <n v="6"/>
    <n v="3285"/>
    <n v="15"/>
    <n v="492.75"/>
    <n v="2792.25"/>
    <s v="Credit Card"/>
    <s v="CUST_00841"/>
    <n v="2"/>
    <n v="492.75"/>
    <n v="465.375"/>
    <s v="Medium"/>
  </r>
  <r>
    <s v="TXN_00929"/>
    <d v="2024-01-27T00:00:00"/>
    <x v="2"/>
    <s v="Saturday"/>
    <s v="STORE_036"/>
    <x v="4"/>
    <x v="0"/>
    <x v="27"/>
    <n v="783.46"/>
    <n v="6"/>
    <n v="4700.76"/>
    <n v="10"/>
    <n v="470.08"/>
    <n v="4230.68"/>
    <s v="UPI"/>
    <s v="CUST_00657"/>
    <n v="3"/>
    <n v="470.07999999999993"/>
    <n v="705.11333333333334"/>
    <s v="Medium"/>
  </r>
  <r>
    <s v="TXN_00930"/>
    <d v="2024-05-09T00:00:00"/>
    <x v="3"/>
    <s v="Thursday"/>
    <s v="STORE_012"/>
    <x v="1"/>
    <x v="3"/>
    <x v="21"/>
    <n v="1859.39"/>
    <n v="2"/>
    <n v="3718.78"/>
    <n v="15"/>
    <n v="557.82000000000005"/>
    <n v="3160.96"/>
    <s v="Debit Card"/>
    <s v="CUST_00578"/>
    <n v="3"/>
    <n v="557.82000000000016"/>
    <n v="1580.48"/>
    <s v="Medium"/>
  </r>
  <r>
    <s v="TXN_00931"/>
    <d v="2024-09-01T00:00:00"/>
    <x v="9"/>
    <s v="Sunday"/>
    <s v="STORE_037"/>
    <x v="4"/>
    <x v="7"/>
    <x v="38"/>
    <n v="1256.26"/>
    <n v="10"/>
    <n v="12562.6"/>
    <n v="15"/>
    <n v="1884.39"/>
    <n v="10678.21"/>
    <s v="UPI"/>
    <s v="CUST_00620"/>
    <n v="3"/>
    <n v="1884.3900000000012"/>
    <n v="1067.8209999999999"/>
    <s v="Medium"/>
  </r>
  <r>
    <s v="TXN_00932"/>
    <d v="2024-02-28T00:00:00"/>
    <x v="1"/>
    <s v="Wednesday"/>
    <s v="STORE_015"/>
    <x v="0"/>
    <x v="2"/>
    <x v="7"/>
    <n v="567.95000000000005"/>
    <n v="8"/>
    <n v="4543.6000000000004"/>
    <n v="0"/>
    <n v="0"/>
    <n v="4543.6000000000004"/>
    <s v="Debit Card"/>
    <s v="CUST_00094"/>
    <n v="1"/>
    <n v="0"/>
    <n v="567.95000000000005"/>
    <s v="No Discount"/>
  </r>
  <r>
    <s v="TXN_00933"/>
    <d v="2024-02-03T00:00:00"/>
    <x v="1"/>
    <s v="Saturday"/>
    <s v="STORE_009"/>
    <x v="4"/>
    <x v="5"/>
    <x v="11"/>
    <n v="1659.27"/>
    <n v="1"/>
    <n v="1659.27"/>
    <n v="0"/>
    <n v="0"/>
    <n v="1659.27"/>
    <s v="Credit Card"/>
    <s v="CUST_00827"/>
    <n v="1"/>
    <n v="0"/>
    <n v="1659.27"/>
    <s v="No Discount"/>
  </r>
  <r>
    <s v="TXN_00934"/>
    <d v="2024-07-24T00:00:00"/>
    <x v="11"/>
    <s v="Wednesday"/>
    <s v="STORE_016"/>
    <x v="4"/>
    <x v="1"/>
    <x v="1"/>
    <n v="349.18"/>
    <n v="6"/>
    <n v="2095.08"/>
    <n v="0"/>
    <n v="0"/>
    <n v="2095.08"/>
    <s v="Wallet"/>
    <s v="CUST_00403"/>
    <n v="1"/>
    <n v="0"/>
    <n v="349.18"/>
    <s v="No Discount"/>
  </r>
  <r>
    <s v="TXN_00935"/>
    <d v="2024-09-08T00:00:00"/>
    <x v="9"/>
    <s v="Sunday"/>
    <s v="STORE_034"/>
    <x v="2"/>
    <x v="0"/>
    <x v="4"/>
    <n v="765"/>
    <n v="6"/>
    <n v="4590"/>
    <n v="0"/>
    <n v="0"/>
    <n v="4590"/>
    <s v="Wallet"/>
    <s v="CUST_00905"/>
    <n v="3"/>
    <n v="0"/>
    <n v="765"/>
    <s v="No Discount"/>
  </r>
  <r>
    <s v="TXN_00936"/>
    <d v="2024-02-07T00:00:00"/>
    <x v="1"/>
    <s v="Wednesday"/>
    <s v="STORE_036"/>
    <x v="3"/>
    <x v="3"/>
    <x v="12"/>
    <n v="2847.37"/>
    <n v="5"/>
    <n v="14236.85"/>
    <n v="15"/>
    <n v="2135.5300000000002"/>
    <n v="12101.32"/>
    <s v="Debit Card"/>
    <s v="CUST_00502"/>
    <n v="4"/>
    <n v="2135.5300000000007"/>
    <n v="2420.2640000000001"/>
    <s v="Medium"/>
  </r>
  <r>
    <s v="TXN_00937"/>
    <d v="2024-10-22T00:00:00"/>
    <x v="7"/>
    <s v="Tuesday"/>
    <s v="STORE_002"/>
    <x v="1"/>
    <x v="2"/>
    <x v="2"/>
    <n v="490.53"/>
    <n v="7"/>
    <n v="3433.71"/>
    <n v="15"/>
    <n v="515.05999999999995"/>
    <n v="2918.65"/>
    <s v="Cash"/>
    <s v="CUST_00876"/>
    <n v="2"/>
    <n v="515.05999999999995"/>
    <n v="416.95"/>
    <s v="Medium"/>
  </r>
  <r>
    <s v="TXN_00938"/>
    <d v="2024-11-18T00:00:00"/>
    <x v="0"/>
    <s v="Monday"/>
    <s v="STORE_025"/>
    <x v="1"/>
    <x v="1"/>
    <x v="6"/>
    <n v="377.82"/>
    <n v="4"/>
    <n v="1511.28"/>
    <n v="10"/>
    <n v="151.13"/>
    <n v="1360.15"/>
    <s v="Wallet"/>
    <s v="CUST_00184"/>
    <n v="2"/>
    <n v="151.12999999999988"/>
    <n v="340.03750000000002"/>
    <s v="Medium"/>
  </r>
  <r>
    <s v="TXN_00939"/>
    <d v="2024-12-17T00:00:00"/>
    <x v="6"/>
    <s v="Tuesday"/>
    <s v="STORE_020"/>
    <x v="1"/>
    <x v="6"/>
    <x v="14"/>
    <n v="1163.1199999999999"/>
    <n v="9"/>
    <n v="10468.08"/>
    <n v="0"/>
    <n v="0"/>
    <n v="10468.08"/>
    <s v="Credit Card"/>
    <s v="CUST_00097"/>
    <n v="5"/>
    <n v="0"/>
    <n v="1163.1199999999999"/>
    <s v="No Discount"/>
  </r>
  <r>
    <s v="TXN_00940"/>
    <d v="2024-01-28T00:00:00"/>
    <x v="2"/>
    <s v="Sunday"/>
    <s v="STORE_042"/>
    <x v="1"/>
    <x v="4"/>
    <x v="35"/>
    <n v="376.26"/>
    <n v="1"/>
    <n v="376.26"/>
    <n v="10"/>
    <n v="37.630000000000003"/>
    <n v="338.63"/>
    <s v="Cash"/>
    <s v="CUST_00658"/>
    <n v="1"/>
    <n v="37.629999999999995"/>
    <n v="338.63"/>
    <s v="Medium"/>
  </r>
  <r>
    <s v="TXN_00941"/>
    <d v="2024-03-18T00:00:00"/>
    <x v="5"/>
    <s v="Monday"/>
    <s v="STORE_002"/>
    <x v="3"/>
    <x v="1"/>
    <x v="1"/>
    <n v="69.760000000000005"/>
    <n v="5"/>
    <n v="348.8"/>
    <n v="0"/>
    <n v="0"/>
    <n v="348.8"/>
    <s v="Credit Card"/>
    <s v="CUST_00623"/>
    <n v="5"/>
    <n v="0"/>
    <n v="69.760000000000005"/>
    <s v="No Discount"/>
  </r>
  <r>
    <s v="TXN_00942"/>
    <d v="2024-03-17T00:00:00"/>
    <x v="5"/>
    <s v="Sunday"/>
    <s v="STORE_024"/>
    <x v="2"/>
    <x v="1"/>
    <x v="1"/>
    <n v="128.19999999999999"/>
    <n v="9"/>
    <n v="1153.8"/>
    <n v="20"/>
    <n v="230.76"/>
    <n v="923.04"/>
    <s v="Credit Card"/>
    <s v="CUST_00628"/>
    <n v="1"/>
    <n v="230.76"/>
    <n v="102.56"/>
    <s v="High"/>
  </r>
  <r>
    <s v="TXN_00943"/>
    <d v="2024-10-15T00:00:00"/>
    <x v="7"/>
    <s v="Tuesday"/>
    <s v="STORE_004"/>
    <x v="3"/>
    <x v="5"/>
    <x v="11"/>
    <n v="4483.6499999999996"/>
    <n v="3"/>
    <n v="13450.95"/>
    <n v="0"/>
    <n v="0"/>
    <n v="13450.95"/>
    <s v="UPI"/>
    <s v="CUST_00653"/>
    <n v="1"/>
    <n v="0"/>
    <n v="4483.6500000000005"/>
    <s v="No Discount"/>
  </r>
  <r>
    <s v="TXN_00944"/>
    <d v="2024-06-04T00:00:00"/>
    <x v="10"/>
    <s v="Tuesday"/>
    <s v="STORE_048"/>
    <x v="2"/>
    <x v="6"/>
    <x v="15"/>
    <n v="646.21"/>
    <n v="9"/>
    <n v="5815.89"/>
    <n v="0"/>
    <n v="0"/>
    <n v="5815.89"/>
    <s v="Debit Card"/>
    <s v="CUST_00341"/>
    <n v="5"/>
    <n v="0"/>
    <n v="646.21"/>
    <s v="No Discount"/>
  </r>
  <r>
    <s v="TXN_00945"/>
    <d v="2024-02-13T00:00:00"/>
    <x v="1"/>
    <s v="Tuesday"/>
    <s v="STORE_001"/>
    <x v="3"/>
    <x v="4"/>
    <x v="20"/>
    <n v="557.58000000000004"/>
    <n v="10"/>
    <n v="5575.8"/>
    <n v="15"/>
    <n v="836.37"/>
    <n v="4739.43"/>
    <s v="Cash"/>
    <s v="CUST_00427"/>
    <n v="5"/>
    <n v="836.36999999999989"/>
    <n v="473.94300000000004"/>
    <s v="Medium"/>
  </r>
  <r>
    <s v="TXN_00946"/>
    <d v="2024-05-07T00:00:00"/>
    <x v="3"/>
    <s v="Tuesday"/>
    <s v="STORE_012"/>
    <x v="3"/>
    <x v="6"/>
    <x v="30"/>
    <n v="789.41"/>
    <n v="9"/>
    <n v="7104.69"/>
    <n v="0"/>
    <n v="0"/>
    <n v="7104.69"/>
    <s v="Cash"/>
    <s v="CUST_00046"/>
    <n v="1"/>
    <n v="0"/>
    <n v="789.41"/>
    <s v="No Discount"/>
  </r>
  <r>
    <s v="TXN_00947"/>
    <d v="2024-03-01T00:00:00"/>
    <x v="5"/>
    <s v="Friday"/>
    <s v="STORE_020"/>
    <x v="1"/>
    <x v="2"/>
    <x v="7"/>
    <n v="239.08"/>
    <n v="9"/>
    <n v="2151.7199999999998"/>
    <n v="5"/>
    <n v="107.59"/>
    <n v="2044.13"/>
    <s v="Debit Card"/>
    <s v="CUST_00575"/>
    <n v="1"/>
    <n v="107.58999999999969"/>
    <n v="227.12555555555556"/>
    <s v="Low"/>
  </r>
  <r>
    <s v="TXN_00948"/>
    <d v="2024-10-12T00:00:00"/>
    <x v="7"/>
    <s v="Saturday"/>
    <s v="STORE_030"/>
    <x v="2"/>
    <x v="4"/>
    <x v="8"/>
    <n v="303.64999999999998"/>
    <n v="10"/>
    <n v="3036.5"/>
    <n v="20"/>
    <n v="607.29999999999995"/>
    <n v="2429.1999999999998"/>
    <s v="Credit Card"/>
    <s v="CUST_00120"/>
    <n v="5"/>
    <n v="607.30000000000018"/>
    <n v="242.92"/>
    <s v="High"/>
  </r>
  <r>
    <s v="TXN_00949"/>
    <d v="2024-08-01T00:00:00"/>
    <x v="8"/>
    <s v="Thursday"/>
    <s v="STORE_050"/>
    <x v="0"/>
    <x v="7"/>
    <x v="38"/>
    <n v="1175.46"/>
    <n v="3"/>
    <n v="3526.38"/>
    <n v="0"/>
    <n v="0"/>
    <n v="3526.38"/>
    <s v="Wallet"/>
    <s v="CUST_00808"/>
    <n v="1"/>
    <n v="0"/>
    <n v="1175.46"/>
    <s v="No Discount"/>
  </r>
  <r>
    <s v="TXN_00950"/>
    <d v="2024-11-06T00:00:00"/>
    <x v="0"/>
    <s v="Wednesday"/>
    <s v="STORE_044"/>
    <x v="0"/>
    <x v="6"/>
    <x v="14"/>
    <n v="1456.92"/>
    <n v="8"/>
    <n v="11655.36"/>
    <n v="0"/>
    <n v="0"/>
    <n v="11655.36"/>
    <s v="Debit Card"/>
    <s v="CUST_00766"/>
    <n v="3"/>
    <n v="0"/>
    <n v="1456.92"/>
    <s v="No Discount"/>
  </r>
  <r>
    <s v="TXN_00951"/>
    <d v="2024-11-01T00:00:00"/>
    <x v="0"/>
    <s v="Friday"/>
    <s v="STORE_037"/>
    <x v="1"/>
    <x v="5"/>
    <x v="25"/>
    <n v="1213.3399999999999"/>
    <n v="5"/>
    <n v="6066.7"/>
    <n v="0"/>
    <n v="0"/>
    <n v="6066.7"/>
    <s v="Cash"/>
    <s v="CUST_00424"/>
    <n v="2"/>
    <n v="0"/>
    <n v="1213.3399999999999"/>
    <s v="No Discount"/>
  </r>
  <r>
    <s v="TXN_00952"/>
    <d v="2024-11-12T00:00:00"/>
    <x v="0"/>
    <s v="Tuesday"/>
    <s v="STORE_045"/>
    <x v="3"/>
    <x v="3"/>
    <x v="12"/>
    <n v="963.84"/>
    <n v="4"/>
    <n v="3855.36"/>
    <n v="0"/>
    <n v="0"/>
    <n v="3855.36"/>
    <s v="Cash"/>
    <s v="CUST_00271"/>
    <n v="3"/>
    <n v="0"/>
    <n v="963.84"/>
    <s v="No Discount"/>
  </r>
  <r>
    <s v="TXN_00953"/>
    <d v="2024-04-25T00:00:00"/>
    <x v="4"/>
    <s v="Thursday"/>
    <s v="STORE_041"/>
    <x v="0"/>
    <x v="7"/>
    <x v="37"/>
    <n v="726.18"/>
    <n v="6"/>
    <n v="4357.08"/>
    <n v="0"/>
    <n v="0"/>
    <n v="4357.08"/>
    <s v="Wallet"/>
    <s v="CUST_00038"/>
    <n v="4"/>
    <n v="0"/>
    <n v="726.18"/>
    <s v="No Discount"/>
  </r>
  <r>
    <s v="TXN_00954"/>
    <d v="2024-09-24T00:00:00"/>
    <x v="9"/>
    <s v="Tuesday"/>
    <s v="STORE_042"/>
    <x v="1"/>
    <x v="0"/>
    <x v="0"/>
    <n v="630.36"/>
    <n v="4"/>
    <n v="2521.44"/>
    <n v="15"/>
    <n v="378.22"/>
    <n v="2143.2199999999998"/>
    <s v="UPI"/>
    <s v="CUST_00213"/>
    <n v="3"/>
    <n v="378.22000000000025"/>
    <n v="535.80499999999995"/>
    <s v="Medium"/>
  </r>
  <r>
    <s v="TXN_00955"/>
    <d v="2024-07-13T00:00:00"/>
    <x v="11"/>
    <s v="Saturday"/>
    <s v="STORE_017"/>
    <x v="0"/>
    <x v="4"/>
    <x v="17"/>
    <n v="398.23"/>
    <n v="5"/>
    <n v="1991.15"/>
    <n v="0"/>
    <n v="0"/>
    <n v="1991.15"/>
    <s v="Wallet"/>
    <s v="CUST_00479"/>
    <n v="2"/>
    <n v="0"/>
    <n v="398.23"/>
    <s v="No Discount"/>
  </r>
  <r>
    <s v="TXN_00956"/>
    <d v="2024-08-18T00:00:00"/>
    <x v="8"/>
    <s v="Sunday"/>
    <s v="STORE_009"/>
    <x v="3"/>
    <x v="2"/>
    <x v="2"/>
    <n v="745.34"/>
    <n v="9"/>
    <n v="6708.06"/>
    <n v="15"/>
    <n v="1006.21"/>
    <n v="5701.85"/>
    <s v="Debit Card"/>
    <s v="CUST_00601"/>
    <n v="4"/>
    <n v="1006.21"/>
    <n v="633.53888888888889"/>
    <s v="Medium"/>
  </r>
  <r>
    <s v="TXN_00957"/>
    <d v="2024-08-14T00:00:00"/>
    <x v="8"/>
    <s v="Wednesday"/>
    <s v="STORE_041"/>
    <x v="1"/>
    <x v="4"/>
    <x v="35"/>
    <n v="403.7"/>
    <n v="10"/>
    <n v="4037"/>
    <n v="0"/>
    <n v="0"/>
    <n v="4037"/>
    <s v="Cash"/>
    <s v="CUST_00891"/>
    <n v="1"/>
    <n v="0"/>
    <n v="403.7"/>
    <s v="No Discount"/>
  </r>
  <r>
    <s v="TXN_00958"/>
    <d v="2024-06-01T00:00:00"/>
    <x v="10"/>
    <s v="Saturday"/>
    <s v="STORE_023"/>
    <x v="1"/>
    <x v="6"/>
    <x v="14"/>
    <n v="1132.1099999999999"/>
    <n v="6"/>
    <n v="6792.66"/>
    <n v="0"/>
    <n v="0"/>
    <n v="6792.66"/>
    <s v="Credit Card"/>
    <s v="CUST_00167"/>
    <n v="2"/>
    <n v="0"/>
    <n v="1132.1099999999999"/>
    <s v="No Discount"/>
  </r>
  <r>
    <s v="TXN_00959"/>
    <d v="2024-10-28T00:00:00"/>
    <x v="7"/>
    <s v="Monday"/>
    <s v="STORE_038"/>
    <x v="4"/>
    <x v="1"/>
    <x v="3"/>
    <n v="133.77000000000001"/>
    <n v="1"/>
    <n v="133.77000000000001"/>
    <n v="5"/>
    <n v="6.69"/>
    <n v="127.08"/>
    <s v="Wallet"/>
    <s v="CUST_00712"/>
    <n v="4"/>
    <n v="6.6900000000000119"/>
    <n v="127.08"/>
    <s v="Low"/>
  </r>
  <r>
    <s v="TXN_00960"/>
    <d v="2024-08-07T00:00:00"/>
    <x v="8"/>
    <s v="Wednesday"/>
    <s v="STORE_022"/>
    <x v="3"/>
    <x v="0"/>
    <x v="4"/>
    <n v="578.86"/>
    <n v="4"/>
    <n v="2315.44"/>
    <n v="0"/>
    <n v="0"/>
    <n v="2315.44"/>
    <s v="Cash"/>
    <s v="CUST_00695"/>
    <n v="5"/>
    <n v="0"/>
    <n v="578.86"/>
    <s v="No Discount"/>
  </r>
  <r>
    <s v="TXN_00961"/>
    <d v="2024-06-05T00:00:00"/>
    <x v="10"/>
    <s v="Wednesday"/>
    <s v="STORE_027"/>
    <x v="3"/>
    <x v="0"/>
    <x v="32"/>
    <n v="232.1"/>
    <n v="4"/>
    <n v="928.4"/>
    <n v="20"/>
    <n v="185.68"/>
    <n v="742.72"/>
    <s v="Wallet"/>
    <s v="CUST_00793"/>
    <n v="1"/>
    <n v="185.67999999999995"/>
    <n v="185.68"/>
    <s v="High"/>
  </r>
  <r>
    <s v="TXN_00962"/>
    <d v="2024-10-18T00:00:00"/>
    <x v="7"/>
    <s v="Friday"/>
    <s v="STORE_020"/>
    <x v="4"/>
    <x v="2"/>
    <x v="7"/>
    <n v="380.53"/>
    <n v="1"/>
    <n v="380.53"/>
    <n v="0"/>
    <n v="0"/>
    <n v="380.53"/>
    <s v="Wallet"/>
    <s v="CUST_00989"/>
    <n v="2"/>
    <n v="0"/>
    <n v="380.53"/>
    <s v="No Discount"/>
  </r>
  <r>
    <s v="TXN_00963"/>
    <d v="2024-11-13T00:00:00"/>
    <x v="0"/>
    <s v="Wednesday"/>
    <s v="STORE_006"/>
    <x v="1"/>
    <x v="3"/>
    <x v="16"/>
    <n v="2305.1799999999998"/>
    <n v="3"/>
    <n v="6915.54"/>
    <n v="15"/>
    <n v="1037.33"/>
    <n v="5878.21"/>
    <s v="Cash"/>
    <s v="CUST_00812"/>
    <n v="1"/>
    <n v="1037.33"/>
    <n v="1959.4033333333334"/>
    <s v="Medium"/>
  </r>
  <r>
    <s v="TXN_00964"/>
    <d v="2024-01-31T00:00:00"/>
    <x v="2"/>
    <s v="Wednesday"/>
    <s v="STORE_013"/>
    <x v="0"/>
    <x v="5"/>
    <x v="25"/>
    <n v="2834.85"/>
    <n v="3"/>
    <n v="8504.5499999999993"/>
    <n v="5"/>
    <n v="425.23"/>
    <n v="8079.32"/>
    <s v="Credit Card"/>
    <s v="CUST_00309"/>
    <n v="2"/>
    <n v="425.22999999999956"/>
    <n v="2693.1066666666666"/>
    <s v="Low"/>
  </r>
  <r>
    <s v="TXN_00965"/>
    <d v="2024-11-08T00:00:00"/>
    <x v="0"/>
    <s v="Friday"/>
    <s v="STORE_010"/>
    <x v="4"/>
    <x v="2"/>
    <x v="2"/>
    <n v="229.22"/>
    <n v="4"/>
    <n v="916.88"/>
    <n v="5"/>
    <n v="45.84"/>
    <n v="871.04"/>
    <s v="Credit Card"/>
    <s v="CUST_00866"/>
    <n v="2"/>
    <n v="45.840000000000032"/>
    <n v="217.76"/>
    <s v="Low"/>
  </r>
  <r>
    <s v="TXN_00966"/>
    <d v="2024-02-20T00:00:00"/>
    <x v="1"/>
    <s v="Tuesday"/>
    <s v="STORE_044"/>
    <x v="3"/>
    <x v="4"/>
    <x v="8"/>
    <n v="364.8"/>
    <n v="6"/>
    <n v="2188.8000000000002"/>
    <n v="0"/>
    <n v="0"/>
    <n v="2188.8000000000002"/>
    <s v="UPI"/>
    <s v="CUST_00716"/>
    <n v="5"/>
    <n v="0"/>
    <n v="364.8"/>
    <s v="No Discount"/>
  </r>
  <r>
    <s v="TXN_00967"/>
    <d v="2024-04-16T00:00:00"/>
    <x v="4"/>
    <s v="Tuesday"/>
    <s v="STORE_025"/>
    <x v="0"/>
    <x v="3"/>
    <x v="5"/>
    <n v="2071.62"/>
    <n v="8"/>
    <n v="16572.96"/>
    <n v="15"/>
    <n v="2485.94"/>
    <n v="14087.02"/>
    <s v="Debit Card"/>
    <s v="CUST_00326"/>
    <n v="1"/>
    <n v="2485.9399999999987"/>
    <n v="1760.8775000000001"/>
    <s v="Medium"/>
  </r>
  <r>
    <s v="TXN_00968"/>
    <d v="2024-11-16T00:00:00"/>
    <x v="0"/>
    <s v="Saturday"/>
    <s v="STORE_026"/>
    <x v="4"/>
    <x v="5"/>
    <x v="9"/>
    <n v="4093.04"/>
    <n v="5"/>
    <n v="20465.2"/>
    <n v="20"/>
    <n v="4093.04"/>
    <n v="16372.16"/>
    <s v="UPI"/>
    <s v="CUST_00074"/>
    <n v="5"/>
    <n v="4093.0400000000009"/>
    <n v="3274.4319999999998"/>
    <s v="High"/>
  </r>
  <r>
    <s v="TXN_00969"/>
    <d v="2024-04-18T00:00:00"/>
    <x v="4"/>
    <s v="Thursday"/>
    <s v="STORE_012"/>
    <x v="0"/>
    <x v="4"/>
    <x v="19"/>
    <n v="451.44"/>
    <n v="10"/>
    <n v="4514.3999999999996"/>
    <n v="0"/>
    <n v="0"/>
    <n v="4514.3999999999996"/>
    <s v="Debit Card"/>
    <s v="CUST_00378"/>
    <n v="5"/>
    <n v="0"/>
    <n v="451.43999999999994"/>
    <s v="No Discount"/>
  </r>
  <r>
    <s v="TXN_00970"/>
    <d v="2024-05-15T00:00:00"/>
    <x v="3"/>
    <s v="Wednesday"/>
    <s v="STORE_005"/>
    <x v="0"/>
    <x v="4"/>
    <x v="35"/>
    <n v="375.66"/>
    <n v="1"/>
    <n v="375.66"/>
    <n v="10"/>
    <n v="37.57"/>
    <n v="338.09"/>
    <s v="Wallet"/>
    <s v="CUST_00142"/>
    <n v="4"/>
    <n v="37.57000000000005"/>
    <n v="338.09"/>
    <s v="Medium"/>
  </r>
  <r>
    <s v="TXN_00971"/>
    <d v="2024-12-04T00:00:00"/>
    <x v="6"/>
    <s v="Wednesday"/>
    <s v="STORE_025"/>
    <x v="0"/>
    <x v="1"/>
    <x v="31"/>
    <n v="69.91"/>
    <n v="5"/>
    <n v="349.55"/>
    <n v="5"/>
    <n v="17.48"/>
    <n v="332.07"/>
    <s v="Credit Card"/>
    <s v="CUST_00436"/>
    <n v="3"/>
    <n v="17.480000000000018"/>
    <n v="66.414000000000001"/>
    <s v="Low"/>
  </r>
  <r>
    <s v="TXN_00972"/>
    <d v="2024-02-11T00:00:00"/>
    <x v="1"/>
    <s v="Sunday"/>
    <s v="STORE_012"/>
    <x v="0"/>
    <x v="5"/>
    <x v="25"/>
    <n v="2244.37"/>
    <n v="8"/>
    <n v="17954.96"/>
    <n v="0"/>
    <n v="0"/>
    <n v="17954.96"/>
    <s v="Cash"/>
    <s v="CUST_00408"/>
    <n v="4"/>
    <n v="0"/>
    <n v="2244.37"/>
    <s v="No Discount"/>
  </r>
  <r>
    <s v="TXN_00973"/>
    <d v="2024-03-21T00:00:00"/>
    <x v="5"/>
    <s v="Thursday"/>
    <s v="STORE_001"/>
    <x v="0"/>
    <x v="7"/>
    <x v="37"/>
    <n v="1267.47"/>
    <n v="6"/>
    <n v="7604.82"/>
    <n v="15"/>
    <n v="1140.72"/>
    <n v="6464.1"/>
    <s v="Credit Card"/>
    <s v="CUST_00327"/>
    <n v="4"/>
    <n v="1140.7199999999993"/>
    <n v="1077.3500000000001"/>
    <s v="Medium"/>
  </r>
  <r>
    <s v="TXN_00974"/>
    <d v="2024-05-02T00:00:00"/>
    <x v="3"/>
    <s v="Thursday"/>
    <s v="STORE_028"/>
    <x v="2"/>
    <x v="5"/>
    <x v="10"/>
    <n v="3027.88"/>
    <n v="8"/>
    <n v="24223.040000000001"/>
    <n v="0"/>
    <n v="0"/>
    <n v="24223.040000000001"/>
    <s v="UPI"/>
    <s v="CUST_00311"/>
    <n v="4"/>
    <n v="0"/>
    <n v="3027.88"/>
    <s v="No Discount"/>
  </r>
  <r>
    <s v="TXN_00975"/>
    <d v="2024-03-29T00:00:00"/>
    <x v="5"/>
    <s v="Friday"/>
    <s v="STORE_024"/>
    <x v="3"/>
    <x v="0"/>
    <x v="32"/>
    <n v="793.65"/>
    <n v="2"/>
    <n v="1587.3"/>
    <n v="10"/>
    <n v="158.72999999999999"/>
    <n v="1428.57"/>
    <s v="UPI"/>
    <s v="CUST_00730"/>
    <n v="5"/>
    <n v="158.73000000000002"/>
    <n v="714.28499999999997"/>
    <s v="Medium"/>
  </r>
  <r>
    <s v="TXN_00976"/>
    <d v="2024-10-09T00:00:00"/>
    <x v="7"/>
    <s v="Wednesday"/>
    <s v="STORE_035"/>
    <x v="3"/>
    <x v="4"/>
    <x v="17"/>
    <n v="587.29999999999995"/>
    <n v="2"/>
    <n v="1174.5999999999999"/>
    <n v="20"/>
    <n v="234.92"/>
    <n v="939.68"/>
    <s v="Debit Card"/>
    <s v="CUST_00892"/>
    <n v="4"/>
    <n v="234.91999999999996"/>
    <n v="469.84"/>
    <s v="High"/>
  </r>
  <r>
    <s v="TXN_00977"/>
    <d v="2024-02-08T00:00:00"/>
    <x v="1"/>
    <s v="Thursday"/>
    <s v="STORE_040"/>
    <x v="3"/>
    <x v="7"/>
    <x v="38"/>
    <n v="308.35000000000002"/>
    <n v="10"/>
    <n v="3083.5"/>
    <n v="0"/>
    <n v="0"/>
    <n v="3083.5"/>
    <s v="Debit Card"/>
    <s v="CUST_00446"/>
    <n v="5"/>
    <n v="0"/>
    <n v="308.35000000000002"/>
    <s v="No Discount"/>
  </r>
  <r>
    <s v="TXN_00978"/>
    <d v="2024-03-21T00:00:00"/>
    <x v="5"/>
    <s v="Thursday"/>
    <s v="STORE_024"/>
    <x v="2"/>
    <x v="6"/>
    <x v="33"/>
    <n v="922.57"/>
    <n v="2"/>
    <n v="1845.14"/>
    <n v="20"/>
    <n v="369.03"/>
    <n v="1476.11"/>
    <s v="UPI"/>
    <s v="CUST_00911"/>
    <n v="4"/>
    <n v="369.0300000000002"/>
    <n v="738.05499999999995"/>
    <s v="High"/>
  </r>
  <r>
    <s v="TXN_00979"/>
    <d v="2024-01-02T00:00:00"/>
    <x v="2"/>
    <s v="Tuesday"/>
    <s v="STORE_018"/>
    <x v="0"/>
    <x v="4"/>
    <x v="35"/>
    <n v="341.57"/>
    <n v="5"/>
    <n v="1707.85"/>
    <n v="20"/>
    <n v="341.57"/>
    <n v="1366.28"/>
    <s v="Credit Card"/>
    <s v="CUST_00301"/>
    <n v="5"/>
    <n v="341.56999999999994"/>
    <n v="273.25599999999997"/>
    <s v="High"/>
  </r>
  <r>
    <s v="TXN_00980"/>
    <d v="2024-07-28T00:00:00"/>
    <x v="11"/>
    <s v="Sunday"/>
    <s v="STORE_008"/>
    <x v="1"/>
    <x v="4"/>
    <x v="19"/>
    <n v="157.88"/>
    <n v="6"/>
    <n v="947.28"/>
    <n v="0"/>
    <n v="0"/>
    <n v="947.28"/>
    <s v="Credit Card"/>
    <s v="CUST_00750"/>
    <n v="5"/>
    <n v="0"/>
    <n v="157.88"/>
    <s v="No Discount"/>
  </r>
  <r>
    <s v="TXN_00981"/>
    <d v="2024-08-18T00:00:00"/>
    <x v="8"/>
    <s v="Sunday"/>
    <s v="STORE_007"/>
    <x v="0"/>
    <x v="6"/>
    <x v="26"/>
    <n v="1608.02"/>
    <n v="4"/>
    <n v="6432.08"/>
    <n v="0"/>
    <n v="0"/>
    <n v="6432.08"/>
    <s v="Credit Card"/>
    <s v="CUST_00745"/>
    <n v="5"/>
    <n v="0"/>
    <n v="1608.02"/>
    <s v="No Discount"/>
  </r>
  <r>
    <s v="TXN_00982"/>
    <d v="2024-12-18T00:00:00"/>
    <x v="6"/>
    <s v="Wednesday"/>
    <s v="STORE_016"/>
    <x v="4"/>
    <x v="5"/>
    <x v="9"/>
    <n v="2724.4"/>
    <n v="5"/>
    <n v="13622"/>
    <n v="0"/>
    <n v="0"/>
    <n v="13622"/>
    <s v="UPI"/>
    <s v="CUST_00583"/>
    <n v="5"/>
    <n v="0"/>
    <n v="2724.4"/>
    <s v="No Discount"/>
  </r>
  <r>
    <s v="TXN_00983"/>
    <d v="2024-10-31T00:00:00"/>
    <x v="7"/>
    <s v="Thursday"/>
    <s v="STORE_047"/>
    <x v="2"/>
    <x v="1"/>
    <x v="36"/>
    <n v="84.44"/>
    <n v="6"/>
    <n v="506.64"/>
    <n v="0"/>
    <n v="0"/>
    <n v="506.64"/>
    <s v="Debit Card"/>
    <s v="CUST_00392"/>
    <n v="5"/>
    <n v="0"/>
    <n v="84.44"/>
    <s v="No Discount"/>
  </r>
  <r>
    <s v="TXN_00984"/>
    <d v="2024-08-28T00:00:00"/>
    <x v="8"/>
    <s v="Wednesday"/>
    <s v="STORE_012"/>
    <x v="1"/>
    <x v="7"/>
    <x v="24"/>
    <n v="1412.93"/>
    <n v="5"/>
    <n v="7064.65"/>
    <n v="5"/>
    <n v="353.23"/>
    <n v="6711.42"/>
    <s v="UPI"/>
    <s v="CUST_00739"/>
    <n v="1"/>
    <n v="353.22999999999956"/>
    <n v="1342.2840000000001"/>
    <s v="Low"/>
  </r>
  <r>
    <s v="TXN_00985"/>
    <d v="2024-05-29T00:00:00"/>
    <x v="3"/>
    <s v="Wednesday"/>
    <s v="STORE_040"/>
    <x v="4"/>
    <x v="7"/>
    <x v="37"/>
    <n v="1458.19"/>
    <n v="4"/>
    <n v="5832.76"/>
    <n v="10"/>
    <n v="583.28"/>
    <n v="5249.48"/>
    <s v="Cash"/>
    <s v="CUST_00553"/>
    <n v="3"/>
    <n v="583.28000000000065"/>
    <n v="1312.37"/>
    <s v="Medium"/>
  </r>
  <r>
    <s v="TXN_00986"/>
    <d v="2024-01-17T00:00:00"/>
    <x v="2"/>
    <s v="Wednesday"/>
    <s v="STORE_048"/>
    <x v="0"/>
    <x v="3"/>
    <x v="21"/>
    <n v="1247.8599999999999"/>
    <n v="8"/>
    <n v="9982.8799999999992"/>
    <n v="0"/>
    <n v="0"/>
    <n v="9982.8799999999992"/>
    <s v="UPI"/>
    <s v="CUST_00284"/>
    <n v="3"/>
    <n v="0"/>
    <n v="1247.8599999999999"/>
    <s v="No Discount"/>
  </r>
  <r>
    <s v="TXN_00987"/>
    <d v="2024-04-28T00:00:00"/>
    <x v="4"/>
    <s v="Sunday"/>
    <s v="STORE_001"/>
    <x v="3"/>
    <x v="6"/>
    <x v="26"/>
    <n v="1098.01"/>
    <n v="3"/>
    <n v="3294.03"/>
    <n v="15"/>
    <n v="494.1"/>
    <n v="2799.93"/>
    <s v="Cash"/>
    <s v="CUST_00213"/>
    <n v="3"/>
    <n v="494.10000000000036"/>
    <n v="933.31"/>
    <s v="Medium"/>
  </r>
  <r>
    <s v="TXN_00988"/>
    <d v="2024-05-27T00:00:00"/>
    <x v="3"/>
    <s v="Monday"/>
    <s v="STORE_041"/>
    <x v="1"/>
    <x v="6"/>
    <x v="33"/>
    <n v="1485.82"/>
    <n v="5"/>
    <n v="7429.1"/>
    <n v="0"/>
    <n v="0"/>
    <n v="7429.1"/>
    <s v="UPI"/>
    <s v="CUST_00100"/>
    <n v="5"/>
    <n v="0"/>
    <n v="1485.8200000000002"/>
    <s v="No Discount"/>
  </r>
  <r>
    <s v="TXN_00989"/>
    <d v="2024-12-27T00:00:00"/>
    <x v="6"/>
    <s v="Friday"/>
    <s v="STORE_019"/>
    <x v="4"/>
    <x v="3"/>
    <x v="12"/>
    <n v="250.6"/>
    <n v="6"/>
    <n v="1503.6"/>
    <n v="0"/>
    <n v="0"/>
    <n v="1503.6"/>
    <s v="Credit Card"/>
    <s v="CUST_00847"/>
    <n v="5"/>
    <n v="0"/>
    <n v="250.6"/>
    <s v="No Discount"/>
  </r>
  <r>
    <s v="TXN_00990"/>
    <d v="2024-05-24T00:00:00"/>
    <x v="3"/>
    <s v="Friday"/>
    <s v="STORE_031"/>
    <x v="4"/>
    <x v="1"/>
    <x v="3"/>
    <n v="239.34"/>
    <n v="10"/>
    <n v="2393.4"/>
    <n v="0"/>
    <n v="0"/>
    <n v="2393.4"/>
    <s v="Wallet"/>
    <s v="CUST_00013"/>
    <n v="4"/>
    <n v="0"/>
    <n v="239.34"/>
    <s v="No Discount"/>
  </r>
  <r>
    <s v="TXN_00991"/>
    <d v="2024-12-25T00:00:00"/>
    <x v="6"/>
    <s v="Wednesday"/>
    <s v="STORE_014"/>
    <x v="4"/>
    <x v="4"/>
    <x v="35"/>
    <n v="293.83999999999997"/>
    <n v="8"/>
    <n v="2350.7199999999998"/>
    <n v="0"/>
    <n v="0"/>
    <n v="2350.7199999999998"/>
    <s v="UPI"/>
    <s v="CUST_00715"/>
    <n v="4"/>
    <n v="0"/>
    <n v="293.83999999999997"/>
    <s v="No Discount"/>
  </r>
  <r>
    <s v="TXN_00992"/>
    <d v="2024-08-20T00:00:00"/>
    <x v="8"/>
    <s v="Tuesday"/>
    <s v="STORE_041"/>
    <x v="3"/>
    <x v="5"/>
    <x v="9"/>
    <n v="2022.77"/>
    <n v="1"/>
    <n v="2022.77"/>
    <n v="15"/>
    <n v="303.42"/>
    <n v="1719.35"/>
    <s v="Wallet"/>
    <s v="CUST_00575"/>
    <n v="1"/>
    <n v="303.42000000000007"/>
    <n v="1719.35"/>
    <s v="Medium"/>
  </r>
  <r>
    <s v="TXN_00993"/>
    <d v="2024-02-06T00:00:00"/>
    <x v="1"/>
    <s v="Tuesday"/>
    <s v="STORE_049"/>
    <x v="1"/>
    <x v="4"/>
    <x v="8"/>
    <n v="243.4"/>
    <n v="9"/>
    <n v="2190.6"/>
    <n v="0"/>
    <n v="0"/>
    <n v="2190.6"/>
    <s v="Cash"/>
    <s v="CUST_00463"/>
    <n v="3"/>
    <n v="0"/>
    <n v="243.39999999999998"/>
    <s v="No Discount"/>
  </r>
  <r>
    <s v="TXN_00994"/>
    <d v="2024-12-17T00:00:00"/>
    <x v="6"/>
    <s v="Tuesday"/>
    <s v="STORE_037"/>
    <x v="3"/>
    <x v="1"/>
    <x v="36"/>
    <n v="120.16"/>
    <n v="10"/>
    <n v="1201.5999999999999"/>
    <n v="0"/>
    <n v="0"/>
    <n v="1201.5999999999999"/>
    <s v="Wallet"/>
    <s v="CUST_00426"/>
    <n v="3"/>
    <n v="0"/>
    <n v="120.16"/>
    <s v="No Discount"/>
  </r>
  <r>
    <s v="TXN_00995"/>
    <d v="2024-04-29T00:00:00"/>
    <x v="4"/>
    <s v="Monday"/>
    <s v="STORE_009"/>
    <x v="3"/>
    <x v="6"/>
    <x v="15"/>
    <n v="1334.66"/>
    <n v="8"/>
    <n v="10677.28"/>
    <n v="0"/>
    <n v="0"/>
    <n v="10677.28"/>
    <s v="UPI"/>
    <s v="CUST_00622"/>
    <n v="5"/>
    <n v="0"/>
    <n v="1334.66"/>
    <s v="No Discount"/>
  </r>
  <r>
    <s v="TXN_00996"/>
    <d v="2024-05-15T00:00:00"/>
    <x v="3"/>
    <s v="Wednesday"/>
    <s v="STORE_012"/>
    <x v="0"/>
    <x v="7"/>
    <x v="28"/>
    <n v="774.9"/>
    <n v="4"/>
    <n v="3099.6"/>
    <n v="0"/>
    <n v="0"/>
    <n v="3099.6"/>
    <s v="Wallet"/>
    <s v="CUST_00786"/>
    <n v="3"/>
    <n v="0"/>
    <n v="774.9"/>
    <s v="No Discount"/>
  </r>
  <r>
    <s v="TXN_00997"/>
    <d v="2024-11-16T00:00:00"/>
    <x v="0"/>
    <s v="Saturday"/>
    <s v="STORE_021"/>
    <x v="1"/>
    <x v="0"/>
    <x v="27"/>
    <n v="526.80999999999995"/>
    <n v="4"/>
    <n v="2107.2399999999998"/>
    <n v="5"/>
    <n v="105.36"/>
    <n v="2001.88"/>
    <s v="Wallet"/>
    <s v="CUST_00646"/>
    <n v="3"/>
    <n v="105.35999999999967"/>
    <n v="500.47"/>
    <s v="Low"/>
  </r>
  <r>
    <s v="TXN_00998"/>
    <d v="2024-10-28T00:00:00"/>
    <x v="7"/>
    <s v="Monday"/>
    <s v="STORE_032"/>
    <x v="3"/>
    <x v="7"/>
    <x v="24"/>
    <n v="902.77"/>
    <n v="9"/>
    <n v="8124.93"/>
    <n v="5"/>
    <n v="406.25"/>
    <n v="7718.68"/>
    <s v="Debit Card"/>
    <s v="CUST_00294"/>
    <n v="4"/>
    <n v="406.25"/>
    <n v="857.63111111111118"/>
    <s v="Low"/>
  </r>
  <r>
    <s v="TXN_00999"/>
    <d v="2024-12-04T00:00:00"/>
    <x v="6"/>
    <s v="Wednesday"/>
    <s v="STORE_035"/>
    <x v="1"/>
    <x v="1"/>
    <x v="31"/>
    <n v="465.76"/>
    <n v="3"/>
    <n v="1397.28"/>
    <n v="5"/>
    <n v="69.86"/>
    <n v="1327.42"/>
    <s v="Cash"/>
    <s v="CUST_00782"/>
    <n v="1"/>
    <n v="69.8599999999999"/>
    <n v="442.47333333333336"/>
    <s v="Low"/>
  </r>
  <r>
    <s v="TXN_01000"/>
    <d v="2024-04-11T00:00:00"/>
    <x v="4"/>
    <s v="Thursday"/>
    <s v="STORE_027"/>
    <x v="3"/>
    <x v="1"/>
    <x v="31"/>
    <n v="357.51"/>
    <n v="2"/>
    <n v="715.02"/>
    <n v="5"/>
    <n v="35.75"/>
    <n v="679.27"/>
    <s v="Wallet"/>
    <s v="CUST_00194"/>
    <n v="4"/>
    <n v="35.75"/>
    <n v="339.63499999999999"/>
    <s v="Low"/>
  </r>
  <r>
    <s v="TXN_01001"/>
    <d v="2024-08-05T00:00:00"/>
    <x v="8"/>
    <s v="Monday"/>
    <s v="STORE_039"/>
    <x v="4"/>
    <x v="6"/>
    <x v="26"/>
    <n v="836.29"/>
    <n v="10"/>
    <n v="8362.9"/>
    <n v="10"/>
    <n v="836.29"/>
    <n v="7526.61"/>
    <s v="Wallet"/>
    <s v="CUST_00750"/>
    <n v="1"/>
    <n v="836.29"/>
    <n v="752.66099999999994"/>
    <s v="Medium"/>
  </r>
  <r>
    <s v="TXN_01002"/>
    <d v="2024-02-28T00:00:00"/>
    <x v="1"/>
    <s v="Wednesday"/>
    <s v="STORE_044"/>
    <x v="2"/>
    <x v="0"/>
    <x v="18"/>
    <n v="460.02"/>
    <n v="4"/>
    <n v="1840.08"/>
    <n v="0"/>
    <n v="0"/>
    <n v="1840.08"/>
    <s v="Wallet"/>
    <s v="CUST_00975"/>
    <n v="4"/>
    <n v="0"/>
    <n v="460.02"/>
    <s v="No Discount"/>
  </r>
  <r>
    <s v="TXN_01003"/>
    <d v="2024-10-05T00:00:00"/>
    <x v="7"/>
    <s v="Saturday"/>
    <s v="STORE_011"/>
    <x v="3"/>
    <x v="4"/>
    <x v="8"/>
    <n v="484.33"/>
    <n v="7"/>
    <n v="3390.31"/>
    <n v="10"/>
    <n v="339.03"/>
    <n v="3051.28"/>
    <s v="Wallet"/>
    <s v="CUST_00378"/>
    <n v="2"/>
    <n v="339.02999999999975"/>
    <n v="435.89714285714291"/>
    <s v="Medium"/>
  </r>
  <r>
    <s v="TXN_01004"/>
    <d v="2024-04-25T00:00:00"/>
    <x v="4"/>
    <s v="Thursday"/>
    <s v="STORE_005"/>
    <x v="2"/>
    <x v="3"/>
    <x v="12"/>
    <n v="1522.07"/>
    <n v="4"/>
    <n v="6088.28"/>
    <n v="0"/>
    <n v="0"/>
    <n v="6088.28"/>
    <s v="Debit Card"/>
    <s v="CUST_00212"/>
    <n v="3"/>
    <n v="0"/>
    <n v="1522.07"/>
    <s v="No Discount"/>
  </r>
  <r>
    <s v="TXN_01005"/>
    <d v="2024-11-27T00:00:00"/>
    <x v="0"/>
    <s v="Wednesday"/>
    <s v="STORE_030"/>
    <x v="4"/>
    <x v="1"/>
    <x v="1"/>
    <n v="160.27000000000001"/>
    <n v="10"/>
    <n v="1602.7"/>
    <n v="5"/>
    <n v="80.14"/>
    <n v="1522.56"/>
    <s v="Debit Card"/>
    <s v="CUST_00657"/>
    <n v="2"/>
    <n v="80.1400000000001"/>
    <n v="152.256"/>
    <s v="Low"/>
  </r>
  <r>
    <s v="TXN_01006"/>
    <d v="2024-03-17T00:00:00"/>
    <x v="5"/>
    <s v="Sunday"/>
    <s v="STORE_001"/>
    <x v="2"/>
    <x v="7"/>
    <x v="23"/>
    <n v="1305.45"/>
    <n v="3"/>
    <n v="3916.35"/>
    <n v="0"/>
    <n v="0"/>
    <n v="3916.35"/>
    <s v="UPI"/>
    <s v="CUST_00699"/>
    <n v="1"/>
    <n v="0"/>
    <n v="1305.45"/>
    <s v="No Discount"/>
  </r>
  <r>
    <s v="TXN_01007"/>
    <d v="2024-05-16T00:00:00"/>
    <x v="3"/>
    <s v="Thursday"/>
    <s v="STORE_046"/>
    <x v="4"/>
    <x v="0"/>
    <x v="27"/>
    <n v="996.43"/>
    <n v="7"/>
    <n v="6975.01"/>
    <n v="0"/>
    <n v="0"/>
    <n v="6975.01"/>
    <s v="UPI"/>
    <s v="CUST_00124"/>
    <n v="3"/>
    <n v="0"/>
    <n v="996.43000000000006"/>
    <s v="No Discount"/>
  </r>
  <r>
    <s v="TXN_01008"/>
    <d v="2024-03-13T00:00:00"/>
    <x v="5"/>
    <s v="Wednesday"/>
    <s v="STORE_024"/>
    <x v="3"/>
    <x v="6"/>
    <x v="33"/>
    <n v="1221.21"/>
    <n v="1"/>
    <n v="1221.21"/>
    <n v="0"/>
    <n v="0"/>
    <n v="1221.21"/>
    <s v="UPI"/>
    <s v="CUST_00734"/>
    <n v="1"/>
    <n v="0"/>
    <n v="1221.21"/>
    <s v="No Discount"/>
  </r>
  <r>
    <s v="TXN_01009"/>
    <d v="2024-02-06T00:00:00"/>
    <x v="1"/>
    <s v="Tuesday"/>
    <s v="STORE_049"/>
    <x v="2"/>
    <x v="1"/>
    <x v="1"/>
    <n v="404.34"/>
    <n v="2"/>
    <n v="808.68"/>
    <n v="0"/>
    <n v="0"/>
    <n v="808.68"/>
    <s v="Cash"/>
    <s v="CUST_00740"/>
    <n v="5"/>
    <n v="0"/>
    <n v="404.34"/>
    <s v="No Discount"/>
  </r>
  <r>
    <s v="TXN_01010"/>
    <d v="2024-01-31T00:00:00"/>
    <x v="2"/>
    <s v="Wednesday"/>
    <s v="STORE_014"/>
    <x v="1"/>
    <x v="5"/>
    <x v="25"/>
    <n v="2651.57"/>
    <n v="6"/>
    <n v="15909.42"/>
    <n v="0"/>
    <n v="0"/>
    <n v="15909.42"/>
    <s v="Debit Card"/>
    <s v="CUST_00100"/>
    <n v="4"/>
    <n v="0"/>
    <n v="2651.57"/>
    <s v="No Discount"/>
  </r>
  <r>
    <s v="TXN_01011"/>
    <d v="2024-03-25T00:00:00"/>
    <x v="5"/>
    <s v="Monday"/>
    <s v="STORE_022"/>
    <x v="1"/>
    <x v="4"/>
    <x v="8"/>
    <n v="356.21"/>
    <n v="8"/>
    <n v="2849.68"/>
    <n v="20"/>
    <n v="569.94000000000005"/>
    <n v="2279.7399999999998"/>
    <s v="Debit Card"/>
    <s v="CUST_00706"/>
    <n v="3"/>
    <n v="569.94000000000005"/>
    <n v="284.96749999999997"/>
    <s v="High"/>
  </r>
  <r>
    <s v="TXN_01012"/>
    <d v="2024-06-06T00:00:00"/>
    <x v="10"/>
    <s v="Thursday"/>
    <s v="STORE_003"/>
    <x v="0"/>
    <x v="1"/>
    <x v="6"/>
    <n v="404.32"/>
    <n v="5"/>
    <n v="2021.6"/>
    <n v="10"/>
    <n v="202.16"/>
    <n v="1819.44"/>
    <s v="Cash"/>
    <s v="CUST_00152"/>
    <n v="5"/>
    <n v="202.15999999999985"/>
    <n v="363.88800000000003"/>
    <s v="Medium"/>
  </r>
  <r>
    <s v="TXN_01013"/>
    <d v="2024-10-31T00:00:00"/>
    <x v="7"/>
    <s v="Thursday"/>
    <s v="STORE_020"/>
    <x v="0"/>
    <x v="2"/>
    <x v="2"/>
    <n v="254.72"/>
    <n v="6"/>
    <n v="1528.32"/>
    <n v="10"/>
    <n v="152.83000000000001"/>
    <n v="1375.49"/>
    <s v="Cash"/>
    <s v="CUST_00582"/>
    <n v="3"/>
    <n v="152.82999999999993"/>
    <n v="229.24833333333333"/>
    <s v="Medium"/>
  </r>
  <r>
    <s v="TXN_01014"/>
    <d v="2024-10-18T00:00:00"/>
    <x v="7"/>
    <s v="Friday"/>
    <s v="STORE_039"/>
    <x v="1"/>
    <x v="2"/>
    <x v="13"/>
    <n v="599.16"/>
    <n v="5"/>
    <n v="2995.8"/>
    <n v="0"/>
    <n v="0"/>
    <n v="2995.8"/>
    <s v="Debit Card"/>
    <s v="CUST_00880"/>
    <n v="2"/>
    <n v="0"/>
    <n v="599.16000000000008"/>
    <s v="No Discount"/>
  </r>
  <r>
    <s v="TXN_01015"/>
    <d v="2024-05-27T00:00:00"/>
    <x v="3"/>
    <s v="Monday"/>
    <s v="STORE_020"/>
    <x v="0"/>
    <x v="0"/>
    <x v="32"/>
    <n v="709.41"/>
    <n v="1"/>
    <n v="709.41"/>
    <n v="20"/>
    <n v="141.88"/>
    <n v="567.53"/>
    <s v="Debit Card"/>
    <s v="CUST_00599"/>
    <n v="5"/>
    <n v="141.88"/>
    <n v="567.53"/>
    <s v="High"/>
  </r>
  <r>
    <s v="TXN_01016"/>
    <d v="2024-08-12T00:00:00"/>
    <x v="8"/>
    <s v="Monday"/>
    <s v="STORE_031"/>
    <x v="4"/>
    <x v="6"/>
    <x v="15"/>
    <n v="1046.24"/>
    <n v="9"/>
    <n v="9416.16"/>
    <n v="15"/>
    <n v="1412.42"/>
    <n v="8003.74"/>
    <s v="Wallet"/>
    <s v="CUST_00922"/>
    <n v="4"/>
    <n v="1412.42"/>
    <n v="889.30444444444447"/>
    <s v="Medium"/>
  </r>
  <r>
    <s v="TXN_01017"/>
    <d v="2024-03-04T00:00:00"/>
    <x v="5"/>
    <s v="Monday"/>
    <s v="STORE_034"/>
    <x v="1"/>
    <x v="5"/>
    <x v="25"/>
    <n v="3575.41"/>
    <n v="10"/>
    <n v="35754.1"/>
    <n v="20"/>
    <n v="7150.82"/>
    <n v="28603.279999999999"/>
    <s v="Wallet"/>
    <s v="CUST_00388"/>
    <n v="3"/>
    <n v="7150.82"/>
    <n v="2860.328"/>
    <s v="High"/>
  </r>
  <r>
    <s v="TXN_01018"/>
    <d v="2024-08-27T00:00:00"/>
    <x v="8"/>
    <s v="Tuesday"/>
    <s v="STORE_001"/>
    <x v="2"/>
    <x v="1"/>
    <x v="31"/>
    <n v="441.85"/>
    <n v="8"/>
    <n v="3534.8"/>
    <n v="0"/>
    <n v="0"/>
    <n v="3534.8"/>
    <s v="UPI"/>
    <s v="CUST_00351"/>
    <n v="4"/>
    <n v="0"/>
    <n v="441.85"/>
    <s v="No Discount"/>
  </r>
  <r>
    <s v="TXN_01019"/>
    <d v="2024-12-18T00:00:00"/>
    <x v="6"/>
    <s v="Wednesday"/>
    <s v="STORE_042"/>
    <x v="0"/>
    <x v="3"/>
    <x v="22"/>
    <n v="778"/>
    <n v="3"/>
    <n v="2334"/>
    <n v="0"/>
    <n v="0"/>
    <n v="2334"/>
    <s v="Wallet"/>
    <s v="CUST_00366"/>
    <n v="1"/>
    <n v="0"/>
    <n v="778"/>
    <s v="No Discount"/>
  </r>
  <r>
    <s v="TXN_01020"/>
    <d v="2024-06-04T00:00:00"/>
    <x v="10"/>
    <s v="Tuesday"/>
    <s v="STORE_048"/>
    <x v="0"/>
    <x v="1"/>
    <x v="1"/>
    <n v="306.23"/>
    <n v="1"/>
    <n v="306.23"/>
    <n v="20"/>
    <n v="61.25"/>
    <n v="244.98"/>
    <s v="Wallet"/>
    <s v="CUST_00373"/>
    <n v="2"/>
    <n v="61.250000000000028"/>
    <n v="244.98"/>
    <s v="High"/>
  </r>
  <r>
    <s v="TXN_01021"/>
    <d v="2024-12-24T00:00:00"/>
    <x v="6"/>
    <s v="Tuesday"/>
    <s v="STORE_036"/>
    <x v="4"/>
    <x v="6"/>
    <x v="33"/>
    <n v="1439.6"/>
    <n v="6"/>
    <n v="8637.6"/>
    <n v="10"/>
    <n v="863.76"/>
    <n v="7773.84"/>
    <s v="Credit Card"/>
    <s v="CUST_00867"/>
    <n v="3"/>
    <n v="863.76000000000022"/>
    <n v="1295.6400000000001"/>
    <s v="Medium"/>
  </r>
  <r>
    <s v="TXN_01022"/>
    <d v="2024-07-25T00:00:00"/>
    <x v="11"/>
    <s v="Thursday"/>
    <s v="STORE_048"/>
    <x v="0"/>
    <x v="7"/>
    <x v="28"/>
    <n v="835.96"/>
    <n v="9"/>
    <n v="7523.64"/>
    <n v="0"/>
    <n v="0"/>
    <n v="7523.64"/>
    <s v="Debit Card"/>
    <s v="CUST_00707"/>
    <n v="3"/>
    <n v="0"/>
    <n v="835.96"/>
    <s v="No Discount"/>
  </r>
  <r>
    <s v="TXN_01023"/>
    <d v="2024-05-19T00:00:00"/>
    <x v="3"/>
    <s v="Sunday"/>
    <s v="STORE_018"/>
    <x v="4"/>
    <x v="3"/>
    <x v="12"/>
    <n v="2130.98"/>
    <n v="8"/>
    <n v="17047.84"/>
    <n v="0"/>
    <n v="0"/>
    <n v="17047.84"/>
    <s v="Credit Card"/>
    <s v="CUST_00285"/>
    <n v="5"/>
    <n v="0"/>
    <n v="2130.98"/>
    <s v="No Discount"/>
  </r>
  <r>
    <s v="TXN_01024"/>
    <d v="2024-09-13T00:00:00"/>
    <x v="9"/>
    <s v="Friday"/>
    <s v="STORE_004"/>
    <x v="0"/>
    <x v="7"/>
    <x v="38"/>
    <n v="1180"/>
    <n v="2"/>
    <n v="2360"/>
    <n v="0"/>
    <n v="0"/>
    <n v="2360"/>
    <s v="Wallet"/>
    <s v="CUST_00234"/>
    <n v="3"/>
    <n v="0"/>
    <n v="1180"/>
    <s v="No Discount"/>
  </r>
  <r>
    <s v="TXN_01025"/>
    <d v="2024-10-03T00:00:00"/>
    <x v="7"/>
    <s v="Thursday"/>
    <s v="STORE_004"/>
    <x v="1"/>
    <x v="3"/>
    <x v="16"/>
    <n v="2332.71"/>
    <n v="8"/>
    <n v="18661.68"/>
    <n v="5"/>
    <n v="933.08"/>
    <n v="17728.599999999999"/>
    <s v="Credit Card"/>
    <s v="CUST_00809"/>
    <n v="5"/>
    <n v="933.08000000000175"/>
    <n v="2216.0749999999998"/>
    <s v="Low"/>
  </r>
  <r>
    <s v="TXN_01026"/>
    <d v="2024-09-09T00:00:00"/>
    <x v="9"/>
    <s v="Monday"/>
    <s v="STORE_007"/>
    <x v="4"/>
    <x v="7"/>
    <x v="38"/>
    <n v="873.96"/>
    <n v="8"/>
    <n v="6991.68"/>
    <n v="0"/>
    <n v="0"/>
    <n v="6991.68"/>
    <s v="UPI"/>
    <s v="CUST_00604"/>
    <n v="2"/>
    <n v="0"/>
    <n v="873.96"/>
    <s v="No Discount"/>
  </r>
  <r>
    <s v="TXN_01027"/>
    <d v="2024-08-12T00:00:00"/>
    <x v="8"/>
    <s v="Monday"/>
    <s v="STORE_008"/>
    <x v="3"/>
    <x v="3"/>
    <x v="16"/>
    <n v="1564.25"/>
    <n v="10"/>
    <n v="15642.5"/>
    <n v="0"/>
    <n v="0"/>
    <n v="15642.5"/>
    <s v="Wallet"/>
    <s v="CUST_00797"/>
    <n v="4"/>
    <n v="0"/>
    <n v="1564.25"/>
    <s v="No Discount"/>
  </r>
  <r>
    <s v="TXN_01028"/>
    <d v="2024-02-11T00:00:00"/>
    <x v="1"/>
    <s v="Sunday"/>
    <s v="STORE_017"/>
    <x v="3"/>
    <x v="3"/>
    <x v="16"/>
    <n v="2456.14"/>
    <n v="10"/>
    <n v="24561.4"/>
    <n v="20"/>
    <n v="4912.28"/>
    <n v="19649.12"/>
    <s v="UPI"/>
    <s v="CUST_00616"/>
    <n v="1"/>
    <n v="4912.2800000000025"/>
    <n v="1964.9119999999998"/>
    <s v="High"/>
  </r>
  <r>
    <s v="TXN_01029"/>
    <d v="2024-11-02T00:00:00"/>
    <x v="0"/>
    <s v="Saturday"/>
    <s v="STORE_019"/>
    <x v="1"/>
    <x v="2"/>
    <x v="13"/>
    <n v="541.79"/>
    <n v="6"/>
    <n v="3250.74"/>
    <n v="10"/>
    <n v="325.07"/>
    <n v="2925.67"/>
    <s v="UPI"/>
    <s v="CUST_00271"/>
    <n v="5"/>
    <n v="325.06999999999971"/>
    <n v="487.61166666666668"/>
    <s v="Medium"/>
  </r>
  <r>
    <s v="TXN_01030"/>
    <d v="2024-01-21T00:00:00"/>
    <x v="2"/>
    <s v="Sunday"/>
    <s v="STORE_008"/>
    <x v="0"/>
    <x v="3"/>
    <x v="22"/>
    <n v="970.81"/>
    <n v="9"/>
    <n v="8737.2900000000009"/>
    <n v="10"/>
    <n v="873.73"/>
    <n v="7863.56"/>
    <s v="Cash"/>
    <s v="CUST_00500"/>
    <n v="4"/>
    <n v="873.73000000000047"/>
    <n v="873.72888888888895"/>
    <s v="Medium"/>
  </r>
  <r>
    <s v="TXN_01031"/>
    <d v="2024-08-09T00:00:00"/>
    <x v="8"/>
    <s v="Friday"/>
    <s v="STORE_012"/>
    <x v="2"/>
    <x v="6"/>
    <x v="15"/>
    <n v="1840.05"/>
    <n v="9"/>
    <n v="16560.45"/>
    <n v="5"/>
    <n v="828.02"/>
    <n v="15732.43"/>
    <s v="UPI"/>
    <s v="CUST_00779"/>
    <n v="2"/>
    <n v="828.02000000000044"/>
    <n v="1748.0477777777778"/>
    <s v="Low"/>
  </r>
  <r>
    <s v="TXN_01032"/>
    <d v="2024-06-14T00:00:00"/>
    <x v="10"/>
    <s v="Friday"/>
    <s v="STORE_013"/>
    <x v="2"/>
    <x v="0"/>
    <x v="32"/>
    <n v="275.64999999999998"/>
    <n v="8"/>
    <n v="2205.1999999999998"/>
    <n v="0"/>
    <n v="0"/>
    <n v="2205.1999999999998"/>
    <s v="Wallet"/>
    <s v="CUST_00782"/>
    <n v="2"/>
    <n v="0"/>
    <n v="275.64999999999998"/>
    <s v="No Discount"/>
  </r>
  <r>
    <s v="TXN_01033"/>
    <d v="2024-11-05T00:00:00"/>
    <x v="0"/>
    <s v="Tuesday"/>
    <s v="STORE_007"/>
    <x v="1"/>
    <x v="3"/>
    <x v="12"/>
    <n v="1060.1600000000001"/>
    <n v="5"/>
    <n v="5300.8"/>
    <n v="0"/>
    <n v="0"/>
    <n v="5300.8"/>
    <s v="Wallet"/>
    <s v="CUST_00950"/>
    <n v="4"/>
    <n v="0"/>
    <n v="1060.1600000000001"/>
    <s v="No Discount"/>
  </r>
  <r>
    <s v="TXN_01034"/>
    <d v="2024-05-08T00:00:00"/>
    <x v="3"/>
    <s v="Wednesday"/>
    <s v="STORE_011"/>
    <x v="0"/>
    <x v="3"/>
    <x v="16"/>
    <n v="2081.2800000000002"/>
    <n v="6"/>
    <n v="12487.68"/>
    <n v="0"/>
    <n v="0"/>
    <n v="12487.68"/>
    <s v="Debit Card"/>
    <s v="CUST_00625"/>
    <n v="4"/>
    <n v="0"/>
    <n v="2081.2800000000002"/>
    <s v="No Discount"/>
  </r>
  <r>
    <s v="TXN_01035"/>
    <d v="2024-01-14T00:00:00"/>
    <x v="2"/>
    <s v="Sunday"/>
    <s v="STORE_050"/>
    <x v="1"/>
    <x v="5"/>
    <x v="25"/>
    <n v="4826.83"/>
    <n v="8"/>
    <n v="38614.639999999999"/>
    <n v="15"/>
    <n v="5792.2"/>
    <n v="32822.44"/>
    <s v="Wallet"/>
    <s v="CUST_00235"/>
    <n v="4"/>
    <n v="5792.1999999999971"/>
    <n v="4102.8050000000003"/>
    <s v="Medium"/>
  </r>
  <r>
    <s v="TXN_01036"/>
    <d v="2024-02-16T00:00:00"/>
    <x v="1"/>
    <s v="Friday"/>
    <s v="STORE_022"/>
    <x v="1"/>
    <x v="2"/>
    <x v="13"/>
    <n v="754.03"/>
    <n v="5"/>
    <n v="3770.15"/>
    <n v="0"/>
    <n v="0"/>
    <n v="3770.15"/>
    <s v="Debit Card"/>
    <s v="CUST_00850"/>
    <n v="3"/>
    <n v="0"/>
    <n v="754.03"/>
    <s v="No Discount"/>
  </r>
  <r>
    <s v="TXN_01037"/>
    <d v="2024-04-27T00:00:00"/>
    <x v="4"/>
    <s v="Saturday"/>
    <s v="STORE_049"/>
    <x v="3"/>
    <x v="4"/>
    <x v="19"/>
    <n v="288.61"/>
    <n v="10"/>
    <n v="2886.1"/>
    <n v="5"/>
    <n v="144.31"/>
    <n v="2741.79"/>
    <s v="UPI"/>
    <s v="CUST_00057"/>
    <n v="1"/>
    <n v="144.30999999999995"/>
    <n v="274.17899999999997"/>
    <s v="Low"/>
  </r>
  <r>
    <s v="TXN_01038"/>
    <d v="2024-12-11T00:00:00"/>
    <x v="6"/>
    <s v="Wednesday"/>
    <s v="STORE_046"/>
    <x v="0"/>
    <x v="0"/>
    <x v="32"/>
    <n v="716.63"/>
    <n v="3"/>
    <n v="2149.89"/>
    <n v="5"/>
    <n v="107.49"/>
    <n v="2042.4"/>
    <s v="Cash"/>
    <s v="CUST_00214"/>
    <n v="1"/>
    <n v="107.48999999999978"/>
    <n v="680.80000000000007"/>
    <s v="Low"/>
  </r>
  <r>
    <s v="TXN_01039"/>
    <d v="2024-10-21T00:00:00"/>
    <x v="7"/>
    <s v="Monday"/>
    <s v="STORE_021"/>
    <x v="4"/>
    <x v="2"/>
    <x v="39"/>
    <n v="682.79"/>
    <n v="1"/>
    <n v="682.79"/>
    <n v="0"/>
    <n v="0"/>
    <n v="682.79"/>
    <s v="UPI"/>
    <s v="CUST_00574"/>
    <n v="4"/>
    <n v="0"/>
    <n v="682.79"/>
    <s v="No Discount"/>
  </r>
  <r>
    <s v="TXN_01040"/>
    <d v="2024-10-27T00:00:00"/>
    <x v="7"/>
    <s v="Sunday"/>
    <s v="STORE_005"/>
    <x v="0"/>
    <x v="3"/>
    <x v="12"/>
    <n v="1929.16"/>
    <n v="8"/>
    <n v="15433.28"/>
    <n v="20"/>
    <n v="3086.66"/>
    <n v="12346.62"/>
    <s v="Cash"/>
    <s v="CUST_00165"/>
    <n v="1"/>
    <n v="3086.66"/>
    <n v="1543.3275000000001"/>
    <s v="High"/>
  </r>
  <r>
    <s v="TXN_01041"/>
    <d v="2024-01-11T00:00:00"/>
    <x v="2"/>
    <s v="Thursday"/>
    <s v="STORE_045"/>
    <x v="3"/>
    <x v="4"/>
    <x v="19"/>
    <n v="573.66999999999996"/>
    <n v="10"/>
    <n v="5736.7"/>
    <n v="5"/>
    <n v="286.83"/>
    <n v="5449.87"/>
    <s v="Credit Card"/>
    <s v="CUST_00256"/>
    <n v="4"/>
    <n v="286.82999999999993"/>
    <n v="544.98699999999997"/>
    <s v="Low"/>
  </r>
  <r>
    <s v="TXN_01042"/>
    <d v="2024-12-10T00:00:00"/>
    <x v="6"/>
    <s v="Tuesday"/>
    <s v="STORE_018"/>
    <x v="4"/>
    <x v="2"/>
    <x v="7"/>
    <n v="510.28"/>
    <n v="1"/>
    <n v="510.28"/>
    <n v="0"/>
    <n v="0"/>
    <n v="510.28"/>
    <s v="Credit Card"/>
    <s v="CUST_00379"/>
    <n v="3"/>
    <n v="0"/>
    <n v="510.28"/>
    <s v="No Discount"/>
  </r>
  <r>
    <s v="TXN_01043"/>
    <d v="2024-05-17T00:00:00"/>
    <x v="3"/>
    <s v="Friday"/>
    <s v="STORE_050"/>
    <x v="3"/>
    <x v="1"/>
    <x v="6"/>
    <n v="99.96"/>
    <n v="3"/>
    <n v="299.88"/>
    <n v="15"/>
    <n v="44.98"/>
    <n v="254.9"/>
    <s v="Credit Card"/>
    <s v="CUST_00845"/>
    <n v="3"/>
    <n v="44.97999999999999"/>
    <n v="84.966666666666669"/>
    <s v="Medium"/>
  </r>
  <r>
    <s v="TXN_01044"/>
    <d v="2024-10-22T00:00:00"/>
    <x v="7"/>
    <s v="Tuesday"/>
    <s v="STORE_029"/>
    <x v="0"/>
    <x v="5"/>
    <x v="11"/>
    <n v="3359.23"/>
    <n v="10"/>
    <n v="33592.300000000003"/>
    <n v="0"/>
    <n v="0"/>
    <n v="33592.300000000003"/>
    <s v="Wallet"/>
    <s v="CUST_00336"/>
    <n v="1"/>
    <n v="0"/>
    <n v="3359.2300000000005"/>
    <s v="No Discount"/>
  </r>
  <r>
    <s v="TXN_01045"/>
    <d v="2024-01-21T00:00:00"/>
    <x v="2"/>
    <s v="Sunday"/>
    <s v="STORE_050"/>
    <x v="2"/>
    <x v="2"/>
    <x v="7"/>
    <n v="471.72"/>
    <n v="5"/>
    <n v="2358.6"/>
    <n v="15"/>
    <n v="353.79"/>
    <n v="2004.81"/>
    <s v="Credit Card"/>
    <s v="CUST_00892"/>
    <n v="2"/>
    <n v="353.78999999999996"/>
    <n v="400.96199999999999"/>
    <s v="Medium"/>
  </r>
  <r>
    <s v="TXN_01046"/>
    <d v="2024-03-30T00:00:00"/>
    <x v="5"/>
    <s v="Saturday"/>
    <s v="STORE_021"/>
    <x v="3"/>
    <x v="4"/>
    <x v="35"/>
    <n v="557.29999999999995"/>
    <n v="8"/>
    <n v="4458.3999999999996"/>
    <n v="15"/>
    <n v="668.76"/>
    <n v="3789.64"/>
    <s v="Debit Card"/>
    <s v="CUST_00234"/>
    <n v="2"/>
    <n v="668.75999999999976"/>
    <n v="473.70499999999998"/>
    <s v="Medium"/>
  </r>
  <r>
    <s v="TXN_01047"/>
    <d v="2024-08-28T00:00:00"/>
    <x v="8"/>
    <s v="Wednesday"/>
    <s v="STORE_009"/>
    <x v="2"/>
    <x v="1"/>
    <x v="6"/>
    <n v="199.86"/>
    <n v="5"/>
    <n v="999.3"/>
    <n v="0"/>
    <n v="0"/>
    <n v="999.3"/>
    <s v="Wallet"/>
    <s v="CUST_00658"/>
    <n v="1"/>
    <n v="0"/>
    <n v="199.85999999999999"/>
    <s v="No Discount"/>
  </r>
  <r>
    <s v="TXN_01048"/>
    <d v="2024-09-22T00:00:00"/>
    <x v="9"/>
    <s v="Sunday"/>
    <s v="STORE_004"/>
    <x v="4"/>
    <x v="0"/>
    <x v="4"/>
    <n v="517.04999999999995"/>
    <n v="8"/>
    <n v="4136.3999999999996"/>
    <n v="20"/>
    <n v="827.28"/>
    <n v="3309.12"/>
    <s v="Credit Card"/>
    <s v="CUST_00383"/>
    <n v="5"/>
    <n v="827.27999999999975"/>
    <n v="413.64"/>
    <s v="High"/>
  </r>
  <r>
    <s v="TXN_01049"/>
    <d v="2024-11-29T00:00:00"/>
    <x v="0"/>
    <s v="Friday"/>
    <s v="STORE_032"/>
    <x v="1"/>
    <x v="6"/>
    <x v="26"/>
    <n v="1155.81"/>
    <n v="1"/>
    <n v="1155.81"/>
    <n v="10"/>
    <n v="115.58"/>
    <n v="1040.23"/>
    <s v="Cash"/>
    <s v="CUST_00589"/>
    <n v="5"/>
    <n v="115.57999999999993"/>
    <n v="1040.23"/>
    <s v="Medium"/>
  </r>
  <r>
    <s v="TXN_01050"/>
    <d v="2024-08-14T00:00:00"/>
    <x v="8"/>
    <s v="Wednesday"/>
    <s v="STORE_035"/>
    <x v="0"/>
    <x v="4"/>
    <x v="8"/>
    <n v="480.5"/>
    <n v="10"/>
    <n v="4805"/>
    <n v="0"/>
    <n v="0"/>
    <n v="4805"/>
    <s v="Wallet"/>
    <s v="CUST_00818"/>
    <n v="1"/>
    <n v="0"/>
    <n v="480.5"/>
    <s v="No Discount"/>
  </r>
  <r>
    <s v="TXN_01051"/>
    <d v="2024-05-22T00:00:00"/>
    <x v="3"/>
    <s v="Wednesday"/>
    <s v="STORE_050"/>
    <x v="3"/>
    <x v="7"/>
    <x v="23"/>
    <n v="1407"/>
    <n v="10"/>
    <n v="14070"/>
    <n v="15"/>
    <n v="2110.5"/>
    <n v="11959.5"/>
    <s v="Debit Card"/>
    <s v="CUST_00838"/>
    <n v="1"/>
    <n v="2110.5"/>
    <n v="1195.95"/>
    <s v="Medium"/>
  </r>
  <r>
    <s v="TXN_01052"/>
    <d v="2024-04-02T00:00:00"/>
    <x v="4"/>
    <s v="Tuesday"/>
    <s v="STORE_012"/>
    <x v="4"/>
    <x v="2"/>
    <x v="13"/>
    <n v="415.9"/>
    <n v="3"/>
    <n v="1247.7"/>
    <n v="15"/>
    <n v="187.16"/>
    <n v="1060.54"/>
    <s v="Cash"/>
    <s v="CUST_00348"/>
    <n v="1"/>
    <n v="187.16000000000008"/>
    <n v="353.51333333333332"/>
    <s v="Medium"/>
  </r>
  <r>
    <s v="TXN_01053"/>
    <d v="2024-10-26T00:00:00"/>
    <x v="7"/>
    <s v="Saturday"/>
    <s v="STORE_019"/>
    <x v="2"/>
    <x v="1"/>
    <x v="3"/>
    <n v="401.5"/>
    <n v="7"/>
    <n v="2810.5"/>
    <n v="0"/>
    <n v="0"/>
    <n v="2810.5"/>
    <s v="UPI"/>
    <s v="CUST_00639"/>
    <n v="5"/>
    <n v="0"/>
    <n v="401.5"/>
    <s v="No Discount"/>
  </r>
  <r>
    <s v="TXN_01054"/>
    <d v="2024-08-11T00:00:00"/>
    <x v="8"/>
    <s v="Sunday"/>
    <s v="STORE_015"/>
    <x v="4"/>
    <x v="0"/>
    <x v="18"/>
    <n v="206.83"/>
    <n v="6"/>
    <n v="1240.98"/>
    <n v="5"/>
    <n v="62.05"/>
    <n v="1178.93"/>
    <s v="Debit Card"/>
    <s v="CUST_00691"/>
    <n v="3"/>
    <n v="62.049999999999955"/>
    <n v="196.48833333333334"/>
    <s v="Low"/>
  </r>
  <r>
    <s v="TXN_01055"/>
    <d v="2024-11-21T00:00:00"/>
    <x v="0"/>
    <s v="Thursday"/>
    <s v="STORE_046"/>
    <x v="4"/>
    <x v="4"/>
    <x v="17"/>
    <n v="355.99"/>
    <n v="4"/>
    <n v="1423.96"/>
    <n v="20"/>
    <n v="284.79000000000002"/>
    <n v="1139.17"/>
    <s v="Wallet"/>
    <s v="CUST_00157"/>
    <n v="3"/>
    <n v="284.78999999999996"/>
    <n v="284.79250000000002"/>
    <s v="High"/>
  </r>
  <r>
    <s v="TXN_01056"/>
    <d v="2024-09-08T00:00:00"/>
    <x v="9"/>
    <s v="Sunday"/>
    <s v="STORE_039"/>
    <x v="2"/>
    <x v="3"/>
    <x v="12"/>
    <n v="777.2"/>
    <n v="3"/>
    <n v="2331.6"/>
    <n v="0"/>
    <n v="0"/>
    <n v="2331.6"/>
    <s v="Credit Card"/>
    <s v="CUST_00799"/>
    <n v="5"/>
    <n v="0"/>
    <n v="777.19999999999993"/>
    <s v="No Discount"/>
  </r>
  <r>
    <s v="TXN_01057"/>
    <d v="2024-02-16T00:00:00"/>
    <x v="1"/>
    <s v="Friday"/>
    <s v="STORE_043"/>
    <x v="0"/>
    <x v="5"/>
    <x v="10"/>
    <n v="2394.08"/>
    <n v="2"/>
    <n v="4788.16"/>
    <n v="0"/>
    <n v="0"/>
    <n v="4788.16"/>
    <s v="Cash"/>
    <s v="CUST_00207"/>
    <n v="2"/>
    <n v="0"/>
    <n v="2394.08"/>
    <s v="No Discount"/>
  </r>
  <r>
    <s v="TXN_01058"/>
    <d v="2024-08-28T00:00:00"/>
    <x v="8"/>
    <s v="Wednesday"/>
    <s v="STORE_002"/>
    <x v="0"/>
    <x v="2"/>
    <x v="29"/>
    <n v="397"/>
    <n v="5"/>
    <n v="1985"/>
    <n v="0"/>
    <n v="0"/>
    <n v="1985"/>
    <s v="Debit Card"/>
    <s v="CUST_00899"/>
    <n v="3"/>
    <n v="0"/>
    <n v="397"/>
    <s v="No Discount"/>
  </r>
  <r>
    <s v="TXN_01059"/>
    <d v="2024-06-27T00:00:00"/>
    <x v="10"/>
    <s v="Thursday"/>
    <s v="STORE_025"/>
    <x v="2"/>
    <x v="1"/>
    <x v="36"/>
    <n v="425.37"/>
    <n v="7"/>
    <n v="2977.59"/>
    <n v="0"/>
    <n v="0"/>
    <n v="2977.59"/>
    <s v="UPI"/>
    <s v="CUST_00458"/>
    <n v="2"/>
    <n v="0"/>
    <n v="425.37"/>
    <s v="No Discount"/>
  </r>
  <r>
    <s v="TXN_01060"/>
    <d v="2024-07-28T00:00:00"/>
    <x v="11"/>
    <s v="Sunday"/>
    <s v="STORE_012"/>
    <x v="4"/>
    <x v="1"/>
    <x v="1"/>
    <n v="139.38999999999999"/>
    <n v="7"/>
    <n v="975.73"/>
    <n v="10"/>
    <n v="97.57"/>
    <n v="878.16"/>
    <s v="Credit Card"/>
    <s v="CUST_00936"/>
    <n v="1"/>
    <n v="97.57000000000005"/>
    <n v="125.45142857142856"/>
    <s v="Medium"/>
  </r>
  <r>
    <s v="TXN_01061"/>
    <d v="2024-06-19T00:00:00"/>
    <x v="10"/>
    <s v="Wednesday"/>
    <s v="STORE_048"/>
    <x v="1"/>
    <x v="7"/>
    <x v="38"/>
    <n v="1207.93"/>
    <n v="2"/>
    <n v="2415.86"/>
    <n v="5"/>
    <n v="120.79"/>
    <n v="2295.0700000000002"/>
    <s v="Wallet"/>
    <s v="CUST_00426"/>
    <n v="3"/>
    <n v="120.78999999999996"/>
    <n v="1147.5350000000001"/>
    <s v="Low"/>
  </r>
  <r>
    <s v="TXN_01062"/>
    <d v="2024-06-13T00:00:00"/>
    <x v="10"/>
    <s v="Thursday"/>
    <s v="STORE_033"/>
    <x v="2"/>
    <x v="3"/>
    <x v="12"/>
    <n v="2958.43"/>
    <n v="9"/>
    <n v="26625.87"/>
    <n v="0"/>
    <n v="0"/>
    <n v="26625.87"/>
    <s v="UPI"/>
    <s v="CUST_00968"/>
    <n v="3"/>
    <n v="0"/>
    <n v="2958.43"/>
    <s v="No Discount"/>
  </r>
  <r>
    <s v="TXN_01063"/>
    <d v="2024-12-09T00:00:00"/>
    <x v="6"/>
    <s v="Monday"/>
    <s v="STORE_024"/>
    <x v="1"/>
    <x v="1"/>
    <x v="36"/>
    <n v="53.27"/>
    <n v="7"/>
    <n v="372.89"/>
    <n v="5"/>
    <n v="18.64"/>
    <n v="354.25"/>
    <s v="Credit Card"/>
    <s v="CUST_00857"/>
    <n v="3"/>
    <n v="18.639999999999986"/>
    <n v="50.607142857142854"/>
    <s v="Low"/>
  </r>
  <r>
    <s v="TXN_01064"/>
    <d v="2024-02-23T00:00:00"/>
    <x v="1"/>
    <s v="Friday"/>
    <s v="STORE_031"/>
    <x v="2"/>
    <x v="7"/>
    <x v="37"/>
    <n v="1435.13"/>
    <n v="5"/>
    <n v="7175.65"/>
    <n v="0"/>
    <n v="0"/>
    <n v="7175.65"/>
    <s v="Credit Card"/>
    <s v="CUST_00975"/>
    <n v="4"/>
    <n v="0"/>
    <n v="1435.1299999999999"/>
    <s v="No Discount"/>
  </r>
  <r>
    <s v="TXN_01065"/>
    <d v="2024-03-23T00:00:00"/>
    <x v="5"/>
    <s v="Saturday"/>
    <s v="STORE_009"/>
    <x v="4"/>
    <x v="2"/>
    <x v="39"/>
    <n v="131.76"/>
    <n v="4"/>
    <n v="527.04"/>
    <n v="0"/>
    <n v="0"/>
    <n v="527.04"/>
    <s v="Wallet"/>
    <s v="CUST_00160"/>
    <n v="1"/>
    <n v="0"/>
    <n v="131.76"/>
    <s v="No Discount"/>
  </r>
  <r>
    <s v="TXN_01066"/>
    <d v="2024-06-17T00:00:00"/>
    <x v="10"/>
    <s v="Monday"/>
    <s v="STORE_024"/>
    <x v="4"/>
    <x v="5"/>
    <x v="9"/>
    <n v="4049.15"/>
    <n v="1"/>
    <n v="4049.15"/>
    <n v="10"/>
    <n v="404.92"/>
    <n v="3644.23"/>
    <s v="Debit Card"/>
    <s v="CUST_00425"/>
    <n v="3"/>
    <n v="404.92000000000007"/>
    <n v="3644.23"/>
    <s v="Medium"/>
  </r>
  <r>
    <s v="TXN_01067"/>
    <d v="2024-07-29T00:00:00"/>
    <x v="11"/>
    <s v="Monday"/>
    <s v="STORE_008"/>
    <x v="0"/>
    <x v="5"/>
    <x v="9"/>
    <n v="1689.68"/>
    <n v="9"/>
    <n v="15207.12"/>
    <n v="0"/>
    <n v="0"/>
    <n v="15207.12"/>
    <s v="Debit Card"/>
    <s v="CUST_00031"/>
    <n v="3"/>
    <n v="0"/>
    <n v="1689.68"/>
    <s v="No Discount"/>
  </r>
  <r>
    <s v="TXN_01068"/>
    <d v="2024-12-21T00:00:00"/>
    <x v="6"/>
    <s v="Saturday"/>
    <s v="STORE_021"/>
    <x v="2"/>
    <x v="1"/>
    <x v="31"/>
    <n v="187.73"/>
    <n v="6"/>
    <n v="1126.3800000000001"/>
    <n v="20"/>
    <n v="225.28"/>
    <n v="901.1"/>
    <s v="Cash"/>
    <s v="CUST_00803"/>
    <n v="5"/>
    <n v="225.28000000000009"/>
    <n v="150.18333333333334"/>
    <s v="High"/>
  </r>
  <r>
    <s v="TXN_01069"/>
    <d v="2024-09-10T00:00:00"/>
    <x v="9"/>
    <s v="Tuesday"/>
    <s v="STORE_003"/>
    <x v="4"/>
    <x v="6"/>
    <x v="15"/>
    <n v="542.75"/>
    <n v="8"/>
    <n v="4342"/>
    <n v="0"/>
    <n v="0"/>
    <n v="4342"/>
    <s v="Debit Card"/>
    <s v="CUST_00387"/>
    <n v="4"/>
    <n v="0"/>
    <n v="542.75"/>
    <s v="No Discount"/>
  </r>
  <r>
    <s v="TXN_01070"/>
    <d v="2024-05-27T00:00:00"/>
    <x v="3"/>
    <s v="Monday"/>
    <s v="STORE_005"/>
    <x v="2"/>
    <x v="5"/>
    <x v="11"/>
    <n v="1400.46"/>
    <n v="6"/>
    <n v="8402.76"/>
    <n v="0"/>
    <n v="0"/>
    <n v="8402.76"/>
    <s v="Credit Card"/>
    <s v="CUST_00992"/>
    <n v="4"/>
    <n v="0"/>
    <n v="1400.46"/>
    <s v="No Discount"/>
  </r>
  <r>
    <s v="TXN_01071"/>
    <d v="2024-12-05T00:00:00"/>
    <x v="6"/>
    <s v="Thursday"/>
    <s v="STORE_041"/>
    <x v="2"/>
    <x v="1"/>
    <x v="1"/>
    <n v="492.52"/>
    <n v="9"/>
    <n v="4432.68"/>
    <n v="5"/>
    <n v="221.63"/>
    <n v="4211.05"/>
    <s v="Debit Card"/>
    <s v="CUST_00319"/>
    <n v="5"/>
    <n v="221.63000000000011"/>
    <n v="467.89444444444445"/>
    <s v="Low"/>
  </r>
  <r>
    <s v="TXN_01072"/>
    <d v="2024-07-24T00:00:00"/>
    <x v="11"/>
    <s v="Wednesday"/>
    <s v="STORE_024"/>
    <x v="4"/>
    <x v="1"/>
    <x v="1"/>
    <n v="454.8"/>
    <n v="5"/>
    <n v="2274"/>
    <n v="0"/>
    <n v="0"/>
    <n v="2274"/>
    <s v="Cash"/>
    <s v="CUST_00685"/>
    <n v="5"/>
    <n v="0"/>
    <n v="454.8"/>
    <s v="No Discount"/>
  </r>
  <r>
    <s v="TXN_01073"/>
    <d v="2024-10-08T00:00:00"/>
    <x v="7"/>
    <s v="Tuesday"/>
    <s v="STORE_033"/>
    <x v="0"/>
    <x v="7"/>
    <x v="37"/>
    <n v="891.36"/>
    <n v="10"/>
    <n v="8913.6"/>
    <n v="0"/>
    <n v="0"/>
    <n v="8913.6"/>
    <s v="Debit Card"/>
    <s v="CUST_00825"/>
    <n v="2"/>
    <n v="0"/>
    <n v="891.36"/>
    <s v="No Discount"/>
  </r>
  <r>
    <s v="TXN_01074"/>
    <d v="2024-01-19T00:00:00"/>
    <x v="2"/>
    <s v="Friday"/>
    <s v="STORE_040"/>
    <x v="2"/>
    <x v="5"/>
    <x v="11"/>
    <n v="3636.84"/>
    <n v="2"/>
    <n v="7273.68"/>
    <n v="15"/>
    <n v="1091.05"/>
    <n v="6182.63"/>
    <s v="UPI"/>
    <s v="CUST_00256"/>
    <n v="3"/>
    <n v="1091.0500000000002"/>
    <n v="3091.3150000000001"/>
    <s v="Medium"/>
  </r>
  <r>
    <s v="TXN_01075"/>
    <d v="2024-08-20T00:00:00"/>
    <x v="8"/>
    <s v="Tuesday"/>
    <s v="STORE_034"/>
    <x v="4"/>
    <x v="3"/>
    <x v="22"/>
    <n v="716.95"/>
    <n v="5"/>
    <n v="3584.75"/>
    <n v="0"/>
    <n v="0"/>
    <n v="3584.75"/>
    <s v="UPI"/>
    <s v="CUST_00592"/>
    <n v="5"/>
    <n v="0"/>
    <n v="716.95"/>
    <s v="No Discount"/>
  </r>
  <r>
    <s v="TXN_01076"/>
    <d v="2024-02-15T00:00:00"/>
    <x v="1"/>
    <s v="Thursday"/>
    <s v="STORE_048"/>
    <x v="2"/>
    <x v="2"/>
    <x v="29"/>
    <n v="329.56"/>
    <n v="6"/>
    <n v="1977.36"/>
    <n v="15"/>
    <n v="296.60000000000002"/>
    <n v="1680.76"/>
    <s v="Debit Card"/>
    <s v="CUST_00766"/>
    <n v="5"/>
    <n v="296.59999999999991"/>
    <n v="280.12666666666667"/>
    <s v="Medium"/>
  </r>
  <r>
    <s v="TXN_01077"/>
    <d v="2024-06-10T00:00:00"/>
    <x v="10"/>
    <s v="Monday"/>
    <s v="STORE_016"/>
    <x v="0"/>
    <x v="0"/>
    <x v="18"/>
    <n v="835.36"/>
    <n v="3"/>
    <n v="2506.08"/>
    <n v="0"/>
    <n v="0"/>
    <n v="2506.08"/>
    <s v="Debit Card"/>
    <s v="CUST_00407"/>
    <n v="1"/>
    <n v="0"/>
    <n v="835.36"/>
    <s v="No Discount"/>
  </r>
  <r>
    <s v="TXN_01078"/>
    <d v="2024-05-09T00:00:00"/>
    <x v="3"/>
    <s v="Thursday"/>
    <s v="STORE_041"/>
    <x v="4"/>
    <x v="4"/>
    <x v="8"/>
    <n v="407.44"/>
    <n v="8"/>
    <n v="3259.52"/>
    <n v="20"/>
    <n v="651.9"/>
    <n v="2607.62"/>
    <s v="Cash"/>
    <s v="CUST_00416"/>
    <n v="2"/>
    <n v="651.90000000000009"/>
    <n v="325.95249999999999"/>
    <s v="High"/>
  </r>
  <r>
    <s v="TXN_01079"/>
    <d v="2024-06-14T00:00:00"/>
    <x v="10"/>
    <s v="Friday"/>
    <s v="STORE_048"/>
    <x v="1"/>
    <x v="1"/>
    <x v="31"/>
    <n v="253.94"/>
    <n v="5"/>
    <n v="1269.7"/>
    <n v="10"/>
    <n v="126.97"/>
    <n v="1142.73"/>
    <s v="UPI"/>
    <s v="CUST_00672"/>
    <n v="1"/>
    <n v="126.97000000000003"/>
    <n v="228.54599999999999"/>
    <s v="Medium"/>
  </r>
  <r>
    <s v="TXN_01080"/>
    <d v="2024-02-29T00:00:00"/>
    <x v="1"/>
    <s v="Thursday"/>
    <s v="STORE_050"/>
    <x v="4"/>
    <x v="4"/>
    <x v="35"/>
    <n v="598.51"/>
    <n v="3"/>
    <n v="1795.53"/>
    <n v="0"/>
    <n v="0"/>
    <n v="1795.53"/>
    <s v="Cash"/>
    <s v="CUST_00468"/>
    <n v="4"/>
    <n v="0"/>
    <n v="598.51"/>
    <s v="No Discount"/>
  </r>
  <r>
    <s v="TXN_01081"/>
    <d v="2024-07-25T00:00:00"/>
    <x v="11"/>
    <s v="Thursday"/>
    <s v="STORE_042"/>
    <x v="2"/>
    <x v="7"/>
    <x v="24"/>
    <n v="1215.92"/>
    <n v="5"/>
    <n v="6079.6"/>
    <n v="0"/>
    <n v="0"/>
    <n v="6079.6"/>
    <s v="Cash"/>
    <s v="CUST_00988"/>
    <n v="4"/>
    <n v="0"/>
    <n v="1215.92"/>
    <s v="No Discount"/>
  </r>
  <r>
    <s v="TXN_01082"/>
    <d v="2024-09-20T00:00:00"/>
    <x v="9"/>
    <s v="Friday"/>
    <s v="STORE_036"/>
    <x v="1"/>
    <x v="5"/>
    <x v="34"/>
    <n v="1908.5"/>
    <n v="8"/>
    <n v="15268"/>
    <n v="20"/>
    <n v="3053.6"/>
    <n v="12214.4"/>
    <s v="Credit Card"/>
    <s v="CUST_00130"/>
    <n v="1"/>
    <n v="3053.6000000000004"/>
    <n v="1526.8"/>
    <s v="High"/>
  </r>
  <r>
    <s v="TXN_01083"/>
    <d v="2024-01-01T00:00:00"/>
    <x v="2"/>
    <s v="Monday"/>
    <s v="STORE_026"/>
    <x v="4"/>
    <x v="4"/>
    <x v="35"/>
    <n v="353.65"/>
    <n v="9"/>
    <n v="3182.85"/>
    <n v="0"/>
    <n v="0"/>
    <n v="3182.85"/>
    <s v="Wallet"/>
    <s v="CUST_00200"/>
    <n v="2"/>
    <n v="0"/>
    <n v="353.65"/>
    <s v="No Discount"/>
  </r>
  <r>
    <s v="TXN_01084"/>
    <d v="2024-12-02T00:00:00"/>
    <x v="6"/>
    <s v="Monday"/>
    <s v="STORE_039"/>
    <x v="0"/>
    <x v="5"/>
    <x v="11"/>
    <n v="4103.6499999999996"/>
    <n v="4"/>
    <n v="16414.599999999999"/>
    <n v="15"/>
    <n v="2462.19"/>
    <n v="13952.41"/>
    <s v="Cash"/>
    <s v="CUST_00577"/>
    <n v="5"/>
    <n v="2462.1899999999987"/>
    <n v="3488.1025"/>
    <s v="Medium"/>
  </r>
  <r>
    <s v="TXN_01085"/>
    <d v="2024-10-04T00:00:00"/>
    <x v="7"/>
    <s v="Friday"/>
    <s v="STORE_024"/>
    <x v="0"/>
    <x v="6"/>
    <x v="26"/>
    <n v="1043.98"/>
    <n v="4"/>
    <n v="4175.92"/>
    <n v="15"/>
    <n v="626.39"/>
    <n v="3549.53"/>
    <s v="Wallet"/>
    <s v="CUST_00103"/>
    <n v="2"/>
    <n v="626.38999999999987"/>
    <n v="887.38250000000005"/>
    <s v="Medium"/>
  </r>
  <r>
    <s v="TXN_01086"/>
    <d v="2024-08-24T00:00:00"/>
    <x v="8"/>
    <s v="Saturday"/>
    <s v="STORE_013"/>
    <x v="1"/>
    <x v="5"/>
    <x v="10"/>
    <n v="1905.03"/>
    <n v="3"/>
    <n v="5715.09"/>
    <n v="10"/>
    <n v="571.51"/>
    <n v="5143.58"/>
    <s v="Wallet"/>
    <s v="CUST_00051"/>
    <n v="4"/>
    <n v="571.51000000000022"/>
    <n v="1714.5266666666666"/>
    <s v="Medium"/>
  </r>
  <r>
    <s v="TXN_01087"/>
    <d v="2024-07-30T00:00:00"/>
    <x v="11"/>
    <s v="Tuesday"/>
    <s v="STORE_021"/>
    <x v="0"/>
    <x v="0"/>
    <x v="32"/>
    <n v="511.82"/>
    <n v="9"/>
    <n v="4606.38"/>
    <n v="5"/>
    <n v="230.32"/>
    <n v="4376.0600000000004"/>
    <s v="UPI"/>
    <s v="CUST_00739"/>
    <n v="4"/>
    <n v="230.31999999999971"/>
    <n v="486.22888888888895"/>
    <s v="Low"/>
  </r>
  <r>
    <s v="TXN_01088"/>
    <d v="2024-01-28T00:00:00"/>
    <x v="2"/>
    <s v="Sunday"/>
    <s v="STORE_047"/>
    <x v="4"/>
    <x v="2"/>
    <x v="2"/>
    <n v="152.41"/>
    <n v="9"/>
    <n v="1371.69"/>
    <n v="15"/>
    <n v="205.75"/>
    <n v="1165.94"/>
    <s v="Cash"/>
    <s v="CUST_00609"/>
    <n v="2"/>
    <n v="205.75"/>
    <n v="129.54888888888888"/>
    <s v="Medium"/>
  </r>
  <r>
    <s v="TXN_01089"/>
    <d v="2024-04-06T00:00:00"/>
    <x v="4"/>
    <s v="Saturday"/>
    <s v="STORE_049"/>
    <x v="0"/>
    <x v="7"/>
    <x v="28"/>
    <n v="1206.2"/>
    <n v="3"/>
    <n v="3618.6"/>
    <n v="0"/>
    <n v="0"/>
    <n v="3618.6"/>
    <s v="UPI"/>
    <s v="CUST_00401"/>
    <n v="2"/>
    <n v="0"/>
    <n v="1206.2"/>
    <s v="No Discount"/>
  </r>
  <r>
    <s v="TXN_01090"/>
    <d v="2024-09-22T00:00:00"/>
    <x v="9"/>
    <s v="Sunday"/>
    <s v="STORE_015"/>
    <x v="1"/>
    <x v="5"/>
    <x v="9"/>
    <n v="2564"/>
    <n v="4"/>
    <n v="10256"/>
    <n v="0"/>
    <n v="0"/>
    <n v="10256"/>
    <s v="Cash"/>
    <s v="CUST_00144"/>
    <n v="1"/>
    <n v="0"/>
    <n v="2564"/>
    <s v="No Discount"/>
  </r>
  <r>
    <s v="TXN_01091"/>
    <d v="2024-07-04T00:00:00"/>
    <x v="11"/>
    <s v="Thursday"/>
    <s v="STORE_029"/>
    <x v="0"/>
    <x v="0"/>
    <x v="18"/>
    <n v="780.78"/>
    <n v="10"/>
    <n v="7807.8"/>
    <n v="15"/>
    <n v="1171.17"/>
    <n v="6636.63"/>
    <s v="Debit Card"/>
    <s v="CUST_00689"/>
    <n v="2"/>
    <n v="1171.17"/>
    <n v="663.66300000000001"/>
    <s v="Medium"/>
  </r>
  <r>
    <s v="TXN_01092"/>
    <d v="2024-11-14T00:00:00"/>
    <x v="0"/>
    <s v="Thursday"/>
    <s v="STORE_007"/>
    <x v="4"/>
    <x v="2"/>
    <x v="39"/>
    <n v="107.54"/>
    <n v="2"/>
    <n v="215.08"/>
    <n v="10"/>
    <n v="21.51"/>
    <n v="193.57"/>
    <s v="Cash"/>
    <s v="CUST_00483"/>
    <n v="5"/>
    <n v="21.510000000000019"/>
    <n v="96.784999999999997"/>
    <s v="Medium"/>
  </r>
  <r>
    <s v="TXN_01093"/>
    <d v="2024-09-12T00:00:00"/>
    <x v="9"/>
    <s v="Thursday"/>
    <s v="STORE_010"/>
    <x v="2"/>
    <x v="3"/>
    <x v="5"/>
    <n v="1036.7"/>
    <n v="2"/>
    <n v="2073.4"/>
    <n v="10"/>
    <n v="207.34"/>
    <n v="1866.06"/>
    <s v="Wallet"/>
    <s v="CUST_00902"/>
    <n v="4"/>
    <n v="207.34000000000015"/>
    <n v="933.03"/>
    <s v="Medium"/>
  </r>
  <r>
    <s v="TXN_01094"/>
    <d v="2024-11-16T00:00:00"/>
    <x v="0"/>
    <s v="Saturday"/>
    <s v="STORE_041"/>
    <x v="3"/>
    <x v="4"/>
    <x v="35"/>
    <n v="577.27"/>
    <n v="1"/>
    <n v="577.27"/>
    <n v="5"/>
    <n v="28.86"/>
    <n v="548.41"/>
    <s v="Cash"/>
    <s v="CUST_00437"/>
    <n v="1"/>
    <n v="28.860000000000014"/>
    <n v="548.41"/>
    <s v="Low"/>
  </r>
  <r>
    <s v="TXN_01095"/>
    <d v="2024-08-14T00:00:00"/>
    <x v="8"/>
    <s v="Wednesday"/>
    <s v="STORE_047"/>
    <x v="4"/>
    <x v="5"/>
    <x v="9"/>
    <n v="4033.84"/>
    <n v="4"/>
    <n v="16135.36"/>
    <n v="10"/>
    <n v="1613.54"/>
    <n v="14521.82"/>
    <s v="Credit Card"/>
    <s v="CUST_00983"/>
    <n v="1"/>
    <n v="1613.5400000000009"/>
    <n v="3630.4549999999999"/>
    <s v="Medium"/>
  </r>
  <r>
    <s v="TXN_01096"/>
    <d v="2024-01-27T00:00:00"/>
    <x v="2"/>
    <s v="Saturday"/>
    <s v="STORE_004"/>
    <x v="2"/>
    <x v="4"/>
    <x v="20"/>
    <n v="541.21"/>
    <n v="8"/>
    <n v="4329.68"/>
    <n v="20"/>
    <n v="865.94"/>
    <n v="3463.74"/>
    <s v="UPI"/>
    <s v="CUST_00886"/>
    <n v="4"/>
    <n v="865.94000000000051"/>
    <n v="432.96749999999997"/>
    <s v="High"/>
  </r>
  <r>
    <s v="TXN_01097"/>
    <d v="2024-04-14T00:00:00"/>
    <x v="4"/>
    <s v="Sunday"/>
    <s v="STORE_023"/>
    <x v="2"/>
    <x v="2"/>
    <x v="39"/>
    <n v="733.31"/>
    <n v="9"/>
    <n v="6599.79"/>
    <n v="0"/>
    <n v="0"/>
    <n v="6599.79"/>
    <s v="UPI"/>
    <s v="CUST_00014"/>
    <n v="3"/>
    <n v="0"/>
    <n v="733.31"/>
    <s v="No Discount"/>
  </r>
  <r>
    <s v="TXN_01098"/>
    <d v="2024-05-16T00:00:00"/>
    <x v="3"/>
    <s v="Thursday"/>
    <s v="STORE_043"/>
    <x v="1"/>
    <x v="7"/>
    <x v="37"/>
    <n v="591.29"/>
    <n v="8"/>
    <n v="4730.32"/>
    <n v="0"/>
    <n v="0"/>
    <n v="4730.32"/>
    <s v="Wallet"/>
    <s v="CUST_00107"/>
    <n v="4"/>
    <n v="0"/>
    <n v="591.29"/>
    <s v="No Discount"/>
  </r>
  <r>
    <s v="TXN_01099"/>
    <d v="2024-10-08T00:00:00"/>
    <x v="7"/>
    <s v="Tuesday"/>
    <s v="STORE_043"/>
    <x v="3"/>
    <x v="1"/>
    <x v="3"/>
    <n v="322.99"/>
    <n v="10"/>
    <n v="3229.9"/>
    <n v="5"/>
    <n v="161.5"/>
    <n v="3068.4"/>
    <s v="Wallet"/>
    <s v="CUST_00044"/>
    <n v="5"/>
    <n v="161.5"/>
    <n v="306.84000000000003"/>
    <s v="Low"/>
  </r>
  <r>
    <s v="TXN_01100"/>
    <d v="2024-03-08T00:00:00"/>
    <x v="5"/>
    <s v="Friday"/>
    <s v="STORE_049"/>
    <x v="0"/>
    <x v="7"/>
    <x v="23"/>
    <n v="1305.8499999999999"/>
    <n v="2"/>
    <n v="2611.6999999999998"/>
    <n v="10"/>
    <n v="261.17"/>
    <n v="2350.5300000000002"/>
    <s v="Credit Card"/>
    <s v="CUST_00370"/>
    <n v="1"/>
    <n v="261.16999999999962"/>
    <n v="1175.2650000000001"/>
    <s v="Medium"/>
  </r>
  <r>
    <s v="TXN_01101"/>
    <d v="2024-05-27T00:00:00"/>
    <x v="3"/>
    <s v="Monday"/>
    <s v="STORE_037"/>
    <x v="4"/>
    <x v="0"/>
    <x v="4"/>
    <n v="774.63"/>
    <n v="1"/>
    <n v="774.63"/>
    <n v="0"/>
    <n v="0"/>
    <n v="774.63"/>
    <s v="UPI"/>
    <s v="CUST_00039"/>
    <n v="4"/>
    <n v="0"/>
    <n v="774.63"/>
    <s v="No Discount"/>
  </r>
  <r>
    <s v="TXN_01102"/>
    <d v="2024-08-12T00:00:00"/>
    <x v="8"/>
    <s v="Monday"/>
    <s v="STORE_002"/>
    <x v="1"/>
    <x v="0"/>
    <x v="4"/>
    <n v="735.25"/>
    <n v="1"/>
    <n v="735.25"/>
    <n v="0"/>
    <n v="0"/>
    <n v="735.25"/>
    <s v="Wallet"/>
    <s v="CUST_00102"/>
    <n v="2"/>
    <n v="0"/>
    <n v="735.25"/>
    <s v="No Discount"/>
  </r>
  <r>
    <s v="TXN_01103"/>
    <d v="2024-12-23T00:00:00"/>
    <x v="6"/>
    <s v="Monday"/>
    <s v="STORE_044"/>
    <x v="1"/>
    <x v="2"/>
    <x v="13"/>
    <n v="661.33"/>
    <n v="8"/>
    <n v="5290.64"/>
    <n v="20"/>
    <n v="1058.1300000000001"/>
    <n v="4232.51"/>
    <s v="Cash"/>
    <s v="CUST_00361"/>
    <n v="3"/>
    <n v="1058.1300000000001"/>
    <n v="529.06375000000003"/>
    <s v="High"/>
  </r>
  <r>
    <s v="TXN_01104"/>
    <d v="2024-09-05T00:00:00"/>
    <x v="9"/>
    <s v="Thursday"/>
    <s v="STORE_050"/>
    <x v="0"/>
    <x v="3"/>
    <x v="22"/>
    <n v="1448.82"/>
    <n v="1"/>
    <n v="1448.82"/>
    <n v="0"/>
    <n v="0"/>
    <n v="1448.82"/>
    <s v="UPI"/>
    <s v="CUST_00215"/>
    <n v="3"/>
    <n v="0"/>
    <n v="1448.82"/>
    <s v="No Discount"/>
  </r>
  <r>
    <s v="TXN_01105"/>
    <d v="2024-03-03T00:00:00"/>
    <x v="5"/>
    <s v="Sunday"/>
    <s v="STORE_022"/>
    <x v="1"/>
    <x v="4"/>
    <x v="19"/>
    <n v="488.99"/>
    <n v="3"/>
    <n v="1466.97"/>
    <n v="20"/>
    <n v="293.39"/>
    <n v="1173.58"/>
    <s v="UPI"/>
    <s v="CUST_00632"/>
    <n v="1"/>
    <n v="293.3900000000001"/>
    <n v="391.19333333333333"/>
    <s v="High"/>
  </r>
  <r>
    <s v="TXN_01106"/>
    <d v="2024-01-15T00:00:00"/>
    <x v="2"/>
    <s v="Monday"/>
    <s v="STORE_021"/>
    <x v="4"/>
    <x v="3"/>
    <x v="22"/>
    <n v="2520.31"/>
    <n v="2"/>
    <n v="5040.62"/>
    <n v="15"/>
    <n v="756.09"/>
    <n v="4284.53"/>
    <s v="Credit Card"/>
    <s v="CUST_00510"/>
    <n v="4"/>
    <n v="756.09000000000015"/>
    <n v="2142.2649999999999"/>
    <s v="Medium"/>
  </r>
  <r>
    <s v="TXN_01107"/>
    <d v="2024-11-18T00:00:00"/>
    <x v="0"/>
    <s v="Monday"/>
    <s v="STORE_024"/>
    <x v="0"/>
    <x v="5"/>
    <x v="9"/>
    <n v="1808.6"/>
    <n v="8"/>
    <n v="14468.8"/>
    <n v="0"/>
    <n v="0"/>
    <n v="14468.8"/>
    <s v="Cash"/>
    <s v="CUST_00983"/>
    <n v="4"/>
    <n v="0"/>
    <n v="1808.6"/>
    <s v="No Discount"/>
  </r>
  <r>
    <s v="TXN_01108"/>
    <d v="2024-11-07T00:00:00"/>
    <x v="0"/>
    <s v="Thursday"/>
    <s v="STORE_045"/>
    <x v="4"/>
    <x v="5"/>
    <x v="25"/>
    <n v="1063.71"/>
    <n v="4"/>
    <n v="4254.84"/>
    <n v="10"/>
    <n v="425.48"/>
    <n v="3829.36"/>
    <s v="Cash"/>
    <s v="CUST_00304"/>
    <n v="5"/>
    <n v="425.48"/>
    <n v="957.34"/>
    <s v="Medium"/>
  </r>
  <r>
    <s v="TXN_01109"/>
    <d v="2024-05-02T00:00:00"/>
    <x v="3"/>
    <s v="Thursday"/>
    <s v="STORE_046"/>
    <x v="4"/>
    <x v="5"/>
    <x v="9"/>
    <n v="3473.88"/>
    <n v="2"/>
    <n v="6947.76"/>
    <n v="0"/>
    <n v="0"/>
    <n v="6947.76"/>
    <s v="Credit Card"/>
    <s v="CUST_00937"/>
    <n v="1"/>
    <n v="0"/>
    <n v="3473.88"/>
    <s v="No Discount"/>
  </r>
  <r>
    <s v="TXN_01110"/>
    <d v="2024-12-29T00:00:00"/>
    <x v="6"/>
    <s v="Sunday"/>
    <s v="STORE_009"/>
    <x v="3"/>
    <x v="0"/>
    <x v="32"/>
    <n v="316.61"/>
    <n v="6"/>
    <n v="1899.66"/>
    <n v="10"/>
    <n v="189.97"/>
    <n v="1709.69"/>
    <s v="Cash"/>
    <s v="CUST_00107"/>
    <n v="4"/>
    <n v="189.97000000000003"/>
    <n v="284.94833333333332"/>
    <s v="Medium"/>
  </r>
  <r>
    <s v="TXN_01111"/>
    <d v="2024-03-22T00:00:00"/>
    <x v="5"/>
    <s v="Friday"/>
    <s v="STORE_003"/>
    <x v="0"/>
    <x v="2"/>
    <x v="7"/>
    <n v="499.07"/>
    <n v="2"/>
    <n v="998.14"/>
    <n v="0"/>
    <n v="0"/>
    <n v="998.14"/>
    <s v="Debit Card"/>
    <s v="CUST_00562"/>
    <n v="4"/>
    <n v="0"/>
    <n v="499.07"/>
    <s v="No Discount"/>
  </r>
  <r>
    <s v="TXN_01112"/>
    <d v="2024-06-08T00:00:00"/>
    <x v="10"/>
    <s v="Saturday"/>
    <s v="STORE_015"/>
    <x v="3"/>
    <x v="5"/>
    <x v="25"/>
    <n v="1105.44"/>
    <n v="4"/>
    <n v="4421.76"/>
    <n v="20"/>
    <n v="884.35"/>
    <n v="3537.41"/>
    <s v="Debit Card"/>
    <s v="CUST_00664"/>
    <n v="2"/>
    <n v="884.35000000000036"/>
    <n v="884.35249999999996"/>
    <s v="High"/>
  </r>
  <r>
    <s v="TXN_01113"/>
    <d v="2024-10-09T00:00:00"/>
    <x v="7"/>
    <s v="Wednesday"/>
    <s v="STORE_029"/>
    <x v="3"/>
    <x v="3"/>
    <x v="12"/>
    <n v="234.77"/>
    <n v="4"/>
    <n v="939.08"/>
    <n v="0"/>
    <n v="0"/>
    <n v="939.08"/>
    <s v="Wallet"/>
    <s v="CUST_00570"/>
    <n v="4"/>
    <n v="0"/>
    <n v="234.77"/>
    <s v="No Discount"/>
  </r>
  <r>
    <s v="TXN_01114"/>
    <d v="2024-01-08T00:00:00"/>
    <x v="2"/>
    <s v="Monday"/>
    <s v="STORE_025"/>
    <x v="1"/>
    <x v="3"/>
    <x v="5"/>
    <n v="720.96"/>
    <n v="9"/>
    <n v="6488.64"/>
    <n v="10"/>
    <n v="648.86"/>
    <n v="5839.78"/>
    <s v="UPI"/>
    <s v="CUST_00724"/>
    <n v="5"/>
    <n v="648.86000000000058"/>
    <n v="648.86444444444442"/>
    <s v="Medium"/>
  </r>
  <r>
    <s v="TXN_01115"/>
    <d v="2024-10-09T00:00:00"/>
    <x v="7"/>
    <s v="Wednesday"/>
    <s v="STORE_023"/>
    <x v="2"/>
    <x v="4"/>
    <x v="35"/>
    <n v="344.09"/>
    <n v="6"/>
    <n v="2064.54"/>
    <n v="0"/>
    <n v="0"/>
    <n v="2064.54"/>
    <s v="Cash"/>
    <s v="CUST_00982"/>
    <n v="5"/>
    <n v="0"/>
    <n v="344.09"/>
    <s v="No Discount"/>
  </r>
  <r>
    <s v="TXN_01116"/>
    <d v="2024-07-27T00:00:00"/>
    <x v="11"/>
    <s v="Saturday"/>
    <s v="STORE_009"/>
    <x v="2"/>
    <x v="5"/>
    <x v="25"/>
    <n v="4439.78"/>
    <n v="4"/>
    <n v="17759.12"/>
    <n v="20"/>
    <n v="3551.82"/>
    <n v="14207.3"/>
    <s v="Wallet"/>
    <s v="CUST_00940"/>
    <n v="5"/>
    <n v="3551.8199999999997"/>
    <n v="3551.8249999999998"/>
    <s v="High"/>
  </r>
  <r>
    <s v="TXN_01117"/>
    <d v="2024-02-17T00:00:00"/>
    <x v="1"/>
    <s v="Saturday"/>
    <s v="STORE_015"/>
    <x v="3"/>
    <x v="1"/>
    <x v="3"/>
    <n v="191.07"/>
    <n v="10"/>
    <n v="1910.7"/>
    <n v="0"/>
    <n v="0"/>
    <n v="1910.7"/>
    <s v="Cash"/>
    <s v="CUST_00276"/>
    <n v="5"/>
    <n v="0"/>
    <n v="191.07"/>
    <s v="No Discount"/>
  </r>
  <r>
    <s v="TXN_01118"/>
    <d v="2024-04-25T00:00:00"/>
    <x v="4"/>
    <s v="Thursday"/>
    <s v="STORE_011"/>
    <x v="2"/>
    <x v="6"/>
    <x v="33"/>
    <n v="1428.21"/>
    <n v="8"/>
    <n v="11425.68"/>
    <n v="10"/>
    <n v="1142.57"/>
    <n v="10283.11"/>
    <s v="UPI"/>
    <s v="CUST_00574"/>
    <n v="1"/>
    <n v="1142.5699999999997"/>
    <n v="1285.3887500000001"/>
    <s v="Medium"/>
  </r>
  <r>
    <s v="TXN_01119"/>
    <d v="2024-02-28T00:00:00"/>
    <x v="1"/>
    <s v="Wednesday"/>
    <s v="STORE_044"/>
    <x v="1"/>
    <x v="1"/>
    <x v="3"/>
    <n v="342.62"/>
    <n v="6"/>
    <n v="2055.7199999999998"/>
    <n v="5"/>
    <n v="102.79"/>
    <n v="1952.93"/>
    <s v="Debit Card"/>
    <s v="CUST_00067"/>
    <n v="1"/>
    <n v="102.78999999999974"/>
    <n v="325.48833333333334"/>
    <s v="Low"/>
  </r>
  <r>
    <s v="TXN_01120"/>
    <d v="2024-08-24T00:00:00"/>
    <x v="8"/>
    <s v="Saturday"/>
    <s v="STORE_028"/>
    <x v="0"/>
    <x v="2"/>
    <x v="7"/>
    <n v="276.41000000000003"/>
    <n v="1"/>
    <n v="276.41000000000003"/>
    <n v="15"/>
    <n v="41.46"/>
    <n v="234.95"/>
    <s v="Wallet"/>
    <s v="CUST_00406"/>
    <n v="4"/>
    <n v="41.460000000000036"/>
    <n v="234.95"/>
    <s v="Medium"/>
  </r>
  <r>
    <s v="TXN_01121"/>
    <d v="2024-03-01T00:00:00"/>
    <x v="5"/>
    <s v="Friday"/>
    <s v="STORE_033"/>
    <x v="3"/>
    <x v="3"/>
    <x v="5"/>
    <n v="1067.51"/>
    <n v="5"/>
    <n v="5337.55"/>
    <n v="0"/>
    <n v="0"/>
    <n v="5337.55"/>
    <s v="Debit Card"/>
    <s v="CUST_00148"/>
    <n v="5"/>
    <n v="0"/>
    <n v="1067.51"/>
    <s v="No Discount"/>
  </r>
  <r>
    <s v="TXN_01122"/>
    <d v="2024-11-27T00:00:00"/>
    <x v="0"/>
    <s v="Wednesday"/>
    <s v="STORE_008"/>
    <x v="2"/>
    <x v="4"/>
    <x v="8"/>
    <n v="586.9"/>
    <n v="1"/>
    <n v="586.9"/>
    <n v="15"/>
    <n v="88.03"/>
    <n v="498.87"/>
    <s v="Cash"/>
    <s v="CUST_00629"/>
    <n v="5"/>
    <n v="88.029999999999973"/>
    <n v="498.87"/>
    <s v="Medium"/>
  </r>
  <r>
    <s v="TXN_01123"/>
    <d v="2024-03-19T00:00:00"/>
    <x v="5"/>
    <s v="Tuesday"/>
    <s v="STORE_039"/>
    <x v="0"/>
    <x v="7"/>
    <x v="23"/>
    <n v="796.45"/>
    <n v="3"/>
    <n v="2389.35"/>
    <n v="15"/>
    <n v="358.4"/>
    <n v="2030.95"/>
    <s v="Debit Card"/>
    <s v="CUST_00856"/>
    <n v="2"/>
    <n v="358.39999999999986"/>
    <n v="676.98333333333335"/>
    <s v="Medium"/>
  </r>
  <r>
    <s v="TXN_01124"/>
    <d v="2024-09-12T00:00:00"/>
    <x v="9"/>
    <s v="Thursday"/>
    <s v="STORE_006"/>
    <x v="2"/>
    <x v="5"/>
    <x v="34"/>
    <n v="3597.63"/>
    <n v="8"/>
    <n v="28781.040000000001"/>
    <n v="15"/>
    <n v="4317.16"/>
    <n v="24463.88"/>
    <s v="Credit Card"/>
    <s v="CUST_00969"/>
    <n v="3"/>
    <n v="4317.16"/>
    <n v="3057.9850000000001"/>
    <s v="Medium"/>
  </r>
  <r>
    <s v="TXN_01125"/>
    <d v="2024-05-29T00:00:00"/>
    <x v="3"/>
    <s v="Wednesday"/>
    <s v="STORE_045"/>
    <x v="3"/>
    <x v="0"/>
    <x v="27"/>
    <n v="760.74"/>
    <n v="7"/>
    <n v="5325.18"/>
    <n v="20"/>
    <n v="1065.04"/>
    <n v="4260.1400000000003"/>
    <s v="UPI"/>
    <s v="CUST_00142"/>
    <n v="4"/>
    <n v="1065.04"/>
    <n v="608.59142857142865"/>
    <s v="High"/>
  </r>
  <r>
    <s v="TXN_01126"/>
    <d v="2024-09-17T00:00:00"/>
    <x v="9"/>
    <s v="Tuesday"/>
    <s v="STORE_032"/>
    <x v="2"/>
    <x v="4"/>
    <x v="20"/>
    <n v="193.14"/>
    <n v="6"/>
    <n v="1158.8399999999999"/>
    <n v="0"/>
    <n v="0"/>
    <n v="1158.8399999999999"/>
    <s v="UPI"/>
    <s v="CUST_00189"/>
    <n v="3"/>
    <n v="0"/>
    <n v="193.14"/>
    <s v="No Discount"/>
  </r>
  <r>
    <s v="TXN_01127"/>
    <d v="2024-12-27T00:00:00"/>
    <x v="6"/>
    <s v="Friday"/>
    <s v="STORE_029"/>
    <x v="2"/>
    <x v="2"/>
    <x v="13"/>
    <n v="240.43"/>
    <n v="6"/>
    <n v="1442.58"/>
    <n v="15"/>
    <n v="216.39"/>
    <n v="1226.19"/>
    <s v="Credit Card"/>
    <s v="CUST_00537"/>
    <n v="3"/>
    <n v="216.38999999999987"/>
    <n v="204.36500000000001"/>
    <s v="Medium"/>
  </r>
  <r>
    <s v="TXN_01128"/>
    <d v="2024-05-19T00:00:00"/>
    <x v="3"/>
    <s v="Sunday"/>
    <s v="STORE_007"/>
    <x v="0"/>
    <x v="2"/>
    <x v="2"/>
    <n v="715.51"/>
    <n v="1"/>
    <n v="715.51"/>
    <n v="10"/>
    <n v="71.55"/>
    <n v="643.96"/>
    <s v="Credit Card"/>
    <s v="CUST_00002"/>
    <n v="3"/>
    <n v="71.549999999999955"/>
    <n v="643.96"/>
    <s v="Medium"/>
  </r>
  <r>
    <s v="TXN_01129"/>
    <d v="2024-07-31T00:00:00"/>
    <x v="11"/>
    <s v="Wednesday"/>
    <s v="STORE_024"/>
    <x v="2"/>
    <x v="6"/>
    <x v="30"/>
    <n v="990.29"/>
    <n v="5"/>
    <n v="4951.45"/>
    <n v="0"/>
    <n v="0"/>
    <n v="4951.45"/>
    <s v="Wallet"/>
    <s v="CUST_00979"/>
    <n v="5"/>
    <n v="0"/>
    <n v="990.29"/>
    <s v="No Discount"/>
  </r>
  <r>
    <s v="TXN_01130"/>
    <d v="2024-09-04T00:00:00"/>
    <x v="9"/>
    <s v="Wednesday"/>
    <s v="STORE_023"/>
    <x v="2"/>
    <x v="5"/>
    <x v="11"/>
    <n v="3545.93"/>
    <n v="8"/>
    <n v="28367.439999999999"/>
    <n v="0"/>
    <n v="0"/>
    <n v="28367.439999999999"/>
    <s v="Wallet"/>
    <s v="CUST_00894"/>
    <n v="2"/>
    <n v="0"/>
    <n v="3545.93"/>
    <s v="No Discount"/>
  </r>
  <r>
    <s v="TXN_01131"/>
    <d v="2024-08-29T00:00:00"/>
    <x v="8"/>
    <s v="Thursday"/>
    <s v="STORE_010"/>
    <x v="3"/>
    <x v="5"/>
    <x v="10"/>
    <n v="2496.67"/>
    <n v="3"/>
    <n v="7490.01"/>
    <n v="5"/>
    <n v="374.5"/>
    <n v="7115.51"/>
    <s v="Debit Card"/>
    <s v="CUST_00032"/>
    <n v="5"/>
    <n v="374.5"/>
    <n v="2371.8366666666666"/>
    <s v="Low"/>
  </r>
  <r>
    <s v="TXN_01132"/>
    <d v="2024-05-04T00:00:00"/>
    <x v="3"/>
    <s v="Saturday"/>
    <s v="STORE_007"/>
    <x v="1"/>
    <x v="6"/>
    <x v="26"/>
    <n v="1832.35"/>
    <n v="2"/>
    <n v="3664.7"/>
    <n v="20"/>
    <n v="732.94"/>
    <n v="2931.76"/>
    <s v="Cash"/>
    <s v="CUST_00700"/>
    <n v="3"/>
    <n v="732.9399999999996"/>
    <n v="1465.88"/>
    <s v="High"/>
  </r>
  <r>
    <s v="TXN_01133"/>
    <d v="2024-08-21T00:00:00"/>
    <x v="8"/>
    <s v="Wednesday"/>
    <s v="STORE_010"/>
    <x v="4"/>
    <x v="5"/>
    <x v="10"/>
    <n v="3073.96"/>
    <n v="2"/>
    <n v="6147.92"/>
    <n v="5"/>
    <n v="307.39999999999998"/>
    <n v="5840.52"/>
    <s v="Debit Card"/>
    <s v="CUST_00943"/>
    <n v="5"/>
    <n v="307.39999999999964"/>
    <n v="2920.26"/>
    <s v="Low"/>
  </r>
  <r>
    <s v="TXN_01134"/>
    <d v="2024-10-09T00:00:00"/>
    <x v="7"/>
    <s v="Wednesday"/>
    <s v="STORE_008"/>
    <x v="4"/>
    <x v="4"/>
    <x v="19"/>
    <n v="567.87"/>
    <n v="9"/>
    <n v="5110.83"/>
    <n v="20"/>
    <n v="1022.17"/>
    <n v="4088.66"/>
    <s v="UPI"/>
    <s v="CUST_00068"/>
    <n v="4"/>
    <n v="1022.1700000000001"/>
    <n v="454.29555555555555"/>
    <s v="High"/>
  </r>
  <r>
    <s v="TXN_01135"/>
    <d v="2024-03-15T00:00:00"/>
    <x v="5"/>
    <s v="Friday"/>
    <s v="STORE_026"/>
    <x v="2"/>
    <x v="4"/>
    <x v="20"/>
    <n v="314.56"/>
    <n v="4"/>
    <n v="1258.24"/>
    <n v="20"/>
    <n v="251.65"/>
    <n v="1006.59"/>
    <s v="UPI"/>
    <s v="CUST_00367"/>
    <n v="2"/>
    <n v="251.64999999999998"/>
    <n v="251.64750000000001"/>
    <s v="High"/>
  </r>
  <r>
    <s v="TXN_01136"/>
    <d v="2024-07-15T00:00:00"/>
    <x v="11"/>
    <s v="Monday"/>
    <s v="STORE_043"/>
    <x v="1"/>
    <x v="6"/>
    <x v="33"/>
    <n v="1716.36"/>
    <n v="10"/>
    <n v="17163.599999999999"/>
    <n v="0"/>
    <n v="0"/>
    <n v="17163.599999999999"/>
    <s v="Wallet"/>
    <s v="CUST_00934"/>
    <n v="1"/>
    <n v="0"/>
    <n v="1716.36"/>
    <s v="No Discount"/>
  </r>
  <r>
    <s v="TXN_01137"/>
    <d v="2024-04-07T00:00:00"/>
    <x v="4"/>
    <s v="Sunday"/>
    <s v="STORE_049"/>
    <x v="0"/>
    <x v="0"/>
    <x v="27"/>
    <n v="714.56"/>
    <n v="5"/>
    <n v="3572.8"/>
    <n v="0"/>
    <n v="0"/>
    <n v="3572.8"/>
    <s v="Debit Card"/>
    <s v="CUST_00300"/>
    <n v="4"/>
    <n v="0"/>
    <n v="714.56000000000006"/>
    <s v="No Discount"/>
  </r>
  <r>
    <s v="TXN_01138"/>
    <d v="2024-11-02T00:00:00"/>
    <x v="0"/>
    <s v="Saturday"/>
    <s v="STORE_007"/>
    <x v="1"/>
    <x v="0"/>
    <x v="4"/>
    <n v="548.11"/>
    <n v="2"/>
    <n v="1096.22"/>
    <n v="5"/>
    <n v="54.81"/>
    <n v="1041.4100000000001"/>
    <s v="Credit Card"/>
    <s v="CUST_00575"/>
    <n v="4"/>
    <n v="54.809999999999945"/>
    <n v="520.70500000000004"/>
    <s v="Low"/>
  </r>
  <r>
    <s v="TXN_01139"/>
    <d v="2024-09-17T00:00:00"/>
    <x v="9"/>
    <s v="Tuesday"/>
    <s v="STORE_034"/>
    <x v="2"/>
    <x v="1"/>
    <x v="3"/>
    <n v="224.96"/>
    <n v="8"/>
    <n v="1799.68"/>
    <n v="20"/>
    <n v="359.94"/>
    <n v="1439.74"/>
    <s v="Cash"/>
    <s v="CUST_00193"/>
    <n v="1"/>
    <n v="359.94000000000005"/>
    <n v="179.9675"/>
    <s v="High"/>
  </r>
  <r>
    <s v="TXN_01140"/>
    <d v="2024-03-10T00:00:00"/>
    <x v="5"/>
    <s v="Sunday"/>
    <s v="STORE_048"/>
    <x v="2"/>
    <x v="7"/>
    <x v="24"/>
    <n v="1370.51"/>
    <n v="10"/>
    <n v="13705.1"/>
    <n v="10"/>
    <n v="1370.51"/>
    <n v="12334.59"/>
    <s v="Debit Card"/>
    <s v="CUST_00548"/>
    <n v="3"/>
    <n v="1370.5100000000002"/>
    <n v="1233.4590000000001"/>
    <s v="Medium"/>
  </r>
  <r>
    <s v="TXN_01141"/>
    <d v="2024-02-05T00:00:00"/>
    <x v="1"/>
    <s v="Monday"/>
    <s v="STORE_004"/>
    <x v="3"/>
    <x v="6"/>
    <x v="30"/>
    <n v="1950.15"/>
    <n v="7"/>
    <n v="13651.05"/>
    <n v="0"/>
    <n v="0"/>
    <n v="13651.05"/>
    <s v="Cash"/>
    <s v="CUST_00757"/>
    <n v="5"/>
    <n v="0"/>
    <n v="1950.1499999999999"/>
    <s v="No Discount"/>
  </r>
  <r>
    <s v="TXN_01142"/>
    <d v="2024-05-21T00:00:00"/>
    <x v="3"/>
    <s v="Tuesday"/>
    <s v="STORE_012"/>
    <x v="0"/>
    <x v="5"/>
    <x v="10"/>
    <n v="2483.3000000000002"/>
    <n v="1"/>
    <n v="2483.3000000000002"/>
    <n v="0"/>
    <n v="0"/>
    <n v="2483.3000000000002"/>
    <s v="Credit Card"/>
    <s v="CUST_00730"/>
    <n v="4"/>
    <n v="0"/>
    <n v="2483.3000000000002"/>
    <s v="No Discount"/>
  </r>
  <r>
    <s v="TXN_01143"/>
    <d v="2024-07-31T00:00:00"/>
    <x v="11"/>
    <s v="Wednesday"/>
    <s v="STORE_001"/>
    <x v="2"/>
    <x v="4"/>
    <x v="8"/>
    <n v="471.32"/>
    <n v="8"/>
    <n v="3770.56"/>
    <n v="0"/>
    <n v="0"/>
    <n v="3770.56"/>
    <s v="Wallet"/>
    <s v="CUST_00945"/>
    <n v="5"/>
    <n v="0"/>
    <n v="471.32"/>
    <s v="No Discount"/>
  </r>
  <r>
    <s v="TXN_01144"/>
    <d v="2024-06-23T00:00:00"/>
    <x v="10"/>
    <s v="Sunday"/>
    <s v="STORE_043"/>
    <x v="1"/>
    <x v="0"/>
    <x v="0"/>
    <n v="920.26"/>
    <n v="2"/>
    <n v="1840.52"/>
    <n v="0"/>
    <n v="0"/>
    <n v="1840.52"/>
    <s v="Credit Card"/>
    <s v="CUST_00182"/>
    <n v="2"/>
    <n v="0"/>
    <n v="920.26"/>
    <s v="No Discount"/>
  </r>
  <r>
    <s v="TXN_01145"/>
    <d v="2024-09-16T00:00:00"/>
    <x v="9"/>
    <s v="Monday"/>
    <s v="STORE_039"/>
    <x v="0"/>
    <x v="0"/>
    <x v="0"/>
    <n v="497.43"/>
    <n v="7"/>
    <n v="3482.01"/>
    <n v="0"/>
    <n v="0"/>
    <n v="3482.01"/>
    <s v="Debit Card"/>
    <s v="CUST_00637"/>
    <n v="2"/>
    <n v="0"/>
    <n v="497.43"/>
    <s v="No Discount"/>
  </r>
  <r>
    <s v="TXN_01146"/>
    <d v="2024-05-16T00:00:00"/>
    <x v="3"/>
    <s v="Thursday"/>
    <s v="STORE_045"/>
    <x v="2"/>
    <x v="2"/>
    <x v="13"/>
    <n v="576.28"/>
    <n v="5"/>
    <n v="2881.4"/>
    <n v="0"/>
    <n v="0"/>
    <n v="2881.4"/>
    <s v="Cash"/>
    <s v="CUST_00426"/>
    <n v="4"/>
    <n v="0"/>
    <n v="576.28"/>
    <s v="No Discount"/>
  </r>
  <r>
    <s v="TXN_01147"/>
    <d v="2024-01-02T00:00:00"/>
    <x v="2"/>
    <s v="Tuesday"/>
    <s v="STORE_039"/>
    <x v="2"/>
    <x v="0"/>
    <x v="4"/>
    <n v="422.47"/>
    <n v="4"/>
    <n v="1689.88"/>
    <n v="20"/>
    <n v="337.98"/>
    <n v="1351.9"/>
    <s v="UPI"/>
    <s v="CUST_00642"/>
    <n v="3"/>
    <n v="337.98"/>
    <n v="337.97500000000002"/>
    <s v="High"/>
  </r>
  <r>
    <s v="TXN_01148"/>
    <d v="2024-05-24T00:00:00"/>
    <x v="3"/>
    <s v="Friday"/>
    <s v="STORE_041"/>
    <x v="2"/>
    <x v="0"/>
    <x v="18"/>
    <n v="756.8"/>
    <n v="8"/>
    <n v="6054.4"/>
    <n v="0"/>
    <n v="0"/>
    <n v="6054.4"/>
    <s v="Debit Card"/>
    <s v="CUST_00119"/>
    <n v="1"/>
    <n v="0"/>
    <n v="756.8"/>
    <s v="No Discount"/>
  </r>
  <r>
    <s v="TXN_01149"/>
    <d v="2024-06-01T00:00:00"/>
    <x v="10"/>
    <s v="Saturday"/>
    <s v="STORE_044"/>
    <x v="3"/>
    <x v="5"/>
    <x v="9"/>
    <n v="1266"/>
    <n v="9"/>
    <n v="11394"/>
    <n v="0"/>
    <n v="0"/>
    <n v="11394"/>
    <s v="Debit Card"/>
    <s v="CUST_00292"/>
    <n v="3"/>
    <n v="0"/>
    <n v="1266"/>
    <s v="No Discount"/>
  </r>
  <r>
    <s v="TXN_01150"/>
    <d v="2024-10-27T00:00:00"/>
    <x v="7"/>
    <s v="Sunday"/>
    <s v="STORE_013"/>
    <x v="2"/>
    <x v="2"/>
    <x v="39"/>
    <n v="698.86"/>
    <n v="5"/>
    <n v="3494.3"/>
    <n v="0"/>
    <n v="0"/>
    <n v="3494.3"/>
    <s v="Credit Card"/>
    <s v="CUST_00569"/>
    <n v="4"/>
    <n v="0"/>
    <n v="698.86"/>
    <s v="No Discount"/>
  </r>
  <r>
    <s v="TXN_01151"/>
    <d v="2024-10-23T00:00:00"/>
    <x v="7"/>
    <s v="Wednesday"/>
    <s v="STORE_008"/>
    <x v="0"/>
    <x v="1"/>
    <x v="31"/>
    <n v="107.2"/>
    <n v="1"/>
    <n v="107.2"/>
    <n v="5"/>
    <n v="5.36"/>
    <n v="101.84"/>
    <s v="UPI"/>
    <s v="CUST_00039"/>
    <n v="1"/>
    <n v="5.3599999999999994"/>
    <n v="101.84"/>
    <s v="Low"/>
  </r>
  <r>
    <s v="TXN_01152"/>
    <d v="2024-12-03T00:00:00"/>
    <x v="6"/>
    <s v="Tuesday"/>
    <s v="STORE_024"/>
    <x v="3"/>
    <x v="0"/>
    <x v="0"/>
    <n v="266.89"/>
    <n v="2"/>
    <n v="533.78"/>
    <n v="0"/>
    <n v="0"/>
    <n v="533.78"/>
    <s v="UPI"/>
    <s v="CUST_00757"/>
    <n v="5"/>
    <n v="0"/>
    <n v="266.89"/>
    <s v="No Discount"/>
  </r>
  <r>
    <s v="TXN_01153"/>
    <d v="2024-09-07T00:00:00"/>
    <x v="9"/>
    <s v="Saturday"/>
    <s v="STORE_050"/>
    <x v="0"/>
    <x v="5"/>
    <x v="9"/>
    <n v="3388.01"/>
    <n v="1"/>
    <n v="3388.01"/>
    <n v="15"/>
    <n v="508.2"/>
    <n v="2879.81"/>
    <s v="Wallet"/>
    <s v="CUST_00743"/>
    <n v="2"/>
    <n v="508.20000000000027"/>
    <n v="2879.81"/>
    <s v="Medium"/>
  </r>
  <r>
    <s v="TXN_01154"/>
    <d v="2024-03-17T00:00:00"/>
    <x v="5"/>
    <s v="Sunday"/>
    <s v="STORE_023"/>
    <x v="3"/>
    <x v="4"/>
    <x v="8"/>
    <n v="405.96"/>
    <n v="3"/>
    <n v="1217.8800000000001"/>
    <n v="0"/>
    <n v="0"/>
    <n v="1217.8800000000001"/>
    <s v="Cash"/>
    <s v="CUST_00206"/>
    <n v="2"/>
    <n v="0"/>
    <n v="405.96000000000004"/>
    <s v="No Discount"/>
  </r>
  <r>
    <s v="TXN_01155"/>
    <d v="2024-08-16T00:00:00"/>
    <x v="8"/>
    <s v="Friday"/>
    <s v="STORE_012"/>
    <x v="0"/>
    <x v="6"/>
    <x v="33"/>
    <n v="1070.05"/>
    <n v="5"/>
    <n v="5350.25"/>
    <n v="10"/>
    <n v="535.02"/>
    <n v="4815.2299999999996"/>
    <s v="Credit Card"/>
    <s v="CUST_00344"/>
    <n v="2"/>
    <n v="535.02000000000044"/>
    <n v="963.04599999999994"/>
    <s v="Medium"/>
  </r>
  <r>
    <s v="TXN_01156"/>
    <d v="2024-10-02T00:00:00"/>
    <x v="7"/>
    <s v="Wednesday"/>
    <s v="STORE_034"/>
    <x v="1"/>
    <x v="1"/>
    <x v="36"/>
    <n v="442.1"/>
    <n v="2"/>
    <n v="884.2"/>
    <n v="20"/>
    <n v="176.84"/>
    <n v="707.36"/>
    <s v="Debit Card"/>
    <s v="CUST_00571"/>
    <n v="5"/>
    <n v="176.84000000000003"/>
    <n v="353.68"/>
    <s v="High"/>
  </r>
  <r>
    <s v="TXN_01157"/>
    <d v="2024-09-04T00:00:00"/>
    <x v="9"/>
    <s v="Wednesday"/>
    <s v="STORE_027"/>
    <x v="4"/>
    <x v="5"/>
    <x v="11"/>
    <n v="3188.49"/>
    <n v="6"/>
    <n v="19130.939999999999"/>
    <n v="0"/>
    <n v="0"/>
    <n v="19130.939999999999"/>
    <s v="Credit Card"/>
    <s v="CUST_00548"/>
    <n v="1"/>
    <n v="0"/>
    <n v="3188.49"/>
    <s v="No Discount"/>
  </r>
  <r>
    <s v="TXN_01158"/>
    <d v="2024-06-25T00:00:00"/>
    <x v="10"/>
    <s v="Tuesday"/>
    <s v="STORE_007"/>
    <x v="0"/>
    <x v="6"/>
    <x v="26"/>
    <n v="1580.72"/>
    <n v="6"/>
    <n v="9484.32"/>
    <n v="0"/>
    <n v="0"/>
    <n v="9484.32"/>
    <s v="Credit Card"/>
    <s v="CUST_00007"/>
    <n v="2"/>
    <n v="0"/>
    <n v="1580.72"/>
    <s v="No Discount"/>
  </r>
  <r>
    <s v="TXN_01159"/>
    <d v="2024-06-19T00:00:00"/>
    <x v="10"/>
    <s v="Wednesday"/>
    <s v="STORE_015"/>
    <x v="2"/>
    <x v="0"/>
    <x v="18"/>
    <n v="650.16999999999996"/>
    <n v="7"/>
    <n v="4551.1899999999996"/>
    <n v="20"/>
    <n v="910.24"/>
    <n v="3640.95"/>
    <s v="Wallet"/>
    <s v="CUST_00578"/>
    <n v="1"/>
    <n v="910.23999999999978"/>
    <n v="520.13571428571424"/>
    <s v="High"/>
  </r>
  <r>
    <s v="TXN_01160"/>
    <d v="2024-10-09T00:00:00"/>
    <x v="7"/>
    <s v="Wednesday"/>
    <s v="STORE_044"/>
    <x v="4"/>
    <x v="7"/>
    <x v="28"/>
    <n v="1078.6400000000001"/>
    <n v="8"/>
    <n v="8629.1200000000008"/>
    <n v="10"/>
    <n v="862.91"/>
    <n v="7766.21"/>
    <s v="UPI"/>
    <s v="CUST_00397"/>
    <n v="3"/>
    <n v="862.91000000000076"/>
    <n v="970.77625"/>
    <s v="Medium"/>
  </r>
  <r>
    <s v="TXN_01161"/>
    <d v="2024-10-05T00:00:00"/>
    <x v="7"/>
    <s v="Saturday"/>
    <s v="STORE_031"/>
    <x v="0"/>
    <x v="1"/>
    <x v="31"/>
    <n v="357.3"/>
    <n v="10"/>
    <n v="3573"/>
    <n v="0"/>
    <n v="0"/>
    <n v="3573"/>
    <s v="Cash"/>
    <s v="CUST_00466"/>
    <n v="4"/>
    <n v="0"/>
    <n v="357.3"/>
    <s v="No Discount"/>
  </r>
  <r>
    <s v="TXN_01162"/>
    <d v="2024-07-12T00:00:00"/>
    <x v="11"/>
    <s v="Friday"/>
    <s v="STORE_024"/>
    <x v="2"/>
    <x v="4"/>
    <x v="20"/>
    <n v="214.98"/>
    <n v="3"/>
    <n v="644.94000000000005"/>
    <n v="5"/>
    <n v="32.25"/>
    <n v="612.69000000000005"/>
    <s v="Cash"/>
    <s v="CUST_00443"/>
    <n v="2"/>
    <n v="32.25"/>
    <n v="204.23000000000002"/>
    <s v="Low"/>
  </r>
  <r>
    <s v="TXN_01163"/>
    <d v="2024-08-21T00:00:00"/>
    <x v="8"/>
    <s v="Wednesday"/>
    <s v="STORE_026"/>
    <x v="0"/>
    <x v="2"/>
    <x v="29"/>
    <n v="129.79"/>
    <n v="7"/>
    <n v="908.53"/>
    <n v="15"/>
    <n v="136.28"/>
    <n v="772.25"/>
    <s v="Wallet"/>
    <s v="CUST_00861"/>
    <n v="2"/>
    <n v="136.27999999999997"/>
    <n v="110.32142857142857"/>
    <s v="Medium"/>
  </r>
  <r>
    <s v="TXN_01164"/>
    <d v="2024-06-13T00:00:00"/>
    <x v="10"/>
    <s v="Thursday"/>
    <s v="STORE_029"/>
    <x v="3"/>
    <x v="4"/>
    <x v="20"/>
    <n v="573.85"/>
    <n v="7"/>
    <n v="4016.95"/>
    <n v="5"/>
    <n v="200.85"/>
    <n v="3816.1"/>
    <s v="UPI"/>
    <s v="CUST_00475"/>
    <n v="4"/>
    <n v="200.84999999999991"/>
    <n v="545.15714285714284"/>
    <s v="Low"/>
  </r>
  <r>
    <s v="TXN_01165"/>
    <d v="2024-04-06T00:00:00"/>
    <x v="4"/>
    <s v="Saturday"/>
    <s v="STORE_016"/>
    <x v="0"/>
    <x v="4"/>
    <x v="35"/>
    <n v="296.7"/>
    <n v="7"/>
    <n v="2076.9"/>
    <n v="0"/>
    <n v="0"/>
    <n v="2076.9"/>
    <s v="Wallet"/>
    <s v="CUST_00730"/>
    <n v="2"/>
    <n v="0"/>
    <n v="296.7"/>
    <s v="No Discount"/>
  </r>
  <r>
    <s v="TXN_01166"/>
    <d v="2024-12-23T00:00:00"/>
    <x v="6"/>
    <s v="Monday"/>
    <s v="STORE_049"/>
    <x v="3"/>
    <x v="3"/>
    <x v="16"/>
    <n v="744.89"/>
    <n v="10"/>
    <n v="7448.9"/>
    <n v="0"/>
    <n v="0"/>
    <n v="7448.9"/>
    <s v="UPI"/>
    <s v="CUST_00384"/>
    <n v="5"/>
    <n v="0"/>
    <n v="744.89"/>
    <s v="No Discount"/>
  </r>
  <r>
    <s v="TXN_01167"/>
    <d v="2024-05-02T00:00:00"/>
    <x v="3"/>
    <s v="Thursday"/>
    <s v="STORE_020"/>
    <x v="4"/>
    <x v="2"/>
    <x v="29"/>
    <n v="374.98"/>
    <n v="8"/>
    <n v="2999.84"/>
    <n v="0"/>
    <n v="0"/>
    <n v="2999.84"/>
    <s v="Wallet"/>
    <s v="CUST_00423"/>
    <n v="4"/>
    <n v="0"/>
    <n v="374.98"/>
    <s v="No Discount"/>
  </r>
  <r>
    <s v="TXN_01168"/>
    <d v="2024-10-19T00:00:00"/>
    <x v="7"/>
    <s v="Saturday"/>
    <s v="STORE_028"/>
    <x v="0"/>
    <x v="6"/>
    <x v="14"/>
    <n v="825.77"/>
    <n v="9"/>
    <n v="7431.93"/>
    <n v="0"/>
    <n v="0"/>
    <n v="7431.93"/>
    <s v="UPI"/>
    <s v="CUST_00966"/>
    <n v="5"/>
    <n v="0"/>
    <n v="825.77"/>
    <s v="No Discount"/>
  </r>
  <r>
    <s v="TXN_01169"/>
    <d v="2024-07-15T00:00:00"/>
    <x v="11"/>
    <s v="Monday"/>
    <s v="STORE_048"/>
    <x v="4"/>
    <x v="1"/>
    <x v="36"/>
    <n v="362.29"/>
    <n v="7"/>
    <n v="2536.0300000000002"/>
    <n v="10"/>
    <n v="253.6"/>
    <n v="2282.4299999999998"/>
    <s v="Debit Card"/>
    <s v="CUST_00788"/>
    <n v="3"/>
    <n v="253.60000000000036"/>
    <n v="326.06142857142856"/>
    <s v="Medium"/>
  </r>
  <r>
    <s v="TXN_01170"/>
    <d v="2024-04-29T00:00:00"/>
    <x v="4"/>
    <s v="Monday"/>
    <s v="STORE_030"/>
    <x v="0"/>
    <x v="5"/>
    <x v="9"/>
    <n v="3300.28"/>
    <n v="4"/>
    <n v="13201.12"/>
    <n v="0"/>
    <n v="0"/>
    <n v="13201.12"/>
    <s v="UPI"/>
    <s v="CUST_00889"/>
    <n v="3"/>
    <n v="0"/>
    <n v="3300.28"/>
    <s v="No Discount"/>
  </r>
  <r>
    <s v="TXN_01171"/>
    <d v="2024-07-29T00:00:00"/>
    <x v="11"/>
    <s v="Monday"/>
    <s v="STORE_005"/>
    <x v="2"/>
    <x v="5"/>
    <x v="9"/>
    <n v="2264.86"/>
    <n v="10"/>
    <n v="22648.6"/>
    <n v="10"/>
    <n v="2264.86"/>
    <n v="20383.740000000002"/>
    <s v="Credit Card"/>
    <s v="CUST_00022"/>
    <n v="1"/>
    <n v="2264.8599999999969"/>
    <n v="2038.3740000000003"/>
    <s v="Medium"/>
  </r>
  <r>
    <s v="TXN_01172"/>
    <d v="2024-01-23T00:00:00"/>
    <x v="2"/>
    <s v="Tuesday"/>
    <s v="STORE_048"/>
    <x v="0"/>
    <x v="6"/>
    <x v="30"/>
    <n v="997.26"/>
    <n v="2"/>
    <n v="1994.52"/>
    <n v="0"/>
    <n v="0"/>
    <n v="1994.52"/>
    <s v="Cash"/>
    <s v="CUST_00981"/>
    <n v="2"/>
    <n v="0"/>
    <n v="997.26"/>
    <s v="No Discount"/>
  </r>
  <r>
    <s v="TXN_01173"/>
    <d v="2024-06-11T00:00:00"/>
    <x v="10"/>
    <s v="Tuesday"/>
    <s v="STORE_029"/>
    <x v="3"/>
    <x v="3"/>
    <x v="22"/>
    <n v="2553.9"/>
    <n v="6"/>
    <n v="15323.4"/>
    <n v="10"/>
    <n v="1532.34"/>
    <n v="13791.06"/>
    <s v="Cash"/>
    <s v="CUST_00347"/>
    <n v="5"/>
    <n v="1532.3400000000001"/>
    <n v="2298.5099999999998"/>
    <s v="Medium"/>
  </r>
  <r>
    <s v="TXN_01174"/>
    <d v="2024-08-30T00:00:00"/>
    <x v="8"/>
    <s v="Friday"/>
    <s v="STORE_027"/>
    <x v="2"/>
    <x v="5"/>
    <x v="25"/>
    <n v="2212.96"/>
    <n v="9"/>
    <n v="19916.64"/>
    <n v="0"/>
    <n v="0"/>
    <n v="19916.64"/>
    <s v="Debit Card"/>
    <s v="CUST_00546"/>
    <n v="2"/>
    <n v="0"/>
    <n v="2212.96"/>
    <s v="No Discount"/>
  </r>
  <r>
    <s v="TXN_01175"/>
    <d v="2024-12-27T00:00:00"/>
    <x v="6"/>
    <s v="Friday"/>
    <s v="STORE_008"/>
    <x v="0"/>
    <x v="0"/>
    <x v="0"/>
    <n v="649.33000000000004"/>
    <n v="8"/>
    <n v="5194.6400000000003"/>
    <n v="15"/>
    <n v="779.2"/>
    <n v="4415.4399999999996"/>
    <s v="Cash"/>
    <s v="CUST_00932"/>
    <n v="2"/>
    <n v="779.20000000000073"/>
    <n v="551.92999999999995"/>
    <s v="Medium"/>
  </r>
  <r>
    <s v="TXN_01176"/>
    <d v="2024-07-14T00:00:00"/>
    <x v="11"/>
    <s v="Sunday"/>
    <s v="STORE_031"/>
    <x v="0"/>
    <x v="1"/>
    <x v="36"/>
    <n v="390.05"/>
    <n v="3"/>
    <n v="1170.1500000000001"/>
    <n v="5"/>
    <n v="58.51"/>
    <n v="1111.6400000000001"/>
    <s v="UPI"/>
    <s v="CUST_00786"/>
    <n v="4"/>
    <n v="58.509999999999991"/>
    <n v="370.54666666666668"/>
    <s v="Low"/>
  </r>
  <r>
    <s v="TXN_01177"/>
    <d v="2024-07-16T00:00:00"/>
    <x v="11"/>
    <s v="Tuesday"/>
    <s v="STORE_012"/>
    <x v="3"/>
    <x v="6"/>
    <x v="26"/>
    <n v="1532.18"/>
    <n v="6"/>
    <n v="9193.08"/>
    <n v="5"/>
    <n v="459.65"/>
    <n v="8733.43"/>
    <s v="Wallet"/>
    <s v="CUST_00916"/>
    <n v="5"/>
    <n v="459.64999999999964"/>
    <n v="1455.5716666666667"/>
    <s v="Low"/>
  </r>
  <r>
    <s v="TXN_01178"/>
    <d v="2024-12-05T00:00:00"/>
    <x v="6"/>
    <s v="Thursday"/>
    <s v="STORE_024"/>
    <x v="2"/>
    <x v="6"/>
    <x v="33"/>
    <n v="1919.91"/>
    <n v="10"/>
    <n v="19199.099999999999"/>
    <n v="0"/>
    <n v="0"/>
    <n v="19199.099999999999"/>
    <s v="Cash"/>
    <s v="CUST_00182"/>
    <n v="1"/>
    <n v="0"/>
    <n v="1919.9099999999999"/>
    <s v="No Discount"/>
  </r>
  <r>
    <s v="TXN_01179"/>
    <d v="2024-11-29T00:00:00"/>
    <x v="0"/>
    <s v="Friday"/>
    <s v="STORE_041"/>
    <x v="1"/>
    <x v="5"/>
    <x v="10"/>
    <n v="2200.42"/>
    <n v="7"/>
    <n v="15402.94"/>
    <n v="0"/>
    <n v="0"/>
    <n v="15402.94"/>
    <s v="Credit Card"/>
    <s v="CUST_00300"/>
    <n v="2"/>
    <n v="0"/>
    <n v="2200.42"/>
    <s v="No Discount"/>
  </r>
  <r>
    <s v="TXN_01180"/>
    <d v="2024-03-18T00:00:00"/>
    <x v="5"/>
    <s v="Monday"/>
    <s v="STORE_027"/>
    <x v="0"/>
    <x v="7"/>
    <x v="24"/>
    <n v="1023.38"/>
    <n v="8"/>
    <n v="8187.04"/>
    <n v="0"/>
    <n v="0"/>
    <n v="8187.04"/>
    <s v="Wallet"/>
    <s v="CUST_00374"/>
    <n v="5"/>
    <n v="0"/>
    <n v="1023.38"/>
    <s v="No Discount"/>
  </r>
  <r>
    <s v="TXN_01181"/>
    <d v="2024-09-10T00:00:00"/>
    <x v="9"/>
    <s v="Tuesday"/>
    <s v="STORE_011"/>
    <x v="2"/>
    <x v="2"/>
    <x v="29"/>
    <n v="459.4"/>
    <n v="9"/>
    <n v="4134.6000000000004"/>
    <n v="0"/>
    <n v="0"/>
    <n v="4134.6000000000004"/>
    <s v="UPI"/>
    <s v="CUST_00665"/>
    <n v="3"/>
    <n v="0"/>
    <n v="459.40000000000003"/>
    <s v="No Discount"/>
  </r>
  <r>
    <s v="TXN_01182"/>
    <d v="2024-01-19T00:00:00"/>
    <x v="2"/>
    <s v="Friday"/>
    <s v="STORE_048"/>
    <x v="3"/>
    <x v="3"/>
    <x v="22"/>
    <n v="936.72"/>
    <n v="7"/>
    <n v="6557.04"/>
    <n v="0"/>
    <n v="0"/>
    <n v="6557.04"/>
    <s v="Credit Card"/>
    <s v="CUST_00676"/>
    <n v="3"/>
    <n v="0"/>
    <n v="936.72"/>
    <s v="No Discount"/>
  </r>
  <r>
    <s v="TXN_01183"/>
    <d v="2024-03-05T00:00:00"/>
    <x v="5"/>
    <s v="Tuesday"/>
    <s v="STORE_048"/>
    <x v="4"/>
    <x v="7"/>
    <x v="24"/>
    <n v="961.53"/>
    <n v="3"/>
    <n v="2884.59"/>
    <n v="20"/>
    <n v="576.91999999999996"/>
    <n v="2307.67"/>
    <s v="Wallet"/>
    <s v="CUST_00020"/>
    <n v="1"/>
    <n v="576.92000000000007"/>
    <n v="769.22333333333336"/>
    <s v="High"/>
  </r>
  <r>
    <s v="TXN_01184"/>
    <d v="2024-09-14T00:00:00"/>
    <x v="9"/>
    <s v="Saturday"/>
    <s v="STORE_045"/>
    <x v="1"/>
    <x v="2"/>
    <x v="13"/>
    <n v="239.75"/>
    <n v="8"/>
    <n v="1918"/>
    <n v="5"/>
    <n v="95.9"/>
    <n v="1822.1"/>
    <s v="UPI"/>
    <s v="CUST_00714"/>
    <n v="1"/>
    <n v="95.900000000000091"/>
    <n v="227.76249999999999"/>
    <s v="Low"/>
  </r>
  <r>
    <s v="TXN_01185"/>
    <d v="2024-10-29T00:00:00"/>
    <x v="7"/>
    <s v="Tuesday"/>
    <s v="STORE_046"/>
    <x v="1"/>
    <x v="0"/>
    <x v="32"/>
    <n v="493.44"/>
    <n v="9"/>
    <n v="4440.96"/>
    <n v="20"/>
    <n v="888.19"/>
    <n v="3552.77"/>
    <s v="UPI"/>
    <s v="CUST_00136"/>
    <n v="4"/>
    <n v="888.19"/>
    <n v="394.7522222222222"/>
    <s v="High"/>
  </r>
  <r>
    <s v="TXN_01186"/>
    <d v="2024-06-18T00:00:00"/>
    <x v="10"/>
    <s v="Tuesday"/>
    <s v="STORE_029"/>
    <x v="2"/>
    <x v="4"/>
    <x v="35"/>
    <n v="398.57"/>
    <n v="8"/>
    <n v="3188.56"/>
    <n v="0"/>
    <n v="0"/>
    <n v="3188.56"/>
    <s v="Cash"/>
    <s v="CUST_00825"/>
    <n v="1"/>
    <n v="0"/>
    <n v="398.57"/>
    <s v="No Discount"/>
  </r>
  <r>
    <s v="TXN_01187"/>
    <d v="2024-02-21T00:00:00"/>
    <x v="1"/>
    <s v="Wednesday"/>
    <s v="STORE_016"/>
    <x v="2"/>
    <x v="4"/>
    <x v="17"/>
    <n v="553.12"/>
    <n v="1"/>
    <n v="553.12"/>
    <n v="20"/>
    <n v="110.62"/>
    <n v="442.5"/>
    <s v="Debit Card"/>
    <s v="CUST_00182"/>
    <n v="1"/>
    <n v="110.62"/>
    <n v="442.5"/>
    <s v="High"/>
  </r>
  <r>
    <s v="TXN_01188"/>
    <d v="2024-08-13T00:00:00"/>
    <x v="8"/>
    <s v="Tuesday"/>
    <s v="STORE_001"/>
    <x v="2"/>
    <x v="4"/>
    <x v="8"/>
    <n v="219.3"/>
    <n v="4"/>
    <n v="877.2"/>
    <n v="20"/>
    <n v="175.44"/>
    <n v="701.76"/>
    <s v="Credit Card"/>
    <s v="CUST_00755"/>
    <n v="1"/>
    <n v="175.44000000000005"/>
    <n v="175.44"/>
    <s v="High"/>
  </r>
  <r>
    <s v="TXN_01189"/>
    <d v="2024-02-21T00:00:00"/>
    <x v="1"/>
    <s v="Wednesday"/>
    <s v="STORE_043"/>
    <x v="2"/>
    <x v="4"/>
    <x v="17"/>
    <n v="181.67"/>
    <n v="10"/>
    <n v="1816.7"/>
    <n v="15"/>
    <n v="272.5"/>
    <n v="1544.2"/>
    <s v="UPI"/>
    <s v="CUST_00628"/>
    <n v="3"/>
    <n v="272.5"/>
    <n v="154.42000000000002"/>
    <s v="Medium"/>
  </r>
  <r>
    <s v="TXN_01190"/>
    <d v="2024-09-26T00:00:00"/>
    <x v="9"/>
    <s v="Thursday"/>
    <s v="STORE_006"/>
    <x v="2"/>
    <x v="7"/>
    <x v="28"/>
    <n v="1144.98"/>
    <n v="4"/>
    <n v="4579.92"/>
    <n v="15"/>
    <n v="686.99"/>
    <n v="3892.93"/>
    <s v="Credit Card"/>
    <s v="CUST_00004"/>
    <n v="2"/>
    <n v="686.99000000000024"/>
    <n v="973.23249999999996"/>
    <s v="Medium"/>
  </r>
  <r>
    <s v="TXN_01191"/>
    <d v="2024-08-21T00:00:00"/>
    <x v="8"/>
    <s v="Wednesday"/>
    <s v="STORE_013"/>
    <x v="3"/>
    <x v="0"/>
    <x v="0"/>
    <n v="368.18"/>
    <n v="2"/>
    <n v="736.36"/>
    <n v="5"/>
    <n v="36.82"/>
    <n v="699.54"/>
    <s v="Cash"/>
    <s v="CUST_00838"/>
    <n v="5"/>
    <n v="36.82000000000005"/>
    <n v="349.77"/>
    <s v="Low"/>
  </r>
  <r>
    <s v="TXN_01192"/>
    <d v="2024-01-08T00:00:00"/>
    <x v="2"/>
    <s v="Monday"/>
    <s v="STORE_004"/>
    <x v="3"/>
    <x v="3"/>
    <x v="5"/>
    <n v="1895.28"/>
    <n v="3"/>
    <n v="5685.84"/>
    <n v="5"/>
    <n v="284.29000000000002"/>
    <n v="5401.55"/>
    <s v="Cash"/>
    <s v="CUST_00190"/>
    <n v="5"/>
    <n v="284.28999999999996"/>
    <n v="1800.5166666666667"/>
    <s v="Low"/>
  </r>
  <r>
    <s v="TXN_01193"/>
    <d v="2024-03-14T00:00:00"/>
    <x v="5"/>
    <s v="Thursday"/>
    <s v="STORE_037"/>
    <x v="0"/>
    <x v="6"/>
    <x v="30"/>
    <n v="763.78"/>
    <n v="4"/>
    <n v="3055.12"/>
    <n v="0"/>
    <n v="0"/>
    <n v="3055.12"/>
    <s v="Debit Card"/>
    <s v="CUST_00717"/>
    <n v="5"/>
    <n v="0"/>
    <n v="763.78"/>
    <s v="No Discount"/>
  </r>
  <r>
    <s v="TXN_01194"/>
    <d v="2024-07-28T00:00:00"/>
    <x v="11"/>
    <s v="Sunday"/>
    <s v="STORE_026"/>
    <x v="4"/>
    <x v="7"/>
    <x v="28"/>
    <n v="525.84"/>
    <n v="6"/>
    <n v="3155.04"/>
    <n v="20"/>
    <n v="631.01"/>
    <n v="2524.0300000000002"/>
    <s v="Debit Card"/>
    <s v="CUST_00304"/>
    <n v="2"/>
    <n v="631.00999999999976"/>
    <n v="420.67166666666668"/>
    <s v="High"/>
  </r>
  <r>
    <s v="TXN_01195"/>
    <d v="2024-12-01T00:00:00"/>
    <x v="6"/>
    <s v="Sunday"/>
    <s v="STORE_048"/>
    <x v="0"/>
    <x v="0"/>
    <x v="27"/>
    <n v="712.48"/>
    <n v="4"/>
    <n v="2849.92"/>
    <n v="5"/>
    <n v="142.5"/>
    <n v="2707.42"/>
    <s v="Cash"/>
    <s v="CUST_00544"/>
    <n v="3"/>
    <n v="142.5"/>
    <n v="676.85500000000002"/>
    <s v="Low"/>
  </r>
  <r>
    <s v="TXN_01196"/>
    <d v="2024-03-20T00:00:00"/>
    <x v="5"/>
    <s v="Wednesday"/>
    <s v="STORE_032"/>
    <x v="1"/>
    <x v="6"/>
    <x v="15"/>
    <n v="922.17"/>
    <n v="3"/>
    <n v="2766.51"/>
    <n v="0"/>
    <n v="0"/>
    <n v="2766.51"/>
    <s v="Credit Card"/>
    <s v="CUST_00925"/>
    <n v="1"/>
    <n v="0"/>
    <n v="922.17000000000007"/>
    <s v="No Discount"/>
  </r>
  <r>
    <s v="TXN_01197"/>
    <d v="2024-02-08T00:00:00"/>
    <x v="1"/>
    <s v="Thursday"/>
    <s v="STORE_048"/>
    <x v="2"/>
    <x v="6"/>
    <x v="26"/>
    <n v="1633.48"/>
    <n v="7"/>
    <n v="11434.36"/>
    <n v="0"/>
    <n v="0"/>
    <n v="11434.36"/>
    <s v="UPI"/>
    <s v="CUST_00327"/>
    <n v="1"/>
    <n v="0"/>
    <n v="1633.48"/>
    <s v="No Discount"/>
  </r>
  <r>
    <s v="TXN_01198"/>
    <d v="2024-08-28T00:00:00"/>
    <x v="8"/>
    <s v="Wednesday"/>
    <s v="STORE_029"/>
    <x v="1"/>
    <x v="4"/>
    <x v="17"/>
    <n v="455.19"/>
    <n v="2"/>
    <n v="910.38"/>
    <n v="10"/>
    <n v="91.04"/>
    <n v="819.34"/>
    <s v="Cash"/>
    <s v="CUST_00761"/>
    <n v="3"/>
    <n v="91.039999999999964"/>
    <n v="409.67"/>
    <s v="Medium"/>
  </r>
  <r>
    <s v="TXN_01199"/>
    <d v="2024-05-15T00:00:00"/>
    <x v="3"/>
    <s v="Wednesday"/>
    <s v="STORE_015"/>
    <x v="4"/>
    <x v="1"/>
    <x v="6"/>
    <n v="274.86"/>
    <n v="8"/>
    <n v="2198.88"/>
    <n v="0"/>
    <n v="0"/>
    <n v="2198.88"/>
    <s v="Wallet"/>
    <s v="CUST_00175"/>
    <n v="2"/>
    <n v="0"/>
    <n v="274.86"/>
    <s v="No Discount"/>
  </r>
  <r>
    <s v="TXN_01200"/>
    <d v="2024-06-22T00:00:00"/>
    <x v="10"/>
    <s v="Saturday"/>
    <s v="STORE_030"/>
    <x v="3"/>
    <x v="6"/>
    <x v="15"/>
    <n v="1114.5999999999999"/>
    <n v="8"/>
    <n v="8916.7999999999993"/>
    <n v="0"/>
    <n v="0"/>
    <n v="8916.7999999999993"/>
    <s v="UPI"/>
    <s v="CUST_00157"/>
    <n v="4"/>
    <n v="0"/>
    <n v="1114.5999999999999"/>
    <s v="No Discount"/>
  </r>
  <r>
    <s v="TXN_01201"/>
    <d v="2024-11-15T00:00:00"/>
    <x v="0"/>
    <s v="Friday"/>
    <s v="STORE_025"/>
    <x v="0"/>
    <x v="5"/>
    <x v="9"/>
    <n v="2678.39"/>
    <n v="1"/>
    <n v="2678.39"/>
    <n v="20"/>
    <n v="535.67999999999995"/>
    <n v="2142.71"/>
    <s v="Debit Card"/>
    <s v="CUST_00410"/>
    <n v="3"/>
    <n v="535.67999999999984"/>
    <n v="2142.71"/>
    <s v="High"/>
  </r>
  <r>
    <s v="TXN_01202"/>
    <d v="2024-12-20T00:00:00"/>
    <x v="6"/>
    <s v="Friday"/>
    <s v="STORE_014"/>
    <x v="2"/>
    <x v="4"/>
    <x v="8"/>
    <n v="345.47"/>
    <n v="3"/>
    <n v="1036.4100000000001"/>
    <n v="0"/>
    <n v="0"/>
    <n v="1036.4100000000001"/>
    <s v="Wallet"/>
    <s v="CUST_00017"/>
    <n v="2"/>
    <n v="0"/>
    <n v="345.47"/>
    <s v="No Discount"/>
  </r>
  <r>
    <s v="TXN_01203"/>
    <d v="2024-07-22T00:00:00"/>
    <x v="11"/>
    <s v="Monday"/>
    <s v="STORE_026"/>
    <x v="0"/>
    <x v="0"/>
    <x v="4"/>
    <n v="319.92"/>
    <n v="6"/>
    <n v="1919.52"/>
    <n v="0"/>
    <n v="0"/>
    <n v="1919.52"/>
    <s v="Credit Card"/>
    <s v="CUST_00311"/>
    <n v="4"/>
    <n v="0"/>
    <n v="319.92"/>
    <s v="No Discount"/>
  </r>
  <r>
    <s v="TXN_01204"/>
    <d v="2024-11-28T00:00:00"/>
    <x v="0"/>
    <s v="Thursday"/>
    <s v="STORE_028"/>
    <x v="0"/>
    <x v="2"/>
    <x v="29"/>
    <n v="232.96"/>
    <n v="10"/>
    <n v="2329.6"/>
    <n v="15"/>
    <n v="349.44"/>
    <n v="1980.16"/>
    <s v="UPI"/>
    <s v="CUST_00500"/>
    <n v="4"/>
    <n v="349.43999999999983"/>
    <n v="198.01600000000002"/>
    <s v="Medium"/>
  </r>
  <r>
    <s v="TXN_01205"/>
    <d v="2024-02-11T00:00:00"/>
    <x v="1"/>
    <s v="Sunday"/>
    <s v="STORE_019"/>
    <x v="0"/>
    <x v="6"/>
    <x v="15"/>
    <n v="1942.16"/>
    <n v="2"/>
    <n v="3884.32"/>
    <n v="0"/>
    <n v="0"/>
    <n v="3884.32"/>
    <s v="UPI"/>
    <s v="CUST_00241"/>
    <n v="5"/>
    <n v="0"/>
    <n v="1942.16"/>
    <s v="No Discount"/>
  </r>
  <r>
    <s v="TXN_01206"/>
    <d v="2024-06-17T00:00:00"/>
    <x v="10"/>
    <s v="Monday"/>
    <s v="STORE_041"/>
    <x v="1"/>
    <x v="1"/>
    <x v="31"/>
    <n v="237.36"/>
    <n v="1"/>
    <n v="237.36"/>
    <n v="0"/>
    <n v="0"/>
    <n v="237.36"/>
    <s v="Debit Card"/>
    <s v="CUST_00701"/>
    <n v="3"/>
    <n v="0"/>
    <n v="237.36"/>
    <s v="No Discount"/>
  </r>
  <r>
    <s v="TXN_01207"/>
    <d v="2024-12-11T00:00:00"/>
    <x v="6"/>
    <s v="Wednesday"/>
    <s v="STORE_047"/>
    <x v="1"/>
    <x v="0"/>
    <x v="27"/>
    <n v="297.48"/>
    <n v="3"/>
    <n v="892.44"/>
    <n v="10"/>
    <n v="89.24"/>
    <n v="803.2"/>
    <s v="Cash"/>
    <s v="CUST_00827"/>
    <n v="3"/>
    <n v="89.240000000000009"/>
    <n v="267.73333333333335"/>
    <s v="Medium"/>
  </r>
  <r>
    <s v="TXN_01208"/>
    <d v="2024-09-30T00:00:00"/>
    <x v="9"/>
    <s v="Monday"/>
    <s v="STORE_024"/>
    <x v="3"/>
    <x v="5"/>
    <x v="25"/>
    <n v="3261.31"/>
    <n v="8"/>
    <n v="26090.48"/>
    <n v="0"/>
    <n v="0"/>
    <n v="26090.48"/>
    <s v="Credit Card"/>
    <s v="CUST_00253"/>
    <n v="4"/>
    <n v="0"/>
    <n v="3261.31"/>
    <s v="No Discount"/>
  </r>
  <r>
    <s v="TXN_01209"/>
    <d v="2024-07-13T00:00:00"/>
    <x v="11"/>
    <s v="Saturday"/>
    <s v="STORE_036"/>
    <x v="1"/>
    <x v="3"/>
    <x v="22"/>
    <n v="2127.19"/>
    <n v="6"/>
    <n v="12763.14"/>
    <n v="15"/>
    <n v="1914.47"/>
    <n v="10848.67"/>
    <s v="UPI"/>
    <s v="CUST_00592"/>
    <n v="3"/>
    <n v="1914.4699999999993"/>
    <n v="1808.1116666666667"/>
    <s v="Medium"/>
  </r>
  <r>
    <s v="TXN_01210"/>
    <d v="2024-06-11T00:00:00"/>
    <x v="10"/>
    <s v="Tuesday"/>
    <s v="STORE_046"/>
    <x v="4"/>
    <x v="4"/>
    <x v="20"/>
    <n v="555.84"/>
    <n v="6"/>
    <n v="3335.04"/>
    <n v="20"/>
    <n v="667.01"/>
    <n v="2668.03"/>
    <s v="Wallet"/>
    <s v="CUST_00625"/>
    <n v="2"/>
    <n v="667.00999999999976"/>
    <n v="444.67166666666668"/>
    <s v="High"/>
  </r>
  <r>
    <s v="TXN_01211"/>
    <d v="2024-11-16T00:00:00"/>
    <x v="0"/>
    <s v="Saturday"/>
    <s v="STORE_007"/>
    <x v="3"/>
    <x v="3"/>
    <x v="12"/>
    <n v="1568.05"/>
    <n v="8"/>
    <n v="12544.4"/>
    <n v="0"/>
    <n v="0"/>
    <n v="12544.4"/>
    <s v="Cash"/>
    <s v="CUST_00769"/>
    <n v="5"/>
    <n v="0"/>
    <n v="1568.05"/>
    <s v="No Discount"/>
  </r>
  <r>
    <s v="TXN_01212"/>
    <d v="2024-09-06T00:00:00"/>
    <x v="9"/>
    <s v="Friday"/>
    <s v="STORE_047"/>
    <x v="1"/>
    <x v="5"/>
    <x v="10"/>
    <n v="2286.62"/>
    <n v="9"/>
    <n v="20579.580000000002"/>
    <n v="5"/>
    <n v="1028.98"/>
    <n v="19550.599999999999"/>
    <s v="UPI"/>
    <s v="CUST_00069"/>
    <n v="5"/>
    <n v="1028.9800000000032"/>
    <n v="2172.2888888888888"/>
    <s v="Low"/>
  </r>
  <r>
    <s v="TXN_01213"/>
    <d v="2024-10-04T00:00:00"/>
    <x v="7"/>
    <s v="Friday"/>
    <s v="STORE_050"/>
    <x v="2"/>
    <x v="1"/>
    <x v="1"/>
    <n v="399.84"/>
    <n v="5"/>
    <n v="1999.2"/>
    <n v="15"/>
    <n v="299.88"/>
    <n v="1699.32"/>
    <s v="Debit Card"/>
    <s v="CUST_00486"/>
    <n v="3"/>
    <n v="299.88000000000011"/>
    <n v="339.86399999999998"/>
    <s v="Medium"/>
  </r>
  <r>
    <s v="TXN_01214"/>
    <d v="2024-01-19T00:00:00"/>
    <x v="2"/>
    <s v="Friday"/>
    <s v="STORE_036"/>
    <x v="0"/>
    <x v="3"/>
    <x v="12"/>
    <n v="1972.6"/>
    <n v="6"/>
    <n v="11835.6"/>
    <n v="0"/>
    <n v="0"/>
    <n v="11835.6"/>
    <s v="Wallet"/>
    <s v="CUST_00803"/>
    <n v="4"/>
    <n v="0"/>
    <n v="1972.6000000000001"/>
    <s v="No Discount"/>
  </r>
  <r>
    <s v="TXN_01215"/>
    <d v="2024-11-12T00:00:00"/>
    <x v="0"/>
    <s v="Tuesday"/>
    <s v="STORE_042"/>
    <x v="0"/>
    <x v="2"/>
    <x v="39"/>
    <n v="439.29"/>
    <n v="6"/>
    <n v="2635.74"/>
    <n v="10"/>
    <n v="263.57"/>
    <n v="2372.17"/>
    <s v="Wallet"/>
    <s v="CUST_00981"/>
    <n v="2"/>
    <n v="263.56999999999971"/>
    <n v="395.36166666666668"/>
    <s v="Medium"/>
  </r>
  <r>
    <s v="TXN_01216"/>
    <d v="2024-02-05T00:00:00"/>
    <x v="1"/>
    <s v="Monday"/>
    <s v="STORE_016"/>
    <x v="3"/>
    <x v="7"/>
    <x v="24"/>
    <n v="1180.0999999999999"/>
    <n v="4"/>
    <n v="4720.3999999999996"/>
    <n v="10"/>
    <n v="472.04"/>
    <n v="4248.3599999999997"/>
    <s v="Wallet"/>
    <s v="CUST_00434"/>
    <n v="3"/>
    <n v="472.03999999999996"/>
    <n v="1062.0899999999999"/>
    <s v="Medium"/>
  </r>
  <r>
    <s v="TXN_01217"/>
    <d v="2024-04-30T00:00:00"/>
    <x v="4"/>
    <s v="Tuesday"/>
    <s v="STORE_042"/>
    <x v="3"/>
    <x v="6"/>
    <x v="15"/>
    <n v="891.48"/>
    <n v="3"/>
    <n v="2674.44"/>
    <n v="0"/>
    <n v="0"/>
    <n v="2674.44"/>
    <s v="Credit Card"/>
    <s v="CUST_00081"/>
    <n v="1"/>
    <n v="0"/>
    <n v="891.48"/>
    <s v="No Discount"/>
  </r>
  <r>
    <s v="TXN_01218"/>
    <d v="2024-11-19T00:00:00"/>
    <x v="0"/>
    <s v="Tuesday"/>
    <s v="STORE_011"/>
    <x v="4"/>
    <x v="4"/>
    <x v="19"/>
    <n v="499.11"/>
    <n v="3"/>
    <n v="1497.33"/>
    <n v="5"/>
    <n v="74.87"/>
    <n v="1422.46"/>
    <s v="UPI"/>
    <s v="CUST_00455"/>
    <n v="5"/>
    <n v="74.869999999999891"/>
    <n v="474.15333333333336"/>
    <s v="Low"/>
  </r>
  <r>
    <s v="TXN_01219"/>
    <d v="2024-12-16T00:00:00"/>
    <x v="6"/>
    <s v="Monday"/>
    <s v="STORE_030"/>
    <x v="1"/>
    <x v="4"/>
    <x v="8"/>
    <n v="571.61"/>
    <n v="8"/>
    <n v="4572.88"/>
    <n v="0"/>
    <n v="0"/>
    <n v="4572.88"/>
    <s v="Debit Card"/>
    <s v="CUST_00167"/>
    <n v="5"/>
    <n v="0"/>
    <n v="571.61"/>
    <s v="No Discount"/>
  </r>
  <r>
    <s v="TXN_01220"/>
    <d v="2024-05-27T00:00:00"/>
    <x v="3"/>
    <s v="Monday"/>
    <s v="STORE_031"/>
    <x v="1"/>
    <x v="5"/>
    <x v="25"/>
    <n v="4824.42"/>
    <n v="2"/>
    <n v="9648.84"/>
    <n v="0"/>
    <n v="0"/>
    <n v="9648.84"/>
    <s v="Cash"/>
    <s v="CUST_00146"/>
    <n v="5"/>
    <n v="0"/>
    <n v="4824.42"/>
    <s v="No Discount"/>
  </r>
  <r>
    <s v="TXN_01221"/>
    <d v="2024-04-26T00:00:00"/>
    <x v="4"/>
    <s v="Friday"/>
    <s v="STORE_012"/>
    <x v="1"/>
    <x v="4"/>
    <x v="19"/>
    <n v="397.56"/>
    <n v="7"/>
    <n v="2782.92"/>
    <n v="15"/>
    <n v="417.44"/>
    <n v="2365.48"/>
    <s v="Cash"/>
    <s v="CUST_00628"/>
    <n v="4"/>
    <n v="417.44000000000005"/>
    <n v="337.92571428571426"/>
    <s v="Medium"/>
  </r>
  <r>
    <s v="TXN_01222"/>
    <d v="2024-02-16T00:00:00"/>
    <x v="1"/>
    <s v="Friday"/>
    <s v="STORE_047"/>
    <x v="0"/>
    <x v="6"/>
    <x v="15"/>
    <n v="986.02"/>
    <n v="10"/>
    <n v="9860.2000000000007"/>
    <n v="0"/>
    <n v="0"/>
    <n v="9860.2000000000007"/>
    <s v="Wallet"/>
    <s v="CUST_00509"/>
    <n v="1"/>
    <n v="0"/>
    <n v="986.0200000000001"/>
    <s v="No Discount"/>
  </r>
  <r>
    <s v="TXN_01223"/>
    <d v="2024-08-10T00:00:00"/>
    <x v="8"/>
    <s v="Saturday"/>
    <s v="STORE_006"/>
    <x v="1"/>
    <x v="7"/>
    <x v="28"/>
    <n v="467.89"/>
    <n v="2"/>
    <n v="935.78"/>
    <n v="10"/>
    <n v="93.58"/>
    <n v="842.2"/>
    <s v="Debit Card"/>
    <s v="CUST_00996"/>
    <n v="2"/>
    <n v="93.579999999999927"/>
    <n v="421.1"/>
    <s v="Medium"/>
  </r>
  <r>
    <s v="TXN_01224"/>
    <d v="2024-02-20T00:00:00"/>
    <x v="1"/>
    <s v="Tuesday"/>
    <s v="STORE_026"/>
    <x v="4"/>
    <x v="4"/>
    <x v="35"/>
    <n v="186.52"/>
    <n v="6"/>
    <n v="1119.1199999999999"/>
    <n v="20"/>
    <n v="223.82"/>
    <n v="895.3"/>
    <s v="Credit Card"/>
    <s v="CUST_00064"/>
    <n v="4"/>
    <n v="223.81999999999994"/>
    <n v="149.21666666666667"/>
    <s v="High"/>
  </r>
  <r>
    <s v="TXN_01225"/>
    <d v="2024-11-20T00:00:00"/>
    <x v="0"/>
    <s v="Wednesday"/>
    <s v="STORE_029"/>
    <x v="0"/>
    <x v="0"/>
    <x v="4"/>
    <n v="755.67"/>
    <n v="9"/>
    <n v="6801.03"/>
    <n v="20"/>
    <n v="1360.21"/>
    <n v="5440.82"/>
    <s v="Credit Card"/>
    <s v="CUST_00119"/>
    <n v="2"/>
    <n v="1360.21"/>
    <n v="604.53555555555556"/>
    <s v="High"/>
  </r>
  <r>
    <s v="TXN_01226"/>
    <d v="2024-12-26T00:00:00"/>
    <x v="6"/>
    <s v="Thursday"/>
    <s v="STORE_031"/>
    <x v="2"/>
    <x v="2"/>
    <x v="29"/>
    <n v="267.49"/>
    <n v="9"/>
    <n v="2407.41"/>
    <n v="0"/>
    <n v="0"/>
    <n v="2407.41"/>
    <s v="Credit Card"/>
    <s v="CUST_00044"/>
    <n v="2"/>
    <n v="0"/>
    <n v="267.49"/>
    <s v="No Discount"/>
  </r>
  <r>
    <s v="TXN_01227"/>
    <d v="2024-02-21T00:00:00"/>
    <x v="1"/>
    <s v="Wednesday"/>
    <s v="STORE_025"/>
    <x v="3"/>
    <x v="3"/>
    <x v="12"/>
    <n v="2859.9"/>
    <n v="3"/>
    <n v="8579.7000000000007"/>
    <n v="10"/>
    <n v="857.97"/>
    <n v="7721.73"/>
    <s v="Cash"/>
    <s v="CUST_00020"/>
    <n v="3"/>
    <n v="857.97000000000116"/>
    <n v="2573.91"/>
    <s v="Medium"/>
  </r>
  <r>
    <s v="TXN_01228"/>
    <d v="2024-08-15T00:00:00"/>
    <x v="8"/>
    <s v="Thursday"/>
    <s v="STORE_013"/>
    <x v="4"/>
    <x v="2"/>
    <x v="13"/>
    <n v="116.46"/>
    <n v="7"/>
    <n v="815.22"/>
    <n v="10"/>
    <n v="81.52"/>
    <n v="733.7"/>
    <s v="Credit Card"/>
    <s v="CUST_00037"/>
    <n v="1"/>
    <n v="81.519999999999982"/>
    <n v="104.81428571428572"/>
    <s v="Medium"/>
  </r>
  <r>
    <s v="TXN_01229"/>
    <d v="2024-03-26T00:00:00"/>
    <x v="5"/>
    <s v="Tuesday"/>
    <s v="STORE_024"/>
    <x v="4"/>
    <x v="3"/>
    <x v="12"/>
    <n v="1831.67"/>
    <n v="1"/>
    <n v="1831.67"/>
    <n v="0"/>
    <n v="0"/>
    <n v="1831.67"/>
    <s v="Credit Card"/>
    <s v="CUST_00921"/>
    <n v="5"/>
    <n v="0"/>
    <n v="1831.67"/>
    <s v="No Discount"/>
  </r>
  <r>
    <s v="TXN_01230"/>
    <d v="2024-12-21T00:00:00"/>
    <x v="6"/>
    <s v="Saturday"/>
    <s v="STORE_018"/>
    <x v="4"/>
    <x v="5"/>
    <x v="9"/>
    <n v="1851.11"/>
    <n v="9"/>
    <n v="16659.990000000002"/>
    <n v="0"/>
    <n v="0"/>
    <n v="16659.990000000002"/>
    <s v="Wallet"/>
    <s v="CUST_00384"/>
    <n v="3"/>
    <n v="0"/>
    <n v="1851.1100000000001"/>
    <s v="No Discount"/>
  </r>
  <r>
    <s v="TXN_01231"/>
    <d v="2024-06-02T00:00:00"/>
    <x v="10"/>
    <s v="Sunday"/>
    <s v="STORE_021"/>
    <x v="1"/>
    <x v="0"/>
    <x v="0"/>
    <n v="867.86"/>
    <n v="10"/>
    <n v="8678.6"/>
    <n v="0"/>
    <n v="0"/>
    <n v="8678.6"/>
    <s v="Cash"/>
    <s v="CUST_00403"/>
    <n v="2"/>
    <n v="0"/>
    <n v="867.86"/>
    <s v="No Discount"/>
  </r>
  <r>
    <s v="TXN_01232"/>
    <d v="2024-01-15T00:00:00"/>
    <x v="2"/>
    <s v="Monday"/>
    <s v="STORE_014"/>
    <x v="0"/>
    <x v="7"/>
    <x v="24"/>
    <n v="841.98"/>
    <n v="8"/>
    <n v="6735.84"/>
    <n v="10"/>
    <n v="673.58"/>
    <n v="6062.26"/>
    <s v="Wallet"/>
    <s v="CUST_00116"/>
    <n v="4"/>
    <n v="673.57999999999993"/>
    <n v="757.78250000000003"/>
    <s v="Medium"/>
  </r>
  <r>
    <s v="TXN_01233"/>
    <d v="2024-01-24T00:00:00"/>
    <x v="2"/>
    <s v="Wednesday"/>
    <s v="STORE_045"/>
    <x v="0"/>
    <x v="6"/>
    <x v="33"/>
    <n v="1706.95"/>
    <n v="4"/>
    <n v="6827.8"/>
    <n v="0"/>
    <n v="0"/>
    <n v="6827.8"/>
    <s v="Wallet"/>
    <s v="CUST_00908"/>
    <n v="3"/>
    <n v="0"/>
    <n v="1706.95"/>
    <s v="No Discount"/>
  </r>
  <r>
    <s v="TXN_01234"/>
    <d v="2024-06-15T00:00:00"/>
    <x v="10"/>
    <s v="Saturday"/>
    <s v="STORE_033"/>
    <x v="2"/>
    <x v="2"/>
    <x v="39"/>
    <n v="424.65"/>
    <n v="4"/>
    <n v="1698.6"/>
    <n v="10"/>
    <n v="169.86"/>
    <n v="1528.74"/>
    <s v="Cash"/>
    <s v="CUST_00318"/>
    <n v="2"/>
    <n v="169.8599999999999"/>
    <n v="382.185"/>
    <s v="Medium"/>
  </r>
  <r>
    <s v="TXN_01235"/>
    <d v="2024-01-29T00:00:00"/>
    <x v="2"/>
    <s v="Monday"/>
    <s v="STORE_047"/>
    <x v="1"/>
    <x v="6"/>
    <x v="14"/>
    <n v="1744.38"/>
    <n v="6"/>
    <n v="10466.280000000001"/>
    <n v="0"/>
    <n v="0"/>
    <n v="10466.280000000001"/>
    <s v="UPI"/>
    <s v="CUST_00469"/>
    <n v="4"/>
    <n v="0"/>
    <n v="1744.38"/>
    <s v="No Discount"/>
  </r>
  <r>
    <s v="TXN_01236"/>
    <d v="2024-05-30T00:00:00"/>
    <x v="3"/>
    <s v="Thursday"/>
    <s v="STORE_019"/>
    <x v="0"/>
    <x v="0"/>
    <x v="27"/>
    <n v="803.09"/>
    <n v="8"/>
    <n v="6424.72"/>
    <n v="5"/>
    <n v="321.24"/>
    <n v="6103.48"/>
    <s v="Wallet"/>
    <s v="CUST_00080"/>
    <n v="5"/>
    <n v="321.24000000000069"/>
    <n v="762.93499999999995"/>
    <s v="Low"/>
  </r>
  <r>
    <s v="TXN_01237"/>
    <d v="2024-07-02T00:00:00"/>
    <x v="11"/>
    <s v="Tuesday"/>
    <s v="STORE_001"/>
    <x v="1"/>
    <x v="7"/>
    <x v="28"/>
    <n v="1323.22"/>
    <n v="10"/>
    <n v="13232.2"/>
    <n v="0"/>
    <n v="0"/>
    <n v="13232.2"/>
    <s v="Credit Card"/>
    <s v="CUST_00456"/>
    <n v="3"/>
    <n v="0"/>
    <n v="1323.22"/>
    <s v="No Discount"/>
  </r>
  <r>
    <s v="TXN_01238"/>
    <d v="2024-07-10T00:00:00"/>
    <x v="11"/>
    <s v="Wednesday"/>
    <s v="STORE_042"/>
    <x v="0"/>
    <x v="0"/>
    <x v="27"/>
    <n v="968.97"/>
    <n v="2"/>
    <n v="1937.94"/>
    <n v="0"/>
    <n v="0"/>
    <n v="1937.94"/>
    <s v="Cash"/>
    <s v="CUST_00995"/>
    <n v="2"/>
    <n v="0"/>
    <n v="968.97"/>
    <s v="No Discount"/>
  </r>
  <r>
    <s v="TXN_01239"/>
    <d v="2024-08-08T00:00:00"/>
    <x v="8"/>
    <s v="Thursday"/>
    <s v="STORE_050"/>
    <x v="2"/>
    <x v="0"/>
    <x v="32"/>
    <n v="260.88"/>
    <n v="7"/>
    <n v="1826.16"/>
    <n v="15"/>
    <n v="273.92"/>
    <n v="1552.24"/>
    <s v="Credit Card"/>
    <s v="CUST_00921"/>
    <n v="3"/>
    <n v="273.92000000000007"/>
    <n v="221.74857142857144"/>
    <s v="Medium"/>
  </r>
  <r>
    <s v="TXN_01240"/>
    <d v="2024-03-15T00:00:00"/>
    <x v="5"/>
    <s v="Friday"/>
    <s v="STORE_041"/>
    <x v="2"/>
    <x v="7"/>
    <x v="24"/>
    <n v="470.21"/>
    <n v="8"/>
    <n v="3761.68"/>
    <n v="20"/>
    <n v="752.34"/>
    <n v="3009.34"/>
    <s v="Debit Card"/>
    <s v="CUST_00902"/>
    <n v="1"/>
    <n v="752.33999999999969"/>
    <n v="376.16750000000002"/>
    <s v="High"/>
  </r>
  <r>
    <s v="TXN_01241"/>
    <d v="2024-05-05T00:00:00"/>
    <x v="3"/>
    <s v="Sunday"/>
    <s v="STORE_038"/>
    <x v="4"/>
    <x v="1"/>
    <x v="31"/>
    <n v="56.45"/>
    <n v="2"/>
    <n v="112.9"/>
    <n v="15"/>
    <n v="16.93"/>
    <n v="95.97"/>
    <s v="Debit Card"/>
    <s v="CUST_00280"/>
    <n v="4"/>
    <n v="16.930000000000007"/>
    <n v="47.984999999999999"/>
    <s v="Medium"/>
  </r>
  <r>
    <s v="TXN_01242"/>
    <d v="2024-09-28T00:00:00"/>
    <x v="9"/>
    <s v="Saturday"/>
    <s v="STORE_005"/>
    <x v="3"/>
    <x v="2"/>
    <x v="2"/>
    <n v="592.01"/>
    <n v="8"/>
    <n v="4736.08"/>
    <n v="0"/>
    <n v="0"/>
    <n v="4736.08"/>
    <s v="Debit Card"/>
    <s v="CUST_00695"/>
    <n v="2"/>
    <n v="0"/>
    <n v="592.01"/>
    <s v="No Discount"/>
  </r>
  <r>
    <s v="TXN_01243"/>
    <d v="2024-07-29T00:00:00"/>
    <x v="11"/>
    <s v="Monday"/>
    <s v="STORE_012"/>
    <x v="2"/>
    <x v="0"/>
    <x v="18"/>
    <n v="229.73"/>
    <n v="7"/>
    <n v="1608.11"/>
    <n v="20"/>
    <n v="321.62"/>
    <n v="1286.49"/>
    <s v="UPI"/>
    <s v="CUST_00591"/>
    <n v="4"/>
    <n v="321.61999999999989"/>
    <n v="183.78428571428572"/>
    <s v="High"/>
  </r>
  <r>
    <s v="TXN_01244"/>
    <d v="2024-10-16T00:00:00"/>
    <x v="7"/>
    <s v="Wednesday"/>
    <s v="STORE_013"/>
    <x v="1"/>
    <x v="6"/>
    <x v="30"/>
    <n v="1939.14"/>
    <n v="5"/>
    <n v="9695.7000000000007"/>
    <n v="15"/>
    <n v="1454.36"/>
    <n v="8241.34"/>
    <s v="Cash"/>
    <s v="CUST_00025"/>
    <n v="4"/>
    <n v="1454.3600000000006"/>
    <n v="1648.268"/>
    <s v="Medium"/>
  </r>
  <r>
    <s v="TXN_01245"/>
    <d v="2024-12-15T00:00:00"/>
    <x v="6"/>
    <s v="Sunday"/>
    <s v="STORE_037"/>
    <x v="3"/>
    <x v="2"/>
    <x v="29"/>
    <n v="264.37"/>
    <n v="8"/>
    <n v="2114.96"/>
    <n v="20"/>
    <n v="422.99"/>
    <n v="1691.97"/>
    <s v="Credit Card"/>
    <s v="CUST_00573"/>
    <n v="1"/>
    <n v="422.99"/>
    <n v="211.49625"/>
    <s v="High"/>
  </r>
  <r>
    <s v="TXN_01246"/>
    <d v="2024-04-02T00:00:00"/>
    <x v="4"/>
    <s v="Tuesday"/>
    <s v="STORE_039"/>
    <x v="1"/>
    <x v="1"/>
    <x v="31"/>
    <n v="372.01"/>
    <n v="1"/>
    <n v="372.01"/>
    <n v="0"/>
    <n v="0"/>
    <n v="372.01"/>
    <s v="Cash"/>
    <s v="CUST_00468"/>
    <n v="1"/>
    <n v="0"/>
    <n v="372.01"/>
    <s v="No Discount"/>
  </r>
  <r>
    <s v="TXN_01247"/>
    <d v="2024-03-28T00:00:00"/>
    <x v="5"/>
    <s v="Thursday"/>
    <s v="STORE_010"/>
    <x v="1"/>
    <x v="1"/>
    <x v="3"/>
    <n v="123.75"/>
    <n v="6"/>
    <n v="742.5"/>
    <n v="15"/>
    <n v="111.38"/>
    <n v="631.12"/>
    <s v="Wallet"/>
    <s v="CUST_00753"/>
    <n v="5"/>
    <n v="111.38"/>
    <n v="105.18666666666667"/>
    <s v="Medium"/>
  </r>
  <r>
    <s v="TXN_01248"/>
    <d v="2024-03-30T00:00:00"/>
    <x v="5"/>
    <s v="Saturday"/>
    <s v="STORE_050"/>
    <x v="1"/>
    <x v="4"/>
    <x v="19"/>
    <n v="228.28"/>
    <n v="7"/>
    <n v="1597.96"/>
    <n v="0"/>
    <n v="0"/>
    <n v="1597.96"/>
    <s v="UPI"/>
    <s v="CUST_00152"/>
    <n v="3"/>
    <n v="0"/>
    <n v="228.28"/>
    <s v="No Discount"/>
  </r>
  <r>
    <s v="TXN_01249"/>
    <d v="2024-02-10T00:00:00"/>
    <x v="1"/>
    <s v="Saturday"/>
    <s v="STORE_009"/>
    <x v="1"/>
    <x v="1"/>
    <x v="3"/>
    <n v="233.52"/>
    <n v="7"/>
    <n v="1634.64"/>
    <n v="0"/>
    <n v="0"/>
    <n v="1634.64"/>
    <s v="Wallet"/>
    <s v="CUST_00947"/>
    <n v="3"/>
    <n v="0"/>
    <n v="233.52"/>
    <s v="No Discount"/>
  </r>
  <r>
    <s v="TXN_01250"/>
    <d v="2024-11-08T00:00:00"/>
    <x v="0"/>
    <s v="Friday"/>
    <s v="STORE_022"/>
    <x v="4"/>
    <x v="4"/>
    <x v="19"/>
    <n v="352.85"/>
    <n v="9"/>
    <n v="3175.65"/>
    <n v="20"/>
    <n v="635.13"/>
    <n v="2540.52"/>
    <s v="Debit Card"/>
    <s v="CUST_00941"/>
    <n v="1"/>
    <n v="635.13000000000011"/>
    <n v="282.27999999999997"/>
    <s v="High"/>
  </r>
  <r>
    <s v="TXN_01251"/>
    <d v="2024-07-14T00:00:00"/>
    <x v="11"/>
    <s v="Sunday"/>
    <s v="STORE_014"/>
    <x v="3"/>
    <x v="5"/>
    <x v="10"/>
    <n v="2366.6"/>
    <n v="3"/>
    <n v="7099.8"/>
    <n v="20"/>
    <n v="1419.96"/>
    <n v="5679.84"/>
    <s v="Wallet"/>
    <s v="CUST_00084"/>
    <n v="2"/>
    <n v="1419.96"/>
    <n v="1893.28"/>
    <s v="High"/>
  </r>
  <r>
    <s v="TXN_01252"/>
    <d v="2024-11-13T00:00:00"/>
    <x v="0"/>
    <s v="Wednesday"/>
    <s v="STORE_037"/>
    <x v="2"/>
    <x v="0"/>
    <x v="18"/>
    <n v="992.4"/>
    <n v="9"/>
    <n v="8931.6"/>
    <n v="0"/>
    <n v="0"/>
    <n v="8931.6"/>
    <s v="Wallet"/>
    <s v="CUST_00261"/>
    <n v="1"/>
    <n v="0"/>
    <n v="992.40000000000009"/>
    <s v="No Discount"/>
  </r>
  <r>
    <s v="TXN_01253"/>
    <d v="2024-12-15T00:00:00"/>
    <x v="6"/>
    <s v="Sunday"/>
    <s v="STORE_047"/>
    <x v="1"/>
    <x v="5"/>
    <x v="11"/>
    <n v="3736.04"/>
    <n v="6"/>
    <n v="22416.240000000002"/>
    <n v="5"/>
    <n v="1120.81"/>
    <n v="21295.43"/>
    <s v="Credit Card"/>
    <s v="CUST_00562"/>
    <n v="3"/>
    <n v="1120.8100000000013"/>
    <n v="3549.2383333333332"/>
    <s v="Low"/>
  </r>
  <r>
    <s v="TXN_01254"/>
    <d v="2024-05-03T00:00:00"/>
    <x v="3"/>
    <s v="Friday"/>
    <s v="STORE_048"/>
    <x v="3"/>
    <x v="0"/>
    <x v="27"/>
    <n v="725.51"/>
    <n v="7"/>
    <n v="5078.57"/>
    <n v="0"/>
    <n v="0"/>
    <n v="5078.57"/>
    <s v="Wallet"/>
    <s v="CUST_00705"/>
    <n v="3"/>
    <n v="0"/>
    <n v="725.51"/>
    <s v="No Discount"/>
  </r>
  <r>
    <s v="TXN_01255"/>
    <d v="2024-09-11T00:00:00"/>
    <x v="9"/>
    <s v="Wednesday"/>
    <s v="STORE_033"/>
    <x v="2"/>
    <x v="7"/>
    <x v="38"/>
    <n v="1068.56"/>
    <n v="8"/>
    <n v="8548.48"/>
    <n v="0"/>
    <n v="0"/>
    <n v="8548.48"/>
    <s v="Debit Card"/>
    <s v="CUST_00508"/>
    <n v="1"/>
    <n v="0"/>
    <n v="1068.56"/>
    <s v="No Discount"/>
  </r>
  <r>
    <s v="TXN_01256"/>
    <d v="2024-10-25T00:00:00"/>
    <x v="7"/>
    <s v="Friday"/>
    <s v="STORE_014"/>
    <x v="4"/>
    <x v="5"/>
    <x v="34"/>
    <n v="3779.75"/>
    <n v="5"/>
    <n v="18898.75"/>
    <n v="0"/>
    <n v="0"/>
    <n v="18898.75"/>
    <s v="UPI"/>
    <s v="CUST_00654"/>
    <n v="3"/>
    <n v="0"/>
    <n v="3779.75"/>
    <s v="No Discount"/>
  </r>
  <r>
    <s v="TXN_01257"/>
    <d v="2024-03-14T00:00:00"/>
    <x v="5"/>
    <s v="Thursday"/>
    <s v="STORE_012"/>
    <x v="2"/>
    <x v="7"/>
    <x v="38"/>
    <n v="328.21"/>
    <n v="1"/>
    <n v="328.21"/>
    <n v="0"/>
    <n v="0"/>
    <n v="328.21"/>
    <s v="Credit Card"/>
    <s v="CUST_00069"/>
    <n v="2"/>
    <n v="0"/>
    <n v="328.21"/>
    <s v="No Discount"/>
  </r>
  <r>
    <s v="TXN_01258"/>
    <d v="2024-04-28T00:00:00"/>
    <x v="4"/>
    <s v="Sunday"/>
    <s v="STORE_045"/>
    <x v="4"/>
    <x v="2"/>
    <x v="13"/>
    <n v="765.71"/>
    <n v="7"/>
    <n v="5359.97"/>
    <n v="0"/>
    <n v="0"/>
    <n v="5359.97"/>
    <s v="UPI"/>
    <s v="CUST_00308"/>
    <n v="1"/>
    <n v="0"/>
    <n v="765.71"/>
    <s v="No Discount"/>
  </r>
  <r>
    <s v="TXN_01259"/>
    <d v="2024-08-24T00:00:00"/>
    <x v="8"/>
    <s v="Saturday"/>
    <s v="STORE_031"/>
    <x v="4"/>
    <x v="4"/>
    <x v="19"/>
    <n v="318.70999999999998"/>
    <n v="5"/>
    <n v="1593.55"/>
    <n v="5"/>
    <n v="79.680000000000007"/>
    <n v="1513.87"/>
    <s v="Wallet"/>
    <s v="CUST_00608"/>
    <n v="5"/>
    <n v="79.680000000000064"/>
    <n v="302.774"/>
    <s v="Low"/>
  </r>
  <r>
    <s v="TXN_01260"/>
    <d v="2024-11-22T00:00:00"/>
    <x v="0"/>
    <s v="Friday"/>
    <s v="STORE_017"/>
    <x v="3"/>
    <x v="6"/>
    <x v="33"/>
    <n v="1965.52"/>
    <n v="8"/>
    <n v="15724.16"/>
    <n v="0"/>
    <n v="0"/>
    <n v="15724.16"/>
    <s v="Cash"/>
    <s v="CUST_00882"/>
    <n v="1"/>
    <n v="0"/>
    <n v="1965.52"/>
    <s v="No Discount"/>
  </r>
  <r>
    <s v="TXN_01261"/>
    <d v="2024-05-10T00:00:00"/>
    <x v="3"/>
    <s v="Friday"/>
    <s v="STORE_023"/>
    <x v="3"/>
    <x v="0"/>
    <x v="27"/>
    <n v="815.83"/>
    <n v="7"/>
    <n v="5710.81"/>
    <n v="15"/>
    <n v="856.62"/>
    <n v="4854.1899999999996"/>
    <s v="Wallet"/>
    <s v="CUST_00028"/>
    <n v="5"/>
    <n v="856.6200000000008"/>
    <n v="693.45571428571418"/>
    <s v="Medium"/>
  </r>
  <r>
    <s v="TXN_01262"/>
    <d v="2024-08-23T00:00:00"/>
    <x v="8"/>
    <s v="Friday"/>
    <s v="STORE_006"/>
    <x v="2"/>
    <x v="0"/>
    <x v="18"/>
    <n v="970.21"/>
    <n v="2"/>
    <n v="1940.42"/>
    <n v="5"/>
    <n v="97.02"/>
    <n v="1843.4"/>
    <s v="Cash"/>
    <s v="CUST_00252"/>
    <n v="5"/>
    <n v="97.019999999999982"/>
    <n v="921.7"/>
    <s v="Low"/>
  </r>
  <r>
    <s v="TXN_01263"/>
    <d v="2024-05-10T00:00:00"/>
    <x v="3"/>
    <s v="Friday"/>
    <s v="STORE_003"/>
    <x v="1"/>
    <x v="7"/>
    <x v="37"/>
    <n v="755.82"/>
    <n v="6"/>
    <n v="4534.92"/>
    <n v="0"/>
    <n v="0"/>
    <n v="4534.92"/>
    <s v="Wallet"/>
    <s v="CUST_00318"/>
    <n v="4"/>
    <n v="0"/>
    <n v="755.82"/>
    <s v="No Discount"/>
  </r>
  <r>
    <s v="TXN_01264"/>
    <d v="2024-12-07T00:00:00"/>
    <x v="6"/>
    <s v="Saturday"/>
    <s v="STORE_044"/>
    <x v="2"/>
    <x v="1"/>
    <x v="31"/>
    <n v="326.17"/>
    <n v="2"/>
    <n v="652.34"/>
    <n v="0"/>
    <n v="0"/>
    <n v="652.34"/>
    <s v="Debit Card"/>
    <s v="CUST_00958"/>
    <n v="5"/>
    <n v="0"/>
    <n v="326.17"/>
    <s v="No Discount"/>
  </r>
  <r>
    <s v="TXN_01265"/>
    <d v="2024-01-05T00:00:00"/>
    <x v="2"/>
    <s v="Friday"/>
    <s v="STORE_035"/>
    <x v="2"/>
    <x v="1"/>
    <x v="36"/>
    <n v="275.93"/>
    <n v="8"/>
    <n v="2207.44"/>
    <n v="0"/>
    <n v="0"/>
    <n v="2207.44"/>
    <s v="Wallet"/>
    <s v="CUST_00260"/>
    <n v="4"/>
    <n v="0"/>
    <n v="275.93"/>
    <s v="No Discount"/>
  </r>
  <r>
    <s v="TXN_01266"/>
    <d v="2024-08-26T00:00:00"/>
    <x v="8"/>
    <s v="Monday"/>
    <s v="STORE_019"/>
    <x v="4"/>
    <x v="7"/>
    <x v="23"/>
    <n v="889.32"/>
    <n v="8"/>
    <n v="7114.56"/>
    <n v="0"/>
    <n v="0"/>
    <n v="7114.56"/>
    <s v="Debit Card"/>
    <s v="CUST_00340"/>
    <n v="1"/>
    <n v="0"/>
    <n v="889.32"/>
    <s v="No Discount"/>
  </r>
  <r>
    <s v="TXN_01267"/>
    <d v="2024-05-27T00:00:00"/>
    <x v="3"/>
    <s v="Monday"/>
    <s v="STORE_016"/>
    <x v="2"/>
    <x v="0"/>
    <x v="18"/>
    <n v="749.45"/>
    <n v="2"/>
    <n v="1498.9"/>
    <n v="0"/>
    <n v="0"/>
    <n v="1498.9"/>
    <s v="UPI"/>
    <s v="CUST_00397"/>
    <n v="4"/>
    <n v="0"/>
    <n v="749.45"/>
    <s v="No Discount"/>
  </r>
  <r>
    <s v="TXN_01268"/>
    <d v="2024-12-12T00:00:00"/>
    <x v="6"/>
    <s v="Thursday"/>
    <s v="STORE_032"/>
    <x v="0"/>
    <x v="5"/>
    <x v="9"/>
    <n v="1175.5"/>
    <n v="3"/>
    <n v="3526.5"/>
    <n v="0"/>
    <n v="0"/>
    <n v="3526.5"/>
    <s v="Cash"/>
    <s v="CUST_00731"/>
    <n v="5"/>
    <n v="0"/>
    <n v="1175.5"/>
    <s v="No Discount"/>
  </r>
  <r>
    <s v="TXN_01269"/>
    <d v="2024-10-06T00:00:00"/>
    <x v="7"/>
    <s v="Sunday"/>
    <s v="STORE_002"/>
    <x v="3"/>
    <x v="1"/>
    <x v="36"/>
    <n v="95.69"/>
    <n v="3"/>
    <n v="287.07"/>
    <n v="0"/>
    <n v="0"/>
    <n v="287.07"/>
    <s v="Wallet"/>
    <s v="CUST_00509"/>
    <n v="5"/>
    <n v="0"/>
    <n v="95.69"/>
    <s v="No Discount"/>
  </r>
  <r>
    <s v="TXN_01270"/>
    <d v="2024-03-21T00:00:00"/>
    <x v="5"/>
    <s v="Thursday"/>
    <s v="STORE_007"/>
    <x v="3"/>
    <x v="4"/>
    <x v="19"/>
    <n v="159.24"/>
    <n v="9"/>
    <n v="1433.16"/>
    <n v="15"/>
    <n v="214.97"/>
    <n v="1218.19"/>
    <s v="Cash"/>
    <s v="CUST_00486"/>
    <n v="5"/>
    <n v="214.97000000000003"/>
    <n v="135.35444444444445"/>
    <s v="Medium"/>
  </r>
  <r>
    <s v="TXN_01271"/>
    <d v="2024-02-07T00:00:00"/>
    <x v="1"/>
    <s v="Wednesday"/>
    <s v="STORE_017"/>
    <x v="1"/>
    <x v="6"/>
    <x v="15"/>
    <n v="1154.44"/>
    <n v="7"/>
    <n v="8081.08"/>
    <n v="0"/>
    <n v="0"/>
    <n v="8081.08"/>
    <s v="Credit Card"/>
    <s v="CUST_00487"/>
    <n v="1"/>
    <n v="0"/>
    <n v="1154.44"/>
    <s v="No Discount"/>
  </r>
  <r>
    <s v="TXN_01272"/>
    <d v="2024-08-14T00:00:00"/>
    <x v="8"/>
    <s v="Wednesday"/>
    <s v="STORE_006"/>
    <x v="4"/>
    <x v="0"/>
    <x v="27"/>
    <n v="935.42"/>
    <n v="3"/>
    <n v="2806.26"/>
    <n v="0"/>
    <n v="0"/>
    <n v="2806.26"/>
    <s v="Credit Card"/>
    <s v="CUST_00192"/>
    <n v="2"/>
    <n v="0"/>
    <n v="935.42000000000007"/>
    <s v="No Discount"/>
  </r>
  <r>
    <s v="TXN_01273"/>
    <d v="2024-06-25T00:00:00"/>
    <x v="10"/>
    <s v="Tuesday"/>
    <s v="STORE_031"/>
    <x v="2"/>
    <x v="3"/>
    <x v="5"/>
    <n v="2047.61"/>
    <n v="9"/>
    <n v="18428.490000000002"/>
    <n v="0"/>
    <n v="0"/>
    <n v="18428.490000000002"/>
    <s v="Wallet"/>
    <s v="CUST_00995"/>
    <n v="3"/>
    <n v="0"/>
    <n v="2047.6100000000001"/>
    <s v="No Discount"/>
  </r>
  <r>
    <s v="TXN_01274"/>
    <d v="2024-10-27T00:00:00"/>
    <x v="7"/>
    <s v="Sunday"/>
    <s v="STORE_010"/>
    <x v="1"/>
    <x v="5"/>
    <x v="10"/>
    <n v="2653.02"/>
    <n v="9"/>
    <n v="23877.18"/>
    <n v="0"/>
    <n v="0"/>
    <n v="23877.18"/>
    <s v="Debit Card"/>
    <s v="CUST_00137"/>
    <n v="2"/>
    <n v="0"/>
    <n v="2653.02"/>
    <s v="No Discount"/>
  </r>
  <r>
    <s v="TXN_01275"/>
    <d v="2024-06-02T00:00:00"/>
    <x v="10"/>
    <s v="Sunday"/>
    <s v="STORE_034"/>
    <x v="1"/>
    <x v="0"/>
    <x v="18"/>
    <n v="497.49"/>
    <n v="9"/>
    <n v="4477.41"/>
    <n v="20"/>
    <n v="895.48"/>
    <n v="3581.93"/>
    <s v="Credit Card"/>
    <s v="CUST_00600"/>
    <n v="1"/>
    <n v="895.48"/>
    <n v="397.99222222222221"/>
    <s v="High"/>
  </r>
  <r>
    <s v="TXN_01276"/>
    <d v="2024-11-23T00:00:00"/>
    <x v="0"/>
    <s v="Saturday"/>
    <s v="STORE_014"/>
    <x v="0"/>
    <x v="6"/>
    <x v="15"/>
    <n v="1820.58"/>
    <n v="3"/>
    <n v="5461.74"/>
    <n v="0"/>
    <n v="0"/>
    <n v="5461.74"/>
    <s v="Debit Card"/>
    <s v="CUST_00680"/>
    <n v="4"/>
    <n v="0"/>
    <n v="1820.58"/>
    <s v="No Discount"/>
  </r>
  <r>
    <s v="TXN_01277"/>
    <d v="2024-08-05T00:00:00"/>
    <x v="8"/>
    <s v="Monday"/>
    <s v="STORE_041"/>
    <x v="4"/>
    <x v="1"/>
    <x v="1"/>
    <n v="265.43"/>
    <n v="2"/>
    <n v="530.86"/>
    <n v="0"/>
    <n v="0"/>
    <n v="530.86"/>
    <s v="UPI"/>
    <s v="CUST_00880"/>
    <n v="5"/>
    <n v="0"/>
    <n v="265.43"/>
    <s v="No Discount"/>
  </r>
  <r>
    <s v="TXN_01278"/>
    <d v="2024-12-19T00:00:00"/>
    <x v="6"/>
    <s v="Thursday"/>
    <s v="STORE_033"/>
    <x v="2"/>
    <x v="7"/>
    <x v="38"/>
    <n v="1100.5"/>
    <n v="9"/>
    <n v="9904.5"/>
    <n v="0"/>
    <n v="0"/>
    <n v="9904.5"/>
    <s v="Credit Card"/>
    <s v="CUST_00580"/>
    <n v="4"/>
    <n v="0"/>
    <n v="1100.5"/>
    <s v="No Discount"/>
  </r>
  <r>
    <s v="TXN_01279"/>
    <d v="2024-05-08T00:00:00"/>
    <x v="3"/>
    <s v="Wednesday"/>
    <s v="STORE_017"/>
    <x v="3"/>
    <x v="5"/>
    <x v="11"/>
    <n v="3507.76"/>
    <n v="7"/>
    <n v="24554.32"/>
    <n v="20"/>
    <n v="4910.8599999999997"/>
    <n v="19643.46"/>
    <s v="Cash"/>
    <s v="CUST_00062"/>
    <n v="2"/>
    <n v="4910.8600000000006"/>
    <n v="2806.2085714285713"/>
    <s v="High"/>
  </r>
  <r>
    <s v="TXN_01280"/>
    <d v="2024-08-21T00:00:00"/>
    <x v="8"/>
    <s v="Wednesday"/>
    <s v="STORE_026"/>
    <x v="3"/>
    <x v="0"/>
    <x v="18"/>
    <n v="896.53"/>
    <n v="7"/>
    <n v="6275.71"/>
    <n v="0"/>
    <n v="0"/>
    <n v="6275.71"/>
    <s v="Debit Card"/>
    <s v="CUST_00621"/>
    <n v="3"/>
    <n v="0"/>
    <n v="896.53"/>
    <s v="No Discount"/>
  </r>
  <r>
    <s v="TXN_01281"/>
    <d v="2024-06-03T00:00:00"/>
    <x v="10"/>
    <s v="Monday"/>
    <s v="STORE_039"/>
    <x v="4"/>
    <x v="3"/>
    <x v="12"/>
    <n v="1542.22"/>
    <n v="9"/>
    <n v="13879.98"/>
    <n v="5"/>
    <n v="694"/>
    <n v="13185.98"/>
    <s v="Debit Card"/>
    <s v="CUST_00295"/>
    <n v="2"/>
    <n v="694"/>
    <n v="1465.1088888888889"/>
    <s v="Low"/>
  </r>
  <r>
    <s v="TXN_01282"/>
    <d v="2024-04-11T00:00:00"/>
    <x v="4"/>
    <s v="Thursday"/>
    <s v="STORE_006"/>
    <x v="0"/>
    <x v="1"/>
    <x v="36"/>
    <n v="244.73"/>
    <n v="1"/>
    <n v="244.73"/>
    <n v="5"/>
    <n v="12.24"/>
    <n v="232.49"/>
    <s v="Credit Card"/>
    <s v="CUST_00792"/>
    <n v="5"/>
    <n v="12.239999999999981"/>
    <n v="232.49"/>
    <s v="Low"/>
  </r>
  <r>
    <s v="TXN_01283"/>
    <d v="2024-07-15T00:00:00"/>
    <x v="11"/>
    <s v="Monday"/>
    <s v="STORE_035"/>
    <x v="4"/>
    <x v="6"/>
    <x v="15"/>
    <n v="916.08"/>
    <n v="5"/>
    <n v="4580.3999999999996"/>
    <n v="5"/>
    <n v="229.02"/>
    <n v="4351.38"/>
    <s v="Cash"/>
    <s v="CUST_00335"/>
    <n v="3"/>
    <n v="229.01999999999953"/>
    <n v="870.27600000000007"/>
    <s v="Low"/>
  </r>
  <r>
    <s v="TXN_01284"/>
    <d v="2024-09-04T00:00:00"/>
    <x v="9"/>
    <s v="Wednesday"/>
    <s v="STORE_044"/>
    <x v="4"/>
    <x v="2"/>
    <x v="13"/>
    <n v="458.01"/>
    <n v="7"/>
    <n v="3206.07"/>
    <n v="20"/>
    <n v="641.21"/>
    <n v="2564.86"/>
    <s v="Wallet"/>
    <s v="CUST_00614"/>
    <n v="5"/>
    <n v="641.21"/>
    <n v="366.40857142857146"/>
    <s v="High"/>
  </r>
  <r>
    <s v="TXN_01285"/>
    <d v="2024-02-24T00:00:00"/>
    <x v="1"/>
    <s v="Saturday"/>
    <s v="STORE_040"/>
    <x v="2"/>
    <x v="5"/>
    <x v="9"/>
    <n v="2348.3000000000002"/>
    <n v="8"/>
    <n v="18786.400000000001"/>
    <n v="0"/>
    <n v="0"/>
    <n v="18786.400000000001"/>
    <s v="Wallet"/>
    <s v="CUST_00258"/>
    <n v="5"/>
    <n v="0"/>
    <n v="2348.3000000000002"/>
    <s v="No Discount"/>
  </r>
  <r>
    <s v="TXN_01286"/>
    <d v="2024-05-01T00:00:00"/>
    <x v="3"/>
    <s v="Wednesday"/>
    <s v="STORE_021"/>
    <x v="0"/>
    <x v="2"/>
    <x v="39"/>
    <n v="712.33"/>
    <n v="10"/>
    <n v="7123.3"/>
    <n v="10"/>
    <n v="712.33"/>
    <n v="6410.97"/>
    <s v="Debit Card"/>
    <s v="CUST_00580"/>
    <n v="3"/>
    <n v="712.32999999999993"/>
    <n v="641.09699999999998"/>
    <s v="Medium"/>
  </r>
  <r>
    <s v="TXN_01287"/>
    <d v="2024-07-14T00:00:00"/>
    <x v="11"/>
    <s v="Sunday"/>
    <s v="STORE_044"/>
    <x v="3"/>
    <x v="3"/>
    <x v="22"/>
    <n v="2922.55"/>
    <n v="4"/>
    <n v="11690.2"/>
    <n v="20"/>
    <n v="2338.04"/>
    <n v="9352.16"/>
    <s v="Cash"/>
    <s v="CUST_00286"/>
    <n v="5"/>
    <n v="2338.0400000000009"/>
    <n v="2338.04"/>
    <s v="High"/>
  </r>
  <r>
    <s v="TXN_01288"/>
    <d v="2024-10-19T00:00:00"/>
    <x v="7"/>
    <s v="Saturday"/>
    <s v="STORE_050"/>
    <x v="1"/>
    <x v="2"/>
    <x v="7"/>
    <n v="396.69"/>
    <n v="4"/>
    <n v="1586.76"/>
    <n v="20"/>
    <n v="317.35000000000002"/>
    <n v="1269.4100000000001"/>
    <s v="Wallet"/>
    <s v="CUST_00195"/>
    <n v="2"/>
    <n v="317.34999999999991"/>
    <n v="317.35250000000002"/>
    <s v="High"/>
  </r>
  <r>
    <s v="TXN_01289"/>
    <d v="2024-07-02T00:00:00"/>
    <x v="11"/>
    <s v="Tuesday"/>
    <s v="STORE_034"/>
    <x v="0"/>
    <x v="4"/>
    <x v="17"/>
    <n v="398.81"/>
    <n v="4"/>
    <n v="1595.24"/>
    <n v="20"/>
    <n v="319.05"/>
    <n v="1276.19"/>
    <s v="UPI"/>
    <s v="CUST_00121"/>
    <n v="5"/>
    <n v="319.04999999999995"/>
    <n v="319.04750000000001"/>
    <s v="High"/>
  </r>
  <r>
    <s v="TXN_01290"/>
    <d v="2024-10-21T00:00:00"/>
    <x v="7"/>
    <s v="Monday"/>
    <s v="STORE_016"/>
    <x v="3"/>
    <x v="2"/>
    <x v="29"/>
    <n v="244.01"/>
    <n v="6"/>
    <n v="1464.06"/>
    <n v="0"/>
    <n v="0"/>
    <n v="1464.06"/>
    <s v="UPI"/>
    <s v="CUST_00496"/>
    <n v="3"/>
    <n v="0"/>
    <n v="244.01"/>
    <s v="No Discount"/>
  </r>
  <r>
    <s v="TXN_01291"/>
    <d v="2024-05-31T00:00:00"/>
    <x v="3"/>
    <s v="Friday"/>
    <s v="STORE_005"/>
    <x v="1"/>
    <x v="2"/>
    <x v="7"/>
    <n v="421.36"/>
    <n v="6"/>
    <n v="2528.16"/>
    <n v="0"/>
    <n v="0"/>
    <n v="2528.16"/>
    <s v="Cash"/>
    <s v="CUST_00128"/>
    <n v="5"/>
    <n v="0"/>
    <n v="421.35999999999996"/>
    <s v="No Discount"/>
  </r>
  <r>
    <s v="TXN_01292"/>
    <d v="2024-12-24T00:00:00"/>
    <x v="6"/>
    <s v="Tuesday"/>
    <s v="STORE_032"/>
    <x v="3"/>
    <x v="0"/>
    <x v="27"/>
    <n v="987.09"/>
    <n v="1"/>
    <n v="987.09"/>
    <n v="0"/>
    <n v="0"/>
    <n v="987.09"/>
    <s v="Debit Card"/>
    <s v="CUST_00958"/>
    <n v="3"/>
    <n v="0"/>
    <n v="987.09"/>
    <s v="No Discount"/>
  </r>
  <r>
    <s v="TXN_01293"/>
    <d v="2024-05-31T00:00:00"/>
    <x v="3"/>
    <s v="Friday"/>
    <s v="STORE_041"/>
    <x v="3"/>
    <x v="2"/>
    <x v="7"/>
    <n v="497.22"/>
    <n v="4"/>
    <n v="1988.88"/>
    <n v="0"/>
    <n v="0"/>
    <n v="1988.88"/>
    <s v="Credit Card"/>
    <s v="CUST_00610"/>
    <n v="4"/>
    <n v="0"/>
    <n v="497.22"/>
    <s v="No Discount"/>
  </r>
  <r>
    <s v="TXN_01294"/>
    <d v="2024-01-12T00:00:00"/>
    <x v="2"/>
    <s v="Friday"/>
    <s v="STORE_008"/>
    <x v="1"/>
    <x v="7"/>
    <x v="37"/>
    <n v="824.61"/>
    <n v="6"/>
    <n v="4947.66"/>
    <n v="0"/>
    <n v="0"/>
    <n v="4947.66"/>
    <s v="Debit Card"/>
    <s v="CUST_00779"/>
    <n v="2"/>
    <n v="0"/>
    <n v="824.61"/>
    <s v="No Discount"/>
  </r>
  <r>
    <s v="TXN_01295"/>
    <d v="2024-12-03T00:00:00"/>
    <x v="6"/>
    <s v="Tuesday"/>
    <s v="STORE_018"/>
    <x v="0"/>
    <x v="6"/>
    <x v="30"/>
    <n v="1770.76"/>
    <n v="5"/>
    <n v="8853.7999999999993"/>
    <n v="0"/>
    <n v="0"/>
    <n v="8853.7999999999993"/>
    <s v="Wallet"/>
    <s v="CUST_00803"/>
    <n v="5"/>
    <n v="0"/>
    <n v="1770.7599999999998"/>
    <s v="No Discount"/>
  </r>
  <r>
    <s v="TXN_01296"/>
    <d v="2024-07-21T00:00:00"/>
    <x v="11"/>
    <s v="Sunday"/>
    <s v="STORE_022"/>
    <x v="4"/>
    <x v="7"/>
    <x v="37"/>
    <n v="545.87"/>
    <n v="10"/>
    <n v="5458.7"/>
    <n v="0"/>
    <n v="0"/>
    <n v="5458.7"/>
    <s v="Credit Card"/>
    <s v="CUST_00737"/>
    <n v="1"/>
    <n v="0"/>
    <n v="545.87"/>
    <s v="No Discount"/>
  </r>
  <r>
    <s v="TXN_01297"/>
    <d v="2024-05-20T00:00:00"/>
    <x v="3"/>
    <s v="Monday"/>
    <s v="STORE_037"/>
    <x v="1"/>
    <x v="2"/>
    <x v="39"/>
    <n v="400.86"/>
    <n v="4"/>
    <n v="1603.44"/>
    <n v="0"/>
    <n v="0"/>
    <n v="1603.44"/>
    <s v="Wallet"/>
    <s v="CUST_00951"/>
    <n v="5"/>
    <n v="0"/>
    <n v="400.86"/>
    <s v="No Discount"/>
  </r>
  <r>
    <s v="TXN_01298"/>
    <d v="2024-01-05T00:00:00"/>
    <x v="2"/>
    <s v="Friday"/>
    <s v="STORE_011"/>
    <x v="3"/>
    <x v="4"/>
    <x v="20"/>
    <n v="218.27"/>
    <n v="9"/>
    <n v="1964.43"/>
    <n v="10"/>
    <n v="196.44"/>
    <n v="1767.99"/>
    <s v="Cash"/>
    <s v="CUST_00209"/>
    <n v="2"/>
    <n v="196.44000000000005"/>
    <n v="196.44333333333333"/>
    <s v="Medium"/>
  </r>
  <r>
    <s v="TXN_01299"/>
    <d v="2024-10-16T00:00:00"/>
    <x v="7"/>
    <s v="Wednesday"/>
    <s v="STORE_007"/>
    <x v="0"/>
    <x v="6"/>
    <x v="14"/>
    <n v="636.77"/>
    <n v="10"/>
    <n v="6367.7"/>
    <n v="0"/>
    <n v="0"/>
    <n v="6367.7"/>
    <s v="UPI"/>
    <s v="CUST_00866"/>
    <n v="1"/>
    <n v="0"/>
    <n v="636.77"/>
    <s v="No Discount"/>
  </r>
  <r>
    <s v="TXN_01300"/>
    <d v="2024-12-17T00:00:00"/>
    <x v="6"/>
    <s v="Tuesday"/>
    <s v="STORE_018"/>
    <x v="2"/>
    <x v="0"/>
    <x v="0"/>
    <n v="393.62"/>
    <n v="10"/>
    <n v="3936.2"/>
    <n v="0"/>
    <n v="0"/>
    <n v="3936.2"/>
    <s v="Debit Card"/>
    <s v="CUST_00004"/>
    <n v="2"/>
    <n v="0"/>
    <n v="393.62"/>
    <s v="No Discount"/>
  </r>
  <r>
    <s v="TXN_01301"/>
    <d v="2024-01-26T00:00:00"/>
    <x v="2"/>
    <s v="Friday"/>
    <s v="STORE_014"/>
    <x v="0"/>
    <x v="3"/>
    <x v="22"/>
    <n v="1418.54"/>
    <n v="10"/>
    <n v="14185.4"/>
    <n v="20"/>
    <n v="2837.08"/>
    <n v="11348.32"/>
    <s v="UPI"/>
    <s v="CUST_00103"/>
    <n v="4"/>
    <n v="2837.08"/>
    <n v="1134.8319999999999"/>
    <s v="High"/>
  </r>
  <r>
    <s v="TXN_01302"/>
    <d v="2024-11-06T00:00:00"/>
    <x v="0"/>
    <s v="Wednesday"/>
    <s v="STORE_049"/>
    <x v="3"/>
    <x v="7"/>
    <x v="37"/>
    <n v="1154.9100000000001"/>
    <n v="8"/>
    <n v="9239.2800000000007"/>
    <n v="0"/>
    <n v="0"/>
    <n v="9239.2800000000007"/>
    <s v="UPI"/>
    <s v="CUST_00024"/>
    <n v="5"/>
    <n v="0"/>
    <n v="1154.9100000000001"/>
    <s v="No Discount"/>
  </r>
  <r>
    <s v="TXN_01303"/>
    <d v="2024-09-11T00:00:00"/>
    <x v="9"/>
    <s v="Wednesday"/>
    <s v="STORE_021"/>
    <x v="2"/>
    <x v="2"/>
    <x v="29"/>
    <n v="717.26"/>
    <n v="8"/>
    <n v="5738.08"/>
    <n v="5"/>
    <n v="286.89999999999998"/>
    <n v="5451.18"/>
    <s v="Wallet"/>
    <s v="CUST_00512"/>
    <n v="3"/>
    <n v="286.89999999999964"/>
    <n v="681.39750000000004"/>
    <s v="Low"/>
  </r>
  <r>
    <s v="TXN_01304"/>
    <d v="2024-05-26T00:00:00"/>
    <x v="3"/>
    <s v="Sunday"/>
    <s v="STORE_045"/>
    <x v="3"/>
    <x v="0"/>
    <x v="4"/>
    <n v="685.24"/>
    <n v="6"/>
    <n v="4111.4399999999996"/>
    <n v="0"/>
    <n v="0"/>
    <n v="4111.4399999999996"/>
    <s v="Credit Card"/>
    <s v="CUST_00173"/>
    <n v="5"/>
    <n v="0"/>
    <n v="685.2399999999999"/>
    <s v="No Discount"/>
  </r>
  <r>
    <s v="TXN_01305"/>
    <d v="2024-04-27T00:00:00"/>
    <x v="4"/>
    <s v="Saturday"/>
    <s v="STORE_046"/>
    <x v="1"/>
    <x v="0"/>
    <x v="0"/>
    <n v="374.34"/>
    <n v="6"/>
    <n v="2246.04"/>
    <n v="5"/>
    <n v="112.3"/>
    <n v="2133.7399999999998"/>
    <s v="Cash"/>
    <s v="CUST_00921"/>
    <n v="2"/>
    <n v="112.30000000000018"/>
    <n v="355.62333333333328"/>
    <s v="Low"/>
  </r>
  <r>
    <s v="TXN_01306"/>
    <d v="2024-11-06T00:00:00"/>
    <x v="0"/>
    <s v="Wednesday"/>
    <s v="STORE_042"/>
    <x v="2"/>
    <x v="3"/>
    <x v="5"/>
    <n v="1881.22"/>
    <n v="8"/>
    <n v="15049.76"/>
    <n v="0"/>
    <n v="0"/>
    <n v="15049.76"/>
    <s v="Wallet"/>
    <s v="CUST_00464"/>
    <n v="2"/>
    <n v="0"/>
    <n v="1881.22"/>
    <s v="No Discount"/>
  </r>
  <r>
    <s v="TXN_01307"/>
    <d v="2024-06-29T00:00:00"/>
    <x v="10"/>
    <s v="Saturday"/>
    <s v="STORE_028"/>
    <x v="3"/>
    <x v="6"/>
    <x v="33"/>
    <n v="1357.48"/>
    <n v="6"/>
    <n v="8144.88"/>
    <n v="5"/>
    <n v="407.24"/>
    <n v="7737.64"/>
    <s v="Credit Card"/>
    <s v="CUST_00932"/>
    <n v="4"/>
    <n v="407.23999999999978"/>
    <n v="1289.6066666666668"/>
    <s v="Low"/>
  </r>
  <r>
    <s v="TXN_01308"/>
    <d v="2024-04-22T00:00:00"/>
    <x v="4"/>
    <s v="Monday"/>
    <s v="STORE_017"/>
    <x v="3"/>
    <x v="0"/>
    <x v="18"/>
    <n v="549.89"/>
    <n v="6"/>
    <n v="3299.34"/>
    <n v="0"/>
    <n v="0"/>
    <n v="3299.34"/>
    <s v="Cash"/>
    <s v="CUST_00162"/>
    <n v="3"/>
    <n v="0"/>
    <n v="549.89"/>
    <s v="No Discount"/>
  </r>
  <r>
    <s v="TXN_01309"/>
    <d v="2024-11-21T00:00:00"/>
    <x v="0"/>
    <s v="Thursday"/>
    <s v="STORE_003"/>
    <x v="3"/>
    <x v="5"/>
    <x v="11"/>
    <n v="4414.59"/>
    <n v="9"/>
    <n v="39731.31"/>
    <n v="10"/>
    <n v="3973.13"/>
    <n v="35758.18"/>
    <s v="Wallet"/>
    <s v="CUST_00374"/>
    <n v="2"/>
    <n v="3973.1299999999974"/>
    <n v="3973.1311111111113"/>
    <s v="Medium"/>
  </r>
  <r>
    <s v="TXN_01310"/>
    <d v="2024-04-07T00:00:00"/>
    <x v="4"/>
    <s v="Sunday"/>
    <s v="STORE_004"/>
    <x v="1"/>
    <x v="6"/>
    <x v="14"/>
    <n v="634.96"/>
    <n v="3"/>
    <n v="1904.88"/>
    <n v="0"/>
    <n v="0"/>
    <n v="1904.88"/>
    <s v="Wallet"/>
    <s v="CUST_00082"/>
    <n v="5"/>
    <n v="0"/>
    <n v="634.96"/>
    <s v="No Discount"/>
  </r>
  <r>
    <s v="TXN_01311"/>
    <d v="2024-11-13T00:00:00"/>
    <x v="0"/>
    <s v="Wednesday"/>
    <s v="STORE_012"/>
    <x v="0"/>
    <x v="2"/>
    <x v="13"/>
    <n v="204.32"/>
    <n v="3"/>
    <n v="612.96"/>
    <n v="20"/>
    <n v="122.59"/>
    <n v="490.37"/>
    <s v="UPI"/>
    <s v="CUST_00420"/>
    <n v="3"/>
    <n v="122.59000000000003"/>
    <n v="163.45666666666668"/>
    <s v="High"/>
  </r>
  <r>
    <s v="TXN_01312"/>
    <d v="2024-05-08T00:00:00"/>
    <x v="3"/>
    <s v="Wednesday"/>
    <s v="STORE_004"/>
    <x v="4"/>
    <x v="2"/>
    <x v="29"/>
    <n v="464.36"/>
    <n v="4"/>
    <n v="1857.44"/>
    <n v="20"/>
    <n v="371.49"/>
    <n v="1485.95"/>
    <s v="Credit Card"/>
    <s v="CUST_00671"/>
    <n v="5"/>
    <n v="371.49"/>
    <n v="371.48750000000001"/>
    <s v="High"/>
  </r>
  <r>
    <s v="TXN_01313"/>
    <d v="2024-12-13T00:00:00"/>
    <x v="6"/>
    <s v="Friday"/>
    <s v="STORE_013"/>
    <x v="4"/>
    <x v="5"/>
    <x v="25"/>
    <n v="3191.75"/>
    <n v="7"/>
    <n v="22342.25"/>
    <n v="0"/>
    <n v="0"/>
    <n v="22342.25"/>
    <s v="Debit Card"/>
    <s v="CUST_00730"/>
    <n v="1"/>
    <n v="0"/>
    <n v="3191.75"/>
    <s v="No Discount"/>
  </r>
  <r>
    <s v="TXN_01314"/>
    <d v="2024-12-03T00:00:00"/>
    <x v="6"/>
    <s v="Tuesday"/>
    <s v="STORE_008"/>
    <x v="3"/>
    <x v="7"/>
    <x v="28"/>
    <n v="1227.4000000000001"/>
    <n v="5"/>
    <n v="6137"/>
    <n v="20"/>
    <n v="1227.4000000000001"/>
    <n v="4909.6000000000004"/>
    <s v="Debit Card"/>
    <s v="CUST_00567"/>
    <n v="5"/>
    <n v="1227.3999999999996"/>
    <n v="981.92000000000007"/>
    <s v="High"/>
  </r>
  <r>
    <s v="TXN_01315"/>
    <d v="2024-12-14T00:00:00"/>
    <x v="6"/>
    <s v="Saturday"/>
    <s v="STORE_011"/>
    <x v="1"/>
    <x v="4"/>
    <x v="20"/>
    <n v="218.72"/>
    <n v="3"/>
    <n v="656.16"/>
    <n v="0"/>
    <n v="0"/>
    <n v="656.16"/>
    <s v="Credit Card"/>
    <s v="CUST_00526"/>
    <n v="3"/>
    <n v="0"/>
    <n v="218.72"/>
    <s v="No Discount"/>
  </r>
  <r>
    <s v="TXN_01316"/>
    <d v="2024-03-11T00:00:00"/>
    <x v="5"/>
    <s v="Monday"/>
    <s v="STORE_004"/>
    <x v="3"/>
    <x v="6"/>
    <x v="26"/>
    <n v="1256.76"/>
    <n v="1"/>
    <n v="1256.76"/>
    <n v="5"/>
    <n v="62.84"/>
    <n v="1193.92"/>
    <s v="Debit Card"/>
    <s v="CUST_00160"/>
    <n v="2"/>
    <n v="62.839999999999918"/>
    <n v="1193.92"/>
    <s v="Low"/>
  </r>
  <r>
    <s v="TXN_01317"/>
    <d v="2024-11-17T00:00:00"/>
    <x v="0"/>
    <s v="Sunday"/>
    <s v="STORE_016"/>
    <x v="3"/>
    <x v="5"/>
    <x v="11"/>
    <n v="4446.75"/>
    <n v="6"/>
    <n v="26680.5"/>
    <n v="10"/>
    <n v="2668.05"/>
    <n v="24012.45"/>
    <s v="Cash"/>
    <s v="CUST_00180"/>
    <n v="4"/>
    <n v="2668.0499999999993"/>
    <n v="4002.0750000000003"/>
    <s v="Medium"/>
  </r>
  <r>
    <s v="TXN_01318"/>
    <d v="2024-02-19T00:00:00"/>
    <x v="1"/>
    <s v="Monday"/>
    <s v="STORE_025"/>
    <x v="0"/>
    <x v="7"/>
    <x v="38"/>
    <n v="494.5"/>
    <n v="10"/>
    <n v="4945"/>
    <n v="20"/>
    <n v="989"/>
    <n v="3956"/>
    <s v="Credit Card"/>
    <s v="CUST_00001"/>
    <n v="1"/>
    <n v="989"/>
    <n v="395.6"/>
    <s v="High"/>
  </r>
  <r>
    <s v="TXN_01319"/>
    <d v="2024-11-17T00:00:00"/>
    <x v="0"/>
    <s v="Sunday"/>
    <s v="STORE_035"/>
    <x v="3"/>
    <x v="2"/>
    <x v="13"/>
    <n v="470.23"/>
    <n v="8"/>
    <n v="3761.84"/>
    <n v="15"/>
    <n v="564.28"/>
    <n v="3197.56"/>
    <s v="UPI"/>
    <s v="CUST_00911"/>
    <n v="5"/>
    <n v="564.2800000000002"/>
    <n v="399.69499999999999"/>
    <s v="Medium"/>
  </r>
  <r>
    <s v="TXN_01320"/>
    <d v="2024-11-26T00:00:00"/>
    <x v="0"/>
    <s v="Tuesday"/>
    <s v="STORE_034"/>
    <x v="3"/>
    <x v="1"/>
    <x v="3"/>
    <n v="209.27"/>
    <n v="10"/>
    <n v="2092.6999999999998"/>
    <n v="10"/>
    <n v="209.27"/>
    <n v="1883.43"/>
    <s v="UPI"/>
    <s v="CUST_00171"/>
    <n v="3"/>
    <n v="209.26999999999975"/>
    <n v="188.34300000000002"/>
    <s v="Medium"/>
  </r>
  <r>
    <s v="TXN_01321"/>
    <d v="2024-01-21T00:00:00"/>
    <x v="2"/>
    <s v="Sunday"/>
    <s v="STORE_020"/>
    <x v="2"/>
    <x v="1"/>
    <x v="31"/>
    <n v="412.18"/>
    <n v="4"/>
    <n v="1648.72"/>
    <n v="0"/>
    <n v="0"/>
    <n v="1648.72"/>
    <s v="Wallet"/>
    <s v="CUST_00619"/>
    <n v="3"/>
    <n v="0"/>
    <n v="412.18"/>
    <s v="No Discount"/>
  </r>
  <r>
    <s v="TXN_01322"/>
    <d v="2024-06-07T00:00:00"/>
    <x v="10"/>
    <s v="Friday"/>
    <s v="STORE_013"/>
    <x v="2"/>
    <x v="0"/>
    <x v="4"/>
    <n v="500.76"/>
    <n v="6"/>
    <n v="3004.56"/>
    <n v="0"/>
    <n v="0"/>
    <n v="3004.56"/>
    <s v="Cash"/>
    <s v="CUST_00221"/>
    <n v="4"/>
    <n v="0"/>
    <n v="500.76"/>
    <s v="No Discount"/>
  </r>
  <r>
    <s v="TXN_01323"/>
    <d v="2024-08-13T00:00:00"/>
    <x v="8"/>
    <s v="Tuesday"/>
    <s v="STORE_026"/>
    <x v="0"/>
    <x v="0"/>
    <x v="0"/>
    <n v="559.95000000000005"/>
    <n v="10"/>
    <n v="5599.5"/>
    <n v="20"/>
    <n v="1119.9000000000001"/>
    <n v="4479.6000000000004"/>
    <s v="Debit Card"/>
    <s v="CUST_00146"/>
    <n v="3"/>
    <n v="1119.8999999999996"/>
    <n v="447.96000000000004"/>
    <s v="High"/>
  </r>
  <r>
    <s v="TXN_01324"/>
    <d v="2024-01-18T00:00:00"/>
    <x v="2"/>
    <s v="Thursday"/>
    <s v="STORE_046"/>
    <x v="3"/>
    <x v="6"/>
    <x v="14"/>
    <n v="1855.5"/>
    <n v="5"/>
    <n v="9277.5"/>
    <n v="5"/>
    <n v="463.88"/>
    <n v="8813.6200000000008"/>
    <s v="UPI"/>
    <s v="CUST_00381"/>
    <n v="4"/>
    <n v="463.8799999999992"/>
    <n v="1762.7240000000002"/>
    <s v="Low"/>
  </r>
  <r>
    <s v="TXN_01325"/>
    <d v="2024-10-23T00:00:00"/>
    <x v="7"/>
    <s v="Wednesday"/>
    <s v="STORE_019"/>
    <x v="1"/>
    <x v="3"/>
    <x v="5"/>
    <n v="565.16"/>
    <n v="1"/>
    <n v="565.16"/>
    <n v="0"/>
    <n v="0"/>
    <n v="565.16"/>
    <s v="Debit Card"/>
    <s v="CUST_00055"/>
    <n v="1"/>
    <n v="0"/>
    <n v="565.16"/>
    <s v="No Discount"/>
  </r>
  <r>
    <s v="TXN_01326"/>
    <d v="2024-07-05T00:00:00"/>
    <x v="11"/>
    <s v="Friday"/>
    <s v="STORE_023"/>
    <x v="4"/>
    <x v="4"/>
    <x v="19"/>
    <n v="559.23"/>
    <n v="7"/>
    <n v="3914.61"/>
    <n v="0"/>
    <n v="0"/>
    <n v="3914.61"/>
    <s v="Wallet"/>
    <s v="CUST_00565"/>
    <n v="3"/>
    <n v="0"/>
    <n v="559.23"/>
    <s v="No Discount"/>
  </r>
  <r>
    <s v="TXN_01327"/>
    <d v="2024-03-08T00:00:00"/>
    <x v="5"/>
    <s v="Friday"/>
    <s v="STORE_013"/>
    <x v="1"/>
    <x v="1"/>
    <x v="36"/>
    <n v="470.29"/>
    <n v="8"/>
    <n v="3762.32"/>
    <n v="0"/>
    <n v="0"/>
    <n v="3762.32"/>
    <s v="Cash"/>
    <s v="CUST_00945"/>
    <n v="3"/>
    <n v="0"/>
    <n v="470.29"/>
    <s v="No Discount"/>
  </r>
  <r>
    <s v="TXN_01328"/>
    <d v="2024-02-16T00:00:00"/>
    <x v="1"/>
    <s v="Friday"/>
    <s v="STORE_004"/>
    <x v="2"/>
    <x v="5"/>
    <x v="34"/>
    <n v="4968.3999999999996"/>
    <n v="3"/>
    <n v="14905.2"/>
    <n v="15"/>
    <n v="2235.7800000000002"/>
    <n v="12669.42"/>
    <s v="Wallet"/>
    <s v="CUST_00522"/>
    <n v="3"/>
    <n v="2235.7800000000007"/>
    <n v="4223.1400000000003"/>
    <s v="Medium"/>
  </r>
  <r>
    <s v="TXN_01329"/>
    <d v="2024-05-31T00:00:00"/>
    <x v="3"/>
    <s v="Friday"/>
    <s v="STORE_030"/>
    <x v="1"/>
    <x v="3"/>
    <x v="16"/>
    <n v="1239.55"/>
    <n v="8"/>
    <n v="9916.4"/>
    <n v="5"/>
    <n v="495.82"/>
    <n v="9420.58"/>
    <s v="Cash"/>
    <s v="CUST_00637"/>
    <n v="5"/>
    <n v="495.81999999999971"/>
    <n v="1177.5725"/>
    <s v="Low"/>
  </r>
  <r>
    <s v="TXN_01330"/>
    <d v="2024-06-16T00:00:00"/>
    <x v="10"/>
    <s v="Sunday"/>
    <s v="STORE_049"/>
    <x v="3"/>
    <x v="4"/>
    <x v="35"/>
    <n v="315.58999999999997"/>
    <n v="9"/>
    <n v="2840.31"/>
    <n v="10"/>
    <n v="284.02999999999997"/>
    <n v="2556.2800000000002"/>
    <s v="Credit Card"/>
    <s v="CUST_00444"/>
    <n v="4"/>
    <n v="284.02999999999975"/>
    <n v="284.03111111111116"/>
    <s v="Medium"/>
  </r>
  <r>
    <s v="TXN_01331"/>
    <d v="2024-07-31T00:00:00"/>
    <x v="11"/>
    <s v="Wednesday"/>
    <s v="STORE_025"/>
    <x v="1"/>
    <x v="6"/>
    <x v="26"/>
    <n v="1593"/>
    <n v="10"/>
    <n v="15930"/>
    <n v="10"/>
    <n v="1593"/>
    <n v="14337"/>
    <s v="Credit Card"/>
    <s v="CUST_00677"/>
    <n v="2"/>
    <n v="1593"/>
    <n v="1433.7"/>
    <s v="Medium"/>
  </r>
  <r>
    <s v="TXN_01332"/>
    <d v="2024-03-30T00:00:00"/>
    <x v="5"/>
    <s v="Saturday"/>
    <s v="STORE_018"/>
    <x v="3"/>
    <x v="1"/>
    <x v="6"/>
    <n v="114.78"/>
    <n v="4"/>
    <n v="459.12"/>
    <n v="0"/>
    <n v="0"/>
    <n v="459.12"/>
    <s v="Wallet"/>
    <s v="CUST_00226"/>
    <n v="4"/>
    <n v="0"/>
    <n v="114.78"/>
    <s v="No Discount"/>
  </r>
  <r>
    <s v="TXN_01333"/>
    <d v="2024-04-12T00:00:00"/>
    <x v="4"/>
    <s v="Friday"/>
    <s v="STORE_013"/>
    <x v="3"/>
    <x v="6"/>
    <x v="30"/>
    <n v="954.37"/>
    <n v="3"/>
    <n v="2863.11"/>
    <n v="0"/>
    <n v="0"/>
    <n v="2863.11"/>
    <s v="UPI"/>
    <s v="CUST_00819"/>
    <n v="5"/>
    <n v="0"/>
    <n v="954.37"/>
    <s v="No Discount"/>
  </r>
  <r>
    <s v="TXN_01334"/>
    <d v="2024-03-08T00:00:00"/>
    <x v="5"/>
    <s v="Friday"/>
    <s v="STORE_011"/>
    <x v="2"/>
    <x v="5"/>
    <x v="9"/>
    <n v="3188.22"/>
    <n v="5"/>
    <n v="15941.1"/>
    <n v="0"/>
    <n v="0"/>
    <n v="15941.1"/>
    <s v="Credit Card"/>
    <s v="CUST_00272"/>
    <n v="1"/>
    <n v="0"/>
    <n v="3188.2200000000003"/>
    <s v="No Discount"/>
  </r>
  <r>
    <s v="TXN_01335"/>
    <d v="2024-10-03T00:00:00"/>
    <x v="7"/>
    <s v="Thursday"/>
    <s v="STORE_006"/>
    <x v="3"/>
    <x v="1"/>
    <x v="36"/>
    <n v="148.59"/>
    <n v="3"/>
    <n v="445.77"/>
    <n v="15"/>
    <n v="66.87"/>
    <n v="378.9"/>
    <s v="UPI"/>
    <s v="CUST_00832"/>
    <n v="1"/>
    <n v="66.87"/>
    <n v="126.3"/>
    <s v="Medium"/>
  </r>
  <r>
    <s v="TXN_01336"/>
    <d v="2024-07-06T00:00:00"/>
    <x v="11"/>
    <s v="Saturday"/>
    <s v="STORE_037"/>
    <x v="4"/>
    <x v="4"/>
    <x v="17"/>
    <n v="477.56"/>
    <n v="6"/>
    <n v="2865.36"/>
    <n v="20"/>
    <n v="573.07000000000005"/>
    <n v="2292.29"/>
    <s v="UPI"/>
    <s v="CUST_00562"/>
    <n v="3"/>
    <n v="573.07000000000016"/>
    <n v="382.04833333333335"/>
    <s v="High"/>
  </r>
  <r>
    <s v="TXN_01337"/>
    <d v="2024-09-28T00:00:00"/>
    <x v="9"/>
    <s v="Saturday"/>
    <s v="STORE_050"/>
    <x v="0"/>
    <x v="4"/>
    <x v="35"/>
    <n v="387.02"/>
    <n v="10"/>
    <n v="3870.2"/>
    <n v="10"/>
    <n v="387.02"/>
    <n v="3483.18"/>
    <s v="Cash"/>
    <s v="CUST_00232"/>
    <n v="5"/>
    <n v="387.02"/>
    <n v="348.31799999999998"/>
    <s v="Medium"/>
  </r>
  <r>
    <s v="TXN_01338"/>
    <d v="2024-09-13T00:00:00"/>
    <x v="9"/>
    <s v="Friday"/>
    <s v="STORE_047"/>
    <x v="3"/>
    <x v="6"/>
    <x v="33"/>
    <n v="1225.0899999999999"/>
    <n v="6"/>
    <n v="7350.54"/>
    <n v="10"/>
    <n v="735.05"/>
    <n v="6615.49"/>
    <s v="Cash"/>
    <s v="CUST_00053"/>
    <n v="4"/>
    <n v="735.05000000000018"/>
    <n v="1102.5816666666667"/>
    <s v="Medium"/>
  </r>
  <r>
    <s v="TXN_01339"/>
    <d v="2024-05-19T00:00:00"/>
    <x v="3"/>
    <s v="Sunday"/>
    <s v="STORE_016"/>
    <x v="3"/>
    <x v="2"/>
    <x v="39"/>
    <n v="174.55"/>
    <n v="3"/>
    <n v="523.65"/>
    <n v="10"/>
    <n v="52.37"/>
    <n v="471.28"/>
    <s v="Debit Card"/>
    <s v="CUST_00927"/>
    <n v="2"/>
    <n v="52.370000000000005"/>
    <n v="157.09333333333333"/>
    <s v="Medium"/>
  </r>
  <r>
    <s v="TXN_01340"/>
    <d v="2024-03-25T00:00:00"/>
    <x v="5"/>
    <s v="Monday"/>
    <s v="STORE_027"/>
    <x v="4"/>
    <x v="5"/>
    <x v="34"/>
    <n v="3789.53"/>
    <n v="9"/>
    <n v="34105.769999999997"/>
    <n v="0"/>
    <n v="0"/>
    <n v="34105.769999999997"/>
    <s v="UPI"/>
    <s v="CUST_00340"/>
    <n v="4"/>
    <n v="0"/>
    <n v="3789.5299999999997"/>
    <s v="No Discount"/>
  </r>
  <r>
    <s v="TXN_01341"/>
    <d v="2024-05-11T00:00:00"/>
    <x v="3"/>
    <s v="Saturday"/>
    <s v="STORE_004"/>
    <x v="3"/>
    <x v="2"/>
    <x v="2"/>
    <n v="269.75"/>
    <n v="10"/>
    <n v="2697.5"/>
    <n v="5"/>
    <n v="134.88"/>
    <n v="2562.62"/>
    <s v="Credit Card"/>
    <s v="CUST_00416"/>
    <n v="3"/>
    <n v="134.88000000000011"/>
    <n v="256.262"/>
    <s v="Low"/>
  </r>
  <r>
    <s v="TXN_01342"/>
    <d v="2024-09-03T00:00:00"/>
    <x v="9"/>
    <s v="Tuesday"/>
    <s v="STORE_020"/>
    <x v="0"/>
    <x v="0"/>
    <x v="0"/>
    <n v="531.38"/>
    <n v="1"/>
    <n v="531.38"/>
    <n v="0"/>
    <n v="0"/>
    <n v="531.38"/>
    <s v="Cash"/>
    <s v="CUST_00499"/>
    <n v="1"/>
    <n v="0"/>
    <n v="531.38"/>
    <s v="No Discount"/>
  </r>
  <r>
    <s v="TXN_01343"/>
    <d v="2024-05-31T00:00:00"/>
    <x v="3"/>
    <s v="Friday"/>
    <s v="STORE_016"/>
    <x v="4"/>
    <x v="1"/>
    <x v="1"/>
    <n v="314.79000000000002"/>
    <n v="7"/>
    <n v="2203.5300000000002"/>
    <n v="5"/>
    <n v="110.18"/>
    <n v="2093.35"/>
    <s v="Debit Card"/>
    <s v="CUST_00824"/>
    <n v="3"/>
    <n v="110.18000000000029"/>
    <n v="299.05"/>
    <s v="Low"/>
  </r>
  <r>
    <s v="TXN_01344"/>
    <d v="2024-06-22T00:00:00"/>
    <x v="10"/>
    <s v="Saturday"/>
    <s v="STORE_007"/>
    <x v="2"/>
    <x v="5"/>
    <x v="25"/>
    <n v="1636.77"/>
    <n v="6"/>
    <n v="9820.6200000000008"/>
    <n v="10"/>
    <n v="982.06"/>
    <n v="8838.56"/>
    <s v="UPI"/>
    <s v="CUST_00085"/>
    <n v="1"/>
    <n v="982.06000000000131"/>
    <n v="1473.0933333333332"/>
    <s v="Medium"/>
  </r>
  <r>
    <s v="TXN_01345"/>
    <d v="2024-02-28T00:00:00"/>
    <x v="1"/>
    <s v="Wednesday"/>
    <s v="STORE_001"/>
    <x v="3"/>
    <x v="6"/>
    <x v="14"/>
    <n v="1310.56"/>
    <n v="8"/>
    <n v="10484.48"/>
    <n v="0"/>
    <n v="0"/>
    <n v="10484.48"/>
    <s v="Debit Card"/>
    <s v="CUST_00182"/>
    <n v="1"/>
    <n v="0"/>
    <n v="1310.56"/>
    <s v="No Discount"/>
  </r>
  <r>
    <s v="TXN_01346"/>
    <d v="2024-08-27T00:00:00"/>
    <x v="8"/>
    <s v="Tuesday"/>
    <s v="STORE_006"/>
    <x v="2"/>
    <x v="6"/>
    <x v="14"/>
    <n v="937.13"/>
    <n v="6"/>
    <n v="5622.78"/>
    <n v="15"/>
    <n v="843.42"/>
    <n v="4779.3599999999997"/>
    <s v="Cash"/>
    <s v="CUST_00170"/>
    <n v="5"/>
    <n v="843.42000000000007"/>
    <n v="796.56"/>
    <s v="Medium"/>
  </r>
  <r>
    <s v="TXN_01347"/>
    <d v="2024-02-08T00:00:00"/>
    <x v="1"/>
    <s v="Thursday"/>
    <s v="STORE_001"/>
    <x v="0"/>
    <x v="2"/>
    <x v="39"/>
    <n v="169.98"/>
    <n v="10"/>
    <n v="1699.8"/>
    <n v="0"/>
    <n v="0"/>
    <n v="1699.8"/>
    <s v="Credit Card"/>
    <s v="CUST_00809"/>
    <n v="5"/>
    <n v="0"/>
    <n v="169.98"/>
    <s v="No Discount"/>
  </r>
  <r>
    <s v="TXN_01348"/>
    <d v="2024-03-13T00:00:00"/>
    <x v="5"/>
    <s v="Wednesday"/>
    <s v="STORE_019"/>
    <x v="4"/>
    <x v="5"/>
    <x v="9"/>
    <n v="4296.76"/>
    <n v="8"/>
    <n v="34374.080000000002"/>
    <n v="0"/>
    <n v="0"/>
    <n v="34374.080000000002"/>
    <s v="Cash"/>
    <s v="CUST_00857"/>
    <n v="5"/>
    <n v="0"/>
    <n v="4296.76"/>
    <s v="No Discount"/>
  </r>
  <r>
    <s v="TXN_01349"/>
    <d v="2024-04-25T00:00:00"/>
    <x v="4"/>
    <s v="Thursday"/>
    <s v="STORE_011"/>
    <x v="4"/>
    <x v="7"/>
    <x v="23"/>
    <n v="641.33000000000004"/>
    <n v="2"/>
    <n v="1282.6600000000001"/>
    <n v="5"/>
    <n v="64.13"/>
    <n v="1218.53"/>
    <s v="Wallet"/>
    <s v="CUST_00099"/>
    <n v="3"/>
    <n v="64.130000000000109"/>
    <n v="609.26499999999999"/>
    <s v="Low"/>
  </r>
  <r>
    <s v="TXN_01350"/>
    <d v="2024-12-12T00:00:00"/>
    <x v="6"/>
    <s v="Thursday"/>
    <s v="STORE_043"/>
    <x v="0"/>
    <x v="1"/>
    <x v="3"/>
    <n v="150.71"/>
    <n v="5"/>
    <n v="753.55"/>
    <n v="0"/>
    <n v="0"/>
    <n v="753.55"/>
    <s v="UPI"/>
    <s v="CUST_00712"/>
    <n v="3"/>
    <n v="0"/>
    <n v="150.70999999999998"/>
    <s v="No Discount"/>
  </r>
  <r>
    <s v="TXN_01351"/>
    <d v="2024-12-11T00:00:00"/>
    <x v="6"/>
    <s v="Wednesday"/>
    <s v="STORE_027"/>
    <x v="0"/>
    <x v="1"/>
    <x v="1"/>
    <n v="211.44"/>
    <n v="9"/>
    <n v="1902.96"/>
    <n v="0"/>
    <n v="0"/>
    <n v="1902.96"/>
    <s v="Cash"/>
    <s v="CUST_00814"/>
    <n v="4"/>
    <n v="0"/>
    <n v="211.44"/>
    <s v="No Discount"/>
  </r>
  <r>
    <s v="TXN_01352"/>
    <d v="2024-07-22T00:00:00"/>
    <x v="11"/>
    <s v="Monday"/>
    <s v="STORE_006"/>
    <x v="2"/>
    <x v="2"/>
    <x v="39"/>
    <n v="247.38"/>
    <n v="8"/>
    <n v="1979.04"/>
    <n v="0"/>
    <n v="0"/>
    <n v="1979.04"/>
    <s v="Debit Card"/>
    <s v="CUST_00602"/>
    <n v="1"/>
    <n v="0"/>
    <n v="247.38"/>
    <s v="No Discount"/>
  </r>
  <r>
    <s v="TXN_01353"/>
    <d v="2024-10-12T00:00:00"/>
    <x v="7"/>
    <s v="Saturday"/>
    <s v="STORE_019"/>
    <x v="1"/>
    <x v="7"/>
    <x v="38"/>
    <n v="429.21"/>
    <n v="8"/>
    <n v="3433.68"/>
    <n v="0"/>
    <n v="0"/>
    <n v="3433.68"/>
    <s v="Debit Card"/>
    <s v="CUST_00705"/>
    <n v="1"/>
    <n v="0"/>
    <n v="429.21"/>
    <s v="No Discount"/>
  </r>
  <r>
    <s v="TXN_01354"/>
    <d v="2024-07-06T00:00:00"/>
    <x v="11"/>
    <s v="Saturday"/>
    <s v="STORE_042"/>
    <x v="4"/>
    <x v="4"/>
    <x v="17"/>
    <n v="257.66000000000003"/>
    <n v="8"/>
    <n v="2061.2800000000002"/>
    <n v="5"/>
    <n v="103.06"/>
    <n v="1958.22"/>
    <s v="UPI"/>
    <s v="CUST_00747"/>
    <n v="1"/>
    <n v="103.06000000000017"/>
    <n v="244.7775"/>
    <s v="Low"/>
  </r>
  <r>
    <s v="TXN_01355"/>
    <d v="2024-02-16T00:00:00"/>
    <x v="1"/>
    <s v="Friday"/>
    <s v="STORE_013"/>
    <x v="1"/>
    <x v="2"/>
    <x v="29"/>
    <n v="726.91"/>
    <n v="1"/>
    <n v="726.91"/>
    <n v="0"/>
    <n v="0"/>
    <n v="726.91"/>
    <s v="Debit Card"/>
    <s v="CUST_00068"/>
    <n v="4"/>
    <n v="0"/>
    <n v="726.91"/>
    <s v="No Discount"/>
  </r>
  <r>
    <s v="TXN_01356"/>
    <d v="2024-07-21T00:00:00"/>
    <x v="11"/>
    <s v="Sunday"/>
    <s v="STORE_030"/>
    <x v="3"/>
    <x v="6"/>
    <x v="30"/>
    <n v="1761.68"/>
    <n v="5"/>
    <n v="8808.4"/>
    <n v="5"/>
    <n v="440.42"/>
    <n v="8367.98"/>
    <s v="Debit Card"/>
    <s v="CUST_00803"/>
    <n v="4"/>
    <n v="440.42000000000007"/>
    <n v="1673.596"/>
    <s v="Low"/>
  </r>
  <r>
    <s v="TXN_01357"/>
    <d v="2024-01-08T00:00:00"/>
    <x v="2"/>
    <s v="Monday"/>
    <s v="STORE_049"/>
    <x v="4"/>
    <x v="4"/>
    <x v="19"/>
    <n v="209.81"/>
    <n v="6"/>
    <n v="1258.8599999999999"/>
    <n v="15"/>
    <n v="188.83"/>
    <n v="1070.03"/>
    <s v="UPI"/>
    <s v="CUST_00889"/>
    <n v="3"/>
    <n v="188.82999999999993"/>
    <n v="178.33833333333334"/>
    <s v="Medium"/>
  </r>
  <r>
    <s v="TXN_01358"/>
    <d v="2024-05-15T00:00:00"/>
    <x v="3"/>
    <s v="Wednesday"/>
    <s v="STORE_032"/>
    <x v="1"/>
    <x v="5"/>
    <x v="34"/>
    <n v="4476.7"/>
    <n v="3"/>
    <n v="13430.1"/>
    <n v="0"/>
    <n v="0"/>
    <n v="13430.1"/>
    <s v="UPI"/>
    <s v="CUST_00152"/>
    <n v="1"/>
    <n v="0"/>
    <n v="4476.7"/>
    <s v="No Discount"/>
  </r>
  <r>
    <s v="TXN_01359"/>
    <d v="2024-10-01T00:00:00"/>
    <x v="7"/>
    <s v="Tuesday"/>
    <s v="STORE_047"/>
    <x v="0"/>
    <x v="6"/>
    <x v="14"/>
    <n v="860.04"/>
    <n v="10"/>
    <n v="8600.4"/>
    <n v="5"/>
    <n v="430.02"/>
    <n v="8170.38"/>
    <s v="Cash"/>
    <s v="CUST_00428"/>
    <n v="2"/>
    <n v="430.01999999999953"/>
    <n v="817.03800000000001"/>
    <s v="Low"/>
  </r>
  <r>
    <s v="TXN_01360"/>
    <d v="2024-03-04T00:00:00"/>
    <x v="5"/>
    <s v="Monday"/>
    <s v="STORE_022"/>
    <x v="2"/>
    <x v="6"/>
    <x v="30"/>
    <n v="1447.31"/>
    <n v="6"/>
    <n v="8683.86"/>
    <n v="20"/>
    <n v="1736.77"/>
    <n v="6947.09"/>
    <s v="Wallet"/>
    <s v="CUST_00108"/>
    <n v="3"/>
    <n v="1736.7700000000004"/>
    <n v="1157.8483333333334"/>
    <s v="High"/>
  </r>
  <r>
    <s v="TXN_01361"/>
    <d v="2024-08-20T00:00:00"/>
    <x v="8"/>
    <s v="Tuesday"/>
    <s v="STORE_034"/>
    <x v="3"/>
    <x v="1"/>
    <x v="3"/>
    <n v="140.77000000000001"/>
    <n v="3"/>
    <n v="422.31"/>
    <n v="0"/>
    <n v="0"/>
    <n v="422.31"/>
    <s v="Wallet"/>
    <s v="CUST_00911"/>
    <n v="3"/>
    <n v="0"/>
    <n v="140.77000000000001"/>
    <s v="No Discount"/>
  </r>
  <r>
    <s v="TXN_01362"/>
    <d v="2024-07-07T00:00:00"/>
    <x v="11"/>
    <s v="Sunday"/>
    <s v="STORE_019"/>
    <x v="4"/>
    <x v="3"/>
    <x v="5"/>
    <n v="2355.19"/>
    <n v="1"/>
    <n v="2355.19"/>
    <n v="5"/>
    <n v="117.76"/>
    <n v="2237.4299999999998"/>
    <s v="Wallet"/>
    <s v="CUST_00774"/>
    <n v="5"/>
    <n v="117.76000000000022"/>
    <n v="2237.4299999999998"/>
    <s v="Low"/>
  </r>
  <r>
    <s v="TXN_01363"/>
    <d v="2024-12-10T00:00:00"/>
    <x v="6"/>
    <s v="Tuesday"/>
    <s v="STORE_031"/>
    <x v="3"/>
    <x v="1"/>
    <x v="36"/>
    <n v="178.02"/>
    <n v="1"/>
    <n v="178.02"/>
    <n v="5"/>
    <n v="8.9"/>
    <n v="169.12"/>
    <s v="Wallet"/>
    <s v="CUST_00952"/>
    <n v="1"/>
    <n v="8.9000000000000057"/>
    <n v="169.12"/>
    <s v="Low"/>
  </r>
  <r>
    <s v="TXN_01364"/>
    <d v="2024-12-10T00:00:00"/>
    <x v="6"/>
    <s v="Tuesday"/>
    <s v="STORE_029"/>
    <x v="1"/>
    <x v="1"/>
    <x v="3"/>
    <n v="307.35000000000002"/>
    <n v="6"/>
    <n v="1844.1"/>
    <n v="20"/>
    <n v="368.82"/>
    <n v="1475.28"/>
    <s v="Wallet"/>
    <s v="CUST_00308"/>
    <n v="2"/>
    <n v="368.81999999999994"/>
    <n v="245.88"/>
    <s v="High"/>
  </r>
  <r>
    <s v="TXN_01365"/>
    <d v="2024-05-14T00:00:00"/>
    <x v="3"/>
    <s v="Tuesday"/>
    <s v="STORE_001"/>
    <x v="4"/>
    <x v="6"/>
    <x v="14"/>
    <n v="1502.65"/>
    <n v="10"/>
    <n v="15026.5"/>
    <n v="0"/>
    <n v="0"/>
    <n v="15026.5"/>
    <s v="UPI"/>
    <s v="CUST_00235"/>
    <n v="3"/>
    <n v="0"/>
    <n v="1502.65"/>
    <s v="No Discount"/>
  </r>
  <r>
    <s v="TXN_01366"/>
    <d v="2024-10-26T00:00:00"/>
    <x v="7"/>
    <s v="Saturday"/>
    <s v="STORE_028"/>
    <x v="2"/>
    <x v="6"/>
    <x v="14"/>
    <n v="1928.01"/>
    <n v="8"/>
    <n v="15424.08"/>
    <n v="0"/>
    <n v="0"/>
    <n v="15424.08"/>
    <s v="UPI"/>
    <s v="CUST_00982"/>
    <n v="1"/>
    <n v="0"/>
    <n v="1928.01"/>
    <s v="No Discount"/>
  </r>
  <r>
    <s v="TXN_01367"/>
    <d v="2024-07-14T00:00:00"/>
    <x v="11"/>
    <s v="Sunday"/>
    <s v="STORE_047"/>
    <x v="1"/>
    <x v="7"/>
    <x v="24"/>
    <n v="942.31"/>
    <n v="9"/>
    <n v="8480.7900000000009"/>
    <n v="5"/>
    <n v="424.04"/>
    <n v="8056.75"/>
    <s v="Credit Card"/>
    <s v="CUST_00788"/>
    <n v="5"/>
    <n v="424.04000000000087"/>
    <n v="895.19444444444446"/>
    <s v="Low"/>
  </r>
  <r>
    <s v="TXN_01368"/>
    <d v="2024-11-22T00:00:00"/>
    <x v="0"/>
    <s v="Friday"/>
    <s v="STORE_050"/>
    <x v="2"/>
    <x v="6"/>
    <x v="33"/>
    <n v="1983.3"/>
    <n v="4"/>
    <n v="7933.2"/>
    <n v="10"/>
    <n v="793.32"/>
    <n v="7139.88"/>
    <s v="Wallet"/>
    <s v="CUST_00876"/>
    <n v="3"/>
    <n v="793.31999999999971"/>
    <n v="1784.97"/>
    <s v="Medium"/>
  </r>
  <r>
    <s v="TXN_01369"/>
    <d v="2024-07-09T00:00:00"/>
    <x v="11"/>
    <s v="Tuesday"/>
    <s v="STORE_001"/>
    <x v="3"/>
    <x v="3"/>
    <x v="5"/>
    <n v="1770.11"/>
    <n v="6"/>
    <n v="10620.66"/>
    <n v="0"/>
    <n v="0"/>
    <n v="10620.66"/>
    <s v="Wallet"/>
    <s v="CUST_00082"/>
    <n v="2"/>
    <n v="0"/>
    <n v="1770.11"/>
    <s v="No Discount"/>
  </r>
  <r>
    <s v="TXN_01370"/>
    <d v="2024-02-25T00:00:00"/>
    <x v="1"/>
    <s v="Sunday"/>
    <s v="STORE_011"/>
    <x v="1"/>
    <x v="4"/>
    <x v="20"/>
    <n v="575.96"/>
    <n v="1"/>
    <n v="575.96"/>
    <n v="0"/>
    <n v="0"/>
    <n v="575.96"/>
    <s v="Debit Card"/>
    <s v="CUST_00688"/>
    <n v="3"/>
    <n v="0"/>
    <n v="575.96"/>
    <s v="No Discount"/>
  </r>
  <r>
    <s v="TXN_01371"/>
    <d v="2024-12-11T00:00:00"/>
    <x v="6"/>
    <s v="Wednesday"/>
    <s v="STORE_007"/>
    <x v="1"/>
    <x v="2"/>
    <x v="13"/>
    <n v="213.3"/>
    <n v="7"/>
    <n v="1493.1"/>
    <n v="0"/>
    <n v="0"/>
    <n v="1493.1"/>
    <s v="Debit Card"/>
    <s v="CUST_00317"/>
    <n v="3"/>
    <n v="0"/>
    <n v="213.29999999999998"/>
    <s v="No Discount"/>
  </r>
  <r>
    <s v="TXN_01372"/>
    <d v="2024-04-29T00:00:00"/>
    <x v="4"/>
    <s v="Monday"/>
    <s v="STORE_005"/>
    <x v="1"/>
    <x v="7"/>
    <x v="28"/>
    <n v="1479.38"/>
    <n v="2"/>
    <n v="2958.76"/>
    <n v="20"/>
    <n v="591.75"/>
    <n v="2367.0100000000002"/>
    <s v="Credit Card"/>
    <s v="CUST_00989"/>
    <n v="2"/>
    <n v="591.75"/>
    <n v="1183.5050000000001"/>
    <s v="High"/>
  </r>
  <r>
    <s v="TXN_01373"/>
    <d v="2024-08-29T00:00:00"/>
    <x v="8"/>
    <s v="Thursday"/>
    <s v="STORE_030"/>
    <x v="4"/>
    <x v="5"/>
    <x v="34"/>
    <n v="4059.6"/>
    <n v="6"/>
    <n v="24357.599999999999"/>
    <n v="0"/>
    <n v="0"/>
    <n v="24357.599999999999"/>
    <s v="Wallet"/>
    <s v="CUST_00126"/>
    <n v="5"/>
    <n v="0"/>
    <n v="4059.6"/>
    <s v="No Discount"/>
  </r>
  <r>
    <s v="TXN_01374"/>
    <d v="2024-01-13T00:00:00"/>
    <x v="2"/>
    <s v="Saturday"/>
    <s v="STORE_012"/>
    <x v="3"/>
    <x v="1"/>
    <x v="3"/>
    <n v="175.24"/>
    <n v="2"/>
    <n v="350.48"/>
    <n v="0"/>
    <n v="0"/>
    <n v="350.48"/>
    <s v="Credit Card"/>
    <s v="CUST_00826"/>
    <n v="3"/>
    <n v="0"/>
    <n v="175.24"/>
    <s v="No Discount"/>
  </r>
  <r>
    <s v="TXN_01375"/>
    <d v="2024-11-13T00:00:00"/>
    <x v="0"/>
    <s v="Wednesday"/>
    <s v="STORE_011"/>
    <x v="0"/>
    <x v="3"/>
    <x v="16"/>
    <n v="2845.83"/>
    <n v="1"/>
    <n v="2845.83"/>
    <n v="10"/>
    <n v="284.58"/>
    <n v="2561.25"/>
    <s v="Credit Card"/>
    <s v="CUST_00351"/>
    <n v="1"/>
    <n v="284.57999999999993"/>
    <n v="2561.25"/>
    <s v="Medium"/>
  </r>
  <r>
    <s v="TXN_01376"/>
    <d v="2024-10-14T00:00:00"/>
    <x v="7"/>
    <s v="Monday"/>
    <s v="STORE_002"/>
    <x v="1"/>
    <x v="5"/>
    <x v="10"/>
    <n v="4260.87"/>
    <n v="9"/>
    <n v="38347.83"/>
    <n v="0"/>
    <n v="0"/>
    <n v="38347.83"/>
    <s v="UPI"/>
    <s v="CUST_00874"/>
    <n v="3"/>
    <n v="0"/>
    <n v="4260.87"/>
    <s v="No Discount"/>
  </r>
  <r>
    <s v="TXN_01377"/>
    <d v="2024-06-16T00:00:00"/>
    <x v="10"/>
    <s v="Sunday"/>
    <s v="STORE_011"/>
    <x v="0"/>
    <x v="0"/>
    <x v="4"/>
    <n v="282.86"/>
    <n v="9"/>
    <n v="2545.7399999999998"/>
    <n v="20"/>
    <n v="509.15"/>
    <n v="2036.59"/>
    <s v="UPI"/>
    <s v="CUST_00636"/>
    <n v="2"/>
    <n v="509.14999999999986"/>
    <n v="226.28777777777776"/>
    <s v="High"/>
  </r>
  <r>
    <s v="TXN_01378"/>
    <d v="2024-11-08T00:00:00"/>
    <x v="0"/>
    <s v="Friday"/>
    <s v="STORE_036"/>
    <x v="3"/>
    <x v="1"/>
    <x v="3"/>
    <n v="386.48"/>
    <n v="2"/>
    <n v="772.96"/>
    <n v="15"/>
    <n v="115.94"/>
    <n v="657.02"/>
    <s v="Debit Card"/>
    <s v="CUST_00397"/>
    <n v="4"/>
    <n v="115.94000000000005"/>
    <n v="328.51"/>
    <s v="Medium"/>
  </r>
  <r>
    <s v="TXN_01379"/>
    <d v="2024-04-23T00:00:00"/>
    <x v="4"/>
    <s v="Tuesday"/>
    <s v="STORE_001"/>
    <x v="4"/>
    <x v="4"/>
    <x v="35"/>
    <n v="239.6"/>
    <n v="1"/>
    <n v="239.6"/>
    <n v="0"/>
    <n v="0"/>
    <n v="239.6"/>
    <s v="UPI"/>
    <s v="CUST_00364"/>
    <n v="2"/>
    <n v="0"/>
    <n v="239.6"/>
    <s v="No Discount"/>
  </r>
  <r>
    <s v="TXN_01380"/>
    <d v="2024-11-27T00:00:00"/>
    <x v="0"/>
    <s v="Wednesday"/>
    <s v="STORE_030"/>
    <x v="2"/>
    <x v="6"/>
    <x v="15"/>
    <n v="1473.08"/>
    <n v="7"/>
    <n v="10311.56"/>
    <n v="15"/>
    <n v="1546.73"/>
    <n v="8764.83"/>
    <s v="Credit Card"/>
    <s v="CUST_00138"/>
    <n v="3"/>
    <n v="1546.7299999999996"/>
    <n v="1252.1185714285714"/>
    <s v="Medium"/>
  </r>
  <r>
    <s v="TXN_01381"/>
    <d v="2024-02-02T00:00:00"/>
    <x v="1"/>
    <s v="Friday"/>
    <s v="STORE_032"/>
    <x v="4"/>
    <x v="7"/>
    <x v="23"/>
    <n v="924.62"/>
    <n v="2"/>
    <n v="1849.24"/>
    <n v="10"/>
    <n v="184.92"/>
    <n v="1664.32"/>
    <s v="Debit Card"/>
    <s v="CUST_00565"/>
    <n v="4"/>
    <n v="184.92000000000007"/>
    <n v="832.16"/>
    <s v="Medium"/>
  </r>
  <r>
    <s v="TXN_01382"/>
    <d v="2024-11-21T00:00:00"/>
    <x v="0"/>
    <s v="Thursday"/>
    <s v="STORE_020"/>
    <x v="4"/>
    <x v="4"/>
    <x v="8"/>
    <n v="431.23"/>
    <n v="1"/>
    <n v="431.23"/>
    <n v="20"/>
    <n v="86.25"/>
    <n v="344.98"/>
    <s v="Cash"/>
    <s v="CUST_00842"/>
    <n v="2"/>
    <n v="86.25"/>
    <n v="344.98"/>
    <s v="High"/>
  </r>
  <r>
    <s v="TXN_01383"/>
    <d v="2024-08-25T00:00:00"/>
    <x v="8"/>
    <s v="Sunday"/>
    <s v="STORE_045"/>
    <x v="1"/>
    <x v="0"/>
    <x v="32"/>
    <n v="231.15"/>
    <n v="2"/>
    <n v="462.3"/>
    <n v="0"/>
    <n v="0"/>
    <n v="462.3"/>
    <s v="Cash"/>
    <s v="CUST_00836"/>
    <n v="2"/>
    <n v="0"/>
    <n v="231.15"/>
    <s v="No Discount"/>
  </r>
  <r>
    <s v="TXN_01384"/>
    <d v="2024-12-24T00:00:00"/>
    <x v="6"/>
    <s v="Tuesday"/>
    <s v="STORE_005"/>
    <x v="3"/>
    <x v="0"/>
    <x v="0"/>
    <n v="424.53"/>
    <n v="7"/>
    <n v="2971.71"/>
    <n v="0"/>
    <n v="0"/>
    <n v="2971.71"/>
    <s v="Wallet"/>
    <s v="CUST_00316"/>
    <n v="3"/>
    <n v="0"/>
    <n v="424.53000000000003"/>
    <s v="No Discount"/>
  </r>
  <r>
    <s v="TXN_01385"/>
    <d v="2024-06-03T00:00:00"/>
    <x v="10"/>
    <s v="Monday"/>
    <s v="STORE_009"/>
    <x v="4"/>
    <x v="2"/>
    <x v="13"/>
    <n v="115.91"/>
    <n v="5"/>
    <n v="579.54999999999995"/>
    <n v="0"/>
    <n v="0"/>
    <n v="579.54999999999995"/>
    <s v="Debit Card"/>
    <s v="CUST_00618"/>
    <n v="1"/>
    <n v="0"/>
    <n v="115.91"/>
    <s v="No Discount"/>
  </r>
  <r>
    <s v="TXN_01386"/>
    <d v="2024-11-28T00:00:00"/>
    <x v="0"/>
    <s v="Thursday"/>
    <s v="STORE_008"/>
    <x v="0"/>
    <x v="7"/>
    <x v="24"/>
    <n v="436.05"/>
    <n v="5"/>
    <n v="2180.25"/>
    <n v="20"/>
    <n v="436.05"/>
    <n v="1744.2"/>
    <s v="Cash"/>
    <s v="CUST_00591"/>
    <n v="3"/>
    <n v="436.04999999999995"/>
    <n v="348.84000000000003"/>
    <s v="High"/>
  </r>
  <r>
    <s v="TXN_01387"/>
    <d v="2024-07-28T00:00:00"/>
    <x v="11"/>
    <s v="Sunday"/>
    <s v="STORE_049"/>
    <x v="4"/>
    <x v="3"/>
    <x v="16"/>
    <n v="2441.04"/>
    <n v="4"/>
    <n v="9764.16"/>
    <n v="0"/>
    <n v="0"/>
    <n v="9764.16"/>
    <s v="Cash"/>
    <s v="CUST_00773"/>
    <n v="3"/>
    <n v="0"/>
    <n v="2441.04"/>
    <s v="No Discount"/>
  </r>
  <r>
    <s v="TXN_01388"/>
    <d v="2024-02-29T00:00:00"/>
    <x v="1"/>
    <s v="Thursday"/>
    <s v="STORE_007"/>
    <x v="3"/>
    <x v="7"/>
    <x v="23"/>
    <n v="1422.25"/>
    <n v="9"/>
    <n v="12800.25"/>
    <n v="0"/>
    <n v="0"/>
    <n v="12800.25"/>
    <s v="Wallet"/>
    <s v="CUST_00771"/>
    <n v="3"/>
    <n v="0"/>
    <n v="1422.25"/>
    <s v="No Discount"/>
  </r>
  <r>
    <s v="TXN_01389"/>
    <d v="2024-03-12T00:00:00"/>
    <x v="5"/>
    <s v="Tuesday"/>
    <s v="STORE_048"/>
    <x v="2"/>
    <x v="6"/>
    <x v="15"/>
    <n v="1878.26"/>
    <n v="7"/>
    <n v="13147.82"/>
    <n v="0"/>
    <n v="0"/>
    <n v="13147.82"/>
    <s v="Cash"/>
    <s v="CUST_00141"/>
    <n v="3"/>
    <n v="0"/>
    <n v="1878.26"/>
    <s v="No Discount"/>
  </r>
  <r>
    <s v="TXN_01390"/>
    <d v="2024-01-24T00:00:00"/>
    <x v="2"/>
    <s v="Wednesday"/>
    <s v="STORE_003"/>
    <x v="3"/>
    <x v="7"/>
    <x v="28"/>
    <n v="1438.78"/>
    <n v="10"/>
    <n v="14387.8"/>
    <n v="0"/>
    <n v="0"/>
    <n v="14387.8"/>
    <s v="Credit Card"/>
    <s v="CUST_00829"/>
    <n v="4"/>
    <n v="0"/>
    <n v="1438.78"/>
    <s v="No Discount"/>
  </r>
  <r>
    <s v="TXN_01391"/>
    <d v="2024-01-20T00:00:00"/>
    <x v="2"/>
    <s v="Saturday"/>
    <s v="STORE_016"/>
    <x v="2"/>
    <x v="4"/>
    <x v="19"/>
    <n v="393.88"/>
    <n v="5"/>
    <n v="1969.4"/>
    <n v="0"/>
    <n v="0"/>
    <n v="1969.4"/>
    <s v="Wallet"/>
    <s v="CUST_00343"/>
    <n v="5"/>
    <n v="0"/>
    <n v="393.88"/>
    <s v="No Discount"/>
  </r>
  <r>
    <s v="TXN_01392"/>
    <d v="2024-06-04T00:00:00"/>
    <x v="10"/>
    <s v="Tuesday"/>
    <s v="STORE_031"/>
    <x v="0"/>
    <x v="5"/>
    <x v="11"/>
    <n v="3593.94"/>
    <n v="10"/>
    <n v="35939.4"/>
    <n v="15"/>
    <n v="5390.91"/>
    <n v="30548.49"/>
    <s v="Credit Card"/>
    <s v="CUST_00747"/>
    <n v="1"/>
    <n v="5390.91"/>
    <n v="3054.8490000000002"/>
    <s v="Medium"/>
  </r>
  <r>
    <s v="TXN_01393"/>
    <d v="2024-09-09T00:00:00"/>
    <x v="9"/>
    <s v="Monday"/>
    <s v="STORE_044"/>
    <x v="4"/>
    <x v="5"/>
    <x v="11"/>
    <n v="3951.45"/>
    <n v="9"/>
    <n v="35563.050000000003"/>
    <n v="0"/>
    <n v="0"/>
    <n v="35563.050000000003"/>
    <s v="UPI"/>
    <s v="CUST_00897"/>
    <n v="1"/>
    <n v="0"/>
    <n v="3951.4500000000003"/>
    <s v="No Discount"/>
  </r>
  <r>
    <s v="TXN_01394"/>
    <d v="2024-02-29T00:00:00"/>
    <x v="1"/>
    <s v="Thursday"/>
    <s v="STORE_004"/>
    <x v="3"/>
    <x v="2"/>
    <x v="7"/>
    <n v="656.26"/>
    <n v="4"/>
    <n v="2625.04"/>
    <n v="5"/>
    <n v="131.25"/>
    <n v="2493.79"/>
    <s v="Wallet"/>
    <s v="CUST_00217"/>
    <n v="2"/>
    <n v="131.25"/>
    <n v="623.44749999999999"/>
    <s v="Low"/>
  </r>
  <r>
    <s v="TXN_01395"/>
    <d v="2024-02-19T00:00:00"/>
    <x v="1"/>
    <s v="Monday"/>
    <s v="STORE_038"/>
    <x v="3"/>
    <x v="0"/>
    <x v="0"/>
    <n v="860.02"/>
    <n v="5"/>
    <n v="4300.1000000000004"/>
    <n v="0"/>
    <n v="0"/>
    <n v="4300.1000000000004"/>
    <s v="Debit Card"/>
    <s v="CUST_00933"/>
    <n v="4"/>
    <n v="0"/>
    <n v="860.0200000000001"/>
    <s v="No Discount"/>
  </r>
  <r>
    <s v="TXN_01396"/>
    <d v="2024-04-30T00:00:00"/>
    <x v="4"/>
    <s v="Tuesday"/>
    <s v="STORE_042"/>
    <x v="4"/>
    <x v="2"/>
    <x v="39"/>
    <n v="274.32"/>
    <n v="2"/>
    <n v="548.64"/>
    <n v="15"/>
    <n v="82.3"/>
    <n v="466.34"/>
    <s v="UPI"/>
    <s v="CUST_00510"/>
    <n v="3"/>
    <n v="82.300000000000011"/>
    <n v="233.17"/>
    <s v="Medium"/>
  </r>
  <r>
    <s v="TXN_01397"/>
    <d v="2024-10-02T00:00:00"/>
    <x v="7"/>
    <s v="Wednesday"/>
    <s v="STORE_037"/>
    <x v="0"/>
    <x v="6"/>
    <x v="30"/>
    <n v="1108.32"/>
    <n v="4"/>
    <n v="4433.28"/>
    <n v="15"/>
    <n v="664.99"/>
    <n v="3768.29"/>
    <s v="Cash"/>
    <s v="CUST_00834"/>
    <n v="2"/>
    <n v="664.98999999999978"/>
    <n v="942.07249999999999"/>
    <s v="Medium"/>
  </r>
  <r>
    <s v="TXN_01398"/>
    <d v="2024-03-10T00:00:00"/>
    <x v="5"/>
    <s v="Sunday"/>
    <s v="STORE_047"/>
    <x v="2"/>
    <x v="7"/>
    <x v="38"/>
    <n v="458.94"/>
    <n v="1"/>
    <n v="458.94"/>
    <n v="0"/>
    <n v="0"/>
    <n v="458.94"/>
    <s v="Debit Card"/>
    <s v="CUST_00701"/>
    <n v="1"/>
    <n v="0"/>
    <n v="458.94"/>
    <s v="No Discount"/>
  </r>
  <r>
    <s v="TXN_01399"/>
    <d v="2024-07-17T00:00:00"/>
    <x v="11"/>
    <s v="Wednesday"/>
    <s v="STORE_042"/>
    <x v="0"/>
    <x v="0"/>
    <x v="0"/>
    <n v="972.18"/>
    <n v="5"/>
    <n v="4860.8999999999996"/>
    <n v="0"/>
    <n v="0"/>
    <n v="4860.8999999999996"/>
    <s v="Wallet"/>
    <s v="CUST_00735"/>
    <n v="1"/>
    <n v="0"/>
    <n v="972.18"/>
    <s v="No Discount"/>
  </r>
  <r>
    <s v="TXN_01400"/>
    <d v="2024-08-20T00:00:00"/>
    <x v="8"/>
    <s v="Tuesday"/>
    <s v="STORE_010"/>
    <x v="2"/>
    <x v="7"/>
    <x v="28"/>
    <n v="796.03"/>
    <n v="6"/>
    <n v="4776.18"/>
    <n v="0"/>
    <n v="0"/>
    <n v="4776.18"/>
    <s v="UPI"/>
    <s v="CUST_00890"/>
    <n v="2"/>
    <n v="0"/>
    <n v="796.03000000000009"/>
    <s v="No Discount"/>
  </r>
  <r>
    <s v="TXN_01401"/>
    <d v="2024-07-08T00:00:00"/>
    <x v="11"/>
    <s v="Monday"/>
    <s v="STORE_029"/>
    <x v="0"/>
    <x v="4"/>
    <x v="35"/>
    <n v="589.76"/>
    <n v="7"/>
    <n v="4128.32"/>
    <n v="15"/>
    <n v="619.25"/>
    <n v="3509.07"/>
    <s v="Wallet"/>
    <s v="CUST_00879"/>
    <n v="3"/>
    <n v="619.24999999999955"/>
    <n v="501.29571428571433"/>
    <s v="Medium"/>
  </r>
  <r>
    <s v="TXN_01402"/>
    <d v="2024-12-09T00:00:00"/>
    <x v="6"/>
    <s v="Monday"/>
    <s v="STORE_032"/>
    <x v="1"/>
    <x v="5"/>
    <x v="11"/>
    <n v="2556.84"/>
    <n v="4"/>
    <n v="10227.36"/>
    <n v="20"/>
    <n v="2045.47"/>
    <n v="8181.89"/>
    <s v="Debit Card"/>
    <s v="CUST_00448"/>
    <n v="4"/>
    <n v="2045.4700000000003"/>
    <n v="2045.4725000000001"/>
    <s v="High"/>
  </r>
  <r>
    <s v="TXN_01403"/>
    <d v="2024-12-22T00:00:00"/>
    <x v="6"/>
    <s v="Sunday"/>
    <s v="STORE_048"/>
    <x v="3"/>
    <x v="6"/>
    <x v="15"/>
    <n v="504.59"/>
    <n v="8"/>
    <n v="4036.72"/>
    <n v="0"/>
    <n v="0"/>
    <n v="4036.72"/>
    <s v="Credit Card"/>
    <s v="CUST_00537"/>
    <n v="1"/>
    <n v="0"/>
    <n v="504.59"/>
    <s v="No Discount"/>
  </r>
  <r>
    <s v="TXN_01404"/>
    <d v="2024-10-03T00:00:00"/>
    <x v="7"/>
    <s v="Thursday"/>
    <s v="STORE_012"/>
    <x v="3"/>
    <x v="2"/>
    <x v="29"/>
    <n v="389.38"/>
    <n v="5"/>
    <n v="1946.9"/>
    <n v="0"/>
    <n v="0"/>
    <n v="1946.9"/>
    <s v="Cash"/>
    <s v="CUST_00788"/>
    <n v="3"/>
    <n v="0"/>
    <n v="389.38"/>
    <s v="No Discount"/>
  </r>
  <r>
    <s v="TXN_01405"/>
    <d v="2024-08-02T00:00:00"/>
    <x v="8"/>
    <s v="Friday"/>
    <s v="STORE_023"/>
    <x v="1"/>
    <x v="6"/>
    <x v="33"/>
    <n v="1678.54"/>
    <n v="9"/>
    <n v="15106.86"/>
    <n v="0"/>
    <n v="0"/>
    <n v="15106.86"/>
    <s v="Wallet"/>
    <s v="CUST_00660"/>
    <n v="4"/>
    <n v="0"/>
    <n v="1678.54"/>
    <s v="No Discount"/>
  </r>
  <r>
    <s v="TXN_01406"/>
    <d v="2024-10-27T00:00:00"/>
    <x v="7"/>
    <s v="Sunday"/>
    <s v="STORE_018"/>
    <x v="0"/>
    <x v="3"/>
    <x v="5"/>
    <n v="762.59"/>
    <n v="5"/>
    <n v="3812.95"/>
    <n v="20"/>
    <n v="762.59"/>
    <n v="3050.36"/>
    <s v="UPI"/>
    <s v="CUST_00492"/>
    <n v="4"/>
    <n v="762.58999999999969"/>
    <n v="610.072"/>
    <s v="High"/>
  </r>
  <r>
    <s v="TXN_01407"/>
    <d v="2024-03-20T00:00:00"/>
    <x v="5"/>
    <s v="Wednesday"/>
    <s v="STORE_025"/>
    <x v="0"/>
    <x v="3"/>
    <x v="5"/>
    <n v="2733.46"/>
    <n v="1"/>
    <n v="2733.46"/>
    <n v="20"/>
    <n v="546.69000000000005"/>
    <n v="2186.77"/>
    <s v="Debit Card"/>
    <s v="CUST_00972"/>
    <n v="4"/>
    <n v="546.69000000000005"/>
    <n v="2186.77"/>
    <s v="High"/>
  </r>
  <r>
    <s v="TXN_01408"/>
    <d v="2024-07-31T00:00:00"/>
    <x v="11"/>
    <s v="Wednesday"/>
    <s v="STORE_018"/>
    <x v="4"/>
    <x v="5"/>
    <x v="34"/>
    <n v="2070.6999999999998"/>
    <n v="6"/>
    <n v="12424.2"/>
    <n v="10"/>
    <n v="1242.42"/>
    <n v="11181.78"/>
    <s v="Cash"/>
    <s v="CUST_00819"/>
    <n v="1"/>
    <n v="1242.42"/>
    <n v="1863.63"/>
    <s v="Medium"/>
  </r>
  <r>
    <s v="TXN_01409"/>
    <d v="2024-12-01T00:00:00"/>
    <x v="6"/>
    <s v="Sunday"/>
    <s v="STORE_017"/>
    <x v="0"/>
    <x v="2"/>
    <x v="13"/>
    <n v="114.21"/>
    <n v="10"/>
    <n v="1142.0999999999999"/>
    <n v="0"/>
    <n v="0"/>
    <n v="1142.0999999999999"/>
    <s v="Debit Card"/>
    <s v="CUST_00776"/>
    <n v="3"/>
    <n v="0"/>
    <n v="114.21"/>
    <s v="No Discount"/>
  </r>
  <r>
    <s v="TXN_01410"/>
    <d v="2024-02-20T00:00:00"/>
    <x v="1"/>
    <s v="Tuesday"/>
    <s v="STORE_050"/>
    <x v="4"/>
    <x v="5"/>
    <x v="9"/>
    <n v="4909.8100000000004"/>
    <n v="1"/>
    <n v="4909.8100000000004"/>
    <n v="0"/>
    <n v="0"/>
    <n v="4909.8100000000004"/>
    <s v="Credit Card"/>
    <s v="CUST_00430"/>
    <n v="3"/>
    <n v="0"/>
    <n v="4909.8100000000004"/>
    <s v="No Discount"/>
  </r>
  <r>
    <s v="TXN_01411"/>
    <d v="2024-09-07T00:00:00"/>
    <x v="9"/>
    <s v="Saturday"/>
    <s v="STORE_017"/>
    <x v="1"/>
    <x v="4"/>
    <x v="8"/>
    <n v="366.46"/>
    <n v="3"/>
    <n v="1099.3800000000001"/>
    <n v="0"/>
    <n v="0"/>
    <n v="1099.3800000000001"/>
    <s v="Cash"/>
    <s v="CUST_00601"/>
    <n v="4"/>
    <n v="0"/>
    <n v="366.46000000000004"/>
    <s v="No Discount"/>
  </r>
  <r>
    <s v="TXN_01412"/>
    <d v="2024-11-11T00:00:00"/>
    <x v="0"/>
    <s v="Monday"/>
    <s v="STORE_007"/>
    <x v="3"/>
    <x v="3"/>
    <x v="5"/>
    <n v="2075.54"/>
    <n v="10"/>
    <n v="20755.400000000001"/>
    <n v="10"/>
    <n v="2075.54"/>
    <n v="18679.86"/>
    <s v="Wallet"/>
    <s v="CUST_00484"/>
    <n v="3"/>
    <n v="2075.5400000000009"/>
    <n v="1867.9860000000001"/>
    <s v="Medium"/>
  </r>
  <r>
    <s v="TXN_01413"/>
    <d v="2024-07-27T00:00:00"/>
    <x v="11"/>
    <s v="Saturday"/>
    <s v="STORE_035"/>
    <x v="1"/>
    <x v="3"/>
    <x v="12"/>
    <n v="1109.2"/>
    <n v="6"/>
    <n v="6655.2"/>
    <n v="0"/>
    <n v="0"/>
    <n v="6655.2"/>
    <s v="UPI"/>
    <s v="CUST_00505"/>
    <n v="2"/>
    <n v="0"/>
    <n v="1109.2"/>
    <s v="No Discount"/>
  </r>
  <r>
    <s v="TXN_01414"/>
    <d v="2024-05-23T00:00:00"/>
    <x v="3"/>
    <s v="Thursday"/>
    <s v="STORE_037"/>
    <x v="0"/>
    <x v="3"/>
    <x v="5"/>
    <n v="2881.01"/>
    <n v="1"/>
    <n v="2881.01"/>
    <n v="15"/>
    <n v="432.15"/>
    <n v="2448.86"/>
    <s v="Credit Card"/>
    <s v="CUST_00237"/>
    <n v="1"/>
    <n v="432.15000000000009"/>
    <n v="2448.86"/>
    <s v="Medium"/>
  </r>
  <r>
    <s v="TXN_01415"/>
    <d v="2024-01-17T00:00:00"/>
    <x v="2"/>
    <s v="Wednesday"/>
    <s v="STORE_044"/>
    <x v="4"/>
    <x v="0"/>
    <x v="18"/>
    <n v="363.97"/>
    <n v="7"/>
    <n v="2547.79"/>
    <n v="10"/>
    <n v="254.78"/>
    <n v="2293.0100000000002"/>
    <s v="Credit Card"/>
    <s v="CUST_00452"/>
    <n v="1"/>
    <n v="254.77999999999975"/>
    <n v="327.57285714285717"/>
    <s v="Medium"/>
  </r>
  <r>
    <s v="TXN_01416"/>
    <d v="2024-12-19T00:00:00"/>
    <x v="6"/>
    <s v="Thursday"/>
    <s v="STORE_017"/>
    <x v="2"/>
    <x v="5"/>
    <x v="11"/>
    <n v="3952.1"/>
    <n v="4"/>
    <n v="15808.4"/>
    <n v="0"/>
    <n v="0"/>
    <n v="15808.4"/>
    <s v="Credit Card"/>
    <s v="CUST_00941"/>
    <n v="1"/>
    <n v="0"/>
    <n v="3952.1"/>
    <s v="No Discount"/>
  </r>
  <r>
    <s v="TXN_01417"/>
    <d v="2024-07-08T00:00:00"/>
    <x v="11"/>
    <s v="Monday"/>
    <s v="STORE_022"/>
    <x v="0"/>
    <x v="0"/>
    <x v="18"/>
    <n v="993.05"/>
    <n v="10"/>
    <n v="9930.5"/>
    <n v="5"/>
    <n v="496.53"/>
    <n v="9433.9699999999993"/>
    <s v="Debit Card"/>
    <s v="CUST_00627"/>
    <n v="1"/>
    <n v="496.53000000000065"/>
    <n v="943.39699999999993"/>
    <s v="Low"/>
  </r>
  <r>
    <s v="TXN_01418"/>
    <d v="2024-04-21T00:00:00"/>
    <x v="4"/>
    <s v="Sunday"/>
    <s v="STORE_031"/>
    <x v="1"/>
    <x v="7"/>
    <x v="28"/>
    <n v="1266.5"/>
    <n v="10"/>
    <n v="12665"/>
    <n v="10"/>
    <n v="1266.5"/>
    <n v="11398.5"/>
    <s v="Debit Card"/>
    <s v="CUST_00555"/>
    <n v="1"/>
    <n v="1266.5"/>
    <n v="1139.8499999999999"/>
    <s v="Medium"/>
  </r>
  <r>
    <s v="TXN_01419"/>
    <d v="2024-08-15T00:00:00"/>
    <x v="8"/>
    <s v="Thursday"/>
    <s v="STORE_022"/>
    <x v="2"/>
    <x v="5"/>
    <x v="34"/>
    <n v="4704.91"/>
    <n v="8"/>
    <n v="37639.279999999999"/>
    <n v="20"/>
    <n v="7527.86"/>
    <n v="30111.42"/>
    <s v="Debit Card"/>
    <s v="CUST_00091"/>
    <n v="4"/>
    <n v="7527.8600000000006"/>
    <n v="3763.9274999999998"/>
    <s v="High"/>
  </r>
  <r>
    <s v="TXN_01420"/>
    <d v="2024-08-15T00:00:00"/>
    <x v="8"/>
    <s v="Thursday"/>
    <s v="STORE_049"/>
    <x v="3"/>
    <x v="3"/>
    <x v="16"/>
    <n v="977.48"/>
    <n v="7"/>
    <n v="6842.36"/>
    <n v="15"/>
    <n v="1026.3499999999999"/>
    <n v="5816.01"/>
    <s v="Cash"/>
    <s v="CUST_00570"/>
    <n v="3"/>
    <n v="1026.3499999999995"/>
    <n v="830.85857142857151"/>
    <s v="Medium"/>
  </r>
  <r>
    <s v="TXN_01421"/>
    <d v="2024-04-30T00:00:00"/>
    <x v="4"/>
    <s v="Tuesday"/>
    <s v="STORE_012"/>
    <x v="0"/>
    <x v="5"/>
    <x v="34"/>
    <n v="3955.6"/>
    <n v="10"/>
    <n v="39556"/>
    <n v="0"/>
    <n v="0"/>
    <n v="39556"/>
    <s v="Cash"/>
    <s v="CUST_00240"/>
    <n v="2"/>
    <n v="0"/>
    <n v="3955.6"/>
    <s v="No Discount"/>
  </r>
  <r>
    <s v="TXN_01422"/>
    <d v="2024-07-04T00:00:00"/>
    <x v="11"/>
    <s v="Thursday"/>
    <s v="STORE_030"/>
    <x v="2"/>
    <x v="6"/>
    <x v="14"/>
    <n v="793.78"/>
    <n v="4"/>
    <n v="3175.12"/>
    <n v="0"/>
    <n v="0"/>
    <n v="3175.12"/>
    <s v="Debit Card"/>
    <s v="CUST_00678"/>
    <n v="3"/>
    <n v="0"/>
    <n v="793.78"/>
    <s v="No Discount"/>
  </r>
  <r>
    <s v="TXN_01423"/>
    <d v="2024-02-20T00:00:00"/>
    <x v="1"/>
    <s v="Tuesday"/>
    <s v="STORE_041"/>
    <x v="1"/>
    <x v="1"/>
    <x v="31"/>
    <n v="328.39"/>
    <n v="1"/>
    <n v="328.39"/>
    <n v="0"/>
    <n v="0"/>
    <n v="328.39"/>
    <s v="Debit Card"/>
    <s v="CUST_00855"/>
    <n v="3"/>
    <n v="0"/>
    <n v="328.39"/>
    <s v="No Discount"/>
  </r>
  <r>
    <s v="TXN_01424"/>
    <d v="2024-12-17T00:00:00"/>
    <x v="6"/>
    <s v="Tuesday"/>
    <s v="STORE_011"/>
    <x v="1"/>
    <x v="0"/>
    <x v="0"/>
    <n v="750.33"/>
    <n v="3"/>
    <n v="2250.9899999999998"/>
    <n v="5"/>
    <n v="112.55"/>
    <n v="2138.44"/>
    <s v="UPI"/>
    <s v="CUST_00036"/>
    <n v="1"/>
    <n v="112.54999999999973"/>
    <n v="712.81333333333339"/>
    <s v="Low"/>
  </r>
  <r>
    <s v="TXN_01425"/>
    <d v="2024-07-07T00:00:00"/>
    <x v="11"/>
    <s v="Sunday"/>
    <s v="STORE_027"/>
    <x v="2"/>
    <x v="5"/>
    <x v="9"/>
    <n v="1434.1"/>
    <n v="3"/>
    <n v="4302.3"/>
    <n v="0"/>
    <n v="0"/>
    <n v="4302.3"/>
    <s v="Credit Card"/>
    <s v="CUST_00446"/>
    <n v="2"/>
    <n v="0"/>
    <n v="1434.1000000000001"/>
    <s v="No Discount"/>
  </r>
  <r>
    <s v="TXN_01426"/>
    <d v="2024-10-05T00:00:00"/>
    <x v="7"/>
    <s v="Saturday"/>
    <s v="STORE_038"/>
    <x v="4"/>
    <x v="3"/>
    <x v="12"/>
    <n v="945.19"/>
    <n v="9"/>
    <n v="8506.7099999999991"/>
    <n v="15"/>
    <n v="1276.01"/>
    <n v="7230.7"/>
    <s v="Wallet"/>
    <s v="CUST_00338"/>
    <n v="5"/>
    <n v="1276.0099999999993"/>
    <n v="803.41111111111104"/>
    <s v="Medium"/>
  </r>
  <r>
    <s v="TXN_01427"/>
    <d v="2024-11-26T00:00:00"/>
    <x v="0"/>
    <s v="Tuesday"/>
    <s v="STORE_029"/>
    <x v="3"/>
    <x v="1"/>
    <x v="31"/>
    <n v="422.95"/>
    <n v="10"/>
    <n v="4229.5"/>
    <n v="10"/>
    <n v="422.95"/>
    <n v="3806.55"/>
    <s v="Wallet"/>
    <s v="CUST_00177"/>
    <n v="2"/>
    <n v="422.94999999999982"/>
    <n v="380.65500000000003"/>
    <s v="Medium"/>
  </r>
  <r>
    <s v="TXN_01428"/>
    <d v="2024-07-02T00:00:00"/>
    <x v="11"/>
    <s v="Tuesday"/>
    <s v="STORE_026"/>
    <x v="1"/>
    <x v="1"/>
    <x v="6"/>
    <n v="192.08"/>
    <n v="10"/>
    <n v="1920.8"/>
    <n v="0"/>
    <n v="0"/>
    <n v="1920.8"/>
    <s v="Credit Card"/>
    <s v="CUST_00385"/>
    <n v="2"/>
    <n v="0"/>
    <n v="192.07999999999998"/>
    <s v="No Discount"/>
  </r>
  <r>
    <s v="TXN_01429"/>
    <d v="2024-02-01T00:00:00"/>
    <x v="1"/>
    <s v="Thursday"/>
    <s v="STORE_015"/>
    <x v="4"/>
    <x v="1"/>
    <x v="36"/>
    <n v="443.63"/>
    <n v="2"/>
    <n v="887.26"/>
    <n v="20"/>
    <n v="177.45"/>
    <n v="709.81"/>
    <s v="Debit Card"/>
    <s v="CUST_00973"/>
    <n v="1"/>
    <n v="177.45000000000005"/>
    <n v="354.90499999999997"/>
    <s v="High"/>
  </r>
  <r>
    <s v="TXN_01430"/>
    <d v="2024-07-22T00:00:00"/>
    <x v="11"/>
    <s v="Monday"/>
    <s v="STORE_034"/>
    <x v="0"/>
    <x v="7"/>
    <x v="23"/>
    <n v="875.19"/>
    <n v="10"/>
    <n v="8751.9"/>
    <n v="15"/>
    <n v="1312.78"/>
    <n v="7439.12"/>
    <s v="Debit Card"/>
    <s v="CUST_00552"/>
    <n v="1"/>
    <n v="1312.7799999999997"/>
    <n v="743.91200000000003"/>
    <s v="Medium"/>
  </r>
  <r>
    <s v="TXN_01431"/>
    <d v="2024-05-21T00:00:00"/>
    <x v="3"/>
    <s v="Tuesday"/>
    <s v="STORE_005"/>
    <x v="0"/>
    <x v="3"/>
    <x v="12"/>
    <n v="873.35"/>
    <n v="1"/>
    <n v="873.35"/>
    <n v="10"/>
    <n v="87.34"/>
    <n v="786.01"/>
    <s v="Wallet"/>
    <s v="CUST_00552"/>
    <n v="5"/>
    <n v="87.340000000000032"/>
    <n v="786.01"/>
    <s v="Medium"/>
  </r>
  <r>
    <s v="TXN_01432"/>
    <d v="2024-04-07T00:00:00"/>
    <x v="4"/>
    <s v="Sunday"/>
    <s v="STORE_036"/>
    <x v="0"/>
    <x v="7"/>
    <x v="24"/>
    <n v="930.09"/>
    <n v="2"/>
    <n v="1860.18"/>
    <n v="0"/>
    <n v="0"/>
    <n v="1860.18"/>
    <s v="Cash"/>
    <s v="CUST_00848"/>
    <n v="3"/>
    <n v="0"/>
    <n v="930.09"/>
    <s v="No Discount"/>
  </r>
  <r>
    <s v="TXN_01433"/>
    <d v="2024-03-03T00:00:00"/>
    <x v="5"/>
    <s v="Sunday"/>
    <s v="STORE_034"/>
    <x v="0"/>
    <x v="5"/>
    <x v="34"/>
    <n v="2710.88"/>
    <n v="4"/>
    <n v="10843.52"/>
    <n v="0"/>
    <n v="0"/>
    <n v="10843.52"/>
    <s v="Debit Card"/>
    <s v="CUST_00640"/>
    <n v="1"/>
    <n v="0"/>
    <n v="2710.88"/>
    <s v="No Discount"/>
  </r>
  <r>
    <s v="TXN_01434"/>
    <d v="2024-08-20T00:00:00"/>
    <x v="8"/>
    <s v="Tuesday"/>
    <s v="STORE_011"/>
    <x v="1"/>
    <x v="1"/>
    <x v="36"/>
    <n v="239.96"/>
    <n v="9"/>
    <n v="2159.64"/>
    <n v="0"/>
    <n v="0"/>
    <n v="2159.64"/>
    <s v="Cash"/>
    <s v="CUST_00868"/>
    <n v="4"/>
    <n v="0"/>
    <n v="239.95999999999998"/>
    <s v="No Discount"/>
  </r>
  <r>
    <s v="TXN_01435"/>
    <d v="2024-02-16T00:00:00"/>
    <x v="1"/>
    <s v="Friday"/>
    <s v="STORE_047"/>
    <x v="2"/>
    <x v="4"/>
    <x v="8"/>
    <n v="164.9"/>
    <n v="1"/>
    <n v="164.9"/>
    <n v="20"/>
    <n v="32.979999999999997"/>
    <n v="131.91999999999999"/>
    <s v="Credit Card"/>
    <s v="CUST_00086"/>
    <n v="1"/>
    <n v="32.980000000000018"/>
    <n v="131.91999999999999"/>
    <s v="High"/>
  </r>
  <r>
    <s v="TXN_01436"/>
    <d v="2024-12-05T00:00:00"/>
    <x v="6"/>
    <s v="Thursday"/>
    <s v="STORE_031"/>
    <x v="2"/>
    <x v="4"/>
    <x v="20"/>
    <n v="490.9"/>
    <n v="10"/>
    <n v="4909"/>
    <n v="0"/>
    <n v="0"/>
    <n v="4909"/>
    <s v="Credit Card"/>
    <s v="CUST_00450"/>
    <n v="2"/>
    <n v="0"/>
    <n v="490.9"/>
    <s v="No Discount"/>
  </r>
  <r>
    <s v="TXN_01437"/>
    <d v="2024-04-18T00:00:00"/>
    <x v="4"/>
    <s v="Thursday"/>
    <s v="STORE_021"/>
    <x v="3"/>
    <x v="4"/>
    <x v="8"/>
    <n v="504.36"/>
    <n v="10"/>
    <n v="5043.6000000000004"/>
    <n v="0"/>
    <n v="0"/>
    <n v="5043.6000000000004"/>
    <s v="Debit Card"/>
    <s v="CUST_00689"/>
    <n v="3"/>
    <n v="0"/>
    <n v="504.36"/>
    <s v="No Discount"/>
  </r>
  <r>
    <s v="TXN_01438"/>
    <d v="2024-11-24T00:00:00"/>
    <x v="0"/>
    <s v="Sunday"/>
    <s v="STORE_035"/>
    <x v="0"/>
    <x v="7"/>
    <x v="23"/>
    <n v="1074.73"/>
    <n v="5"/>
    <n v="5373.65"/>
    <n v="0"/>
    <n v="0"/>
    <n v="5373.65"/>
    <s v="Debit Card"/>
    <s v="CUST_00615"/>
    <n v="1"/>
    <n v="0"/>
    <n v="1074.73"/>
    <s v="No Discount"/>
  </r>
  <r>
    <s v="TXN_01439"/>
    <d v="2024-11-23T00:00:00"/>
    <x v="0"/>
    <s v="Saturday"/>
    <s v="STORE_033"/>
    <x v="4"/>
    <x v="1"/>
    <x v="6"/>
    <n v="271.01"/>
    <n v="2"/>
    <n v="542.02"/>
    <n v="0"/>
    <n v="0"/>
    <n v="542.02"/>
    <s v="Debit Card"/>
    <s v="CUST_00808"/>
    <n v="3"/>
    <n v="0"/>
    <n v="271.01"/>
    <s v="No Discount"/>
  </r>
  <r>
    <s v="TXN_01440"/>
    <d v="2024-11-01T00:00:00"/>
    <x v="0"/>
    <s v="Friday"/>
    <s v="STORE_002"/>
    <x v="2"/>
    <x v="6"/>
    <x v="15"/>
    <n v="1069.17"/>
    <n v="1"/>
    <n v="1069.17"/>
    <n v="10"/>
    <n v="106.92"/>
    <n v="962.25"/>
    <s v="UPI"/>
    <s v="CUST_00614"/>
    <n v="4"/>
    <n v="106.92000000000007"/>
    <n v="962.25"/>
    <s v="Medium"/>
  </r>
  <r>
    <s v="TXN_01441"/>
    <d v="2024-01-11T00:00:00"/>
    <x v="2"/>
    <s v="Thursday"/>
    <s v="STORE_006"/>
    <x v="1"/>
    <x v="6"/>
    <x v="30"/>
    <n v="1493.06"/>
    <n v="4"/>
    <n v="5972.24"/>
    <n v="5"/>
    <n v="298.61"/>
    <n v="5673.63"/>
    <s v="Cash"/>
    <s v="CUST_00742"/>
    <n v="3"/>
    <n v="298.60999999999967"/>
    <n v="1418.4075"/>
    <s v="Low"/>
  </r>
  <r>
    <s v="TXN_01442"/>
    <d v="2024-01-26T00:00:00"/>
    <x v="2"/>
    <s v="Friday"/>
    <s v="STORE_027"/>
    <x v="0"/>
    <x v="2"/>
    <x v="7"/>
    <n v="204.97"/>
    <n v="7"/>
    <n v="1434.79"/>
    <n v="10"/>
    <n v="143.47999999999999"/>
    <n v="1291.31"/>
    <s v="Credit Card"/>
    <s v="CUST_00817"/>
    <n v="2"/>
    <n v="143.48000000000002"/>
    <n v="184.47285714285712"/>
    <s v="Medium"/>
  </r>
  <r>
    <s v="TXN_01443"/>
    <d v="2024-06-19T00:00:00"/>
    <x v="10"/>
    <s v="Wednesday"/>
    <s v="STORE_020"/>
    <x v="0"/>
    <x v="2"/>
    <x v="7"/>
    <n v="259.49"/>
    <n v="6"/>
    <n v="1556.94"/>
    <n v="0"/>
    <n v="0"/>
    <n v="1556.94"/>
    <s v="Credit Card"/>
    <s v="CUST_00804"/>
    <n v="3"/>
    <n v="0"/>
    <n v="259.49"/>
    <s v="No Discount"/>
  </r>
  <r>
    <s v="TXN_01444"/>
    <d v="2024-05-04T00:00:00"/>
    <x v="3"/>
    <s v="Saturday"/>
    <s v="STORE_027"/>
    <x v="0"/>
    <x v="0"/>
    <x v="18"/>
    <n v="642.03"/>
    <n v="1"/>
    <n v="642.03"/>
    <n v="15"/>
    <n v="96.3"/>
    <n v="545.73"/>
    <s v="UPI"/>
    <s v="CUST_00247"/>
    <n v="1"/>
    <n v="96.299999999999955"/>
    <n v="545.73"/>
    <s v="Medium"/>
  </r>
  <r>
    <s v="TXN_01445"/>
    <d v="2024-03-05T00:00:00"/>
    <x v="5"/>
    <s v="Tuesday"/>
    <s v="STORE_002"/>
    <x v="4"/>
    <x v="0"/>
    <x v="27"/>
    <n v="884.82"/>
    <n v="9"/>
    <n v="7963.38"/>
    <n v="5"/>
    <n v="398.17"/>
    <n v="7565.21"/>
    <s v="Wallet"/>
    <s v="CUST_00798"/>
    <n v="3"/>
    <n v="398.17000000000007"/>
    <n v="840.57888888888886"/>
    <s v="Low"/>
  </r>
  <r>
    <s v="TXN_01446"/>
    <d v="2024-10-16T00:00:00"/>
    <x v="7"/>
    <s v="Wednesday"/>
    <s v="STORE_026"/>
    <x v="1"/>
    <x v="5"/>
    <x v="11"/>
    <n v="1258.06"/>
    <n v="5"/>
    <n v="6290.3"/>
    <n v="20"/>
    <n v="1258.06"/>
    <n v="5032.24"/>
    <s v="Credit Card"/>
    <s v="CUST_00855"/>
    <n v="1"/>
    <n v="1258.0600000000004"/>
    <n v="1006.448"/>
    <s v="High"/>
  </r>
  <r>
    <s v="TXN_01447"/>
    <d v="2024-04-15T00:00:00"/>
    <x v="4"/>
    <s v="Monday"/>
    <s v="STORE_036"/>
    <x v="3"/>
    <x v="7"/>
    <x v="23"/>
    <n v="1398.28"/>
    <n v="1"/>
    <n v="1398.28"/>
    <n v="0"/>
    <n v="0"/>
    <n v="1398.28"/>
    <s v="Cash"/>
    <s v="CUST_00511"/>
    <n v="2"/>
    <n v="0"/>
    <n v="1398.28"/>
    <s v="No Discount"/>
  </r>
  <r>
    <s v="TXN_01448"/>
    <d v="2024-02-05T00:00:00"/>
    <x v="1"/>
    <s v="Monday"/>
    <s v="STORE_018"/>
    <x v="0"/>
    <x v="3"/>
    <x v="16"/>
    <n v="742.8"/>
    <n v="4"/>
    <n v="2971.2"/>
    <n v="10"/>
    <n v="297.12"/>
    <n v="2674.08"/>
    <s v="Credit Card"/>
    <s v="CUST_00159"/>
    <n v="4"/>
    <n v="297.11999999999989"/>
    <n v="668.52"/>
    <s v="Medium"/>
  </r>
  <r>
    <s v="TXN_01449"/>
    <d v="2024-10-10T00:00:00"/>
    <x v="7"/>
    <s v="Thursday"/>
    <s v="STORE_034"/>
    <x v="4"/>
    <x v="7"/>
    <x v="38"/>
    <n v="1135.97"/>
    <n v="10"/>
    <n v="11359.7"/>
    <n v="15"/>
    <n v="1703.96"/>
    <n v="9655.74"/>
    <s v="Cash"/>
    <s v="CUST_00661"/>
    <n v="2"/>
    <n v="1703.9600000000009"/>
    <n v="965.57399999999996"/>
    <s v="Medium"/>
  </r>
  <r>
    <s v="TXN_01450"/>
    <d v="2024-04-16T00:00:00"/>
    <x v="4"/>
    <s v="Tuesday"/>
    <s v="STORE_024"/>
    <x v="4"/>
    <x v="2"/>
    <x v="13"/>
    <n v="308.31"/>
    <n v="1"/>
    <n v="308.31"/>
    <n v="0"/>
    <n v="0"/>
    <n v="308.31"/>
    <s v="UPI"/>
    <s v="CUST_00442"/>
    <n v="2"/>
    <n v="0"/>
    <n v="308.31"/>
    <s v="No Discount"/>
  </r>
  <r>
    <s v="TXN_01451"/>
    <d v="2024-10-27T00:00:00"/>
    <x v="7"/>
    <s v="Sunday"/>
    <s v="STORE_025"/>
    <x v="1"/>
    <x v="3"/>
    <x v="21"/>
    <n v="1066.8399999999999"/>
    <n v="5"/>
    <n v="5334.2"/>
    <n v="0"/>
    <n v="0"/>
    <n v="5334.2"/>
    <s v="UPI"/>
    <s v="CUST_00969"/>
    <n v="1"/>
    <n v="0"/>
    <n v="1066.8399999999999"/>
    <s v="No Discount"/>
  </r>
  <r>
    <s v="TXN_01452"/>
    <d v="2024-04-20T00:00:00"/>
    <x v="4"/>
    <s v="Saturday"/>
    <s v="STORE_012"/>
    <x v="3"/>
    <x v="0"/>
    <x v="0"/>
    <n v="483.74"/>
    <n v="6"/>
    <n v="2902.44"/>
    <n v="20"/>
    <n v="580.49"/>
    <n v="2321.9499999999998"/>
    <s v="Cash"/>
    <s v="CUST_00808"/>
    <n v="1"/>
    <n v="580.49000000000024"/>
    <n v="386.99166666666662"/>
    <s v="High"/>
  </r>
  <r>
    <s v="TXN_01453"/>
    <d v="2024-04-29T00:00:00"/>
    <x v="4"/>
    <s v="Monday"/>
    <s v="STORE_043"/>
    <x v="2"/>
    <x v="3"/>
    <x v="22"/>
    <n v="1151.81"/>
    <n v="3"/>
    <n v="3455.43"/>
    <n v="0"/>
    <n v="0"/>
    <n v="3455.43"/>
    <s v="Debit Card"/>
    <s v="CUST_00482"/>
    <n v="1"/>
    <n v="0"/>
    <n v="1151.81"/>
    <s v="No Discount"/>
  </r>
  <r>
    <s v="TXN_01454"/>
    <d v="2024-06-17T00:00:00"/>
    <x v="10"/>
    <s v="Monday"/>
    <s v="STORE_037"/>
    <x v="4"/>
    <x v="0"/>
    <x v="32"/>
    <n v="528.95000000000005"/>
    <n v="5"/>
    <n v="2644.75"/>
    <n v="20"/>
    <n v="528.95000000000005"/>
    <n v="2115.8000000000002"/>
    <s v="Cash"/>
    <s v="CUST_00518"/>
    <n v="5"/>
    <n v="528.94999999999982"/>
    <n v="423.16"/>
    <s v="High"/>
  </r>
  <r>
    <s v="TXN_01455"/>
    <d v="2024-03-16T00:00:00"/>
    <x v="5"/>
    <s v="Saturday"/>
    <s v="STORE_034"/>
    <x v="0"/>
    <x v="6"/>
    <x v="14"/>
    <n v="1596.17"/>
    <n v="6"/>
    <n v="9577.02"/>
    <n v="0"/>
    <n v="0"/>
    <n v="9577.02"/>
    <s v="Wallet"/>
    <s v="CUST_00851"/>
    <n v="5"/>
    <n v="0"/>
    <n v="1596.17"/>
    <s v="No Discount"/>
  </r>
  <r>
    <s v="TXN_01456"/>
    <d v="2024-11-01T00:00:00"/>
    <x v="0"/>
    <s v="Friday"/>
    <s v="STORE_044"/>
    <x v="1"/>
    <x v="2"/>
    <x v="39"/>
    <n v="607.85"/>
    <n v="3"/>
    <n v="1823.55"/>
    <n v="5"/>
    <n v="91.18"/>
    <n v="1732.37"/>
    <s v="Wallet"/>
    <s v="CUST_00039"/>
    <n v="1"/>
    <n v="91.180000000000064"/>
    <n v="577.45666666666659"/>
    <s v="Low"/>
  </r>
  <r>
    <s v="TXN_01457"/>
    <d v="2024-01-02T00:00:00"/>
    <x v="2"/>
    <s v="Tuesday"/>
    <s v="STORE_014"/>
    <x v="1"/>
    <x v="2"/>
    <x v="2"/>
    <n v="795.19"/>
    <n v="5"/>
    <n v="3975.95"/>
    <n v="0"/>
    <n v="0"/>
    <n v="3975.95"/>
    <s v="Debit Card"/>
    <s v="CUST_00199"/>
    <n v="2"/>
    <n v="0"/>
    <n v="795.18999999999994"/>
    <s v="No Discount"/>
  </r>
  <r>
    <s v="TXN_01458"/>
    <d v="2024-05-21T00:00:00"/>
    <x v="3"/>
    <s v="Tuesday"/>
    <s v="STORE_007"/>
    <x v="2"/>
    <x v="2"/>
    <x v="7"/>
    <n v="320.55"/>
    <n v="2"/>
    <n v="641.1"/>
    <n v="5"/>
    <n v="32.049999999999997"/>
    <n v="609.04999999999995"/>
    <s v="Debit Card"/>
    <s v="CUST_00097"/>
    <n v="2"/>
    <n v="32.050000000000068"/>
    <n v="304.52499999999998"/>
    <s v="Low"/>
  </r>
  <r>
    <s v="TXN_01459"/>
    <d v="2024-03-15T00:00:00"/>
    <x v="5"/>
    <s v="Friday"/>
    <s v="STORE_013"/>
    <x v="0"/>
    <x v="1"/>
    <x v="3"/>
    <n v="259.89999999999998"/>
    <n v="2"/>
    <n v="519.79999999999995"/>
    <n v="10"/>
    <n v="51.98"/>
    <n v="467.82"/>
    <s v="Credit Card"/>
    <s v="CUST_00608"/>
    <n v="5"/>
    <n v="51.979999999999961"/>
    <n v="233.91"/>
    <s v="Medium"/>
  </r>
  <r>
    <s v="TXN_01460"/>
    <d v="2024-03-07T00:00:00"/>
    <x v="5"/>
    <s v="Thursday"/>
    <s v="STORE_003"/>
    <x v="3"/>
    <x v="7"/>
    <x v="38"/>
    <n v="891.1"/>
    <n v="3"/>
    <n v="2673.3"/>
    <n v="5"/>
    <n v="133.66999999999999"/>
    <n v="2539.63"/>
    <s v="Cash"/>
    <s v="CUST_00876"/>
    <n v="2"/>
    <n v="133.67000000000007"/>
    <n v="846.54333333333341"/>
    <s v="Low"/>
  </r>
  <r>
    <s v="TXN_01461"/>
    <d v="2024-10-03T00:00:00"/>
    <x v="7"/>
    <s v="Thursday"/>
    <s v="STORE_049"/>
    <x v="1"/>
    <x v="6"/>
    <x v="30"/>
    <n v="1934.32"/>
    <n v="10"/>
    <n v="19343.2"/>
    <n v="20"/>
    <n v="3868.64"/>
    <n v="15474.56"/>
    <s v="Wallet"/>
    <s v="CUST_00399"/>
    <n v="4"/>
    <n v="3868.6400000000012"/>
    <n v="1547.4559999999999"/>
    <s v="High"/>
  </r>
  <r>
    <s v="TXN_01462"/>
    <d v="2024-05-08T00:00:00"/>
    <x v="3"/>
    <s v="Wednesday"/>
    <s v="STORE_001"/>
    <x v="2"/>
    <x v="7"/>
    <x v="37"/>
    <n v="1452.89"/>
    <n v="7"/>
    <n v="10170.23"/>
    <n v="20"/>
    <n v="2034.05"/>
    <n v="8136.18"/>
    <s v="Wallet"/>
    <s v="CUST_00934"/>
    <n v="5"/>
    <n v="2034.0499999999993"/>
    <n v="1162.3114285714287"/>
    <s v="High"/>
  </r>
  <r>
    <s v="TXN_01463"/>
    <d v="2024-03-30T00:00:00"/>
    <x v="5"/>
    <s v="Saturday"/>
    <s v="STORE_050"/>
    <x v="3"/>
    <x v="5"/>
    <x v="11"/>
    <n v="4281.3999999999996"/>
    <n v="1"/>
    <n v="4281.3999999999996"/>
    <n v="10"/>
    <n v="428.14"/>
    <n v="3853.26"/>
    <s v="Credit Card"/>
    <s v="CUST_00115"/>
    <n v="3"/>
    <n v="428.13999999999942"/>
    <n v="3853.26"/>
    <s v="Medium"/>
  </r>
  <r>
    <s v="TXN_01464"/>
    <d v="2024-02-26T00:00:00"/>
    <x v="1"/>
    <s v="Monday"/>
    <s v="STORE_031"/>
    <x v="3"/>
    <x v="5"/>
    <x v="10"/>
    <n v="3095.48"/>
    <n v="1"/>
    <n v="3095.48"/>
    <n v="0"/>
    <n v="0"/>
    <n v="3095.48"/>
    <s v="UPI"/>
    <s v="CUST_00271"/>
    <n v="3"/>
    <n v="0"/>
    <n v="3095.48"/>
    <s v="No Discount"/>
  </r>
  <r>
    <s v="TXN_01465"/>
    <d v="2024-12-04T00:00:00"/>
    <x v="6"/>
    <s v="Wednesday"/>
    <s v="STORE_026"/>
    <x v="1"/>
    <x v="2"/>
    <x v="7"/>
    <n v="183.79"/>
    <n v="7"/>
    <n v="1286.53"/>
    <n v="0"/>
    <n v="0"/>
    <n v="1286.53"/>
    <s v="Wallet"/>
    <s v="CUST_00625"/>
    <n v="2"/>
    <n v="0"/>
    <n v="183.79"/>
    <s v="No Discount"/>
  </r>
  <r>
    <s v="TXN_01466"/>
    <d v="2024-01-14T00:00:00"/>
    <x v="2"/>
    <s v="Sunday"/>
    <s v="STORE_008"/>
    <x v="4"/>
    <x v="4"/>
    <x v="20"/>
    <n v="548.65"/>
    <n v="2"/>
    <n v="1097.3"/>
    <n v="0"/>
    <n v="0"/>
    <n v="1097.3"/>
    <s v="Wallet"/>
    <s v="CUST_00655"/>
    <n v="1"/>
    <n v="0"/>
    <n v="548.65"/>
    <s v="No Discount"/>
  </r>
  <r>
    <s v="TXN_01467"/>
    <d v="2024-03-08T00:00:00"/>
    <x v="5"/>
    <s v="Friday"/>
    <s v="STORE_031"/>
    <x v="1"/>
    <x v="2"/>
    <x v="2"/>
    <n v="477.46"/>
    <n v="4"/>
    <n v="1909.84"/>
    <n v="0"/>
    <n v="0"/>
    <n v="1909.84"/>
    <s v="UPI"/>
    <s v="CUST_00859"/>
    <n v="5"/>
    <n v="0"/>
    <n v="477.46"/>
    <s v="No Discount"/>
  </r>
  <r>
    <s v="TXN_01468"/>
    <d v="2024-01-08T00:00:00"/>
    <x v="2"/>
    <s v="Monday"/>
    <s v="STORE_014"/>
    <x v="4"/>
    <x v="6"/>
    <x v="26"/>
    <n v="708.94"/>
    <n v="7"/>
    <n v="4962.58"/>
    <n v="0"/>
    <n v="0"/>
    <n v="4962.58"/>
    <s v="Debit Card"/>
    <s v="CUST_00617"/>
    <n v="2"/>
    <n v="0"/>
    <n v="708.93999999999994"/>
    <s v="No Discount"/>
  </r>
  <r>
    <s v="TXN_01469"/>
    <d v="2024-07-02T00:00:00"/>
    <x v="11"/>
    <s v="Tuesday"/>
    <s v="STORE_005"/>
    <x v="2"/>
    <x v="5"/>
    <x v="34"/>
    <n v="1960.57"/>
    <n v="5"/>
    <n v="9802.85"/>
    <n v="0"/>
    <n v="0"/>
    <n v="9802.85"/>
    <s v="Cash"/>
    <s v="CUST_00262"/>
    <n v="4"/>
    <n v="0"/>
    <n v="1960.5700000000002"/>
    <s v="No Discount"/>
  </r>
  <r>
    <s v="TXN_01470"/>
    <d v="2024-05-01T00:00:00"/>
    <x v="3"/>
    <s v="Wednesday"/>
    <s v="STORE_041"/>
    <x v="2"/>
    <x v="6"/>
    <x v="15"/>
    <n v="695.08"/>
    <n v="9"/>
    <n v="6255.72"/>
    <n v="5"/>
    <n v="312.79000000000002"/>
    <n v="5942.93"/>
    <s v="Credit Card"/>
    <s v="CUST_00797"/>
    <n v="3"/>
    <n v="312.78999999999996"/>
    <n v="660.32555555555564"/>
    <s v="Low"/>
  </r>
  <r>
    <s v="TXN_01471"/>
    <d v="2024-10-28T00:00:00"/>
    <x v="7"/>
    <s v="Monday"/>
    <s v="STORE_034"/>
    <x v="2"/>
    <x v="4"/>
    <x v="20"/>
    <n v="371.57"/>
    <n v="7"/>
    <n v="2600.9899999999998"/>
    <n v="5"/>
    <n v="130.05000000000001"/>
    <n v="2470.94"/>
    <s v="UPI"/>
    <s v="CUST_00120"/>
    <n v="1"/>
    <n v="130.04999999999973"/>
    <n v="352.99142857142857"/>
    <s v="Low"/>
  </r>
  <r>
    <s v="TXN_01472"/>
    <d v="2024-06-14T00:00:00"/>
    <x v="10"/>
    <s v="Friday"/>
    <s v="STORE_034"/>
    <x v="0"/>
    <x v="5"/>
    <x v="9"/>
    <n v="4121.2299999999996"/>
    <n v="1"/>
    <n v="4121.2299999999996"/>
    <n v="0"/>
    <n v="0"/>
    <n v="4121.2299999999996"/>
    <s v="Debit Card"/>
    <s v="CUST_00370"/>
    <n v="1"/>
    <n v="0"/>
    <n v="4121.2299999999996"/>
    <s v="No Discount"/>
  </r>
  <r>
    <s v="TXN_01473"/>
    <d v="2024-01-09T00:00:00"/>
    <x v="2"/>
    <s v="Tuesday"/>
    <s v="STORE_010"/>
    <x v="3"/>
    <x v="0"/>
    <x v="4"/>
    <n v="907.63"/>
    <n v="2"/>
    <n v="1815.26"/>
    <n v="20"/>
    <n v="363.05"/>
    <n v="1452.21"/>
    <s v="Credit Card"/>
    <s v="CUST_00075"/>
    <n v="4"/>
    <n v="363.04999999999995"/>
    <n v="726.10500000000002"/>
    <s v="High"/>
  </r>
  <r>
    <s v="TXN_01474"/>
    <d v="2024-03-30T00:00:00"/>
    <x v="5"/>
    <s v="Saturday"/>
    <s v="STORE_022"/>
    <x v="1"/>
    <x v="4"/>
    <x v="20"/>
    <n v="194.98"/>
    <n v="3"/>
    <n v="584.94000000000005"/>
    <n v="20"/>
    <n v="116.99"/>
    <n v="467.95"/>
    <s v="Debit Card"/>
    <s v="CUST_00054"/>
    <n v="3"/>
    <n v="116.99000000000007"/>
    <n v="155.98333333333332"/>
    <s v="High"/>
  </r>
  <r>
    <s v="TXN_01475"/>
    <d v="2024-05-15T00:00:00"/>
    <x v="3"/>
    <s v="Wednesday"/>
    <s v="STORE_041"/>
    <x v="3"/>
    <x v="0"/>
    <x v="27"/>
    <n v="640.23"/>
    <n v="7"/>
    <n v="4481.6099999999997"/>
    <n v="10"/>
    <n v="448.16"/>
    <n v="4033.45"/>
    <s v="Credit Card"/>
    <s v="CUST_00435"/>
    <n v="4"/>
    <n v="448.15999999999985"/>
    <n v="576.2071428571428"/>
    <s v="Medium"/>
  </r>
  <r>
    <s v="TXN_01476"/>
    <d v="2024-01-27T00:00:00"/>
    <x v="2"/>
    <s v="Saturday"/>
    <s v="STORE_048"/>
    <x v="2"/>
    <x v="5"/>
    <x v="10"/>
    <n v="1843.43"/>
    <n v="9"/>
    <n v="16590.87"/>
    <n v="20"/>
    <n v="3318.17"/>
    <n v="13272.7"/>
    <s v="Cash"/>
    <s v="CUST_00119"/>
    <n v="3"/>
    <n v="3318.1699999999983"/>
    <n v="1474.7444444444445"/>
    <s v="High"/>
  </r>
  <r>
    <s v="TXN_01477"/>
    <d v="2024-03-05T00:00:00"/>
    <x v="5"/>
    <s v="Tuesday"/>
    <s v="STORE_050"/>
    <x v="0"/>
    <x v="3"/>
    <x v="22"/>
    <n v="2709.81"/>
    <n v="1"/>
    <n v="2709.81"/>
    <n v="20"/>
    <n v="541.96"/>
    <n v="2167.85"/>
    <s v="Wallet"/>
    <s v="CUST_00351"/>
    <n v="4"/>
    <n v="541.96"/>
    <n v="2167.85"/>
    <s v="High"/>
  </r>
  <r>
    <s v="TXN_01478"/>
    <d v="2024-08-03T00:00:00"/>
    <x v="8"/>
    <s v="Saturday"/>
    <s v="STORE_027"/>
    <x v="2"/>
    <x v="2"/>
    <x v="29"/>
    <n v="433.82"/>
    <n v="9"/>
    <n v="3904.38"/>
    <n v="15"/>
    <n v="585.66"/>
    <n v="3318.72"/>
    <s v="Wallet"/>
    <s v="CUST_00218"/>
    <n v="2"/>
    <n v="585.66000000000031"/>
    <n v="368.74666666666667"/>
    <s v="Medium"/>
  </r>
  <r>
    <s v="TXN_01479"/>
    <d v="2024-09-26T00:00:00"/>
    <x v="9"/>
    <s v="Thursday"/>
    <s v="STORE_029"/>
    <x v="2"/>
    <x v="3"/>
    <x v="22"/>
    <n v="1920.62"/>
    <n v="2"/>
    <n v="3841.24"/>
    <n v="0"/>
    <n v="0"/>
    <n v="3841.24"/>
    <s v="Credit Card"/>
    <s v="CUST_00621"/>
    <n v="3"/>
    <n v="0"/>
    <n v="1920.62"/>
    <s v="No Discount"/>
  </r>
  <r>
    <s v="TXN_01480"/>
    <d v="2024-02-28T00:00:00"/>
    <x v="1"/>
    <s v="Wednesday"/>
    <s v="STORE_019"/>
    <x v="4"/>
    <x v="6"/>
    <x v="26"/>
    <n v="1052.3599999999999"/>
    <n v="10"/>
    <n v="10523.6"/>
    <n v="10"/>
    <n v="1052.3599999999999"/>
    <n v="9471.24"/>
    <s v="Credit Card"/>
    <s v="CUST_00187"/>
    <n v="3"/>
    <n v="1052.3600000000006"/>
    <n v="947.12400000000002"/>
    <s v="Medium"/>
  </r>
  <r>
    <s v="TXN_01481"/>
    <d v="2024-02-02T00:00:00"/>
    <x v="1"/>
    <s v="Friday"/>
    <s v="STORE_049"/>
    <x v="4"/>
    <x v="6"/>
    <x v="33"/>
    <n v="1987.84"/>
    <n v="10"/>
    <n v="19878.400000000001"/>
    <n v="20"/>
    <n v="3975.68"/>
    <n v="15902.72"/>
    <s v="Debit Card"/>
    <s v="CUST_00724"/>
    <n v="4"/>
    <n v="3975.6800000000021"/>
    <n v="1590.2719999999999"/>
    <s v="High"/>
  </r>
  <r>
    <s v="TXN_01482"/>
    <d v="2024-08-31T00:00:00"/>
    <x v="8"/>
    <s v="Saturday"/>
    <s v="STORE_042"/>
    <x v="4"/>
    <x v="0"/>
    <x v="27"/>
    <n v="658.17"/>
    <n v="7"/>
    <n v="4607.1899999999996"/>
    <n v="20"/>
    <n v="921.44"/>
    <n v="3685.75"/>
    <s v="Cash"/>
    <s v="CUST_00778"/>
    <n v="5"/>
    <n v="921.4399999999996"/>
    <n v="526.53571428571433"/>
    <s v="High"/>
  </r>
  <r>
    <s v="TXN_01483"/>
    <d v="2024-08-17T00:00:00"/>
    <x v="8"/>
    <s v="Saturday"/>
    <s v="STORE_038"/>
    <x v="3"/>
    <x v="1"/>
    <x v="36"/>
    <n v="450.12"/>
    <n v="5"/>
    <n v="2250.6"/>
    <n v="0"/>
    <n v="0"/>
    <n v="2250.6"/>
    <s v="Wallet"/>
    <s v="CUST_00653"/>
    <n v="3"/>
    <n v="0"/>
    <n v="450.12"/>
    <s v="No Discount"/>
  </r>
  <r>
    <s v="TXN_01484"/>
    <d v="2024-07-04T00:00:00"/>
    <x v="11"/>
    <s v="Thursday"/>
    <s v="STORE_020"/>
    <x v="4"/>
    <x v="3"/>
    <x v="12"/>
    <n v="1124.99"/>
    <n v="2"/>
    <n v="2249.98"/>
    <n v="0"/>
    <n v="0"/>
    <n v="2249.98"/>
    <s v="Credit Card"/>
    <s v="CUST_00634"/>
    <n v="5"/>
    <n v="0"/>
    <n v="1124.99"/>
    <s v="No Discount"/>
  </r>
  <r>
    <s v="TXN_01485"/>
    <d v="2024-09-19T00:00:00"/>
    <x v="9"/>
    <s v="Thursday"/>
    <s v="STORE_050"/>
    <x v="0"/>
    <x v="3"/>
    <x v="12"/>
    <n v="2693.51"/>
    <n v="2"/>
    <n v="5387.02"/>
    <n v="0"/>
    <n v="0"/>
    <n v="5387.02"/>
    <s v="Debit Card"/>
    <s v="CUST_00795"/>
    <n v="3"/>
    <n v="0"/>
    <n v="2693.51"/>
    <s v="No Discount"/>
  </r>
  <r>
    <s v="TXN_01486"/>
    <d v="2024-10-30T00:00:00"/>
    <x v="7"/>
    <s v="Wednesday"/>
    <s v="STORE_036"/>
    <x v="3"/>
    <x v="0"/>
    <x v="4"/>
    <n v="651.13"/>
    <n v="1"/>
    <n v="651.13"/>
    <n v="5"/>
    <n v="32.56"/>
    <n v="618.57000000000005"/>
    <s v="Wallet"/>
    <s v="CUST_00159"/>
    <n v="1"/>
    <n v="32.559999999999945"/>
    <n v="618.57000000000005"/>
    <s v="Low"/>
  </r>
  <r>
    <s v="TXN_01487"/>
    <d v="2024-02-25T00:00:00"/>
    <x v="1"/>
    <s v="Sunday"/>
    <s v="STORE_048"/>
    <x v="0"/>
    <x v="0"/>
    <x v="18"/>
    <n v="565.75"/>
    <n v="7"/>
    <n v="3960.25"/>
    <n v="0"/>
    <n v="0"/>
    <n v="3960.25"/>
    <s v="UPI"/>
    <s v="CUST_00317"/>
    <n v="2"/>
    <n v="0"/>
    <n v="565.75"/>
    <s v="No Discount"/>
  </r>
  <r>
    <s v="TXN_01488"/>
    <d v="2024-08-19T00:00:00"/>
    <x v="8"/>
    <s v="Monday"/>
    <s v="STORE_042"/>
    <x v="0"/>
    <x v="3"/>
    <x v="16"/>
    <n v="1898.85"/>
    <n v="6"/>
    <n v="11393.1"/>
    <n v="15"/>
    <n v="1708.96"/>
    <n v="9684.14"/>
    <s v="Wallet"/>
    <s v="CUST_00921"/>
    <n v="3"/>
    <n v="1708.9600000000009"/>
    <n v="1614.0233333333333"/>
    <s v="Medium"/>
  </r>
  <r>
    <s v="TXN_01489"/>
    <d v="2024-09-14T00:00:00"/>
    <x v="9"/>
    <s v="Saturday"/>
    <s v="STORE_027"/>
    <x v="2"/>
    <x v="5"/>
    <x v="10"/>
    <n v="4028.05"/>
    <n v="5"/>
    <n v="20140.25"/>
    <n v="20"/>
    <n v="4028.05"/>
    <n v="16112.2"/>
    <s v="Credit Card"/>
    <s v="CUST_00146"/>
    <n v="3"/>
    <n v="4028.0499999999993"/>
    <n v="3222.44"/>
    <s v="High"/>
  </r>
  <r>
    <s v="TXN_01490"/>
    <d v="2024-04-23T00:00:00"/>
    <x v="4"/>
    <s v="Tuesday"/>
    <s v="STORE_035"/>
    <x v="0"/>
    <x v="0"/>
    <x v="32"/>
    <n v="223.95"/>
    <n v="3"/>
    <n v="671.85"/>
    <n v="5"/>
    <n v="33.590000000000003"/>
    <n v="638.26"/>
    <s v="Wallet"/>
    <s v="CUST_00445"/>
    <n v="3"/>
    <n v="33.590000000000032"/>
    <n v="212.75333333333333"/>
    <s v="Low"/>
  </r>
  <r>
    <s v="TXN_01491"/>
    <d v="2024-11-10T00:00:00"/>
    <x v="0"/>
    <s v="Sunday"/>
    <s v="STORE_027"/>
    <x v="2"/>
    <x v="2"/>
    <x v="2"/>
    <n v="648.52"/>
    <n v="7"/>
    <n v="4539.6400000000003"/>
    <n v="10"/>
    <n v="453.96"/>
    <n v="4085.68"/>
    <s v="UPI"/>
    <s v="CUST_00946"/>
    <n v="3"/>
    <n v="453.96000000000049"/>
    <n v="583.66857142857145"/>
    <s v="Medium"/>
  </r>
  <r>
    <s v="TXN_01492"/>
    <d v="2024-01-23T00:00:00"/>
    <x v="2"/>
    <s v="Tuesday"/>
    <s v="STORE_034"/>
    <x v="1"/>
    <x v="3"/>
    <x v="21"/>
    <n v="1773.02"/>
    <n v="7"/>
    <n v="12411.14"/>
    <n v="0"/>
    <n v="0"/>
    <n v="12411.14"/>
    <s v="Debit Card"/>
    <s v="CUST_00586"/>
    <n v="2"/>
    <n v="0"/>
    <n v="1773.02"/>
    <s v="No Discount"/>
  </r>
  <r>
    <s v="TXN_01493"/>
    <d v="2024-12-03T00:00:00"/>
    <x v="6"/>
    <s v="Tuesday"/>
    <s v="STORE_035"/>
    <x v="0"/>
    <x v="4"/>
    <x v="8"/>
    <n v="263.37"/>
    <n v="4"/>
    <n v="1053.48"/>
    <n v="20"/>
    <n v="210.7"/>
    <n v="842.78"/>
    <s v="Cash"/>
    <s v="CUST_00247"/>
    <n v="4"/>
    <n v="210.70000000000005"/>
    <n v="210.69499999999999"/>
    <s v="High"/>
  </r>
  <r>
    <s v="TXN_01494"/>
    <d v="2024-09-23T00:00:00"/>
    <x v="9"/>
    <s v="Monday"/>
    <s v="STORE_031"/>
    <x v="0"/>
    <x v="2"/>
    <x v="7"/>
    <n v="290.33"/>
    <n v="1"/>
    <n v="290.33"/>
    <n v="20"/>
    <n v="58.07"/>
    <n v="232.26"/>
    <s v="Credit Card"/>
    <s v="CUST_00002"/>
    <n v="2"/>
    <n v="58.069999999999993"/>
    <n v="232.26"/>
    <s v="High"/>
  </r>
  <r>
    <s v="TXN_01495"/>
    <d v="2024-06-03T00:00:00"/>
    <x v="10"/>
    <s v="Monday"/>
    <s v="STORE_008"/>
    <x v="3"/>
    <x v="6"/>
    <x v="26"/>
    <n v="1151.3699999999999"/>
    <n v="7"/>
    <n v="8059.59"/>
    <n v="5"/>
    <n v="402.98"/>
    <n v="7656.61"/>
    <s v="Credit Card"/>
    <s v="CUST_00516"/>
    <n v="1"/>
    <n v="402.98000000000047"/>
    <n v="1093.8014285714285"/>
    <s v="Low"/>
  </r>
  <r>
    <s v="TXN_01496"/>
    <d v="2024-08-22T00:00:00"/>
    <x v="8"/>
    <s v="Thursday"/>
    <s v="STORE_002"/>
    <x v="2"/>
    <x v="3"/>
    <x v="21"/>
    <n v="427.4"/>
    <n v="4"/>
    <n v="1709.6"/>
    <n v="20"/>
    <n v="341.92"/>
    <n v="1367.68"/>
    <s v="Wallet"/>
    <s v="CUST_00969"/>
    <n v="3"/>
    <n v="341.91999999999985"/>
    <n v="341.92"/>
    <s v="High"/>
  </r>
  <r>
    <s v="TXN_01497"/>
    <d v="2024-11-25T00:00:00"/>
    <x v="0"/>
    <s v="Monday"/>
    <s v="STORE_019"/>
    <x v="4"/>
    <x v="7"/>
    <x v="37"/>
    <n v="933.37"/>
    <n v="10"/>
    <n v="9333.7000000000007"/>
    <n v="15"/>
    <n v="1400.06"/>
    <n v="7933.64"/>
    <s v="Cash"/>
    <s v="CUST_00075"/>
    <n v="1"/>
    <n v="1400.0600000000004"/>
    <n v="793.36400000000003"/>
    <s v="Medium"/>
  </r>
  <r>
    <s v="TXN_01498"/>
    <d v="2024-01-16T00:00:00"/>
    <x v="2"/>
    <s v="Tuesday"/>
    <s v="STORE_038"/>
    <x v="3"/>
    <x v="4"/>
    <x v="8"/>
    <n v="353.91"/>
    <n v="3"/>
    <n v="1061.73"/>
    <n v="20"/>
    <n v="212.35"/>
    <n v="849.38"/>
    <s v="Wallet"/>
    <s v="CUST_00658"/>
    <n v="2"/>
    <n v="212.35000000000002"/>
    <n v="283.12666666666667"/>
    <s v="High"/>
  </r>
  <r>
    <s v="TXN_01499"/>
    <d v="2024-02-01T00:00:00"/>
    <x v="1"/>
    <s v="Thursday"/>
    <s v="STORE_002"/>
    <x v="3"/>
    <x v="0"/>
    <x v="0"/>
    <n v="240.24"/>
    <n v="6"/>
    <n v="1441.44"/>
    <n v="0"/>
    <n v="0"/>
    <n v="1441.44"/>
    <s v="Cash"/>
    <s v="CUST_00452"/>
    <n v="3"/>
    <n v="0"/>
    <n v="240.24"/>
    <s v="No Discount"/>
  </r>
  <r>
    <s v="TXN_01500"/>
    <d v="2024-09-02T00:00:00"/>
    <x v="9"/>
    <s v="Monday"/>
    <s v="STORE_047"/>
    <x v="3"/>
    <x v="1"/>
    <x v="3"/>
    <n v="176.68"/>
    <n v="3"/>
    <n v="530.04"/>
    <n v="0"/>
    <n v="0"/>
    <n v="530.04"/>
    <s v="UPI"/>
    <s v="CUST_00782"/>
    <n v="2"/>
    <n v="0"/>
    <n v="176.67999999999998"/>
    <s v="No Discount"/>
  </r>
  <r>
    <s v="TXN_01501"/>
    <d v="2024-07-24T00:00:00"/>
    <x v="11"/>
    <s v="Wednesday"/>
    <s v="STORE_048"/>
    <x v="3"/>
    <x v="0"/>
    <x v="0"/>
    <n v="677.05"/>
    <n v="6"/>
    <n v="4062.3"/>
    <n v="0"/>
    <n v="0"/>
    <n v="4062.3"/>
    <s v="Wallet"/>
    <s v="CUST_00743"/>
    <n v="1"/>
    <n v="0"/>
    <n v="677.05000000000007"/>
    <s v="No Discount"/>
  </r>
  <r>
    <s v="TXN_01502"/>
    <d v="2024-08-06T00:00:00"/>
    <x v="8"/>
    <s v="Tuesday"/>
    <s v="STORE_050"/>
    <x v="1"/>
    <x v="1"/>
    <x v="1"/>
    <n v="465.39"/>
    <n v="3"/>
    <n v="1396.17"/>
    <n v="10"/>
    <n v="139.62"/>
    <n v="1256.55"/>
    <s v="Wallet"/>
    <s v="CUST_00024"/>
    <n v="1"/>
    <n v="139.62000000000012"/>
    <n v="418.84999999999997"/>
    <s v="Medium"/>
  </r>
  <r>
    <s v="TXN_01503"/>
    <d v="2024-12-17T00:00:00"/>
    <x v="6"/>
    <s v="Tuesday"/>
    <s v="STORE_013"/>
    <x v="3"/>
    <x v="0"/>
    <x v="27"/>
    <n v="739.71"/>
    <n v="5"/>
    <n v="3698.55"/>
    <n v="0"/>
    <n v="0"/>
    <n v="3698.55"/>
    <s v="Debit Card"/>
    <s v="CUST_00238"/>
    <n v="2"/>
    <n v="0"/>
    <n v="739.71"/>
    <s v="No Discount"/>
  </r>
  <r>
    <s v="TXN_01504"/>
    <d v="2024-02-25T00:00:00"/>
    <x v="1"/>
    <s v="Sunday"/>
    <s v="STORE_023"/>
    <x v="3"/>
    <x v="7"/>
    <x v="38"/>
    <n v="1445.03"/>
    <n v="6"/>
    <n v="8670.18"/>
    <n v="0"/>
    <n v="0"/>
    <n v="8670.18"/>
    <s v="Debit Card"/>
    <s v="CUST_00112"/>
    <n v="2"/>
    <n v="0"/>
    <n v="1445.03"/>
    <s v="No Discount"/>
  </r>
  <r>
    <s v="TXN_01505"/>
    <d v="2024-09-08T00:00:00"/>
    <x v="9"/>
    <s v="Sunday"/>
    <s v="STORE_044"/>
    <x v="2"/>
    <x v="1"/>
    <x v="3"/>
    <n v="467.23"/>
    <n v="8"/>
    <n v="3737.84"/>
    <n v="0"/>
    <n v="0"/>
    <n v="3737.84"/>
    <s v="Debit Card"/>
    <s v="CUST_00081"/>
    <n v="2"/>
    <n v="0"/>
    <n v="467.23"/>
    <s v="No Discount"/>
  </r>
  <r>
    <s v="TXN_01506"/>
    <d v="2024-12-30T00:00:00"/>
    <x v="6"/>
    <s v="Monday"/>
    <s v="STORE_033"/>
    <x v="1"/>
    <x v="5"/>
    <x v="34"/>
    <n v="2519.3200000000002"/>
    <n v="4"/>
    <n v="10077.280000000001"/>
    <n v="20"/>
    <n v="2015.46"/>
    <n v="8061.82"/>
    <s v="UPI"/>
    <s v="CUST_00136"/>
    <n v="2"/>
    <n v="2015.4600000000009"/>
    <n v="2015.4549999999999"/>
    <s v="High"/>
  </r>
  <r>
    <s v="TXN_01507"/>
    <d v="2024-08-15T00:00:00"/>
    <x v="8"/>
    <s v="Thursday"/>
    <s v="STORE_014"/>
    <x v="3"/>
    <x v="1"/>
    <x v="1"/>
    <n v="295.75"/>
    <n v="6"/>
    <n v="1774.5"/>
    <n v="5"/>
    <n v="88.73"/>
    <n v="1685.77"/>
    <s v="Credit Card"/>
    <s v="CUST_00077"/>
    <n v="2"/>
    <n v="88.730000000000018"/>
    <n v="280.96166666666664"/>
    <s v="Low"/>
  </r>
  <r>
    <s v="TXN_01508"/>
    <d v="2024-02-07T00:00:00"/>
    <x v="1"/>
    <s v="Wednesday"/>
    <s v="STORE_021"/>
    <x v="2"/>
    <x v="2"/>
    <x v="39"/>
    <n v="285.22000000000003"/>
    <n v="1"/>
    <n v="285.22000000000003"/>
    <n v="15"/>
    <n v="42.78"/>
    <n v="242.44"/>
    <s v="Debit Card"/>
    <s v="CUST_00145"/>
    <n v="5"/>
    <n v="42.78000000000003"/>
    <n v="242.44"/>
    <s v="Medium"/>
  </r>
  <r>
    <s v="TXN_01509"/>
    <d v="2024-02-11T00:00:00"/>
    <x v="1"/>
    <s v="Sunday"/>
    <s v="STORE_004"/>
    <x v="0"/>
    <x v="0"/>
    <x v="32"/>
    <n v="608.21"/>
    <n v="2"/>
    <n v="1216.42"/>
    <n v="5"/>
    <n v="60.82"/>
    <n v="1155.5999999999999"/>
    <s v="Cash"/>
    <s v="CUST_00463"/>
    <n v="3"/>
    <n v="60.820000000000164"/>
    <n v="577.79999999999995"/>
    <s v="Low"/>
  </r>
  <r>
    <s v="TXN_01510"/>
    <d v="2024-06-13T00:00:00"/>
    <x v="10"/>
    <s v="Thursday"/>
    <s v="STORE_010"/>
    <x v="3"/>
    <x v="3"/>
    <x v="22"/>
    <n v="2529.6"/>
    <n v="7"/>
    <n v="17707.2"/>
    <n v="5"/>
    <n v="885.36"/>
    <n v="16821.84"/>
    <s v="Wallet"/>
    <s v="CUST_00759"/>
    <n v="1"/>
    <n v="885.36000000000058"/>
    <n v="2403.12"/>
    <s v="Low"/>
  </r>
  <r>
    <s v="TXN_01511"/>
    <d v="2024-11-07T00:00:00"/>
    <x v="0"/>
    <s v="Thursday"/>
    <s v="STORE_041"/>
    <x v="2"/>
    <x v="1"/>
    <x v="3"/>
    <n v="126.64"/>
    <n v="3"/>
    <n v="379.92"/>
    <n v="0"/>
    <n v="0"/>
    <n v="379.92"/>
    <s v="Credit Card"/>
    <s v="CUST_00900"/>
    <n v="2"/>
    <n v="0"/>
    <n v="126.64"/>
    <s v="No Discount"/>
  </r>
  <r>
    <s v="TXN_01512"/>
    <d v="2024-03-16T00:00:00"/>
    <x v="5"/>
    <s v="Saturday"/>
    <s v="STORE_034"/>
    <x v="3"/>
    <x v="1"/>
    <x v="3"/>
    <n v="291.31"/>
    <n v="3"/>
    <n v="873.93"/>
    <n v="0"/>
    <n v="0"/>
    <n v="873.93"/>
    <s v="Debit Card"/>
    <s v="CUST_00176"/>
    <n v="3"/>
    <n v="0"/>
    <n v="291.31"/>
    <s v="No Discount"/>
  </r>
  <r>
    <s v="TXN_01513"/>
    <d v="2024-02-03T00:00:00"/>
    <x v="1"/>
    <s v="Saturday"/>
    <s v="STORE_015"/>
    <x v="4"/>
    <x v="4"/>
    <x v="19"/>
    <n v="502.98"/>
    <n v="10"/>
    <n v="5029.8"/>
    <n v="5"/>
    <n v="251.49"/>
    <n v="4778.3100000000004"/>
    <s v="Debit Card"/>
    <s v="CUST_00249"/>
    <n v="4"/>
    <n v="251.48999999999978"/>
    <n v="477.83100000000002"/>
    <s v="Low"/>
  </r>
  <r>
    <s v="TXN_01514"/>
    <d v="2024-03-05T00:00:00"/>
    <x v="5"/>
    <s v="Tuesday"/>
    <s v="STORE_015"/>
    <x v="4"/>
    <x v="7"/>
    <x v="23"/>
    <n v="512.66"/>
    <n v="6"/>
    <n v="3075.96"/>
    <n v="5"/>
    <n v="153.80000000000001"/>
    <n v="2922.16"/>
    <s v="Credit Card"/>
    <s v="CUST_00769"/>
    <n v="3"/>
    <n v="153.80000000000018"/>
    <n v="487.02666666666664"/>
    <s v="Low"/>
  </r>
  <r>
    <s v="TXN_01515"/>
    <d v="2024-05-20T00:00:00"/>
    <x v="3"/>
    <s v="Monday"/>
    <s v="STORE_044"/>
    <x v="2"/>
    <x v="1"/>
    <x v="36"/>
    <n v="271.77"/>
    <n v="10"/>
    <n v="2717.7"/>
    <n v="10"/>
    <n v="271.77"/>
    <n v="2445.9299999999998"/>
    <s v="UPI"/>
    <s v="CUST_00465"/>
    <n v="4"/>
    <n v="271.77"/>
    <n v="244.59299999999999"/>
    <s v="Medium"/>
  </r>
  <r>
    <s v="TXN_01516"/>
    <d v="2024-11-15T00:00:00"/>
    <x v="0"/>
    <s v="Friday"/>
    <s v="STORE_050"/>
    <x v="0"/>
    <x v="1"/>
    <x v="36"/>
    <n v="231.2"/>
    <n v="8"/>
    <n v="1849.6"/>
    <n v="0"/>
    <n v="0"/>
    <n v="1849.6"/>
    <s v="UPI"/>
    <s v="CUST_00881"/>
    <n v="5"/>
    <n v="0"/>
    <n v="231.2"/>
    <s v="No Discount"/>
  </r>
  <r>
    <s v="TXN_01517"/>
    <d v="2024-11-20T00:00:00"/>
    <x v="0"/>
    <s v="Wednesday"/>
    <s v="STORE_043"/>
    <x v="0"/>
    <x v="6"/>
    <x v="15"/>
    <n v="1646.8"/>
    <n v="7"/>
    <n v="11527.6"/>
    <n v="10"/>
    <n v="1152.76"/>
    <n v="10374.84"/>
    <s v="Debit Card"/>
    <s v="CUST_00185"/>
    <n v="1"/>
    <n v="1152.7600000000002"/>
    <n v="1482.1200000000001"/>
    <s v="Medium"/>
  </r>
  <r>
    <s v="TXN_01518"/>
    <d v="2024-10-26T00:00:00"/>
    <x v="7"/>
    <s v="Saturday"/>
    <s v="STORE_001"/>
    <x v="1"/>
    <x v="3"/>
    <x v="22"/>
    <n v="1118.0899999999999"/>
    <n v="3"/>
    <n v="3354.27"/>
    <n v="0"/>
    <n v="0"/>
    <n v="3354.27"/>
    <s v="UPI"/>
    <s v="CUST_00553"/>
    <n v="3"/>
    <n v="0"/>
    <n v="1118.0899999999999"/>
    <s v="No Discount"/>
  </r>
  <r>
    <s v="TXN_01519"/>
    <d v="2024-10-07T00:00:00"/>
    <x v="7"/>
    <s v="Monday"/>
    <s v="STORE_034"/>
    <x v="0"/>
    <x v="1"/>
    <x v="36"/>
    <n v="359.04"/>
    <n v="7"/>
    <n v="2513.2800000000002"/>
    <n v="10"/>
    <n v="251.33"/>
    <n v="2261.9499999999998"/>
    <s v="Debit Card"/>
    <s v="CUST_00075"/>
    <n v="1"/>
    <n v="251.33000000000038"/>
    <n v="323.13571428571424"/>
    <s v="Medium"/>
  </r>
  <r>
    <s v="TXN_01520"/>
    <d v="2024-12-30T00:00:00"/>
    <x v="6"/>
    <s v="Monday"/>
    <s v="STORE_036"/>
    <x v="4"/>
    <x v="5"/>
    <x v="25"/>
    <n v="3271.47"/>
    <n v="8"/>
    <n v="26171.759999999998"/>
    <n v="20"/>
    <n v="5234.3500000000004"/>
    <n v="20937.41"/>
    <s v="Wallet"/>
    <s v="CUST_00548"/>
    <n v="1"/>
    <n v="5234.3499999999985"/>
    <n v="2617.17625"/>
    <s v="High"/>
  </r>
  <r>
    <s v="TXN_01521"/>
    <d v="2024-06-15T00:00:00"/>
    <x v="10"/>
    <s v="Saturday"/>
    <s v="STORE_002"/>
    <x v="0"/>
    <x v="2"/>
    <x v="29"/>
    <n v="400.97"/>
    <n v="10"/>
    <n v="4009.7"/>
    <n v="10"/>
    <n v="400.97"/>
    <n v="3608.73"/>
    <s v="Cash"/>
    <s v="CUST_00130"/>
    <n v="5"/>
    <n v="400.9699999999998"/>
    <n v="360.87299999999999"/>
    <s v="Medium"/>
  </r>
  <r>
    <s v="TXN_01522"/>
    <d v="2024-07-14T00:00:00"/>
    <x v="11"/>
    <s v="Sunday"/>
    <s v="STORE_028"/>
    <x v="4"/>
    <x v="6"/>
    <x v="15"/>
    <n v="1697.58"/>
    <n v="10"/>
    <n v="16975.8"/>
    <n v="15"/>
    <n v="2546.37"/>
    <n v="14429.43"/>
    <s v="Debit Card"/>
    <s v="CUST_00734"/>
    <n v="5"/>
    <n v="2546.369999999999"/>
    <n v="1442.943"/>
    <s v="Medium"/>
  </r>
  <r>
    <s v="TXN_01523"/>
    <d v="2024-11-01T00:00:00"/>
    <x v="0"/>
    <s v="Friday"/>
    <s v="STORE_048"/>
    <x v="4"/>
    <x v="2"/>
    <x v="7"/>
    <n v="778.35"/>
    <n v="3"/>
    <n v="2335.0500000000002"/>
    <n v="0"/>
    <n v="0"/>
    <n v="2335.0500000000002"/>
    <s v="Wallet"/>
    <s v="CUST_00525"/>
    <n v="3"/>
    <n v="0"/>
    <n v="778.35"/>
    <s v="No Discount"/>
  </r>
  <r>
    <s v="TXN_01524"/>
    <d v="2024-09-28T00:00:00"/>
    <x v="9"/>
    <s v="Saturday"/>
    <s v="STORE_030"/>
    <x v="2"/>
    <x v="7"/>
    <x v="28"/>
    <n v="640.28"/>
    <n v="8"/>
    <n v="5122.24"/>
    <n v="15"/>
    <n v="768.34"/>
    <n v="4353.8999999999996"/>
    <s v="Wallet"/>
    <s v="CUST_00712"/>
    <n v="5"/>
    <n v="768.34000000000015"/>
    <n v="544.23749999999995"/>
    <s v="Medium"/>
  </r>
  <r>
    <s v="TXN_01525"/>
    <d v="2024-05-30T00:00:00"/>
    <x v="3"/>
    <s v="Thursday"/>
    <s v="STORE_029"/>
    <x v="3"/>
    <x v="1"/>
    <x v="36"/>
    <n v="210.62"/>
    <n v="3"/>
    <n v="631.86"/>
    <n v="0"/>
    <n v="0"/>
    <n v="631.86"/>
    <s v="Wallet"/>
    <s v="CUST_00490"/>
    <n v="4"/>
    <n v="0"/>
    <n v="210.62"/>
    <s v="No Discount"/>
  </r>
  <r>
    <s v="TXN_01526"/>
    <d v="2024-08-20T00:00:00"/>
    <x v="8"/>
    <s v="Tuesday"/>
    <s v="STORE_018"/>
    <x v="3"/>
    <x v="3"/>
    <x v="16"/>
    <n v="2353.5"/>
    <n v="3"/>
    <n v="7060.5"/>
    <n v="0"/>
    <n v="0"/>
    <n v="7060.5"/>
    <s v="Wallet"/>
    <s v="CUST_00799"/>
    <n v="4"/>
    <n v="0"/>
    <n v="2353.5"/>
    <s v="No Discount"/>
  </r>
  <r>
    <s v="TXN_01527"/>
    <d v="2024-09-15T00:00:00"/>
    <x v="9"/>
    <s v="Sunday"/>
    <s v="STORE_032"/>
    <x v="3"/>
    <x v="7"/>
    <x v="23"/>
    <n v="376.18"/>
    <n v="8"/>
    <n v="3009.44"/>
    <n v="5"/>
    <n v="150.47"/>
    <n v="2858.97"/>
    <s v="Wallet"/>
    <s v="CUST_00555"/>
    <n v="5"/>
    <n v="150.47000000000025"/>
    <n v="357.37124999999997"/>
    <s v="Low"/>
  </r>
  <r>
    <s v="TXN_01528"/>
    <d v="2024-11-05T00:00:00"/>
    <x v="0"/>
    <s v="Tuesday"/>
    <s v="STORE_009"/>
    <x v="1"/>
    <x v="5"/>
    <x v="10"/>
    <n v="3298.37"/>
    <n v="7"/>
    <n v="23088.59"/>
    <n v="10"/>
    <n v="2308.86"/>
    <n v="20779.73"/>
    <s v="UPI"/>
    <s v="CUST_00529"/>
    <n v="2"/>
    <n v="2308.8600000000006"/>
    <n v="2968.5328571428572"/>
    <s v="Medium"/>
  </r>
  <r>
    <s v="TXN_01529"/>
    <d v="2024-08-08T00:00:00"/>
    <x v="8"/>
    <s v="Thursday"/>
    <s v="STORE_044"/>
    <x v="4"/>
    <x v="3"/>
    <x v="5"/>
    <n v="2983.74"/>
    <n v="1"/>
    <n v="2983.74"/>
    <n v="20"/>
    <n v="596.75"/>
    <n v="2386.9899999999998"/>
    <s v="Wallet"/>
    <s v="CUST_00001"/>
    <n v="3"/>
    <n v="596.75"/>
    <n v="2386.9899999999998"/>
    <s v="High"/>
  </r>
  <r>
    <s v="TXN_01530"/>
    <d v="2024-02-20T00:00:00"/>
    <x v="1"/>
    <s v="Tuesday"/>
    <s v="STORE_002"/>
    <x v="1"/>
    <x v="0"/>
    <x v="0"/>
    <n v="745.87"/>
    <n v="4"/>
    <n v="2983.48"/>
    <n v="0"/>
    <n v="0"/>
    <n v="2983.48"/>
    <s v="Credit Card"/>
    <s v="CUST_00774"/>
    <n v="3"/>
    <n v="0"/>
    <n v="745.87"/>
    <s v="No Discount"/>
  </r>
  <r>
    <s v="TXN_01531"/>
    <d v="2024-12-25T00:00:00"/>
    <x v="6"/>
    <s v="Wednesday"/>
    <s v="STORE_003"/>
    <x v="2"/>
    <x v="0"/>
    <x v="4"/>
    <n v="782.15"/>
    <n v="6"/>
    <n v="4692.8999999999996"/>
    <n v="15"/>
    <n v="703.93"/>
    <n v="3988.97"/>
    <s v="UPI"/>
    <s v="CUST_00690"/>
    <n v="5"/>
    <n v="703.92999999999984"/>
    <n v="664.82833333333326"/>
    <s v="Medium"/>
  </r>
  <r>
    <s v="TXN_01532"/>
    <d v="2024-02-28T00:00:00"/>
    <x v="1"/>
    <s v="Wednesday"/>
    <s v="STORE_018"/>
    <x v="1"/>
    <x v="7"/>
    <x v="38"/>
    <n v="635.52"/>
    <n v="9"/>
    <n v="5719.68"/>
    <n v="0"/>
    <n v="0"/>
    <n v="5719.68"/>
    <s v="Cash"/>
    <s v="CUST_00187"/>
    <n v="3"/>
    <n v="0"/>
    <n v="635.52"/>
    <s v="No Discount"/>
  </r>
  <r>
    <s v="TXN_01533"/>
    <d v="2024-12-01T00:00:00"/>
    <x v="6"/>
    <s v="Sunday"/>
    <s v="STORE_019"/>
    <x v="0"/>
    <x v="0"/>
    <x v="4"/>
    <n v="674.88"/>
    <n v="4"/>
    <n v="2699.52"/>
    <n v="0"/>
    <n v="0"/>
    <n v="2699.52"/>
    <s v="Cash"/>
    <s v="CUST_00654"/>
    <n v="5"/>
    <n v="0"/>
    <n v="674.88"/>
    <s v="No Discount"/>
  </r>
  <r>
    <s v="TXN_01534"/>
    <d v="2024-11-29T00:00:00"/>
    <x v="0"/>
    <s v="Friday"/>
    <s v="STORE_015"/>
    <x v="0"/>
    <x v="3"/>
    <x v="12"/>
    <n v="2113.87"/>
    <n v="10"/>
    <n v="21138.7"/>
    <n v="20"/>
    <n v="4227.74"/>
    <n v="16910.96"/>
    <s v="Cash"/>
    <s v="CUST_00560"/>
    <n v="4"/>
    <n v="4227.7400000000016"/>
    <n v="1691.096"/>
    <s v="High"/>
  </r>
  <r>
    <s v="TXN_01535"/>
    <d v="2024-10-09T00:00:00"/>
    <x v="7"/>
    <s v="Wednesday"/>
    <s v="STORE_035"/>
    <x v="1"/>
    <x v="7"/>
    <x v="24"/>
    <n v="785.88"/>
    <n v="5"/>
    <n v="3929.4"/>
    <n v="0"/>
    <n v="0"/>
    <n v="3929.4"/>
    <s v="Cash"/>
    <s v="CUST_00740"/>
    <n v="2"/>
    <n v="0"/>
    <n v="785.88"/>
    <s v="No Discount"/>
  </r>
  <r>
    <s v="TXN_01536"/>
    <d v="2024-04-20T00:00:00"/>
    <x v="4"/>
    <s v="Saturday"/>
    <s v="STORE_011"/>
    <x v="3"/>
    <x v="1"/>
    <x v="31"/>
    <n v="461.28"/>
    <n v="6"/>
    <n v="2767.68"/>
    <n v="5"/>
    <n v="138.38"/>
    <n v="2629.3"/>
    <s v="Debit Card"/>
    <s v="CUST_00969"/>
    <n v="5"/>
    <n v="138.37999999999965"/>
    <n v="438.2166666666667"/>
    <s v="Low"/>
  </r>
  <r>
    <s v="TXN_01537"/>
    <d v="2024-08-08T00:00:00"/>
    <x v="8"/>
    <s v="Thursday"/>
    <s v="STORE_015"/>
    <x v="4"/>
    <x v="3"/>
    <x v="12"/>
    <n v="1161.31"/>
    <n v="10"/>
    <n v="11613.1"/>
    <n v="20"/>
    <n v="2322.62"/>
    <n v="9290.48"/>
    <s v="Cash"/>
    <s v="CUST_00109"/>
    <n v="1"/>
    <n v="2322.6200000000008"/>
    <n v="929.048"/>
    <s v="High"/>
  </r>
  <r>
    <s v="TXN_01538"/>
    <d v="2024-08-19T00:00:00"/>
    <x v="8"/>
    <s v="Monday"/>
    <s v="STORE_036"/>
    <x v="1"/>
    <x v="0"/>
    <x v="32"/>
    <n v="492.64"/>
    <n v="8"/>
    <n v="3941.12"/>
    <n v="10"/>
    <n v="394.11"/>
    <n v="3547.01"/>
    <s v="Cash"/>
    <s v="CUST_00017"/>
    <n v="4"/>
    <n v="394.10999999999967"/>
    <n v="443.37625000000003"/>
    <s v="Medium"/>
  </r>
  <r>
    <s v="TXN_01539"/>
    <d v="2024-04-26T00:00:00"/>
    <x v="4"/>
    <s v="Friday"/>
    <s v="STORE_001"/>
    <x v="0"/>
    <x v="4"/>
    <x v="19"/>
    <n v="497.85"/>
    <n v="5"/>
    <n v="2489.25"/>
    <n v="20"/>
    <n v="497.85"/>
    <n v="1991.4"/>
    <s v="Cash"/>
    <s v="CUST_00314"/>
    <n v="2"/>
    <n v="497.84999999999991"/>
    <n v="398.28000000000003"/>
    <s v="High"/>
  </r>
  <r>
    <s v="TXN_01540"/>
    <d v="2024-07-30T00:00:00"/>
    <x v="11"/>
    <s v="Tuesday"/>
    <s v="STORE_039"/>
    <x v="3"/>
    <x v="7"/>
    <x v="23"/>
    <n v="1289.19"/>
    <n v="2"/>
    <n v="2578.38"/>
    <n v="20"/>
    <n v="515.67999999999995"/>
    <n v="2062.6999999999998"/>
    <s v="Credit Card"/>
    <s v="CUST_00169"/>
    <n v="4"/>
    <n v="515.68000000000029"/>
    <n v="1031.3499999999999"/>
    <s v="High"/>
  </r>
  <r>
    <s v="TXN_01541"/>
    <d v="2024-06-22T00:00:00"/>
    <x v="10"/>
    <s v="Saturday"/>
    <s v="STORE_003"/>
    <x v="2"/>
    <x v="6"/>
    <x v="14"/>
    <n v="1282.31"/>
    <n v="6"/>
    <n v="7693.86"/>
    <n v="10"/>
    <n v="769.39"/>
    <n v="6924.47"/>
    <s v="Debit Card"/>
    <s v="CUST_00859"/>
    <n v="3"/>
    <n v="769.38999999999942"/>
    <n v="1154.0783333333334"/>
    <s v="Medium"/>
  </r>
  <r>
    <s v="TXN_01542"/>
    <d v="2024-08-20T00:00:00"/>
    <x v="8"/>
    <s v="Tuesday"/>
    <s v="STORE_007"/>
    <x v="1"/>
    <x v="4"/>
    <x v="20"/>
    <n v="327.54000000000002"/>
    <n v="2"/>
    <n v="655.08000000000004"/>
    <n v="0"/>
    <n v="0"/>
    <n v="655.08000000000004"/>
    <s v="Cash"/>
    <s v="CUST_00848"/>
    <n v="4"/>
    <n v="0"/>
    <n v="327.54000000000002"/>
    <s v="No Discount"/>
  </r>
  <r>
    <s v="TXN_01543"/>
    <d v="2024-07-23T00:00:00"/>
    <x v="11"/>
    <s v="Tuesday"/>
    <s v="STORE_027"/>
    <x v="3"/>
    <x v="4"/>
    <x v="20"/>
    <n v="198.25"/>
    <n v="3"/>
    <n v="594.75"/>
    <n v="0"/>
    <n v="0"/>
    <n v="594.75"/>
    <s v="Wallet"/>
    <s v="CUST_00746"/>
    <n v="2"/>
    <n v="0"/>
    <n v="198.25"/>
    <s v="No Discount"/>
  </r>
  <r>
    <s v="TXN_01544"/>
    <d v="2024-07-31T00:00:00"/>
    <x v="11"/>
    <s v="Wednesday"/>
    <s v="STORE_002"/>
    <x v="4"/>
    <x v="7"/>
    <x v="38"/>
    <n v="1258.56"/>
    <n v="8"/>
    <n v="10068.48"/>
    <n v="20"/>
    <n v="2013.7"/>
    <n v="8054.78"/>
    <s v="Cash"/>
    <s v="CUST_00273"/>
    <n v="1"/>
    <n v="2013.6999999999998"/>
    <n v="1006.8475"/>
    <s v="High"/>
  </r>
  <r>
    <s v="TXN_01545"/>
    <d v="2024-02-18T00:00:00"/>
    <x v="1"/>
    <s v="Sunday"/>
    <s v="STORE_030"/>
    <x v="3"/>
    <x v="5"/>
    <x v="34"/>
    <n v="2133.92"/>
    <n v="2"/>
    <n v="4267.84"/>
    <n v="0"/>
    <n v="0"/>
    <n v="4267.84"/>
    <s v="Cash"/>
    <s v="CUST_00631"/>
    <n v="2"/>
    <n v="0"/>
    <n v="2133.92"/>
    <s v="No Discount"/>
  </r>
  <r>
    <s v="TXN_01546"/>
    <d v="2024-06-09T00:00:00"/>
    <x v="10"/>
    <s v="Sunday"/>
    <s v="STORE_049"/>
    <x v="3"/>
    <x v="7"/>
    <x v="23"/>
    <n v="928.47"/>
    <n v="9"/>
    <n v="8356.23"/>
    <n v="0"/>
    <n v="0"/>
    <n v="8356.23"/>
    <s v="Wallet"/>
    <s v="CUST_00007"/>
    <n v="2"/>
    <n v="0"/>
    <n v="928.46999999999991"/>
    <s v="No Discount"/>
  </r>
  <r>
    <s v="TXN_01547"/>
    <d v="2024-08-06T00:00:00"/>
    <x v="8"/>
    <s v="Tuesday"/>
    <s v="STORE_026"/>
    <x v="0"/>
    <x v="2"/>
    <x v="39"/>
    <n v="190.84"/>
    <n v="9"/>
    <n v="1717.56"/>
    <n v="10"/>
    <n v="171.76"/>
    <n v="1545.8"/>
    <s v="Wallet"/>
    <s v="CUST_00912"/>
    <n v="3"/>
    <n v="171.76"/>
    <n v="171.75555555555556"/>
    <s v="Medium"/>
  </r>
  <r>
    <s v="TXN_01548"/>
    <d v="2024-06-09T00:00:00"/>
    <x v="10"/>
    <s v="Sunday"/>
    <s v="STORE_050"/>
    <x v="4"/>
    <x v="5"/>
    <x v="25"/>
    <n v="3229.63"/>
    <n v="7"/>
    <n v="22607.41"/>
    <n v="5"/>
    <n v="1130.3699999999999"/>
    <n v="21477.040000000001"/>
    <s v="Credit Card"/>
    <s v="CUST_00519"/>
    <n v="3"/>
    <n v="1130.369999999999"/>
    <n v="3068.1485714285714"/>
    <s v="Low"/>
  </r>
  <r>
    <s v="TXN_01549"/>
    <d v="2024-12-06T00:00:00"/>
    <x v="6"/>
    <s v="Friday"/>
    <s v="STORE_032"/>
    <x v="1"/>
    <x v="0"/>
    <x v="4"/>
    <n v="631.13"/>
    <n v="5"/>
    <n v="3155.65"/>
    <n v="0"/>
    <n v="0"/>
    <n v="3155.65"/>
    <s v="Debit Card"/>
    <s v="CUST_00523"/>
    <n v="2"/>
    <n v="0"/>
    <n v="631.13"/>
    <s v="No Discount"/>
  </r>
  <r>
    <s v="TXN_01550"/>
    <d v="2024-05-10T00:00:00"/>
    <x v="3"/>
    <s v="Friday"/>
    <s v="STORE_024"/>
    <x v="1"/>
    <x v="4"/>
    <x v="35"/>
    <n v="393.61"/>
    <n v="6"/>
    <n v="2361.66"/>
    <n v="15"/>
    <n v="354.25"/>
    <n v="2007.41"/>
    <s v="Wallet"/>
    <s v="CUST_00807"/>
    <n v="4"/>
    <n v="354.24999999999977"/>
    <n v="334.56833333333333"/>
    <s v="Medium"/>
  </r>
  <r>
    <s v="TXN_01551"/>
    <d v="2024-07-10T00:00:00"/>
    <x v="11"/>
    <s v="Wednesday"/>
    <s v="STORE_045"/>
    <x v="3"/>
    <x v="2"/>
    <x v="29"/>
    <n v="451.42"/>
    <n v="5"/>
    <n v="2257.1"/>
    <n v="10"/>
    <n v="225.71"/>
    <n v="2031.39"/>
    <s v="Credit Card"/>
    <s v="CUST_00341"/>
    <n v="1"/>
    <n v="225.70999999999981"/>
    <n v="406.27800000000002"/>
    <s v="Medium"/>
  </r>
  <r>
    <s v="TXN_01552"/>
    <d v="2024-03-19T00:00:00"/>
    <x v="5"/>
    <s v="Tuesday"/>
    <s v="STORE_020"/>
    <x v="1"/>
    <x v="6"/>
    <x v="14"/>
    <n v="1898.86"/>
    <n v="1"/>
    <n v="1898.86"/>
    <n v="0"/>
    <n v="0"/>
    <n v="1898.86"/>
    <s v="Credit Card"/>
    <s v="CUST_00655"/>
    <n v="2"/>
    <n v="0"/>
    <n v="1898.86"/>
    <s v="No Discount"/>
  </r>
  <r>
    <s v="TXN_01553"/>
    <d v="2024-12-17T00:00:00"/>
    <x v="6"/>
    <s v="Tuesday"/>
    <s v="STORE_042"/>
    <x v="2"/>
    <x v="3"/>
    <x v="16"/>
    <n v="2012.55"/>
    <n v="4"/>
    <n v="8050.2"/>
    <n v="0"/>
    <n v="0"/>
    <n v="8050.2"/>
    <s v="Debit Card"/>
    <s v="CUST_00819"/>
    <n v="2"/>
    <n v="0"/>
    <n v="2012.55"/>
    <s v="No Discount"/>
  </r>
  <r>
    <s v="TXN_01554"/>
    <d v="2024-08-30T00:00:00"/>
    <x v="8"/>
    <s v="Friday"/>
    <s v="STORE_003"/>
    <x v="4"/>
    <x v="4"/>
    <x v="35"/>
    <n v="181.16"/>
    <n v="1"/>
    <n v="181.16"/>
    <n v="0"/>
    <n v="0"/>
    <n v="181.16"/>
    <s v="Cash"/>
    <s v="CUST_00209"/>
    <n v="4"/>
    <n v="0"/>
    <n v="181.16"/>
    <s v="No Discount"/>
  </r>
  <r>
    <s v="TXN_01555"/>
    <d v="2024-02-04T00:00:00"/>
    <x v="1"/>
    <s v="Sunday"/>
    <s v="STORE_034"/>
    <x v="4"/>
    <x v="0"/>
    <x v="27"/>
    <n v="790.52"/>
    <n v="2"/>
    <n v="1581.04"/>
    <n v="0"/>
    <n v="0"/>
    <n v="1581.04"/>
    <s v="Cash"/>
    <s v="CUST_00632"/>
    <n v="3"/>
    <n v="0"/>
    <n v="790.52"/>
    <s v="No Discount"/>
  </r>
  <r>
    <s v="TXN_01556"/>
    <d v="2024-02-16T00:00:00"/>
    <x v="1"/>
    <s v="Friday"/>
    <s v="STORE_028"/>
    <x v="3"/>
    <x v="0"/>
    <x v="4"/>
    <n v="669.15"/>
    <n v="8"/>
    <n v="5353.2"/>
    <n v="0"/>
    <n v="0"/>
    <n v="5353.2"/>
    <s v="UPI"/>
    <s v="CUST_00921"/>
    <n v="2"/>
    <n v="0"/>
    <n v="669.15"/>
    <s v="No Discount"/>
  </r>
  <r>
    <s v="TXN_01557"/>
    <d v="2024-02-13T00:00:00"/>
    <x v="1"/>
    <s v="Tuesday"/>
    <s v="STORE_024"/>
    <x v="4"/>
    <x v="1"/>
    <x v="6"/>
    <n v="339.42"/>
    <n v="3"/>
    <n v="1018.26"/>
    <n v="15"/>
    <n v="152.74"/>
    <n v="865.52"/>
    <s v="Credit Card"/>
    <s v="CUST_00757"/>
    <n v="2"/>
    <n v="152.74"/>
    <n v="288.50666666666666"/>
    <s v="Medium"/>
  </r>
  <r>
    <s v="TXN_01558"/>
    <d v="2024-02-17T00:00:00"/>
    <x v="1"/>
    <s v="Saturday"/>
    <s v="STORE_046"/>
    <x v="4"/>
    <x v="5"/>
    <x v="25"/>
    <n v="2151.65"/>
    <n v="2"/>
    <n v="4303.3"/>
    <n v="10"/>
    <n v="430.33"/>
    <n v="3872.97"/>
    <s v="Debit Card"/>
    <s v="CUST_00828"/>
    <n v="2"/>
    <n v="430.33000000000038"/>
    <n v="1936.4849999999999"/>
    <s v="Medium"/>
  </r>
  <r>
    <s v="TXN_01559"/>
    <d v="2024-08-09T00:00:00"/>
    <x v="8"/>
    <s v="Friday"/>
    <s v="STORE_010"/>
    <x v="2"/>
    <x v="7"/>
    <x v="38"/>
    <n v="528.51"/>
    <n v="2"/>
    <n v="1057.02"/>
    <n v="0"/>
    <n v="0"/>
    <n v="1057.02"/>
    <s v="Debit Card"/>
    <s v="CUST_00642"/>
    <n v="5"/>
    <n v="0"/>
    <n v="528.51"/>
    <s v="No Discount"/>
  </r>
  <r>
    <s v="TXN_01560"/>
    <d v="2024-02-19T00:00:00"/>
    <x v="1"/>
    <s v="Monday"/>
    <s v="STORE_034"/>
    <x v="0"/>
    <x v="2"/>
    <x v="7"/>
    <n v="164.82"/>
    <n v="7"/>
    <n v="1153.74"/>
    <n v="15"/>
    <n v="173.06"/>
    <n v="980.68"/>
    <s v="Credit Card"/>
    <s v="CUST_00426"/>
    <n v="1"/>
    <n v="173.06000000000006"/>
    <n v="140.09714285714284"/>
    <s v="Medium"/>
  </r>
  <r>
    <s v="TXN_01561"/>
    <d v="2024-07-09T00:00:00"/>
    <x v="11"/>
    <s v="Tuesday"/>
    <s v="STORE_035"/>
    <x v="0"/>
    <x v="2"/>
    <x v="13"/>
    <n v="212.11"/>
    <n v="9"/>
    <n v="1908.99"/>
    <n v="5"/>
    <n v="95.45"/>
    <n v="1813.54"/>
    <s v="Cash"/>
    <s v="CUST_00786"/>
    <n v="1"/>
    <n v="95.450000000000045"/>
    <n v="201.50444444444443"/>
    <s v="Low"/>
  </r>
  <r>
    <s v="TXN_01562"/>
    <d v="2024-03-07T00:00:00"/>
    <x v="5"/>
    <s v="Thursday"/>
    <s v="STORE_012"/>
    <x v="1"/>
    <x v="1"/>
    <x v="1"/>
    <n v="283.41000000000003"/>
    <n v="2"/>
    <n v="566.82000000000005"/>
    <n v="15"/>
    <n v="85.02"/>
    <n v="481.8"/>
    <s v="UPI"/>
    <s v="CUST_00492"/>
    <n v="2"/>
    <n v="85.020000000000039"/>
    <n v="240.9"/>
    <s v="Medium"/>
  </r>
  <r>
    <s v="TXN_01563"/>
    <d v="2024-10-11T00:00:00"/>
    <x v="7"/>
    <s v="Friday"/>
    <s v="STORE_009"/>
    <x v="3"/>
    <x v="1"/>
    <x v="6"/>
    <n v="167.15"/>
    <n v="6"/>
    <n v="1002.9"/>
    <n v="10"/>
    <n v="100.29"/>
    <n v="902.61"/>
    <s v="Cash"/>
    <s v="CUST_00159"/>
    <n v="4"/>
    <n v="100.28999999999996"/>
    <n v="150.435"/>
    <s v="Medium"/>
  </r>
  <r>
    <s v="TXN_01564"/>
    <d v="2024-01-31T00:00:00"/>
    <x v="2"/>
    <s v="Wednesday"/>
    <s v="STORE_043"/>
    <x v="4"/>
    <x v="6"/>
    <x v="15"/>
    <n v="713.67"/>
    <n v="2"/>
    <n v="1427.34"/>
    <n v="10"/>
    <n v="142.72999999999999"/>
    <n v="1284.6099999999999"/>
    <s v="UPI"/>
    <s v="CUST_00247"/>
    <n v="4"/>
    <n v="142.73000000000002"/>
    <n v="642.30499999999995"/>
    <s v="Medium"/>
  </r>
  <r>
    <s v="TXN_01565"/>
    <d v="2024-10-27T00:00:00"/>
    <x v="7"/>
    <s v="Sunday"/>
    <s v="STORE_042"/>
    <x v="3"/>
    <x v="7"/>
    <x v="37"/>
    <n v="363.72"/>
    <n v="3"/>
    <n v="1091.1600000000001"/>
    <n v="15"/>
    <n v="163.66999999999999"/>
    <n v="927.49"/>
    <s v="UPI"/>
    <s v="CUST_00180"/>
    <n v="1"/>
    <n v="163.67000000000007"/>
    <n v="309.16333333333336"/>
    <s v="Medium"/>
  </r>
  <r>
    <s v="TXN_01566"/>
    <d v="2024-10-14T00:00:00"/>
    <x v="7"/>
    <s v="Monday"/>
    <s v="STORE_042"/>
    <x v="4"/>
    <x v="7"/>
    <x v="37"/>
    <n v="1124.98"/>
    <n v="4"/>
    <n v="4499.92"/>
    <n v="5"/>
    <n v="225"/>
    <n v="4274.92"/>
    <s v="Debit Card"/>
    <s v="CUST_00990"/>
    <n v="5"/>
    <n v="225"/>
    <n v="1068.73"/>
    <s v="Low"/>
  </r>
  <r>
    <s v="TXN_01567"/>
    <d v="2024-10-14T00:00:00"/>
    <x v="7"/>
    <s v="Monday"/>
    <s v="STORE_040"/>
    <x v="0"/>
    <x v="5"/>
    <x v="34"/>
    <n v="2303.29"/>
    <n v="3"/>
    <n v="6909.87"/>
    <n v="0"/>
    <n v="0"/>
    <n v="6909.87"/>
    <s v="Wallet"/>
    <s v="CUST_00759"/>
    <n v="5"/>
    <n v="0"/>
    <n v="2303.29"/>
    <s v="No Discount"/>
  </r>
  <r>
    <s v="TXN_01568"/>
    <d v="2024-06-17T00:00:00"/>
    <x v="10"/>
    <s v="Monday"/>
    <s v="STORE_005"/>
    <x v="1"/>
    <x v="0"/>
    <x v="0"/>
    <n v="964.27"/>
    <n v="7"/>
    <n v="6749.89"/>
    <n v="20"/>
    <n v="1349.98"/>
    <n v="5399.91"/>
    <s v="Cash"/>
    <s v="CUST_00242"/>
    <n v="5"/>
    <n v="1349.9800000000005"/>
    <n v="771.41571428571422"/>
    <s v="High"/>
  </r>
  <r>
    <s v="TXN_01569"/>
    <d v="2024-12-09T00:00:00"/>
    <x v="6"/>
    <s v="Monday"/>
    <s v="STORE_037"/>
    <x v="4"/>
    <x v="5"/>
    <x v="11"/>
    <n v="4586.83"/>
    <n v="6"/>
    <n v="27520.98"/>
    <n v="15"/>
    <n v="4128.1499999999996"/>
    <n v="23392.83"/>
    <s v="Cash"/>
    <s v="CUST_00209"/>
    <n v="2"/>
    <n v="4128.1499999999978"/>
    <n v="3898.8050000000003"/>
    <s v="Medium"/>
  </r>
  <r>
    <s v="TXN_01570"/>
    <d v="2024-03-03T00:00:00"/>
    <x v="5"/>
    <s v="Sunday"/>
    <s v="STORE_047"/>
    <x v="3"/>
    <x v="4"/>
    <x v="17"/>
    <n v="572.86"/>
    <n v="5"/>
    <n v="2864.3"/>
    <n v="5"/>
    <n v="143.22"/>
    <n v="2721.08"/>
    <s v="Credit Card"/>
    <s v="CUST_00755"/>
    <n v="4"/>
    <n v="143.22000000000025"/>
    <n v="544.21600000000001"/>
    <s v="Low"/>
  </r>
  <r>
    <s v="TXN_01571"/>
    <d v="2024-07-29T00:00:00"/>
    <x v="11"/>
    <s v="Monday"/>
    <s v="STORE_037"/>
    <x v="1"/>
    <x v="1"/>
    <x v="31"/>
    <n v="122.7"/>
    <n v="7"/>
    <n v="858.9"/>
    <n v="0"/>
    <n v="0"/>
    <n v="858.9"/>
    <s v="Debit Card"/>
    <s v="CUST_00268"/>
    <n v="1"/>
    <n v="0"/>
    <n v="122.7"/>
    <s v="No Discount"/>
  </r>
  <r>
    <s v="TXN_01572"/>
    <d v="2024-06-30T00:00:00"/>
    <x v="10"/>
    <s v="Sunday"/>
    <s v="STORE_029"/>
    <x v="4"/>
    <x v="2"/>
    <x v="7"/>
    <n v="667.53"/>
    <n v="8"/>
    <n v="5340.24"/>
    <n v="10"/>
    <n v="534.02"/>
    <n v="4806.22"/>
    <s v="Credit Card"/>
    <s v="CUST_00845"/>
    <n v="2"/>
    <n v="534.01999999999953"/>
    <n v="600.77750000000003"/>
    <s v="Medium"/>
  </r>
  <r>
    <s v="TXN_01573"/>
    <d v="2024-12-06T00:00:00"/>
    <x v="6"/>
    <s v="Friday"/>
    <s v="STORE_004"/>
    <x v="1"/>
    <x v="1"/>
    <x v="36"/>
    <n v="134.06"/>
    <n v="3"/>
    <n v="402.18"/>
    <n v="5"/>
    <n v="20.11"/>
    <n v="382.07"/>
    <s v="Credit Card"/>
    <s v="CUST_00253"/>
    <n v="2"/>
    <n v="20.110000000000014"/>
    <n v="127.35666666666667"/>
    <s v="Low"/>
  </r>
  <r>
    <s v="TXN_01574"/>
    <d v="2024-08-04T00:00:00"/>
    <x v="8"/>
    <s v="Sunday"/>
    <s v="STORE_009"/>
    <x v="4"/>
    <x v="1"/>
    <x v="3"/>
    <n v="459.8"/>
    <n v="2"/>
    <n v="919.6"/>
    <n v="0"/>
    <n v="0"/>
    <n v="919.6"/>
    <s v="UPI"/>
    <s v="CUST_00975"/>
    <n v="3"/>
    <n v="0"/>
    <n v="459.8"/>
    <s v="No Discount"/>
  </r>
  <r>
    <s v="TXN_01575"/>
    <d v="2024-01-27T00:00:00"/>
    <x v="2"/>
    <s v="Saturday"/>
    <s v="STORE_047"/>
    <x v="2"/>
    <x v="3"/>
    <x v="12"/>
    <n v="617.87"/>
    <n v="2"/>
    <n v="1235.74"/>
    <n v="0"/>
    <n v="0"/>
    <n v="1235.74"/>
    <s v="Cash"/>
    <s v="CUST_00562"/>
    <n v="4"/>
    <n v="0"/>
    <n v="617.87"/>
    <s v="No Discount"/>
  </r>
  <r>
    <s v="TXN_01576"/>
    <d v="2024-05-27T00:00:00"/>
    <x v="3"/>
    <s v="Monday"/>
    <s v="STORE_039"/>
    <x v="3"/>
    <x v="3"/>
    <x v="12"/>
    <n v="305.44"/>
    <n v="1"/>
    <n v="305.44"/>
    <n v="0"/>
    <n v="0"/>
    <n v="305.44"/>
    <s v="Wallet"/>
    <s v="CUST_00532"/>
    <n v="4"/>
    <n v="0"/>
    <n v="305.44"/>
    <s v="No Discount"/>
  </r>
  <r>
    <s v="TXN_01577"/>
    <d v="2024-11-03T00:00:00"/>
    <x v="0"/>
    <s v="Sunday"/>
    <s v="STORE_012"/>
    <x v="0"/>
    <x v="1"/>
    <x v="6"/>
    <n v="357.62"/>
    <n v="6"/>
    <n v="2145.7199999999998"/>
    <n v="15"/>
    <n v="321.86"/>
    <n v="1823.86"/>
    <s v="Wallet"/>
    <s v="CUST_00653"/>
    <n v="3"/>
    <n v="321.8599999999999"/>
    <n v="303.97666666666663"/>
    <s v="Medium"/>
  </r>
  <r>
    <s v="TXN_01578"/>
    <d v="2024-06-08T00:00:00"/>
    <x v="10"/>
    <s v="Saturday"/>
    <s v="STORE_020"/>
    <x v="0"/>
    <x v="0"/>
    <x v="18"/>
    <n v="838.95"/>
    <n v="1"/>
    <n v="838.95"/>
    <n v="0"/>
    <n v="0"/>
    <n v="838.95"/>
    <s v="Credit Card"/>
    <s v="CUST_00945"/>
    <n v="3"/>
    <n v="0"/>
    <n v="838.95"/>
    <s v="No Discount"/>
  </r>
  <r>
    <s v="TXN_01579"/>
    <d v="2024-06-29T00:00:00"/>
    <x v="10"/>
    <s v="Saturday"/>
    <s v="STORE_005"/>
    <x v="1"/>
    <x v="0"/>
    <x v="18"/>
    <n v="851.74"/>
    <n v="10"/>
    <n v="8517.4"/>
    <n v="0"/>
    <n v="0"/>
    <n v="8517.4"/>
    <s v="Credit Card"/>
    <s v="CUST_00856"/>
    <n v="4"/>
    <n v="0"/>
    <n v="851.74"/>
    <s v="No Discount"/>
  </r>
  <r>
    <s v="TXN_01580"/>
    <d v="2024-02-23T00:00:00"/>
    <x v="1"/>
    <s v="Friday"/>
    <s v="STORE_050"/>
    <x v="0"/>
    <x v="5"/>
    <x v="11"/>
    <n v="4488.03"/>
    <n v="10"/>
    <n v="44880.3"/>
    <n v="20"/>
    <n v="8976.06"/>
    <n v="35904.239999999998"/>
    <s v="Credit Card"/>
    <s v="CUST_00659"/>
    <n v="1"/>
    <n v="8976.0600000000049"/>
    <n v="3590.424"/>
    <s v="High"/>
  </r>
  <r>
    <s v="TXN_01581"/>
    <d v="2024-10-22T00:00:00"/>
    <x v="7"/>
    <s v="Tuesday"/>
    <s v="STORE_031"/>
    <x v="1"/>
    <x v="5"/>
    <x v="10"/>
    <n v="3997.11"/>
    <n v="1"/>
    <n v="3997.11"/>
    <n v="0"/>
    <n v="0"/>
    <n v="3997.11"/>
    <s v="Cash"/>
    <s v="CUST_00670"/>
    <n v="2"/>
    <n v="0"/>
    <n v="3997.11"/>
    <s v="No Discount"/>
  </r>
  <r>
    <s v="TXN_01582"/>
    <d v="2024-09-16T00:00:00"/>
    <x v="9"/>
    <s v="Monday"/>
    <s v="STORE_031"/>
    <x v="2"/>
    <x v="3"/>
    <x v="21"/>
    <n v="1913.82"/>
    <n v="4"/>
    <n v="7655.28"/>
    <n v="0"/>
    <n v="0"/>
    <n v="7655.28"/>
    <s v="Wallet"/>
    <s v="CUST_00216"/>
    <n v="4"/>
    <n v="0"/>
    <n v="1913.82"/>
    <s v="No Discount"/>
  </r>
  <r>
    <s v="TXN_01583"/>
    <d v="2024-04-18T00:00:00"/>
    <x v="4"/>
    <s v="Thursday"/>
    <s v="STORE_041"/>
    <x v="0"/>
    <x v="1"/>
    <x v="36"/>
    <n v="323.91000000000003"/>
    <n v="2"/>
    <n v="647.82000000000005"/>
    <n v="0"/>
    <n v="0"/>
    <n v="647.82000000000005"/>
    <s v="UPI"/>
    <s v="CUST_00750"/>
    <n v="1"/>
    <n v="0"/>
    <n v="323.91000000000003"/>
    <s v="No Discount"/>
  </r>
  <r>
    <s v="TXN_01584"/>
    <d v="2024-03-20T00:00:00"/>
    <x v="5"/>
    <s v="Wednesday"/>
    <s v="STORE_030"/>
    <x v="0"/>
    <x v="5"/>
    <x v="34"/>
    <n v="1828.98"/>
    <n v="2"/>
    <n v="3657.96"/>
    <n v="20"/>
    <n v="731.59"/>
    <n v="2926.37"/>
    <s v="UPI"/>
    <s v="CUST_00055"/>
    <n v="4"/>
    <n v="731.59000000000015"/>
    <n v="1463.1849999999999"/>
    <s v="High"/>
  </r>
  <r>
    <s v="TXN_01585"/>
    <d v="2024-12-02T00:00:00"/>
    <x v="6"/>
    <s v="Monday"/>
    <s v="STORE_026"/>
    <x v="2"/>
    <x v="7"/>
    <x v="23"/>
    <n v="1225.6500000000001"/>
    <n v="2"/>
    <n v="2451.3000000000002"/>
    <n v="0"/>
    <n v="0"/>
    <n v="2451.3000000000002"/>
    <s v="Credit Card"/>
    <s v="CUST_00133"/>
    <n v="4"/>
    <n v="0"/>
    <n v="1225.6500000000001"/>
    <s v="No Discount"/>
  </r>
  <r>
    <s v="TXN_01586"/>
    <d v="2024-09-03T00:00:00"/>
    <x v="9"/>
    <s v="Tuesday"/>
    <s v="STORE_043"/>
    <x v="4"/>
    <x v="5"/>
    <x v="34"/>
    <n v="1483.83"/>
    <n v="1"/>
    <n v="1483.83"/>
    <n v="5"/>
    <n v="74.19"/>
    <n v="1409.64"/>
    <s v="Debit Card"/>
    <s v="CUST_00779"/>
    <n v="3"/>
    <n v="74.189999999999827"/>
    <n v="1409.64"/>
    <s v="Low"/>
  </r>
  <r>
    <s v="TXN_01587"/>
    <d v="2024-04-24T00:00:00"/>
    <x v="4"/>
    <s v="Wednesday"/>
    <s v="STORE_019"/>
    <x v="4"/>
    <x v="1"/>
    <x v="31"/>
    <n v="139.08000000000001"/>
    <n v="10"/>
    <n v="1390.8"/>
    <n v="15"/>
    <n v="208.62"/>
    <n v="1182.18"/>
    <s v="Debit Card"/>
    <s v="CUST_00198"/>
    <n v="1"/>
    <n v="208.61999999999989"/>
    <n v="118.218"/>
    <s v="Medium"/>
  </r>
  <r>
    <s v="TXN_01588"/>
    <d v="2024-02-25T00:00:00"/>
    <x v="1"/>
    <s v="Sunday"/>
    <s v="STORE_042"/>
    <x v="1"/>
    <x v="0"/>
    <x v="4"/>
    <n v="469.85"/>
    <n v="9"/>
    <n v="4228.6499999999996"/>
    <n v="0"/>
    <n v="0"/>
    <n v="4228.6499999999996"/>
    <s v="Debit Card"/>
    <s v="CUST_00796"/>
    <n v="4"/>
    <n v="0"/>
    <n v="469.84999999999997"/>
    <s v="No Discount"/>
  </r>
  <r>
    <s v="TXN_01589"/>
    <d v="2024-06-28T00:00:00"/>
    <x v="10"/>
    <s v="Friday"/>
    <s v="STORE_019"/>
    <x v="2"/>
    <x v="7"/>
    <x v="38"/>
    <n v="1217.23"/>
    <n v="5"/>
    <n v="6086.15"/>
    <n v="0"/>
    <n v="0"/>
    <n v="6086.15"/>
    <s v="Credit Card"/>
    <s v="CUST_00809"/>
    <n v="1"/>
    <n v="0"/>
    <n v="1217.23"/>
    <s v="No Discount"/>
  </r>
  <r>
    <s v="TXN_01590"/>
    <d v="2024-10-11T00:00:00"/>
    <x v="7"/>
    <s v="Friday"/>
    <s v="STORE_043"/>
    <x v="1"/>
    <x v="0"/>
    <x v="27"/>
    <n v="312.49"/>
    <n v="6"/>
    <n v="1874.94"/>
    <n v="20"/>
    <n v="374.99"/>
    <n v="1499.95"/>
    <s v="Credit Card"/>
    <s v="CUST_00138"/>
    <n v="5"/>
    <n v="374.99"/>
    <n v="249.99166666666667"/>
    <s v="High"/>
  </r>
  <r>
    <s v="TXN_01591"/>
    <d v="2024-07-07T00:00:00"/>
    <x v="11"/>
    <s v="Sunday"/>
    <s v="STORE_045"/>
    <x v="1"/>
    <x v="5"/>
    <x v="10"/>
    <n v="2146.85"/>
    <n v="3"/>
    <n v="6440.55"/>
    <n v="0"/>
    <n v="0"/>
    <n v="6440.55"/>
    <s v="Wallet"/>
    <s v="CUST_00991"/>
    <n v="2"/>
    <n v="0"/>
    <n v="2146.85"/>
    <s v="No Discount"/>
  </r>
  <r>
    <s v="TXN_01592"/>
    <d v="2024-02-28T00:00:00"/>
    <x v="1"/>
    <s v="Wednesday"/>
    <s v="STORE_046"/>
    <x v="4"/>
    <x v="4"/>
    <x v="19"/>
    <n v="527.84"/>
    <n v="2"/>
    <n v="1055.68"/>
    <n v="20"/>
    <n v="211.14"/>
    <n v="844.54"/>
    <s v="Credit Card"/>
    <s v="CUST_00611"/>
    <n v="2"/>
    <n v="211.1400000000001"/>
    <n v="422.27"/>
    <s v="High"/>
  </r>
  <r>
    <s v="TXN_01593"/>
    <d v="2024-05-22T00:00:00"/>
    <x v="3"/>
    <s v="Wednesday"/>
    <s v="STORE_015"/>
    <x v="3"/>
    <x v="4"/>
    <x v="20"/>
    <n v="500.65"/>
    <n v="10"/>
    <n v="5006.5"/>
    <n v="5"/>
    <n v="250.33"/>
    <n v="4756.17"/>
    <s v="Credit Card"/>
    <s v="CUST_00122"/>
    <n v="1"/>
    <n v="250.32999999999993"/>
    <n v="475.61700000000002"/>
    <s v="Low"/>
  </r>
  <r>
    <s v="TXN_01594"/>
    <d v="2024-10-20T00:00:00"/>
    <x v="7"/>
    <s v="Sunday"/>
    <s v="STORE_024"/>
    <x v="3"/>
    <x v="5"/>
    <x v="25"/>
    <n v="1763.03"/>
    <n v="6"/>
    <n v="10578.18"/>
    <n v="10"/>
    <n v="1057.82"/>
    <n v="9520.36"/>
    <s v="Cash"/>
    <s v="CUST_00315"/>
    <n v="5"/>
    <n v="1057.8199999999997"/>
    <n v="1586.7266666666667"/>
    <s v="Medium"/>
  </r>
  <r>
    <s v="TXN_01595"/>
    <d v="2024-04-25T00:00:00"/>
    <x v="4"/>
    <s v="Thursday"/>
    <s v="STORE_010"/>
    <x v="3"/>
    <x v="5"/>
    <x v="11"/>
    <n v="4385.37"/>
    <n v="5"/>
    <n v="21926.85"/>
    <n v="0"/>
    <n v="0"/>
    <n v="21926.85"/>
    <s v="Debit Card"/>
    <s v="CUST_00953"/>
    <n v="1"/>
    <n v="0"/>
    <n v="4385.37"/>
    <s v="No Discount"/>
  </r>
  <r>
    <s v="TXN_01596"/>
    <d v="2024-08-07T00:00:00"/>
    <x v="8"/>
    <s v="Wednesday"/>
    <s v="STORE_036"/>
    <x v="3"/>
    <x v="6"/>
    <x v="33"/>
    <n v="684.67"/>
    <n v="10"/>
    <n v="6846.7"/>
    <n v="0"/>
    <n v="0"/>
    <n v="6846.7"/>
    <s v="UPI"/>
    <s v="CUST_00285"/>
    <n v="2"/>
    <n v="0"/>
    <n v="684.67"/>
    <s v="No Discount"/>
  </r>
  <r>
    <s v="TXN_01597"/>
    <d v="2024-10-14T00:00:00"/>
    <x v="7"/>
    <s v="Monday"/>
    <s v="STORE_028"/>
    <x v="4"/>
    <x v="6"/>
    <x v="14"/>
    <n v="1398.6"/>
    <n v="1"/>
    <n v="1398.6"/>
    <n v="5"/>
    <n v="69.930000000000007"/>
    <n v="1328.67"/>
    <s v="Credit Card"/>
    <s v="CUST_00023"/>
    <n v="4"/>
    <n v="69.929999999999836"/>
    <n v="1328.67"/>
    <s v="Low"/>
  </r>
  <r>
    <s v="TXN_01598"/>
    <d v="2024-11-14T00:00:00"/>
    <x v="0"/>
    <s v="Thursday"/>
    <s v="STORE_021"/>
    <x v="1"/>
    <x v="0"/>
    <x v="0"/>
    <n v="303.99"/>
    <n v="5"/>
    <n v="1519.95"/>
    <n v="10"/>
    <n v="152"/>
    <n v="1367.95"/>
    <s v="Credit Card"/>
    <s v="CUST_00976"/>
    <n v="3"/>
    <n v="152"/>
    <n v="273.59000000000003"/>
    <s v="Medium"/>
  </r>
  <r>
    <s v="TXN_01599"/>
    <d v="2024-11-10T00:00:00"/>
    <x v="0"/>
    <s v="Sunday"/>
    <s v="STORE_008"/>
    <x v="2"/>
    <x v="5"/>
    <x v="34"/>
    <n v="1887.35"/>
    <n v="5"/>
    <n v="9436.75"/>
    <n v="0"/>
    <n v="0"/>
    <n v="9436.75"/>
    <s v="Debit Card"/>
    <s v="CUST_00631"/>
    <n v="1"/>
    <n v="0"/>
    <n v="1887.35"/>
    <s v="No Discount"/>
  </r>
  <r>
    <s v="TXN_01600"/>
    <d v="2024-12-11T00:00:00"/>
    <x v="6"/>
    <s v="Wednesday"/>
    <s v="STORE_028"/>
    <x v="1"/>
    <x v="4"/>
    <x v="19"/>
    <n v="580.47"/>
    <n v="10"/>
    <n v="5804.7"/>
    <n v="20"/>
    <n v="1160.94"/>
    <n v="4643.76"/>
    <s v="UPI"/>
    <s v="CUST_00638"/>
    <n v="3"/>
    <n v="1160.9399999999996"/>
    <n v="464.37600000000003"/>
    <s v="High"/>
  </r>
  <r>
    <s v="TXN_01601"/>
    <d v="2024-11-25T00:00:00"/>
    <x v="0"/>
    <s v="Monday"/>
    <s v="STORE_012"/>
    <x v="0"/>
    <x v="7"/>
    <x v="24"/>
    <n v="831.37"/>
    <n v="6"/>
    <n v="4988.22"/>
    <n v="0"/>
    <n v="0"/>
    <n v="4988.22"/>
    <s v="Cash"/>
    <s v="CUST_00258"/>
    <n v="4"/>
    <n v="0"/>
    <n v="831.37"/>
    <s v="No Discount"/>
  </r>
  <r>
    <s v="TXN_01602"/>
    <d v="2024-10-12T00:00:00"/>
    <x v="7"/>
    <s v="Saturday"/>
    <s v="STORE_008"/>
    <x v="2"/>
    <x v="1"/>
    <x v="36"/>
    <n v="111.59"/>
    <n v="5"/>
    <n v="557.95000000000005"/>
    <n v="5"/>
    <n v="27.9"/>
    <n v="530.04999999999995"/>
    <s v="UPI"/>
    <s v="CUST_00569"/>
    <n v="1"/>
    <n v="27.900000000000091"/>
    <n v="106.00999999999999"/>
    <s v="Low"/>
  </r>
  <r>
    <s v="TXN_01603"/>
    <d v="2024-01-14T00:00:00"/>
    <x v="2"/>
    <s v="Sunday"/>
    <s v="STORE_002"/>
    <x v="3"/>
    <x v="6"/>
    <x v="30"/>
    <n v="1695.89"/>
    <n v="9"/>
    <n v="15263.01"/>
    <n v="0"/>
    <n v="0"/>
    <n v="15263.01"/>
    <s v="Credit Card"/>
    <s v="CUST_00568"/>
    <n v="2"/>
    <n v="0"/>
    <n v="1695.89"/>
    <s v="No Discount"/>
  </r>
  <r>
    <s v="TXN_01604"/>
    <d v="2024-11-07T00:00:00"/>
    <x v="0"/>
    <s v="Thursday"/>
    <s v="STORE_011"/>
    <x v="3"/>
    <x v="3"/>
    <x v="21"/>
    <n v="1458.11"/>
    <n v="5"/>
    <n v="7290.55"/>
    <n v="20"/>
    <n v="1458.11"/>
    <n v="5832.44"/>
    <s v="Credit Card"/>
    <s v="CUST_00529"/>
    <n v="4"/>
    <n v="1458.1100000000006"/>
    <n v="1166.4879999999998"/>
    <s v="High"/>
  </r>
  <r>
    <s v="TXN_01605"/>
    <d v="2024-12-02T00:00:00"/>
    <x v="6"/>
    <s v="Monday"/>
    <s v="STORE_007"/>
    <x v="0"/>
    <x v="6"/>
    <x v="26"/>
    <n v="519.69000000000005"/>
    <n v="2"/>
    <n v="1039.3800000000001"/>
    <n v="20"/>
    <n v="207.88"/>
    <n v="831.5"/>
    <s v="Cash"/>
    <s v="CUST_00607"/>
    <n v="4"/>
    <n v="207.88000000000011"/>
    <n v="415.75"/>
    <s v="High"/>
  </r>
  <r>
    <s v="TXN_01606"/>
    <d v="2024-12-21T00:00:00"/>
    <x v="6"/>
    <s v="Saturday"/>
    <s v="STORE_033"/>
    <x v="2"/>
    <x v="6"/>
    <x v="30"/>
    <n v="1961.3"/>
    <n v="1"/>
    <n v="1961.3"/>
    <n v="5"/>
    <n v="98.06"/>
    <n v="1863.24"/>
    <s v="Credit Card"/>
    <s v="CUST_00419"/>
    <n v="2"/>
    <n v="98.059999999999945"/>
    <n v="1863.24"/>
    <s v="Low"/>
  </r>
  <r>
    <s v="TXN_01607"/>
    <d v="2024-05-16T00:00:00"/>
    <x v="3"/>
    <s v="Thursday"/>
    <s v="STORE_006"/>
    <x v="2"/>
    <x v="1"/>
    <x v="36"/>
    <n v="160.93"/>
    <n v="8"/>
    <n v="1287.44"/>
    <n v="15"/>
    <n v="193.12"/>
    <n v="1094.32"/>
    <s v="Debit Card"/>
    <s v="CUST_00833"/>
    <n v="3"/>
    <n v="193.12000000000012"/>
    <n v="136.79"/>
    <s v="Medium"/>
  </r>
  <r>
    <s v="TXN_01608"/>
    <d v="2024-01-15T00:00:00"/>
    <x v="2"/>
    <s v="Monday"/>
    <s v="STORE_026"/>
    <x v="0"/>
    <x v="2"/>
    <x v="39"/>
    <n v="778.98"/>
    <n v="5"/>
    <n v="3894.9"/>
    <n v="5"/>
    <n v="194.75"/>
    <n v="3700.15"/>
    <s v="Cash"/>
    <s v="CUST_00117"/>
    <n v="2"/>
    <n v="194.75"/>
    <n v="740.03"/>
    <s v="Low"/>
  </r>
  <r>
    <s v="TXN_01609"/>
    <d v="2024-04-02T00:00:00"/>
    <x v="4"/>
    <s v="Tuesday"/>
    <s v="STORE_034"/>
    <x v="1"/>
    <x v="3"/>
    <x v="21"/>
    <n v="248.8"/>
    <n v="7"/>
    <n v="1741.6"/>
    <n v="0"/>
    <n v="0"/>
    <n v="1741.6"/>
    <s v="Cash"/>
    <s v="CUST_00458"/>
    <n v="5"/>
    <n v="0"/>
    <n v="248.79999999999998"/>
    <s v="No Discount"/>
  </r>
  <r>
    <s v="TXN_01610"/>
    <d v="2024-05-19T00:00:00"/>
    <x v="3"/>
    <s v="Sunday"/>
    <s v="STORE_036"/>
    <x v="2"/>
    <x v="0"/>
    <x v="4"/>
    <n v="676.93"/>
    <n v="8"/>
    <n v="5415.44"/>
    <n v="0"/>
    <n v="0"/>
    <n v="5415.44"/>
    <s v="Debit Card"/>
    <s v="CUST_00342"/>
    <n v="1"/>
    <n v="0"/>
    <n v="676.93"/>
    <s v="No Discount"/>
  </r>
  <r>
    <s v="TXN_01611"/>
    <d v="2024-12-25T00:00:00"/>
    <x v="6"/>
    <s v="Wednesday"/>
    <s v="STORE_028"/>
    <x v="3"/>
    <x v="3"/>
    <x v="12"/>
    <n v="1899.5"/>
    <n v="3"/>
    <n v="5698.5"/>
    <n v="20"/>
    <n v="1139.7"/>
    <n v="4558.8"/>
    <s v="UPI"/>
    <s v="CUST_00448"/>
    <n v="3"/>
    <n v="1139.6999999999998"/>
    <n v="1519.6000000000001"/>
    <s v="High"/>
  </r>
  <r>
    <s v="TXN_01612"/>
    <d v="2024-06-07T00:00:00"/>
    <x v="10"/>
    <s v="Friday"/>
    <s v="STORE_045"/>
    <x v="3"/>
    <x v="5"/>
    <x v="34"/>
    <n v="2412.9299999999998"/>
    <n v="2"/>
    <n v="4825.8599999999997"/>
    <n v="10"/>
    <n v="482.59"/>
    <n v="4343.2700000000004"/>
    <s v="Debit Card"/>
    <s v="CUST_00020"/>
    <n v="2"/>
    <n v="482.58999999999924"/>
    <n v="2171.6350000000002"/>
    <s v="Medium"/>
  </r>
  <r>
    <s v="TXN_01613"/>
    <d v="2024-06-22T00:00:00"/>
    <x v="10"/>
    <s v="Saturday"/>
    <s v="STORE_020"/>
    <x v="1"/>
    <x v="6"/>
    <x v="30"/>
    <n v="1969.73"/>
    <n v="7"/>
    <n v="13788.11"/>
    <n v="5"/>
    <n v="689.41"/>
    <n v="13098.7"/>
    <s v="UPI"/>
    <s v="CUST_00642"/>
    <n v="1"/>
    <n v="689.40999999999985"/>
    <n v="1871.2428571428572"/>
    <s v="Low"/>
  </r>
  <r>
    <s v="TXN_01614"/>
    <d v="2024-06-28T00:00:00"/>
    <x v="10"/>
    <s v="Friday"/>
    <s v="STORE_043"/>
    <x v="3"/>
    <x v="6"/>
    <x v="30"/>
    <n v="1692.66"/>
    <n v="1"/>
    <n v="1692.66"/>
    <n v="5"/>
    <n v="84.63"/>
    <n v="1608.03"/>
    <s v="Wallet"/>
    <s v="CUST_00128"/>
    <n v="4"/>
    <n v="84.630000000000109"/>
    <n v="1608.03"/>
    <s v="Low"/>
  </r>
  <r>
    <s v="TXN_01615"/>
    <d v="2024-01-04T00:00:00"/>
    <x v="2"/>
    <s v="Thursday"/>
    <s v="STORE_050"/>
    <x v="4"/>
    <x v="2"/>
    <x v="2"/>
    <n v="113.75"/>
    <n v="5"/>
    <n v="568.75"/>
    <n v="10"/>
    <n v="56.88"/>
    <n v="511.87"/>
    <s v="Debit Card"/>
    <s v="CUST_00070"/>
    <n v="5"/>
    <n v="56.879999999999995"/>
    <n v="102.374"/>
    <s v="Medium"/>
  </r>
  <r>
    <s v="TXN_01616"/>
    <d v="2024-04-02T00:00:00"/>
    <x v="4"/>
    <s v="Tuesday"/>
    <s v="STORE_012"/>
    <x v="2"/>
    <x v="2"/>
    <x v="7"/>
    <n v="102.12"/>
    <n v="4"/>
    <n v="408.48"/>
    <n v="15"/>
    <n v="61.27"/>
    <n v="347.21"/>
    <s v="Credit Card"/>
    <s v="CUST_00262"/>
    <n v="3"/>
    <n v="61.270000000000039"/>
    <n v="86.802499999999995"/>
    <s v="Medium"/>
  </r>
  <r>
    <s v="TXN_01617"/>
    <d v="2024-03-14T00:00:00"/>
    <x v="5"/>
    <s v="Thursday"/>
    <s v="STORE_039"/>
    <x v="4"/>
    <x v="6"/>
    <x v="26"/>
    <n v="946.44"/>
    <n v="10"/>
    <n v="9464.4"/>
    <n v="20"/>
    <n v="1892.88"/>
    <n v="7571.52"/>
    <s v="UPI"/>
    <s v="CUST_00505"/>
    <n v="4"/>
    <n v="1892.8799999999992"/>
    <n v="757.15200000000004"/>
    <s v="High"/>
  </r>
  <r>
    <s v="TXN_01618"/>
    <d v="2024-10-16T00:00:00"/>
    <x v="7"/>
    <s v="Wednesday"/>
    <s v="STORE_025"/>
    <x v="4"/>
    <x v="3"/>
    <x v="21"/>
    <n v="756.26"/>
    <n v="10"/>
    <n v="7562.6"/>
    <n v="5"/>
    <n v="378.13"/>
    <n v="7184.47"/>
    <s v="Credit Card"/>
    <s v="CUST_00570"/>
    <n v="4"/>
    <n v="378.13000000000011"/>
    <n v="718.447"/>
    <s v="Low"/>
  </r>
  <r>
    <s v="TXN_01619"/>
    <d v="2024-12-02T00:00:00"/>
    <x v="6"/>
    <s v="Monday"/>
    <s v="STORE_032"/>
    <x v="1"/>
    <x v="2"/>
    <x v="2"/>
    <n v="387.62"/>
    <n v="7"/>
    <n v="2713.34"/>
    <n v="0"/>
    <n v="0"/>
    <n v="2713.34"/>
    <s v="Debit Card"/>
    <s v="CUST_00976"/>
    <n v="2"/>
    <n v="0"/>
    <n v="387.62"/>
    <s v="No Discount"/>
  </r>
  <r>
    <s v="TXN_01620"/>
    <d v="2024-07-24T00:00:00"/>
    <x v="11"/>
    <s v="Wednesday"/>
    <s v="STORE_049"/>
    <x v="1"/>
    <x v="6"/>
    <x v="33"/>
    <n v="1219.8399999999999"/>
    <n v="5"/>
    <n v="6099.2"/>
    <n v="0"/>
    <n v="0"/>
    <n v="6099.2"/>
    <s v="Debit Card"/>
    <s v="CUST_00448"/>
    <n v="2"/>
    <n v="0"/>
    <n v="1219.8399999999999"/>
    <s v="No Discount"/>
  </r>
  <r>
    <s v="TXN_01621"/>
    <d v="2024-02-05T00:00:00"/>
    <x v="1"/>
    <s v="Monday"/>
    <s v="STORE_019"/>
    <x v="4"/>
    <x v="5"/>
    <x v="11"/>
    <n v="3947.87"/>
    <n v="9"/>
    <n v="35530.83"/>
    <n v="15"/>
    <n v="5329.62"/>
    <n v="30201.21"/>
    <s v="Wallet"/>
    <s v="CUST_00583"/>
    <n v="5"/>
    <n v="5329.6200000000026"/>
    <n v="3355.69"/>
    <s v="Medium"/>
  </r>
  <r>
    <s v="TXN_01622"/>
    <d v="2024-03-13T00:00:00"/>
    <x v="5"/>
    <s v="Wednesday"/>
    <s v="STORE_028"/>
    <x v="0"/>
    <x v="7"/>
    <x v="23"/>
    <n v="835.28"/>
    <n v="1"/>
    <n v="835.28"/>
    <n v="0"/>
    <n v="0"/>
    <n v="835.28"/>
    <s v="Cash"/>
    <s v="CUST_00027"/>
    <n v="2"/>
    <n v="0"/>
    <n v="835.28"/>
    <s v="No Discount"/>
  </r>
  <r>
    <s v="TXN_01623"/>
    <d v="2024-11-20T00:00:00"/>
    <x v="0"/>
    <s v="Wednesday"/>
    <s v="STORE_007"/>
    <x v="2"/>
    <x v="3"/>
    <x v="5"/>
    <n v="342.75"/>
    <n v="8"/>
    <n v="2742"/>
    <n v="20"/>
    <n v="548.4"/>
    <n v="2193.6"/>
    <s v="Wallet"/>
    <s v="CUST_00421"/>
    <n v="2"/>
    <n v="548.40000000000009"/>
    <n v="274.2"/>
    <s v="High"/>
  </r>
  <r>
    <s v="TXN_01624"/>
    <d v="2024-01-16T00:00:00"/>
    <x v="2"/>
    <s v="Tuesday"/>
    <s v="STORE_035"/>
    <x v="2"/>
    <x v="6"/>
    <x v="14"/>
    <n v="1491.13"/>
    <n v="1"/>
    <n v="1491.13"/>
    <n v="15"/>
    <n v="223.67"/>
    <n v="1267.46"/>
    <s v="Cash"/>
    <s v="CUST_00241"/>
    <n v="1"/>
    <n v="223.67000000000007"/>
    <n v="1267.46"/>
    <s v="Medium"/>
  </r>
  <r>
    <s v="TXN_01625"/>
    <d v="2024-02-16T00:00:00"/>
    <x v="1"/>
    <s v="Friday"/>
    <s v="STORE_010"/>
    <x v="2"/>
    <x v="4"/>
    <x v="17"/>
    <n v="407.2"/>
    <n v="10"/>
    <n v="4072"/>
    <n v="10"/>
    <n v="407.2"/>
    <n v="3664.8"/>
    <s v="Wallet"/>
    <s v="CUST_00086"/>
    <n v="4"/>
    <n v="407.19999999999982"/>
    <n v="366.48"/>
    <s v="Medium"/>
  </r>
  <r>
    <s v="TXN_01626"/>
    <d v="2024-09-28T00:00:00"/>
    <x v="9"/>
    <s v="Saturday"/>
    <s v="STORE_043"/>
    <x v="4"/>
    <x v="1"/>
    <x v="36"/>
    <n v="378.93"/>
    <n v="9"/>
    <n v="3410.37"/>
    <n v="10"/>
    <n v="341.04"/>
    <n v="3069.33"/>
    <s v="Wallet"/>
    <s v="CUST_00032"/>
    <n v="3"/>
    <n v="341.03999999999996"/>
    <n v="341.03666666666663"/>
    <s v="Medium"/>
  </r>
  <r>
    <s v="TXN_01627"/>
    <d v="2024-04-20T00:00:00"/>
    <x v="4"/>
    <s v="Saturday"/>
    <s v="STORE_011"/>
    <x v="2"/>
    <x v="7"/>
    <x v="23"/>
    <n v="1413.69"/>
    <n v="5"/>
    <n v="7068.45"/>
    <n v="0"/>
    <n v="0"/>
    <n v="7068.45"/>
    <s v="Wallet"/>
    <s v="CUST_00463"/>
    <n v="2"/>
    <n v="0"/>
    <n v="1413.69"/>
    <s v="No Discount"/>
  </r>
  <r>
    <s v="TXN_01628"/>
    <d v="2024-07-11T00:00:00"/>
    <x v="11"/>
    <s v="Thursday"/>
    <s v="STORE_024"/>
    <x v="3"/>
    <x v="4"/>
    <x v="17"/>
    <n v="380.92"/>
    <n v="4"/>
    <n v="1523.68"/>
    <n v="10"/>
    <n v="152.37"/>
    <n v="1371.31"/>
    <s v="UPI"/>
    <s v="CUST_00955"/>
    <n v="5"/>
    <n v="152.37000000000012"/>
    <n v="342.82749999999999"/>
    <s v="Medium"/>
  </r>
  <r>
    <s v="TXN_01629"/>
    <d v="2024-08-02T00:00:00"/>
    <x v="8"/>
    <s v="Friday"/>
    <s v="STORE_027"/>
    <x v="3"/>
    <x v="6"/>
    <x v="26"/>
    <n v="758.86"/>
    <n v="1"/>
    <n v="758.86"/>
    <n v="0"/>
    <n v="0"/>
    <n v="758.86"/>
    <s v="Wallet"/>
    <s v="CUST_00328"/>
    <n v="1"/>
    <n v="0"/>
    <n v="758.86"/>
    <s v="No Discount"/>
  </r>
  <r>
    <s v="TXN_01630"/>
    <d v="2024-08-20T00:00:00"/>
    <x v="8"/>
    <s v="Tuesday"/>
    <s v="STORE_037"/>
    <x v="2"/>
    <x v="1"/>
    <x v="36"/>
    <n v="422.96"/>
    <n v="3"/>
    <n v="1268.8800000000001"/>
    <n v="20"/>
    <n v="253.78"/>
    <n v="1015.1"/>
    <s v="Debit Card"/>
    <s v="CUST_00307"/>
    <n v="4"/>
    <n v="253.78000000000009"/>
    <n v="338.36666666666667"/>
    <s v="High"/>
  </r>
  <r>
    <s v="TXN_01631"/>
    <d v="2024-06-23T00:00:00"/>
    <x v="10"/>
    <s v="Sunday"/>
    <s v="STORE_044"/>
    <x v="4"/>
    <x v="0"/>
    <x v="18"/>
    <n v="811.69"/>
    <n v="2"/>
    <n v="1623.38"/>
    <n v="0"/>
    <n v="0"/>
    <n v="1623.38"/>
    <s v="Wallet"/>
    <s v="CUST_00277"/>
    <n v="4"/>
    <n v="0"/>
    <n v="811.69"/>
    <s v="No Discount"/>
  </r>
  <r>
    <s v="TXN_01632"/>
    <d v="2024-03-21T00:00:00"/>
    <x v="5"/>
    <s v="Thursday"/>
    <s v="STORE_047"/>
    <x v="3"/>
    <x v="5"/>
    <x v="10"/>
    <n v="3681.65"/>
    <n v="9"/>
    <n v="33134.85"/>
    <n v="10"/>
    <n v="3313.49"/>
    <n v="29821.360000000001"/>
    <s v="Debit Card"/>
    <s v="CUST_00593"/>
    <n v="4"/>
    <n v="3313.489999999998"/>
    <n v="3313.4844444444443"/>
    <s v="Medium"/>
  </r>
  <r>
    <s v="TXN_01633"/>
    <d v="2024-07-08T00:00:00"/>
    <x v="11"/>
    <s v="Monday"/>
    <s v="STORE_017"/>
    <x v="2"/>
    <x v="1"/>
    <x v="36"/>
    <n v="170.21"/>
    <n v="10"/>
    <n v="1702.1"/>
    <n v="0"/>
    <n v="0"/>
    <n v="1702.1"/>
    <s v="Debit Card"/>
    <s v="CUST_00810"/>
    <n v="1"/>
    <n v="0"/>
    <n v="170.20999999999998"/>
    <s v="No Discount"/>
  </r>
  <r>
    <s v="TXN_01634"/>
    <d v="2024-06-08T00:00:00"/>
    <x v="10"/>
    <s v="Saturday"/>
    <s v="STORE_012"/>
    <x v="3"/>
    <x v="0"/>
    <x v="18"/>
    <n v="483.69"/>
    <n v="1"/>
    <n v="483.69"/>
    <n v="5"/>
    <n v="24.18"/>
    <n v="459.51"/>
    <s v="Wallet"/>
    <s v="CUST_00291"/>
    <n v="2"/>
    <n v="24.180000000000007"/>
    <n v="459.51"/>
    <s v="Low"/>
  </r>
  <r>
    <s v="TXN_01635"/>
    <d v="2024-06-15T00:00:00"/>
    <x v="10"/>
    <s v="Saturday"/>
    <s v="STORE_043"/>
    <x v="3"/>
    <x v="3"/>
    <x v="22"/>
    <n v="2224.02"/>
    <n v="6"/>
    <n v="13344.12"/>
    <n v="0"/>
    <n v="0"/>
    <n v="13344.12"/>
    <s v="UPI"/>
    <s v="CUST_00187"/>
    <n v="5"/>
    <n v="0"/>
    <n v="2224.02"/>
    <s v="No Discount"/>
  </r>
  <r>
    <s v="TXN_01636"/>
    <d v="2024-10-17T00:00:00"/>
    <x v="7"/>
    <s v="Thursday"/>
    <s v="STORE_025"/>
    <x v="3"/>
    <x v="2"/>
    <x v="2"/>
    <n v="719.34"/>
    <n v="7"/>
    <n v="5035.38"/>
    <n v="15"/>
    <n v="755.31"/>
    <n v="4280.07"/>
    <s v="Cash"/>
    <s v="CUST_00560"/>
    <n v="5"/>
    <n v="755.3100000000004"/>
    <n v="611.43857142857144"/>
    <s v="Medium"/>
  </r>
  <r>
    <s v="TXN_01637"/>
    <d v="2024-11-01T00:00:00"/>
    <x v="0"/>
    <s v="Friday"/>
    <s v="STORE_033"/>
    <x v="1"/>
    <x v="3"/>
    <x v="22"/>
    <n v="2819.56"/>
    <n v="7"/>
    <n v="19736.919999999998"/>
    <n v="0"/>
    <n v="0"/>
    <n v="19736.919999999998"/>
    <s v="Cash"/>
    <s v="CUST_00156"/>
    <n v="4"/>
    <n v="0"/>
    <n v="2819.56"/>
    <s v="No Discount"/>
  </r>
  <r>
    <s v="TXN_01638"/>
    <d v="2024-02-13T00:00:00"/>
    <x v="1"/>
    <s v="Tuesday"/>
    <s v="STORE_010"/>
    <x v="0"/>
    <x v="7"/>
    <x v="37"/>
    <n v="313.94"/>
    <n v="9"/>
    <n v="2825.46"/>
    <n v="0"/>
    <n v="0"/>
    <n v="2825.46"/>
    <s v="Credit Card"/>
    <s v="CUST_00956"/>
    <n v="4"/>
    <n v="0"/>
    <n v="313.94"/>
    <s v="No Discount"/>
  </r>
  <r>
    <s v="TXN_01639"/>
    <d v="2024-01-27T00:00:00"/>
    <x v="2"/>
    <s v="Saturday"/>
    <s v="STORE_009"/>
    <x v="2"/>
    <x v="4"/>
    <x v="17"/>
    <n v="492.02"/>
    <n v="7"/>
    <n v="3444.14"/>
    <n v="0"/>
    <n v="0"/>
    <n v="3444.14"/>
    <s v="Wallet"/>
    <s v="CUST_00515"/>
    <n v="5"/>
    <n v="0"/>
    <n v="492.02"/>
    <s v="No Discount"/>
  </r>
  <r>
    <s v="TXN_01640"/>
    <d v="2024-03-20T00:00:00"/>
    <x v="5"/>
    <s v="Wednesday"/>
    <s v="STORE_040"/>
    <x v="2"/>
    <x v="3"/>
    <x v="22"/>
    <n v="1696.94"/>
    <n v="9"/>
    <n v="15272.46"/>
    <n v="15"/>
    <n v="2290.87"/>
    <n v="12981.59"/>
    <s v="Wallet"/>
    <s v="CUST_00902"/>
    <n v="2"/>
    <n v="2290.869999999999"/>
    <n v="1442.3988888888889"/>
    <s v="Medium"/>
  </r>
  <r>
    <s v="TXN_01641"/>
    <d v="2024-03-21T00:00:00"/>
    <x v="5"/>
    <s v="Thursday"/>
    <s v="STORE_029"/>
    <x v="4"/>
    <x v="0"/>
    <x v="0"/>
    <n v="988.01"/>
    <n v="7"/>
    <n v="6916.07"/>
    <n v="5"/>
    <n v="345.8"/>
    <n v="6570.27"/>
    <s v="Debit Card"/>
    <s v="CUST_00590"/>
    <n v="5"/>
    <n v="345.79999999999927"/>
    <n v="938.61"/>
    <s v="Low"/>
  </r>
  <r>
    <s v="TXN_01642"/>
    <d v="2024-11-12T00:00:00"/>
    <x v="0"/>
    <s v="Tuesday"/>
    <s v="STORE_014"/>
    <x v="2"/>
    <x v="7"/>
    <x v="37"/>
    <n v="326.47000000000003"/>
    <n v="2"/>
    <n v="652.94000000000005"/>
    <n v="0"/>
    <n v="0"/>
    <n v="652.94000000000005"/>
    <s v="Cash"/>
    <s v="CUST_00601"/>
    <n v="1"/>
    <n v="0"/>
    <n v="326.47000000000003"/>
    <s v="No Discount"/>
  </r>
  <r>
    <s v="TXN_01643"/>
    <d v="2024-01-26T00:00:00"/>
    <x v="2"/>
    <s v="Friday"/>
    <s v="STORE_046"/>
    <x v="3"/>
    <x v="3"/>
    <x v="22"/>
    <n v="2051.31"/>
    <n v="10"/>
    <n v="20513.099999999999"/>
    <n v="15"/>
    <n v="3076.96"/>
    <n v="17436.14"/>
    <s v="Debit Card"/>
    <s v="CUST_00111"/>
    <n v="2"/>
    <n v="3076.9599999999991"/>
    <n v="1743.614"/>
    <s v="Medium"/>
  </r>
  <r>
    <s v="TXN_01644"/>
    <d v="2024-12-11T00:00:00"/>
    <x v="6"/>
    <s v="Wednesday"/>
    <s v="STORE_016"/>
    <x v="2"/>
    <x v="3"/>
    <x v="12"/>
    <n v="1530.31"/>
    <n v="7"/>
    <n v="10712.17"/>
    <n v="0"/>
    <n v="0"/>
    <n v="10712.17"/>
    <s v="Cash"/>
    <s v="CUST_00941"/>
    <n v="2"/>
    <n v="0"/>
    <n v="1530.31"/>
    <s v="No Discount"/>
  </r>
  <r>
    <s v="TXN_01645"/>
    <d v="2024-02-11T00:00:00"/>
    <x v="1"/>
    <s v="Sunday"/>
    <s v="STORE_011"/>
    <x v="1"/>
    <x v="2"/>
    <x v="39"/>
    <n v="489.41"/>
    <n v="2"/>
    <n v="978.82"/>
    <n v="5"/>
    <n v="48.94"/>
    <n v="929.88"/>
    <s v="Cash"/>
    <s v="CUST_00929"/>
    <n v="1"/>
    <n v="48.940000000000055"/>
    <n v="464.94"/>
    <s v="Low"/>
  </r>
  <r>
    <s v="TXN_01646"/>
    <d v="2024-05-19T00:00:00"/>
    <x v="3"/>
    <s v="Sunday"/>
    <s v="STORE_028"/>
    <x v="1"/>
    <x v="2"/>
    <x v="39"/>
    <n v="446.91"/>
    <n v="5"/>
    <n v="2234.5500000000002"/>
    <n v="0"/>
    <n v="0"/>
    <n v="2234.5500000000002"/>
    <s v="Wallet"/>
    <s v="CUST_00666"/>
    <n v="1"/>
    <n v="0"/>
    <n v="446.91"/>
    <s v="No Discount"/>
  </r>
  <r>
    <s v="TXN_01647"/>
    <d v="2024-08-14T00:00:00"/>
    <x v="8"/>
    <s v="Wednesday"/>
    <s v="STORE_026"/>
    <x v="2"/>
    <x v="6"/>
    <x v="14"/>
    <n v="1545.52"/>
    <n v="5"/>
    <n v="7727.6"/>
    <n v="0"/>
    <n v="0"/>
    <n v="7727.6"/>
    <s v="Wallet"/>
    <s v="CUST_00482"/>
    <n v="4"/>
    <n v="0"/>
    <n v="1545.52"/>
    <s v="No Discount"/>
  </r>
  <r>
    <s v="TXN_01648"/>
    <d v="2024-12-04T00:00:00"/>
    <x v="6"/>
    <s v="Wednesday"/>
    <s v="STORE_035"/>
    <x v="4"/>
    <x v="1"/>
    <x v="36"/>
    <n v="397.58"/>
    <n v="3"/>
    <n v="1192.74"/>
    <n v="15"/>
    <n v="178.91"/>
    <n v="1013.83"/>
    <s v="Cash"/>
    <s v="CUST_00772"/>
    <n v="5"/>
    <n v="178.90999999999997"/>
    <n v="337.94333333333333"/>
    <s v="Medium"/>
  </r>
  <r>
    <s v="TXN_01649"/>
    <d v="2024-08-05T00:00:00"/>
    <x v="8"/>
    <s v="Monday"/>
    <s v="STORE_036"/>
    <x v="0"/>
    <x v="6"/>
    <x v="26"/>
    <n v="1311.56"/>
    <n v="1"/>
    <n v="1311.56"/>
    <n v="20"/>
    <n v="262.31"/>
    <n v="1049.25"/>
    <s v="UPI"/>
    <s v="CUST_00100"/>
    <n v="4"/>
    <n v="262.30999999999995"/>
    <n v="1049.25"/>
    <s v="High"/>
  </r>
  <r>
    <s v="TXN_01650"/>
    <d v="2024-09-05T00:00:00"/>
    <x v="9"/>
    <s v="Thursday"/>
    <s v="STORE_021"/>
    <x v="4"/>
    <x v="2"/>
    <x v="2"/>
    <n v="410"/>
    <n v="7"/>
    <n v="2870"/>
    <n v="10"/>
    <n v="287"/>
    <n v="2583"/>
    <s v="Credit Card"/>
    <s v="CUST_00190"/>
    <n v="2"/>
    <n v="287"/>
    <n v="369"/>
    <s v="Medium"/>
  </r>
  <r>
    <s v="TXN_01651"/>
    <d v="2024-11-06T00:00:00"/>
    <x v="0"/>
    <s v="Wednesday"/>
    <s v="STORE_040"/>
    <x v="0"/>
    <x v="0"/>
    <x v="4"/>
    <n v="957.75"/>
    <n v="9"/>
    <n v="8619.75"/>
    <n v="5"/>
    <n v="430.99"/>
    <n v="8188.76"/>
    <s v="Wallet"/>
    <s v="CUST_00716"/>
    <n v="5"/>
    <n v="430.98999999999978"/>
    <n v="909.86222222222227"/>
    <s v="Low"/>
  </r>
  <r>
    <s v="TXN_01652"/>
    <d v="2024-08-14T00:00:00"/>
    <x v="8"/>
    <s v="Wednesday"/>
    <s v="STORE_020"/>
    <x v="2"/>
    <x v="0"/>
    <x v="27"/>
    <n v="639.64"/>
    <n v="5"/>
    <n v="3198.2"/>
    <n v="10"/>
    <n v="319.82"/>
    <n v="2878.38"/>
    <s v="UPI"/>
    <s v="CUST_00336"/>
    <n v="5"/>
    <n v="319.81999999999971"/>
    <n v="575.67600000000004"/>
    <s v="Medium"/>
  </r>
  <r>
    <s v="TXN_01653"/>
    <d v="2024-07-31T00:00:00"/>
    <x v="11"/>
    <s v="Wednesday"/>
    <s v="STORE_008"/>
    <x v="4"/>
    <x v="4"/>
    <x v="17"/>
    <n v="267.55"/>
    <n v="6"/>
    <n v="1605.3"/>
    <n v="20"/>
    <n v="321.06"/>
    <n v="1284.24"/>
    <s v="Credit Card"/>
    <s v="CUST_00139"/>
    <n v="1"/>
    <n v="321.05999999999995"/>
    <n v="214.04"/>
    <s v="High"/>
  </r>
  <r>
    <s v="TXN_01654"/>
    <d v="2024-05-19T00:00:00"/>
    <x v="3"/>
    <s v="Sunday"/>
    <s v="STORE_045"/>
    <x v="2"/>
    <x v="5"/>
    <x v="34"/>
    <n v="4379.2700000000004"/>
    <n v="8"/>
    <n v="35034.160000000003"/>
    <n v="0"/>
    <n v="0"/>
    <n v="35034.160000000003"/>
    <s v="Debit Card"/>
    <s v="CUST_00360"/>
    <n v="4"/>
    <n v="0"/>
    <n v="4379.2700000000004"/>
    <s v="No Discount"/>
  </r>
  <r>
    <s v="TXN_01655"/>
    <d v="2024-04-20T00:00:00"/>
    <x v="4"/>
    <s v="Saturday"/>
    <s v="STORE_039"/>
    <x v="4"/>
    <x v="7"/>
    <x v="28"/>
    <n v="869.38"/>
    <n v="7"/>
    <n v="6085.66"/>
    <n v="15"/>
    <n v="912.85"/>
    <n v="5172.8100000000004"/>
    <s v="Credit Card"/>
    <s v="CUST_00771"/>
    <n v="2"/>
    <n v="912.84999999999945"/>
    <n v="738.97285714285715"/>
    <s v="Medium"/>
  </r>
  <r>
    <s v="TXN_01656"/>
    <d v="2024-09-19T00:00:00"/>
    <x v="9"/>
    <s v="Thursday"/>
    <s v="STORE_033"/>
    <x v="4"/>
    <x v="0"/>
    <x v="0"/>
    <n v="537"/>
    <n v="4"/>
    <n v="2148"/>
    <n v="5"/>
    <n v="107.4"/>
    <n v="2040.6"/>
    <s v="Debit Card"/>
    <s v="CUST_00267"/>
    <n v="1"/>
    <n v="107.40000000000009"/>
    <n v="510.15"/>
    <s v="Low"/>
  </r>
  <r>
    <s v="TXN_01657"/>
    <d v="2024-02-28T00:00:00"/>
    <x v="1"/>
    <s v="Wednesday"/>
    <s v="STORE_002"/>
    <x v="4"/>
    <x v="4"/>
    <x v="35"/>
    <n v="419.77"/>
    <n v="7"/>
    <n v="2938.39"/>
    <n v="5"/>
    <n v="146.91999999999999"/>
    <n v="2791.47"/>
    <s v="Credit Card"/>
    <s v="CUST_00672"/>
    <n v="1"/>
    <n v="146.92000000000007"/>
    <n v="398.78142857142853"/>
    <s v="Low"/>
  </r>
  <r>
    <s v="TXN_01658"/>
    <d v="2024-06-25T00:00:00"/>
    <x v="10"/>
    <s v="Tuesday"/>
    <s v="STORE_019"/>
    <x v="3"/>
    <x v="2"/>
    <x v="29"/>
    <n v="309.10000000000002"/>
    <n v="10"/>
    <n v="3091"/>
    <n v="0"/>
    <n v="0"/>
    <n v="3091"/>
    <s v="Debit Card"/>
    <s v="CUST_00385"/>
    <n v="1"/>
    <n v="0"/>
    <n v="309.10000000000002"/>
    <s v="No Discount"/>
  </r>
  <r>
    <s v="TXN_01659"/>
    <d v="2024-08-08T00:00:00"/>
    <x v="8"/>
    <s v="Thursday"/>
    <s v="STORE_021"/>
    <x v="3"/>
    <x v="2"/>
    <x v="7"/>
    <n v="529.37"/>
    <n v="7"/>
    <n v="3705.59"/>
    <n v="5"/>
    <n v="185.28"/>
    <n v="3520.31"/>
    <s v="UPI"/>
    <s v="CUST_00269"/>
    <n v="1"/>
    <n v="185.2800000000002"/>
    <n v="502.90142857142854"/>
    <s v="Low"/>
  </r>
  <r>
    <s v="TXN_01660"/>
    <d v="2024-02-26T00:00:00"/>
    <x v="1"/>
    <s v="Monday"/>
    <s v="STORE_032"/>
    <x v="3"/>
    <x v="5"/>
    <x v="34"/>
    <n v="4280.7700000000004"/>
    <n v="5"/>
    <n v="21403.85"/>
    <n v="0"/>
    <n v="0"/>
    <n v="21403.85"/>
    <s v="UPI"/>
    <s v="CUST_00349"/>
    <n v="3"/>
    <n v="0"/>
    <n v="4280.7699999999995"/>
    <s v="No Discount"/>
  </r>
  <r>
    <s v="TXN_01661"/>
    <d v="2024-05-25T00:00:00"/>
    <x v="3"/>
    <s v="Saturday"/>
    <s v="STORE_013"/>
    <x v="4"/>
    <x v="6"/>
    <x v="26"/>
    <n v="1175.93"/>
    <n v="5"/>
    <n v="5879.65"/>
    <n v="20"/>
    <n v="1175.93"/>
    <n v="4703.72"/>
    <s v="Cash"/>
    <s v="CUST_00825"/>
    <n v="2"/>
    <n v="1175.9299999999994"/>
    <n v="940.74400000000003"/>
    <s v="High"/>
  </r>
  <r>
    <s v="TXN_01662"/>
    <d v="2024-12-13T00:00:00"/>
    <x v="6"/>
    <s v="Friday"/>
    <s v="STORE_009"/>
    <x v="0"/>
    <x v="6"/>
    <x v="33"/>
    <n v="696.28"/>
    <n v="6"/>
    <n v="4177.68"/>
    <n v="0"/>
    <n v="0"/>
    <n v="4177.68"/>
    <s v="UPI"/>
    <s v="CUST_00789"/>
    <n v="4"/>
    <n v="0"/>
    <n v="696.28000000000009"/>
    <s v="No Discount"/>
  </r>
  <r>
    <s v="TXN_01663"/>
    <d v="2024-12-13T00:00:00"/>
    <x v="6"/>
    <s v="Friday"/>
    <s v="STORE_039"/>
    <x v="4"/>
    <x v="0"/>
    <x v="32"/>
    <n v="760.48"/>
    <n v="1"/>
    <n v="760.48"/>
    <n v="0"/>
    <n v="0"/>
    <n v="760.48"/>
    <s v="UPI"/>
    <s v="CUST_00356"/>
    <n v="3"/>
    <n v="0"/>
    <n v="760.48"/>
    <s v="No Discount"/>
  </r>
  <r>
    <s v="TXN_01664"/>
    <d v="2024-10-30T00:00:00"/>
    <x v="7"/>
    <s v="Wednesday"/>
    <s v="STORE_012"/>
    <x v="0"/>
    <x v="3"/>
    <x v="21"/>
    <n v="225.64"/>
    <n v="7"/>
    <n v="1579.48"/>
    <n v="0"/>
    <n v="0"/>
    <n v="1579.48"/>
    <s v="Debit Card"/>
    <s v="CUST_00302"/>
    <n v="1"/>
    <n v="0"/>
    <n v="225.64000000000001"/>
    <s v="No Discount"/>
  </r>
  <r>
    <s v="TXN_01665"/>
    <d v="2024-09-06T00:00:00"/>
    <x v="9"/>
    <s v="Friday"/>
    <s v="STORE_026"/>
    <x v="0"/>
    <x v="5"/>
    <x v="9"/>
    <n v="2712.73"/>
    <n v="8"/>
    <n v="21701.84"/>
    <n v="15"/>
    <n v="3255.28"/>
    <n v="18446.560000000001"/>
    <s v="UPI"/>
    <s v="CUST_00783"/>
    <n v="3"/>
    <n v="3255.2799999999988"/>
    <n v="2305.8200000000002"/>
    <s v="Medium"/>
  </r>
  <r>
    <s v="TXN_01666"/>
    <d v="2024-09-26T00:00:00"/>
    <x v="9"/>
    <s v="Thursday"/>
    <s v="STORE_018"/>
    <x v="2"/>
    <x v="4"/>
    <x v="17"/>
    <n v="180.3"/>
    <n v="1"/>
    <n v="180.3"/>
    <n v="0"/>
    <n v="0"/>
    <n v="180.3"/>
    <s v="Credit Card"/>
    <s v="CUST_00095"/>
    <n v="2"/>
    <n v="0"/>
    <n v="180.3"/>
    <s v="No Discount"/>
  </r>
  <r>
    <s v="TXN_01667"/>
    <d v="2024-12-07T00:00:00"/>
    <x v="6"/>
    <s v="Saturday"/>
    <s v="STORE_004"/>
    <x v="2"/>
    <x v="4"/>
    <x v="17"/>
    <n v="516.88"/>
    <n v="5"/>
    <n v="2584.4"/>
    <n v="10"/>
    <n v="258.44"/>
    <n v="2325.96"/>
    <s v="Wallet"/>
    <s v="CUST_00779"/>
    <n v="4"/>
    <n v="258.44000000000005"/>
    <n v="465.19200000000001"/>
    <s v="Medium"/>
  </r>
  <r>
    <s v="TXN_01668"/>
    <d v="2024-06-06T00:00:00"/>
    <x v="10"/>
    <s v="Thursday"/>
    <s v="STORE_036"/>
    <x v="0"/>
    <x v="6"/>
    <x v="30"/>
    <n v="1211.8800000000001"/>
    <n v="9"/>
    <n v="10906.92"/>
    <n v="5"/>
    <n v="545.35"/>
    <n v="10361.57"/>
    <s v="UPI"/>
    <s v="CUST_00201"/>
    <n v="4"/>
    <n v="545.35000000000036"/>
    <n v="1151.2855555555554"/>
    <s v="Low"/>
  </r>
  <r>
    <s v="TXN_01669"/>
    <d v="2024-01-24T00:00:00"/>
    <x v="2"/>
    <s v="Wednesday"/>
    <s v="STORE_029"/>
    <x v="0"/>
    <x v="7"/>
    <x v="38"/>
    <n v="993.41"/>
    <n v="6"/>
    <n v="5960.46"/>
    <n v="5"/>
    <n v="298.02"/>
    <n v="5662.44"/>
    <s v="Credit Card"/>
    <s v="CUST_00736"/>
    <n v="3"/>
    <n v="298.02000000000044"/>
    <n v="943.7399999999999"/>
    <s v="Low"/>
  </r>
  <r>
    <s v="TXN_01670"/>
    <d v="2024-04-22T00:00:00"/>
    <x v="4"/>
    <s v="Monday"/>
    <s v="STORE_011"/>
    <x v="2"/>
    <x v="0"/>
    <x v="32"/>
    <n v="882.19"/>
    <n v="7"/>
    <n v="6175.33"/>
    <n v="0"/>
    <n v="0"/>
    <n v="6175.33"/>
    <s v="Debit Card"/>
    <s v="CUST_00209"/>
    <n v="1"/>
    <n v="0"/>
    <n v="882.18999999999994"/>
    <s v="No Discount"/>
  </r>
  <r>
    <s v="TXN_01671"/>
    <d v="2024-07-21T00:00:00"/>
    <x v="11"/>
    <s v="Sunday"/>
    <s v="STORE_023"/>
    <x v="4"/>
    <x v="2"/>
    <x v="29"/>
    <n v="614.79"/>
    <n v="8"/>
    <n v="4918.32"/>
    <n v="0"/>
    <n v="0"/>
    <n v="4918.32"/>
    <s v="Debit Card"/>
    <s v="CUST_00748"/>
    <n v="4"/>
    <n v="0"/>
    <n v="614.79"/>
    <s v="No Discount"/>
  </r>
  <r>
    <s v="TXN_01672"/>
    <d v="2024-11-02T00:00:00"/>
    <x v="0"/>
    <s v="Saturday"/>
    <s v="STORE_017"/>
    <x v="4"/>
    <x v="0"/>
    <x v="27"/>
    <n v="238.47"/>
    <n v="9"/>
    <n v="2146.23"/>
    <n v="0"/>
    <n v="0"/>
    <n v="2146.23"/>
    <s v="Debit Card"/>
    <s v="CUST_00180"/>
    <n v="3"/>
    <n v="0"/>
    <n v="238.47"/>
    <s v="No Discount"/>
  </r>
  <r>
    <s v="TXN_01673"/>
    <d v="2024-01-29T00:00:00"/>
    <x v="2"/>
    <s v="Monday"/>
    <s v="STORE_021"/>
    <x v="1"/>
    <x v="2"/>
    <x v="29"/>
    <n v="186.38"/>
    <n v="9"/>
    <n v="1677.42"/>
    <n v="15"/>
    <n v="251.61"/>
    <n v="1425.81"/>
    <s v="Debit Card"/>
    <s v="CUST_00371"/>
    <n v="5"/>
    <n v="251.61000000000013"/>
    <n v="158.42333333333332"/>
    <s v="Medium"/>
  </r>
  <r>
    <s v="TXN_01674"/>
    <d v="2024-01-04T00:00:00"/>
    <x v="2"/>
    <s v="Thursday"/>
    <s v="STORE_019"/>
    <x v="3"/>
    <x v="2"/>
    <x v="2"/>
    <n v="122"/>
    <n v="7"/>
    <n v="854"/>
    <n v="0"/>
    <n v="0"/>
    <n v="854"/>
    <s v="Cash"/>
    <s v="CUST_00347"/>
    <n v="3"/>
    <n v="0"/>
    <n v="122"/>
    <s v="No Discount"/>
  </r>
  <r>
    <s v="TXN_01675"/>
    <d v="2024-04-14T00:00:00"/>
    <x v="4"/>
    <s v="Sunday"/>
    <s v="STORE_010"/>
    <x v="3"/>
    <x v="5"/>
    <x v="11"/>
    <n v="4382.04"/>
    <n v="2"/>
    <n v="8764.08"/>
    <n v="0"/>
    <n v="0"/>
    <n v="8764.08"/>
    <s v="Debit Card"/>
    <s v="CUST_00293"/>
    <n v="2"/>
    <n v="0"/>
    <n v="4382.04"/>
    <s v="No Discount"/>
  </r>
  <r>
    <s v="TXN_01676"/>
    <d v="2024-06-03T00:00:00"/>
    <x v="10"/>
    <s v="Monday"/>
    <s v="STORE_049"/>
    <x v="0"/>
    <x v="1"/>
    <x v="3"/>
    <n v="380.05"/>
    <n v="2"/>
    <n v="760.1"/>
    <n v="5"/>
    <n v="38.01"/>
    <n v="722.09"/>
    <s v="UPI"/>
    <s v="CUST_00249"/>
    <n v="4"/>
    <n v="38.009999999999991"/>
    <n v="361.04500000000002"/>
    <s v="Low"/>
  </r>
  <r>
    <s v="TXN_01677"/>
    <d v="2024-04-18T00:00:00"/>
    <x v="4"/>
    <s v="Thursday"/>
    <s v="STORE_025"/>
    <x v="0"/>
    <x v="2"/>
    <x v="29"/>
    <n v="442.5"/>
    <n v="1"/>
    <n v="442.5"/>
    <n v="0"/>
    <n v="0"/>
    <n v="442.5"/>
    <s v="Wallet"/>
    <s v="CUST_00840"/>
    <n v="5"/>
    <n v="0"/>
    <n v="442.5"/>
    <s v="No Discount"/>
  </r>
  <r>
    <s v="TXN_01678"/>
    <d v="2024-03-11T00:00:00"/>
    <x v="5"/>
    <s v="Monday"/>
    <s v="STORE_005"/>
    <x v="4"/>
    <x v="7"/>
    <x v="37"/>
    <n v="724.36"/>
    <n v="1"/>
    <n v="724.36"/>
    <n v="15"/>
    <n v="108.65"/>
    <n v="615.71"/>
    <s v="Wallet"/>
    <s v="CUST_00803"/>
    <n v="1"/>
    <n v="108.64999999999998"/>
    <n v="615.71"/>
    <s v="Medium"/>
  </r>
  <r>
    <s v="TXN_01679"/>
    <d v="2024-05-10T00:00:00"/>
    <x v="3"/>
    <s v="Friday"/>
    <s v="STORE_025"/>
    <x v="4"/>
    <x v="0"/>
    <x v="0"/>
    <n v="861.36"/>
    <n v="5"/>
    <n v="4306.8"/>
    <n v="0"/>
    <n v="0"/>
    <n v="4306.8"/>
    <s v="Debit Card"/>
    <s v="CUST_00812"/>
    <n v="1"/>
    <n v="0"/>
    <n v="861.36"/>
    <s v="No Discount"/>
  </r>
  <r>
    <s v="TXN_01680"/>
    <d v="2024-05-28T00:00:00"/>
    <x v="3"/>
    <s v="Tuesday"/>
    <s v="STORE_040"/>
    <x v="0"/>
    <x v="3"/>
    <x v="22"/>
    <n v="2213.7199999999998"/>
    <n v="9"/>
    <n v="19923.48"/>
    <n v="20"/>
    <n v="3984.7"/>
    <n v="15938.78"/>
    <s v="Debit Card"/>
    <s v="CUST_00339"/>
    <n v="3"/>
    <n v="3984.6999999999989"/>
    <n v="1770.9755555555557"/>
    <s v="High"/>
  </r>
  <r>
    <s v="TXN_01681"/>
    <d v="2024-06-16T00:00:00"/>
    <x v="10"/>
    <s v="Sunday"/>
    <s v="STORE_029"/>
    <x v="3"/>
    <x v="3"/>
    <x v="22"/>
    <n v="233.08"/>
    <n v="2"/>
    <n v="466.16"/>
    <n v="10"/>
    <n v="46.62"/>
    <n v="419.54"/>
    <s v="Credit Card"/>
    <s v="CUST_00518"/>
    <n v="4"/>
    <n v="46.620000000000005"/>
    <n v="209.77"/>
    <s v="Medium"/>
  </r>
  <r>
    <s v="TXN_01682"/>
    <d v="2024-03-02T00:00:00"/>
    <x v="5"/>
    <s v="Saturday"/>
    <s v="STORE_017"/>
    <x v="1"/>
    <x v="2"/>
    <x v="7"/>
    <n v="733.5"/>
    <n v="7"/>
    <n v="5134.5"/>
    <n v="0"/>
    <n v="0"/>
    <n v="5134.5"/>
    <s v="Debit Card"/>
    <s v="CUST_00939"/>
    <n v="3"/>
    <n v="0"/>
    <n v="733.5"/>
    <s v="No Discount"/>
  </r>
  <r>
    <s v="TXN_01683"/>
    <d v="2024-01-04T00:00:00"/>
    <x v="2"/>
    <s v="Thursday"/>
    <s v="STORE_035"/>
    <x v="1"/>
    <x v="4"/>
    <x v="35"/>
    <n v="267.85000000000002"/>
    <n v="1"/>
    <n v="267.85000000000002"/>
    <n v="20"/>
    <n v="53.57"/>
    <n v="214.28"/>
    <s v="Wallet"/>
    <s v="CUST_00705"/>
    <n v="2"/>
    <n v="53.570000000000022"/>
    <n v="214.28"/>
    <s v="High"/>
  </r>
  <r>
    <s v="TXN_01684"/>
    <d v="2024-09-11T00:00:00"/>
    <x v="9"/>
    <s v="Wednesday"/>
    <s v="STORE_001"/>
    <x v="1"/>
    <x v="7"/>
    <x v="37"/>
    <n v="1023.32"/>
    <n v="4"/>
    <n v="4093.28"/>
    <n v="5"/>
    <n v="204.66"/>
    <n v="3888.62"/>
    <s v="Wallet"/>
    <s v="CUST_00247"/>
    <n v="1"/>
    <n v="204.66000000000031"/>
    <n v="972.15499999999997"/>
    <s v="Low"/>
  </r>
  <r>
    <s v="TXN_01685"/>
    <d v="2024-08-08T00:00:00"/>
    <x v="8"/>
    <s v="Thursday"/>
    <s v="STORE_048"/>
    <x v="3"/>
    <x v="7"/>
    <x v="38"/>
    <n v="943.96"/>
    <n v="9"/>
    <n v="8495.64"/>
    <n v="10"/>
    <n v="849.56"/>
    <n v="7646.08"/>
    <s v="Cash"/>
    <s v="CUST_00824"/>
    <n v="5"/>
    <n v="849.55999999999949"/>
    <n v="849.56444444444446"/>
    <s v="Medium"/>
  </r>
  <r>
    <s v="TXN_01686"/>
    <d v="2024-03-30T00:00:00"/>
    <x v="5"/>
    <s v="Saturday"/>
    <s v="STORE_020"/>
    <x v="1"/>
    <x v="0"/>
    <x v="27"/>
    <n v="622.16"/>
    <n v="3"/>
    <n v="1866.48"/>
    <n v="20"/>
    <n v="373.3"/>
    <n v="1493.18"/>
    <s v="Wallet"/>
    <s v="CUST_00493"/>
    <n v="1"/>
    <n v="373.29999999999995"/>
    <n v="497.72666666666669"/>
    <s v="High"/>
  </r>
  <r>
    <s v="TXN_01687"/>
    <d v="2024-03-07T00:00:00"/>
    <x v="5"/>
    <s v="Thursday"/>
    <s v="STORE_025"/>
    <x v="0"/>
    <x v="5"/>
    <x v="9"/>
    <n v="1418.62"/>
    <n v="8"/>
    <n v="11348.96"/>
    <n v="15"/>
    <n v="1702.34"/>
    <n v="9646.6200000000008"/>
    <s v="Debit Card"/>
    <s v="CUST_00038"/>
    <n v="3"/>
    <n v="1702.3399999999983"/>
    <n v="1205.8275000000001"/>
    <s v="Medium"/>
  </r>
  <r>
    <s v="TXN_01688"/>
    <d v="2024-07-13T00:00:00"/>
    <x v="11"/>
    <s v="Saturday"/>
    <s v="STORE_018"/>
    <x v="0"/>
    <x v="7"/>
    <x v="23"/>
    <n v="948.54"/>
    <n v="7"/>
    <n v="6639.78"/>
    <n v="15"/>
    <n v="995.97"/>
    <n v="5643.81"/>
    <s v="Cash"/>
    <s v="CUST_00927"/>
    <n v="2"/>
    <n v="995.96999999999935"/>
    <n v="806.25857142857149"/>
    <s v="Medium"/>
  </r>
  <r>
    <s v="TXN_01689"/>
    <d v="2024-09-29T00:00:00"/>
    <x v="9"/>
    <s v="Sunday"/>
    <s v="STORE_016"/>
    <x v="0"/>
    <x v="3"/>
    <x v="16"/>
    <n v="2016.35"/>
    <n v="10"/>
    <n v="20163.5"/>
    <n v="5"/>
    <n v="1008.18"/>
    <n v="19155.32"/>
    <s v="Debit Card"/>
    <s v="CUST_00582"/>
    <n v="5"/>
    <n v="1008.1800000000003"/>
    <n v="1915.5319999999999"/>
    <s v="Low"/>
  </r>
  <r>
    <s v="TXN_01690"/>
    <d v="2024-12-26T00:00:00"/>
    <x v="6"/>
    <s v="Thursday"/>
    <s v="STORE_011"/>
    <x v="4"/>
    <x v="7"/>
    <x v="38"/>
    <n v="1470.94"/>
    <n v="9"/>
    <n v="13238.46"/>
    <n v="5"/>
    <n v="661.92"/>
    <n v="12576.54"/>
    <s v="Credit Card"/>
    <s v="CUST_00216"/>
    <n v="4"/>
    <n v="661.91999999999825"/>
    <n v="1397.3933333333334"/>
    <s v="Low"/>
  </r>
  <r>
    <s v="TXN_01691"/>
    <d v="2024-04-27T00:00:00"/>
    <x v="4"/>
    <s v="Saturday"/>
    <s v="STORE_014"/>
    <x v="0"/>
    <x v="5"/>
    <x v="10"/>
    <n v="4467.74"/>
    <n v="1"/>
    <n v="4467.74"/>
    <n v="15"/>
    <n v="670.16"/>
    <n v="3797.58"/>
    <s v="Wallet"/>
    <s v="CUST_00150"/>
    <n v="5"/>
    <n v="670.15999999999985"/>
    <n v="3797.58"/>
    <s v="Medium"/>
  </r>
  <r>
    <s v="TXN_01692"/>
    <d v="2024-09-13T00:00:00"/>
    <x v="9"/>
    <s v="Friday"/>
    <s v="STORE_001"/>
    <x v="2"/>
    <x v="7"/>
    <x v="28"/>
    <n v="1279.46"/>
    <n v="1"/>
    <n v="1279.46"/>
    <n v="0"/>
    <n v="0"/>
    <n v="1279.46"/>
    <s v="Debit Card"/>
    <s v="CUST_00065"/>
    <n v="2"/>
    <n v="0"/>
    <n v="1279.46"/>
    <s v="No Discount"/>
  </r>
  <r>
    <s v="TXN_01693"/>
    <d v="2024-10-13T00:00:00"/>
    <x v="7"/>
    <s v="Sunday"/>
    <s v="STORE_041"/>
    <x v="4"/>
    <x v="0"/>
    <x v="4"/>
    <n v="547.17999999999995"/>
    <n v="2"/>
    <n v="1094.3599999999999"/>
    <n v="0"/>
    <n v="0"/>
    <n v="1094.3599999999999"/>
    <s v="Credit Card"/>
    <s v="CUST_00688"/>
    <n v="5"/>
    <n v="0"/>
    <n v="547.17999999999995"/>
    <s v="No Discount"/>
  </r>
  <r>
    <s v="TXN_01694"/>
    <d v="2024-12-08T00:00:00"/>
    <x v="6"/>
    <s v="Sunday"/>
    <s v="STORE_024"/>
    <x v="3"/>
    <x v="1"/>
    <x v="1"/>
    <n v="104.77"/>
    <n v="9"/>
    <n v="942.93"/>
    <n v="0"/>
    <n v="0"/>
    <n v="942.93"/>
    <s v="Cash"/>
    <s v="CUST_00816"/>
    <n v="2"/>
    <n v="0"/>
    <n v="104.77"/>
    <s v="No Discount"/>
  </r>
  <r>
    <s v="TXN_01695"/>
    <d v="2024-06-30T00:00:00"/>
    <x v="10"/>
    <s v="Sunday"/>
    <s v="STORE_042"/>
    <x v="0"/>
    <x v="7"/>
    <x v="24"/>
    <n v="374.05"/>
    <n v="4"/>
    <n v="1496.2"/>
    <n v="10"/>
    <n v="149.62"/>
    <n v="1346.58"/>
    <s v="Cash"/>
    <s v="CUST_00657"/>
    <n v="3"/>
    <n v="149.62000000000012"/>
    <n v="336.64499999999998"/>
    <s v="Medium"/>
  </r>
  <r>
    <s v="TXN_01696"/>
    <d v="2024-02-06T00:00:00"/>
    <x v="1"/>
    <s v="Tuesday"/>
    <s v="STORE_027"/>
    <x v="4"/>
    <x v="7"/>
    <x v="23"/>
    <n v="912.4"/>
    <n v="1"/>
    <n v="912.4"/>
    <n v="20"/>
    <n v="182.48"/>
    <n v="729.92"/>
    <s v="UPI"/>
    <s v="CUST_00657"/>
    <n v="3"/>
    <n v="182.48000000000002"/>
    <n v="729.92"/>
    <s v="High"/>
  </r>
  <r>
    <s v="TXN_01697"/>
    <d v="2024-07-22T00:00:00"/>
    <x v="11"/>
    <s v="Monday"/>
    <s v="STORE_044"/>
    <x v="2"/>
    <x v="5"/>
    <x v="11"/>
    <n v="2259.4499999999998"/>
    <n v="7"/>
    <n v="15816.15"/>
    <n v="20"/>
    <n v="3163.23"/>
    <n v="12652.92"/>
    <s v="Wallet"/>
    <s v="CUST_00036"/>
    <n v="3"/>
    <n v="3163.2299999999996"/>
    <n v="1807.56"/>
    <s v="High"/>
  </r>
  <r>
    <s v="TXN_01698"/>
    <d v="2024-01-22T00:00:00"/>
    <x v="2"/>
    <s v="Monday"/>
    <s v="STORE_001"/>
    <x v="1"/>
    <x v="6"/>
    <x v="14"/>
    <n v="1600"/>
    <n v="1"/>
    <n v="1600"/>
    <n v="5"/>
    <n v="80"/>
    <n v="1520"/>
    <s v="UPI"/>
    <s v="CUST_00837"/>
    <n v="2"/>
    <n v="80"/>
    <n v="1520"/>
    <s v="Low"/>
  </r>
  <r>
    <s v="TXN_01699"/>
    <d v="2024-08-11T00:00:00"/>
    <x v="8"/>
    <s v="Sunday"/>
    <s v="STORE_022"/>
    <x v="2"/>
    <x v="2"/>
    <x v="39"/>
    <n v="766.75"/>
    <n v="10"/>
    <n v="7667.5"/>
    <n v="5"/>
    <n v="383.38"/>
    <n v="7284.12"/>
    <s v="UPI"/>
    <s v="CUST_00925"/>
    <n v="1"/>
    <n v="383.38000000000011"/>
    <n v="728.41200000000003"/>
    <s v="Low"/>
  </r>
  <r>
    <s v="TXN_01700"/>
    <d v="2024-01-10T00:00:00"/>
    <x v="2"/>
    <s v="Wednesday"/>
    <s v="STORE_005"/>
    <x v="2"/>
    <x v="6"/>
    <x v="33"/>
    <n v="1149.28"/>
    <n v="7"/>
    <n v="8044.96"/>
    <n v="5"/>
    <n v="402.25"/>
    <n v="7642.71"/>
    <s v="Cash"/>
    <s v="CUST_00927"/>
    <n v="1"/>
    <n v="402.25"/>
    <n v="1091.8157142857142"/>
    <s v="Low"/>
  </r>
  <r>
    <s v="TXN_01701"/>
    <d v="2024-08-23T00:00:00"/>
    <x v="8"/>
    <s v="Friday"/>
    <s v="STORE_019"/>
    <x v="2"/>
    <x v="0"/>
    <x v="32"/>
    <n v="439.27"/>
    <n v="2"/>
    <n v="878.54"/>
    <n v="15"/>
    <n v="131.78"/>
    <n v="746.76"/>
    <s v="Credit Card"/>
    <s v="CUST_00828"/>
    <n v="2"/>
    <n v="131.77999999999997"/>
    <n v="373.38"/>
    <s v="Medium"/>
  </r>
  <r>
    <s v="TXN_01702"/>
    <d v="2024-02-09T00:00:00"/>
    <x v="1"/>
    <s v="Friday"/>
    <s v="STORE_050"/>
    <x v="4"/>
    <x v="1"/>
    <x v="3"/>
    <n v="195.77"/>
    <n v="7"/>
    <n v="1370.39"/>
    <n v="10"/>
    <n v="137.04"/>
    <n v="1233.3499999999999"/>
    <s v="Wallet"/>
    <s v="CUST_00481"/>
    <n v="3"/>
    <n v="137.04000000000019"/>
    <n v="176.19285714285712"/>
    <s v="Medium"/>
  </r>
  <r>
    <s v="TXN_01703"/>
    <d v="2024-06-09T00:00:00"/>
    <x v="10"/>
    <s v="Sunday"/>
    <s v="STORE_028"/>
    <x v="3"/>
    <x v="6"/>
    <x v="26"/>
    <n v="1422.76"/>
    <n v="6"/>
    <n v="8536.56"/>
    <n v="20"/>
    <n v="1707.31"/>
    <n v="6829.25"/>
    <s v="Wallet"/>
    <s v="CUST_00562"/>
    <n v="2"/>
    <n v="1707.3099999999995"/>
    <n v="1138.2083333333333"/>
    <s v="High"/>
  </r>
  <r>
    <s v="TXN_01704"/>
    <d v="2024-10-21T00:00:00"/>
    <x v="7"/>
    <s v="Monday"/>
    <s v="STORE_040"/>
    <x v="3"/>
    <x v="3"/>
    <x v="22"/>
    <n v="1751.09"/>
    <n v="7"/>
    <n v="12257.63"/>
    <n v="10"/>
    <n v="1225.76"/>
    <n v="11031.87"/>
    <s v="Wallet"/>
    <s v="CUST_00164"/>
    <n v="5"/>
    <n v="1225.7599999999984"/>
    <n v="1575.9814285714288"/>
    <s v="Medium"/>
  </r>
  <r>
    <s v="TXN_01705"/>
    <d v="2024-08-07T00:00:00"/>
    <x v="8"/>
    <s v="Wednesday"/>
    <s v="STORE_028"/>
    <x v="4"/>
    <x v="0"/>
    <x v="27"/>
    <n v="567.29"/>
    <n v="1"/>
    <n v="567.29"/>
    <n v="10"/>
    <n v="56.73"/>
    <n v="510.56"/>
    <s v="Debit Card"/>
    <s v="CUST_00569"/>
    <n v="5"/>
    <n v="56.729999999999961"/>
    <n v="510.56"/>
    <s v="Medium"/>
  </r>
  <r>
    <s v="TXN_01706"/>
    <d v="2024-10-20T00:00:00"/>
    <x v="7"/>
    <s v="Sunday"/>
    <s v="STORE_024"/>
    <x v="2"/>
    <x v="7"/>
    <x v="37"/>
    <n v="934.97"/>
    <n v="8"/>
    <n v="7479.76"/>
    <n v="20"/>
    <n v="1495.95"/>
    <n v="5983.81"/>
    <s v="Wallet"/>
    <s v="CUST_00380"/>
    <n v="1"/>
    <n v="1495.9499999999998"/>
    <n v="747.97625000000005"/>
    <s v="High"/>
  </r>
  <r>
    <s v="TXN_01707"/>
    <d v="2024-07-26T00:00:00"/>
    <x v="11"/>
    <s v="Friday"/>
    <s v="STORE_002"/>
    <x v="4"/>
    <x v="0"/>
    <x v="0"/>
    <n v="490.42"/>
    <n v="2"/>
    <n v="980.84"/>
    <n v="10"/>
    <n v="98.08"/>
    <n v="882.76"/>
    <s v="UPI"/>
    <s v="CUST_00243"/>
    <n v="4"/>
    <n v="98.080000000000041"/>
    <n v="441.38"/>
    <s v="Medium"/>
  </r>
  <r>
    <s v="TXN_01708"/>
    <d v="2024-12-29T00:00:00"/>
    <x v="6"/>
    <s v="Sunday"/>
    <s v="STORE_041"/>
    <x v="4"/>
    <x v="5"/>
    <x v="34"/>
    <n v="4773.07"/>
    <n v="3"/>
    <n v="14319.21"/>
    <n v="5"/>
    <n v="715.96"/>
    <n v="13603.25"/>
    <s v="Cash"/>
    <s v="CUST_00592"/>
    <n v="4"/>
    <n v="715.95999999999913"/>
    <n v="4534.416666666667"/>
    <s v="Low"/>
  </r>
  <r>
    <s v="TXN_01709"/>
    <d v="2024-11-23T00:00:00"/>
    <x v="0"/>
    <s v="Saturday"/>
    <s v="STORE_024"/>
    <x v="0"/>
    <x v="5"/>
    <x v="9"/>
    <n v="1058.77"/>
    <n v="2"/>
    <n v="2117.54"/>
    <n v="10"/>
    <n v="211.75"/>
    <n v="1905.79"/>
    <s v="Credit Card"/>
    <s v="CUST_00964"/>
    <n v="5"/>
    <n v="211.75"/>
    <n v="952.89499999999998"/>
    <s v="Medium"/>
  </r>
  <r>
    <s v="TXN_01710"/>
    <d v="2024-08-01T00:00:00"/>
    <x v="8"/>
    <s v="Thursday"/>
    <s v="STORE_032"/>
    <x v="3"/>
    <x v="7"/>
    <x v="37"/>
    <n v="733.45"/>
    <n v="9"/>
    <n v="6601.05"/>
    <n v="0"/>
    <n v="0"/>
    <n v="6601.05"/>
    <s v="Credit Card"/>
    <s v="CUST_00298"/>
    <n v="4"/>
    <n v="0"/>
    <n v="733.45"/>
    <s v="No Discount"/>
  </r>
  <r>
    <s v="TXN_01711"/>
    <d v="2024-05-28T00:00:00"/>
    <x v="3"/>
    <s v="Tuesday"/>
    <s v="STORE_007"/>
    <x v="4"/>
    <x v="7"/>
    <x v="38"/>
    <n v="885.93"/>
    <n v="7"/>
    <n v="6201.51"/>
    <n v="10"/>
    <n v="620.15"/>
    <n v="5581.36"/>
    <s v="Debit Card"/>
    <s v="CUST_00690"/>
    <n v="1"/>
    <n v="620.15000000000055"/>
    <n v="797.33714285714279"/>
    <s v="Medium"/>
  </r>
  <r>
    <s v="TXN_01712"/>
    <d v="2024-02-28T00:00:00"/>
    <x v="1"/>
    <s v="Wednesday"/>
    <s v="STORE_018"/>
    <x v="0"/>
    <x v="5"/>
    <x v="25"/>
    <n v="1367.61"/>
    <n v="10"/>
    <n v="13676.1"/>
    <n v="5"/>
    <n v="683.81"/>
    <n v="12992.29"/>
    <s v="Debit Card"/>
    <s v="CUST_00167"/>
    <n v="4"/>
    <n v="683.80999999999949"/>
    <n v="1299.229"/>
    <s v="Low"/>
  </r>
  <r>
    <s v="TXN_01713"/>
    <d v="2024-07-26T00:00:00"/>
    <x v="11"/>
    <s v="Friday"/>
    <s v="STORE_029"/>
    <x v="2"/>
    <x v="5"/>
    <x v="10"/>
    <n v="4772.1000000000004"/>
    <n v="6"/>
    <n v="28632.6"/>
    <n v="10"/>
    <n v="2863.26"/>
    <n v="25769.34"/>
    <s v="Wallet"/>
    <s v="CUST_00831"/>
    <n v="1"/>
    <n v="2863.2599999999984"/>
    <n v="4294.8900000000003"/>
    <s v="Medium"/>
  </r>
  <r>
    <s v="TXN_01714"/>
    <d v="2024-01-11T00:00:00"/>
    <x v="2"/>
    <s v="Thursday"/>
    <s v="STORE_044"/>
    <x v="1"/>
    <x v="2"/>
    <x v="39"/>
    <n v="286.48"/>
    <n v="3"/>
    <n v="859.44"/>
    <n v="0"/>
    <n v="0"/>
    <n v="859.44"/>
    <s v="Wallet"/>
    <s v="CUST_00382"/>
    <n v="3"/>
    <n v="0"/>
    <n v="286.48"/>
    <s v="No Discount"/>
  </r>
  <r>
    <s v="TXN_01715"/>
    <d v="2024-06-15T00:00:00"/>
    <x v="10"/>
    <s v="Saturday"/>
    <s v="STORE_010"/>
    <x v="0"/>
    <x v="1"/>
    <x v="36"/>
    <n v="193.53"/>
    <n v="9"/>
    <n v="1741.77"/>
    <n v="0"/>
    <n v="0"/>
    <n v="1741.77"/>
    <s v="Credit Card"/>
    <s v="CUST_00865"/>
    <n v="5"/>
    <n v="0"/>
    <n v="193.53"/>
    <s v="No Discount"/>
  </r>
  <r>
    <s v="TXN_01716"/>
    <d v="2024-03-28T00:00:00"/>
    <x v="5"/>
    <s v="Thursday"/>
    <s v="STORE_041"/>
    <x v="3"/>
    <x v="4"/>
    <x v="19"/>
    <n v="523.73"/>
    <n v="10"/>
    <n v="5237.3"/>
    <n v="0"/>
    <n v="0"/>
    <n v="5237.3"/>
    <s v="Credit Card"/>
    <s v="CUST_00225"/>
    <n v="1"/>
    <n v="0"/>
    <n v="523.73"/>
    <s v="No Discount"/>
  </r>
  <r>
    <s v="TXN_01717"/>
    <d v="2024-11-12T00:00:00"/>
    <x v="0"/>
    <s v="Tuesday"/>
    <s v="STORE_009"/>
    <x v="1"/>
    <x v="4"/>
    <x v="19"/>
    <n v="273.8"/>
    <n v="1"/>
    <n v="273.8"/>
    <n v="5"/>
    <n v="13.69"/>
    <n v="260.11"/>
    <s v="Debit Card"/>
    <s v="CUST_00868"/>
    <n v="2"/>
    <n v="13.689999999999998"/>
    <n v="260.11"/>
    <s v="Low"/>
  </r>
  <r>
    <s v="TXN_01718"/>
    <d v="2024-08-23T00:00:00"/>
    <x v="8"/>
    <s v="Friday"/>
    <s v="STORE_001"/>
    <x v="2"/>
    <x v="1"/>
    <x v="31"/>
    <n v="276.39"/>
    <n v="9"/>
    <n v="2487.5100000000002"/>
    <n v="10"/>
    <n v="248.75"/>
    <n v="2238.7600000000002"/>
    <s v="Cash"/>
    <s v="CUST_00092"/>
    <n v="3"/>
    <n v="248.75"/>
    <n v="248.75111111111113"/>
    <s v="Medium"/>
  </r>
  <r>
    <s v="TXN_01719"/>
    <d v="2024-12-19T00:00:00"/>
    <x v="6"/>
    <s v="Thursday"/>
    <s v="STORE_046"/>
    <x v="3"/>
    <x v="1"/>
    <x v="3"/>
    <n v="343.38"/>
    <n v="9"/>
    <n v="3090.42"/>
    <n v="0"/>
    <n v="0"/>
    <n v="3090.42"/>
    <s v="Debit Card"/>
    <s v="CUST_00247"/>
    <n v="3"/>
    <n v="0"/>
    <n v="343.38"/>
    <s v="No Discount"/>
  </r>
  <r>
    <s v="TXN_01720"/>
    <d v="2024-07-04T00:00:00"/>
    <x v="11"/>
    <s v="Thursday"/>
    <s v="STORE_001"/>
    <x v="3"/>
    <x v="7"/>
    <x v="38"/>
    <n v="1492.42"/>
    <n v="2"/>
    <n v="2984.84"/>
    <n v="5"/>
    <n v="149.24"/>
    <n v="2835.6"/>
    <s v="Wallet"/>
    <s v="CUST_00068"/>
    <n v="3"/>
    <n v="149.24000000000024"/>
    <n v="1417.8"/>
    <s v="Low"/>
  </r>
  <r>
    <s v="TXN_01721"/>
    <d v="2024-02-15T00:00:00"/>
    <x v="1"/>
    <s v="Thursday"/>
    <s v="STORE_024"/>
    <x v="2"/>
    <x v="6"/>
    <x v="15"/>
    <n v="1914.46"/>
    <n v="1"/>
    <n v="1914.46"/>
    <n v="0"/>
    <n v="0"/>
    <n v="1914.46"/>
    <s v="Credit Card"/>
    <s v="CUST_00626"/>
    <n v="5"/>
    <n v="0"/>
    <n v="1914.46"/>
    <s v="No Discount"/>
  </r>
  <r>
    <s v="TXN_01722"/>
    <d v="2024-08-11T00:00:00"/>
    <x v="8"/>
    <s v="Sunday"/>
    <s v="STORE_012"/>
    <x v="3"/>
    <x v="5"/>
    <x v="9"/>
    <n v="4543.63"/>
    <n v="2"/>
    <n v="9087.26"/>
    <n v="20"/>
    <n v="1817.45"/>
    <n v="7269.81"/>
    <s v="Credit Card"/>
    <s v="CUST_00083"/>
    <n v="3"/>
    <n v="1817.4499999999998"/>
    <n v="3634.9050000000002"/>
    <s v="High"/>
  </r>
  <r>
    <s v="TXN_01723"/>
    <d v="2024-02-24T00:00:00"/>
    <x v="1"/>
    <s v="Saturday"/>
    <s v="STORE_013"/>
    <x v="2"/>
    <x v="6"/>
    <x v="15"/>
    <n v="841.12"/>
    <n v="8"/>
    <n v="6728.96"/>
    <n v="0"/>
    <n v="0"/>
    <n v="6728.96"/>
    <s v="Wallet"/>
    <s v="CUST_00034"/>
    <n v="2"/>
    <n v="0"/>
    <n v="841.12"/>
    <s v="No Discount"/>
  </r>
  <r>
    <s v="TXN_01724"/>
    <d v="2024-05-04T00:00:00"/>
    <x v="3"/>
    <s v="Saturday"/>
    <s v="STORE_031"/>
    <x v="1"/>
    <x v="1"/>
    <x v="36"/>
    <n v="414.35"/>
    <n v="10"/>
    <n v="4143.5"/>
    <n v="0"/>
    <n v="0"/>
    <n v="4143.5"/>
    <s v="Credit Card"/>
    <s v="CUST_00928"/>
    <n v="1"/>
    <n v="0"/>
    <n v="414.35"/>
    <s v="No Discount"/>
  </r>
  <r>
    <s v="TXN_01725"/>
    <d v="2024-08-11T00:00:00"/>
    <x v="8"/>
    <s v="Sunday"/>
    <s v="STORE_015"/>
    <x v="0"/>
    <x v="7"/>
    <x v="23"/>
    <n v="988.8"/>
    <n v="5"/>
    <n v="4944"/>
    <n v="10"/>
    <n v="494.4"/>
    <n v="4449.6000000000004"/>
    <s v="Cash"/>
    <s v="CUST_00817"/>
    <n v="3"/>
    <n v="494.39999999999964"/>
    <n v="889.92000000000007"/>
    <s v="Medium"/>
  </r>
  <r>
    <s v="TXN_01726"/>
    <d v="2024-10-28T00:00:00"/>
    <x v="7"/>
    <s v="Monday"/>
    <s v="STORE_009"/>
    <x v="4"/>
    <x v="1"/>
    <x v="1"/>
    <n v="316.89"/>
    <n v="10"/>
    <n v="3168.9"/>
    <n v="0"/>
    <n v="0"/>
    <n v="3168.9"/>
    <s v="UPI"/>
    <s v="CUST_00264"/>
    <n v="3"/>
    <n v="0"/>
    <n v="316.89"/>
    <s v="No Discount"/>
  </r>
  <r>
    <s v="TXN_01727"/>
    <d v="2024-07-24T00:00:00"/>
    <x v="11"/>
    <s v="Wednesday"/>
    <s v="STORE_047"/>
    <x v="4"/>
    <x v="2"/>
    <x v="13"/>
    <n v="636.19000000000005"/>
    <n v="7"/>
    <n v="4453.33"/>
    <n v="20"/>
    <n v="890.67"/>
    <n v="3562.66"/>
    <s v="Credit Card"/>
    <s v="CUST_00948"/>
    <n v="5"/>
    <n v="890.67000000000007"/>
    <n v="508.95142857142855"/>
    <s v="High"/>
  </r>
  <r>
    <s v="TXN_01728"/>
    <d v="2024-09-25T00:00:00"/>
    <x v="9"/>
    <s v="Wednesday"/>
    <s v="STORE_014"/>
    <x v="2"/>
    <x v="5"/>
    <x v="9"/>
    <n v="1808.74"/>
    <n v="5"/>
    <n v="9043.7000000000007"/>
    <n v="20"/>
    <n v="1808.74"/>
    <n v="7234.96"/>
    <s v="Wallet"/>
    <s v="CUST_00037"/>
    <n v="1"/>
    <n v="1808.7400000000007"/>
    <n v="1446.992"/>
    <s v="High"/>
  </r>
  <r>
    <s v="TXN_01729"/>
    <d v="2024-02-10T00:00:00"/>
    <x v="1"/>
    <s v="Saturday"/>
    <s v="STORE_026"/>
    <x v="0"/>
    <x v="2"/>
    <x v="39"/>
    <n v="131.78"/>
    <n v="6"/>
    <n v="790.68"/>
    <n v="20"/>
    <n v="158.13999999999999"/>
    <n v="632.54"/>
    <s v="Wallet"/>
    <s v="CUST_00702"/>
    <n v="5"/>
    <n v="158.13999999999999"/>
    <n v="105.42333333333333"/>
    <s v="High"/>
  </r>
  <r>
    <s v="TXN_01730"/>
    <d v="2024-07-21T00:00:00"/>
    <x v="11"/>
    <s v="Sunday"/>
    <s v="STORE_017"/>
    <x v="4"/>
    <x v="5"/>
    <x v="34"/>
    <n v="2873.09"/>
    <n v="5"/>
    <n v="14365.45"/>
    <n v="0"/>
    <n v="0"/>
    <n v="14365.45"/>
    <s v="Cash"/>
    <s v="CUST_00783"/>
    <n v="4"/>
    <n v="0"/>
    <n v="2873.09"/>
    <s v="No Discount"/>
  </r>
  <r>
    <s v="TXN_01731"/>
    <d v="2024-06-07T00:00:00"/>
    <x v="10"/>
    <s v="Friday"/>
    <s v="STORE_026"/>
    <x v="1"/>
    <x v="3"/>
    <x v="22"/>
    <n v="2639.8"/>
    <n v="3"/>
    <n v="7919.4"/>
    <n v="5"/>
    <n v="395.97"/>
    <n v="7523.43"/>
    <s v="Wallet"/>
    <s v="CUST_00559"/>
    <n v="1"/>
    <n v="395.96999999999935"/>
    <n v="2507.81"/>
    <s v="Low"/>
  </r>
  <r>
    <s v="TXN_01732"/>
    <d v="2024-06-22T00:00:00"/>
    <x v="10"/>
    <s v="Saturday"/>
    <s v="STORE_015"/>
    <x v="1"/>
    <x v="0"/>
    <x v="18"/>
    <n v="796.27"/>
    <n v="8"/>
    <n v="6370.16"/>
    <n v="0"/>
    <n v="0"/>
    <n v="6370.16"/>
    <s v="Wallet"/>
    <s v="CUST_00913"/>
    <n v="5"/>
    <n v="0"/>
    <n v="796.27"/>
    <s v="No Discount"/>
  </r>
  <r>
    <s v="TXN_01733"/>
    <d v="2024-04-23T00:00:00"/>
    <x v="4"/>
    <s v="Tuesday"/>
    <s v="STORE_015"/>
    <x v="3"/>
    <x v="2"/>
    <x v="7"/>
    <n v="452.37"/>
    <n v="9"/>
    <n v="4071.33"/>
    <n v="0"/>
    <n v="0"/>
    <n v="4071.33"/>
    <s v="Debit Card"/>
    <s v="CUST_00944"/>
    <n v="3"/>
    <n v="0"/>
    <n v="452.37"/>
    <s v="No Discount"/>
  </r>
  <r>
    <s v="TXN_01734"/>
    <d v="2024-06-19T00:00:00"/>
    <x v="10"/>
    <s v="Wednesday"/>
    <s v="STORE_004"/>
    <x v="3"/>
    <x v="2"/>
    <x v="13"/>
    <n v="740.5"/>
    <n v="9"/>
    <n v="6664.5"/>
    <n v="0"/>
    <n v="0"/>
    <n v="6664.5"/>
    <s v="Cash"/>
    <s v="CUST_00836"/>
    <n v="3"/>
    <n v="0"/>
    <n v="740.5"/>
    <s v="No Discount"/>
  </r>
  <r>
    <s v="TXN_01735"/>
    <d v="2024-03-27T00:00:00"/>
    <x v="5"/>
    <s v="Wednesday"/>
    <s v="STORE_022"/>
    <x v="1"/>
    <x v="1"/>
    <x v="6"/>
    <n v="367.11"/>
    <n v="7"/>
    <n v="2569.77"/>
    <n v="0"/>
    <n v="0"/>
    <n v="2569.77"/>
    <s v="UPI"/>
    <s v="CUST_00082"/>
    <n v="5"/>
    <n v="0"/>
    <n v="367.11"/>
    <s v="No Discount"/>
  </r>
  <r>
    <s v="TXN_01736"/>
    <d v="2024-02-09T00:00:00"/>
    <x v="1"/>
    <s v="Friday"/>
    <s v="STORE_003"/>
    <x v="4"/>
    <x v="4"/>
    <x v="19"/>
    <n v="221.76"/>
    <n v="10"/>
    <n v="2217.6"/>
    <n v="0"/>
    <n v="0"/>
    <n v="2217.6"/>
    <s v="Credit Card"/>
    <s v="CUST_00960"/>
    <n v="5"/>
    <n v="0"/>
    <n v="221.76"/>
    <s v="No Discount"/>
  </r>
  <r>
    <s v="TXN_01737"/>
    <d v="2024-09-18T00:00:00"/>
    <x v="9"/>
    <s v="Wednesday"/>
    <s v="STORE_043"/>
    <x v="4"/>
    <x v="4"/>
    <x v="35"/>
    <n v="198.21"/>
    <n v="8"/>
    <n v="1585.68"/>
    <n v="15"/>
    <n v="237.85"/>
    <n v="1347.83"/>
    <s v="Cash"/>
    <s v="CUST_00105"/>
    <n v="1"/>
    <n v="237.85000000000014"/>
    <n v="168.47874999999999"/>
    <s v="Medium"/>
  </r>
  <r>
    <s v="TXN_01738"/>
    <d v="2024-11-20T00:00:00"/>
    <x v="0"/>
    <s v="Wednesday"/>
    <s v="STORE_007"/>
    <x v="4"/>
    <x v="3"/>
    <x v="21"/>
    <n v="2862.92"/>
    <n v="2"/>
    <n v="5725.84"/>
    <n v="5"/>
    <n v="286.29000000000002"/>
    <n v="5439.55"/>
    <s v="Wallet"/>
    <s v="CUST_00704"/>
    <n v="4"/>
    <n v="286.28999999999996"/>
    <n v="2719.7750000000001"/>
    <s v="Low"/>
  </r>
  <r>
    <s v="TXN_01739"/>
    <d v="2024-02-28T00:00:00"/>
    <x v="1"/>
    <s v="Wednesday"/>
    <s v="STORE_004"/>
    <x v="0"/>
    <x v="6"/>
    <x v="14"/>
    <n v="992.8"/>
    <n v="5"/>
    <n v="4964"/>
    <n v="15"/>
    <n v="744.6"/>
    <n v="4219.3999999999996"/>
    <s v="UPI"/>
    <s v="CUST_00173"/>
    <n v="4"/>
    <n v="744.60000000000036"/>
    <n v="843.87999999999988"/>
    <s v="Medium"/>
  </r>
  <r>
    <s v="TXN_01740"/>
    <d v="2024-09-28T00:00:00"/>
    <x v="9"/>
    <s v="Saturday"/>
    <s v="STORE_045"/>
    <x v="2"/>
    <x v="6"/>
    <x v="33"/>
    <n v="1575.63"/>
    <n v="6"/>
    <n v="9453.7800000000007"/>
    <n v="0"/>
    <n v="0"/>
    <n v="9453.7800000000007"/>
    <s v="Cash"/>
    <s v="CUST_00699"/>
    <n v="3"/>
    <n v="0"/>
    <n v="1575.63"/>
    <s v="No Discount"/>
  </r>
  <r>
    <s v="TXN_01741"/>
    <d v="2024-09-18T00:00:00"/>
    <x v="9"/>
    <s v="Wednesday"/>
    <s v="STORE_037"/>
    <x v="1"/>
    <x v="5"/>
    <x v="34"/>
    <n v="4571.88"/>
    <n v="3"/>
    <n v="13715.64"/>
    <n v="0"/>
    <n v="0"/>
    <n v="13715.64"/>
    <s v="UPI"/>
    <s v="CUST_00893"/>
    <n v="3"/>
    <n v="0"/>
    <n v="4571.88"/>
    <s v="No Discount"/>
  </r>
  <r>
    <s v="TXN_01742"/>
    <d v="2024-04-09T00:00:00"/>
    <x v="4"/>
    <s v="Tuesday"/>
    <s v="STORE_021"/>
    <x v="2"/>
    <x v="6"/>
    <x v="30"/>
    <n v="736.86"/>
    <n v="7"/>
    <n v="5158.0200000000004"/>
    <n v="20"/>
    <n v="1031.5999999999999"/>
    <n v="4126.42"/>
    <s v="Credit Card"/>
    <s v="CUST_00346"/>
    <n v="1"/>
    <n v="1031.6000000000004"/>
    <n v="589.48857142857139"/>
    <s v="High"/>
  </r>
  <r>
    <s v="TXN_01743"/>
    <d v="2024-06-27T00:00:00"/>
    <x v="10"/>
    <s v="Thursday"/>
    <s v="STORE_029"/>
    <x v="4"/>
    <x v="3"/>
    <x v="12"/>
    <n v="2738.22"/>
    <n v="6"/>
    <n v="16429.32"/>
    <n v="20"/>
    <n v="3285.86"/>
    <n v="13143.46"/>
    <s v="Wallet"/>
    <s v="CUST_00348"/>
    <n v="3"/>
    <n v="3285.8600000000006"/>
    <n v="2190.5766666666664"/>
    <s v="High"/>
  </r>
  <r>
    <s v="TXN_01744"/>
    <d v="2024-06-28T00:00:00"/>
    <x v="10"/>
    <s v="Friday"/>
    <s v="STORE_009"/>
    <x v="3"/>
    <x v="6"/>
    <x v="33"/>
    <n v="923.78"/>
    <n v="8"/>
    <n v="7390.24"/>
    <n v="0"/>
    <n v="0"/>
    <n v="7390.24"/>
    <s v="UPI"/>
    <s v="CUST_00610"/>
    <n v="2"/>
    <n v="0"/>
    <n v="923.78"/>
    <s v="No Discount"/>
  </r>
  <r>
    <s v="TXN_01745"/>
    <d v="2024-11-26T00:00:00"/>
    <x v="0"/>
    <s v="Tuesday"/>
    <s v="STORE_015"/>
    <x v="2"/>
    <x v="6"/>
    <x v="15"/>
    <n v="1562.45"/>
    <n v="10"/>
    <n v="15624.5"/>
    <n v="15"/>
    <n v="2343.67"/>
    <n v="13280.83"/>
    <s v="Cash"/>
    <s v="CUST_00050"/>
    <n v="1"/>
    <n v="2343.67"/>
    <n v="1328.0830000000001"/>
    <s v="Medium"/>
  </r>
  <r>
    <s v="TXN_01746"/>
    <d v="2024-03-16T00:00:00"/>
    <x v="5"/>
    <s v="Saturday"/>
    <s v="STORE_014"/>
    <x v="4"/>
    <x v="6"/>
    <x v="33"/>
    <n v="931.77"/>
    <n v="10"/>
    <n v="9317.7000000000007"/>
    <n v="0"/>
    <n v="0"/>
    <n v="9317.7000000000007"/>
    <s v="Cash"/>
    <s v="CUST_00122"/>
    <n v="1"/>
    <n v="0"/>
    <n v="931.7700000000001"/>
    <s v="No Discount"/>
  </r>
  <r>
    <s v="TXN_01747"/>
    <d v="2024-04-30T00:00:00"/>
    <x v="4"/>
    <s v="Tuesday"/>
    <s v="STORE_033"/>
    <x v="4"/>
    <x v="6"/>
    <x v="15"/>
    <n v="1022.31"/>
    <n v="1"/>
    <n v="1022.31"/>
    <n v="0"/>
    <n v="0"/>
    <n v="1022.31"/>
    <s v="UPI"/>
    <s v="CUST_00716"/>
    <n v="1"/>
    <n v="0"/>
    <n v="1022.31"/>
    <s v="No Discount"/>
  </r>
  <r>
    <s v="TXN_01748"/>
    <d v="2024-02-22T00:00:00"/>
    <x v="1"/>
    <s v="Thursday"/>
    <s v="STORE_015"/>
    <x v="1"/>
    <x v="2"/>
    <x v="2"/>
    <n v="150.41"/>
    <n v="5"/>
    <n v="752.05"/>
    <n v="15"/>
    <n v="112.81"/>
    <n v="639.24"/>
    <s v="Wallet"/>
    <s v="CUST_00902"/>
    <n v="1"/>
    <n v="112.80999999999995"/>
    <n v="127.848"/>
    <s v="Medium"/>
  </r>
  <r>
    <s v="TXN_01749"/>
    <d v="2024-03-15T00:00:00"/>
    <x v="5"/>
    <s v="Friday"/>
    <s v="STORE_010"/>
    <x v="2"/>
    <x v="5"/>
    <x v="10"/>
    <n v="2436.6999999999998"/>
    <n v="4"/>
    <n v="9746.7999999999993"/>
    <n v="0"/>
    <n v="0"/>
    <n v="9746.7999999999993"/>
    <s v="Wallet"/>
    <s v="CUST_00371"/>
    <n v="3"/>
    <n v="0"/>
    <n v="2436.6999999999998"/>
    <s v="No Discount"/>
  </r>
  <r>
    <s v="TXN_01750"/>
    <d v="2024-05-11T00:00:00"/>
    <x v="3"/>
    <s v="Saturday"/>
    <s v="STORE_001"/>
    <x v="2"/>
    <x v="0"/>
    <x v="18"/>
    <n v="226.61"/>
    <n v="7"/>
    <n v="1586.27"/>
    <n v="5"/>
    <n v="79.31"/>
    <n v="1506.96"/>
    <s v="Wallet"/>
    <s v="CUST_00408"/>
    <n v="5"/>
    <n v="79.309999999999945"/>
    <n v="215.28"/>
    <s v="Low"/>
  </r>
  <r>
    <s v="TXN_01751"/>
    <d v="2024-04-11T00:00:00"/>
    <x v="4"/>
    <s v="Thursday"/>
    <s v="STORE_017"/>
    <x v="2"/>
    <x v="0"/>
    <x v="27"/>
    <n v="247.03"/>
    <n v="9"/>
    <n v="2223.27"/>
    <n v="5"/>
    <n v="111.16"/>
    <n v="2112.11"/>
    <s v="UPI"/>
    <s v="CUST_00797"/>
    <n v="4"/>
    <n v="111.15999999999985"/>
    <n v="234.67888888888891"/>
    <s v="Low"/>
  </r>
  <r>
    <s v="TXN_01752"/>
    <d v="2024-03-29T00:00:00"/>
    <x v="5"/>
    <s v="Friday"/>
    <s v="STORE_037"/>
    <x v="1"/>
    <x v="3"/>
    <x v="5"/>
    <n v="1602.67"/>
    <n v="3"/>
    <n v="4808.01"/>
    <n v="15"/>
    <n v="721.2"/>
    <n v="4086.81"/>
    <s v="Debit Card"/>
    <s v="CUST_00315"/>
    <n v="2"/>
    <n v="721.20000000000027"/>
    <n v="1362.27"/>
    <s v="Medium"/>
  </r>
  <r>
    <s v="TXN_01753"/>
    <d v="2024-11-04T00:00:00"/>
    <x v="0"/>
    <s v="Monday"/>
    <s v="STORE_049"/>
    <x v="0"/>
    <x v="4"/>
    <x v="20"/>
    <n v="159.22999999999999"/>
    <n v="7"/>
    <n v="1114.6099999999999"/>
    <n v="5"/>
    <n v="55.73"/>
    <n v="1058.8800000000001"/>
    <s v="UPI"/>
    <s v="CUST_00343"/>
    <n v="4"/>
    <n v="55.729999999999791"/>
    <n v="151.26857142857145"/>
    <s v="Low"/>
  </r>
  <r>
    <s v="TXN_01754"/>
    <d v="2024-03-19T00:00:00"/>
    <x v="5"/>
    <s v="Tuesday"/>
    <s v="STORE_032"/>
    <x v="0"/>
    <x v="4"/>
    <x v="8"/>
    <n v="248.08"/>
    <n v="6"/>
    <n v="1488.48"/>
    <n v="20"/>
    <n v="297.7"/>
    <n v="1190.78"/>
    <s v="Credit Card"/>
    <s v="CUST_00389"/>
    <n v="1"/>
    <n v="297.70000000000005"/>
    <n v="198.46333333333334"/>
    <s v="High"/>
  </r>
  <r>
    <s v="TXN_01755"/>
    <d v="2024-12-01T00:00:00"/>
    <x v="6"/>
    <s v="Sunday"/>
    <s v="STORE_030"/>
    <x v="4"/>
    <x v="4"/>
    <x v="35"/>
    <n v="208.5"/>
    <n v="7"/>
    <n v="1459.5"/>
    <n v="0"/>
    <n v="0"/>
    <n v="1459.5"/>
    <s v="Cash"/>
    <s v="CUST_00261"/>
    <n v="1"/>
    <n v="0"/>
    <n v="208.5"/>
    <s v="No Discount"/>
  </r>
  <r>
    <s v="TXN_01756"/>
    <d v="2024-02-08T00:00:00"/>
    <x v="1"/>
    <s v="Thursday"/>
    <s v="STORE_015"/>
    <x v="0"/>
    <x v="5"/>
    <x v="10"/>
    <n v="1244.5899999999999"/>
    <n v="3"/>
    <n v="3733.77"/>
    <n v="15"/>
    <n v="560.07000000000005"/>
    <n v="3173.7"/>
    <s v="Wallet"/>
    <s v="CUST_00316"/>
    <n v="2"/>
    <n v="560.07000000000016"/>
    <n v="1057.8999999999999"/>
    <s v="Medium"/>
  </r>
  <r>
    <s v="TXN_01757"/>
    <d v="2024-03-31T00:00:00"/>
    <x v="5"/>
    <s v="Sunday"/>
    <s v="STORE_044"/>
    <x v="2"/>
    <x v="4"/>
    <x v="8"/>
    <n v="181.38"/>
    <n v="1"/>
    <n v="181.38"/>
    <n v="10"/>
    <n v="18.14"/>
    <n v="163.24"/>
    <s v="Credit Card"/>
    <s v="CUST_00365"/>
    <n v="4"/>
    <n v="18.139999999999986"/>
    <n v="163.24"/>
    <s v="Medium"/>
  </r>
  <r>
    <s v="TXN_01758"/>
    <d v="2024-11-17T00:00:00"/>
    <x v="0"/>
    <s v="Sunday"/>
    <s v="STORE_017"/>
    <x v="0"/>
    <x v="3"/>
    <x v="21"/>
    <n v="1984.18"/>
    <n v="9"/>
    <n v="17857.62"/>
    <n v="10"/>
    <n v="1785.76"/>
    <n v="16071.86"/>
    <s v="UPI"/>
    <s v="CUST_00015"/>
    <n v="5"/>
    <n v="1785.7599999999984"/>
    <n v="1785.7622222222224"/>
    <s v="Medium"/>
  </r>
  <r>
    <s v="TXN_01759"/>
    <d v="2024-09-09T00:00:00"/>
    <x v="9"/>
    <s v="Monday"/>
    <s v="STORE_040"/>
    <x v="2"/>
    <x v="5"/>
    <x v="34"/>
    <n v="1353.54"/>
    <n v="7"/>
    <n v="9474.7800000000007"/>
    <n v="5"/>
    <n v="473.74"/>
    <n v="9001.0400000000009"/>
    <s v="Debit Card"/>
    <s v="CUST_00289"/>
    <n v="2"/>
    <n v="473.73999999999978"/>
    <n v="1285.8628571428574"/>
    <s v="Low"/>
  </r>
  <r>
    <s v="TXN_01760"/>
    <d v="2024-08-25T00:00:00"/>
    <x v="8"/>
    <s v="Sunday"/>
    <s v="STORE_021"/>
    <x v="4"/>
    <x v="4"/>
    <x v="19"/>
    <n v="300.33999999999997"/>
    <n v="10"/>
    <n v="3003.4"/>
    <n v="10"/>
    <n v="300.33999999999997"/>
    <n v="2703.06"/>
    <s v="Wallet"/>
    <s v="CUST_00882"/>
    <n v="4"/>
    <n v="300.34000000000015"/>
    <n v="270.30599999999998"/>
    <s v="Medium"/>
  </r>
  <r>
    <s v="TXN_01761"/>
    <d v="2024-10-15T00:00:00"/>
    <x v="7"/>
    <s v="Tuesday"/>
    <s v="STORE_011"/>
    <x v="3"/>
    <x v="5"/>
    <x v="34"/>
    <n v="1683.97"/>
    <n v="10"/>
    <n v="16839.7"/>
    <n v="20"/>
    <n v="3367.94"/>
    <n v="13471.76"/>
    <s v="UPI"/>
    <s v="CUST_00048"/>
    <n v="3"/>
    <n v="3367.9400000000005"/>
    <n v="1347.1759999999999"/>
    <s v="High"/>
  </r>
  <r>
    <s v="TXN_01762"/>
    <d v="2024-10-23T00:00:00"/>
    <x v="7"/>
    <s v="Wednesday"/>
    <s v="STORE_030"/>
    <x v="1"/>
    <x v="3"/>
    <x v="12"/>
    <n v="1373.42"/>
    <n v="3"/>
    <n v="4120.26"/>
    <n v="20"/>
    <n v="824.05"/>
    <n v="3296.21"/>
    <s v="Credit Card"/>
    <s v="CUST_00363"/>
    <n v="2"/>
    <n v="824.05000000000018"/>
    <n v="1098.7366666666667"/>
    <s v="High"/>
  </r>
  <r>
    <s v="TXN_01763"/>
    <d v="2024-08-17T00:00:00"/>
    <x v="8"/>
    <s v="Saturday"/>
    <s v="STORE_001"/>
    <x v="3"/>
    <x v="5"/>
    <x v="34"/>
    <n v="2023.34"/>
    <n v="8"/>
    <n v="16186.72"/>
    <n v="0"/>
    <n v="0"/>
    <n v="16186.72"/>
    <s v="Wallet"/>
    <s v="CUST_00118"/>
    <n v="2"/>
    <n v="0"/>
    <n v="2023.34"/>
    <s v="No Discount"/>
  </r>
  <r>
    <s v="TXN_01764"/>
    <d v="2024-12-14T00:00:00"/>
    <x v="6"/>
    <s v="Saturday"/>
    <s v="STORE_012"/>
    <x v="0"/>
    <x v="7"/>
    <x v="24"/>
    <n v="1310.22"/>
    <n v="4"/>
    <n v="5240.88"/>
    <n v="15"/>
    <n v="786.13"/>
    <n v="4454.75"/>
    <s v="Wallet"/>
    <s v="CUST_00442"/>
    <n v="1"/>
    <n v="786.13000000000011"/>
    <n v="1113.6875"/>
    <s v="Medium"/>
  </r>
  <r>
    <s v="TXN_01765"/>
    <d v="2024-10-16T00:00:00"/>
    <x v="7"/>
    <s v="Wednesday"/>
    <s v="STORE_023"/>
    <x v="4"/>
    <x v="5"/>
    <x v="34"/>
    <n v="3588.14"/>
    <n v="10"/>
    <n v="35881.4"/>
    <n v="15"/>
    <n v="5382.21"/>
    <n v="30499.19"/>
    <s v="Debit Card"/>
    <s v="CUST_00805"/>
    <n v="1"/>
    <n v="5382.2100000000028"/>
    <n v="3049.9189999999999"/>
    <s v="Medium"/>
  </r>
  <r>
    <s v="TXN_01766"/>
    <d v="2024-11-25T00:00:00"/>
    <x v="0"/>
    <s v="Monday"/>
    <s v="STORE_037"/>
    <x v="2"/>
    <x v="7"/>
    <x v="23"/>
    <n v="987.42"/>
    <n v="8"/>
    <n v="7899.36"/>
    <n v="15"/>
    <n v="1184.9000000000001"/>
    <n v="6714.46"/>
    <s v="Credit Card"/>
    <s v="CUST_00445"/>
    <n v="3"/>
    <n v="1184.8999999999996"/>
    <n v="839.3075"/>
    <s v="Medium"/>
  </r>
  <r>
    <s v="TXN_01767"/>
    <d v="2024-11-21T00:00:00"/>
    <x v="0"/>
    <s v="Thursday"/>
    <s v="STORE_036"/>
    <x v="4"/>
    <x v="7"/>
    <x v="28"/>
    <n v="903.76"/>
    <n v="4"/>
    <n v="3615.04"/>
    <n v="10"/>
    <n v="361.5"/>
    <n v="3253.54"/>
    <s v="Cash"/>
    <s v="CUST_00084"/>
    <n v="3"/>
    <n v="361.5"/>
    <n v="813.38499999999999"/>
    <s v="Medium"/>
  </r>
  <r>
    <s v="TXN_01768"/>
    <d v="2024-11-15T00:00:00"/>
    <x v="0"/>
    <s v="Friday"/>
    <s v="STORE_036"/>
    <x v="4"/>
    <x v="4"/>
    <x v="17"/>
    <n v="487.33"/>
    <n v="8"/>
    <n v="3898.64"/>
    <n v="0"/>
    <n v="0"/>
    <n v="3898.64"/>
    <s v="Credit Card"/>
    <s v="CUST_00046"/>
    <n v="4"/>
    <n v="0"/>
    <n v="487.33"/>
    <s v="No Discount"/>
  </r>
  <r>
    <s v="TXN_01769"/>
    <d v="2024-06-14T00:00:00"/>
    <x v="10"/>
    <s v="Friday"/>
    <s v="STORE_005"/>
    <x v="4"/>
    <x v="6"/>
    <x v="15"/>
    <n v="1875.75"/>
    <n v="8"/>
    <n v="15006"/>
    <n v="10"/>
    <n v="1500.6"/>
    <n v="13505.4"/>
    <s v="Wallet"/>
    <s v="CUST_00385"/>
    <n v="2"/>
    <n v="1500.6000000000004"/>
    <n v="1688.175"/>
    <s v="Medium"/>
  </r>
  <r>
    <s v="TXN_01770"/>
    <d v="2024-11-17T00:00:00"/>
    <x v="0"/>
    <s v="Sunday"/>
    <s v="STORE_022"/>
    <x v="1"/>
    <x v="5"/>
    <x v="10"/>
    <n v="4634.46"/>
    <n v="8"/>
    <n v="37075.68"/>
    <n v="0"/>
    <n v="0"/>
    <n v="37075.68"/>
    <s v="Wallet"/>
    <s v="CUST_00888"/>
    <n v="3"/>
    <n v="0"/>
    <n v="4634.46"/>
    <s v="No Discount"/>
  </r>
  <r>
    <s v="TXN_01771"/>
    <d v="2024-06-10T00:00:00"/>
    <x v="10"/>
    <s v="Monday"/>
    <s v="STORE_001"/>
    <x v="2"/>
    <x v="6"/>
    <x v="30"/>
    <n v="1993.14"/>
    <n v="3"/>
    <n v="5979.42"/>
    <n v="0"/>
    <n v="0"/>
    <n v="5979.42"/>
    <s v="UPI"/>
    <s v="CUST_00182"/>
    <n v="2"/>
    <n v="0"/>
    <n v="1993.14"/>
    <s v="No Discount"/>
  </r>
  <r>
    <s v="TXN_01772"/>
    <d v="2024-03-18T00:00:00"/>
    <x v="5"/>
    <s v="Monday"/>
    <s v="STORE_043"/>
    <x v="0"/>
    <x v="3"/>
    <x v="16"/>
    <n v="1024.73"/>
    <n v="3"/>
    <n v="3074.19"/>
    <n v="15"/>
    <n v="461.13"/>
    <n v="2613.06"/>
    <s v="Debit Card"/>
    <s v="CUST_00061"/>
    <n v="2"/>
    <n v="461.13000000000011"/>
    <n v="871.02"/>
    <s v="Medium"/>
  </r>
  <r>
    <s v="TXN_01773"/>
    <d v="2024-08-13T00:00:00"/>
    <x v="8"/>
    <s v="Tuesday"/>
    <s v="STORE_048"/>
    <x v="4"/>
    <x v="2"/>
    <x v="2"/>
    <n v="294.2"/>
    <n v="8"/>
    <n v="2353.6"/>
    <n v="0"/>
    <n v="0"/>
    <n v="2353.6"/>
    <s v="Debit Card"/>
    <s v="CUST_00766"/>
    <n v="2"/>
    <n v="0"/>
    <n v="294.2"/>
    <s v="No Discount"/>
  </r>
  <r>
    <s v="TXN_01774"/>
    <d v="2024-02-04T00:00:00"/>
    <x v="1"/>
    <s v="Sunday"/>
    <s v="STORE_045"/>
    <x v="2"/>
    <x v="7"/>
    <x v="28"/>
    <n v="805.75"/>
    <n v="6"/>
    <n v="4834.5"/>
    <n v="10"/>
    <n v="483.45"/>
    <n v="4351.05"/>
    <s v="Wallet"/>
    <s v="CUST_00690"/>
    <n v="2"/>
    <n v="483.44999999999982"/>
    <n v="725.17500000000007"/>
    <s v="Medium"/>
  </r>
  <r>
    <s v="TXN_01775"/>
    <d v="2024-08-28T00:00:00"/>
    <x v="8"/>
    <s v="Wednesday"/>
    <s v="STORE_015"/>
    <x v="0"/>
    <x v="5"/>
    <x v="34"/>
    <n v="1510.32"/>
    <n v="4"/>
    <n v="6041.28"/>
    <n v="0"/>
    <n v="0"/>
    <n v="6041.28"/>
    <s v="Cash"/>
    <s v="CUST_00134"/>
    <n v="2"/>
    <n v="0"/>
    <n v="1510.32"/>
    <s v="No Discount"/>
  </r>
  <r>
    <s v="TXN_01776"/>
    <d v="2024-08-14T00:00:00"/>
    <x v="8"/>
    <s v="Wednesday"/>
    <s v="STORE_024"/>
    <x v="0"/>
    <x v="1"/>
    <x v="1"/>
    <n v="211.63"/>
    <n v="3"/>
    <n v="634.89"/>
    <n v="15"/>
    <n v="95.23"/>
    <n v="539.66"/>
    <s v="Credit Card"/>
    <s v="CUST_00043"/>
    <n v="2"/>
    <n v="95.230000000000018"/>
    <n v="179.88666666666666"/>
    <s v="Medium"/>
  </r>
  <r>
    <s v="TXN_01777"/>
    <d v="2024-11-19T00:00:00"/>
    <x v="0"/>
    <s v="Tuesday"/>
    <s v="STORE_026"/>
    <x v="0"/>
    <x v="5"/>
    <x v="10"/>
    <n v="1374.15"/>
    <n v="6"/>
    <n v="8244.9"/>
    <n v="0"/>
    <n v="0"/>
    <n v="8244.9"/>
    <s v="UPI"/>
    <s v="CUST_00003"/>
    <n v="3"/>
    <n v="0"/>
    <n v="1374.1499999999999"/>
    <s v="No Discount"/>
  </r>
  <r>
    <s v="TXN_01778"/>
    <d v="2024-06-04T00:00:00"/>
    <x v="10"/>
    <s v="Tuesday"/>
    <s v="STORE_030"/>
    <x v="1"/>
    <x v="6"/>
    <x v="15"/>
    <n v="1572.87"/>
    <n v="10"/>
    <n v="15728.7"/>
    <n v="0"/>
    <n v="0"/>
    <n v="15728.7"/>
    <s v="UPI"/>
    <s v="CUST_00408"/>
    <n v="4"/>
    <n v="0"/>
    <n v="1572.8700000000001"/>
    <s v="No Discount"/>
  </r>
  <r>
    <s v="TXN_01779"/>
    <d v="2024-05-20T00:00:00"/>
    <x v="3"/>
    <s v="Monday"/>
    <s v="STORE_042"/>
    <x v="0"/>
    <x v="7"/>
    <x v="23"/>
    <n v="944.72"/>
    <n v="3"/>
    <n v="2834.16"/>
    <n v="20"/>
    <n v="566.83000000000004"/>
    <n v="2267.33"/>
    <s v="Credit Card"/>
    <s v="CUST_00613"/>
    <n v="1"/>
    <n v="566.82999999999993"/>
    <n v="755.77666666666664"/>
    <s v="High"/>
  </r>
  <r>
    <s v="TXN_01780"/>
    <d v="2024-10-29T00:00:00"/>
    <x v="7"/>
    <s v="Tuesday"/>
    <s v="STORE_039"/>
    <x v="2"/>
    <x v="7"/>
    <x v="37"/>
    <n v="1119.1600000000001"/>
    <n v="2"/>
    <n v="2238.3200000000002"/>
    <n v="5"/>
    <n v="111.92"/>
    <n v="2126.4"/>
    <s v="Cash"/>
    <s v="CUST_00882"/>
    <n v="4"/>
    <n v="111.92000000000007"/>
    <n v="1063.2"/>
    <s v="Low"/>
  </r>
  <r>
    <s v="TXN_01781"/>
    <d v="2024-01-29T00:00:00"/>
    <x v="2"/>
    <s v="Monday"/>
    <s v="STORE_017"/>
    <x v="0"/>
    <x v="5"/>
    <x v="10"/>
    <n v="3996.3"/>
    <n v="9"/>
    <n v="35966.699999999997"/>
    <n v="0"/>
    <n v="0"/>
    <n v="35966.699999999997"/>
    <s v="Credit Card"/>
    <s v="CUST_00863"/>
    <n v="1"/>
    <n v="0"/>
    <n v="3996.2999999999997"/>
    <s v="No Discount"/>
  </r>
  <r>
    <s v="TXN_01782"/>
    <d v="2024-06-29T00:00:00"/>
    <x v="10"/>
    <s v="Saturday"/>
    <s v="STORE_006"/>
    <x v="0"/>
    <x v="2"/>
    <x v="2"/>
    <n v="534.05999999999995"/>
    <n v="7"/>
    <n v="3738.42"/>
    <n v="0"/>
    <n v="0"/>
    <n v="3738.42"/>
    <s v="Debit Card"/>
    <s v="CUST_00962"/>
    <n v="5"/>
    <n v="0"/>
    <n v="534.06000000000006"/>
    <s v="No Discount"/>
  </r>
  <r>
    <s v="TXN_01783"/>
    <d v="2024-09-16T00:00:00"/>
    <x v="9"/>
    <s v="Monday"/>
    <s v="STORE_036"/>
    <x v="1"/>
    <x v="7"/>
    <x v="37"/>
    <n v="884.22"/>
    <n v="9"/>
    <n v="7957.98"/>
    <n v="0"/>
    <n v="0"/>
    <n v="7957.98"/>
    <s v="Cash"/>
    <s v="CUST_00993"/>
    <n v="4"/>
    <n v="0"/>
    <n v="884.21999999999991"/>
    <s v="No Discount"/>
  </r>
  <r>
    <s v="TXN_01784"/>
    <d v="2024-02-07T00:00:00"/>
    <x v="1"/>
    <s v="Wednesday"/>
    <s v="STORE_010"/>
    <x v="2"/>
    <x v="0"/>
    <x v="4"/>
    <n v="568.4"/>
    <n v="1"/>
    <n v="568.4"/>
    <n v="5"/>
    <n v="28.42"/>
    <n v="539.98"/>
    <s v="Debit Card"/>
    <s v="CUST_00585"/>
    <n v="4"/>
    <n v="28.419999999999959"/>
    <n v="539.98"/>
    <s v="Low"/>
  </r>
  <r>
    <s v="TXN_01785"/>
    <d v="2024-06-07T00:00:00"/>
    <x v="10"/>
    <s v="Friday"/>
    <s v="STORE_020"/>
    <x v="2"/>
    <x v="0"/>
    <x v="32"/>
    <n v="489.34"/>
    <n v="5"/>
    <n v="2446.6999999999998"/>
    <n v="10"/>
    <n v="244.67"/>
    <n v="2202.0300000000002"/>
    <s v="Cash"/>
    <s v="CUST_00452"/>
    <n v="3"/>
    <n v="244.66999999999962"/>
    <n v="440.40600000000006"/>
    <s v="Medium"/>
  </r>
  <r>
    <s v="TXN_01786"/>
    <d v="2024-08-24T00:00:00"/>
    <x v="8"/>
    <s v="Saturday"/>
    <s v="STORE_037"/>
    <x v="3"/>
    <x v="0"/>
    <x v="4"/>
    <n v="983.76"/>
    <n v="5"/>
    <n v="4918.8"/>
    <n v="10"/>
    <n v="491.88"/>
    <n v="4426.92"/>
    <s v="Debit Card"/>
    <s v="CUST_00353"/>
    <n v="2"/>
    <n v="491.88000000000011"/>
    <n v="885.38400000000001"/>
    <s v="Medium"/>
  </r>
  <r>
    <s v="TXN_01787"/>
    <d v="2024-08-19T00:00:00"/>
    <x v="8"/>
    <s v="Monday"/>
    <s v="STORE_009"/>
    <x v="0"/>
    <x v="6"/>
    <x v="15"/>
    <n v="1470.83"/>
    <n v="7"/>
    <n v="10295.81"/>
    <n v="0"/>
    <n v="0"/>
    <n v="10295.81"/>
    <s v="UPI"/>
    <s v="CUST_00395"/>
    <n v="2"/>
    <n v="0"/>
    <n v="1470.83"/>
    <s v="No Discount"/>
  </r>
  <r>
    <s v="TXN_01788"/>
    <d v="2024-01-20T00:00:00"/>
    <x v="2"/>
    <s v="Saturday"/>
    <s v="STORE_017"/>
    <x v="0"/>
    <x v="5"/>
    <x v="9"/>
    <n v="4528.26"/>
    <n v="2"/>
    <n v="9056.52"/>
    <n v="0"/>
    <n v="0"/>
    <n v="9056.52"/>
    <s v="Cash"/>
    <s v="CUST_00805"/>
    <n v="2"/>
    <n v="0"/>
    <n v="4528.26"/>
    <s v="No Discount"/>
  </r>
  <r>
    <s v="TXN_01789"/>
    <d v="2024-01-30T00:00:00"/>
    <x v="2"/>
    <s v="Tuesday"/>
    <s v="STORE_018"/>
    <x v="0"/>
    <x v="0"/>
    <x v="0"/>
    <n v="935.71"/>
    <n v="6"/>
    <n v="5614.26"/>
    <n v="15"/>
    <n v="842.14"/>
    <n v="4772.12"/>
    <s v="Wallet"/>
    <s v="CUST_00104"/>
    <n v="3"/>
    <n v="842.14000000000033"/>
    <n v="795.35333333333335"/>
    <s v="Medium"/>
  </r>
  <r>
    <s v="TXN_01790"/>
    <d v="2024-07-07T00:00:00"/>
    <x v="11"/>
    <s v="Sunday"/>
    <s v="STORE_048"/>
    <x v="4"/>
    <x v="6"/>
    <x v="26"/>
    <n v="1602.43"/>
    <n v="10"/>
    <n v="16024.3"/>
    <n v="15"/>
    <n v="2403.64"/>
    <n v="13620.66"/>
    <s v="Wallet"/>
    <s v="CUST_00953"/>
    <n v="1"/>
    <n v="2403.6399999999994"/>
    <n v="1362.066"/>
    <s v="Medium"/>
  </r>
  <r>
    <s v="TXN_01791"/>
    <d v="2024-05-26T00:00:00"/>
    <x v="3"/>
    <s v="Sunday"/>
    <s v="STORE_037"/>
    <x v="3"/>
    <x v="0"/>
    <x v="0"/>
    <n v="711.58"/>
    <n v="5"/>
    <n v="3557.9"/>
    <n v="20"/>
    <n v="711.58"/>
    <n v="2846.32"/>
    <s v="Credit Card"/>
    <s v="CUST_00270"/>
    <n v="5"/>
    <n v="711.57999999999993"/>
    <n v="569.26400000000001"/>
    <s v="High"/>
  </r>
  <r>
    <s v="TXN_01792"/>
    <d v="2024-02-09T00:00:00"/>
    <x v="1"/>
    <s v="Friday"/>
    <s v="STORE_012"/>
    <x v="1"/>
    <x v="3"/>
    <x v="12"/>
    <n v="1767.18"/>
    <n v="4"/>
    <n v="7068.72"/>
    <n v="0"/>
    <n v="0"/>
    <n v="7068.72"/>
    <s v="Cash"/>
    <s v="CUST_00683"/>
    <n v="4"/>
    <n v="0"/>
    <n v="1767.18"/>
    <s v="No Discount"/>
  </r>
  <r>
    <s v="TXN_01793"/>
    <d v="2024-11-26T00:00:00"/>
    <x v="0"/>
    <s v="Tuesday"/>
    <s v="STORE_003"/>
    <x v="0"/>
    <x v="6"/>
    <x v="15"/>
    <n v="1297.44"/>
    <n v="4"/>
    <n v="5189.76"/>
    <n v="0"/>
    <n v="0"/>
    <n v="5189.76"/>
    <s v="Cash"/>
    <s v="CUST_00080"/>
    <n v="2"/>
    <n v="0"/>
    <n v="1297.44"/>
    <s v="No Discount"/>
  </r>
  <r>
    <s v="TXN_01794"/>
    <d v="2024-02-16T00:00:00"/>
    <x v="1"/>
    <s v="Friday"/>
    <s v="STORE_024"/>
    <x v="1"/>
    <x v="7"/>
    <x v="24"/>
    <n v="1318.01"/>
    <n v="9"/>
    <n v="11862.09"/>
    <n v="5"/>
    <n v="593.1"/>
    <n v="11268.99"/>
    <s v="UPI"/>
    <s v="CUST_00379"/>
    <n v="1"/>
    <n v="593.10000000000036"/>
    <n v="1252.1099999999999"/>
    <s v="Low"/>
  </r>
  <r>
    <s v="TXN_01795"/>
    <d v="2024-11-10T00:00:00"/>
    <x v="0"/>
    <s v="Sunday"/>
    <s v="STORE_022"/>
    <x v="3"/>
    <x v="1"/>
    <x v="1"/>
    <n v="462.26"/>
    <n v="10"/>
    <n v="4622.6000000000004"/>
    <n v="15"/>
    <n v="693.39"/>
    <n v="3929.21"/>
    <s v="Cash"/>
    <s v="CUST_00412"/>
    <n v="4"/>
    <n v="693.39000000000033"/>
    <n v="392.92099999999999"/>
    <s v="Medium"/>
  </r>
  <r>
    <s v="TXN_01796"/>
    <d v="2024-10-31T00:00:00"/>
    <x v="7"/>
    <s v="Thursday"/>
    <s v="STORE_037"/>
    <x v="3"/>
    <x v="2"/>
    <x v="39"/>
    <n v="762.89"/>
    <n v="6"/>
    <n v="4577.34"/>
    <n v="0"/>
    <n v="0"/>
    <n v="4577.34"/>
    <s v="UPI"/>
    <s v="CUST_00878"/>
    <n v="3"/>
    <n v="0"/>
    <n v="762.89"/>
    <s v="No Discount"/>
  </r>
  <r>
    <s v="TXN_01797"/>
    <d v="2024-09-16T00:00:00"/>
    <x v="9"/>
    <s v="Monday"/>
    <s v="STORE_005"/>
    <x v="3"/>
    <x v="2"/>
    <x v="13"/>
    <n v="370.66"/>
    <n v="10"/>
    <n v="3706.6"/>
    <n v="20"/>
    <n v="741.32"/>
    <n v="2965.28"/>
    <s v="Wallet"/>
    <s v="CUST_00214"/>
    <n v="4"/>
    <n v="741.31999999999971"/>
    <n v="296.52800000000002"/>
    <s v="High"/>
  </r>
  <r>
    <s v="TXN_01798"/>
    <d v="2024-07-15T00:00:00"/>
    <x v="11"/>
    <s v="Monday"/>
    <s v="STORE_035"/>
    <x v="2"/>
    <x v="2"/>
    <x v="29"/>
    <n v="155.36000000000001"/>
    <n v="6"/>
    <n v="932.16"/>
    <n v="0"/>
    <n v="0"/>
    <n v="932.16"/>
    <s v="Cash"/>
    <s v="CUST_00587"/>
    <n v="1"/>
    <n v="0"/>
    <n v="155.35999999999999"/>
    <s v="No Discount"/>
  </r>
  <r>
    <s v="TXN_01799"/>
    <d v="2024-08-24T00:00:00"/>
    <x v="8"/>
    <s v="Saturday"/>
    <s v="STORE_012"/>
    <x v="3"/>
    <x v="4"/>
    <x v="17"/>
    <n v="562.67999999999995"/>
    <n v="5"/>
    <n v="2813.4"/>
    <n v="10"/>
    <n v="281.33999999999997"/>
    <n v="2532.06"/>
    <s v="Credit Card"/>
    <s v="CUST_00611"/>
    <n v="3"/>
    <n v="281.34000000000015"/>
    <n v="506.41199999999998"/>
    <s v="Medium"/>
  </r>
  <r>
    <s v="TXN_01800"/>
    <d v="2024-10-24T00:00:00"/>
    <x v="7"/>
    <s v="Thursday"/>
    <s v="STORE_020"/>
    <x v="3"/>
    <x v="5"/>
    <x v="25"/>
    <n v="4146.1099999999997"/>
    <n v="6"/>
    <n v="24876.66"/>
    <n v="10"/>
    <n v="2487.67"/>
    <n v="22388.99"/>
    <s v="UPI"/>
    <s v="CUST_00187"/>
    <n v="4"/>
    <n v="2487.6699999999983"/>
    <n v="3731.4983333333334"/>
    <s v="Medium"/>
  </r>
  <r>
    <s v="TXN_01801"/>
    <d v="2024-10-10T00:00:00"/>
    <x v="7"/>
    <s v="Thursday"/>
    <s v="STORE_050"/>
    <x v="4"/>
    <x v="7"/>
    <x v="38"/>
    <n v="316.26"/>
    <n v="5"/>
    <n v="1581.3"/>
    <n v="0"/>
    <n v="0"/>
    <n v="1581.3"/>
    <s v="Debit Card"/>
    <s v="CUST_00122"/>
    <n v="3"/>
    <n v="0"/>
    <n v="316.26"/>
    <s v="No Discount"/>
  </r>
  <r>
    <s v="TXN_01802"/>
    <d v="2024-01-22T00:00:00"/>
    <x v="2"/>
    <s v="Monday"/>
    <s v="STORE_038"/>
    <x v="0"/>
    <x v="2"/>
    <x v="29"/>
    <n v="369.36"/>
    <n v="5"/>
    <n v="1846.8"/>
    <n v="0"/>
    <n v="0"/>
    <n v="1846.8"/>
    <s v="Cash"/>
    <s v="CUST_00254"/>
    <n v="5"/>
    <n v="0"/>
    <n v="369.36"/>
    <s v="No Discount"/>
  </r>
  <r>
    <s v="TXN_01803"/>
    <d v="2024-08-18T00:00:00"/>
    <x v="8"/>
    <s v="Sunday"/>
    <s v="STORE_014"/>
    <x v="2"/>
    <x v="5"/>
    <x v="9"/>
    <n v="4266.3100000000004"/>
    <n v="5"/>
    <n v="21331.55"/>
    <n v="20"/>
    <n v="4266.3100000000004"/>
    <n v="17065.240000000002"/>
    <s v="Cash"/>
    <s v="CUST_00464"/>
    <n v="3"/>
    <n v="4266.3099999999977"/>
    <n v="3413.0480000000002"/>
    <s v="High"/>
  </r>
  <r>
    <s v="TXN_01804"/>
    <d v="2024-10-19T00:00:00"/>
    <x v="7"/>
    <s v="Saturday"/>
    <s v="STORE_002"/>
    <x v="4"/>
    <x v="0"/>
    <x v="0"/>
    <n v="726.23"/>
    <n v="8"/>
    <n v="5809.84"/>
    <n v="0"/>
    <n v="0"/>
    <n v="5809.84"/>
    <s v="Credit Card"/>
    <s v="CUST_00662"/>
    <n v="1"/>
    <n v="0"/>
    <n v="726.23"/>
    <s v="No Discount"/>
  </r>
  <r>
    <s v="TXN_01805"/>
    <d v="2024-11-29T00:00:00"/>
    <x v="0"/>
    <s v="Friday"/>
    <s v="STORE_006"/>
    <x v="1"/>
    <x v="7"/>
    <x v="37"/>
    <n v="1428.18"/>
    <n v="6"/>
    <n v="8569.08"/>
    <n v="0"/>
    <n v="0"/>
    <n v="8569.08"/>
    <s v="Debit Card"/>
    <s v="CUST_00748"/>
    <n v="1"/>
    <n v="0"/>
    <n v="1428.18"/>
    <s v="No Discount"/>
  </r>
  <r>
    <s v="TXN_01806"/>
    <d v="2024-04-06T00:00:00"/>
    <x v="4"/>
    <s v="Saturday"/>
    <s v="STORE_014"/>
    <x v="1"/>
    <x v="1"/>
    <x v="36"/>
    <n v="462.27"/>
    <n v="9"/>
    <n v="4160.43"/>
    <n v="0"/>
    <n v="0"/>
    <n v="4160.43"/>
    <s v="Cash"/>
    <s v="CUST_00836"/>
    <n v="2"/>
    <n v="0"/>
    <n v="462.27000000000004"/>
    <s v="No Discount"/>
  </r>
  <r>
    <s v="TXN_01807"/>
    <d v="2024-06-13T00:00:00"/>
    <x v="10"/>
    <s v="Thursday"/>
    <s v="STORE_018"/>
    <x v="3"/>
    <x v="2"/>
    <x v="29"/>
    <n v="403.06"/>
    <n v="9"/>
    <n v="3627.54"/>
    <n v="20"/>
    <n v="725.51"/>
    <n v="2902.03"/>
    <s v="UPI"/>
    <s v="CUST_00050"/>
    <n v="3"/>
    <n v="725.50999999999976"/>
    <n v="322.44777777777779"/>
    <s v="High"/>
  </r>
  <r>
    <s v="TXN_01808"/>
    <d v="2024-11-05T00:00:00"/>
    <x v="0"/>
    <s v="Tuesday"/>
    <s v="STORE_027"/>
    <x v="1"/>
    <x v="7"/>
    <x v="37"/>
    <n v="532.79"/>
    <n v="3"/>
    <n v="1598.37"/>
    <n v="20"/>
    <n v="319.67"/>
    <n v="1278.7"/>
    <s v="Credit Card"/>
    <s v="CUST_00897"/>
    <n v="5"/>
    <n v="319.66999999999985"/>
    <n v="426.23333333333335"/>
    <s v="High"/>
  </r>
  <r>
    <s v="TXN_01809"/>
    <d v="2024-08-31T00:00:00"/>
    <x v="8"/>
    <s v="Saturday"/>
    <s v="STORE_028"/>
    <x v="3"/>
    <x v="5"/>
    <x v="11"/>
    <n v="4619.75"/>
    <n v="8"/>
    <n v="36958"/>
    <n v="5"/>
    <n v="1847.9"/>
    <n v="35110.1"/>
    <s v="Debit Card"/>
    <s v="CUST_00699"/>
    <n v="5"/>
    <n v="1847.9000000000015"/>
    <n v="4388.7624999999998"/>
    <s v="Low"/>
  </r>
  <r>
    <s v="TXN_01810"/>
    <d v="2024-09-13T00:00:00"/>
    <x v="9"/>
    <s v="Friday"/>
    <s v="STORE_004"/>
    <x v="2"/>
    <x v="4"/>
    <x v="19"/>
    <n v="234.74"/>
    <n v="8"/>
    <n v="1877.92"/>
    <n v="0"/>
    <n v="0"/>
    <n v="1877.92"/>
    <s v="Credit Card"/>
    <s v="CUST_00948"/>
    <n v="3"/>
    <n v="0"/>
    <n v="234.74"/>
    <s v="No Discount"/>
  </r>
  <r>
    <s v="TXN_01811"/>
    <d v="2024-03-18T00:00:00"/>
    <x v="5"/>
    <s v="Monday"/>
    <s v="STORE_021"/>
    <x v="4"/>
    <x v="4"/>
    <x v="20"/>
    <n v="516.15"/>
    <n v="9"/>
    <n v="4645.3500000000004"/>
    <n v="0"/>
    <n v="0"/>
    <n v="4645.3500000000004"/>
    <s v="Credit Card"/>
    <s v="CUST_00675"/>
    <n v="3"/>
    <n v="0"/>
    <n v="516.15000000000009"/>
    <s v="No Discount"/>
  </r>
  <r>
    <s v="TXN_01812"/>
    <d v="2024-02-01T00:00:00"/>
    <x v="1"/>
    <s v="Thursday"/>
    <s v="STORE_005"/>
    <x v="1"/>
    <x v="6"/>
    <x v="30"/>
    <n v="537.98"/>
    <n v="3"/>
    <n v="1613.94"/>
    <n v="5"/>
    <n v="80.7"/>
    <n v="1533.24"/>
    <s v="Debit Card"/>
    <s v="CUST_00191"/>
    <n v="2"/>
    <n v="80.700000000000045"/>
    <n v="511.08"/>
    <s v="Low"/>
  </r>
  <r>
    <s v="TXN_01813"/>
    <d v="2024-08-18T00:00:00"/>
    <x v="8"/>
    <s v="Sunday"/>
    <s v="STORE_039"/>
    <x v="1"/>
    <x v="4"/>
    <x v="19"/>
    <n v="448.16"/>
    <n v="4"/>
    <n v="1792.64"/>
    <n v="0"/>
    <n v="0"/>
    <n v="1792.64"/>
    <s v="UPI"/>
    <s v="CUST_00233"/>
    <n v="1"/>
    <n v="0"/>
    <n v="448.16"/>
    <s v="No Discount"/>
  </r>
  <r>
    <s v="TXN_01814"/>
    <d v="2024-02-22T00:00:00"/>
    <x v="1"/>
    <s v="Thursday"/>
    <s v="STORE_011"/>
    <x v="2"/>
    <x v="7"/>
    <x v="38"/>
    <n v="1215.68"/>
    <n v="9"/>
    <n v="10941.12"/>
    <n v="20"/>
    <n v="2188.2199999999998"/>
    <n v="8752.9"/>
    <s v="Credit Card"/>
    <s v="CUST_00204"/>
    <n v="4"/>
    <n v="2188.2200000000012"/>
    <n v="972.54444444444437"/>
    <s v="High"/>
  </r>
  <r>
    <s v="TXN_01815"/>
    <d v="2024-06-24T00:00:00"/>
    <x v="10"/>
    <s v="Monday"/>
    <s v="STORE_050"/>
    <x v="3"/>
    <x v="7"/>
    <x v="38"/>
    <n v="753.7"/>
    <n v="6"/>
    <n v="4522.2"/>
    <n v="0"/>
    <n v="0"/>
    <n v="4522.2"/>
    <s v="Debit Card"/>
    <s v="CUST_00181"/>
    <n v="5"/>
    <n v="0"/>
    <n v="753.69999999999993"/>
    <s v="No Discount"/>
  </r>
  <r>
    <s v="TXN_01816"/>
    <d v="2024-12-31T00:00:00"/>
    <x v="6"/>
    <s v="Tuesday"/>
    <s v="STORE_023"/>
    <x v="0"/>
    <x v="6"/>
    <x v="26"/>
    <n v="1467.31"/>
    <n v="10"/>
    <n v="14673.1"/>
    <n v="15"/>
    <n v="2200.9699999999998"/>
    <n v="12472.13"/>
    <s v="UPI"/>
    <s v="CUST_00737"/>
    <n v="2"/>
    <n v="2200.9700000000012"/>
    <n v="1247.213"/>
    <s v="Medium"/>
  </r>
  <r>
    <s v="TXN_01817"/>
    <d v="2024-02-13T00:00:00"/>
    <x v="1"/>
    <s v="Tuesday"/>
    <s v="STORE_010"/>
    <x v="3"/>
    <x v="4"/>
    <x v="17"/>
    <n v="308.51"/>
    <n v="4"/>
    <n v="1234.04"/>
    <n v="0"/>
    <n v="0"/>
    <n v="1234.04"/>
    <s v="Debit Card"/>
    <s v="CUST_00233"/>
    <n v="2"/>
    <n v="0"/>
    <n v="308.51"/>
    <s v="No Discount"/>
  </r>
  <r>
    <s v="TXN_01818"/>
    <d v="2024-09-15T00:00:00"/>
    <x v="9"/>
    <s v="Sunday"/>
    <s v="STORE_031"/>
    <x v="0"/>
    <x v="3"/>
    <x v="16"/>
    <n v="1889.49"/>
    <n v="3"/>
    <n v="5668.47"/>
    <n v="0"/>
    <n v="0"/>
    <n v="5668.47"/>
    <s v="Cash"/>
    <s v="CUST_00801"/>
    <n v="3"/>
    <n v="0"/>
    <n v="1889.49"/>
    <s v="No Discount"/>
  </r>
  <r>
    <s v="TXN_01819"/>
    <d v="2024-11-26T00:00:00"/>
    <x v="0"/>
    <s v="Tuesday"/>
    <s v="STORE_023"/>
    <x v="2"/>
    <x v="4"/>
    <x v="20"/>
    <n v="208.14"/>
    <n v="7"/>
    <n v="1456.98"/>
    <n v="5"/>
    <n v="72.849999999999994"/>
    <n v="1384.13"/>
    <s v="Credit Card"/>
    <s v="CUST_00481"/>
    <n v="5"/>
    <n v="72.849999999999909"/>
    <n v="197.73285714285717"/>
    <s v="Low"/>
  </r>
  <r>
    <s v="TXN_01820"/>
    <d v="2024-03-29T00:00:00"/>
    <x v="5"/>
    <s v="Friday"/>
    <s v="STORE_012"/>
    <x v="3"/>
    <x v="0"/>
    <x v="18"/>
    <n v="925.92"/>
    <n v="9"/>
    <n v="8333.2800000000007"/>
    <n v="5"/>
    <n v="416.66"/>
    <n v="7916.62"/>
    <s v="Credit Card"/>
    <s v="CUST_00622"/>
    <n v="5"/>
    <n v="416.66000000000076"/>
    <n v="879.62444444444441"/>
    <s v="Low"/>
  </r>
  <r>
    <s v="TXN_01821"/>
    <d v="2024-01-21T00:00:00"/>
    <x v="2"/>
    <s v="Sunday"/>
    <s v="STORE_003"/>
    <x v="2"/>
    <x v="1"/>
    <x v="36"/>
    <n v="394.02"/>
    <n v="3"/>
    <n v="1182.06"/>
    <n v="20"/>
    <n v="236.41"/>
    <n v="945.65"/>
    <s v="Debit Card"/>
    <s v="CUST_00015"/>
    <n v="4"/>
    <n v="236.40999999999997"/>
    <n v="315.21666666666664"/>
    <s v="High"/>
  </r>
  <r>
    <s v="TXN_01822"/>
    <d v="2024-05-06T00:00:00"/>
    <x v="3"/>
    <s v="Monday"/>
    <s v="STORE_036"/>
    <x v="4"/>
    <x v="1"/>
    <x v="36"/>
    <n v="120.19"/>
    <n v="2"/>
    <n v="240.38"/>
    <n v="0"/>
    <n v="0"/>
    <n v="240.38"/>
    <s v="Wallet"/>
    <s v="CUST_00648"/>
    <n v="2"/>
    <n v="0"/>
    <n v="120.19"/>
    <s v="No Discount"/>
  </r>
  <r>
    <s v="TXN_01823"/>
    <d v="2024-12-28T00:00:00"/>
    <x v="6"/>
    <s v="Saturday"/>
    <s v="STORE_035"/>
    <x v="1"/>
    <x v="5"/>
    <x v="34"/>
    <n v="4854.63"/>
    <n v="8"/>
    <n v="38837.040000000001"/>
    <n v="15"/>
    <n v="5825.56"/>
    <n v="33011.480000000003"/>
    <s v="UPI"/>
    <s v="CUST_00799"/>
    <n v="3"/>
    <n v="5825.5599999999977"/>
    <n v="4126.4350000000004"/>
    <s v="Medium"/>
  </r>
  <r>
    <s v="TXN_01824"/>
    <d v="2024-08-12T00:00:00"/>
    <x v="8"/>
    <s v="Monday"/>
    <s v="STORE_010"/>
    <x v="0"/>
    <x v="0"/>
    <x v="4"/>
    <n v="360.24"/>
    <n v="8"/>
    <n v="2881.92"/>
    <n v="20"/>
    <n v="576.38"/>
    <n v="2305.54"/>
    <s v="Cash"/>
    <s v="CUST_00994"/>
    <n v="2"/>
    <n v="576.38000000000011"/>
    <n v="288.1925"/>
    <s v="High"/>
  </r>
  <r>
    <s v="TXN_01825"/>
    <d v="2024-08-12T00:00:00"/>
    <x v="8"/>
    <s v="Monday"/>
    <s v="STORE_041"/>
    <x v="2"/>
    <x v="3"/>
    <x v="12"/>
    <n v="596.58000000000004"/>
    <n v="3"/>
    <n v="1789.74"/>
    <n v="15"/>
    <n v="268.45999999999998"/>
    <n v="1521.28"/>
    <s v="Wallet"/>
    <s v="CUST_00773"/>
    <n v="1"/>
    <n v="268.46000000000004"/>
    <n v="507.09333333333331"/>
    <s v="Medium"/>
  </r>
  <r>
    <s v="TXN_01826"/>
    <d v="2024-09-25T00:00:00"/>
    <x v="9"/>
    <s v="Wednesday"/>
    <s v="STORE_046"/>
    <x v="0"/>
    <x v="2"/>
    <x v="39"/>
    <n v="798"/>
    <n v="6"/>
    <n v="4788"/>
    <n v="10"/>
    <n v="478.8"/>
    <n v="4309.2"/>
    <s v="Wallet"/>
    <s v="CUST_00183"/>
    <n v="2"/>
    <n v="478.80000000000018"/>
    <n v="718.19999999999993"/>
    <s v="Medium"/>
  </r>
  <r>
    <s v="TXN_01827"/>
    <d v="2024-09-24T00:00:00"/>
    <x v="9"/>
    <s v="Tuesday"/>
    <s v="STORE_014"/>
    <x v="1"/>
    <x v="4"/>
    <x v="19"/>
    <n v="175.72"/>
    <n v="3"/>
    <n v="527.16"/>
    <n v="20"/>
    <n v="105.43"/>
    <n v="421.73"/>
    <s v="Wallet"/>
    <s v="CUST_00672"/>
    <n v="3"/>
    <n v="105.42999999999995"/>
    <n v="140.57666666666668"/>
    <s v="High"/>
  </r>
  <r>
    <s v="TXN_01828"/>
    <d v="2024-11-08T00:00:00"/>
    <x v="0"/>
    <s v="Friday"/>
    <s v="STORE_042"/>
    <x v="2"/>
    <x v="6"/>
    <x v="33"/>
    <n v="863.36"/>
    <n v="8"/>
    <n v="6906.88"/>
    <n v="20"/>
    <n v="1381.38"/>
    <n v="5525.5"/>
    <s v="Debit Card"/>
    <s v="CUST_00545"/>
    <n v="1"/>
    <n v="1381.38"/>
    <n v="690.6875"/>
    <s v="High"/>
  </r>
  <r>
    <s v="TXN_01829"/>
    <d v="2024-03-22T00:00:00"/>
    <x v="5"/>
    <s v="Friday"/>
    <s v="STORE_001"/>
    <x v="3"/>
    <x v="6"/>
    <x v="15"/>
    <n v="1095.23"/>
    <n v="8"/>
    <n v="8761.84"/>
    <n v="0"/>
    <n v="0"/>
    <n v="8761.84"/>
    <s v="Credit Card"/>
    <s v="CUST_00686"/>
    <n v="2"/>
    <n v="0"/>
    <n v="1095.23"/>
    <s v="No Discount"/>
  </r>
  <r>
    <s v="TXN_01830"/>
    <d v="2024-07-05T00:00:00"/>
    <x v="11"/>
    <s v="Friday"/>
    <s v="STORE_021"/>
    <x v="0"/>
    <x v="4"/>
    <x v="20"/>
    <n v="535.54999999999995"/>
    <n v="5"/>
    <n v="2677.75"/>
    <n v="20"/>
    <n v="535.54999999999995"/>
    <n v="2142.1999999999998"/>
    <s v="Credit Card"/>
    <s v="CUST_00014"/>
    <n v="5"/>
    <n v="535.55000000000018"/>
    <n v="428.43999999999994"/>
    <s v="High"/>
  </r>
  <r>
    <s v="TXN_01831"/>
    <d v="2024-07-09T00:00:00"/>
    <x v="11"/>
    <s v="Tuesday"/>
    <s v="STORE_019"/>
    <x v="3"/>
    <x v="7"/>
    <x v="38"/>
    <n v="1229.72"/>
    <n v="3"/>
    <n v="3689.16"/>
    <n v="5"/>
    <n v="184.46"/>
    <n v="3504.7"/>
    <s v="Credit Card"/>
    <s v="CUST_00235"/>
    <n v="5"/>
    <n v="184.46000000000004"/>
    <n v="1168.2333333333333"/>
    <s v="Low"/>
  </r>
  <r>
    <s v="TXN_01832"/>
    <d v="2024-05-24T00:00:00"/>
    <x v="3"/>
    <s v="Friday"/>
    <s v="STORE_003"/>
    <x v="1"/>
    <x v="1"/>
    <x v="6"/>
    <n v="223.75"/>
    <n v="6"/>
    <n v="1342.5"/>
    <n v="15"/>
    <n v="201.38"/>
    <n v="1141.1199999999999"/>
    <s v="Cash"/>
    <s v="CUST_00327"/>
    <n v="4"/>
    <n v="201.38000000000011"/>
    <n v="190.18666666666664"/>
    <s v="Medium"/>
  </r>
  <r>
    <s v="TXN_01833"/>
    <d v="2024-07-17T00:00:00"/>
    <x v="11"/>
    <s v="Wednesday"/>
    <s v="STORE_006"/>
    <x v="3"/>
    <x v="2"/>
    <x v="7"/>
    <n v="150.91"/>
    <n v="3"/>
    <n v="452.73"/>
    <n v="15"/>
    <n v="67.91"/>
    <n v="384.82"/>
    <s v="Credit Card"/>
    <s v="CUST_00738"/>
    <n v="3"/>
    <n v="67.910000000000025"/>
    <n v="128.27333333333334"/>
    <s v="Medium"/>
  </r>
  <r>
    <s v="TXN_01834"/>
    <d v="2024-07-28T00:00:00"/>
    <x v="11"/>
    <s v="Sunday"/>
    <s v="STORE_002"/>
    <x v="4"/>
    <x v="2"/>
    <x v="2"/>
    <n v="154.25"/>
    <n v="6"/>
    <n v="925.5"/>
    <n v="0"/>
    <n v="0"/>
    <n v="925.5"/>
    <s v="UPI"/>
    <s v="CUST_00956"/>
    <n v="3"/>
    <n v="0"/>
    <n v="154.25"/>
    <s v="No Discount"/>
  </r>
  <r>
    <s v="TXN_01835"/>
    <d v="2024-06-22T00:00:00"/>
    <x v="10"/>
    <s v="Saturday"/>
    <s v="STORE_029"/>
    <x v="4"/>
    <x v="7"/>
    <x v="23"/>
    <n v="1165.08"/>
    <n v="10"/>
    <n v="11650.8"/>
    <n v="0"/>
    <n v="0"/>
    <n v="11650.8"/>
    <s v="Wallet"/>
    <s v="CUST_00509"/>
    <n v="3"/>
    <n v="0"/>
    <n v="1165.08"/>
    <s v="No Discount"/>
  </r>
  <r>
    <s v="TXN_01836"/>
    <d v="2024-12-13T00:00:00"/>
    <x v="6"/>
    <s v="Friday"/>
    <s v="STORE_017"/>
    <x v="0"/>
    <x v="4"/>
    <x v="20"/>
    <n v="177.09"/>
    <n v="1"/>
    <n v="177.09"/>
    <n v="20"/>
    <n v="35.42"/>
    <n v="141.66999999999999"/>
    <s v="Debit Card"/>
    <s v="CUST_00446"/>
    <n v="1"/>
    <n v="35.420000000000016"/>
    <n v="141.66999999999999"/>
    <s v="High"/>
  </r>
  <r>
    <s v="TXN_01837"/>
    <d v="2024-11-02T00:00:00"/>
    <x v="0"/>
    <s v="Saturday"/>
    <s v="STORE_010"/>
    <x v="1"/>
    <x v="5"/>
    <x v="34"/>
    <n v="1284.48"/>
    <n v="8"/>
    <n v="10275.84"/>
    <n v="0"/>
    <n v="0"/>
    <n v="10275.84"/>
    <s v="Debit Card"/>
    <s v="CUST_00076"/>
    <n v="1"/>
    <n v="0"/>
    <n v="1284.48"/>
    <s v="No Discount"/>
  </r>
  <r>
    <s v="TXN_01838"/>
    <d v="2024-01-27T00:00:00"/>
    <x v="2"/>
    <s v="Saturday"/>
    <s v="STORE_035"/>
    <x v="4"/>
    <x v="3"/>
    <x v="16"/>
    <n v="882.22"/>
    <n v="7"/>
    <n v="6175.54"/>
    <n v="10"/>
    <n v="617.54999999999995"/>
    <n v="5557.99"/>
    <s v="UPI"/>
    <s v="CUST_00663"/>
    <n v="4"/>
    <n v="617.55000000000018"/>
    <n v="793.99857142857138"/>
    <s v="Medium"/>
  </r>
  <r>
    <s v="TXN_01839"/>
    <d v="2024-11-19T00:00:00"/>
    <x v="0"/>
    <s v="Tuesday"/>
    <s v="STORE_011"/>
    <x v="3"/>
    <x v="1"/>
    <x v="1"/>
    <n v="66.349999999999994"/>
    <n v="9"/>
    <n v="597.15"/>
    <n v="5"/>
    <n v="29.86"/>
    <n v="567.29"/>
    <s v="Debit Card"/>
    <s v="CUST_00503"/>
    <n v="1"/>
    <n v="29.860000000000014"/>
    <n v="63.032222222222217"/>
    <s v="Low"/>
  </r>
  <r>
    <s v="TXN_01840"/>
    <d v="2024-11-27T00:00:00"/>
    <x v="0"/>
    <s v="Wednesday"/>
    <s v="STORE_029"/>
    <x v="3"/>
    <x v="1"/>
    <x v="31"/>
    <n v="85.96"/>
    <n v="10"/>
    <n v="859.6"/>
    <n v="20"/>
    <n v="171.92"/>
    <n v="687.68"/>
    <s v="Debit Card"/>
    <s v="CUST_00692"/>
    <n v="2"/>
    <n v="171.92000000000007"/>
    <n v="68.768000000000001"/>
    <s v="High"/>
  </r>
  <r>
    <s v="TXN_01841"/>
    <d v="2024-06-20T00:00:00"/>
    <x v="10"/>
    <s v="Thursday"/>
    <s v="STORE_031"/>
    <x v="4"/>
    <x v="6"/>
    <x v="33"/>
    <n v="1938.72"/>
    <n v="10"/>
    <n v="19387.2"/>
    <n v="10"/>
    <n v="1938.72"/>
    <n v="17448.48"/>
    <s v="Wallet"/>
    <s v="CUST_00431"/>
    <n v="5"/>
    <n v="1938.7200000000012"/>
    <n v="1744.848"/>
    <s v="Medium"/>
  </r>
  <r>
    <s v="TXN_01842"/>
    <d v="2024-02-03T00:00:00"/>
    <x v="1"/>
    <s v="Saturday"/>
    <s v="STORE_013"/>
    <x v="2"/>
    <x v="4"/>
    <x v="20"/>
    <n v="528.29999999999995"/>
    <n v="4"/>
    <n v="2113.1999999999998"/>
    <n v="15"/>
    <n v="316.98"/>
    <n v="1796.22"/>
    <s v="Wallet"/>
    <s v="CUST_00618"/>
    <n v="3"/>
    <n v="316.97999999999979"/>
    <n v="449.05500000000001"/>
    <s v="Medium"/>
  </r>
  <r>
    <s v="TXN_01843"/>
    <d v="2024-06-17T00:00:00"/>
    <x v="10"/>
    <s v="Monday"/>
    <s v="STORE_041"/>
    <x v="1"/>
    <x v="7"/>
    <x v="37"/>
    <n v="694.58"/>
    <n v="4"/>
    <n v="2778.32"/>
    <n v="0"/>
    <n v="0"/>
    <n v="2778.32"/>
    <s v="Wallet"/>
    <s v="CUST_00187"/>
    <n v="5"/>
    <n v="0"/>
    <n v="694.58"/>
    <s v="No Discount"/>
  </r>
  <r>
    <s v="TXN_01844"/>
    <d v="2024-02-18T00:00:00"/>
    <x v="1"/>
    <s v="Sunday"/>
    <s v="STORE_023"/>
    <x v="2"/>
    <x v="3"/>
    <x v="21"/>
    <n v="605.25"/>
    <n v="3"/>
    <n v="1815.75"/>
    <n v="0"/>
    <n v="0"/>
    <n v="1815.75"/>
    <s v="Wallet"/>
    <s v="CUST_00794"/>
    <n v="1"/>
    <n v="0"/>
    <n v="605.25"/>
    <s v="No Discount"/>
  </r>
  <r>
    <s v="TXN_01845"/>
    <d v="2024-10-12T00:00:00"/>
    <x v="7"/>
    <s v="Saturday"/>
    <s v="STORE_019"/>
    <x v="3"/>
    <x v="4"/>
    <x v="19"/>
    <n v="513.4"/>
    <n v="5"/>
    <n v="2567"/>
    <n v="0"/>
    <n v="0"/>
    <n v="2567"/>
    <s v="Wallet"/>
    <s v="CUST_00008"/>
    <n v="4"/>
    <n v="0"/>
    <n v="513.4"/>
    <s v="No Discount"/>
  </r>
  <r>
    <s v="TXN_01846"/>
    <d v="2024-12-13T00:00:00"/>
    <x v="6"/>
    <s v="Friday"/>
    <s v="STORE_020"/>
    <x v="4"/>
    <x v="6"/>
    <x v="30"/>
    <n v="710.42"/>
    <n v="9"/>
    <n v="6393.78"/>
    <n v="5"/>
    <n v="319.69"/>
    <n v="6074.09"/>
    <s v="UPI"/>
    <s v="CUST_00682"/>
    <n v="3"/>
    <n v="319.6899999999996"/>
    <n v="674.89888888888891"/>
    <s v="Low"/>
  </r>
  <r>
    <s v="TXN_01847"/>
    <d v="2024-07-16T00:00:00"/>
    <x v="11"/>
    <s v="Tuesday"/>
    <s v="STORE_020"/>
    <x v="2"/>
    <x v="0"/>
    <x v="4"/>
    <n v="520.73"/>
    <n v="10"/>
    <n v="5207.3"/>
    <n v="5"/>
    <n v="260.37"/>
    <n v="4946.93"/>
    <s v="Wallet"/>
    <s v="CUST_00430"/>
    <n v="4"/>
    <n v="260.36999999999989"/>
    <n v="494.69300000000004"/>
    <s v="Low"/>
  </r>
  <r>
    <s v="TXN_01848"/>
    <d v="2024-05-25T00:00:00"/>
    <x v="3"/>
    <s v="Saturday"/>
    <s v="STORE_022"/>
    <x v="2"/>
    <x v="3"/>
    <x v="5"/>
    <n v="2693.47"/>
    <n v="7"/>
    <n v="18854.29"/>
    <n v="15"/>
    <n v="2828.14"/>
    <n v="16026.15"/>
    <s v="Credit Card"/>
    <s v="CUST_00024"/>
    <n v="3"/>
    <n v="2828.1400000000012"/>
    <n v="2289.4499999999998"/>
    <s v="Medium"/>
  </r>
  <r>
    <s v="TXN_01849"/>
    <d v="2024-05-09T00:00:00"/>
    <x v="3"/>
    <s v="Thursday"/>
    <s v="STORE_038"/>
    <x v="3"/>
    <x v="0"/>
    <x v="0"/>
    <n v="482.4"/>
    <n v="4"/>
    <n v="1929.6"/>
    <n v="5"/>
    <n v="96.48"/>
    <n v="1833.12"/>
    <s v="Debit Card"/>
    <s v="CUST_00999"/>
    <n v="1"/>
    <n v="96.480000000000018"/>
    <n v="458.28"/>
    <s v="Low"/>
  </r>
  <r>
    <s v="TXN_01850"/>
    <d v="2024-12-02T00:00:00"/>
    <x v="6"/>
    <s v="Monday"/>
    <s v="STORE_008"/>
    <x v="4"/>
    <x v="2"/>
    <x v="7"/>
    <n v="398.64"/>
    <n v="3"/>
    <n v="1195.92"/>
    <n v="5"/>
    <n v="59.8"/>
    <n v="1136.1199999999999"/>
    <s v="UPI"/>
    <s v="CUST_00666"/>
    <n v="1"/>
    <n v="59.800000000000182"/>
    <n v="378.70666666666665"/>
    <s v="Low"/>
  </r>
  <r>
    <s v="TXN_01851"/>
    <d v="2024-11-04T00:00:00"/>
    <x v="0"/>
    <s v="Monday"/>
    <s v="STORE_004"/>
    <x v="1"/>
    <x v="4"/>
    <x v="20"/>
    <n v="406.19"/>
    <n v="7"/>
    <n v="2843.33"/>
    <n v="0"/>
    <n v="0"/>
    <n v="2843.33"/>
    <s v="Cash"/>
    <s v="CUST_00608"/>
    <n v="2"/>
    <n v="0"/>
    <n v="406.19"/>
    <s v="No Discount"/>
  </r>
  <r>
    <s v="TXN_01852"/>
    <d v="2024-03-17T00:00:00"/>
    <x v="5"/>
    <s v="Sunday"/>
    <s v="STORE_011"/>
    <x v="3"/>
    <x v="1"/>
    <x v="36"/>
    <n v="130.66"/>
    <n v="6"/>
    <n v="783.96"/>
    <n v="0"/>
    <n v="0"/>
    <n v="783.96"/>
    <s v="Debit Card"/>
    <s v="CUST_00424"/>
    <n v="5"/>
    <n v="0"/>
    <n v="130.66"/>
    <s v="No Discount"/>
  </r>
  <r>
    <s v="TXN_01853"/>
    <d v="2024-06-19T00:00:00"/>
    <x v="10"/>
    <s v="Wednesday"/>
    <s v="STORE_019"/>
    <x v="4"/>
    <x v="3"/>
    <x v="5"/>
    <n v="1039.19"/>
    <n v="2"/>
    <n v="2078.38"/>
    <n v="20"/>
    <n v="415.68"/>
    <n v="1662.7"/>
    <s v="Cash"/>
    <s v="CUST_00636"/>
    <n v="5"/>
    <n v="415.68000000000006"/>
    <n v="831.35"/>
    <s v="High"/>
  </r>
  <r>
    <s v="TXN_01854"/>
    <d v="2024-02-11T00:00:00"/>
    <x v="1"/>
    <s v="Sunday"/>
    <s v="STORE_020"/>
    <x v="1"/>
    <x v="4"/>
    <x v="17"/>
    <n v="327.06"/>
    <n v="5"/>
    <n v="1635.3"/>
    <n v="5"/>
    <n v="81.77"/>
    <n v="1553.53"/>
    <s v="UPI"/>
    <s v="CUST_00772"/>
    <n v="2"/>
    <n v="81.769999999999982"/>
    <n v="310.70600000000002"/>
    <s v="Low"/>
  </r>
  <r>
    <s v="TXN_01855"/>
    <d v="2024-10-25T00:00:00"/>
    <x v="7"/>
    <s v="Friday"/>
    <s v="STORE_020"/>
    <x v="4"/>
    <x v="2"/>
    <x v="39"/>
    <n v="621.73"/>
    <n v="5"/>
    <n v="3108.65"/>
    <n v="15"/>
    <n v="466.3"/>
    <n v="2642.35"/>
    <s v="Cash"/>
    <s v="CUST_00125"/>
    <n v="1"/>
    <n v="466.30000000000018"/>
    <n v="528.47"/>
    <s v="Medium"/>
  </r>
  <r>
    <s v="TXN_01856"/>
    <d v="2024-12-05T00:00:00"/>
    <x v="6"/>
    <s v="Thursday"/>
    <s v="STORE_046"/>
    <x v="1"/>
    <x v="0"/>
    <x v="27"/>
    <n v="942.4"/>
    <n v="10"/>
    <n v="9424"/>
    <n v="0"/>
    <n v="0"/>
    <n v="9424"/>
    <s v="Wallet"/>
    <s v="CUST_00283"/>
    <n v="2"/>
    <n v="0"/>
    <n v="942.4"/>
    <s v="No Discount"/>
  </r>
  <r>
    <s v="TXN_01857"/>
    <d v="2024-03-13T00:00:00"/>
    <x v="5"/>
    <s v="Wednesday"/>
    <s v="STORE_034"/>
    <x v="4"/>
    <x v="1"/>
    <x v="6"/>
    <n v="151.88999999999999"/>
    <n v="5"/>
    <n v="759.45"/>
    <n v="5"/>
    <n v="37.97"/>
    <n v="721.48"/>
    <s v="Cash"/>
    <s v="CUST_00176"/>
    <n v="1"/>
    <n v="37.970000000000027"/>
    <n v="144.29599999999999"/>
    <s v="Low"/>
  </r>
  <r>
    <s v="TXN_01858"/>
    <d v="2024-06-28T00:00:00"/>
    <x v="10"/>
    <s v="Friday"/>
    <s v="STORE_039"/>
    <x v="3"/>
    <x v="5"/>
    <x v="11"/>
    <n v="1190.98"/>
    <n v="6"/>
    <n v="7145.88"/>
    <n v="10"/>
    <n v="714.59"/>
    <n v="6431.29"/>
    <s v="UPI"/>
    <s v="CUST_00741"/>
    <n v="2"/>
    <n v="714.59000000000015"/>
    <n v="1071.8816666666667"/>
    <s v="Medium"/>
  </r>
  <r>
    <s v="TXN_01859"/>
    <d v="2024-06-07T00:00:00"/>
    <x v="10"/>
    <s v="Friday"/>
    <s v="STORE_018"/>
    <x v="2"/>
    <x v="3"/>
    <x v="16"/>
    <n v="2073.2199999999998"/>
    <n v="9"/>
    <n v="18658.98"/>
    <n v="15"/>
    <n v="2798.85"/>
    <n v="15860.13"/>
    <s v="Wallet"/>
    <s v="CUST_00256"/>
    <n v="5"/>
    <n v="2798.8500000000004"/>
    <n v="1762.2366666666667"/>
    <s v="Medium"/>
  </r>
  <r>
    <s v="TXN_01860"/>
    <d v="2024-12-01T00:00:00"/>
    <x v="6"/>
    <s v="Sunday"/>
    <s v="STORE_045"/>
    <x v="0"/>
    <x v="5"/>
    <x v="34"/>
    <n v="4869.3500000000004"/>
    <n v="10"/>
    <n v="48693.5"/>
    <n v="5"/>
    <n v="2434.6799999999998"/>
    <n v="46258.82"/>
    <s v="Debit Card"/>
    <s v="CUST_00118"/>
    <n v="1"/>
    <n v="2434.6800000000003"/>
    <n v="4625.8819999999996"/>
    <s v="Low"/>
  </r>
  <r>
    <s v="TXN_01861"/>
    <d v="2024-12-23T00:00:00"/>
    <x v="6"/>
    <s v="Monday"/>
    <s v="STORE_013"/>
    <x v="1"/>
    <x v="1"/>
    <x v="36"/>
    <n v="265.52"/>
    <n v="5"/>
    <n v="1327.6"/>
    <n v="20"/>
    <n v="265.52"/>
    <n v="1062.08"/>
    <s v="Wallet"/>
    <s v="CUST_00646"/>
    <n v="3"/>
    <n v="265.52"/>
    <n v="212.416"/>
    <s v="High"/>
  </r>
  <r>
    <s v="TXN_01862"/>
    <d v="2024-12-05T00:00:00"/>
    <x v="6"/>
    <s v="Thursday"/>
    <s v="STORE_016"/>
    <x v="2"/>
    <x v="0"/>
    <x v="32"/>
    <n v="469.34"/>
    <n v="10"/>
    <n v="4693.3999999999996"/>
    <n v="0"/>
    <n v="0"/>
    <n v="4693.3999999999996"/>
    <s v="Debit Card"/>
    <s v="CUST_00044"/>
    <n v="1"/>
    <n v="0"/>
    <n v="469.34"/>
    <s v="No Discount"/>
  </r>
  <r>
    <s v="TXN_01863"/>
    <d v="2024-07-19T00:00:00"/>
    <x v="11"/>
    <s v="Friday"/>
    <s v="STORE_047"/>
    <x v="4"/>
    <x v="2"/>
    <x v="39"/>
    <n v="496.68"/>
    <n v="5"/>
    <n v="2483.4"/>
    <n v="5"/>
    <n v="124.17"/>
    <n v="2359.23"/>
    <s v="Credit Card"/>
    <s v="CUST_00229"/>
    <n v="2"/>
    <n v="124.17000000000007"/>
    <n v="471.846"/>
    <s v="Low"/>
  </r>
  <r>
    <s v="TXN_01864"/>
    <d v="2024-03-07T00:00:00"/>
    <x v="5"/>
    <s v="Thursday"/>
    <s v="STORE_014"/>
    <x v="3"/>
    <x v="6"/>
    <x v="30"/>
    <n v="712.15"/>
    <n v="6"/>
    <n v="4272.8999999999996"/>
    <n v="0"/>
    <n v="0"/>
    <n v="4272.8999999999996"/>
    <s v="Debit Card"/>
    <s v="CUST_00342"/>
    <n v="1"/>
    <n v="0"/>
    <n v="712.15"/>
    <s v="No Discount"/>
  </r>
  <r>
    <s v="TXN_01865"/>
    <d v="2024-10-31T00:00:00"/>
    <x v="7"/>
    <s v="Thursday"/>
    <s v="STORE_038"/>
    <x v="1"/>
    <x v="0"/>
    <x v="32"/>
    <n v="623.01"/>
    <n v="10"/>
    <n v="6230.1"/>
    <n v="5"/>
    <n v="311.51"/>
    <n v="5918.59"/>
    <s v="Debit Card"/>
    <s v="CUST_00644"/>
    <n v="3"/>
    <n v="311.51000000000022"/>
    <n v="591.85900000000004"/>
    <s v="Low"/>
  </r>
  <r>
    <s v="TXN_01866"/>
    <d v="2024-12-28T00:00:00"/>
    <x v="6"/>
    <s v="Saturday"/>
    <s v="STORE_040"/>
    <x v="0"/>
    <x v="1"/>
    <x v="36"/>
    <n v="299.92"/>
    <n v="7"/>
    <n v="2099.44"/>
    <n v="20"/>
    <n v="419.89"/>
    <n v="1679.55"/>
    <s v="Credit Card"/>
    <s v="CUST_00968"/>
    <n v="5"/>
    <n v="419.8900000000001"/>
    <n v="239.93571428571428"/>
    <s v="High"/>
  </r>
  <r>
    <s v="TXN_01867"/>
    <d v="2024-02-13T00:00:00"/>
    <x v="1"/>
    <s v="Tuesday"/>
    <s v="STORE_045"/>
    <x v="1"/>
    <x v="7"/>
    <x v="24"/>
    <n v="1146.98"/>
    <n v="9"/>
    <n v="10322.82"/>
    <n v="0"/>
    <n v="0"/>
    <n v="10322.82"/>
    <s v="Debit Card"/>
    <s v="CUST_00407"/>
    <n v="3"/>
    <n v="0"/>
    <n v="1146.98"/>
    <s v="No Discount"/>
  </r>
  <r>
    <s v="TXN_01868"/>
    <d v="2024-06-07T00:00:00"/>
    <x v="10"/>
    <s v="Friday"/>
    <s v="STORE_004"/>
    <x v="0"/>
    <x v="0"/>
    <x v="0"/>
    <n v="267.70999999999998"/>
    <n v="4"/>
    <n v="1070.8399999999999"/>
    <n v="10"/>
    <n v="107.08"/>
    <n v="963.76"/>
    <s v="Wallet"/>
    <s v="CUST_00304"/>
    <n v="3"/>
    <n v="107.07999999999993"/>
    <n v="240.94"/>
    <s v="Medium"/>
  </r>
  <r>
    <s v="TXN_01869"/>
    <d v="2024-10-13T00:00:00"/>
    <x v="7"/>
    <s v="Sunday"/>
    <s v="STORE_016"/>
    <x v="0"/>
    <x v="5"/>
    <x v="11"/>
    <n v="4315.25"/>
    <n v="3"/>
    <n v="12945.75"/>
    <n v="15"/>
    <n v="1941.86"/>
    <n v="11003.89"/>
    <s v="Debit Card"/>
    <s v="CUST_00318"/>
    <n v="1"/>
    <n v="1941.8600000000006"/>
    <n v="3667.9633333333331"/>
    <s v="Medium"/>
  </r>
  <r>
    <s v="TXN_01870"/>
    <d v="2024-07-11T00:00:00"/>
    <x v="11"/>
    <s v="Thursday"/>
    <s v="STORE_020"/>
    <x v="0"/>
    <x v="1"/>
    <x v="6"/>
    <n v="132.4"/>
    <n v="7"/>
    <n v="926.8"/>
    <n v="0"/>
    <n v="0"/>
    <n v="926.8"/>
    <s v="Credit Card"/>
    <s v="CUST_00680"/>
    <n v="1"/>
    <n v="0"/>
    <n v="132.4"/>
    <s v="No Discount"/>
  </r>
  <r>
    <s v="TXN_01871"/>
    <d v="2024-11-25T00:00:00"/>
    <x v="0"/>
    <s v="Monday"/>
    <s v="STORE_003"/>
    <x v="4"/>
    <x v="1"/>
    <x v="3"/>
    <n v="237.06"/>
    <n v="7"/>
    <n v="1659.42"/>
    <n v="20"/>
    <n v="331.88"/>
    <n v="1327.54"/>
    <s v="Wallet"/>
    <s v="CUST_00811"/>
    <n v="1"/>
    <n v="331.88000000000011"/>
    <n v="189.64857142857142"/>
    <s v="High"/>
  </r>
  <r>
    <s v="TXN_01872"/>
    <d v="2024-06-17T00:00:00"/>
    <x v="10"/>
    <s v="Monday"/>
    <s v="STORE_010"/>
    <x v="2"/>
    <x v="4"/>
    <x v="20"/>
    <n v="406.09"/>
    <n v="5"/>
    <n v="2030.45"/>
    <n v="5"/>
    <n v="101.52"/>
    <n v="1928.93"/>
    <s v="Wallet"/>
    <s v="CUST_00663"/>
    <n v="1"/>
    <n v="101.51999999999998"/>
    <n v="385.786"/>
    <s v="Low"/>
  </r>
  <r>
    <s v="TXN_01873"/>
    <d v="2024-03-06T00:00:00"/>
    <x v="5"/>
    <s v="Wednesday"/>
    <s v="STORE_003"/>
    <x v="1"/>
    <x v="1"/>
    <x v="1"/>
    <n v="450.17"/>
    <n v="2"/>
    <n v="900.34"/>
    <n v="5"/>
    <n v="45.02"/>
    <n v="855.32"/>
    <s v="Cash"/>
    <s v="CUST_00213"/>
    <n v="2"/>
    <n v="45.019999999999982"/>
    <n v="427.66"/>
    <s v="Low"/>
  </r>
  <r>
    <s v="TXN_01874"/>
    <d v="2024-12-09T00:00:00"/>
    <x v="6"/>
    <s v="Monday"/>
    <s v="STORE_011"/>
    <x v="0"/>
    <x v="4"/>
    <x v="8"/>
    <n v="219.82"/>
    <n v="9"/>
    <n v="1978.38"/>
    <n v="20"/>
    <n v="395.68"/>
    <n v="1582.7"/>
    <s v="Cash"/>
    <s v="CUST_00835"/>
    <n v="1"/>
    <n v="395.68000000000006"/>
    <n v="175.85555555555555"/>
    <s v="High"/>
  </r>
  <r>
    <s v="TXN_01875"/>
    <d v="2024-12-25T00:00:00"/>
    <x v="6"/>
    <s v="Wednesday"/>
    <s v="STORE_013"/>
    <x v="0"/>
    <x v="2"/>
    <x v="13"/>
    <n v="373.59"/>
    <n v="3"/>
    <n v="1120.77"/>
    <n v="5"/>
    <n v="56.04"/>
    <n v="1064.73"/>
    <s v="Cash"/>
    <s v="CUST_00137"/>
    <n v="2"/>
    <n v="56.039999999999964"/>
    <n v="354.91"/>
    <s v="Low"/>
  </r>
  <r>
    <s v="TXN_01876"/>
    <d v="2024-12-16T00:00:00"/>
    <x v="6"/>
    <s v="Monday"/>
    <s v="STORE_022"/>
    <x v="3"/>
    <x v="5"/>
    <x v="10"/>
    <n v="4172.83"/>
    <n v="1"/>
    <n v="4172.83"/>
    <n v="0"/>
    <n v="0"/>
    <n v="4172.83"/>
    <s v="Credit Card"/>
    <s v="CUST_00588"/>
    <n v="2"/>
    <n v="0"/>
    <n v="4172.83"/>
    <s v="No Discount"/>
  </r>
  <r>
    <s v="TXN_01877"/>
    <d v="2024-09-26T00:00:00"/>
    <x v="9"/>
    <s v="Thursday"/>
    <s v="STORE_013"/>
    <x v="1"/>
    <x v="7"/>
    <x v="38"/>
    <n v="545.29"/>
    <n v="1"/>
    <n v="545.29"/>
    <n v="0"/>
    <n v="0"/>
    <n v="545.29"/>
    <s v="Credit Card"/>
    <s v="CUST_00419"/>
    <n v="2"/>
    <n v="0"/>
    <n v="545.29"/>
    <s v="No Discount"/>
  </r>
  <r>
    <s v="TXN_01878"/>
    <d v="2024-02-17T00:00:00"/>
    <x v="1"/>
    <s v="Saturday"/>
    <s v="STORE_024"/>
    <x v="2"/>
    <x v="1"/>
    <x v="1"/>
    <n v="80.47"/>
    <n v="2"/>
    <n v="160.94"/>
    <n v="15"/>
    <n v="24.14"/>
    <n v="136.80000000000001"/>
    <s v="UPI"/>
    <s v="CUST_00449"/>
    <n v="4"/>
    <n v="24.139999999999986"/>
    <n v="68.400000000000006"/>
    <s v="Medium"/>
  </r>
  <r>
    <s v="TXN_01879"/>
    <d v="2024-11-26T00:00:00"/>
    <x v="0"/>
    <s v="Tuesday"/>
    <s v="STORE_016"/>
    <x v="2"/>
    <x v="0"/>
    <x v="0"/>
    <n v="820.72"/>
    <n v="10"/>
    <n v="8207.2000000000007"/>
    <n v="10"/>
    <n v="820.72"/>
    <n v="7386.48"/>
    <s v="Cash"/>
    <s v="CUST_00178"/>
    <n v="3"/>
    <n v="820.72000000000116"/>
    <n v="738.64799999999991"/>
    <s v="Medium"/>
  </r>
  <r>
    <s v="TXN_01880"/>
    <d v="2024-12-09T00:00:00"/>
    <x v="6"/>
    <s v="Monday"/>
    <s v="STORE_036"/>
    <x v="1"/>
    <x v="2"/>
    <x v="39"/>
    <n v="247.43"/>
    <n v="2"/>
    <n v="494.86"/>
    <n v="0"/>
    <n v="0"/>
    <n v="494.86"/>
    <s v="Debit Card"/>
    <s v="CUST_00836"/>
    <n v="5"/>
    <n v="0"/>
    <n v="247.43"/>
    <s v="No Discount"/>
  </r>
  <r>
    <s v="TXN_01881"/>
    <d v="2024-08-04T00:00:00"/>
    <x v="8"/>
    <s v="Sunday"/>
    <s v="STORE_009"/>
    <x v="4"/>
    <x v="1"/>
    <x v="31"/>
    <n v="155.74"/>
    <n v="4"/>
    <n v="622.96"/>
    <n v="0"/>
    <n v="0"/>
    <n v="622.96"/>
    <s v="Debit Card"/>
    <s v="CUST_00304"/>
    <n v="1"/>
    <n v="0"/>
    <n v="155.74"/>
    <s v="No Discount"/>
  </r>
  <r>
    <s v="TXN_01882"/>
    <d v="2024-09-17T00:00:00"/>
    <x v="9"/>
    <s v="Tuesday"/>
    <s v="STORE_030"/>
    <x v="0"/>
    <x v="1"/>
    <x v="36"/>
    <n v="475.95"/>
    <n v="10"/>
    <n v="4759.5"/>
    <n v="20"/>
    <n v="951.9"/>
    <n v="3807.6"/>
    <s v="Credit Card"/>
    <s v="CUST_00981"/>
    <n v="1"/>
    <n v="951.90000000000009"/>
    <n v="380.76"/>
    <s v="High"/>
  </r>
  <r>
    <s v="TXN_01883"/>
    <d v="2024-07-04T00:00:00"/>
    <x v="11"/>
    <s v="Thursday"/>
    <s v="STORE_017"/>
    <x v="4"/>
    <x v="5"/>
    <x v="11"/>
    <n v="2170.6999999999998"/>
    <n v="6"/>
    <n v="13024.2"/>
    <n v="0"/>
    <n v="0"/>
    <n v="13024.2"/>
    <s v="UPI"/>
    <s v="CUST_00474"/>
    <n v="4"/>
    <n v="0"/>
    <n v="2170.7000000000003"/>
    <s v="No Discount"/>
  </r>
  <r>
    <s v="TXN_01884"/>
    <d v="2024-01-10T00:00:00"/>
    <x v="2"/>
    <s v="Wednesday"/>
    <s v="STORE_007"/>
    <x v="4"/>
    <x v="7"/>
    <x v="37"/>
    <n v="1070.6300000000001"/>
    <n v="8"/>
    <n v="8565.0400000000009"/>
    <n v="0"/>
    <n v="0"/>
    <n v="8565.0400000000009"/>
    <s v="Cash"/>
    <s v="CUST_00806"/>
    <n v="4"/>
    <n v="0"/>
    <n v="1070.6300000000001"/>
    <s v="No Discount"/>
  </r>
  <r>
    <s v="TXN_01885"/>
    <d v="2024-07-04T00:00:00"/>
    <x v="11"/>
    <s v="Thursday"/>
    <s v="STORE_035"/>
    <x v="3"/>
    <x v="5"/>
    <x v="25"/>
    <n v="1200.19"/>
    <n v="6"/>
    <n v="7201.14"/>
    <n v="15"/>
    <n v="1080.17"/>
    <n v="6120.97"/>
    <s v="Wallet"/>
    <s v="CUST_00158"/>
    <n v="2"/>
    <n v="1080.17"/>
    <n v="1020.1616666666667"/>
    <s v="Medium"/>
  </r>
  <r>
    <s v="TXN_01886"/>
    <d v="2024-06-07T00:00:00"/>
    <x v="10"/>
    <s v="Friday"/>
    <s v="STORE_039"/>
    <x v="2"/>
    <x v="1"/>
    <x v="31"/>
    <n v="202.77"/>
    <n v="2"/>
    <n v="405.54"/>
    <n v="0"/>
    <n v="0"/>
    <n v="405.54"/>
    <s v="Debit Card"/>
    <s v="CUST_00822"/>
    <n v="3"/>
    <n v="0"/>
    <n v="202.77"/>
    <s v="No Discount"/>
  </r>
  <r>
    <s v="TXN_01887"/>
    <d v="2024-04-02T00:00:00"/>
    <x v="4"/>
    <s v="Tuesday"/>
    <s v="STORE_047"/>
    <x v="0"/>
    <x v="4"/>
    <x v="19"/>
    <n v="327.39"/>
    <n v="9"/>
    <n v="2946.51"/>
    <n v="0"/>
    <n v="0"/>
    <n v="2946.51"/>
    <s v="Cash"/>
    <s v="CUST_00970"/>
    <n v="5"/>
    <n v="0"/>
    <n v="327.39000000000004"/>
    <s v="No Discount"/>
  </r>
  <r>
    <s v="TXN_01888"/>
    <d v="2024-04-19T00:00:00"/>
    <x v="4"/>
    <s v="Friday"/>
    <s v="STORE_012"/>
    <x v="2"/>
    <x v="3"/>
    <x v="5"/>
    <n v="897.49"/>
    <n v="4"/>
    <n v="3589.96"/>
    <n v="5"/>
    <n v="179.5"/>
    <n v="3410.46"/>
    <s v="Wallet"/>
    <s v="CUST_00134"/>
    <n v="1"/>
    <n v="179.5"/>
    <n v="852.61500000000001"/>
    <s v="Low"/>
  </r>
  <r>
    <s v="TXN_01889"/>
    <d v="2024-06-23T00:00:00"/>
    <x v="10"/>
    <s v="Sunday"/>
    <s v="STORE_003"/>
    <x v="0"/>
    <x v="7"/>
    <x v="28"/>
    <n v="1475.19"/>
    <n v="2"/>
    <n v="2950.38"/>
    <n v="10"/>
    <n v="295.04000000000002"/>
    <n v="2655.34"/>
    <s v="UPI"/>
    <s v="CUST_00714"/>
    <n v="5"/>
    <n v="295.03999999999996"/>
    <n v="1327.67"/>
    <s v="Medium"/>
  </r>
  <r>
    <s v="TXN_01890"/>
    <d v="2024-09-05T00:00:00"/>
    <x v="9"/>
    <s v="Thursday"/>
    <s v="STORE_004"/>
    <x v="3"/>
    <x v="4"/>
    <x v="17"/>
    <n v="337.17"/>
    <n v="10"/>
    <n v="3371.7"/>
    <n v="0"/>
    <n v="0"/>
    <n v="3371.7"/>
    <s v="Credit Card"/>
    <s v="CUST_00299"/>
    <n v="4"/>
    <n v="0"/>
    <n v="337.16999999999996"/>
    <s v="No Discount"/>
  </r>
  <r>
    <s v="TXN_01891"/>
    <d v="2024-04-08T00:00:00"/>
    <x v="4"/>
    <s v="Monday"/>
    <s v="STORE_040"/>
    <x v="1"/>
    <x v="6"/>
    <x v="14"/>
    <n v="1397.4"/>
    <n v="6"/>
    <n v="8384.4"/>
    <n v="0"/>
    <n v="0"/>
    <n v="8384.4"/>
    <s v="Wallet"/>
    <s v="CUST_00712"/>
    <n v="5"/>
    <n v="0"/>
    <n v="1397.3999999999999"/>
    <s v="No Discount"/>
  </r>
  <r>
    <s v="TXN_01892"/>
    <d v="2024-04-25T00:00:00"/>
    <x v="4"/>
    <s v="Thursday"/>
    <s v="STORE_012"/>
    <x v="0"/>
    <x v="4"/>
    <x v="20"/>
    <n v="419.18"/>
    <n v="2"/>
    <n v="838.36"/>
    <n v="5"/>
    <n v="41.92"/>
    <n v="796.44"/>
    <s v="Credit Card"/>
    <s v="CUST_00928"/>
    <n v="2"/>
    <n v="41.919999999999959"/>
    <n v="398.22"/>
    <s v="Low"/>
  </r>
  <r>
    <s v="TXN_01893"/>
    <d v="2024-03-11T00:00:00"/>
    <x v="5"/>
    <s v="Monday"/>
    <s v="STORE_012"/>
    <x v="0"/>
    <x v="1"/>
    <x v="1"/>
    <n v="386.8"/>
    <n v="4"/>
    <n v="1547.2"/>
    <n v="0"/>
    <n v="0"/>
    <n v="1547.2"/>
    <s v="Wallet"/>
    <s v="CUST_00022"/>
    <n v="4"/>
    <n v="0"/>
    <n v="386.8"/>
    <s v="No Discount"/>
  </r>
  <r>
    <s v="TXN_01894"/>
    <d v="2024-03-20T00:00:00"/>
    <x v="5"/>
    <s v="Wednesday"/>
    <s v="STORE_044"/>
    <x v="1"/>
    <x v="4"/>
    <x v="35"/>
    <n v="217.34"/>
    <n v="2"/>
    <n v="434.68"/>
    <n v="5"/>
    <n v="21.73"/>
    <n v="412.95"/>
    <s v="Debit Card"/>
    <s v="CUST_00702"/>
    <n v="4"/>
    <n v="21.730000000000018"/>
    <n v="206.47499999999999"/>
    <s v="Low"/>
  </r>
  <r>
    <s v="TXN_01895"/>
    <d v="2024-02-09T00:00:00"/>
    <x v="1"/>
    <s v="Friday"/>
    <s v="STORE_048"/>
    <x v="2"/>
    <x v="2"/>
    <x v="7"/>
    <n v="715.35"/>
    <n v="7"/>
    <n v="5007.45"/>
    <n v="20"/>
    <n v="1001.49"/>
    <n v="4005.96"/>
    <s v="Debit Card"/>
    <s v="CUST_00709"/>
    <n v="2"/>
    <n v="1001.4899999999998"/>
    <n v="572.28"/>
    <s v="High"/>
  </r>
  <r>
    <s v="TXN_01896"/>
    <d v="2024-05-31T00:00:00"/>
    <x v="3"/>
    <s v="Friday"/>
    <s v="STORE_020"/>
    <x v="4"/>
    <x v="3"/>
    <x v="12"/>
    <n v="2933.25"/>
    <n v="5"/>
    <n v="14666.25"/>
    <n v="0"/>
    <n v="0"/>
    <n v="14666.25"/>
    <s v="UPI"/>
    <s v="CUST_00861"/>
    <n v="1"/>
    <n v="0"/>
    <n v="2933.25"/>
    <s v="No Discount"/>
  </r>
  <r>
    <s v="TXN_01897"/>
    <d v="2024-02-21T00:00:00"/>
    <x v="1"/>
    <s v="Wednesday"/>
    <s v="STORE_002"/>
    <x v="0"/>
    <x v="1"/>
    <x v="3"/>
    <n v="319.64999999999998"/>
    <n v="6"/>
    <n v="1917.9"/>
    <n v="0"/>
    <n v="0"/>
    <n v="1917.9"/>
    <s v="Cash"/>
    <s v="CUST_00011"/>
    <n v="4"/>
    <n v="0"/>
    <n v="319.65000000000003"/>
    <s v="No Discount"/>
  </r>
  <r>
    <s v="TXN_01898"/>
    <d v="2024-09-16T00:00:00"/>
    <x v="9"/>
    <s v="Monday"/>
    <s v="STORE_040"/>
    <x v="1"/>
    <x v="4"/>
    <x v="17"/>
    <n v="457.4"/>
    <n v="9"/>
    <n v="4116.6000000000004"/>
    <n v="15"/>
    <n v="617.49"/>
    <n v="3499.11"/>
    <s v="Cash"/>
    <s v="CUST_00195"/>
    <n v="1"/>
    <n v="617.49000000000024"/>
    <n v="388.79"/>
    <s v="Medium"/>
  </r>
  <r>
    <s v="TXN_01899"/>
    <d v="2024-10-03T00:00:00"/>
    <x v="7"/>
    <s v="Thursday"/>
    <s v="STORE_011"/>
    <x v="4"/>
    <x v="1"/>
    <x v="1"/>
    <n v="165.82"/>
    <n v="3"/>
    <n v="497.46"/>
    <n v="5"/>
    <n v="24.87"/>
    <n v="472.59"/>
    <s v="UPI"/>
    <s v="CUST_00759"/>
    <n v="2"/>
    <n v="24.870000000000005"/>
    <n v="157.53"/>
    <s v="Low"/>
  </r>
  <r>
    <s v="TXN_01900"/>
    <d v="2024-09-26T00:00:00"/>
    <x v="9"/>
    <s v="Thursday"/>
    <s v="STORE_021"/>
    <x v="0"/>
    <x v="4"/>
    <x v="19"/>
    <n v="254.93"/>
    <n v="3"/>
    <n v="764.79"/>
    <n v="5"/>
    <n v="38.24"/>
    <n v="726.55"/>
    <s v="UPI"/>
    <s v="CUST_00164"/>
    <n v="4"/>
    <n v="38.240000000000009"/>
    <n v="242.18333333333331"/>
    <s v="Low"/>
  </r>
  <r>
    <s v="TXN_01901"/>
    <d v="2024-01-20T00:00:00"/>
    <x v="2"/>
    <s v="Saturday"/>
    <s v="STORE_035"/>
    <x v="2"/>
    <x v="4"/>
    <x v="17"/>
    <n v="219.12"/>
    <n v="7"/>
    <n v="1533.84"/>
    <n v="0"/>
    <n v="0"/>
    <n v="1533.84"/>
    <s v="UPI"/>
    <s v="CUST_00146"/>
    <n v="3"/>
    <n v="0"/>
    <n v="219.11999999999998"/>
    <s v="No Discount"/>
  </r>
  <r>
    <s v="TXN_01902"/>
    <d v="2024-12-04T00:00:00"/>
    <x v="6"/>
    <s v="Wednesday"/>
    <s v="STORE_038"/>
    <x v="1"/>
    <x v="5"/>
    <x v="34"/>
    <n v="3616.48"/>
    <n v="10"/>
    <n v="36164.800000000003"/>
    <n v="15"/>
    <n v="5424.72"/>
    <n v="30740.080000000002"/>
    <s v="Debit Card"/>
    <s v="CUST_00120"/>
    <n v="2"/>
    <n v="5424.7200000000012"/>
    <n v="3074.0080000000003"/>
    <s v="Medium"/>
  </r>
  <r>
    <s v="TXN_01903"/>
    <d v="2024-06-21T00:00:00"/>
    <x v="10"/>
    <s v="Friday"/>
    <s v="STORE_038"/>
    <x v="1"/>
    <x v="7"/>
    <x v="24"/>
    <n v="1408.87"/>
    <n v="7"/>
    <n v="9862.09"/>
    <n v="0"/>
    <n v="0"/>
    <n v="9862.09"/>
    <s v="Credit Card"/>
    <s v="CUST_00324"/>
    <n v="2"/>
    <n v="0"/>
    <n v="1408.8700000000001"/>
    <s v="No Discount"/>
  </r>
  <r>
    <s v="TXN_01904"/>
    <d v="2024-11-12T00:00:00"/>
    <x v="0"/>
    <s v="Tuesday"/>
    <s v="STORE_012"/>
    <x v="4"/>
    <x v="0"/>
    <x v="0"/>
    <n v="548.71"/>
    <n v="8"/>
    <n v="4389.68"/>
    <n v="15"/>
    <n v="658.45"/>
    <n v="3731.23"/>
    <s v="Debit Card"/>
    <s v="CUST_00741"/>
    <n v="4"/>
    <n v="658.45000000000027"/>
    <n v="466.40375"/>
    <s v="Medium"/>
  </r>
  <r>
    <s v="TXN_01905"/>
    <d v="2024-03-08T00:00:00"/>
    <x v="5"/>
    <s v="Friday"/>
    <s v="STORE_040"/>
    <x v="4"/>
    <x v="2"/>
    <x v="29"/>
    <n v="129.91999999999999"/>
    <n v="7"/>
    <n v="909.44"/>
    <n v="0"/>
    <n v="0"/>
    <n v="909.44"/>
    <s v="Cash"/>
    <s v="CUST_00028"/>
    <n v="3"/>
    <n v="0"/>
    <n v="129.92000000000002"/>
    <s v="No Discount"/>
  </r>
  <r>
    <s v="TXN_01906"/>
    <d v="2024-11-01T00:00:00"/>
    <x v="0"/>
    <s v="Friday"/>
    <s v="STORE_003"/>
    <x v="1"/>
    <x v="4"/>
    <x v="8"/>
    <n v="237.54"/>
    <n v="2"/>
    <n v="475.08"/>
    <n v="0"/>
    <n v="0"/>
    <n v="475.08"/>
    <s v="Wallet"/>
    <s v="CUST_00588"/>
    <n v="1"/>
    <n v="0"/>
    <n v="237.54"/>
    <s v="No Discount"/>
  </r>
  <r>
    <s v="TXN_01907"/>
    <d v="2024-07-11T00:00:00"/>
    <x v="11"/>
    <s v="Thursday"/>
    <s v="STORE_012"/>
    <x v="2"/>
    <x v="3"/>
    <x v="12"/>
    <n v="379.85"/>
    <n v="2"/>
    <n v="759.7"/>
    <n v="0"/>
    <n v="0"/>
    <n v="759.7"/>
    <s v="Debit Card"/>
    <s v="CUST_00382"/>
    <n v="1"/>
    <n v="0"/>
    <n v="379.85"/>
    <s v="No Discount"/>
  </r>
  <r>
    <s v="TXN_01908"/>
    <d v="2024-03-19T00:00:00"/>
    <x v="5"/>
    <s v="Tuesday"/>
    <s v="STORE_010"/>
    <x v="3"/>
    <x v="2"/>
    <x v="7"/>
    <n v="563.91999999999996"/>
    <n v="2"/>
    <n v="1127.8399999999999"/>
    <n v="15"/>
    <n v="169.18"/>
    <n v="958.66"/>
    <s v="Cash"/>
    <s v="CUST_00557"/>
    <n v="5"/>
    <n v="169.17999999999995"/>
    <n v="479.33"/>
    <s v="Medium"/>
  </r>
  <r>
    <s v="TXN_01909"/>
    <d v="2024-03-24T00:00:00"/>
    <x v="5"/>
    <s v="Sunday"/>
    <s v="STORE_049"/>
    <x v="4"/>
    <x v="0"/>
    <x v="27"/>
    <n v="599.6"/>
    <n v="7"/>
    <n v="4197.2"/>
    <n v="0"/>
    <n v="0"/>
    <n v="4197.2"/>
    <s v="Credit Card"/>
    <s v="CUST_00113"/>
    <n v="1"/>
    <n v="0"/>
    <n v="599.6"/>
    <s v="No Discount"/>
  </r>
  <r>
    <s v="TXN_01910"/>
    <d v="2024-04-02T00:00:00"/>
    <x v="4"/>
    <s v="Tuesday"/>
    <s v="STORE_049"/>
    <x v="0"/>
    <x v="4"/>
    <x v="35"/>
    <n v="400.32"/>
    <n v="1"/>
    <n v="400.32"/>
    <n v="5"/>
    <n v="20.02"/>
    <n v="380.3"/>
    <s v="Cash"/>
    <s v="CUST_00858"/>
    <n v="3"/>
    <n v="20.019999999999982"/>
    <n v="380.3"/>
    <s v="Low"/>
  </r>
  <r>
    <s v="TXN_01911"/>
    <d v="2024-12-20T00:00:00"/>
    <x v="6"/>
    <s v="Friday"/>
    <s v="STORE_029"/>
    <x v="4"/>
    <x v="6"/>
    <x v="30"/>
    <n v="1691.92"/>
    <n v="3"/>
    <n v="5075.76"/>
    <n v="10"/>
    <n v="507.58"/>
    <n v="4568.18"/>
    <s v="Wallet"/>
    <s v="CUST_00492"/>
    <n v="4"/>
    <n v="507.57999999999993"/>
    <n v="1522.7266666666667"/>
    <s v="Medium"/>
  </r>
  <r>
    <s v="TXN_01912"/>
    <d v="2024-11-15T00:00:00"/>
    <x v="0"/>
    <s v="Friday"/>
    <s v="STORE_026"/>
    <x v="1"/>
    <x v="3"/>
    <x v="22"/>
    <n v="1658.19"/>
    <n v="7"/>
    <n v="11607.33"/>
    <n v="15"/>
    <n v="1741.1"/>
    <n v="9866.23"/>
    <s v="UPI"/>
    <s v="CUST_00794"/>
    <n v="3"/>
    <n v="1741.1000000000004"/>
    <n v="1409.4614285714285"/>
    <s v="Medium"/>
  </r>
  <r>
    <s v="TXN_01913"/>
    <d v="2024-03-25T00:00:00"/>
    <x v="5"/>
    <s v="Monday"/>
    <s v="STORE_008"/>
    <x v="4"/>
    <x v="7"/>
    <x v="23"/>
    <n v="822.41"/>
    <n v="3"/>
    <n v="2467.23"/>
    <n v="0"/>
    <n v="0"/>
    <n v="2467.23"/>
    <s v="Cash"/>
    <s v="CUST_00145"/>
    <n v="2"/>
    <n v="0"/>
    <n v="822.41"/>
    <s v="No Discount"/>
  </r>
  <r>
    <s v="TXN_01914"/>
    <d v="2024-08-12T00:00:00"/>
    <x v="8"/>
    <s v="Monday"/>
    <s v="STORE_045"/>
    <x v="2"/>
    <x v="0"/>
    <x v="0"/>
    <n v="343.24"/>
    <n v="4"/>
    <n v="1372.96"/>
    <n v="0"/>
    <n v="0"/>
    <n v="1372.96"/>
    <s v="Credit Card"/>
    <s v="CUST_00047"/>
    <n v="3"/>
    <n v="0"/>
    <n v="343.24"/>
    <s v="No Discount"/>
  </r>
  <r>
    <s v="TXN_01915"/>
    <d v="2024-01-23T00:00:00"/>
    <x v="2"/>
    <s v="Tuesday"/>
    <s v="STORE_047"/>
    <x v="3"/>
    <x v="2"/>
    <x v="29"/>
    <n v="528.21"/>
    <n v="9"/>
    <n v="4753.8900000000003"/>
    <n v="0"/>
    <n v="0"/>
    <n v="4753.8900000000003"/>
    <s v="Credit Card"/>
    <s v="CUST_00961"/>
    <n v="3"/>
    <n v="0"/>
    <n v="528.21"/>
    <s v="No Discount"/>
  </r>
  <r>
    <s v="TXN_01916"/>
    <d v="2024-07-29T00:00:00"/>
    <x v="11"/>
    <s v="Monday"/>
    <s v="STORE_038"/>
    <x v="4"/>
    <x v="7"/>
    <x v="28"/>
    <n v="865.27"/>
    <n v="10"/>
    <n v="8652.7000000000007"/>
    <n v="5"/>
    <n v="432.64"/>
    <n v="8220.06"/>
    <s v="Debit Card"/>
    <s v="CUST_00609"/>
    <n v="4"/>
    <n v="432.64000000000124"/>
    <n v="822.00599999999997"/>
    <s v="Low"/>
  </r>
  <r>
    <s v="TXN_01917"/>
    <d v="2024-07-05T00:00:00"/>
    <x v="11"/>
    <s v="Friday"/>
    <s v="STORE_045"/>
    <x v="0"/>
    <x v="2"/>
    <x v="7"/>
    <n v="583.46"/>
    <n v="2"/>
    <n v="1166.92"/>
    <n v="15"/>
    <n v="175.04"/>
    <n v="991.88"/>
    <s v="Debit Card"/>
    <s v="CUST_00114"/>
    <n v="5"/>
    <n v="175.04000000000008"/>
    <n v="495.94"/>
    <s v="Medium"/>
  </r>
  <r>
    <s v="TXN_01918"/>
    <d v="2024-12-12T00:00:00"/>
    <x v="6"/>
    <s v="Thursday"/>
    <s v="STORE_048"/>
    <x v="0"/>
    <x v="6"/>
    <x v="30"/>
    <n v="829.01"/>
    <n v="7"/>
    <n v="5803.07"/>
    <n v="5"/>
    <n v="290.14999999999998"/>
    <n v="5512.92"/>
    <s v="UPI"/>
    <s v="CUST_00724"/>
    <n v="1"/>
    <n v="290.14999999999964"/>
    <n v="787.56000000000006"/>
    <s v="Low"/>
  </r>
  <r>
    <s v="TXN_01919"/>
    <d v="2024-05-01T00:00:00"/>
    <x v="3"/>
    <s v="Wednesday"/>
    <s v="STORE_022"/>
    <x v="0"/>
    <x v="6"/>
    <x v="30"/>
    <n v="508.07"/>
    <n v="4"/>
    <n v="2032.28"/>
    <n v="15"/>
    <n v="304.83999999999997"/>
    <n v="1727.44"/>
    <s v="Debit Card"/>
    <s v="CUST_00558"/>
    <n v="5"/>
    <n v="304.83999999999992"/>
    <n v="431.86"/>
    <s v="Medium"/>
  </r>
  <r>
    <s v="TXN_01920"/>
    <d v="2024-08-15T00:00:00"/>
    <x v="8"/>
    <s v="Thursday"/>
    <s v="STORE_012"/>
    <x v="1"/>
    <x v="0"/>
    <x v="0"/>
    <n v="898.37"/>
    <n v="1"/>
    <n v="898.37"/>
    <n v="0"/>
    <n v="0"/>
    <n v="898.37"/>
    <s v="Credit Card"/>
    <s v="CUST_00251"/>
    <n v="3"/>
    <n v="0"/>
    <n v="898.37"/>
    <s v="No Discount"/>
  </r>
  <r>
    <s v="TXN_01921"/>
    <d v="2024-11-08T00:00:00"/>
    <x v="0"/>
    <s v="Friday"/>
    <s v="STORE_040"/>
    <x v="0"/>
    <x v="3"/>
    <x v="16"/>
    <n v="2187.4"/>
    <n v="6"/>
    <n v="13124.4"/>
    <n v="10"/>
    <n v="1312.44"/>
    <n v="11811.96"/>
    <s v="Debit Card"/>
    <s v="CUST_00676"/>
    <n v="4"/>
    <n v="1312.4400000000005"/>
    <n v="1968.6599999999999"/>
    <s v="Medium"/>
  </r>
  <r>
    <s v="TXN_01922"/>
    <d v="2024-05-25T00:00:00"/>
    <x v="3"/>
    <s v="Saturday"/>
    <s v="STORE_030"/>
    <x v="3"/>
    <x v="6"/>
    <x v="30"/>
    <n v="1176.6500000000001"/>
    <n v="9"/>
    <n v="10589.85"/>
    <n v="15"/>
    <n v="1588.48"/>
    <n v="9001.3700000000008"/>
    <s v="UPI"/>
    <s v="CUST_00956"/>
    <n v="2"/>
    <n v="1588.4799999999996"/>
    <n v="1000.1522222222223"/>
    <s v="Medium"/>
  </r>
  <r>
    <s v="TXN_01923"/>
    <d v="2024-08-17T00:00:00"/>
    <x v="8"/>
    <s v="Saturday"/>
    <s v="STORE_025"/>
    <x v="0"/>
    <x v="3"/>
    <x v="12"/>
    <n v="696.47"/>
    <n v="9"/>
    <n v="6268.23"/>
    <n v="0"/>
    <n v="0"/>
    <n v="6268.23"/>
    <s v="Wallet"/>
    <s v="CUST_00220"/>
    <n v="5"/>
    <n v="0"/>
    <n v="696.46999999999991"/>
    <s v="No Discount"/>
  </r>
  <r>
    <s v="TXN_01924"/>
    <d v="2024-04-29T00:00:00"/>
    <x v="4"/>
    <s v="Monday"/>
    <s v="STORE_041"/>
    <x v="4"/>
    <x v="1"/>
    <x v="1"/>
    <n v="455.06"/>
    <n v="2"/>
    <n v="910.12"/>
    <n v="10"/>
    <n v="91.01"/>
    <n v="819.11"/>
    <s v="Cash"/>
    <s v="CUST_00935"/>
    <n v="1"/>
    <n v="91.009999999999991"/>
    <n v="409.55500000000001"/>
    <s v="Medium"/>
  </r>
  <r>
    <s v="TXN_01925"/>
    <d v="2024-09-30T00:00:00"/>
    <x v="9"/>
    <s v="Monday"/>
    <s v="STORE_020"/>
    <x v="2"/>
    <x v="0"/>
    <x v="0"/>
    <n v="518.12"/>
    <n v="2"/>
    <n v="1036.24"/>
    <n v="0"/>
    <n v="0"/>
    <n v="1036.24"/>
    <s v="UPI"/>
    <s v="CUST_00001"/>
    <n v="5"/>
    <n v="0"/>
    <n v="518.12"/>
    <s v="No Discount"/>
  </r>
  <r>
    <s v="TXN_01926"/>
    <d v="2024-05-02T00:00:00"/>
    <x v="3"/>
    <s v="Thursday"/>
    <s v="STORE_015"/>
    <x v="4"/>
    <x v="7"/>
    <x v="38"/>
    <n v="486.06"/>
    <n v="9"/>
    <n v="4374.54"/>
    <n v="20"/>
    <n v="874.91"/>
    <n v="3499.63"/>
    <s v="Debit Card"/>
    <s v="CUST_00157"/>
    <n v="2"/>
    <n v="874.90999999999985"/>
    <n v="388.84777777777776"/>
    <s v="High"/>
  </r>
  <r>
    <s v="TXN_01927"/>
    <d v="2024-06-07T00:00:00"/>
    <x v="10"/>
    <s v="Friday"/>
    <s v="STORE_048"/>
    <x v="4"/>
    <x v="7"/>
    <x v="23"/>
    <n v="1318.98"/>
    <n v="4"/>
    <n v="5275.92"/>
    <n v="0"/>
    <n v="0"/>
    <n v="5275.92"/>
    <s v="Debit Card"/>
    <s v="CUST_00746"/>
    <n v="4"/>
    <n v="0"/>
    <n v="1318.98"/>
    <s v="No Discount"/>
  </r>
  <r>
    <s v="TXN_01928"/>
    <d v="2024-08-28T00:00:00"/>
    <x v="8"/>
    <s v="Wednesday"/>
    <s v="STORE_025"/>
    <x v="2"/>
    <x v="7"/>
    <x v="23"/>
    <n v="872.24"/>
    <n v="1"/>
    <n v="872.24"/>
    <n v="5"/>
    <n v="43.61"/>
    <n v="828.63"/>
    <s v="UPI"/>
    <s v="CUST_00667"/>
    <n v="4"/>
    <n v="43.610000000000014"/>
    <n v="828.63"/>
    <s v="Low"/>
  </r>
  <r>
    <s v="TXN_01929"/>
    <d v="2024-04-09T00:00:00"/>
    <x v="4"/>
    <s v="Tuesday"/>
    <s v="STORE_001"/>
    <x v="4"/>
    <x v="6"/>
    <x v="33"/>
    <n v="1633.28"/>
    <n v="6"/>
    <n v="9799.68"/>
    <n v="20"/>
    <n v="1959.94"/>
    <n v="7839.74"/>
    <s v="Wallet"/>
    <s v="CUST_00536"/>
    <n v="2"/>
    <n v="1959.9400000000005"/>
    <n v="1306.6233333333332"/>
    <s v="High"/>
  </r>
  <r>
    <s v="TXN_01930"/>
    <d v="2024-07-07T00:00:00"/>
    <x v="11"/>
    <s v="Sunday"/>
    <s v="STORE_039"/>
    <x v="3"/>
    <x v="7"/>
    <x v="24"/>
    <n v="596.83000000000004"/>
    <n v="2"/>
    <n v="1193.6600000000001"/>
    <n v="10"/>
    <n v="119.37"/>
    <n v="1074.29"/>
    <s v="Debit Card"/>
    <s v="CUST_00980"/>
    <n v="4"/>
    <n v="119.37000000000012"/>
    <n v="537.14499999999998"/>
    <s v="Medium"/>
  </r>
  <r>
    <s v="TXN_01931"/>
    <d v="2024-12-13T00:00:00"/>
    <x v="6"/>
    <s v="Friday"/>
    <s v="STORE_038"/>
    <x v="3"/>
    <x v="0"/>
    <x v="18"/>
    <n v="568.52"/>
    <n v="9"/>
    <n v="5116.68"/>
    <n v="15"/>
    <n v="767.5"/>
    <n v="4349.18"/>
    <s v="Credit Card"/>
    <s v="CUST_00594"/>
    <n v="3"/>
    <n v="767.5"/>
    <n v="483.24222222222227"/>
    <s v="Medium"/>
  </r>
  <r>
    <s v="TXN_01932"/>
    <d v="2024-10-19T00:00:00"/>
    <x v="7"/>
    <s v="Saturday"/>
    <s v="STORE_048"/>
    <x v="2"/>
    <x v="3"/>
    <x v="16"/>
    <n v="2139.7800000000002"/>
    <n v="6"/>
    <n v="12838.68"/>
    <n v="15"/>
    <n v="1925.8"/>
    <n v="10912.88"/>
    <s v="UPI"/>
    <s v="CUST_00734"/>
    <n v="2"/>
    <n v="1925.8000000000011"/>
    <n v="1818.8133333333333"/>
    <s v="Medium"/>
  </r>
  <r>
    <s v="TXN_01933"/>
    <d v="2024-08-13T00:00:00"/>
    <x v="8"/>
    <s v="Tuesday"/>
    <s v="STORE_040"/>
    <x v="1"/>
    <x v="5"/>
    <x v="9"/>
    <n v="2507.48"/>
    <n v="7"/>
    <n v="17552.36"/>
    <n v="10"/>
    <n v="1755.24"/>
    <n v="15797.12"/>
    <s v="UPI"/>
    <s v="CUST_00589"/>
    <n v="2"/>
    <n v="1755.2399999999998"/>
    <n v="2256.7314285714288"/>
    <s v="Medium"/>
  </r>
  <r>
    <s v="TXN_01934"/>
    <d v="2024-08-24T00:00:00"/>
    <x v="8"/>
    <s v="Saturday"/>
    <s v="STORE_038"/>
    <x v="4"/>
    <x v="7"/>
    <x v="38"/>
    <n v="688.41"/>
    <n v="4"/>
    <n v="2753.64"/>
    <n v="0"/>
    <n v="0"/>
    <n v="2753.64"/>
    <s v="Wallet"/>
    <s v="CUST_00913"/>
    <n v="5"/>
    <n v="0"/>
    <n v="688.41"/>
    <s v="No Discount"/>
  </r>
  <r>
    <s v="TXN_01935"/>
    <d v="2024-05-24T00:00:00"/>
    <x v="3"/>
    <s v="Friday"/>
    <s v="STORE_049"/>
    <x v="3"/>
    <x v="5"/>
    <x v="25"/>
    <n v="2304.6"/>
    <n v="10"/>
    <n v="23046"/>
    <n v="0"/>
    <n v="0"/>
    <n v="23046"/>
    <s v="UPI"/>
    <s v="CUST_00756"/>
    <n v="1"/>
    <n v="0"/>
    <n v="2304.6"/>
    <s v="No Discount"/>
  </r>
  <r>
    <s v="TXN_01936"/>
    <d v="2024-07-14T00:00:00"/>
    <x v="11"/>
    <s v="Sunday"/>
    <s v="STORE_041"/>
    <x v="3"/>
    <x v="2"/>
    <x v="29"/>
    <n v="505.53"/>
    <n v="10"/>
    <n v="5055.3"/>
    <n v="0"/>
    <n v="0"/>
    <n v="5055.3"/>
    <s v="UPI"/>
    <s v="CUST_00147"/>
    <n v="3"/>
    <n v="0"/>
    <n v="505.53000000000003"/>
    <s v="No Discount"/>
  </r>
  <r>
    <s v="TXN_01937"/>
    <d v="2024-09-14T00:00:00"/>
    <x v="9"/>
    <s v="Saturday"/>
    <s v="STORE_040"/>
    <x v="3"/>
    <x v="0"/>
    <x v="4"/>
    <n v="672.21"/>
    <n v="5"/>
    <n v="3361.05"/>
    <n v="0"/>
    <n v="0"/>
    <n v="3361.05"/>
    <s v="UPI"/>
    <s v="CUST_00497"/>
    <n v="5"/>
    <n v="0"/>
    <n v="672.21"/>
    <s v="No Discount"/>
  </r>
  <r>
    <s v="TXN_01938"/>
    <d v="2024-09-27T00:00:00"/>
    <x v="9"/>
    <s v="Friday"/>
    <s v="STORE_017"/>
    <x v="4"/>
    <x v="6"/>
    <x v="26"/>
    <n v="505.77"/>
    <n v="10"/>
    <n v="5057.7"/>
    <n v="5"/>
    <n v="252.88"/>
    <n v="4804.82"/>
    <s v="Cash"/>
    <s v="CUST_00361"/>
    <n v="4"/>
    <n v="252.88000000000011"/>
    <n v="480.48199999999997"/>
    <s v="Low"/>
  </r>
  <r>
    <s v="TXN_01939"/>
    <d v="2024-08-02T00:00:00"/>
    <x v="8"/>
    <s v="Friday"/>
    <s v="STORE_020"/>
    <x v="2"/>
    <x v="2"/>
    <x v="13"/>
    <n v="293.06"/>
    <n v="9"/>
    <n v="2637.54"/>
    <n v="0"/>
    <n v="0"/>
    <n v="2637.54"/>
    <s v="Wallet"/>
    <s v="CUST_00421"/>
    <n v="5"/>
    <n v="0"/>
    <n v="293.06"/>
    <s v="No Discount"/>
  </r>
  <r>
    <s v="TXN_01940"/>
    <d v="2024-03-23T00:00:00"/>
    <x v="5"/>
    <s v="Saturday"/>
    <s v="STORE_026"/>
    <x v="4"/>
    <x v="1"/>
    <x v="31"/>
    <n v="180.04"/>
    <n v="8"/>
    <n v="1440.32"/>
    <n v="10"/>
    <n v="144.03"/>
    <n v="1296.29"/>
    <s v="Cash"/>
    <s v="CUST_00550"/>
    <n v="2"/>
    <n v="144.02999999999997"/>
    <n v="162.03625"/>
    <s v="Medium"/>
  </r>
  <r>
    <s v="TXN_01941"/>
    <d v="2024-04-12T00:00:00"/>
    <x v="4"/>
    <s v="Friday"/>
    <s v="STORE_019"/>
    <x v="1"/>
    <x v="7"/>
    <x v="37"/>
    <n v="651.55999999999995"/>
    <n v="10"/>
    <n v="6515.6"/>
    <n v="10"/>
    <n v="651.55999999999995"/>
    <n v="5864.04"/>
    <s v="Credit Card"/>
    <s v="CUST_00011"/>
    <n v="3"/>
    <n v="651.5600000000004"/>
    <n v="586.404"/>
    <s v="Medium"/>
  </r>
  <r>
    <s v="TXN_01942"/>
    <d v="2024-11-05T00:00:00"/>
    <x v="0"/>
    <s v="Tuesday"/>
    <s v="STORE_003"/>
    <x v="0"/>
    <x v="5"/>
    <x v="10"/>
    <n v="4224.8100000000004"/>
    <n v="1"/>
    <n v="4224.8100000000004"/>
    <n v="0"/>
    <n v="0"/>
    <n v="4224.8100000000004"/>
    <s v="Debit Card"/>
    <s v="CUST_00409"/>
    <n v="1"/>
    <n v="0"/>
    <n v="4224.8100000000004"/>
    <s v="No Discount"/>
  </r>
  <r>
    <s v="TXN_01943"/>
    <d v="2024-03-11T00:00:00"/>
    <x v="5"/>
    <s v="Monday"/>
    <s v="STORE_004"/>
    <x v="2"/>
    <x v="5"/>
    <x v="9"/>
    <n v="1156.3399999999999"/>
    <n v="7"/>
    <n v="8094.38"/>
    <n v="0"/>
    <n v="0"/>
    <n v="8094.38"/>
    <s v="Wallet"/>
    <s v="CUST_00861"/>
    <n v="5"/>
    <n v="0"/>
    <n v="1156.3399999999999"/>
    <s v="No Discount"/>
  </r>
  <r>
    <s v="TXN_01944"/>
    <d v="2024-05-08T00:00:00"/>
    <x v="3"/>
    <s v="Wednesday"/>
    <s v="STORE_050"/>
    <x v="0"/>
    <x v="5"/>
    <x v="25"/>
    <n v="3138.57"/>
    <n v="5"/>
    <n v="15692.85"/>
    <n v="0"/>
    <n v="0"/>
    <n v="15692.85"/>
    <s v="Wallet"/>
    <s v="CUST_00001"/>
    <n v="1"/>
    <n v="0"/>
    <n v="3138.57"/>
    <s v="No Discount"/>
  </r>
  <r>
    <s v="TXN_01945"/>
    <d v="2024-01-27T00:00:00"/>
    <x v="2"/>
    <s v="Saturday"/>
    <s v="STORE_016"/>
    <x v="4"/>
    <x v="3"/>
    <x v="21"/>
    <n v="1123.6600000000001"/>
    <n v="5"/>
    <n v="5618.3"/>
    <n v="15"/>
    <n v="842.75"/>
    <n v="4775.55"/>
    <s v="Wallet"/>
    <s v="CUST_00610"/>
    <n v="5"/>
    <n v="842.75"/>
    <n v="955.11"/>
    <s v="Medium"/>
  </r>
  <r>
    <s v="TXN_01946"/>
    <d v="2024-11-24T00:00:00"/>
    <x v="0"/>
    <s v="Sunday"/>
    <s v="STORE_016"/>
    <x v="2"/>
    <x v="1"/>
    <x v="6"/>
    <n v="425.03"/>
    <n v="2"/>
    <n v="850.06"/>
    <n v="10"/>
    <n v="85.01"/>
    <n v="765.05"/>
    <s v="Cash"/>
    <s v="CUST_00153"/>
    <n v="4"/>
    <n v="85.009999999999991"/>
    <n v="382.52499999999998"/>
    <s v="Medium"/>
  </r>
  <r>
    <s v="TXN_01947"/>
    <d v="2024-09-03T00:00:00"/>
    <x v="9"/>
    <s v="Tuesday"/>
    <s v="STORE_044"/>
    <x v="1"/>
    <x v="1"/>
    <x v="6"/>
    <n v="461.84"/>
    <n v="1"/>
    <n v="461.84"/>
    <n v="0"/>
    <n v="0"/>
    <n v="461.84"/>
    <s v="Debit Card"/>
    <s v="CUST_00738"/>
    <n v="1"/>
    <n v="0"/>
    <n v="461.84"/>
    <s v="No Discount"/>
  </r>
  <r>
    <s v="TXN_01948"/>
    <d v="2024-07-09T00:00:00"/>
    <x v="11"/>
    <s v="Tuesday"/>
    <s v="STORE_023"/>
    <x v="3"/>
    <x v="0"/>
    <x v="4"/>
    <n v="281.45999999999998"/>
    <n v="10"/>
    <n v="2814.6"/>
    <n v="0"/>
    <n v="0"/>
    <n v="2814.6"/>
    <s v="Debit Card"/>
    <s v="CUST_00300"/>
    <n v="1"/>
    <n v="0"/>
    <n v="281.45999999999998"/>
    <s v="No Discount"/>
  </r>
  <r>
    <s v="TXN_01949"/>
    <d v="2024-10-10T00:00:00"/>
    <x v="7"/>
    <s v="Thursday"/>
    <s v="STORE_043"/>
    <x v="1"/>
    <x v="7"/>
    <x v="23"/>
    <n v="613.27"/>
    <n v="10"/>
    <n v="6132.7"/>
    <n v="0"/>
    <n v="0"/>
    <n v="6132.7"/>
    <s v="UPI"/>
    <s v="CUST_00443"/>
    <n v="5"/>
    <n v="0"/>
    <n v="613.27"/>
    <s v="No Discount"/>
  </r>
  <r>
    <s v="TXN_01950"/>
    <d v="2024-02-22T00:00:00"/>
    <x v="1"/>
    <s v="Thursday"/>
    <s v="STORE_034"/>
    <x v="3"/>
    <x v="1"/>
    <x v="3"/>
    <n v="73.3"/>
    <n v="8"/>
    <n v="586.4"/>
    <n v="15"/>
    <n v="87.96"/>
    <n v="498.44"/>
    <s v="Credit Card"/>
    <s v="CUST_00166"/>
    <n v="1"/>
    <n v="87.95999999999998"/>
    <n v="62.305"/>
    <s v="Medium"/>
  </r>
  <r>
    <s v="TXN_01951"/>
    <d v="2024-12-30T00:00:00"/>
    <x v="6"/>
    <s v="Monday"/>
    <s v="STORE_004"/>
    <x v="0"/>
    <x v="0"/>
    <x v="18"/>
    <n v="224.98"/>
    <n v="4"/>
    <n v="899.92"/>
    <n v="5"/>
    <n v="45"/>
    <n v="854.92"/>
    <s v="Cash"/>
    <s v="CUST_00278"/>
    <n v="1"/>
    <n v="45"/>
    <n v="213.73"/>
    <s v="Low"/>
  </r>
  <r>
    <s v="TXN_01952"/>
    <d v="2024-09-21T00:00:00"/>
    <x v="9"/>
    <s v="Saturday"/>
    <s v="STORE_003"/>
    <x v="3"/>
    <x v="2"/>
    <x v="39"/>
    <n v="764.79"/>
    <n v="5"/>
    <n v="3823.95"/>
    <n v="0"/>
    <n v="0"/>
    <n v="3823.95"/>
    <s v="Wallet"/>
    <s v="CUST_00496"/>
    <n v="5"/>
    <n v="0"/>
    <n v="764.79"/>
    <s v="No Discount"/>
  </r>
  <r>
    <s v="TXN_01953"/>
    <d v="2024-03-04T00:00:00"/>
    <x v="5"/>
    <s v="Monday"/>
    <s v="STORE_020"/>
    <x v="2"/>
    <x v="2"/>
    <x v="39"/>
    <n v="768.28"/>
    <n v="9"/>
    <n v="6914.52"/>
    <n v="5"/>
    <n v="345.73"/>
    <n v="6568.79"/>
    <s v="Cash"/>
    <s v="CUST_00387"/>
    <n v="2"/>
    <n v="345.73000000000047"/>
    <n v="729.8655555555556"/>
    <s v="Low"/>
  </r>
  <r>
    <s v="TXN_01954"/>
    <d v="2024-05-25T00:00:00"/>
    <x v="3"/>
    <s v="Saturday"/>
    <s v="STORE_031"/>
    <x v="0"/>
    <x v="5"/>
    <x v="11"/>
    <n v="1467.32"/>
    <n v="6"/>
    <n v="8803.92"/>
    <n v="10"/>
    <n v="880.39"/>
    <n v="7923.53"/>
    <s v="Wallet"/>
    <s v="CUST_00323"/>
    <n v="4"/>
    <n v="880.39000000000033"/>
    <n v="1320.5883333333334"/>
    <s v="Medium"/>
  </r>
  <r>
    <s v="TXN_01955"/>
    <d v="2024-02-12T00:00:00"/>
    <x v="1"/>
    <s v="Monday"/>
    <s v="STORE_022"/>
    <x v="0"/>
    <x v="0"/>
    <x v="0"/>
    <n v="347.39"/>
    <n v="3"/>
    <n v="1042.17"/>
    <n v="0"/>
    <n v="0"/>
    <n v="1042.17"/>
    <s v="Wallet"/>
    <s v="CUST_00221"/>
    <n v="1"/>
    <n v="0"/>
    <n v="347.39000000000004"/>
    <s v="No Discount"/>
  </r>
  <r>
    <s v="TXN_01956"/>
    <d v="2024-03-23T00:00:00"/>
    <x v="5"/>
    <s v="Saturday"/>
    <s v="STORE_025"/>
    <x v="1"/>
    <x v="2"/>
    <x v="13"/>
    <n v="655.19000000000005"/>
    <n v="5"/>
    <n v="3275.95"/>
    <n v="5"/>
    <n v="163.80000000000001"/>
    <n v="3112.15"/>
    <s v="Cash"/>
    <s v="CUST_00555"/>
    <n v="4"/>
    <n v="163.79999999999973"/>
    <n v="622.43000000000006"/>
    <s v="Low"/>
  </r>
  <r>
    <s v="TXN_01957"/>
    <d v="2024-05-19T00:00:00"/>
    <x v="3"/>
    <s v="Sunday"/>
    <s v="STORE_011"/>
    <x v="2"/>
    <x v="2"/>
    <x v="39"/>
    <n v="360.66"/>
    <n v="4"/>
    <n v="1442.64"/>
    <n v="10"/>
    <n v="144.26"/>
    <n v="1298.3800000000001"/>
    <s v="UPI"/>
    <s v="CUST_00869"/>
    <n v="3"/>
    <n v="144.26"/>
    <n v="324.59500000000003"/>
    <s v="Medium"/>
  </r>
  <r>
    <s v="TXN_01958"/>
    <d v="2024-08-18T00:00:00"/>
    <x v="8"/>
    <s v="Sunday"/>
    <s v="STORE_019"/>
    <x v="1"/>
    <x v="3"/>
    <x v="16"/>
    <n v="830.63"/>
    <n v="1"/>
    <n v="830.63"/>
    <n v="5"/>
    <n v="41.53"/>
    <n v="789.1"/>
    <s v="Credit Card"/>
    <s v="CUST_00747"/>
    <n v="2"/>
    <n v="41.529999999999973"/>
    <n v="789.1"/>
    <s v="Low"/>
  </r>
  <r>
    <s v="TXN_01959"/>
    <d v="2024-09-19T00:00:00"/>
    <x v="9"/>
    <s v="Thursday"/>
    <s v="STORE_026"/>
    <x v="0"/>
    <x v="4"/>
    <x v="20"/>
    <n v="195.73"/>
    <n v="10"/>
    <n v="1957.3"/>
    <n v="0"/>
    <n v="0"/>
    <n v="1957.3"/>
    <s v="Credit Card"/>
    <s v="CUST_00675"/>
    <n v="2"/>
    <n v="0"/>
    <n v="195.73"/>
    <s v="No Discount"/>
  </r>
  <r>
    <s v="TXN_01960"/>
    <d v="2024-03-16T00:00:00"/>
    <x v="5"/>
    <s v="Saturday"/>
    <s v="STORE_050"/>
    <x v="0"/>
    <x v="5"/>
    <x v="34"/>
    <n v="4722.07"/>
    <n v="2"/>
    <n v="9444.14"/>
    <n v="15"/>
    <n v="1416.62"/>
    <n v="8027.52"/>
    <s v="UPI"/>
    <s v="CUST_00649"/>
    <n v="2"/>
    <n v="1416.619999999999"/>
    <n v="4013.76"/>
    <s v="Medium"/>
  </r>
  <r>
    <s v="TXN_01961"/>
    <d v="2024-08-11T00:00:00"/>
    <x v="8"/>
    <s v="Sunday"/>
    <s v="STORE_040"/>
    <x v="1"/>
    <x v="1"/>
    <x v="1"/>
    <n v="120.67"/>
    <n v="5"/>
    <n v="603.35"/>
    <n v="10"/>
    <n v="60.34"/>
    <n v="543.01"/>
    <s v="Wallet"/>
    <s v="CUST_00570"/>
    <n v="2"/>
    <n v="60.340000000000032"/>
    <n v="108.602"/>
    <s v="Medium"/>
  </r>
  <r>
    <s v="TXN_01962"/>
    <d v="2024-02-16T00:00:00"/>
    <x v="1"/>
    <s v="Friday"/>
    <s v="STORE_011"/>
    <x v="1"/>
    <x v="4"/>
    <x v="35"/>
    <n v="399.36"/>
    <n v="3"/>
    <n v="1198.08"/>
    <n v="0"/>
    <n v="0"/>
    <n v="1198.08"/>
    <s v="Wallet"/>
    <s v="CUST_00144"/>
    <n v="3"/>
    <n v="0"/>
    <n v="399.35999999999996"/>
    <s v="No Discount"/>
  </r>
  <r>
    <s v="TXN_01963"/>
    <d v="2024-04-23T00:00:00"/>
    <x v="4"/>
    <s v="Tuesday"/>
    <s v="STORE_040"/>
    <x v="2"/>
    <x v="4"/>
    <x v="8"/>
    <n v="332.74"/>
    <n v="9"/>
    <n v="2994.66"/>
    <n v="0"/>
    <n v="0"/>
    <n v="2994.66"/>
    <s v="UPI"/>
    <s v="CUST_00460"/>
    <n v="3"/>
    <n v="0"/>
    <n v="332.74"/>
    <s v="No Discount"/>
  </r>
  <r>
    <s v="TXN_01964"/>
    <d v="2024-08-18T00:00:00"/>
    <x v="8"/>
    <s v="Sunday"/>
    <s v="STORE_020"/>
    <x v="4"/>
    <x v="7"/>
    <x v="28"/>
    <n v="703.19"/>
    <n v="1"/>
    <n v="703.19"/>
    <n v="10"/>
    <n v="70.319999999999993"/>
    <n v="632.87"/>
    <s v="Credit Card"/>
    <s v="CUST_00095"/>
    <n v="3"/>
    <n v="70.32000000000005"/>
    <n v="632.87"/>
    <s v="Medium"/>
  </r>
  <r>
    <s v="TXN_01965"/>
    <d v="2024-06-27T00:00:00"/>
    <x v="10"/>
    <s v="Thursday"/>
    <s v="STORE_041"/>
    <x v="0"/>
    <x v="2"/>
    <x v="13"/>
    <n v="417.88"/>
    <n v="5"/>
    <n v="2089.4"/>
    <n v="5"/>
    <n v="104.47"/>
    <n v="1984.93"/>
    <s v="Debit Card"/>
    <s v="CUST_00366"/>
    <n v="3"/>
    <n v="104.47000000000003"/>
    <n v="396.98599999999999"/>
    <s v="Low"/>
  </r>
  <r>
    <s v="TXN_01966"/>
    <d v="2024-01-14T00:00:00"/>
    <x v="2"/>
    <s v="Sunday"/>
    <s v="STORE_030"/>
    <x v="2"/>
    <x v="5"/>
    <x v="25"/>
    <n v="2753.44"/>
    <n v="9"/>
    <n v="24780.959999999999"/>
    <n v="15"/>
    <n v="3717.14"/>
    <n v="21063.82"/>
    <s v="Cash"/>
    <s v="CUST_00365"/>
    <n v="1"/>
    <n v="3717.1399999999994"/>
    <n v="2340.4244444444444"/>
    <s v="Medium"/>
  </r>
  <r>
    <s v="TXN_01967"/>
    <d v="2024-07-31T00:00:00"/>
    <x v="11"/>
    <s v="Wednesday"/>
    <s v="STORE_003"/>
    <x v="1"/>
    <x v="2"/>
    <x v="7"/>
    <n v="421.62"/>
    <n v="5"/>
    <n v="2108.1"/>
    <n v="0"/>
    <n v="0"/>
    <n v="2108.1"/>
    <s v="Wallet"/>
    <s v="CUST_00237"/>
    <n v="2"/>
    <n v="0"/>
    <n v="421.62"/>
    <s v="No Discount"/>
  </r>
  <r>
    <s v="TXN_01968"/>
    <d v="2024-01-28T00:00:00"/>
    <x v="2"/>
    <s v="Sunday"/>
    <s v="STORE_014"/>
    <x v="3"/>
    <x v="1"/>
    <x v="3"/>
    <n v="290.44"/>
    <n v="4"/>
    <n v="1161.76"/>
    <n v="0"/>
    <n v="0"/>
    <n v="1161.76"/>
    <s v="Credit Card"/>
    <s v="CUST_00086"/>
    <n v="5"/>
    <n v="0"/>
    <n v="290.44"/>
    <s v="No Discount"/>
  </r>
  <r>
    <s v="TXN_01969"/>
    <d v="2024-07-21T00:00:00"/>
    <x v="11"/>
    <s v="Sunday"/>
    <s v="STORE_003"/>
    <x v="4"/>
    <x v="7"/>
    <x v="38"/>
    <n v="587.58000000000004"/>
    <n v="9"/>
    <n v="5288.22"/>
    <n v="10"/>
    <n v="528.82000000000005"/>
    <n v="4759.3999999999996"/>
    <s v="Debit Card"/>
    <s v="CUST_00486"/>
    <n v="4"/>
    <n v="528.82000000000062"/>
    <n v="528.82222222222219"/>
    <s v="Medium"/>
  </r>
  <r>
    <s v="TXN_01970"/>
    <d v="2024-09-14T00:00:00"/>
    <x v="9"/>
    <s v="Saturday"/>
    <s v="STORE_013"/>
    <x v="2"/>
    <x v="5"/>
    <x v="10"/>
    <n v="1273.27"/>
    <n v="3"/>
    <n v="3819.81"/>
    <n v="5"/>
    <n v="190.99"/>
    <n v="3628.82"/>
    <s v="Wallet"/>
    <s v="CUST_00293"/>
    <n v="4"/>
    <n v="190.98999999999978"/>
    <n v="1209.6066666666668"/>
    <s v="Low"/>
  </r>
  <r>
    <s v="TXN_01971"/>
    <d v="2024-07-10T00:00:00"/>
    <x v="11"/>
    <s v="Wednesday"/>
    <s v="STORE_029"/>
    <x v="1"/>
    <x v="0"/>
    <x v="0"/>
    <n v="452.78"/>
    <n v="2"/>
    <n v="905.56"/>
    <n v="0"/>
    <n v="0"/>
    <n v="905.56"/>
    <s v="Debit Card"/>
    <s v="CUST_00419"/>
    <n v="1"/>
    <n v="0"/>
    <n v="452.78"/>
    <s v="No Discount"/>
  </r>
  <r>
    <s v="TXN_01972"/>
    <d v="2024-04-30T00:00:00"/>
    <x v="4"/>
    <s v="Tuesday"/>
    <s v="STORE_007"/>
    <x v="4"/>
    <x v="4"/>
    <x v="20"/>
    <n v="566.96"/>
    <n v="4"/>
    <n v="2267.84"/>
    <n v="5"/>
    <n v="113.39"/>
    <n v="2154.4499999999998"/>
    <s v="Wallet"/>
    <s v="CUST_00579"/>
    <n v="1"/>
    <n v="113.39000000000033"/>
    <n v="538.61249999999995"/>
    <s v="Low"/>
  </r>
  <r>
    <s v="TXN_01973"/>
    <d v="2024-07-16T00:00:00"/>
    <x v="11"/>
    <s v="Tuesday"/>
    <s v="STORE_025"/>
    <x v="3"/>
    <x v="7"/>
    <x v="24"/>
    <n v="809.83"/>
    <n v="8"/>
    <n v="6478.64"/>
    <n v="0"/>
    <n v="0"/>
    <n v="6478.64"/>
    <s v="Cash"/>
    <s v="CUST_00090"/>
    <n v="3"/>
    <n v="0"/>
    <n v="809.83"/>
    <s v="No Discount"/>
  </r>
  <r>
    <s v="TXN_01974"/>
    <d v="2024-02-11T00:00:00"/>
    <x v="1"/>
    <s v="Sunday"/>
    <s v="STORE_005"/>
    <x v="1"/>
    <x v="1"/>
    <x v="1"/>
    <n v="384.04"/>
    <n v="3"/>
    <n v="1152.1199999999999"/>
    <n v="10"/>
    <n v="115.21"/>
    <n v="1036.9100000000001"/>
    <s v="UPI"/>
    <s v="CUST_00230"/>
    <n v="5"/>
    <n v="115.20999999999981"/>
    <n v="345.63666666666671"/>
    <s v="Medium"/>
  </r>
  <r>
    <s v="TXN_01975"/>
    <d v="2024-07-10T00:00:00"/>
    <x v="11"/>
    <s v="Wednesday"/>
    <s v="STORE_041"/>
    <x v="3"/>
    <x v="3"/>
    <x v="5"/>
    <n v="582.34"/>
    <n v="10"/>
    <n v="5823.4"/>
    <n v="10"/>
    <n v="582.34"/>
    <n v="5241.0600000000004"/>
    <s v="Cash"/>
    <s v="CUST_00269"/>
    <n v="4"/>
    <n v="582.33999999999924"/>
    <n v="524.10599999999999"/>
    <s v="Medium"/>
  </r>
  <r>
    <s v="TXN_01976"/>
    <d v="2024-04-24T00:00:00"/>
    <x v="4"/>
    <s v="Wednesday"/>
    <s v="STORE_008"/>
    <x v="2"/>
    <x v="4"/>
    <x v="8"/>
    <n v="424.32"/>
    <n v="10"/>
    <n v="4243.2"/>
    <n v="10"/>
    <n v="424.32"/>
    <n v="3818.88"/>
    <s v="Credit Card"/>
    <s v="CUST_00546"/>
    <n v="1"/>
    <n v="424.31999999999971"/>
    <n v="381.88800000000003"/>
    <s v="Medium"/>
  </r>
  <r>
    <s v="TXN_01977"/>
    <d v="2024-01-15T00:00:00"/>
    <x v="2"/>
    <s v="Monday"/>
    <s v="STORE_011"/>
    <x v="2"/>
    <x v="4"/>
    <x v="19"/>
    <n v="252.54"/>
    <n v="1"/>
    <n v="252.54"/>
    <n v="10"/>
    <n v="25.25"/>
    <n v="227.29"/>
    <s v="Debit Card"/>
    <s v="CUST_00722"/>
    <n v="3"/>
    <n v="25.25"/>
    <n v="227.29"/>
    <s v="Medium"/>
  </r>
  <r>
    <s v="TXN_01978"/>
    <d v="2024-06-12T00:00:00"/>
    <x v="10"/>
    <s v="Wednesday"/>
    <s v="STORE_042"/>
    <x v="1"/>
    <x v="7"/>
    <x v="23"/>
    <n v="1013.34"/>
    <n v="9"/>
    <n v="9120.06"/>
    <n v="0"/>
    <n v="0"/>
    <n v="9120.06"/>
    <s v="Cash"/>
    <s v="CUST_00400"/>
    <n v="2"/>
    <n v="0"/>
    <n v="1013.3399999999999"/>
    <s v="No Discount"/>
  </r>
  <r>
    <s v="TXN_01979"/>
    <d v="2024-02-20T00:00:00"/>
    <x v="1"/>
    <s v="Tuesday"/>
    <s v="STORE_038"/>
    <x v="1"/>
    <x v="2"/>
    <x v="7"/>
    <n v="643.54"/>
    <n v="5"/>
    <n v="3217.7"/>
    <n v="10"/>
    <n v="321.77"/>
    <n v="2895.93"/>
    <s v="Wallet"/>
    <s v="CUST_00449"/>
    <n v="4"/>
    <n v="321.77"/>
    <n v="579.18599999999992"/>
    <s v="Medium"/>
  </r>
  <r>
    <s v="TXN_01980"/>
    <d v="2024-12-31T00:00:00"/>
    <x v="6"/>
    <s v="Tuesday"/>
    <s v="STORE_041"/>
    <x v="4"/>
    <x v="5"/>
    <x v="10"/>
    <n v="4643.3500000000004"/>
    <n v="6"/>
    <n v="27860.1"/>
    <n v="20"/>
    <n v="5572.02"/>
    <n v="22288.080000000002"/>
    <s v="UPI"/>
    <s v="CUST_00357"/>
    <n v="3"/>
    <n v="5572.0199999999968"/>
    <n v="3714.6800000000003"/>
    <s v="High"/>
  </r>
  <r>
    <s v="TXN_01981"/>
    <d v="2024-11-28T00:00:00"/>
    <x v="0"/>
    <s v="Thursday"/>
    <s v="STORE_005"/>
    <x v="3"/>
    <x v="5"/>
    <x v="10"/>
    <n v="3967.59"/>
    <n v="10"/>
    <n v="39675.9"/>
    <n v="0"/>
    <n v="0"/>
    <n v="39675.9"/>
    <s v="Debit Card"/>
    <s v="CUST_00764"/>
    <n v="2"/>
    <n v="0"/>
    <n v="3967.59"/>
    <s v="No Discount"/>
  </r>
  <r>
    <s v="TXN_01982"/>
    <d v="2024-06-20T00:00:00"/>
    <x v="10"/>
    <s v="Thursday"/>
    <s v="STORE_034"/>
    <x v="4"/>
    <x v="1"/>
    <x v="3"/>
    <n v="324.14"/>
    <n v="2"/>
    <n v="648.28"/>
    <n v="20"/>
    <n v="129.66"/>
    <n v="518.62"/>
    <s v="Debit Card"/>
    <s v="CUST_00193"/>
    <n v="3"/>
    <n v="129.65999999999997"/>
    <n v="259.31"/>
    <s v="High"/>
  </r>
  <r>
    <s v="TXN_01983"/>
    <d v="2024-03-15T00:00:00"/>
    <x v="5"/>
    <s v="Friday"/>
    <s v="STORE_020"/>
    <x v="1"/>
    <x v="1"/>
    <x v="36"/>
    <n v="257.95"/>
    <n v="6"/>
    <n v="1547.7"/>
    <n v="20"/>
    <n v="309.54000000000002"/>
    <n v="1238.1600000000001"/>
    <s v="Wallet"/>
    <s v="CUST_00948"/>
    <n v="5"/>
    <n v="309.53999999999996"/>
    <n v="206.36"/>
    <s v="High"/>
  </r>
  <r>
    <s v="TXN_01984"/>
    <d v="2024-03-11T00:00:00"/>
    <x v="5"/>
    <s v="Monday"/>
    <s v="STORE_034"/>
    <x v="3"/>
    <x v="4"/>
    <x v="8"/>
    <n v="505.46"/>
    <n v="4"/>
    <n v="2021.84"/>
    <n v="5"/>
    <n v="101.09"/>
    <n v="1920.75"/>
    <s v="UPI"/>
    <s v="CUST_00536"/>
    <n v="2"/>
    <n v="101.08999999999992"/>
    <n v="480.1875"/>
    <s v="Low"/>
  </r>
  <r>
    <s v="TXN_01985"/>
    <d v="2024-01-20T00:00:00"/>
    <x v="2"/>
    <s v="Saturday"/>
    <s v="STORE_034"/>
    <x v="4"/>
    <x v="7"/>
    <x v="28"/>
    <n v="518.66999999999996"/>
    <n v="4"/>
    <n v="2074.6799999999998"/>
    <n v="15"/>
    <n v="311.2"/>
    <n v="1763.48"/>
    <s v="Credit Card"/>
    <s v="CUST_00350"/>
    <n v="2"/>
    <n v="311.19999999999982"/>
    <n v="440.87"/>
    <s v="Medium"/>
  </r>
  <r>
    <s v="TXN_01986"/>
    <d v="2024-05-26T00:00:00"/>
    <x v="3"/>
    <s v="Sunday"/>
    <s v="STORE_032"/>
    <x v="4"/>
    <x v="0"/>
    <x v="27"/>
    <n v="291.26"/>
    <n v="2"/>
    <n v="582.52"/>
    <n v="10"/>
    <n v="58.25"/>
    <n v="524.27"/>
    <s v="Debit Card"/>
    <s v="CUST_00082"/>
    <n v="5"/>
    <n v="58.25"/>
    <n v="262.13499999999999"/>
    <s v="Medium"/>
  </r>
  <r>
    <s v="TXN_01987"/>
    <d v="2024-08-29T00:00:00"/>
    <x v="8"/>
    <s v="Thursday"/>
    <s v="STORE_041"/>
    <x v="0"/>
    <x v="2"/>
    <x v="39"/>
    <n v="503.51"/>
    <n v="1"/>
    <n v="503.51"/>
    <n v="15"/>
    <n v="75.53"/>
    <n v="427.98"/>
    <s v="Wallet"/>
    <s v="CUST_00854"/>
    <n v="5"/>
    <n v="75.529999999999973"/>
    <n v="427.98"/>
    <s v="Medium"/>
  </r>
  <r>
    <s v="TXN_01988"/>
    <d v="2024-12-22T00:00:00"/>
    <x v="6"/>
    <s v="Sunday"/>
    <s v="STORE_036"/>
    <x v="3"/>
    <x v="7"/>
    <x v="37"/>
    <n v="861.61"/>
    <n v="1"/>
    <n v="861.61"/>
    <n v="0"/>
    <n v="0"/>
    <n v="861.61"/>
    <s v="Cash"/>
    <s v="CUST_00947"/>
    <n v="2"/>
    <n v="0"/>
    <n v="861.61"/>
    <s v="No Discount"/>
  </r>
  <r>
    <s v="TXN_01989"/>
    <d v="2024-03-12T00:00:00"/>
    <x v="5"/>
    <s v="Tuesday"/>
    <s v="STORE_035"/>
    <x v="2"/>
    <x v="0"/>
    <x v="27"/>
    <n v="366.18"/>
    <n v="6"/>
    <n v="2197.08"/>
    <n v="0"/>
    <n v="0"/>
    <n v="2197.08"/>
    <s v="Cash"/>
    <s v="CUST_00773"/>
    <n v="5"/>
    <n v="0"/>
    <n v="366.18"/>
    <s v="No Discount"/>
  </r>
  <r>
    <s v="TXN_01990"/>
    <d v="2024-12-27T00:00:00"/>
    <x v="6"/>
    <s v="Friday"/>
    <s v="STORE_002"/>
    <x v="2"/>
    <x v="1"/>
    <x v="36"/>
    <n v="395.96"/>
    <n v="6"/>
    <n v="2375.7600000000002"/>
    <n v="0"/>
    <n v="0"/>
    <n v="2375.7600000000002"/>
    <s v="Debit Card"/>
    <s v="CUST_00125"/>
    <n v="4"/>
    <n v="0"/>
    <n v="395.96000000000004"/>
    <s v="No Discount"/>
  </r>
  <r>
    <s v="TXN_01991"/>
    <d v="2024-08-28T00:00:00"/>
    <x v="8"/>
    <s v="Wednesday"/>
    <s v="STORE_037"/>
    <x v="3"/>
    <x v="3"/>
    <x v="16"/>
    <n v="423.5"/>
    <n v="4"/>
    <n v="1694"/>
    <n v="20"/>
    <n v="338.8"/>
    <n v="1355.2"/>
    <s v="Wallet"/>
    <s v="CUST_00315"/>
    <n v="2"/>
    <n v="338.79999999999995"/>
    <n v="338.8"/>
    <s v="High"/>
  </r>
  <r>
    <s v="TXN_01992"/>
    <d v="2024-08-17T00:00:00"/>
    <x v="8"/>
    <s v="Saturday"/>
    <s v="STORE_037"/>
    <x v="2"/>
    <x v="5"/>
    <x v="25"/>
    <n v="2398.25"/>
    <n v="4"/>
    <n v="9593"/>
    <n v="15"/>
    <n v="1438.95"/>
    <n v="8154.05"/>
    <s v="UPI"/>
    <s v="CUST_00707"/>
    <n v="1"/>
    <n v="1438.9499999999998"/>
    <n v="2038.5125"/>
    <s v="Medium"/>
  </r>
  <r>
    <s v="TXN_01993"/>
    <d v="2024-11-11T00:00:00"/>
    <x v="0"/>
    <s v="Monday"/>
    <s v="STORE_019"/>
    <x v="1"/>
    <x v="4"/>
    <x v="17"/>
    <n v="508.92"/>
    <n v="9"/>
    <n v="4580.28"/>
    <n v="15"/>
    <n v="687.04"/>
    <n v="3893.24"/>
    <s v="Credit Card"/>
    <s v="CUST_00063"/>
    <n v="1"/>
    <n v="687.04"/>
    <n v="432.58222222222219"/>
    <s v="Medium"/>
  </r>
  <r>
    <s v="TXN_01994"/>
    <d v="2024-01-03T00:00:00"/>
    <x v="2"/>
    <s v="Wednesday"/>
    <s v="STORE_022"/>
    <x v="4"/>
    <x v="5"/>
    <x v="25"/>
    <n v="1848.71"/>
    <n v="8"/>
    <n v="14789.68"/>
    <n v="0"/>
    <n v="0"/>
    <n v="14789.68"/>
    <s v="UPI"/>
    <s v="CUST_00509"/>
    <n v="1"/>
    <n v="0"/>
    <n v="1848.71"/>
    <s v="No Discount"/>
  </r>
  <r>
    <s v="TXN_01995"/>
    <d v="2024-02-10T00:00:00"/>
    <x v="1"/>
    <s v="Saturday"/>
    <s v="STORE_045"/>
    <x v="1"/>
    <x v="3"/>
    <x v="5"/>
    <n v="2321.0700000000002"/>
    <n v="3"/>
    <n v="6963.21"/>
    <n v="5"/>
    <n v="348.16"/>
    <n v="6615.05"/>
    <s v="Credit Card"/>
    <s v="CUST_00522"/>
    <n v="2"/>
    <n v="348.15999999999985"/>
    <n v="2205.0166666666669"/>
    <s v="Low"/>
  </r>
  <r>
    <s v="TXN_01996"/>
    <d v="2024-01-10T00:00:00"/>
    <x v="2"/>
    <s v="Wednesday"/>
    <s v="STORE_046"/>
    <x v="2"/>
    <x v="0"/>
    <x v="27"/>
    <n v="396.28"/>
    <n v="6"/>
    <n v="2377.6799999999998"/>
    <n v="0"/>
    <n v="0"/>
    <n v="2377.6799999999998"/>
    <s v="Wallet"/>
    <s v="CUST_00642"/>
    <n v="1"/>
    <n v="0"/>
    <n v="396.28"/>
    <s v="No Discount"/>
  </r>
  <r>
    <s v="TXN_01997"/>
    <d v="2024-05-11T00:00:00"/>
    <x v="3"/>
    <s v="Saturday"/>
    <s v="STORE_029"/>
    <x v="0"/>
    <x v="4"/>
    <x v="17"/>
    <n v="294.79000000000002"/>
    <n v="7"/>
    <n v="2063.5300000000002"/>
    <n v="0"/>
    <n v="0"/>
    <n v="2063.5300000000002"/>
    <s v="Cash"/>
    <s v="CUST_00089"/>
    <n v="3"/>
    <n v="0"/>
    <n v="294.79000000000002"/>
    <s v="No Discount"/>
  </r>
  <r>
    <s v="TXN_01998"/>
    <d v="2024-04-20T00:00:00"/>
    <x v="4"/>
    <s v="Saturday"/>
    <s v="STORE_012"/>
    <x v="1"/>
    <x v="4"/>
    <x v="19"/>
    <n v="519.19000000000005"/>
    <n v="4"/>
    <n v="2076.7600000000002"/>
    <n v="10"/>
    <n v="207.68"/>
    <n v="1869.08"/>
    <s v="UPI"/>
    <s v="CUST_00356"/>
    <n v="5"/>
    <n v="207.68000000000029"/>
    <n v="467.27"/>
    <s v="Medium"/>
  </r>
  <r>
    <s v="TXN_01999"/>
    <d v="2024-03-17T00:00:00"/>
    <x v="5"/>
    <s v="Sunday"/>
    <s v="STORE_043"/>
    <x v="0"/>
    <x v="7"/>
    <x v="28"/>
    <n v="755.8"/>
    <n v="4"/>
    <n v="3023.2"/>
    <n v="5"/>
    <n v="151.16"/>
    <n v="2872.04"/>
    <s v="Wallet"/>
    <s v="CUST_00859"/>
    <n v="1"/>
    <n v="151.15999999999985"/>
    <n v="718.01"/>
    <s v="Low"/>
  </r>
  <r>
    <s v="TXN_02000"/>
    <d v="2024-10-07T00:00:00"/>
    <x v="7"/>
    <s v="Monday"/>
    <s v="STORE_039"/>
    <x v="3"/>
    <x v="3"/>
    <x v="5"/>
    <n v="1561.25"/>
    <n v="8"/>
    <n v="12490"/>
    <n v="0"/>
    <n v="0"/>
    <n v="12490"/>
    <s v="Debit Card"/>
    <s v="CUST_00785"/>
    <n v="5"/>
    <n v="0"/>
    <n v="1561.25"/>
    <s v="No Discount"/>
  </r>
  <r>
    <s v="TXN_02001"/>
    <d v="2024-11-07T00:00:00"/>
    <x v="0"/>
    <s v="Thursday"/>
    <s v="STORE_006"/>
    <x v="3"/>
    <x v="0"/>
    <x v="4"/>
    <n v="203.75"/>
    <n v="4"/>
    <n v="815"/>
    <n v="0"/>
    <n v="0"/>
    <n v="815"/>
    <s v="Debit Card"/>
    <s v="CUST_00827"/>
    <n v="5"/>
    <n v="0"/>
    <n v="203.75"/>
    <s v="No Discount"/>
  </r>
  <r>
    <s v="TXN_02002"/>
    <d v="2024-09-27T00:00:00"/>
    <x v="9"/>
    <s v="Friday"/>
    <s v="STORE_040"/>
    <x v="3"/>
    <x v="2"/>
    <x v="39"/>
    <n v="148.08000000000001"/>
    <n v="7"/>
    <n v="1036.56"/>
    <n v="0"/>
    <n v="0"/>
    <n v="1036.56"/>
    <s v="Credit Card"/>
    <s v="CUST_00982"/>
    <n v="1"/>
    <n v="0"/>
    <n v="148.07999999999998"/>
    <s v="No Discount"/>
  </r>
  <r>
    <s v="TXN_02003"/>
    <d v="2024-08-04T00:00:00"/>
    <x v="8"/>
    <s v="Sunday"/>
    <s v="STORE_024"/>
    <x v="2"/>
    <x v="4"/>
    <x v="20"/>
    <n v="300.64"/>
    <n v="5"/>
    <n v="1503.2"/>
    <n v="5"/>
    <n v="75.16"/>
    <n v="1428.04"/>
    <s v="Cash"/>
    <s v="CUST_00039"/>
    <n v="1"/>
    <n v="75.160000000000082"/>
    <n v="285.608"/>
    <s v="Low"/>
  </r>
  <r>
    <s v="TXN_02004"/>
    <d v="2024-02-26T00:00:00"/>
    <x v="1"/>
    <s v="Monday"/>
    <s v="STORE_017"/>
    <x v="0"/>
    <x v="3"/>
    <x v="16"/>
    <n v="1731.22"/>
    <n v="3"/>
    <n v="5193.66"/>
    <n v="5"/>
    <n v="259.68"/>
    <n v="4933.9799999999996"/>
    <s v="Debit Card"/>
    <s v="CUST_00499"/>
    <n v="1"/>
    <n v="259.68000000000029"/>
    <n v="1644.6599999999999"/>
    <s v="Low"/>
  </r>
  <r>
    <s v="TXN_02005"/>
    <d v="2024-05-27T00:00:00"/>
    <x v="3"/>
    <s v="Monday"/>
    <s v="STORE_041"/>
    <x v="1"/>
    <x v="0"/>
    <x v="0"/>
    <n v="537.78"/>
    <n v="9"/>
    <n v="4840.0200000000004"/>
    <n v="20"/>
    <n v="968"/>
    <n v="3872.02"/>
    <s v="Credit Card"/>
    <s v="CUST_00693"/>
    <n v="3"/>
    <n v="968.00000000000045"/>
    <n v="430.22444444444443"/>
    <s v="High"/>
  </r>
  <r>
    <s v="TXN_02006"/>
    <d v="2024-05-01T00:00:00"/>
    <x v="3"/>
    <s v="Wednesday"/>
    <s v="STORE_014"/>
    <x v="2"/>
    <x v="2"/>
    <x v="13"/>
    <n v="181.24"/>
    <n v="10"/>
    <n v="1812.4"/>
    <n v="0"/>
    <n v="0"/>
    <n v="1812.4"/>
    <s v="Wallet"/>
    <s v="CUST_00590"/>
    <n v="3"/>
    <n v="0"/>
    <n v="181.24"/>
    <s v="No Discount"/>
  </r>
  <r>
    <s v="TXN_02007"/>
    <d v="2024-06-03T00:00:00"/>
    <x v="10"/>
    <s v="Monday"/>
    <s v="STORE_045"/>
    <x v="4"/>
    <x v="0"/>
    <x v="27"/>
    <n v="837.83"/>
    <n v="7"/>
    <n v="5864.81"/>
    <n v="5"/>
    <n v="293.24"/>
    <n v="5571.57"/>
    <s v="UPI"/>
    <s v="CUST_00642"/>
    <n v="3"/>
    <n v="293.24000000000069"/>
    <n v="795.93857142857144"/>
    <s v="Low"/>
  </r>
  <r>
    <s v="TXN_02008"/>
    <d v="2024-03-03T00:00:00"/>
    <x v="5"/>
    <s v="Sunday"/>
    <s v="STORE_033"/>
    <x v="3"/>
    <x v="6"/>
    <x v="26"/>
    <n v="760.55"/>
    <n v="9"/>
    <n v="6844.95"/>
    <n v="10"/>
    <n v="684.5"/>
    <n v="6160.45"/>
    <s v="Cash"/>
    <s v="CUST_00784"/>
    <n v="5"/>
    <n v="684.5"/>
    <n v="684.49444444444441"/>
    <s v="Medium"/>
  </r>
  <r>
    <s v="TXN_02009"/>
    <d v="2024-01-25T00:00:00"/>
    <x v="2"/>
    <s v="Thursday"/>
    <s v="STORE_035"/>
    <x v="3"/>
    <x v="2"/>
    <x v="39"/>
    <n v="628.08000000000004"/>
    <n v="6"/>
    <n v="3768.48"/>
    <n v="0"/>
    <n v="0"/>
    <n v="3768.48"/>
    <s v="Debit Card"/>
    <s v="CUST_00140"/>
    <n v="3"/>
    <n v="0"/>
    <n v="628.08000000000004"/>
    <s v="No Discount"/>
  </r>
  <r>
    <s v="TXN_02010"/>
    <d v="2024-05-02T00:00:00"/>
    <x v="3"/>
    <s v="Thursday"/>
    <s v="STORE_036"/>
    <x v="2"/>
    <x v="1"/>
    <x v="36"/>
    <n v="254.08"/>
    <n v="4"/>
    <n v="1016.32"/>
    <n v="0"/>
    <n v="0"/>
    <n v="1016.32"/>
    <s v="UPI"/>
    <s v="CUST_00808"/>
    <n v="5"/>
    <n v="0"/>
    <n v="254.08"/>
    <s v="No Discount"/>
  </r>
  <r>
    <s v="TXN_02011"/>
    <d v="2024-08-02T00:00:00"/>
    <x v="8"/>
    <s v="Friday"/>
    <s v="STORE_020"/>
    <x v="0"/>
    <x v="7"/>
    <x v="37"/>
    <n v="1306.97"/>
    <n v="5"/>
    <n v="6534.85"/>
    <n v="20"/>
    <n v="1306.97"/>
    <n v="5227.88"/>
    <s v="Credit Card"/>
    <s v="CUST_00605"/>
    <n v="2"/>
    <n v="1306.9700000000003"/>
    <n v="1045.576"/>
    <s v="High"/>
  </r>
  <r>
    <s v="TXN_02012"/>
    <d v="2024-11-23T00:00:00"/>
    <x v="0"/>
    <s v="Saturday"/>
    <s v="STORE_033"/>
    <x v="0"/>
    <x v="7"/>
    <x v="23"/>
    <n v="892.1"/>
    <n v="9"/>
    <n v="8028.9"/>
    <n v="5"/>
    <n v="401.44"/>
    <n v="7627.46"/>
    <s v="UPI"/>
    <s v="CUST_00750"/>
    <n v="3"/>
    <n v="401.4399999999996"/>
    <n v="847.4955555555556"/>
    <s v="Low"/>
  </r>
  <r>
    <s v="TXN_02013"/>
    <d v="2024-11-14T00:00:00"/>
    <x v="0"/>
    <s v="Thursday"/>
    <s v="STORE_007"/>
    <x v="0"/>
    <x v="3"/>
    <x v="12"/>
    <n v="1333.17"/>
    <n v="8"/>
    <n v="10665.36"/>
    <n v="5"/>
    <n v="533.27"/>
    <n v="10132.09"/>
    <s v="Credit Card"/>
    <s v="CUST_00735"/>
    <n v="3"/>
    <n v="533.27000000000044"/>
    <n v="1266.51125"/>
    <s v="Low"/>
  </r>
  <r>
    <s v="TXN_02014"/>
    <d v="2024-08-22T00:00:00"/>
    <x v="8"/>
    <s v="Thursday"/>
    <s v="STORE_041"/>
    <x v="3"/>
    <x v="6"/>
    <x v="26"/>
    <n v="518.67999999999995"/>
    <n v="2"/>
    <n v="1037.3599999999999"/>
    <n v="0"/>
    <n v="0"/>
    <n v="1037.3599999999999"/>
    <s v="Debit Card"/>
    <s v="CUST_00993"/>
    <n v="5"/>
    <n v="0"/>
    <n v="518.67999999999995"/>
    <s v="No Discount"/>
  </r>
  <r>
    <s v="TXN_02015"/>
    <d v="2024-02-02T00:00:00"/>
    <x v="1"/>
    <s v="Friday"/>
    <s v="STORE_011"/>
    <x v="2"/>
    <x v="6"/>
    <x v="14"/>
    <n v="1317.43"/>
    <n v="7"/>
    <n v="9222.01"/>
    <n v="0"/>
    <n v="0"/>
    <n v="9222.01"/>
    <s v="Cash"/>
    <s v="CUST_00947"/>
    <n v="3"/>
    <n v="0"/>
    <n v="1317.43"/>
    <s v="No Discount"/>
  </r>
  <r>
    <s v="TXN_02016"/>
    <d v="2024-02-26T00:00:00"/>
    <x v="1"/>
    <s v="Monday"/>
    <s v="STORE_040"/>
    <x v="2"/>
    <x v="2"/>
    <x v="2"/>
    <n v="558.65"/>
    <n v="3"/>
    <n v="1675.95"/>
    <n v="20"/>
    <n v="335.19"/>
    <n v="1340.76"/>
    <s v="Debit Card"/>
    <s v="CUST_00742"/>
    <n v="1"/>
    <n v="335.19000000000005"/>
    <n v="446.92"/>
    <s v="High"/>
  </r>
  <r>
    <s v="TXN_02017"/>
    <d v="2024-09-12T00:00:00"/>
    <x v="9"/>
    <s v="Thursday"/>
    <s v="STORE_002"/>
    <x v="2"/>
    <x v="4"/>
    <x v="19"/>
    <n v="357.82"/>
    <n v="1"/>
    <n v="357.82"/>
    <n v="0"/>
    <n v="0"/>
    <n v="357.82"/>
    <s v="Cash"/>
    <s v="CUST_00725"/>
    <n v="1"/>
    <n v="0"/>
    <n v="357.82"/>
    <s v="No Discount"/>
  </r>
  <r>
    <s v="TXN_02018"/>
    <d v="2024-11-01T00:00:00"/>
    <x v="0"/>
    <s v="Friday"/>
    <s v="STORE_011"/>
    <x v="1"/>
    <x v="1"/>
    <x v="3"/>
    <n v="427.49"/>
    <n v="5"/>
    <n v="2137.4499999999998"/>
    <n v="0"/>
    <n v="0"/>
    <n v="2137.4499999999998"/>
    <s v="Wallet"/>
    <s v="CUST_00381"/>
    <n v="2"/>
    <n v="0"/>
    <n v="427.48999999999995"/>
    <s v="No Discount"/>
  </r>
  <r>
    <s v="TXN_02019"/>
    <d v="2024-10-01T00:00:00"/>
    <x v="7"/>
    <s v="Tuesday"/>
    <s v="STORE_020"/>
    <x v="2"/>
    <x v="3"/>
    <x v="16"/>
    <n v="2001.09"/>
    <n v="1"/>
    <n v="2001.09"/>
    <n v="10"/>
    <n v="200.11"/>
    <n v="1800.98"/>
    <s v="UPI"/>
    <s v="CUST_00978"/>
    <n v="5"/>
    <n v="200.1099999999999"/>
    <n v="1800.98"/>
    <s v="Medium"/>
  </r>
  <r>
    <s v="TXN_02020"/>
    <d v="2024-01-09T00:00:00"/>
    <x v="2"/>
    <s v="Tuesday"/>
    <s v="STORE_047"/>
    <x v="4"/>
    <x v="5"/>
    <x v="11"/>
    <n v="4002.61"/>
    <n v="9"/>
    <n v="36023.49"/>
    <n v="5"/>
    <n v="1801.17"/>
    <n v="34222.32"/>
    <s v="Credit Card"/>
    <s v="CUST_00487"/>
    <n v="5"/>
    <n v="1801.1699999999983"/>
    <n v="3802.48"/>
    <s v="Low"/>
  </r>
  <r>
    <s v="TXN_02021"/>
    <d v="2024-11-19T00:00:00"/>
    <x v="0"/>
    <s v="Tuesday"/>
    <s v="STORE_012"/>
    <x v="1"/>
    <x v="5"/>
    <x v="9"/>
    <n v="4931.8500000000004"/>
    <n v="10"/>
    <n v="49318.5"/>
    <n v="5"/>
    <n v="2465.9299999999998"/>
    <n v="46852.57"/>
    <s v="Debit Card"/>
    <s v="CUST_00081"/>
    <n v="2"/>
    <n v="2465.9300000000003"/>
    <n v="4685.2569999999996"/>
    <s v="Low"/>
  </r>
  <r>
    <s v="TXN_02022"/>
    <d v="2024-09-20T00:00:00"/>
    <x v="9"/>
    <s v="Friday"/>
    <s v="STORE_045"/>
    <x v="0"/>
    <x v="1"/>
    <x v="6"/>
    <n v="407.05"/>
    <n v="3"/>
    <n v="1221.1500000000001"/>
    <n v="0"/>
    <n v="0"/>
    <n v="1221.1500000000001"/>
    <s v="Credit Card"/>
    <s v="CUST_00177"/>
    <n v="3"/>
    <n v="0"/>
    <n v="407.05"/>
    <s v="No Discount"/>
  </r>
  <r>
    <s v="TXN_02023"/>
    <d v="2024-10-21T00:00:00"/>
    <x v="7"/>
    <s v="Monday"/>
    <s v="STORE_020"/>
    <x v="3"/>
    <x v="0"/>
    <x v="18"/>
    <n v="286.31"/>
    <n v="10"/>
    <n v="2863.1"/>
    <n v="0"/>
    <n v="0"/>
    <n v="2863.1"/>
    <s v="Credit Card"/>
    <s v="CUST_00539"/>
    <n v="2"/>
    <n v="0"/>
    <n v="286.31"/>
    <s v="No Discount"/>
  </r>
  <r>
    <s v="TXN_02024"/>
    <d v="2024-05-03T00:00:00"/>
    <x v="3"/>
    <s v="Friday"/>
    <s v="STORE_010"/>
    <x v="4"/>
    <x v="0"/>
    <x v="18"/>
    <n v="750.03"/>
    <n v="4"/>
    <n v="3000.12"/>
    <n v="0"/>
    <n v="0"/>
    <n v="3000.12"/>
    <s v="UPI"/>
    <s v="CUST_00409"/>
    <n v="1"/>
    <n v="0"/>
    <n v="750.03"/>
    <s v="No Discount"/>
  </r>
  <r>
    <s v="TXN_02025"/>
    <d v="2024-03-14T00:00:00"/>
    <x v="5"/>
    <s v="Thursday"/>
    <s v="STORE_039"/>
    <x v="1"/>
    <x v="1"/>
    <x v="31"/>
    <n v="75.239999999999995"/>
    <n v="3"/>
    <n v="225.72"/>
    <n v="20"/>
    <n v="45.14"/>
    <n v="180.58"/>
    <s v="Credit Card"/>
    <s v="CUST_00799"/>
    <n v="1"/>
    <n v="45.139999999999986"/>
    <n v="60.193333333333335"/>
    <s v="High"/>
  </r>
  <r>
    <s v="TXN_02026"/>
    <d v="2024-05-29T00:00:00"/>
    <x v="3"/>
    <s v="Wednesday"/>
    <s v="STORE_037"/>
    <x v="1"/>
    <x v="3"/>
    <x v="5"/>
    <n v="2701.14"/>
    <n v="7"/>
    <n v="18907.98"/>
    <n v="15"/>
    <n v="2836.2"/>
    <n v="16071.78"/>
    <s v="Debit Card"/>
    <s v="CUST_00202"/>
    <n v="1"/>
    <n v="2836.1999999999989"/>
    <n v="2295.9685714285715"/>
    <s v="Medium"/>
  </r>
  <r>
    <s v="TXN_02027"/>
    <d v="2024-08-07T00:00:00"/>
    <x v="8"/>
    <s v="Wednesday"/>
    <s v="STORE_039"/>
    <x v="1"/>
    <x v="0"/>
    <x v="27"/>
    <n v="666.71"/>
    <n v="1"/>
    <n v="666.71"/>
    <n v="0"/>
    <n v="0"/>
    <n v="666.71"/>
    <s v="UPI"/>
    <s v="CUST_00031"/>
    <n v="4"/>
    <n v="0"/>
    <n v="666.71"/>
    <s v="No Discount"/>
  </r>
  <r>
    <s v="TXN_02028"/>
    <d v="2024-01-01T00:00:00"/>
    <x v="2"/>
    <s v="Monday"/>
    <s v="STORE_002"/>
    <x v="3"/>
    <x v="6"/>
    <x v="30"/>
    <n v="1242.4000000000001"/>
    <n v="3"/>
    <n v="3727.2"/>
    <n v="0"/>
    <n v="0"/>
    <n v="3727.2"/>
    <s v="Wallet"/>
    <s v="CUST_00222"/>
    <n v="1"/>
    <n v="0"/>
    <n v="1242.3999999999999"/>
    <s v="No Discount"/>
  </r>
  <r>
    <s v="TXN_02029"/>
    <d v="2024-11-10T00:00:00"/>
    <x v="0"/>
    <s v="Sunday"/>
    <s v="STORE_011"/>
    <x v="2"/>
    <x v="1"/>
    <x v="36"/>
    <n v="135.28"/>
    <n v="1"/>
    <n v="135.28"/>
    <n v="15"/>
    <n v="20.29"/>
    <n v="114.99"/>
    <s v="UPI"/>
    <s v="CUST_00112"/>
    <n v="2"/>
    <n v="20.290000000000006"/>
    <n v="114.99"/>
    <s v="Medium"/>
  </r>
  <r>
    <s v="TXN_02030"/>
    <d v="2024-06-29T00:00:00"/>
    <x v="10"/>
    <s v="Saturday"/>
    <s v="STORE_005"/>
    <x v="3"/>
    <x v="3"/>
    <x v="16"/>
    <n v="2476.39"/>
    <n v="10"/>
    <n v="24763.9"/>
    <n v="0"/>
    <n v="0"/>
    <n v="24763.9"/>
    <s v="Wallet"/>
    <s v="CUST_00508"/>
    <n v="4"/>
    <n v="0"/>
    <n v="2476.3900000000003"/>
    <s v="No Discount"/>
  </r>
  <r>
    <s v="TXN_02031"/>
    <d v="2024-05-03T00:00:00"/>
    <x v="3"/>
    <s v="Friday"/>
    <s v="STORE_008"/>
    <x v="3"/>
    <x v="5"/>
    <x v="11"/>
    <n v="1479.8"/>
    <n v="5"/>
    <n v="7399"/>
    <n v="0"/>
    <n v="0"/>
    <n v="7399"/>
    <s v="Cash"/>
    <s v="CUST_00114"/>
    <n v="4"/>
    <n v="0"/>
    <n v="1479.8"/>
    <s v="No Discount"/>
  </r>
  <r>
    <s v="TXN_02032"/>
    <d v="2024-10-19T00:00:00"/>
    <x v="7"/>
    <s v="Saturday"/>
    <s v="STORE_017"/>
    <x v="1"/>
    <x v="5"/>
    <x v="10"/>
    <n v="4230.97"/>
    <n v="2"/>
    <n v="8461.94"/>
    <n v="5"/>
    <n v="423.1"/>
    <n v="8038.84"/>
    <s v="Credit Card"/>
    <s v="CUST_00251"/>
    <n v="4"/>
    <n v="423.10000000000036"/>
    <n v="4019.42"/>
    <s v="Low"/>
  </r>
  <r>
    <s v="TXN_02033"/>
    <d v="2024-08-01T00:00:00"/>
    <x v="8"/>
    <s v="Thursday"/>
    <s v="STORE_019"/>
    <x v="0"/>
    <x v="0"/>
    <x v="18"/>
    <n v="986.6"/>
    <n v="3"/>
    <n v="2959.8"/>
    <n v="20"/>
    <n v="591.96"/>
    <n v="2367.84"/>
    <s v="Debit Card"/>
    <s v="CUST_00189"/>
    <n v="3"/>
    <n v="591.96"/>
    <n v="789.28000000000009"/>
    <s v="High"/>
  </r>
  <r>
    <s v="TXN_02034"/>
    <d v="2024-04-05T00:00:00"/>
    <x v="4"/>
    <s v="Friday"/>
    <s v="STORE_012"/>
    <x v="0"/>
    <x v="4"/>
    <x v="20"/>
    <n v="191.78"/>
    <n v="7"/>
    <n v="1342.46"/>
    <n v="0"/>
    <n v="0"/>
    <n v="1342.46"/>
    <s v="Debit Card"/>
    <s v="CUST_00934"/>
    <n v="3"/>
    <n v="0"/>
    <n v="191.78"/>
    <s v="No Discount"/>
  </r>
  <r>
    <s v="TXN_02035"/>
    <d v="2024-12-06T00:00:00"/>
    <x v="6"/>
    <s v="Friday"/>
    <s v="STORE_048"/>
    <x v="3"/>
    <x v="2"/>
    <x v="2"/>
    <n v="199.34"/>
    <n v="1"/>
    <n v="199.34"/>
    <n v="10"/>
    <n v="19.93"/>
    <n v="179.41"/>
    <s v="Cash"/>
    <s v="CUST_00817"/>
    <n v="3"/>
    <n v="19.930000000000007"/>
    <n v="179.41"/>
    <s v="Medium"/>
  </r>
  <r>
    <s v="TXN_02036"/>
    <d v="2024-12-08T00:00:00"/>
    <x v="6"/>
    <s v="Sunday"/>
    <s v="STORE_042"/>
    <x v="1"/>
    <x v="1"/>
    <x v="31"/>
    <n v="219.12"/>
    <n v="1"/>
    <n v="219.12"/>
    <n v="0"/>
    <n v="0"/>
    <n v="219.12"/>
    <s v="Debit Card"/>
    <s v="CUST_00324"/>
    <n v="4"/>
    <n v="0"/>
    <n v="219.12"/>
    <s v="No Discount"/>
  </r>
  <r>
    <s v="TXN_02037"/>
    <d v="2024-02-13T00:00:00"/>
    <x v="1"/>
    <s v="Tuesday"/>
    <s v="STORE_039"/>
    <x v="1"/>
    <x v="7"/>
    <x v="38"/>
    <n v="1407.54"/>
    <n v="8"/>
    <n v="11260.32"/>
    <n v="5"/>
    <n v="563.02"/>
    <n v="10697.3"/>
    <s v="Credit Card"/>
    <s v="CUST_00738"/>
    <n v="4"/>
    <n v="563.02000000000044"/>
    <n v="1337.1624999999999"/>
    <s v="Low"/>
  </r>
  <r>
    <s v="TXN_02038"/>
    <d v="2024-09-25T00:00:00"/>
    <x v="9"/>
    <s v="Wednesday"/>
    <s v="STORE_035"/>
    <x v="1"/>
    <x v="6"/>
    <x v="14"/>
    <n v="905.52"/>
    <n v="6"/>
    <n v="5433.12"/>
    <n v="20"/>
    <n v="1086.6199999999999"/>
    <n v="4346.5"/>
    <s v="Cash"/>
    <s v="CUST_00115"/>
    <n v="5"/>
    <n v="1086.6199999999999"/>
    <n v="724.41666666666663"/>
    <s v="High"/>
  </r>
  <r>
    <s v="TXN_02039"/>
    <d v="2024-07-03T00:00:00"/>
    <x v="11"/>
    <s v="Wednesday"/>
    <s v="STORE_035"/>
    <x v="4"/>
    <x v="0"/>
    <x v="18"/>
    <n v="305.13"/>
    <n v="2"/>
    <n v="610.26"/>
    <n v="10"/>
    <n v="61.03"/>
    <n v="549.23"/>
    <s v="Credit Card"/>
    <s v="CUST_00945"/>
    <n v="3"/>
    <n v="61.029999999999973"/>
    <n v="274.61500000000001"/>
    <s v="Medium"/>
  </r>
  <r>
    <s v="TXN_02040"/>
    <d v="2024-02-04T00:00:00"/>
    <x v="1"/>
    <s v="Sunday"/>
    <s v="STORE_035"/>
    <x v="3"/>
    <x v="7"/>
    <x v="38"/>
    <n v="1266.51"/>
    <n v="9"/>
    <n v="11398.59"/>
    <n v="5"/>
    <n v="569.92999999999995"/>
    <n v="10828.66"/>
    <s v="Cash"/>
    <s v="CUST_00262"/>
    <n v="5"/>
    <n v="569.93000000000029"/>
    <n v="1203.1844444444444"/>
    <s v="Low"/>
  </r>
  <r>
    <s v="TXN_02041"/>
    <d v="2024-09-26T00:00:00"/>
    <x v="9"/>
    <s v="Thursday"/>
    <s v="STORE_014"/>
    <x v="3"/>
    <x v="1"/>
    <x v="3"/>
    <n v="242.58"/>
    <n v="9"/>
    <n v="2183.2199999999998"/>
    <n v="15"/>
    <n v="327.48"/>
    <n v="1855.74"/>
    <s v="UPI"/>
    <s v="CUST_00389"/>
    <n v="2"/>
    <n v="327.47999999999979"/>
    <n v="206.19333333333333"/>
    <s v="Medium"/>
  </r>
  <r>
    <s v="TXN_02042"/>
    <d v="2024-10-05T00:00:00"/>
    <x v="7"/>
    <s v="Saturday"/>
    <s v="STORE_002"/>
    <x v="4"/>
    <x v="6"/>
    <x v="30"/>
    <n v="1250.3"/>
    <n v="5"/>
    <n v="6251.5"/>
    <n v="0"/>
    <n v="0"/>
    <n v="6251.5"/>
    <s v="UPI"/>
    <s v="CUST_00768"/>
    <n v="3"/>
    <n v="0"/>
    <n v="1250.3"/>
    <s v="No Discount"/>
  </r>
  <r>
    <s v="TXN_02043"/>
    <d v="2024-09-16T00:00:00"/>
    <x v="9"/>
    <s v="Monday"/>
    <s v="STORE_037"/>
    <x v="2"/>
    <x v="3"/>
    <x v="5"/>
    <n v="2498.42"/>
    <n v="9"/>
    <n v="22485.78"/>
    <n v="0"/>
    <n v="0"/>
    <n v="22485.78"/>
    <s v="Wallet"/>
    <s v="CUST_00503"/>
    <n v="1"/>
    <n v="0"/>
    <n v="2498.42"/>
    <s v="No Discount"/>
  </r>
  <r>
    <s v="TXN_02044"/>
    <d v="2024-09-16T00:00:00"/>
    <x v="9"/>
    <s v="Monday"/>
    <s v="STORE_003"/>
    <x v="2"/>
    <x v="2"/>
    <x v="7"/>
    <n v="692.46"/>
    <n v="3"/>
    <n v="2077.38"/>
    <n v="0"/>
    <n v="0"/>
    <n v="2077.38"/>
    <s v="UPI"/>
    <s v="CUST_00414"/>
    <n v="3"/>
    <n v="0"/>
    <n v="692.46"/>
    <s v="No Discount"/>
  </r>
  <r>
    <s v="TXN_02045"/>
    <d v="2024-10-10T00:00:00"/>
    <x v="7"/>
    <s v="Thursday"/>
    <s v="STORE_015"/>
    <x v="1"/>
    <x v="3"/>
    <x v="5"/>
    <n v="1902.2"/>
    <n v="3"/>
    <n v="5706.6"/>
    <n v="20"/>
    <n v="1141.32"/>
    <n v="4565.28"/>
    <s v="Debit Card"/>
    <s v="CUST_00554"/>
    <n v="3"/>
    <n v="1141.3200000000006"/>
    <n v="1521.76"/>
    <s v="High"/>
  </r>
  <r>
    <s v="TXN_02046"/>
    <d v="2024-01-11T00:00:00"/>
    <x v="2"/>
    <s v="Thursday"/>
    <s v="STORE_008"/>
    <x v="0"/>
    <x v="2"/>
    <x v="7"/>
    <n v="405.93"/>
    <n v="8"/>
    <n v="3247.44"/>
    <n v="0"/>
    <n v="0"/>
    <n v="3247.44"/>
    <s v="Wallet"/>
    <s v="CUST_00588"/>
    <n v="2"/>
    <n v="0"/>
    <n v="405.93"/>
    <s v="No Discount"/>
  </r>
  <r>
    <s v="TXN_02047"/>
    <d v="2024-07-18T00:00:00"/>
    <x v="11"/>
    <s v="Thursday"/>
    <s v="STORE_005"/>
    <x v="0"/>
    <x v="0"/>
    <x v="32"/>
    <n v="419.46"/>
    <n v="3"/>
    <n v="1258.3800000000001"/>
    <n v="0"/>
    <n v="0"/>
    <n v="1258.3800000000001"/>
    <s v="Credit Card"/>
    <s v="CUST_00205"/>
    <n v="2"/>
    <n v="0"/>
    <n v="419.46000000000004"/>
    <s v="No Discount"/>
  </r>
  <r>
    <s v="TXN_02048"/>
    <d v="2024-08-28T00:00:00"/>
    <x v="8"/>
    <s v="Wednesday"/>
    <s v="STORE_049"/>
    <x v="0"/>
    <x v="1"/>
    <x v="31"/>
    <n v="439.8"/>
    <n v="6"/>
    <n v="2638.8"/>
    <n v="0"/>
    <n v="0"/>
    <n v="2638.8"/>
    <s v="Credit Card"/>
    <s v="CUST_00003"/>
    <n v="2"/>
    <n v="0"/>
    <n v="439.8"/>
    <s v="No Discount"/>
  </r>
  <r>
    <s v="TXN_02049"/>
    <d v="2024-01-23T00:00:00"/>
    <x v="2"/>
    <s v="Tuesday"/>
    <s v="STORE_048"/>
    <x v="3"/>
    <x v="6"/>
    <x v="30"/>
    <n v="527.26"/>
    <n v="9"/>
    <n v="4745.34"/>
    <n v="5"/>
    <n v="237.27"/>
    <n v="4508.07"/>
    <s v="Debit Card"/>
    <s v="CUST_00465"/>
    <n v="3"/>
    <n v="237.27000000000044"/>
    <n v="500.89666666666665"/>
    <s v="Low"/>
  </r>
  <r>
    <s v="TXN_02050"/>
    <d v="2024-11-21T00:00:00"/>
    <x v="0"/>
    <s v="Thursday"/>
    <s v="STORE_037"/>
    <x v="4"/>
    <x v="3"/>
    <x v="16"/>
    <n v="511.44"/>
    <n v="1"/>
    <n v="511.44"/>
    <n v="0"/>
    <n v="0"/>
    <n v="511.44"/>
    <s v="Wallet"/>
    <s v="CUST_00093"/>
    <n v="5"/>
    <n v="0"/>
    <n v="511.44"/>
    <s v="No Discount"/>
  </r>
  <r>
    <s v="TXN_02051"/>
    <d v="2024-07-17T00:00:00"/>
    <x v="11"/>
    <s v="Wednesday"/>
    <s v="STORE_025"/>
    <x v="4"/>
    <x v="7"/>
    <x v="24"/>
    <n v="442.93"/>
    <n v="1"/>
    <n v="442.93"/>
    <n v="0"/>
    <n v="0"/>
    <n v="442.93"/>
    <s v="Wallet"/>
    <s v="CUST_00772"/>
    <n v="1"/>
    <n v="0"/>
    <n v="442.93"/>
    <s v="No Discount"/>
  </r>
  <r>
    <s v="TXN_02052"/>
    <d v="2024-07-10T00:00:00"/>
    <x v="11"/>
    <s v="Wednesday"/>
    <s v="STORE_044"/>
    <x v="4"/>
    <x v="5"/>
    <x v="11"/>
    <n v="1555.45"/>
    <n v="8"/>
    <n v="12443.6"/>
    <n v="0"/>
    <n v="0"/>
    <n v="12443.6"/>
    <s v="UPI"/>
    <s v="CUST_00968"/>
    <n v="5"/>
    <n v="0"/>
    <n v="1555.45"/>
    <s v="No Discount"/>
  </r>
  <r>
    <s v="TXN_02053"/>
    <d v="2024-05-09T00:00:00"/>
    <x v="3"/>
    <s v="Thursday"/>
    <s v="STORE_035"/>
    <x v="2"/>
    <x v="1"/>
    <x v="3"/>
    <n v="70.13"/>
    <n v="1"/>
    <n v="70.13"/>
    <n v="10"/>
    <n v="7.01"/>
    <n v="63.12"/>
    <s v="Cash"/>
    <s v="CUST_00966"/>
    <n v="3"/>
    <n v="7.009999999999998"/>
    <n v="63.12"/>
    <s v="Medium"/>
  </r>
  <r>
    <s v="TXN_02054"/>
    <d v="2024-01-09T00:00:00"/>
    <x v="2"/>
    <s v="Tuesday"/>
    <s v="STORE_002"/>
    <x v="4"/>
    <x v="0"/>
    <x v="4"/>
    <n v="999.98"/>
    <n v="7"/>
    <n v="6999.86"/>
    <n v="0"/>
    <n v="0"/>
    <n v="6999.86"/>
    <s v="Credit Card"/>
    <s v="CUST_00836"/>
    <n v="1"/>
    <n v="0"/>
    <n v="999.9799999999999"/>
    <s v="No Discount"/>
  </r>
  <r>
    <s v="TXN_02055"/>
    <d v="2024-07-01T00:00:00"/>
    <x v="11"/>
    <s v="Monday"/>
    <s v="STORE_006"/>
    <x v="2"/>
    <x v="2"/>
    <x v="29"/>
    <n v="274.33"/>
    <n v="2"/>
    <n v="548.66"/>
    <n v="0"/>
    <n v="0"/>
    <n v="548.66"/>
    <s v="Debit Card"/>
    <s v="CUST_00536"/>
    <n v="4"/>
    <n v="0"/>
    <n v="274.33"/>
    <s v="No Discount"/>
  </r>
  <r>
    <s v="TXN_02056"/>
    <d v="2024-02-04T00:00:00"/>
    <x v="1"/>
    <s v="Sunday"/>
    <s v="STORE_022"/>
    <x v="4"/>
    <x v="7"/>
    <x v="24"/>
    <n v="410.96"/>
    <n v="10"/>
    <n v="4109.6000000000004"/>
    <n v="10"/>
    <n v="410.96"/>
    <n v="3698.64"/>
    <s v="Cash"/>
    <s v="CUST_00145"/>
    <n v="3"/>
    <n v="410.96000000000049"/>
    <n v="369.86399999999998"/>
    <s v="Medium"/>
  </r>
  <r>
    <s v="TXN_02057"/>
    <d v="2024-06-25T00:00:00"/>
    <x v="10"/>
    <s v="Tuesday"/>
    <s v="STORE_005"/>
    <x v="1"/>
    <x v="2"/>
    <x v="29"/>
    <n v="780.94"/>
    <n v="4"/>
    <n v="3123.76"/>
    <n v="15"/>
    <n v="468.56"/>
    <n v="2655.2"/>
    <s v="Cash"/>
    <s v="CUST_00209"/>
    <n v="1"/>
    <n v="468.5600000000004"/>
    <n v="663.8"/>
    <s v="Medium"/>
  </r>
  <r>
    <s v="TXN_02058"/>
    <d v="2024-05-03T00:00:00"/>
    <x v="3"/>
    <s v="Friday"/>
    <s v="STORE_025"/>
    <x v="4"/>
    <x v="4"/>
    <x v="20"/>
    <n v="274.98"/>
    <n v="7"/>
    <n v="1924.86"/>
    <n v="0"/>
    <n v="0"/>
    <n v="1924.86"/>
    <s v="UPI"/>
    <s v="CUST_00622"/>
    <n v="3"/>
    <n v="0"/>
    <n v="274.97999999999996"/>
    <s v="No Discount"/>
  </r>
  <r>
    <s v="TXN_02059"/>
    <d v="2024-12-02T00:00:00"/>
    <x v="6"/>
    <s v="Monday"/>
    <s v="STORE_029"/>
    <x v="0"/>
    <x v="2"/>
    <x v="39"/>
    <n v="507.4"/>
    <n v="5"/>
    <n v="2537"/>
    <n v="20"/>
    <n v="507.4"/>
    <n v="2029.6"/>
    <s v="UPI"/>
    <s v="CUST_00734"/>
    <n v="4"/>
    <n v="507.40000000000009"/>
    <n v="405.91999999999996"/>
    <s v="High"/>
  </r>
  <r>
    <s v="TXN_02060"/>
    <d v="2024-11-17T00:00:00"/>
    <x v="0"/>
    <s v="Sunday"/>
    <s v="STORE_046"/>
    <x v="4"/>
    <x v="6"/>
    <x v="30"/>
    <n v="587.84"/>
    <n v="3"/>
    <n v="1763.52"/>
    <n v="0"/>
    <n v="0"/>
    <n v="1763.52"/>
    <s v="Credit Card"/>
    <s v="CUST_00933"/>
    <n v="2"/>
    <n v="0"/>
    <n v="587.84"/>
    <s v="No Discount"/>
  </r>
  <r>
    <s v="TXN_02061"/>
    <d v="2024-02-23T00:00:00"/>
    <x v="1"/>
    <s v="Friday"/>
    <s v="STORE_029"/>
    <x v="4"/>
    <x v="7"/>
    <x v="23"/>
    <n v="482.65"/>
    <n v="3"/>
    <n v="1447.95"/>
    <n v="15"/>
    <n v="217.19"/>
    <n v="1230.76"/>
    <s v="Debit Card"/>
    <s v="CUST_00945"/>
    <n v="5"/>
    <n v="217.19000000000005"/>
    <n v="410.25333333333333"/>
    <s v="Medium"/>
  </r>
  <r>
    <s v="TXN_02062"/>
    <d v="2024-10-24T00:00:00"/>
    <x v="7"/>
    <s v="Thursday"/>
    <s v="STORE_023"/>
    <x v="4"/>
    <x v="2"/>
    <x v="2"/>
    <n v="204.5"/>
    <n v="7"/>
    <n v="1431.5"/>
    <n v="0"/>
    <n v="0"/>
    <n v="1431.5"/>
    <s v="Credit Card"/>
    <s v="CUST_00909"/>
    <n v="5"/>
    <n v="0"/>
    <n v="204.5"/>
    <s v="No Discount"/>
  </r>
  <r>
    <s v="TXN_02063"/>
    <d v="2024-06-19T00:00:00"/>
    <x v="10"/>
    <s v="Wednesday"/>
    <s v="STORE_023"/>
    <x v="0"/>
    <x v="7"/>
    <x v="37"/>
    <n v="614.5"/>
    <n v="6"/>
    <n v="3687"/>
    <n v="0"/>
    <n v="0"/>
    <n v="3687"/>
    <s v="UPI"/>
    <s v="CUST_00422"/>
    <n v="2"/>
    <n v="0"/>
    <n v="614.5"/>
    <s v="No Discount"/>
  </r>
  <r>
    <s v="TXN_02064"/>
    <d v="2024-03-09T00:00:00"/>
    <x v="5"/>
    <s v="Saturday"/>
    <s v="STORE_001"/>
    <x v="1"/>
    <x v="2"/>
    <x v="29"/>
    <n v="765.72"/>
    <n v="4"/>
    <n v="3062.88"/>
    <n v="0"/>
    <n v="0"/>
    <n v="3062.88"/>
    <s v="UPI"/>
    <s v="CUST_00090"/>
    <n v="1"/>
    <n v="0"/>
    <n v="765.72"/>
    <s v="No Discount"/>
  </r>
  <r>
    <s v="TXN_02065"/>
    <d v="2024-01-23T00:00:00"/>
    <x v="2"/>
    <s v="Tuesday"/>
    <s v="STORE_007"/>
    <x v="4"/>
    <x v="5"/>
    <x v="10"/>
    <n v="1378.8"/>
    <n v="9"/>
    <n v="12409.2"/>
    <n v="0"/>
    <n v="0"/>
    <n v="12409.2"/>
    <s v="Wallet"/>
    <s v="CUST_00119"/>
    <n v="3"/>
    <n v="0"/>
    <n v="1378.8000000000002"/>
    <s v="No Discount"/>
  </r>
  <r>
    <s v="TXN_02066"/>
    <d v="2024-06-29T00:00:00"/>
    <x v="10"/>
    <s v="Saturday"/>
    <s v="STORE_019"/>
    <x v="3"/>
    <x v="0"/>
    <x v="18"/>
    <n v="702.67"/>
    <n v="6"/>
    <n v="4216.0200000000004"/>
    <n v="0"/>
    <n v="0"/>
    <n v="4216.0200000000004"/>
    <s v="Wallet"/>
    <s v="CUST_00118"/>
    <n v="1"/>
    <n v="0"/>
    <n v="702.67000000000007"/>
    <s v="No Discount"/>
  </r>
  <r>
    <s v="TXN_02067"/>
    <d v="2024-10-06T00:00:00"/>
    <x v="7"/>
    <s v="Sunday"/>
    <s v="STORE_028"/>
    <x v="3"/>
    <x v="6"/>
    <x v="30"/>
    <n v="1196.97"/>
    <n v="3"/>
    <n v="3590.91"/>
    <n v="0"/>
    <n v="0"/>
    <n v="3590.91"/>
    <s v="Credit Card"/>
    <s v="CUST_00025"/>
    <n v="3"/>
    <n v="0"/>
    <n v="1196.97"/>
    <s v="No Discount"/>
  </r>
  <r>
    <s v="TXN_02068"/>
    <d v="2024-06-22T00:00:00"/>
    <x v="10"/>
    <s v="Saturday"/>
    <s v="STORE_006"/>
    <x v="2"/>
    <x v="6"/>
    <x v="30"/>
    <n v="691.68"/>
    <n v="4"/>
    <n v="2766.72"/>
    <n v="10"/>
    <n v="276.67"/>
    <n v="2490.0500000000002"/>
    <s v="Debit Card"/>
    <s v="CUST_00092"/>
    <n v="4"/>
    <n v="276.66999999999962"/>
    <n v="622.51250000000005"/>
    <s v="Medium"/>
  </r>
  <r>
    <s v="TXN_02069"/>
    <d v="2024-11-25T00:00:00"/>
    <x v="0"/>
    <s v="Monday"/>
    <s v="STORE_023"/>
    <x v="2"/>
    <x v="5"/>
    <x v="11"/>
    <n v="4934.4399999999996"/>
    <n v="3"/>
    <n v="14803.32"/>
    <n v="10"/>
    <n v="1480.33"/>
    <n v="13322.99"/>
    <s v="UPI"/>
    <s v="CUST_00129"/>
    <n v="1"/>
    <n v="1480.33"/>
    <n v="4440.9966666666669"/>
    <s v="Medium"/>
  </r>
  <r>
    <s v="TXN_02070"/>
    <d v="2024-03-30T00:00:00"/>
    <x v="5"/>
    <s v="Saturday"/>
    <s v="STORE_028"/>
    <x v="1"/>
    <x v="6"/>
    <x v="15"/>
    <n v="1919.76"/>
    <n v="6"/>
    <n v="11518.56"/>
    <n v="0"/>
    <n v="0"/>
    <n v="11518.56"/>
    <s v="UPI"/>
    <s v="CUST_00230"/>
    <n v="4"/>
    <n v="0"/>
    <n v="1919.76"/>
    <s v="No Discount"/>
  </r>
  <r>
    <s v="TXN_02071"/>
    <d v="2024-12-16T00:00:00"/>
    <x v="6"/>
    <s v="Monday"/>
    <s v="STORE_029"/>
    <x v="3"/>
    <x v="2"/>
    <x v="39"/>
    <n v="367.28"/>
    <n v="1"/>
    <n v="367.28"/>
    <n v="0"/>
    <n v="0"/>
    <n v="367.28"/>
    <s v="Debit Card"/>
    <s v="CUST_00225"/>
    <n v="2"/>
    <n v="0"/>
    <n v="367.28"/>
    <s v="No Discount"/>
  </r>
  <r>
    <s v="TXN_02072"/>
    <d v="2024-08-25T00:00:00"/>
    <x v="8"/>
    <s v="Sunday"/>
    <s v="STORE_022"/>
    <x v="0"/>
    <x v="2"/>
    <x v="13"/>
    <n v="677.65"/>
    <n v="1"/>
    <n v="677.65"/>
    <n v="0"/>
    <n v="0"/>
    <n v="677.65"/>
    <s v="Wallet"/>
    <s v="CUST_00008"/>
    <n v="1"/>
    <n v="0"/>
    <n v="677.65"/>
    <s v="No Discount"/>
  </r>
  <r>
    <s v="TXN_02073"/>
    <d v="2024-12-22T00:00:00"/>
    <x v="6"/>
    <s v="Sunday"/>
    <s v="STORE_010"/>
    <x v="1"/>
    <x v="4"/>
    <x v="19"/>
    <n v="473.63"/>
    <n v="4"/>
    <n v="1894.52"/>
    <n v="15"/>
    <n v="284.18"/>
    <n v="1610.34"/>
    <s v="Cash"/>
    <s v="CUST_00241"/>
    <n v="4"/>
    <n v="284.18000000000006"/>
    <n v="402.58499999999998"/>
    <s v="Medium"/>
  </r>
  <r>
    <s v="TXN_02074"/>
    <d v="2024-09-02T00:00:00"/>
    <x v="9"/>
    <s v="Monday"/>
    <s v="STORE_011"/>
    <x v="0"/>
    <x v="4"/>
    <x v="17"/>
    <n v="582.5"/>
    <n v="2"/>
    <n v="1165"/>
    <n v="5"/>
    <n v="58.25"/>
    <n v="1106.75"/>
    <s v="UPI"/>
    <s v="CUST_00963"/>
    <n v="5"/>
    <n v="58.25"/>
    <n v="553.375"/>
    <s v="Low"/>
  </r>
  <r>
    <s v="TXN_02075"/>
    <d v="2024-11-19T00:00:00"/>
    <x v="0"/>
    <s v="Tuesday"/>
    <s v="STORE_026"/>
    <x v="3"/>
    <x v="4"/>
    <x v="8"/>
    <n v="487.25"/>
    <n v="3"/>
    <n v="1461.75"/>
    <n v="20"/>
    <n v="292.35000000000002"/>
    <n v="1169.4000000000001"/>
    <s v="UPI"/>
    <s v="CUST_00004"/>
    <n v="2"/>
    <n v="292.34999999999991"/>
    <n v="389.8"/>
    <s v="High"/>
  </r>
  <r>
    <s v="TXN_02076"/>
    <d v="2024-04-03T00:00:00"/>
    <x v="4"/>
    <s v="Wednesday"/>
    <s v="STORE_009"/>
    <x v="1"/>
    <x v="0"/>
    <x v="4"/>
    <n v="762.87"/>
    <n v="7"/>
    <n v="5340.09"/>
    <n v="0"/>
    <n v="0"/>
    <n v="5340.09"/>
    <s v="UPI"/>
    <s v="CUST_00079"/>
    <n v="2"/>
    <n v="0"/>
    <n v="762.87"/>
    <s v="No Discount"/>
  </r>
  <r>
    <s v="TXN_02077"/>
    <d v="2024-03-10T00:00:00"/>
    <x v="5"/>
    <s v="Sunday"/>
    <s v="STORE_019"/>
    <x v="3"/>
    <x v="1"/>
    <x v="1"/>
    <n v="433.54"/>
    <n v="8"/>
    <n v="3468.32"/>
    <n v="10"/>
    <n v="346.83"/>
    <n v="3121.49"/>
    <s v="Cash"/>
    <s v="CUST_00479"/>
    <n v="5"/>
    <n v="346.83000000000038"/>
    <n v="390.18624999999997"/>
    <s v="Medium"/>
  </r>
  <r>
    <s v="TXN_02078"/>
    <d v="2024-02-02T00:00:00"/>
    <x v="1"/>
    <s v="Friday"/>
    <s v="STORE_027"/>
    <x v="2"/>
    <x v="7"/>
    <x v="38"/>
    <n v="993.82"/>
    <n v="4"/>
    <n v="3975.28"/>
    <n v="0"/>
    <n v="0"/>
    <n v="3975.28"/>
    <s v="Credit Card"/>
    <s v="CUST_00826"/>
    <n v="1"/>
    <n v="0"/>
    <n v="993.82"/>
    <s v="No Discount"/>
  </r>
  <r>
    <s v="TXN_02079"/>
    <d v="2024-08-22T00:00:00"/>
    <x v="8"/>
    <s v="Thursday"/>
    <s v="STORE_021"/>
    <x v="1"/>
    <x v="2"/>
    <x v="7"/>
    <n v="495.94"/>
    <n v="5"/>
    <n v="2479.6999999999998"/>
    <n v="0"/>
    <n v="0"/>
    <n v="2479.6999999999998"/>
    <s v="Debit Card"/>
    <s v="CUST_00832"/>
    <n v="2"/>
    <n v="0"/>
    <n v="495.93999999999994"/>
    <s v="No Discount"/>
  </r>
  <r>
    <s v="TXN_02080"/>
    <d v="2024-01-19T00:00:00"/>
    <x v="2"/>
    <s v="Friday"/>
    <s v="STORE_010"/>
    <x v="2"/>
    <x v="3"/>
    <x v="22"/>
    <n v="350.21"/>
    <n v="7"/>
    <n v="2451.4699999999998"/>
    <n v="15"/>
    <n v="367.72"/>
    <n v="2083.75"/>
    <s v="UPI"/>
    <s v="CUST_00155"/>
    <n v="5"/>
    <n v="367.7199999999998"/>
    <n v="297.67857142857144"/>
    <s v="Medium"/>
  </r>
  <r>
    <s v="TXN_02081"/>
    <d v="2024-05-30T00:00:00"/>
    <x v="3"/>
    <s v="Thursday"/>
    <s v="STORE_048"/>
    <x v="1"/>
    <x v="7"/>
    <x v="24"/>
    <n v="1248.76"/>
    <n v="7"/>
    <n v="8741.32"/>
    <n v="20"/>
    <n v="1748.26"/>
    <n v="6993.06"/>
    <s v="Cash"/>
    <s v="CUST_00168"/>
    <n v="5"/>
    <n v="1748.2599999999993"/>
    <n v="999.00857142857149"/>
    <s v="High"/>
  </r>
  <r>
    <s v="TXN_02082"/>
    <d v="2024-04-13T00:00:00"/>
    <x v="4"/>
    <s v="Saturday"/>
    <s v="STORE_019"/>
    <x v="2"/>
    <x v="4"/>
    <x v="35"/>
    <n v="408.67"/>
    <n v="3"/>
    <n v="1226.01"/>
    <n v="0"/>
    <n v="0"/>
    <n v="1226.01"/>
    <s v="UPI"/>
    <s v="CUST_00785"/>
    <n v="3"/>
    <n v="0"/>
    <n v="408.67"/>
    <s v="No Discount"/>
  </r>
  <r>
    <s v="TXN_02083"/>
    <d v="2024-01-23T00:00:00"/>
    <x v="2"/>
    <s v="Tuesday"/>
    <s v="STORE_036"/>
    <x v="2"/>
    <x v="7"/>
    <x v="28"/>
    <n v="1104.7"/>
    <n v="10"/>
    <n v="11047"/>
    <n v="5"/>
    <n v="552.35"/>
    <n v="10494.65"/>
    <s v="Debit Card"/>
    <s v="CUST_00544"/>
    <n v="5"/>
    <n v="552.35000000000036"/>
    <n v="1049.4649999999999"/>
    <s v="Low"/>
  </r>
  <r>
    <s v="TXN_02084"/>
    <d v="2024-04-12T00:00:00"/>
    <x v="4"/>
    <s v="Friday"/>
    <s v="STORE_022"/>
    <x v="4"/>
    <x v="5"/>
    <x v="9"/>
    <n v="1996.31"/>
    <n v="7"/>
    <n v="13974.17"/>
    <n v="0"/>
    <n v="0"/>
    <n v="13974.17"/>
    <s v="Cash"/>
    <s v="CUST_00808"/>
    <n v="2"/>
    <n v="0"/>
    <n v="1996.31"/>
    <s v="No Discount"/>
  </r>
  <r>
    <s v="TXN_02085"/>
    <d v="2024-01-22T00:00:00"/>
    <x v="2"/>
    <s v="Monday"/>
    <s v="STORE_034"/>
    <x v="4"/>
    <x v="2"/>
    <x v="7"/>
    <n v="712.1"/>
    <n v="9"/>
    <n v="6408.9"/>
    <n v="20"/>
    <n v="1281.78"/>
    <n v="5127.12"/>
    <s v="Debit Card"/>
    <s v="CUST_00284"/>
    <n v="1"/>
    <n v="1281.7799999999997"/>
    <n v="569.67999999999995"/>
    <s v="High"/>
  </r>
  <r>
    <s v="TXN_02086"/>
    <d v="2024-06-10T00:00:00"/>
    <x v="10"/>
    <s v="Monday"/>
    <s v="STORE_023"/>
    <x v="2"/>
    <x v="0"/>
    <x v="27"/>
    <n v="218.56"/>
    <n v="7"/>
    <n v="1529.92"/>
    <n v="5"/>
    <n v="76.5"/>
    <n v="1453.42"/>
    <s v="Cash"/>
    <s v="CUST_00837"/>
    <n v="1"/>
    <n v="76.5"/>
    <n v="207.63142857142859"/>
    <s v="Low"/>
  </r>
  <r>
    <s v="TXN_02087"/>
    <d v="2024-06-07T00:00:00"/>
    <x v="10"/>
    <s v="Friday"/>
    <s v="STORE_013"/>
    <x v="1"/>
    <x v="7"/>
    <x v="28"/>
    <n v="518.09"/>
    <n v="3"/>
    <n v="1554.27"/>
    <n v="20"/>
    <n v="310.85000000000002"/>
    <n v="1243.42"/>
    <s v="Cash"/>
    <s v="CUST_00085"/>
    <n v="3"/>
    <n v="310.84999999999991"/>
    <n v="414.47333333333336"/>
    <s v="High"/>
  </r>
  <r>
    <s v="TXN_02088"/>
    <d v="2024-09-20T00:00:00"/>
    <x v="9"/>
    <s v="Friday"/>
    <s v="STORE_020"/>
    <x v="4"/>
    <x v="5"/>
    <x v="11"/>
    <n v="4452.76"/>
    <n v="2"/>
    <n v="8905.52"/>
    <n v="15"/>
    <n v="1335.83"/>
    <n v="7569.69"/>
    <s v="UPI"/>
    <s v="CUST_00762"/>
    <n v="1"/>
    <n v="1335.8300000000008"/>
    <n v="3784.8449999999998"/>
    <s v="Medium"/>
  </r>
  <r>
    <s v="TXN_02089"/>
    <d v="2024-07-22T00:00:00"/>
    <x v="11"/>
    <s v="Monday"/>
    <s v="STORE_046"/>
    <x v="4"/>
    <x v="0"/>
    <x v="18"/>
    <n v="859.04"/>
    <n v="4"/>
    <n v="3436.16"/>
    <n v="5"/>
    <n v="171.81"/>
    <n v="3264.35"/>
    <s v="Debit Card"/>
    <s v="CUST_00395"/>
    <n v="1"/>
    <n v="171.80999999999995"/>
    <n v="816.08749999999998"/>
    <s v="Low"/>
  </r>
  <r>
    <s v="TXN_02090"/>
    <d v="2024-10-05T00:00:00"/>
    <x v="7"/>
    <s v="Saturday"/>
    <s v="STORE_039"/>
    <x v="3"/>
    <x v="6"/>
    <x v="30"/>
    <n v="803.95"/>
    <n v="1"/>
    <n v="803.95"/>
    <n v="15"/>
    <n v="120.59"/>
    <n v="683.36"/>
    <s v="Debit Card"/>
    <s v="CUST_00564"/>
    <n v="1"/>
    <n v="120.59000000000003"/>
    <n v="683.36"/>
    <s v="Medium"/>
  </r>
  <r>
    <s v="TXN_02091"/>
    <d v="2024-08-30T00:00:00"/>
    <x v="8"/>
    <s v="Friday"/>
    <s v="STORE_020"/>
    <x v="3"/>
    <x v="6"/>
    <x v="30"/>
    <n v="634.20000000000005"/>
    <n v="5"/>
    <n v="3171"/>
    <n v="0"/>
    <n v="0"/>
    <n v="3171"/>
    <s v="Credit Card"/>
    <s v="CUST_00833"/>
    <n v="2"/>
    <n v="0"/>
    <n v="634.20000000000005"/>
    <s v="No Discount"/>
  </r>
  <r>
    <s v="TXN_02092"/>
    <d v="2024-05-09T00:00:00"/>
    <x v="3"/>
    <s v="Thursday"/>
    <s v="STORE_030"/>
    <x v="4"/>
    <x v="7"/>
    <x v="38"/>
    <n v="428.33"/>
    <n v="8"/>
    <n v="3426.64"/>
    <n v="15"/>
    <n v="514"/>
    <n v="2912.64"/>
    <s v="Credit Card"/>
    <s v="CUST_00425"/>
    <n v="5"/>
    <n v="514"/>
    <n v="364.08"/>
    <s v="Medium"/>
  </r>
  <r>
    <s v="TXN_02093"/>
    <d v="2024-01-19T00:00:00"/>
    <x v="2"/>
    <s v="Friday"/>
    <s v="STORE_049"/>
    <x v="2"/>
    <x v="6"/>
    <x v="30"/>
    <n v="1826.94"/>
    <n v="7"/>
    <n v="12788.58"/>
    <n v="0"/>
    <n v="0"/>
    <n v="12788.58"/>
    <s v="Cash"/>
    <s v="CUST_00740"/>
    <n v="5"/>
    <n v="0"/>
    <n v="1826.94"/>
    <s v="No Discount"/>
  </r>
  <r>
    <s v="TXN_02094"/>
    <d v="2024-11-27T00:00:00"/>
    <x v="0"/>
    <s v="Wednesday"/>
    <s v="STORE_022"/>
    <x v="1"/>
    <x v="2"/>
    <x v="2"/>
    <n v="507.28"/>
    <n v="5"/>
    <n v="2536.4"/>
    <n v="20"/>
    <n v="507.28"/>
    <n v="2029.12"/>
    <s v="UPI"/>
    <s v="CUST_00944"/>
    <n v="5"/>
    <n v="507.2800000000002"/>
    <n v="405.82399999999996"/>
    <s v="High"/>
  </r>
  <r>
    <s v="TXN_02095"/>
    <d v="2024-04-07T00:00:00"/>
    <x v="4"/>
    <s v="Sunday"/>
    <s v="STORE_034"/>
    <x v="0"/>
    <x v="6"/>
    <x v="30"/>
    <n v="615.55999999999995"/>
    <n v="8"/>
    <n v="4924.4799999999996"/>
    <n v="0"/>
    <n v="0"/>
    <n v="4924.4799999999996"/>
    <s v="Debit Card"/>
    <s v="CUST_00724"/>
    <n v="3"/>
    <n v="0"/>
    <n v="615.55999999999995"/>
    <s v="No Discount"/>
  </r>
  <r>
    <s v="TXN_02096"/>
    <d v="2024-05-26T00:00:00"/>
    <x v="3"/>
    <s v="Sunday"/>
    <s v="STORE_034"/>
    <x v="2"/>
    <x v="7"/>
    <x v="28"/>
    <n v="867.06"/>
    <n v="3"/>
    <n v="2601.1799999999998"/>
    <n v="10"/>
    <n v="260.12"/>
    <n v="2341.06"/>
    <s v="Wallet"/>
    <s v="CUST_00483"/>
    <n v="4"/>
    <n v="260.11999999999989"/>
    <n v="780.35333333333335"/>
    <s v="Medium"/>
  </r>
  <r>
    <s v="TXN_02097"/>
    <d v="2024-07-01T00:00:00"/>
    <x v="11"/>
    <s v="Monday"/>
    <s v="STORE_008"/>
    <x v="3"/>
    <x v="5"/>
    <x v="9"/>
    <n v="3394.98"/>
    <n v="1"/>
    <n v="3394.98"/>
    <n v="15"/>
    <n v="509.25"/>
    <n v="2885.73"/>
    <s v="Debit Card"/>
    <s v="CUST_00109"/>
    <n v="4"/>
    <n v="509.25"/>
    <n v="2885.73"/>
    <s v="Medium"/>
  </r>
  <r>
    <s v="TXN_02098"/>
    <d v="2024-01-25T00:00:00"/>
    <x v="2"/>
    <s v="Thursday"/>
    <s v="STORE_010"/>
    <x v="0"/>
    <x v="0"/>
    <x v="18"/>
    <n v="642.02"/>
    <n v="9"/>
    <n v="5778.18"/>
    <n v="0"/>
    <n v="0"/>
    <n v="5778.18"/>
    <s v="Wallet"/>
    <s v="CUST_00916"/>
    <n v="4"/>
    <n v="0"/>
    <n v="642.02"/>
    <s v="No Discount"/>
  </r>
  <r>
    <s v="TXN_02099"/>
    <d v="2024-12-01T00:00:00"/>
    <x v="6"/>
    <s v="Sunday"/>
    <s v="STORE_031"/>
    <x v="3"/>
    <x v="3"/>
    <x v="16"/>
    <n v="2661.52"/>
    <n v="10"/>
    <n v="26615.200000000001"/>
    <n v="15"/>
    <n v="3992.28"/>
    <n v="22622.92"/>
    <s v="UPI"/>
    <s v="CUST_00794"/>
    <n v="3"/>
    <n v="3992.2800000000025"/>
    <n v="2262.2919999999999"/>
    <s v="Medium"/>
  </r>
  <r>
    <s v="TXN_02100"/>
    <d v="2024-06-18T00:00:00"/>
    <x v="10"/>
    <s v="Tuesday"/>
    <s v="STORE_029"/>
    <x v="3"/>
    <x v="7"/>
    <x v="23"/>
    <n v="537.55999999999995"/>
    <n v="6"/>
    <n v="3225.36"/>
    <n v="20"/>
    <n v="645.07000000000005"/>
    <n v="2580.29"/>
    <s v="Debit Card"/>
    <s v="CUST_00574"/>
    <n v="1"/>
    <n v="645.07000000000016"/>
    <n v="430.04833333333335"/>
    <s v="High"/>
  </r>
  <r>
    <s v="TXN_02101"/>
    <d v="2024-05-19T00:00:00"/>
    <x v="3"/>
    <s v="Sunday"/>
    <s v="STORE_024"/>
    <x v="1"/>
    <x v="7"/>
    <x v="28"/>
    <n v="518.47"/>
    <n v="5"/>
    <n v="2592.35"/>
    <n v="10"/>
    <n v="259.24"/>
    <n v="2333.11"/>
    <s v="Credit Card"/>
    <s v="CUST_00477"/>
    <n v="5"/>
    <n v="259.23999999999978"/>
    <n v="466.62200000000001"/>
    <s v="Medium"/>
  </r>
  <r>
    <s v="TXN_02102"/>
    <d v="2024-03-04T00:00:00"/>
    <x v="5"/>
    <s v="Monday"/>
    <s v="STORE_050"/>
    <x v="0"/>
    <x v="6"/>
    <x v="30"/>
    <n v="754.57"/>
    <n v="5"/>
    <n v="3772.85"/>
    <n v="15"/>
    <n v="565.92999999999995"/>
    <n v="3206.92"/>
    <s v="Cash"/>
    <s v="CUST_00219"/>
    <n v="2"/>
    <n v="565.92999999999984"/>
    <n v="641.38400000000001"/>
    <s v="Medium"/>
  </r>
  <r>
    <s v="TXN_02103"/>
    <d v="2024-07-07T00:00:00"/>
    <x v="11"/>
    <s v="Sunday"/>
    <s v="STORE_025"/>
    <x v="4"/>
    <x v="0"/>
    <x v="0"/>
    <n v="329.82"/>
    <n v="2"/>
    <n v="659.64"/>
    <n v="5"/>
    <n v="32.979999999999997"/>
    <n v="626.66"/>
    <s v="Wallet"/>
    <s v="CUST_00685"/>
    <n v="1"/>
    <n v="32.980000000000018"/>
    <n v="313.33"/>
    <s v="Low"/>
  </r>
  <r>
    <s v="TXN_02104"/>
    <d v="2024-08-11T00:00:00"/>
    <x v="8"/>
    <s v="Sunday"/>
    <s v="STORE_002"/>
    <x v="3"/>
    <x v="0"/>
    <x v="27"/>
    <n v="481.93"/>
    <n v="8"/>
    <n v="3855.44"/>
    <n v="0"/>
    <n v="0"/>
    <n v="3855.44"/>
    <s v="UPI"/>
    <s v="CUST_00821"/>
    <n v="4"/>
    <n v="0"/>
    <n v="481.93"/>
    <s v="No Discount"/>
  </r>
  <r>
    <s v="TXN_02105"/>
    <d v="2024-07-23T00:00:00"/>
    <x v="11"/>
    <s v="Tuesday"/>
    <s v="STORE_037"/>
    <x v="1"/>
    <x v="1"/>
    <x v="6"/>
    <n v="79.83"/>
    <n v="10"/>
    <n v="798.3"/>
    <n v="15"/>
    <n v="119.74"/>
    <n v="678.56"/>
    <s v="Credit Card"/>
    <s v="CUST_00714"/>
    <n v="2"/>
    <n v="119.74000000000001"/>
    <n v="67.855999999999995"/>
    <s v="Medium"/>
  </r>
  <r>
    <s v="TXN_02106"/>
    <d v="2024-08-13T00:00:00"/>
    <x v="8"/>
    <s v="Tuesday"/>
    <s v="STORE_010"/>
    <x v="3"/>
    <x v="5"/>
    <x v="34"/>
    <n v="2287.42"/>
    <n v="2"/>
    <n v="4574.84"/>
    <n v="20"/>
    <n v="914.97"/>
    <n v="3659.87"/>
    <s v="UPI"/>
    <s v="CUST_00075"/>
    <n v="3"/>
    <n v="914.97000000000025"/>
    <n v="1829.9349999999999"/>
    <s v="High"/>
  </r>
  <r>
    <s v="TXN_02107"/>
    <d v="2024-07-16T00:00:00"/>
    <x v="11"/>
    <s v="Tuesday"/>
    <s v="STORE_042"/>
    <x v="4"/>
    <x v="6"/>
    <x v="33"/>
    <n v="1891.62"/>
    <n v="4"/>
    <n v="7566.48"/>
    <n v="0"/>
    <n v="0"/>
    <n v="7566.48"/>
    <s v="Cash"/>
    <s v="CUST_00786"/>
    <n v="1"/>
    <n v="0"/>
    <n v="1891.62"/>
    <s v="No Discount"/>
  </r>
  <r>
    <s v="TXN_02108"/>
    <d v="2024-06-22T00:00:00"/>
    <x v="10"/>
    <s v="Saturday"/>
    <s v="STORE_035"/>
    <x v="0"/>
    <x v="2"/>
    <x v="29"/>
    <n v="297.45"/>
    <n v="4"/>
    <n v="1189.8"/>
    <n v="15"/>
    <n v="178.47"/>
    <n v="1011.33"/>
    <s v="Credit Card"/>
    <s v="CUST_00592"/>
    <n v="5"/>
    <n v="178.46999999999991"/>
    <n v="252.83250000000001"/>
    <s v="Medium"/>
  </r>
  <r>
    <s v="TXN_02109"/>
    <d v="2024-04-05T00:00:00"/>
    <x v="4"/>
    <s v="Friday"/>
    <s v="STORE_002"/>
    <x v="2"/>
    <x v="5"/>
    <x v="25"/>
    <n v="3167.32"/>
    <n v="5"/>
    <n v="15836.6"/>
    <n v="10"/>
    <n v="1583.66"/>
    <n v="14252.94"/>
    <s v="Credit Card"/>
    <s v="CUST_00309"/>
    <n v="2"/>
    <n v="1583.6599999999999"/>
    <n v="2850.5880000000002"/>
    <s v="Medium"/>
  </r>
  <r>
    <s v="TXN_02110"/>
    <d v="2024-09-11T00:00:00"/>
    <x v="9"/>
    <s v="Wednesday"/>
    <s v="STORE_015"/>
    <x v="2"/>
    <x v="7"/>
    <x v="37"/>
    <n v="1020.82"/>
    <n v="2"/>
    <n v="2041.64"/>
    <n v="20"/>
    <n v="408.33"/>
    <n v="1633.31"/>
    <s v="Credit Card"/>
    <s v="CUST_00151"/>
    <n v="3"/>
    <n v="408.33000000000015"/>
    <n v="816.65499999999997"/>
    <s v="High"/>
  </r>
  <r>
    <s v="TXN_02111"/>
    <d v="2024-12-20T00:00:00"/>
    <x v="6"/>
    <s v="Friday"/>
    <s v="STORE_025"/>
    <x v="1"/>
    <x v="7"/>
    <x v="24"/>
    <n v="1393.91"/>
    <n v="7"/>
    <n v="9757.3700000000008"/>
    <n v="5"/>
    <n v="487.87"/>
    <n v="9269.5"/>
    <s v="Cash"/>
    <s v="CUST_00414"/>
    <n v="5"/>
    <n v="487.8700000000008"/>
    <n v="1324.2142857142858"/>
    <s v="Low"/>
  </r>
  <r>
    <s v="TXN_02112"/>
    <d v="2024-09-11T00:00:00"/>
    <x v="9"/>
    <s v="Wednesday"/>
    <s v="STORE_020"/>
    <x v="4"/>
    <x v="3"/>
    <x v="12"/>
    <n v="2069.69"/>
    <n v="10"/>
    <n v="20696.900000000001"/>
    <n v="20"/>
    <n v="4139.38"/>
    <n v="16557.52"/>
    <s v="Cash"/>
    <s v="CUST_00093"/>
    <n v="2"/>
    <n v="4139.380000000001"/>
    <n v="1655.752"/>
    <s v="High"/>
  </r>
  <r>
    <s v="TXN_02113"/>
    <d v="2024-07-07T00:00:00"/>
    <x v="11"/>
    <s v="Sunday"/>
    <s v="STORE_027"/>
    <x v="1"/>
    <x v="7"/>
    <x v="28"/>
    <n v="691.02"/>
    <n v="2"/>
    <n v="1382.04"/>
    <n v="20"/>
    <n v="276.41000000000003"/>
    <n v="1105.6300000000001"/>
    <s v="Cash"/>
    <s v="CUST_00788"/>
    <n v="4"/>
    <n v="276.40999999999985"/>
    <n v="552.81500000000005"/>
    <s v="High"/>
  </r>
  <r>
    <s v="TXN_02114"/>
    <d v="2024-09-22T00:00:00"/>
    <x v="9"/>
    <s v="Sunday"/>
    <s v="STORE_021"/>
    <x v="3"/>
    <x v="5"/>
    <x v="9"/>
    <n v="3022.26"/>
    <n v="10"/>
    <n v="30222.6"/>
    <n v="20"/>
    <n v="6044.52"/>
    <n v="24178.080000000002"/>
    <s v="UPI"/>
    <s v="CUST_00253"/>
    <n v="1"/>
    <n v="6044.5199999999968"/>
    <n v="2417.808"/>
    <s v="High"/>
  </r>
  <r>
    <s v="TXN_02115"/>
    <d v="2024-05-16T00:00:00"/>
    <x v="3"/>
    <s v="Thursday"/>
    <s v="STORE_029"/>
    <x v="3"/>
    <x v="4"/>
    <x v="35"/>
    <n v="485.01"/>
    <n v="2"/>
    <n v="970.02"/>
    <n v="0"/>
    <n v="0"/>
    <n v="970.02"/>
    <s v="Wallet"/>
    <s v="CUST_00338"/>
    <n v="1"/>
    <n v="0"/>
    <n v="485.01"/>
    <s v="No Discount"/>
  </r>
  <r>
    <s v="TXN_02116"/>
    <d v="2024-02-12T00:00:00"/>
    <x v="1"/>
    <s v="Monday"/>
    <s v="STORE_033"/>
    <x v="2"/>
    <x v="7"/>
    <x v="38"/>
    <n v="581.04999999999995"/>
    <n v="6"/>
    <n v="3486.3"/>
    <n v="20"/>
    <n v="697.26"/>
    <n v="2789.04"/>
    <s v="Wallet"/>
    <s v="CUST_00350"/>
    <n v="4"/>
    <n v="697.26000000000022"/>
    <n v="464.84"/>
    <s v="High"/>
  </r>
  <r>
    <s v="TXN_02117"/>
    <d v="2024-08-05T00:00:00"/>
    <x v="8"/>
    <s v="Monday"/>
    <s v="STORE_011"/>
    <x v="0"/>
    <x v="4"/>
    <x v="35"/>
    <n v="219.64"/>
    <n v="1"/>
    <n v="219.64"/>
    <n v="20"/>
    <n v="43.93"/>
    <n v="175.71"/>
    <s v="Wallet"/>
    <s v="CUST_00752"/>
    <n v="4"/>
    <n v="43.929999999999978"/>
    <n v="175.71"/>
    <s v="High"/>
  </r>
  <r>
    <s v="TXN_02118"/>
    <d v="2024-02-10T00:00:00"/>
    <x v="1"/>
    <s v="Saturday"/>
    <s v="STORE_028"/>
    <x v="3"/>
    <x v="0"/>
    <x v="18"/>
    <n v="322.81"/>
    <n v="5"/>
    <n v="1614.05"/>
    <n v="5"/>
    <n v="80.7"/>
    <n v="1533.35"/>
    <s v="Cash"/>
    <s v="CUST_00480"/>
    <n v="3"/>
    <n v="80.700000000000045"/>
    <n v="306.66999999999996"/>
    <s v="Low"/>
  </r>
  <r>
    <s v="TXN_02119"/>
    <d v="2024-08-08T00:00:00"/>
    <x v="8"/>
    <s v="Thursday"/>
    <s v="STORE_014"/>
    <x v="2"/>
    <x v="5"/>
    <x v="34"/>
    <n v="2432.41"/>
    <n v="8"/>
    <n v="19459.28"/>
    <n v="0"/>
    <n v="0"/>
    <n v="19459.28"/>
    <s v="Credit Card"/>
    <s v="CUST_00847"/>
    <n v="4"/>
    <n v="0"/>
    <n v="2432.41"/>
    <s v="No Discount"/>
  </r>
  <r>
    <s v="TXN_02120"/>
    <d v="2024-11-04T00:00:00"/>
    <x v="0"/>
    <s v="Monday"/>
    <s v="STORE_042"/>
    <x v="0"/>
    <x v="1"/>
    <x v="36"/>
    <n v="212.74"/>
    <n v="5"/>
    <n v="1063.7"/>
    <n v="20"/>
    <n v="212.74"/>
    <n v="850.96"/>
    <s v="UPI"/>
    <s v="CUST_00493"/>
    <n v="5"/>
    <n v="212.74"/>
    <n v="170.19200000000001"/>
    <s v="High"/>
  </r>
  <r>
    <s v="TXN_02121"/>
    <d v="2024-04-02T00:00:00"/>
    <x v="4"/>
    <s v="Tuesday"/>
    <s v="STORE_002"/>
    <x v="0"/>
    <x v="6"/>
    <x v="14"/>
    <n v="646.54999999999995"/>
    <n v="6"/>
    <n v="3879.3"/>
    <n v="0"/>
    <n v="0"/>
    <n v="3879.3"/>
    <s v="Debit Card"/>
    <s v="CUST_00910"/>
    <n v="5"/>
    <n v="0"/>
    <n v="646.55000000000007"/>
    <s v="No Discount"/>
  </r>
  <r>
    <s v="TXN_02122"/>
    <d v="2024-10-06T00:00:00"/>
    <x v="7"/>
    <s v="Sunday"/>
    <s v="STORE_043"/>
    <x v="0"/>
    <x v="1"/>
    <x v="6"/>
    <n v="419.6"/>
    <n v="5"/>
    <n v="2098"/>
    <n v="10"/>
    <n v="209.8"/>
    <n v="1888.2"/>
    <s v="Cash"/>
    <s v="CUST_00393"/>
    <n v="4"/>
    <n v="209.79999999999995"/>
    <n v="377.64"/>
    <s v="Medium"/>
  </r>
  <r>
    <s v="TXN_02123"/>
    <d v="2024-05-30T00:00:00"/>
    <x v="3"/>
    <s v="Thursday"/>
    <s v="STORE_026"/>
    <x v="0"/>
    <x v="6"/>
    <x v="14"/>
    <n v="1343.93"/>
    <n v="6"/>
    <n v="8063.58"/>
    <n v="0"/>
    <n v="0"/>
    <n v="8063.58"/>
    <s v="UPI"/>
    <s v="CUST_00915"/>
    <n v="5"/>
    <n v="0"/>
    <n v="1343.93"/>
    <s v="No Discount"/>
  </r>
  <r>
    <s v="TXN_02124"/>
    <d v="2024-06-13T00:00:00"/>
    <x v="10"/>
    <s v="Thursday"/>
    <s v="STORE_028"/>
    <x v="1"/>
    <x v="1"/>
    <x v="31"/>
    <n v="299.75"/>
    <n v="5"/>
    <n v="1498.75"/>
    <n v="0"/>
    <n v="0"/>
    <n v="1498.75"/>
    <s v="UPI"/>
    <s v="CUST_00140"/>
    <n v="4"/>
    <n v="0"/>
    <n v="299.75"/>
    <s v="No Discount"/>
  </r>
  <r>
    <s v="TXN_02125"/>
    <d v="2024-02-22T00:00:00"/>
    <x v="1"/>
    <s v="Thursday"/>
    <s v="STORE_031"/>
    <x v="2"/>
    <x v="6"/>
    <x v="33"/>
    <n v="1479.05"/>
    <n v="7"/>
    <n v="10353.35"/>
    <n v="15"/>
    <n v="1553"/>
    <n v="8800.35"/>
    <s v="Debit Card"/>
    <s v="CUST_00881"/>
    <n v="2"/>
    <n v="1553"/>
    <n v="1257.1928571428573"/>
    <s v="Medium"/>
  </r>
  <r>
    <s v="TXN_02126"/>
    <d v="2024-02-10T00:00:00"/>
    <x v="1"/>
    <s v="Saturday"/>
    <s v="STORE_045"/>
    <x v="0"/>
    <x v="3"/>
    <x v="22"/>
    <n v="783.09"/>
    <n v="9"/>
    <n v="7047.81"/>
    <n v="5"/>
    <n v="352.39"/>
    <n v="6695.42"/>
    <s v="UPI"/>
    <s v="CUST_00367"/>
    <n v="4"/>
    <n v="352.39000000000033"/>
    <n v="743.93555555555554"/>
    <s v="Low"/>
  </r>
  <r>
    <s v="TXN_02127"/>
    <d v="2024-06-16T00:00:00"/>
    <x v="10"/>
    <s v="Sunday"/>
    <s v="STORE_039"/>
    <x v="2"/>
    <x v="5"/>
    <x v="11"/>
    <n v="4572.47"/>
    <n v="7"/>
    <n v="32007.29"/>
    <n v="15"/>
    <n v="4801.09"/>
    <n v="27206.2"/>
    <s v="Wallet"/>
    <s v="CUST_00417"/>
    <n v="4"/>
    <n v="4801.09"/>
    <n v="3886.6"/>
    <s v="Medium"/>
  </r>
  <r>
    <s v="TXN_02128"/>
    <d v="2024-12-04T00:00:00"/>
    <x v="6"/>
    <s v="Wednesday"/>
    <s v="STORE_012"/>
    <x v="2"/>
    <x v="6"/>
    <x v="15"/>
    <n v="1275.52"/>
    <n v="9"/>
    <n v="11479.68"/>
    <n v="5"/>
    <n v="573.98"/>
    <n v="10905.7"/>
    <s v="Wallet"/>
    <s v="CUST_00711"/>
    <n v="2"/>
    <n v="573.97999999999956"/>
    <n v="1211.7444444444445"/>
    <s v="Low"/>
  </r>
  <r>
    <s v="TXN_02129"/>
    <d v="2024-05-31T00:00:00"/>
    <x v="3"/>
    <s v="Friday"/>
    <s v="STORE_044"/>
    <x v="4"/>
    <x v="4"/>
    <x v="35"/>
    <n v="499.84"/>
    <n v="5"/>
    <n v="2499.1999999999998"/>
    <n v="0"/>
    <n v="0"/>
    <n v="2499.1999999999998"/>
    <s v="Cash"/>
    <s v="CUST_00967"/>
    <n v="1"/>
    <n v="0"/>
    <n v="499.84"/>
    <s v="No Discount"/>
  </r>
  <r>
    <s v="TXN_02130"/>
    <d v="2024-06-05T00:00:00"/>
    <x v="10"/>
    <s v="Wednesday"/>
    <s v="STORE_039"/>
    <x v="3"/>
    <x v="5"/>
    <x v="9"/>
    <n v="1800.06"/>
    <n v="7"/>
    <n v="12600.42"/>
    <n v="15"/>
    <n v="1890.06"/>
    <n v="10710.36"/>
    <s v="Credit Card"/>
    <s v="CUST_00440"/>
    <n v="3"/>
    <n v="1890.0599999999995"/>
    <n v="1530.0514285714287"/>
    <s v="Medium"/>
  </r>
  <r>
    <s v="TXN_02131"/>
    <d v="2024-08-16T00:00:00"/>
    <x v="8"/>
    <s v="Friday"/>
    <s v="STORE_048"/>
    <x v="3"/>
    <x v="2"/>
    <x v="2"/>
    <n v="319.99"/>
    <n v="6"/>
    <n v="1919.94"/>
    <n v="5"/>
    <n v="96"/>
    <n v="1823.94"/>
    <s v="UPI"/>
    <s v="CUST_00513"/>
    <n v="1"/>
    <n v="96"/>
    <n v="303.99"/>
    <s v="Low"/>
  </r>
  <r>
    <s v="TXN_02132"/>
    <d v="2024-11-04T00:00:00"/>
    <x v="0"/>
    <s v="Monday"/>
    <s v="STORE_005"/>
    <x v="4"/>
    <x v="1"/>
    <x v="1"/>
    <n v="369.81"/>
    <n v="6"/>
    <n v="2218.86"/>
    <n v="0"/>
    <n v="0"/>
    <n v="2218.86"/>
    <s v="Debit Card"/>
    <s v="CUST_00722"/>
    <n v="4"/>
    <n v="0"/>
    <n v="369.81"/>
    <s v="No Discount"/>
  </r>
  <r>
    <s v="TXN_02133"/>
    <d v="2024-08-06T00:00:00"/>
    <x v="8"/>
    <s v="Tuesday"/>
    <s v="STORE_031"/>
    <x v="0"/>
    <x v="6"/>
    <x v="14"/>
    <n v="1746.76"/>
    <n v="9"/>
    <n v="15720.84"/>
    <n v="0"/>
    <n v="0"/>
    <n v="15720.84"/>
    <s v="Debit Card"/>
    <s v="CUST_00881"/>
    <n v="2"/>
    <n v="0"/>
    <n v="1746.76"/>
    <s v="No Discount"/>
  </r>
  <r>
    <s v="TXN_02134"/>
    <d v="2024-03-26T00:00:00"/>
    <x v="5"/>
    <s v="Tuesday"/>
    <s v="STORE_012"/>
    <x v="0"/>
    <x v="0"/>
    <x v="0"/>
    <n v="564.35"/>
    <n v="4"/>
    <n v="2257.4"/>
    <n v="0"/>
    <n v="0"/>
    <n v="2257.4"/>
    <s v="Credit Card"/>
    <s v="CUST_00494"/>
    <n v="2"/>
    <n v="0"/>
    <n v="564.35"/>
    <s v="No Discount"/>
  </r>
  <r>
    <s v="TXN_02135"/>
    <d v="2024-12-19T00:00:00"/>
    <x v="6"/>
    <s v="Thursday"/>
    <s v="STORE_028"/>
    <x v="4"/>
    <x v="7"/>
    <x v="28"/>
    <n v="1213.8900000000001"/>
    <n v="8"/>
    <n v="9711.1200000000008"/>
    <n v="20"/>
    <n v="1942.22"/>
    <n v="7768.9"/>
    <s v="Cash"/>
    <s v="CUST_00124"/>
    <n v="4"/>
    <n v="1942.2200000000012"/>
    <n v="971.11249999999995"/>
    <s v="High"/>
  </r>
  <r>
    <s v="TXN_02136"/>
    <d v="2024-08-15T00:00:00"/>
    <x v="8"/>
    <s v="Thursday"/>
    <s v="STORE_040"/>
    <x v="4"/>
    <x v="1"/>
    <x v="36"/>
    <n v="240.32"/>
    <n v="1"/>
    <n v="240.32"/>
    <n v="20"/>
    <n v="48.06"/>
    <n v="192.26"/>
    <s v="Cash"/>
    <s v="CUST_00381"/>
    <n v="2"/>
    <n v="48.06"/>
    <n v="192.26"/>
    <s v="High"/>
  </r>
  <r>
    <s v="TXN_02137"/>
    <d v="2024-06-28T00:00:00"/>
    <x v="10"/>
    <s v="Friday"/>
    <s v="STORE_015"/>
    <x v="2"/>
    <x v="7"/>
    <x v="24"/>
    <n v="621.85"/>
    <n v="9"/>
    <n v="5596.65"/>
    <n v="5"/>
    <n v="279.83"/>
    <n v="5316.82"/>
    <s v="Wallet"/>
    <s v="CUST_00384"/>
    <n v="5"/>
    <n v="279.82999999999993"/>
    <n v="590.75777777777773"/>
    <s v="Low"/>
  </r>
  <r>
    <s v="TXN_02138"/>
    <d v="2024-08-16T00:00:00"/>
    <x v="8"/>
    <s v="Friday"/>
    <s v="STORE_012"/>
    <x v="0"/>
    <x v="5"/>
    <x v="34"/>
    <n v="4342.18"/>
    <n v="10"/>
    <n v="43421.8"/>
    <n v="0"/>
    <n v="0"/>
    <n v="43421.8"/>
    <s v="Debit Card"/>
    <s v="CUST_00031"/>
    <n v="5"/>
    <n v="0"/>
    <n v="4342.18"/>
    <s v="No Discount"/>
  </r>
  <r>
    <s v="TXN_02139"/>
    <d v="2024-01-22T00:00:00"/>
    <x v="2"/>
    <s v="Monday"/>
    <s v="STORE_007"/>
    <x v="1"/>
    <x v="5"/>
    <x v="9"/>
    <n v="4979.6099999999997"/>
    <n v="10"/>
    <n v="49796.1"/>
    <n v="20"/>
    <n v="9959.2199999999993"/>
    <n v="39836.879999999997"/>
    <s v="Wallet"/>
    <s v="CUST_00189"/>
    <n v="1"/>
    <n v="9959.2200000000012"/>
    <n v="3983.6879999999996"/>
    <s v="High"/>
  </r>
  <r>
    <s v="TXN_02140"/>
    <d v="2024-06-29T00:00:00"/>
    <x v="10"/>
    <s v="Saturday"/>
    <s v="STORE_002"/>
    <x v="2"/>
    <x v="0"/>
    <x v="32"/>
    <n v="596.36"/>
    <n v="2"/>
    <n v="1192.72"/>
    <n v="0"/>
    <n v="0"/>
    <n v="1192.72"/>
    <s v="UPI"/>
    <s v="CUST_00462"/>
    <n v="5"/>
    <n v="0"/>
    <n v="596.36"/>
    <s v="No Discount"/>
  </r>
  <r>
    <s v="TXN_02141"/>
    <d v="2024-11-10T00:00:00"/>
    <x v="0"/>
    <s v="Sunday"/>
    <s v="STORE_050"/>
    <x v="2"/>
    <x v="1"/>
    <x v="36"/>
    <n v="464.72"/>
    <n v="2"/>
    <n v="929.44"/>
    <n v="5"/>
    <n v="46.47"/>
    <n v="882.97"/>
    <s v="Debit Card"/>
    <s v="CUST_00910"/>
    <n v="4"/>
    <n v="46.470000000000027"/>
    <n v="441.48500000000001"/>
    <s v="Low"/>
  </r>
  <r>
    <s v="TXN_02142"/>
    <d v="2024-08-10T00:00:00"/>
    <x v="8"/>
    <s v="Saturday"/>
    <s v="STORE_012"/>
    <x v="3"/>
    <x v="4"/>
    <x v="8"/>
    <n v="573.61"/>
    <n v="5"/>
    <n v="2868.05"/>
    <n v="10"/>
    <n v="286.81"/>
    <n v="2581.2399999999998"/>
    <s v="Debit Card"/>
    <s v="CUST_00856"/>
    <n v="2"/>
    <n v="286.8100000000004"/>
    <n v="516.24799999999993"/>
    <s v="Medium"/>
  </r>
  <r>
    <s v="TXN_02143"/>
    <d v="2024-05-20T00:00:00"/>
    <x v="3"/>
    <s v="Monday"/>
    <s v="STORE_008"/>
    <x v="3"/>
    <x v="1"/>
    <x v="31"/>
    <n v="164.21"/>
    <n v="5"/>
    <n v="821.05"/>
    <n v="5"/>
    <n v="41.05"/>
    <n v="780"/>
    <s v="Wallet"/>
    <s v="CUST_00164"/>
    <n v="2"/>
    <n v="41.049999999999955"/>
    <n v="156"/>
    <s v="Low"/>
  </r>
  <r>
    <s v="TXN_02144"/>
    <d v="2024-11-23T00:00:00"/>
    <x v="0"/>
    <s v="Saturday"/>
    <s v="STORE_015"/>
    <x v="4"/>
    <x v="2"/>
    <x v="13"/>
    <n v="403.26"/>
    <n v="4"/>
    <n v="1613.04"/>
    <n v="10"/>
    <n v="161.30000000000001"/>
    <n v="1451.74"/>
    <s v="Credit Card"/>
    <s v="CUST_00034"/>
    <n v="5"/>
    <n v="161.29999999999995"/>
    <n v="362.935"/>
    <s v="Medium"/>
  </r>
  <r>
    <s v="TXN_02145"/>
    <d v="2024-01-30T00:00:00"/>
    <x v="2"/>
    <s v="Tuesday"/>
    <s v="STORE_036"/>
    <x v="1"/>
    <x v="0"/>
    <x v="32"/>
    <n v="408.09"/>
    <n v="3"/>
    <n v="1224.27"/>
    <n v="0"/>
    <n v="0"/>
    <n v="1224.27"/>
    <s v="Wallet"/>
    <s v="CUST_00112"/>
    <n v="5"/>
    <n v="0"/>
    <n v="408.09"/>
    <s v="No Discount"/>
  </r>
  <r>
    <s v="TXN_02146"/>
    <d v="2024-02-08T00:00:00"/>
    <x v="1"/>
    <s v="Thursday"/>
    <s v="STORE_012"/>
    <x v="4"/>
    <x v="3"/>
    <x v="16"/>
    <n v="829.63"/>
    <n v="8"/>
    <n v="6637.04"/>
    <n v="15"/>
    <n v="995.56"/>
    <n v="5641.48"/>
    <s v="Debit Card"/>
    <s v="CUST_00882"/>
    <n v="4"/>
    <n v="995.5600000000004"/>
    <n v="705.18499999999995"/>
    <s v="Medium"/>
  </r>
  <r>
    <s v="TXN_02147"/>
    <d v="2024-12-09T00:00:00"/>
    <x v="6"/>
    <s v="Monday"/>
    <s v="STORE_023"/>
    <x v="2"/>
    <x v="7"/>
    <x v="38"/>
    <n v="1373.77"/>
    <n v="2"/>
    <n v="2747.54"/>
    <n v="20"/>
    <n v="549.51"/>
    <n v="2198.0300000000002"/>
    <s v="UPI"/>
    <s v="CUST_00306"/>
    <n v="2"/>
    <n v="549.50999999999976"/>
    <n v="1099.0150000000001"/>
    <s v="High"/>
  </r>
  <r>
    <s v="TXN_02148"/>
    <d v="2024-11-22T00:00:00"/>
    <x v="0"/>
    <s v="Friday"/>
    <s v="STORE_026"/>
    <x v="1"/>
    <x v="0"/>
    <x v="18"/>
    <n v="300.35000000000002"/>
    <n v="7"/>
    <n v="2102.4499999999998"/>
    <n v="15"/>
    <n v="315.37"/>
    <n v="1787.08"/>
    <s v="UPI"/>
    <s v="CUST_00844"/>
    <n v="4"/>
    <n v="315.36999999999989"/>
    <n v="255.29714285714286"/>
    <s v="Medium"/>
  </r>
  <r>
    <s v="TXN_02149"/>
    <d v="2024-07-26T00:00:00"/>
    <x v="11"/>
    <s v="Friday"/>
    <s v="STORE_014"/>
    <x v="4"/>
    <x v="5"/>
    <x v="9"/>
    <n v="4452.05"/>
    <n v="9"/>
    <n v="40068.449999999997"/>
    <n v="15"/>
    <n v="6010.27"/>
    <n v="34058.18"/>
    <s v="Cash"/>
    <s v="CUST_00501"/>
    <n v="3"/>
    <n v="6010.2699999999968"/>
    <n v="3784.2422222222222"/>
    <s v="Medium"/>
  </r>
  <r>
    <s v="TXN_02150"/>
    <d v="2024-07-05T00:00:00"/>
    <x v="11"/>
    <s v="Friday"/>
    <s v="STORE_047"/>
    <x v="2"/>
    <x v="2"/>
    <x v="7"/>
    <n v="624.24"/>
    <n v="10"/>
    <n v="6242.4"/>
    <n v="0"/>
    <n v="0"/>
    <n v="6242.4"/>
    <s v="Credit Card"/>
    <s v="CUST_00518"/>
    <n v="4"/>
    <n v="0"/>
    <n v="624.24"/>
    <s v="No Discount"/>
  </r>
  <r>
    <s v="TXN_02151"/>
    <d v="2024-09-19T00:00:00"/>
    <x v="9"/>
    <s v="Thursday"/>
    <s v="STORE_049"/>
    <x v="3"/>
    <x v="0"/>
    <x v="32"/>
    <n v="852.85"/>
    <n v="7"/>
    <n v="5969.95"/>
    <n v="15"/>
    <n v="895.49"/>
    <n v="5074.46"/>
    <s v="UPI"/>
    <s v="CUST_00867"/>
    <n v="3"/>
    <n v="895.48999999999978"/>
    <n v="724.9228571428572"/>
    <s v="Medium"/>
  </r>
  <r>
    <s v="TXN_02152"/>
    <d v="2024-12-13T00:00:00"/>
    <x v="6"/>
    <s v="Friday"/>
    <s v="STORE_011"/>
    <x v="4"/>
    <x v="6"/>
    <x v="14"/>
    <n v="566.89"/>
    <n v="1"/>
    <n v="566.89"/>
    <n v="15"/>
    <n v="85.03"/>
    <n v="481.86"/>
    <s v="Credit Card"/>
    <s v="CUST_00048"/>
    <n v="5"/>
    <n v="85.029999999999973"/>
    <n v="481.86"/>
    <s v="Medium"/>
  </r>
  <r>
    <s v="TXN_02153"/>
    <d v="2024-03-22T00:00:00"/>
    <x v="5"/>
    <s v="Friday"/>
    <s v="STORE_040"/>
    <x v="2"/>
    <x v="5"/>
    <x v="11"/>
    <n v="4086.59"/>
    <n v="6"/>
    <n v="24519.54"/>
    <n v="20"/>
    <n v="4903.91"/>
    <n v="19615.63"/>
    <s v="Cash"/>
    <s v="CUST_00287"/>
    <n v="2"/>
    <n v="4903.91"/>
    <n v="3269.271666666667"/>
    <s v="High"/>
  </r>
  <r>
    <s v="TXN_02154"/>
    <d v="2024-01-16T00:00:00"/>
    <x v="2"/>
    <s v="Tuesday"/>
    <s v="STORE_011"/>
    <x v="1"/>
    <x v="2"/>
    <x v="7"/>
    <n v="500.7"/>
    <n v="1"/>
    <n v="500.7"/>
    <n v="10"/>
    <n v="50.07"/>
    <n v="450.63"/>
    <s v="Debit Card"/>
    <s v="CUST_00981"/>
    <n v="2"/>
    <n v="50.069999999999993"/>
    <n v="450.63"/>
    <s v="Medium"/>
  </r>
  <r>
    <s v="TXN_02155"/>
    <d v="2024-03-14T00:00:00"/>
    <x v="5"/>
    <s v="Thursday"/>
    <s v="STORE_005"/>
    <x v="2"/>
    <x v="3"/>
    <x v="12"/>
    <n v="777.61"/>
    <n v="1"/>
    <n v="777.61"/>
    <n v="0"/>
    <n v="0"/>
    <n v="777.61"/>
    <s v="Debit Card"/>
    <s v="CUST_00158"/>
    <n v="3"/>
    <n v="0"/>
    <n v="777.61"/>
    <s v="No Discount"/>
  </r>
  <r>
    <s v="TXN_02156"/>
    <d v="2024-11-07T00:00:00"/>
    <x v="0"/>
    <s v="Thursday"/>
    <s v="STORE_022"/>
    <x v="1"/>
    <x v="4"/>
    <x v="35"/>
    <n v="304.82"/>
    <n v="1"/>
    <n v="304.82"/>
    <n v="0"/>
    <n v="0"/>
    <n v="304.82"/>
    <s v="Wallet"/>
    <s v="CUST_00337"/>
    <n v="2"/>
    <n v="0"/>
    <n v="304.82"/>
    <s v="No Discount"/>
  </r>
  <r>
    <s v="TXN_02157"/>
    <d v="2024-12-13T00:00:00"/>
    <x v="6"/>
    <s v="Friday"/>
    <s v="STORE_019"/>
    <x v="0"/>
    <x v="6"/>
    <x v="14"/>
    <n v="1782.97"/>
    <n v="10"/>
    <n v="17829.7"/>
    <n v="10"/>
    <n v="1782.97"/>
    <n v="16046.73"/>
    <s v="Wallet"/>
    <s v="CUST_00639"/>
    <n v="5"/>
    <n v="1782.9700000000012"/>
    <n v="1604.673"/>
    <s v="Medium"/>
  </r>
  <r>
    <s v="TXN_02158"/>
    <d v="2024-08-12T00:00:00"/>
    <x v="8"/>
    <s v="Monday"/>
    <s v="STORE_011"/>
    <x v="4"/>
    <x v="3"/>
    <x v="12"/>
    <n v="739.69"/>
    <n v="3"/>
    <n v="2219.0700000000002"/>
    <n v="0"/>
    <n v="0"/>
    <n v="2219.0700000000002"/>
    <s v="Debit Card"/>
    <s v="CUST_00437"/>
    <n v="4"/>
    <n v="0"/>
    <n v="739.69"/>
    <s v="No Discount"/>
  </r>
  <r>
    <s v="TXN_02159"/>
    <d v="2024-01-18T00:00:00"/>
    <x v="2"/>
    <s v="Thursday"/>
    <s v="STORE_042"/>
    <x v="0"/>
    <x v="5"/>
    <x v="34"/>
    <n v="4247.38"/>
    <n v="1"/>
    <n v="4247.38"/>
    <n v="0"/>
    <n v="0"/>
    <n v="4247.38"/>
    <s v="Wallet"/>
    <s v="CUST_00126"/>
    <n v="5"/>
    <n v="0"/>
    <n v="4247.38"/>
    <s v="No Discount"/>
  </r>
  <r>
    <s v="TXN_02160"/>
    <d v="2024-03-05T00:00:00"/>
    <x v="5"/>
    <s v="Tuesday"/>
    <s v="STORE_029"/>
    <x v="1"/>
    <x v="5"/>
    <x v="25"/>
    <n v="4010.63"/>
    <n v="2"/>
    <n v="8021.26"/>
    <n v="0"/>
    <n v="0"/>
    <n v="8021.26"/>
    <s v="Wallet"/>
    <s v="CUST_00770"/>
    <n v="1"/>
    <n v="0"/>
    <n v="4010.63"/>
    <s v="No Discount"/>
  </r>
  <r>
    <s v="TXN_02161"/>
    <d v="2024-02-04T00:00:00"/>
    <x v="1"/>
    <s v="Sunday"/>
    <s v="STORE_004"/>
    <x v="2"/>
    <x v="0"/>
    <x v="32"/>
    <n v="926.14"/>
    <n v="10"/>
    <n v="9261.4"/>
    <n v="10"/>
    <n v="926.14"/>
    <n v="8335.26"/>
    <s v="Wallet"/>
    <s v="CUST_00147"/>
    <n v="2"/>
    <n v="926.13999999999942"/>
    <n v="833.52600000000007"/>
    <s v="Medium"/>
  </r>
  <r>
    <s v="TXN_02162"/>
    <d v="2024-04-30T00:00:00"/>
    <x v="4"/>
    <s v="Tuesday"/>
    <s v="STORE_038"/>
    <x v="1"/>
    <x v="3"/>
    <x v="5"/>
    <n v="1324.17"/>
    <n v="2"/>
    <n v="2648.34"/>
    <n v="5"/>
    <n v="132.41999999999999"/>
    <n v="2515.92"/>
    <s v="UPI"/>
    <s v="CUST_00285"/>
    <n v="3"/>
    <n v="132.42000000000007"/>
    <n v="1257.96"/>
    <s v="Low"/>
  </r>
  <r>
    <s v="TXN_02163"/>
    <d v="2024-11-26T00:00:00"/>
    <x v="0"/>
    <s v="Tuesday"/>
    <s v="STORE_042"/>
    <x v="2"/>
    <x v="5"/>
    <x v="34"/>
    <n v="4625.66"/>
    <n v="7"/>
    <n v="32379.62"/>
    <n v="0"/>
    <n v="0"/>
    <n v="32379.62"/>
    <s v="Wallet"/>
    <s v="CUST_00580"/>
    <n v="3"/>
    <n v="0"/>
    <n v="4625.66"/>
    <s v="No Discount"/>
  </r>
  <r>
    <s v="TXN_02164"/>
    <d v="2024-07-06T00:00:00"/>
    <x v="11"/>
    <s v="Saturday"/>
    <s v="STORE_026"/>
    <x v="3"/>
    <x v="3"/>
    <x v="5"/>
    <n v="1157.31"/>
    <n v="2"/>
    <n v="2314.62"/>
    <n v="10"/>
    <n v="231.46"/>
    <n v="2083.16"/>
    <s v="Debit Card"/>
    <s v="CUST_00078"/>
    <n v="2"/>
    <n v="231.46000000000004"/>
    <n v="1041.58"/>
    <s v="Medium"/>
  </r>
  <r>
    <s v="TXN_02165"/>
    <d v="2024-07-04T00:00:00"/>
    <x v="11"/>
    <s v="Thursday"/>
    <s v="STORE_028"/>
    <x v="1"/>
    <x v="3"/>
    <x v="21"/>
    <n v="1548.53"/>
    <n v="4"/>
    <n v="6194.12"/>
    <n v="15"/>
    <n v="929.12"/>
    <n v="5265"/>
    <s v="UPI"/>
    <s v="CUST_00485"/>
    <n v="2"/>
    <n v="929.11999999999989"/>
    <n v="1316.25"/>
    <s v="Medium"/>
  </r>
  <r>
    <s v="TXN_02166"/>
    <d v="2024-07-15T00:00:00"/>
    <x v="11"/>
    <s v="Monday"/>
    <s v="STORE_025"/>
    <x v="2"/>
    <x v="4"/>
    <x v="20"/>
    <n v="450.5"/>
    <n v="9"/>
    <n v="4054.5"/>
    <n v="15"/>
    <n v="608.16999999999996"/>
    <n v="3446.33"/>
    <s v="UPI"/>
    <s v="CUST_00919"/>
    <n v="3"/>
    <n v="608.17000000000007"/>
    <n v="382.92555555555555"/>
    <s v="Medium"/>
  </r>
  <r>
    <s v="TXN_02167"/>
    <d v="2024-10-17T00:00:00"/>
    <x v="7"/>
    <s v="Thursday"/>
    <s v="STORE_002"/>
    <x v="2"/>
    <x v="5"/>
    <x v="34"/>
    <n v="4561.42"/>
    <n v="7"/>
    <n v="31929.94"/>
    <n v="0"/>
    <n v="0"/>
    <n v="31929.94"/>
    <s v="UPI"/>
    <s v="CUST_00585"/>
    <n v="2"/>
    <n v="0"/>
    <n v="4561.42"/>
    <s v="No Discount"/>
  </r>
  <r>
    <s v="TXN_02168"/>
    <d v="2024-01-17T00:00:00"/>
    <x v="2"/>
    <s v="Wednesday"/>
    <s v="STORE_004"/>
    <x v="0"/>
    <x v="5"/>
    <x v="10"/>
    <n v="4609.54"/>
    <n v="6"/>
    <n v="27657.24"/>
    <n v="20"/>
    <n v="5531.45"/>
    <n v="22125.79"/>
    <s v="Debit Card"/>
    <s v="CUST_00171"/>
    <n v="3"/>
    <n v="5531.4500000000007"/>
    <n v="3687.6316666666667"/>
    <s v="High"/>
  </r>
  <r>
    <s v="TXN_02169"/>
    <d v="2024-11-05T00:00:00"/>
    <x v="0"/>
    <s v="Tuesday"/>
    <s v="STORE_001"/>
    <x v="1"/>
    <x v="7"/>
    <x v="28"/>
    <n v="724.6"/>
    <n v="4"/>
    <n v="2898.4"/>
    <n v="20"/>
    <n v="579.67999999999995"/>
    <n v="2318.7199999999998"/>
    <s v="Cash"/>
    <s v="CUST_00097"/>
    <n v="3"/>
    <n v="579.68000000000029"/>
    <n v="579.67999999999995"/>
    <s v="High"/>
  </r>
  <r>
    <s v="TXN_02170"/>
    <d v="2024-03-19T00:00:00"/>
    <x v="5"/>
    <s v="Tuesday"/>
    <s v="STORE_020"/>
    <x v="0"/>
    <x v="2"/>
    <x v="29"/>
    <n v="603.86"/>
    <n v="3"/>
    <n v="1811.58"/>
    <n v="0"/>
    <n v="0"/>
    <n v="1811.58"/>
    <s v="Wallet"/>
    <s v="CUST_00683"/>
    <n v="1"/>
    <n v="0"/>
    <n v="603.86"/>
    <s v="No Discount"/>
  </r>
  <r>
    <s v="TXN_02171"/>
    <d v="2024-12-13T00:00:00"/>
    <x v="6"/>
    <s v="Friday"/>
    <s v="STORE_017"/>
    <x v="3"/>
    <x v="6"/>
    <x v="26"/>
    <n v="1777.03"/>
    <n v="8"/>
    <n v="14216.24"/>
    <n v="10"/>
    <n v="1421.62"/>
    <n v="12794.62"/>
    <s v="UPI"/>
    <s v="CUST_00620"/>
    <n v="2"/>
    <n v="1421.619999999999"/>
    <n v="1599.3275000000001"/>
    <s v="Medium"/>
  </r>
  <r>
    <s v="TXN_02172"/>
    <d v="2024-08-18T00:00:00"/>
    <x v="8"/>
    <s v="Sunday"/>
    <s v="STORE_006"/>
    <x v="4"/>
    <x v="5"/>
    <x v="25"/>
    <n v="3769.7"/>
    <n v="5"/>
    <n v="18848.5"/>
    <n v="20"/>
    <n v="3769.7"/>
    <n v="15078.8"/>
    <s v="Debit Card"/>
    <s v="CUST_00559"/>
    <n v="2"/>
    <n v="3769.7000000000007"/>
    <n v="3015.7599999999998"/>
    <s v="High"/>
  </r>
  <r>
    <s v="TXN_02173"/>
    <d v="2024-07-08T00:00:00"/>
    <x v="11"/>
    <s v="Monday"/>
    <s v="STORE_038"/>
    <x v="0"/>
    <x v="3"/>
    <x v="22"/>
    <n v="1959.19"/>
    <n v="6"/>
    <n v="11755.14"/>
    <n v="15"/>
    <n v="1763.27"/>
    <n v="9991.8700000000008"/>
    <s v="Wallet"/>
    <s v="CUST_00754"/>
    <n v="1"/>
    <n v="1763.2699999999986"/>
    <n v="1665.3116666666667"/>
    <s v="Medium"/>
  </r>
  <r>
    <s v="TXN_02174"/>
    <d v="2024-07-09T00:00:00"/>
    <x v="11"/>
    <s v="Tuesday"/>
    <s v="STORE_032"/>
    <x v="3"/>
    <x v="6"/>
    <x v="15"/>
    <n v="1657.49"/>
    <n v="8"/>
    <n v="13259.92"/>
    <n v="5"/>
    <n v="663"/>
    <n v="12596.92"/>
    <s v="Credit Card"/>
    <s v="CUST_00850"/>
    <n v="4"/>
    <n v="663"/>
    <n v="1574.615"/>
    <s v="Low"/>
  </r>
  <r>
    <s v="TXN_02175"/>
    <d v="2024-08-15T00:00:00"/>
    <x v="8"/>
    <s v="Thursday"/>
    <s v="STORE_028"/>
    <x v="1"/>
    <x v="3"/>
    <x v="12"/>
    <n v="2665.76"/>
    <n v="3"/>
    <n v="7997.28"/>
    <n v="10"/>
    <n v="799.73"/>
    <n v="7197.55"/>
    <s v="Wallet"/>
    <s v="CUST_00098"/>
    <n v="5"/>
    <n v="799.72999999999956"/>
    <n v="2399.1833333333334"/>
    <s v="Medium"/>
  </r>
  <r>
    <s v="TXN_02176"/>
    <d v="2024-02-09T00:00:00"/>
    <x v="1"/>
    <s v="Friday"/>
    <s v="STORE_043"/>
    <x v="1"/>
    <x v="4"/>
    <x v="17"/>
    <n v="574.24"/>
    <n v="3"/>
    <n v="1722.72"/>
    <n v="0"/>
    <n v="0"/>
    <n v="1722.72"/>
    <s v="UPI"/>
    <s v="CUST_00984"/>
    <n v="5"/>
    <n v="0"/>
    <n v="574.24"/>
    <s v="No Discount"/>
  </r>
  <r>
    <s v="TXN_02177"/>
    <d v="2024-10-20T00:00:00"/>
    <x v="7"/>
    <s v="Sunday"/>
    <s v="STORE_048"/>
    <x v="4"/>
    <x v="0"/>
    <x v="32"/>
    <n v="245.86"/>
    <n v="9"/>
    <n v="2212.7399999999998"/>
    <n v="0"/>
    <n v="0"/>
    <n v="2212.7399999999998"/>
    <s v="Wallet"/>
    <s v="CUST_00544"/>
    <n v="3"/>
    <n v="0"/>
    <n v="245.85999999999999"/>
    <s v="No Discount"/>
  </r>
  <r>
    <s v="TXN_02178"/>
    <d v="2024-03-11T00:00:00"/>
    <x v="5"/>
    <s v="Monday"/>
    <s v="STORE_009"/>
    <x v="3"/>
    <x v="3"/>
    <x v="16"/>
    <n v="681.03"/>
    <n v="6"/>
    <n v="4086.18"/>
    <n v="15"/>
    <n v="612.92999999999995"/>
    <n v="3473.25"/>
    <s v="UPI"/>
    <s v="CUST_00808"/>
    <n v="4"/>
    <n v="612.92999999999984"/>
    <n v="578.875"/>
    <s v="Medium"/>
  </r>
  <r>
    <s v="TXN_02179"/>
    <d v="2024-09-28T00:00:00"/>
    <x v="9"/>
    <s v="Saturday"/>
    <s v="STORE_043"/>
    <x v="4"/>
    <x v="5"/>
    <x v="34"/>
    <n v="3958.62"/>
    <n v="5"/>
    <n v="19793.099999999999"/>
    <n v="5"/>
    <n v="989.65"/>
    <n v="18803.45"/>
    <s v="UPI"/>
    <s v="CUST_00798"/>
    <n v="2"/>
    <n v="989.64999999999782"/>
    <n v="3760.69"/>
    <s v="Low"/>
  </r>
  <r>
    <s v="TXN_02180"/>
    <d v="2024-07-06T00:00:00"/>
    <x v="11"/>
    <s v="Saturday"/>
    <s v="STORE_006"/>
    <x v="4"/>
    <x v="5"/>
    <x v="25"/>
    <n v="2220.5700000000002"/>
    <n v="4"/>
    <n v="8882.2800000000007"/>
    <n v="20"/>
    <n v="1776.46"/>
    <n v="7105.82"/>
    <s v="Cash"/>
    <s v="CUST_00402"/>
    <n v="3"/>
    <n v="1776.4600000000009"/>
    <n v="1776.4549999999999"/>
    <s v="High"/>
  </r>
  <r>
    <s v="TXN_02181"/>
    <d v="2024-07-22T00:00:00"/>
    <x v="11"/>
    <s v="Monday"/>
    <s v="STORE_049"/>
    <x v="2"/>
    <x v="5"/>
    <x v="10"/>
    <n v="1636.1"/>
    <n v="3"/>
    <n v="4908.3"/>
    <n v="20"/>
    <n v="981.66"/>
    <n v="3926.64"/>
    <s v="Cash"/>
    <s v="CUST_00547"/>
    <n v="1"/>
    <n v="981.66000000000031"/>
    <n v="1308.8799999999999"/>
    <s v="High"/>
  </r>
  <r>
    <s v="TXN_02182"/>
    <d v="2024-06-09T00:00:00"/>
    <x v="10"/>
    <s v="Sunday"/>
    <s v="STORE_012"/>
    <x v="4"/>
    <x v="5"/>
    <x v="25"/>
    <n v="3917.34"/>
    <n v="7"/>
    <n v="27421.38"/>
    <n v="0"/>
    <n v="0"/>
    <n v="27421.38"/>
    <s v="Cash"/>
    <s v="CUST_00422"/>
    <n v="4"/>
    <n v="0"/>
    <n v="3917.34"/>
    <s v="No Discount"/>
  </r>
  <r>
    <s v="TXN_02183"/>
    <d v="2024-11-28T00:00:00"/>
    <x v="0"/>
    <s v="Thursday"/>
    <s v="STORE_011"/>
    <x v="0"/>
    <x v="3"/>
    <x v="16"/>
    <n v="2329.34"/>
    <n v="3"/>
    <n v="6988.02"/>
    <n v="15"/>
    <n v="1048.2"/>
    <n v="5939.82"/>
    <s v="Credit Card"/>
    <s v="CUST_00252"/>
    <n v="1"/>
    <n v="1048.2000000000007"/>
    <n v="1979.9399999999998"/>
    <s v="Medium"/>
  </r>
  <r>
    <s v="TXN_02184"/>
    <d v="2024-05-22T00:00:00"/>
    <x v="3"/>
    <s v="Wednesday"/>
    <s v="STORE_001"/>
    <x v="4"/>
    <x v="2"/>
    <x v="2"/>
    <n v="301.23"/>
    <n v="10"/>
    <n v="3012.3"/>
    <n v="0"/>
    <n v="0"/>
    <n v="3012.3"/>
    <s v="Wallet"/>
    <s v="CUST_00720"/>
    <n v="1"/>
    <n v="0"/>
    <n v="301.23"/>
    <s v="No Discount"/>
  </r>
  <r>
    <s v="TXN_02185"/>
    <d v="2024-05-07T00:00:00"/>
    <x v="3"/>
    <s v="Tuesday"/>
    <s v="STORE_026"/>
    <x v="2"/>
    <x v="0"/>
    <x v="4"/>
    <n v="336.19"/>
    <n v="8"/>
    <n v="2689.52"/>
    <n v="0"/>
    <n v="0"/>
    <n v="2689.52"/>
    <s v="Debit Card"/>
    <s v="CUST_00269"/>
    <n v="4"/>
    <n v="0"/>
    <n v="336.19"/>
    <s v="No Discount"/>
  </r>
  <r>
    <s v="TXN_02186"/>
    <d v="2024-02-28T00:00:00"/>
    <x v="1"/>
    <s v="Wednesday"/>
    <s v="STORE_005"/>
    <x v="3"/>
    <x v="4"/>
    <x v="8"/>
    <n v="583.29"/>
    <n v="6"/>
    <n v="3499.74"/>
    <n v="5"/>
    <n v="174.99"/>
    <n v="3324.75"/>
    <s v="Debit Card"/>
    <s v="CUST_00857"/>
    <n v="2"/>
    <n v="174.98999999999978"/>
    <n v="554.125"/>
    <s v="Low"/>
  </r>
  <r>
    <s v="TXN_02187"/>
    <d v="2024-01-14T00:00:00"/>
    <x v="2"/>
    <s v="Sunday"/>
    <s v="STORE_048"/>
    <x v="2"/>
    <x v="2"/>
    <x v="2"/>
    <n v="113.13"/>
    <n v="4"/>
    <n v="452.52"/>
    <n v="10"/>
    <n v="45.25"/>
    <n v="407.27"/>
    <s v="Credit Card"/>
    <s v="CUST_00589"/>
    <n v="1"/>
    <n v="45.25"/>
    <n v="101.8175"/>
    <s v="Medium"/>
  </r>
  <r>
    <s v="TXN_02188"/>
    <d v="2024-04-05T00:00:00"/>
    <x v="4"/>
    <s v="Friday"/>
    <s v="STORE_009"/>
    <x v="0"/>
    <x v="3"/>
    <x v="12"/>
    <n v="1238.06"/>
    <n v="4"/>
    <n v="4952.24"/>
    <n v="10"/>
    <n v="495.22"/>
    <n v="4457.0200000000004"/>
    <s v="Wallet"/>
    <s v="CUST_00306"/>
    <n v="2"/>
    <n v="495.21999999999935"/>
    <n v="1114.2550000000001"/>
    <s v="Medium"/>
  </r>
  <r>
    <s v="TXN_02189"/>
    <d v="2024-09-12T00:00:00"/>
    <x v="9"/>
    <s v="Thursday"/>
    <s v="STORE_045"/>
    <x v="2"/>
    <x v="1"/>
    <x v="36"/>
    <n v="89.08"/>
    <n v="10"/>
    <n v="890.8"/>
    <n v="0"/>
    <n v="0"/>
    <n v="890.8"/>
    <s v="UPI"/>
    <s v="CUST_00430"/>
    <n v="1"/>
    <n v="0"/>
    <n v="89.08"/>
    <s v="No Discount"/>
  </r>
  <r>
    <s v="TXN_02190"/>
    <d v="2024-09-22T00:00:00"/>
    <x v="9"/>
    <s v="Sunday"/>
    <s v="STORE_026"/>
    <x v="1"/>
    <x v="6"/>
    <x v="26"/>
    <n v="715.35"/>
    <n v="8"/>
    <n v="5722.8"/>
    <n v="15"/>
    <n v="858.42"/>
    <n v="4864.38"/>
    <s v="Credit Card"/>
    <s v="CUST_00410"/>
    <n v="3"/>
    <n v="858.42000000000007"/>
    <n v="608.04750000000001"/>
    <s v="Medium"/>
  </r>
  <r>
    <s v="TXN_02191"/>
    <d v="2024-07-17T00:00:00"/>
    <x v="11"/>
    <s v="Wednesday"/>
    <s v="STORE_026"/>
    <x v="1"/>
    <x v="7"/>
    <x v="37"/>
    <n v="1297.1400000000001"/>
    <n v="1"/>
    <n v="1297.1400000000001"/>
    <n v="5"/>
    <n v="64.86"/>
    <n v="1232.28"/>
    <s v="UPI"/>
    <s v="CUST_00224"/>
    <n v="2"/>
    <n v="64.860000000000127"/>
    <n v="1232.28"/>
    <s v="Low"/>
  </r>
  <r>
    <s v="TXN_02192"/>
    <d v="2024-10-14T00:00:00"/>
    <x v="7"/>
    <s v="Monday"/>
    <s v="STORE_013"/>
    <x v="1"/>
    <x v="4"/>
    <x v="8"/>
    <n v="156.63"/>
    <n v="6"/>
    <n v="939.78"/>
    <n v="0"/>
    <n v="0"/>
    <n v="939.78"/>
    <s v="UPI"/>
    <s v="CUST_00434"/>
    <n v="2"/>
    <n v="0"/>
    <n v="156.63"/>
    <s v="No Discount"/>
  </r>
  <r>
    <s v="TXN_02193"/>
    <d v="2024-03-01T00:00:00"/>
    <x v="5"/>
    <s v="Friday"/>
    <s v="STORE_014"/>
    <x v="0"/>
    <x v="7"/>
    <x v="37"/>
    <n v="1291.3900000000001"/>
    <n v="3"/>
    <n v="3874.17"/>
    <n v="20"/>
    <n v="774.83"/>
    <n v="3099.34"/>
    <s v="Debit Card"/>
    <s v="CUST_00806"/>
    <n v="1"/>
    <n v="774.82999999999993"/>
    <n v="1033.1133333333335"/>
    <s v="High"/>
  </r>
  <r>
    <s v="TXN_02194"/>
    <d v="2024-05-14T00:00:00"/>
    <x v="3"/>
    <s v="Tuesday"/>
    <s v="STORE_028"/>
    <x v="1"/>
    <x v="0"/>
    <x v="18"/>
    <n v="209.94"/>
    <n v="10"/>
    <n v="2099.4"/>
    <n v="0"/>
    <n v="0"/>
    <n v="2099.4"/>
    <s v="Cash"/>
    <s v="CUST_00141"/>
    <n v="1"/>
    <n v="0"/>
    <n v="209.94"/>
    <s v="No Discount"/>
  </r>
  <r>
    <s v="TXN_02195"/>
    <d v="2024-05-13T00:00:00"/>
    <x v="3"/>
    <s v="Monday"/>
    <s v="STORE_048"/>
    <x v="0"/>
    <x v="3"/>
    <x v="21"/>
    <n v="1289.45"/>
    <n v="5"/>
    <n v="6447.25"/>
    <n v="20"/>
    <n v="1289.45"/>
    <n v="5157.8"/>
    <s v="Cash"/>
    <s v="CUST_00471"/>
    <n v="1"/>
    <n v="1289.4499999999998"/>
    <n v="1031.56"/>
    <s v="High"/>
  </r>
  <r>
    <s v="TXN_02196"/>
    <d v="2024-12-26T00:00:00"/>
    <x v="6"/>
    <s v="Thursday"/>
    <s v="STORE_027"/>
    <x v="2"/>
    <x v="5"/>
    <x v="9"/>
    <n v="2879.47"/>
    <n v="7"/>
    <n v="20156.29"/>
    <n v="10"/>
    <n v="2015.63"/>
    <n v="18140.66"/>
    <s v="Cash"/>
    <s v="CUST_00433"/>
    <n v="4"/>
    <n v="2015.630000000001"/>
    <n v="2591.522857142857"/>
    <s v="Medium"/>
  </r>
  <r>
    <s v="TXN_02197"/>
    <d v="2024-08-16T00:00:00"/>
    <x v="8"/>
    <s v="Friday"/>
    <s v="STORE_028"/>
    <x v="2"/>
    <x v="3"/>
    <x v="22"/>
    <n v="1892.33"/>
    <n v="3"/>
    <n v="5676.99"/>
    <n v="10"/>
    <n v="567.70000000000005"/>
    <n v="5109.29"/>
    <s v="Credit Card"/>
    <s v="CUST_00485"/>
    <n v="3"/>
    <n v="567.69999999999982"/>
    <n v="1703.0966666666666"/>
    <s v="Medium"/>
  </r>
  <r>
    <s v="TXN_02198"/>
    <d v="2024-04-19T00:00:00"/>
    <x v="4"/>
    <s v="Friday"/>
    <s v="STORE_032"/>
    <x v="4"/>
    <x v="4"/>
    <x v="35"/>
    <n v="195.04"/>
    <n v="9"/>
    <n v="1755.36"/>
    <n v="5"/>
    <n v="87.77"/>
    <n v="1667.59"/>
    <s v="Credit Card"/>
    <s v="CUST_00631"/>
    <n v="1"/>
    <n v="87.769999999999982"/>
    <n v="185.28777777777776"/>
    <s v="Low"/>
  </r>
  <r>
    <s v="TXN_02199"/>
    <d v="2024-11-09T00:00:00"/>
    <x v="0"/>
    <s v="Saturday"/>
    <s v="STORE_036"/>
    <x v="0"/>
    <x v="3"/>
    <x v="12"/>
    <n v="1039.3800000000001"/>
    <n v="3"/>
    <n v="3118.14"/>
    <n v="0"/>
    <n v="0"/>
    <n v="3118.14"/>
    <s v="Debit Card"/>
    <s v="CUST_00456"/>
    <n v="3"/>
    <n v="0"/>
    <n v="1039.3799999999999"/>
    <s v="No Discount"/>
  </r>
  <r>
    <s v="TXN_02200"/>
    <d v="2024-05-26T00:00:00"/>
    <x v="3"/>
    <s v="Sunday"/>
    <s v="STORE_015"/>
    <x v="1"/>
    <x v="2"/>
    <x v="39"/>
    <n v="640.04999999999995"/>
    <n v="2"/>
    <n v="1280.0999999999999"/>
    <n v="20"/>
    <n v="256.02"/>
    <n v="1024.08"/>
    <s v="UPI"/>
    <s v="CUST_00354"/>
    <n v="2"/>
    <n v="256.02"/>
    <n v="512.04"/>
    <s v="High"/>
  </r>
  <r>
    <s v="TXN_02201"/>
    <d v="2024-12-21T00:00:00"/>
    <x v="6"/>
    <s v="Saturday"/>
    <s v="STORE_017"/>
    <x v="3"/>
    <x v="0"/>
    <x v="32"/>
    <n v="836.9"/>
    <n v="9"/>
    <n v="7532.1"/>
    <n v="20"/>
    <n v="1506.42"/>
    <n v="6025.68"/>
    <s v="UPI"/>
    <s v="CUST_00584"/>
    <n v="5"/>
    <n v="1506.42"/>
    <n v="669.52"/>
    <s v="High"/>
  </r>
  <r>
    <s v="TXN_02202"/>
    <d v="2024-09-08T00:00:00"/>
    <x v="9"/>
    <s v="Sunday"/>
    <s v="STORE_048"/>
    <x v="0"/>
    <x v="6"/>
    <x v="14"/>
    <n v="1038.4000000000001"/>
    <n v="5"/>
    <n v="5192"/>
    <n v="20"/>
    <n v="1038.4000000000001"/>
    <n v="4153.6000000000004"/>
    <s v="Wallet"/>
    <s v="CUST_00388"/>
    <n v="3"/>
    <n v="1038.3999999999996"/>
    <n v="830.72"/>
    <s v="High"/>
  </r>
  <r>
    <s v="TXN_02203"/>
    <d v="2024-04-12T00:00:00"/>
    <x v="4"/>
    <s v="Friday"/>
    <s v="STORE_013"/>
    <x v="4"/>
    <x v="5"/>
    <x v="9"/>
    <n v="3237.65"/>
    <n v="1"/>
    <n v="3237.65"/>
    <n v="0"/>
    <n v="0"/>
    <n v="3237.65"/>
    <s v="UPI"/>
    <s v="CUST_00445"/>
    <n v="2"/>
    <n v="0"/>
    <n v="3237.65"/>
    <s v="No Discount"/>
  </r>
  <r>
    <s v="TXN_02204"/>
    <d v="2024-03-03T00:00:00"/>
    <x v="5"/>
    <s v="Sunday"/>
    <s v="STORE_033"/>
    <x v="1"/>
    <x v="2"/>
    <x v="2"/>
    <n v="556.99"/>
    <n v="1"/>
    <n v="556.99"/>
    <n v="10"/>
    <n v="55.7"/>
    <n v="501.29"/>
    <s v="Cash"/>
    <s v="CUST_00641"/>
    <n v="2"/>
    <n v="55.699999999999989"/>
    <n v="501.29"/>
    <s v="Medium"/>
  </r>
  <r>
    <s v="TXN_02205"/>
    <d v="2024-03-10T00:00:00"/>
    <x v="5"/>
    <s v="Sunday"/>
    <s v="STORE_047"/>
    <x v="1"/>
    <x v="4"/>
    <x v="19"/>
    <n v="483.86"/>
    <n v="5"/>
    <n v="2419.3000000000002"/>
    <n v="0"/>
    <n v="0"/>
    <n v="2419.3000000000002"/>
    <s v="Credit Card"/>
    <s v="CUST_00241"/>
    <n v="4"/>
    <n v="0"/>
    <n v="483.86"/>
    <s v="No Discount"/>
  </r>
  <r>
    <s v="TXN_02206"/>
    <d v="2024-02-07T00:00:00"/>
    <x v="1"/>
    <s v="Wednesday"/>
    <s v="STORE_035"/>
    <x v="2"/>
    <x v="4"/>
    <x v="17"/>
    <n v="421.53"/>
    <n v="1"/>
    <n v="421.53"/>
    <n v="10"/>
    <n v="42.15"/>
    <n v="379.38"/>
    <s v="Debit Card"/>
    <s v="CUST_00269"/>
    <n v="4"/>
    <n v="42.149999999999977"/>
    <n v="379.38"/>
    <s v="Medium"/>
  </r>
  <r>
    <s v="TXN_02207"/>
    <d v="2024-08-19T00:00:00"/>
    <x v="8"/>
    <s v="Monday"/>
    <s v="STORE_015"/>
    <x v="3"/>
    <x v="0"/>
    <x v="18"/>
    <n v="443.78"/>
    <n v="7"/>
    <n v="3106.46"/>
    <n v="15"/>
    <n v="465.97"/>
    <n v="2640.49"/>
    <s v="Credit Card"/>
    <s v="CUST_00518"/>
    <n v="3"/>
    <n v="465.97000000000025"/>
    <n v="377.2128571428571"/>
    <s v="Medium"/>
  </r>
  <r>
    <s v="TXN_02208"/>
    <d v="2024-03-29T00:00:00"/>
    <x v="5"/>
    <s v="Friday"/>
    <s v="STORE_035"/>
    <x v="3"/>
    <x v="2"/>
    <x v="39"/>
    <n v="248.6"/>
    <n v="1"/>
    <n v="248.6"/>
    <n v="5"/>
    <n v="12.43"/>
    <n v="236.17"/>
    <s v="UPI"/>
    <s v="CUST_00864"/>
    <n v="1"/>
    <n v="12.430000000000007"/>
    <n v="236.17"/>
    <s v="Low"/>
  </r>
  <r>
    <s v="TXN_02209"/>
    <d v="2024-12-31T00:00:00"/>
    <x v="6"/>
    <s v="Tuesday"/>
    <s v="STORE_044"/>
    <x v="3"/>
    <x v="4"/>
    <x v="19"/>
    <n v="265.38"/>
    <n v="7"/>
    <n v="1857.66"/>
    <n v="20"/>
    <n v="371.53"/>
    <n v="1486.13"/>
    <s v="UPI"/>
    <s v="CUST_00774"/>
    <n v="2"/>
    <n v="371.53"/>
    <n v="212.30428571428573"/>
    <s v="High"/>
  </r>
  <r>
    <s v="TXN_02210"/>
    <d v="2024-08-15T00:00:00"/>
    <x v="8"/>
    <s v="Thursday"/>
    <s v="STORE_034"/>
    <x v="1"/>
    <x v="3"/>
    <x v="5"/>
    <n v="1749.67"/>
    <n v="2"/>
    <n v="3499.34"/>
    <n v="0"/>
    <n v="0"/>
    <n v="3499.34"/>
    <s v="Cash"/>
    <s v="CUST_00837"/>
    <n v="1"/>
    <n v="0"/>
    <n v="1749.67"/>
    <s v="No Discount"/>
  </r>
  <r>
    <s v="TXN_02211"/>
    <d v="2024-02-14T00:00:00"/>
    <x v="1"/>
    <s v="Wednesday"/>
    <s v="STORE_008"/>
    <x v="2"/>
    <x v="6"/>
    <x v="30"/>
    <n v="723.73"/>
    <n v="8"/>
    <n v="5789.84"/>
    <n v="15"/>
    <n v="868.48"/>
    <n v="4921.3599999999997"/>
    <s v="Debit Card"/>
    <s v="CUST_00796"/>
    <n v="5"/>
    <n v="868.48000000000047"/>
    <n v="615.16999999999996"/>
    <s v="Medium"/>
  </r>
  <r>
    <s v="TXN_02212"/>
    <d v="2024-12-15T00:00:00"/>
    <x v="6"/>
    <s v="Sunday"/>
    <s v="STORE_002"/>
    <x v="1"/>
    <x v="2"/>
    <x v="39"/>
    <n v="128.71"/>
    <n v="8"/>
    <n v="1029.68"/>
    <n v="15"/>
    <n v="154.44999999999999"/>
    <n v="875.23"/>
    <s v="Wallet"/>
    <s v="CUST_01000"/>
    <n v="4"/>
    <n v="154.45000000000005"/>
    <n v="109.40375"/>
    <s v="Medium"/>
  </r>
  <r>
    <s v="TXN_02213"/>
    <d v="2024-06-12T00:00:00"/>
    <x v="10"/>
    <s v="Wednesday"/>
    <s v="STORE_015"/>
    <x v="0"/>
    <x v="3"/>
    <x v="22"/>
    <n v="1353.31"/>
    <n v="7"/>
    <n v="9473.17"/>
    <n v="0"/>
    <n v="0"/>
    <n v="9473.17"/>
    <s v="Cash"/>
    <s v="CUST_00455"/>
    <n v="1"/>
    <n v="0"/>
    <n v="1353.31"/>
    <s v="No Discount"/>
  </r>
  <r>
    <s v="TXN_02214"/>
    <d v="2024-12-07T00:00:00"/>
    <x v="6"/>
    <s v="Saturday"/>
    <s v="STORE_031"/>
    <x v="3"/>
    <x v="2"/>
    <x v="13"/>
    <n v="514.5"/>
    <n v="4"/>
    <n v="2058"/>
    <n v="0"/>
    <n v="0"/>
    <n v="2058"/>
    <s v="Credit Card"/>
    <s v="CUST_00682"/>
    <n v="4"/>
    <n v="0"/>
    <n v="514.5"/>
    <s v="No Discount"/>
  </r>
  <r>
    <s v="TXN_02215"/>
    <d v="2024-06-26T00:00:00"/>
    <x v="10"/>
    <s v="Wednesday"/>
    <s v="STORE_009"/>
    <x v="0"/>
    <x v="3"/>
    <x v="21"/>
    <n v="2488.79"/>
    <n v="8"/>
    <n v="19910.32"/>
    <n v="15"/>
    <n v="2986.55"/>
    <n v="16923.77"/>
    <s v="Credit Card"/>
    <s v="CUST_00753"/>
    <n v="5"/>
    <n v="2986.5499999999993"/>
    <n v="2115.4712500000001"/>
    <s v="Medium"/>
  </r>
  <r>
    <s v="TXN_02216"/>
    <d v="2024-12-29T00:00:00"/>
    <x v="6"/>
    <s v="Sunday"/>
    <s v="STORE_040"/>
    <x v="2"/>
    <x v="5"/>
    <x v="9"/>
    <n v="2641.25"/>
    <n v="8"/>
    <n v="21130"/>
    <n v="10"/>
    <n v="2113"/>
    <n v="19017"/>
    <s v="Cash"/>
    <s v="CUST_00790"/>
    <n v="1"/>
    <n v="2113"/>
    <n v="2377.125"/>
    <s v="Medium"/>
  </r>
  <r>
    <s v="TXN_02217"/>
    <d v="2024-02-03T00:00:00"/>
    <x v="1"/>
    <s v="Saturday"/>
    <s v="STORE_049"/>
    <x v="1"/>
    <x v="1"/>
    <x v="3"/>
    <n v="341.17"/>
    <n v="7"/>
    <n v="2388.19"/>
    <n v="0"/>
    <n v="0"/>
    <n v="2388.19"/>
    <s v="Debit Card"/>
    <s v="CUST_00693"/>
    <n v="5"/>
    <n v="0"/>
    <n v="341.17"/>
    <s v="No Discount"/>
  </r>
  <r>
    <s v="TXN_02218"/>
    <d v="2024-10-08T00:00:00"/>
    <x v="7"/>
    <s v="Tuesday"/>
    <s v="STORE_020"/>
    <x v="0"/>
    <x v="6"/>
    <x v="33"/>
    <n v="1206.0899999999999"/>
    <n v="4"/>
    <n v="4824.3599999999997"/>
    <n v="10"/>
    <n v="482.44"/>
    <n v="4341.92"/>
    <s v="UPI"/>
    <s v="CUST_00714"/>
    <n v="2"/>
    <n v="482.4399999999996"/>
    <n v="1085.48"/>
    <s v="Medium"/>
  </r>
  <r>
    <s v="TXN_02219"/>
    <d v="2024-10-04T00:00:00"/>
    <x v="7"/>
    <s v="Friday"/>
    <s v="STORE_043"/>
    <x v="1"/>
    <x v="1"/>
    <x v="1"/>
    <n v="60.83"/>
    <n v="6"/>
    <n v="364.98"/>
    <n v="20"/>
    <n v="73"/>
    <n v="291.98"/>
    <s v="Cash"/>
    <s v="CUST_00585"/>
    <n v="1"/>
    <n v="73"/>
    <n v="48.663333333333334"/>
    <s v="High"/>
  </r>
  <r>
    <s v="TXN_02220"/>
    <d v="2024-05-28T00:00:00"/>
    <x v="3"/>
    <s v="Tuesday"/>
    <s v="STORE_028"/>
    <x v="2"/>
    <x v="5"/>
    <x v="11"/>
    <n v="4313.74"/>
    <n v="8"/>
    <n v="34509.919999999998"/>
    <n v="0"/>
    <n v="0"/>
    <n v="34509.919999999998"/>
    <s v="Cash"/>
    <s v="CUST_00559"/>
    <n v="5"/>
    <n v="0"/>
    <n v="4313.74"/>
    <s v="No Discount"/>
  </r>
  <r>
    <s v="TXN_02221"/>
    <d v="2024-06-02T00:00:00"/>
    <x v="10"/>
    <s v="Sunday"/>
    <s v="STORE_049"/>
    <x v="2"/>
    <x v="0"/>
    <x v="4"/>
    <n v="223.79"/>
    <n v="7"/>
    <n v="1566.53"/>
    <n v="0"/>
    <n v="0"/>
    <n v="1566.53"/>
    <s v="Debit Card"/>
    <s v="CUST_00412"/>
    <n v="1"/>
    <n v="0"/>
    <n v="223.79"/>
    <s v="No Discount"/>
  </r>
  <r>
    <s v="TXN_02222"/>
    <d v="2024-03-21T00:00:00"/>
    <x v="5"/>
    <s v="Thursday"/>
    <s v="STORE_038"/>
    <x v="0"/>
    <x v="5"/>
    <x v="10"/>
    <n v="4723.7299999999996"/>
    <n v="1"/>
    <n v="4723.7299999999996"/>
    <n v="5"/>
    <n v="236.19"/>
    <n v="4487.54"/>
    <s v="Debit Card"/>
    <s v="CUST_00786"/>
    <n v="5"/>
    <n v="236.1899999999996"/>
    <n v="4487.54"/>
    <s v="Low"/>
  </r>
  <r>
    <s v="TXN_02223"/>
    <d v="2024-12-30T00:00:00"/>
    <x v="6"/>
    <s v="Monday"/>
    <s v="STORE_010"/>
    <x v="3"/>
    <x v="7"/>
    <x v="23"/>
    <n v="1279.68"/>
    <n v="3"/>
    <n v="3839.04"/>
    <n v="5"/>
    <n v="191.95"/>
    <n v="3647.09"/>
    <s v="Credit Card"/>
    <s v="CUST_00720"/>
    <n v="5"/>
    <n v="191.94999999999982"/>
    <n v="1215.6966666666667"/>
    <s v="Low"/>
  </r>
  <r>
    <s v="TXN_02224"/>
    <d v="2024-12-29T00:00:00"/>
    <x v="6"/>
    <s v="Sunday"/>
    <s v="STORE_048"/>
    <x v="2"/>
    <x v="4"/>
    <x v="20"/>
    <n v="497.68"/>
    <n v="4"/>
    <n v="1990.72"/>
    <n v="5"/>
    <n v="99.54"/>
    <n v="1891.18"/>
    <s v="Credit Card"/>
    <s v="CUST_00547"/>
    <n v="4"/>
    <n v="99.539999999999964"/>
    <n v="472.79500000000002"/>
    <s v="Low"/>
  </r>
  <r>
    <s v="TXN_02225"/>
    <d v="2024-12-24T00:00:00"/>
    <x v="6"/>
    <s v="Tuesday"/>
    <s v="STORE_011"/>
    <x v="2"/>
    <x v="0"/>
    <x v="32"/>
    <n v="688.6"/>
    <n v="3"/>
    <n v="2065.8000000000002"/>
    <n v="5"/>
    <n v="103.29"/>
    <n v="1962.51"/>
    <s v="Wallet"/>
    <s v="CUST_00212"/>
    <n v="3"/>
    <n v="103.29000000000019"/>
    <n v="654.16999999999996"/>
    <s v="Low"/>
  </r>
  <r>
    <s v="TXN_02226"/>
    <d v="2024-11-22T00:00:00"/>
    <x v="0"/>
    <s v="Friday"/>
    <s v="STORE_045"/>
    <x v="2"/>
    <x v="3"/>
    <x v="21"/>
    <n v="2088.8000000000002"/>
    <n v="4"/>
    <n v="8355.2000000000007"/>
    <n v="0"/>
    <n v="0"/>
    <n v="8355.2000000000007"/>
    <s v="Cash"/>
    <s v="CUST_00116"/>
    <n v="5"/>
    <n v="0"/>
    <n v="2088.8000000000002"/>
    <s v="No Discount"/>
  </r>
  <r>
    <s v="TXN_02227"/>
    <d v="2024-03-30T00:00:00"/>
    <x v="5"/>
    <s v="Saturday"/>
    <s v="STORE_025"/>
    <x v="4"/>
    <x v="2"/>
    <x v="39"/>
    <n v="642.55999999999995"/>
    <n v="10"/>
    <n v="6425.6"/>
    <n v="5"/>
    <n v="321.27999999999997"/>
    <n v="6104.32"/>
    <s v="UPI"/>
    <s v="CUST_00184"/>
    <n v="1"/>
    <n v="321.28000000000065"/>
    <n v="610.43200000000002"/>
    <s v="Low"/>
  </r>
  <r>
    <s v="TXN_02228"/>
    <d v="2024-07-04T00:00:00"/>
    <x v="11"/>
    <s v="Thursday"/>
    <s v="STORE_024"/>
    <x v="1"/>
    <x v="7"/>
    <x v="23"/>
    <n v="707.97"/>
    <n v="9"/>
    <n v="6371.73"/>
    <n v="5"/>
    <n v="318.58999999999997"/>
    <n v="6053.14"/>
    <s v="Debit Card"/>
    <s v="CUST_00622"/>
    <n v="1"/>
    <n v="318.58999999999924"/>
    <n v="672.57111111111112"/>
    <s v="Low"/>
  </r>
  <r>
    <s v="TXN_02229"/>
    <d v="2024-09-17T00:00:00"/>
    <x v="9"/>
    <s v="Tuesday"/>
    <s v="STORE_004"/>
    <x v="0"/>
    <x v="5"/>
    <x v="25"/>
    <n v="1928"/>
    <n v="9"/>
    <n v="17352"/>
    <n v="15"/>
    <n v="2602.8000000000002"/>
    <n v="14749.2"/>
    <s v="Cash"/>
    <s v="CUST_00802"/>
    <n v="2"/>
    <n v="2602.7999999999993"/>
    <n v="1638.8000000000002"/>
    <s v="Medium"/>
  </r>
  <r>
    <s v="TXN_02230"/>
    <d v="2024-04-24T00:00:00"/>
    <x v="4"/>
    <s v="Wednesday"/>
    <s v="STORE_001"/>
    <x v="3"/>
    <x v="7"/>
    <x v="37"/>
    <n v="1169.6199999999999"/>
    <n v="2"/>
    <n v="2339.2399999999998"/>
    <n v="5"/>
    <n v="116.96"/>
    <n v="2222.2800000000002"/>
    <s v="UPI"/>
    <s v="CUST_00650"/>
    <n v="5"/>
    <n v="116.95999999999958"/>
    <n v="1111.1400000000001"/>
    <s v="Low"/>
  </r>
  <r>
    <s v="TXN_02231"/>
    <d v="2024-03-03T00:00:00"/>
    <x v="5"/>
    <s v="Sunday"/>
    <s v="STORE_049"/>
    <x v="2"/>
    <x v="0"/>
    <x v="32"/>
    <n v="730.66"/>
    <n v="2"/>
    <n v="1461.32"/>
    <n v="0"/>
    <n v="0"/>
    <n v="1461.32"/>
    <s v="Wallet"/>
    <s v="CUST_00106"/>
    <n v="5"/>
    <n v="0"/>
    <n v="730.66"/>
    <s v="No Discount"/>
  </r>
  <r>
    <s v="TXN_02232"/>
    <d v="2024-04-12T00:00:00"/>
    <x v="4"/>
    <s v="Friday"/>
    <s v="STORE_006"/>
    <x v="1"/>
    <x v="0"/>
    <x v="32"/>
    <n v="905.99"/>
    <n v="10"/>
    <n v="9059.9"/>
    <n v="15"/>
    <n v="1358.98"/>
    <n v="7700.92"/>
    <s v="Debit Card"/>
    <s v="CUST_00002"/>
    <n v="5"/>
    <n v="1358.9799999999996"/>
    <n v="770.09199999999998"/>
    <s v="Medium"/>
  </r>
  <r>
    <s v="TXN_02233"/>
    <d v="2024-03-12T00:00:00"/>
    <x v="5"/>
    <s v="Tuesday"/>
    <s v="STORE_010"/>
    <x v="3"/>
    <x v="3"/>
    <x v="5"/>
    <n v="2369.19"/>
    <n v="2"/>
    <n v="4738.38"/>
    <n v="5"/>
    <n v="236.92"/>
    <n v="4501.46"/>
    <s v="Credit Card"/>
    <s v="CUST_00646"/>
    <n v="5"/>
    <n v="236.92000000000007"/>
    <n v="2250.73"/>
    <s v="Low"/>
  </r>
  <r>
    <s v="TXN_02234"/>
    <d v="2024-05-01T00:00:00"/>
    <x v="3"/>
    <s v="Wednesday"/>
    <s v="STORE_041"/>
    <x v="4"/>
    <x v="2"/>
    <x v="2"/>
    <n v="412.39"/>
    <n v="1"/>
    <n v="412.39"/>
    <n v="0"/>
    <n v="0"/>
    <n v="412.39"/>
    <s v="Credit Card"/>
    <s v="CUST_00033"/>
    <n v="5"/>
    <n v="0"/>
    <n v="412.39"/>
    <s v="No Discount"/>
  </r>
  <r>
    <s v="TXN_02235"/>
    <d v="2024-09-09T00:00:00"/>
    <x v="9"/>
    <s v="Monday"/>
    <s v="STORE_027"/>
    <x v="4"/>
    <x v="7"/>
    <x v="37"/>
    <n v="491.2"/>
    <n v="3"/>
    <n v="1473.6"/>
    <n v="10"/>
    <n v="147.36000000000001"/>
    <n v="1326.24"/>
    <s v="Debit Card"/>
    <s v="CUST_00179"/>
    <n v="5"/>
    <n v="147.3599999999999"/>
    <n v="442.08"/>
    <s v="Medium"/>
  </r>
  <r>
    <s v="TXN_02236"/>
    <d v="2024-01-14T00:00:00"/>
    <x v="2"/>
    <s v="Sunday"/>
    <s v="STORE_030"/>
    <x v="0"/>
    <x v="2"/>
    <x v="39"/>
    <n v="689.71"/>
    <n v="6"/>
    <n v="4138.26"/>
    <n v="20"/>
    <n v="827.65"/>
    <n v="3310.61"/>
    <s v="Credit Card"/>
    <s v="CUST_00529"/>
    <n v="1"/>
    <n v="827.65000000000009"/>
    <n v="551.76833333333332"/>
    <s v="High"/>
  </r>
  <r>
    <s v="TXN_02237"/>
    <d v="2024-07-03T00:00:00"/>
    <x v="11"/>
    <s v="Wednesday"/>
    <s v="STORE_005"/>
    <x v="3"/>
    <x v="4"/>
    <x v="17"/>
    <n v="232.73"/>
    <n v="8"/>
    <n v="1861.84"/>
    <n v="15"/>
    <n v="279.27999999999997"/>
    <n v="1582.56"/>
    <s v="Cash"/>
    <s v="CUST_00553"/>
    <n v="1"/>
    <n v="279.27999999999997"/>
    <n v="197.82"/>
    <s v="Medium"/>
  </r>
  <r>
    <s v="TXN_02238"/>
    <d v="2024-10-10T00:00:00"/>
    <x v="7"/>
    <s v="Thursday"/>
    <s v="STORE_008"/>
    <x v="0"/>
    <x v="6"/>
    <x v="33"/>
    <n v="1905.59"/>
    <n v="2"/>
    <n v="3811.18"/>
    <n v="15"/>
    <n v="571.67999999999995"/>
    <n v="3239.5"/>
    <s v="Wallet"/>
    <s v="CUST_00820"/>
    <n v="4"/>
    <n v="571.67999999999984"/>
    <n v="1619.75"/>
    <s v="Medium"/>
  </r>
  <r>
    <s v="TXN_02239"/>
    <d v="2024-10-20T00:00:00"/>
    <x v="7"/>
    <s v="Sunday"/>
    <s v="STORE_009"/>
    <x v="2"/>
    <x v="1"/>
    <x v="1"/>
    <n v="226.36"/>
    <n v="1"/>
    <n v="226.36"/>
    <n v="10"/>
    <n v="22.64"/>
    <n v="203.72"/>
    <s v="Credit Card"/>
    <s v="CUST_00246"/>
    <n v="5"/>
    <n v="22.640000000000015"/>
    <n v="203.72"/>
    <s v="Medium"/>
  </r>
  <r>
    <s v="TXN_02240"/>
    <d v="2024-07-07T00:00:00"/>
    <x v="11"/>
    <s v="Sunday"/>
    <s v="STORE_018"/>
    <x v="1"/>
    <x v="7"/>
    <x v="37"/>
    <n v="368.18"/>
    <n v="3"/>
    <n v="1104.54"/>
    <n v="5"/>
    <n v="55.23"/>
    <n v="1049.31"/>
    <s v="Debit Card"/>
    <s v="CUST_00224"/>
    <n v="3"/>
    <n v="55.230000000000018"/>
    <n v="349.77"/>
    <s v="Low"/>
  </r>
  <r>
    <s v="TXN_02241"/>
    <d v="2024-08-27T00:00:00"/>
    <x v="8"/>
    <s v="Tuesday"/>
    <s v="STORE_034"/>
    <x v="3"/>
    <x v="4"/>
    <x v="17"/>
    <n v="321.67"/>
    <n v="3"/>
    <n v="965.01"/>
    <n v="15"/>
    <n v="144.75"/>
    <n v="820.26"/>
    <s v="Cash"/>
    <s v="CUST_00922"/>
    <n v="3"/>
    <n v="144.75"/>
    <n v="273.42"/>
    <s v="Medium"/>
  </r>
  <r>
    <s v="TXN_02242"/>
    <d v="2024-10-09T00:00:00"/>
    <x v="7"/>
    <s v="Wednesday"/>
    <s v="STORE_011"/>
    <x v="1"/>
    <x v="6"/>
    <x v="30"/>
    <n v="767.96"/>
    <n v="5"/>
    <n v="3839.8"/>
    <n v="20"/>
    <n v="767.96"/>
    <n v="3071.84"/>
    <s v="Debit Card"/>
    <s v="CUST_00221"/>
    <n v="3"/>
    <n v="767.96"/>
    <n v="614.36800000000005"/>
    <s v="High"/>
  </r>
  <r>
    <s v="TXN_02243"/>
    <d v="2024-03-07T00:00:00"/>
    <x v="5"/>
    <s v="Thursday"/>
    <s v="STORE_024"/>
    <x v="0"/>
    <x v="0"/>
    <x v="27"/>
    <n v="214.85"/>
    <n v="2"/>
    <n v="429.7"/>
    <n v="0"/>
    <n v="0"/>
    <n v="429.7"/>
    <s v="Debit Card"/>
    <s v="CUST_00010"/>
    <n v="4"/>
    <n v="0"/>
    <n v="214.85"/>
    <s v="No Discount"/>
  </r>
  <r>
    <s v="TXN_02244"/>
    <d v="2024-11-09T00:00:00"/>
    <x v="0"/>
    <s v="Saturday"/>
    <s v="STORE_016"/>
    <x v="4"/>
    <x v="5"/>
    <x v="10"/>
    <n v="4637.8900000000003"/>
    <n v="10"/>
    <n v="46378.9"/>
    <n v="5"/>
    <n v="2318.9499999999998"/>
    <n v="44059.95"/>
    <s v="UPI"/>
    <s v="CUST_00386"/>
    <n v="1"/>
    <n v="2318.9500000000044"/>
    <n v="4405.9949999999999"/>
    <s v="Low"/>
  </r>
  <r>
    <s v="TXN_02245"/>
    <d v="2024-02-14T00:00:00"/>
    <x v="1"/>
    <s v="Wednesday"/>
    <s v="STORE_009"/>
    <x v="1"/>
    <x v="1"/>
    <x v="36"/>
    <n v="109.34"/>
    <n v="5"/>
    <n v="546.70000000000005"/>
    <n v="0"/>
    <n v="0"/>
    <n v="546.70000000000005"/>
    <s v="UPI"/>
    <s v="CUST_00044"/>
    <n v="3"/>
    <n v="0"/>
    <n v="109.34"/>
    <s v="No Discount"/>
  </r>
  <r>
    <s v="TXN_02246"/>
    <d v="2024-02-03T00:00:00"/>
    <x v="1"/>
    <s v="Saturday"/>
    <s v="STORE_045"/>
    <x v="4"/>
    <x v="4"/>
    <x v="35"/>
    <n v="250.04"/>
    <n v="7"/>
    <n v="1750.28"/>
    <n v="0"/>
    <n v="0"/>
    <n v="1750.28"/>
    <s v="Wallet"/>
    <s v="CUST_00835"/>
    <n v="1"/>
    <n v="0"/>
    <n v="250.04"/>
    <s v="No Discount"/>
  </r>
  <r>
    <s v="TXN_02247"/>
    <d v="2024-06-07T00:00:00"/>
    <x v="10"/>
    <s v="Friday"/>
    <s v="STORE_026"/>
    <x v="1"/>
    <x v="1"/>
    <x v="6"/>
    <n v="400.5"/>
    <n v="5"/>
    <n v="2002.5"/>
    <n v="15"/>
    <n v="300.38"/>
    <n v="1702.12"/>
    <s v="Credit Card"/>
    <s v="CUST_00861"/>
    <n v="2"/>
    <n v="300.38000000000011"/>
    <n v="340.42399999999998"/>
    <s v="Medium"/>
  </r>
  <r>
    <s v="TXN_02248"/>
    <d v="2024-07-22T00:00:00"/>
    <x v="11"/>
    <s v="Monday"/>
    <s v="STORE_034"/>
    <x v="1"/>
    <x v="5"/>
    <x v="34"/>
    <n v="2409.11"/>
    <n v="10"/>
    <n v="24091.1"/>
    <n v="5"/>
    <n v="1204.56"/>
    <n v="22886.54"/>
    <s v="UPI"/>
    <s v="CUST_00284"/>
    <n v="2"/>
    <n v="1204.5599999999977"/>
    <n v="2288.654"/>
    <s v="Low"/>
  </r>
  <r>
    <s v="TXN_02249"/>
    <d v="2024-09-02T00:00:00"/>
    <x v="9"/>
    <s v="Monday"/>
    <s v="STORE_003"/>
    <x v="3"/>
    <x v="0"/>
    <x v="4"/>
    <n v="321.82"/>
    <n v="4"/>
    <n v="1287.28"/>
    <n v="0"/>
    <n v="0"/>
    <n v="1287.28"/>
    <s v="Debit Card"/>
    <s v="CUST_00413"/>
    <n v="4"/>
    <n v="0"/>
    <n v="321.82"/>
    <s v="No Discount"/>
  </r>
  <r>
    <s v="TXN_02250"/>
    <d v="2024-09-26T00:00:00"/>
    <x v="9"/>
    <s v="Thursday"/>
    <s v="STORE_005"/>
    <x v="0"/>
    <x v="1"/>
    <x v="3"/>
    <n v="398.96"/>
    <n v="9"/>
    <n v="3590.64"/>
    <n v="5"/>
    <n v="179.53"/>
    <n v="3411.11"/>
    <s v="Cash"/>
    <s v="CUST_00382"/>
    <n v="5"/>
    <n v="179.52999999999975"/>
    <n v="379.01222222222225"/>
    <s v="Low"/>
  </r>
  <r>
    <s v="TXN_02251"/>
    <d v="2024-07-29T00:00:00"/>
    <x v="11"/>
    <s v="Monday"/>
    <s v="STORE_012"/>
    <x v="4"/>
    <x v="2"/>
    <x v="7"/>
    <n v="671.62"/>
    <n v="3"/>
    <n v="2014.86"/>
    <n v="0"/>
    <n v="0"/>
    <n v="2014.86"/>
    <s v="Credit Card"/>
    <s v="CUST_00538"/>
    <n v="3"/>
    <n v="0"/>
    <n v="671.62"/>
    <s v="No Discount"/>
  </r>
  <r>
    <s v="TXN_02252"/>
    <d v="2024-07-28T00:00:00"/>
    <x v="11"/>
    <s v="Sunday"/>
    <s v="STORE_001"/>
    <x v="3"/>
    <x v="0"/>
    <x v="0"/>
    <n v="332.63"/>
    <n v="7"/>
    <n v="2328.41"/>
    <n v="10"/>
    <n v="232.84"/>
    <n v="2095.5700000000002"/>
    <s v="Wallet"/>
    <s v="CUST_00427"/>
    <n v="2"/>
    <n v="232.83999999999969"/>
    <n v="299.36714285714288"/>
    <s v="Medium"/>
  </r>
  <r>
    <s v="TXN_02253"/>
    <d v="2024-10-21T00:00:00"/>
    <x v="7"/>
    <s v="Monday"/>
    <s v="STORE_013"/>
    <x v="1"/>
    <x v="0"/>
    <x v="18"/>
    <n v="973.2"/>
    <n v="10"/>
    <n v="9732"/>
    <n v="10"/>
    <n v="973.2"/>
    <n v="8758.7999999999993"/>
    <s v="UPI"/>
    <s v="CUST_00387"/>
    <n v="2"/>
    <n v="973.20000000000073"/>
    <n v="875.87999999999988"/>
    <s v="Medium"/>
  </r>
  <r>
    <s v="TXN_02254"/>
    <d v="2024-02-07T00:00:00"/>
    <x v="1"/>
    <s v="Wednesday"/>
    <s v="STORE_014"/>
    <x v="1"/>
    <x v="5"/>
    <x v="10"/>
    <n v="4659.25"/>
    <n v="10"/>
    <n v="46592.5"/>
    <n v="20"/>
    <n v="9318.5"/>
    <n v="37274"/>
    <s v="Wallet"/>
    <s v="CUST_00770"/>
    <n v="2"/>
    <n v="9318.5"/>
    <n v="3727.4"/>
    <s v="High"/>
  </r>
  <r>
    <s v="TXN_02255"/>
    <d v="2024-03-05T00:00:00"/>
    <x v="5"/>
    <s v="Tuesday"/>
    <s v="STORE_040"/>
    <x v="0"/>
    <x v="1"/>
    <x v="1"/>
    <n v="300.19"/>
    <n v="8"/>
    <n v="2401.52"/>
    <n v="15"/>
    <n v="360.23"/>
    <n v="2041.29"/>
    <s v="UPI"/>
    <s v="CUST_00382"/>
    <n v="4"/>
    <n v="360.23"/>
    <n v="255.16125"/>
    <s v="Medium"/>
  </r>
  <r>
    <s v="TXN_02256"/>
    <d v="2024-06-11T00:00:00"/>
    <x v="10"/>
    <s v="Tuesday"/>
    <s v="STORE_004"/>
    <x v="4"/>
    <x v="0"/>
    <x v="18"/>
    <n v="440.89"/>
    <n v="4"/>
    <n v="1763.56"/>
    <n v="0"/>
    <n v="0"/>
    <n v="1763.56"/>
    <s v="Wallet"/>
    <s v="CUST_00971"/>
    <n v="2"/>
    <n v="0"/>
    <n v="440.89"/>
    <s v="No Discount"/>
  </r>
  <r>
    <s v="TXN_02257"/>
    <d v="2024-11-24T00:00:00"/>
    <x v="0"/>
    <s v="Sunday"/>
    <s v="STORE_034"/>
    <x v="0"/>
    <x v="2"/>
    <x v="7"/>
    <n v="669.17"/>
    <n v="2"/>
    <n v="1338.34"/>
    <n v="0"/>
    <n v="0"/>
    <n v="1338.34"/>
    <s v="Debit Card"/>
    <s v="CUST_01000"/>
    <n v="5"/>
    <n v="0"/>
    <n v="669.17"/>
    <s v="No Discount"/>
  </r>
  <r>
    <s v="TXN_02258"/>
    <d v="2024-02-07T00:00:00"/>
    <x v="1"/>
    <s v="Wednesday"/>
    <s v="STORE_005"/>
    <x v="1"/>
    <x v="7"/>
    <x v="38"/>
    <n v="1489.25"/>
    <n v="7"/>
    <n v="10424.75"/>
    <n v="0"/>
    <n v="0"/>
    <n v="10424.75"/>
    <s v="Credit Card"/>
    <s v="CUST_00305"/>
    <n v="1"/>
    <n v="0"/>
    <n v="1489.25"/>
    <s v="No Discount"/>
  </r>
  <r>
    <s v="TXN_02259"/>
    <d v="2024-08-18T00:00:00"/>
    <x v="8"/>
    <s v="Sunday"/>
    <s v="STORE_020"/>
    <x v="0"/>
    <x v="6"/>
    <x v="33"/>
    <n v="1894.92"/>
    <n v="3"/>
    <n v="5684.76"/>
    <n v="20"/>
    <n v="1136.95"/>
    <n v="4547.8100000000004"/>
    <s v="Wallet"/>
    <s v="CUST_00874"/>
    <n v="1"/>
    <n v="1136.9499999999998"/>
    <n v="1515.9366666666667"/>
    <s v="High"/>
  </r>
  <r>
    <s v="TXN_02260"/>
    <d v="2024-08-26T00:00:00"/>
    <x v="8"/>
    <s v="Monday"/>
    <s v="STORE_008"/>
    <x v="2"/>
    <x v="6"/>
    <x v="15"/>
    <n v="1596.63"/>
    <n v="10"/>
    <n v="15966.3"/>
    <n v="0"/>
    <n v="0"/>
    <n v="15966.3"/>
    <s v="Debit Card"/>
    <s v="CUST_00210"/>
    <n v="3"/>
    <n v="0"/>
    <n v="1596.6299999999999"/>
    <s v="No Discount"/>
  </r>
  <r>
    <s v="TXN_02261"/>
    <d v="2024-12-14T00:00:00"/>
    <x v="6"/>
    <s v="Saturday"/>
    <s v="STORE_038"/>
    <x v="4"/>
    <x v="1"/>
    <x v="6"/>
    <n v="118.54"/>
    <n v="9"/>
    <n v="1066.8599999999999"/>
    <n v="5"/>
    <n v="53.34"/>
    <n v="1013.52"/>
    <s v="Debit Card"/>
    <s v="CUST_00554"/>
    <n v="1"/>
    <n v="53.339999999999918"/>
    <n v="112.61333333333333"/>
    <s v="Low"/>
  </r>
  <r>
    <s v="TXN_02262"/>
    <d v="2024-09-21T00:00:00"/>
    <x v="9"/>
    <s v="Saturday"/>
    <s v="STORE_019"/>
    <x v="2"/>
    <x v="0"/>
    <x v="32"/>
    <n v="866.26"/>
    <n v="7"/>
    <n v="6063.82"/>
    <n v="0"/>
    <n v="0"/>
    <n v="6063.82"/>
    <s v="Debit Card"/>
    <s v="CUST_00338"/>
    <n v="2"/>
    <n v="0"/>
    <n v="866.26"/>
    <s v="No Discount"/>
  </r>
  <r>
    <s v="TXN_02263"/>
    <d v="2024-06-25T00:00:00"/>
    <x v="10"/>
    <s v="Tuesday"/>
    <s v="STORE_037"/>
    <x v="3"/>
    <x v="5"/>
    <x v="34"/>
    <n v="3074.36"/>
    <n v="4"/>
    <n v="12297.44"/>
    <n v="0"/>
    <n v="0"/>
    <n v="12297.44"/>
    <s v="Debit Card"/>
    <s v="CUST_00437"/>
    <n v="1"/>
    <n v="0"/>
    <n v="3074.36"/>
    <s v="No Discount"/>
  </r>
  <r>
    <s v="TXN_02264"/>
    <d v="2024-03-06T00:00:00"/>
    <x v="5"/>
    <s v="Wednesday"/>
    <s v="STORE_040"/>
    <x v="3"/>
    <x v="0"/>
    <x v="27"/>
    <n v="953.93"/>
    <n v="2"/>
    <n v="1907.86"/>
    <n v="10"/>
    <n v="190.79"/>
    <n v="1717.07"/>
    <s v="Cash"/>
    <s v="CUST_00129"/>
    <n v="5"/>
    <n v="190.78999999999996"/>
    <n v="858.53499999999997"/>
    <s v="Medium"/>
  </r>
  <r>
    <s v="TXN_02265"/>
    <d v="2024-10-09T00:00:00"/>
    <x v="7"/>
    <s v="Wednesday"/>
    <s v="STORE_043"/>
    <x v="1"/>
    <x v="6"/>
    <x v="15"/>
    <n v="1103.45"/>
    <n v="3"/>
    <n v="3310.35"/>
    <n v="0"/>
    <n v="0"/>
    <n v="3310.35"/>
    <s v="Credit Card"/>
    <s v="CUST_00252"/>
    <n v="4"/>
    <n v="0"/>
    <n v="1103.45"/>
    <s v="No Discount"/>
  </r>
  <r>
    <s v="TXN_02266"/>
    <d v="2024-11-23T00:00:00"/>
    <x v="0"/>
    <s v="Saturday"/>
    <s v="STORE_037"/>
    <x v="1"/>
    <x v="6"/>
    <x v="33"/>
    <n v="1423.53"/>
    <n v="7"/>
    <n v="9964.7099999999991"/>
    <n v="0"/>
    <n v="0"/>
    <n v="9964.7099999999991"/>
    <s v="Wallet"/>
    <s v="CUST_00492"/>
    <n v="4"/>
    <n v="0"/>
    <n v="1423.53"/>
    <s v="No Discount"/>
  </r>
  <r>
    <s v="TXN_02267"/>
    <d v="2024-10-27T00:00:00"/>
    <x v="7"/>
    <s v="Sunday"/>
    <s v="STORE_032"/>
    <x v="1"/>
    <x v="5"/>
    <x v="25"/>
    <n v="4398.3"/>
    <n v="1"/>
    <n v="4398.3"/>
    <n v="0"/>
    <n v="0"/>
    <n v="4398.3"/>
    <s v="Debit Card"/>
    <s v="CUST_00124"/>
    <n v="3"/>
    <n v="0"/>
    <n v="4398.3"/>
    <s v="No Discount"/>
  </r>
  <r>
    <s v="TXN_02268"/>
    <d v="2024-04-03T00:00:00"/>
    <x v="4"/>
    <s v="Wednesday"/>
    <s v="STORE_043"/>
    <x v="4"/>
    <x v="5"/>
    <x v="25"/>
    <n v="1902.15"/>
    <n v="2"/>
    <n v="3804.3"/>
    <n v="15"/>
    <n v="570.64"/>
    <n v="3233.66"/>
    <s v="Debit Card"/>
    <s v="CUST_00324"/>
    <n v="4"/>
    <n v="570.64000000000033"/>
    <n v="1616.83"/>
    <s v="Medium"/>
  </r>
  <r>
    <s v="TXN_02269"/>
    <d v="2024-03-07T00:00:00"/>
    <x v="5"/>
    <s v="Thursday"/>
    <s v="STORE_042"/>
    <x v="0"/>
    <x v="0"/>
    <x v="18"/>
    <n v="210.19"/>
    <n v="8"/>
    <n v="1681.52"/>
    <n v="5"/>
    <n v="84.08"/>
    <n v="1597.44"/>
    <s v="UPI"/>
    <s v="CUST_00076"/>
    <n v="2"/>
    <n v="84.079999999999927"/>
    <n v="199.68"/>
    <s v="Low"/>
  </r>
  <r>
    <s v="TXN_02270"/>
    <d v="2024-08-09T00:00:00"/>
    <x v="8"/>
    <s v="Friday"/>
    <s v="STORE_003"/>
    <x v="0"/>
    <x v="1"/>
    <x v="6"/>
    <n v="77.95"/>
    <n v="7"/>
    <n v="545.65"/>
    <n v="0"/>
    <n v="0"/>
    <n v="545.65"/>
    <s v="Wallet"/>
    <s v="CUST_00712"/>
    <n v="2"/>
    <n v="0"/>
    <n v="77.95"/>
    <s v="No Discount"/>
  </r>
  <r>
    <s v="TXN_02271"/>
    <d v="2024-09-14T00:00:00"/>
    <x v="9"/>
    <s v="Saturday"/>
    <s v="STORE_013"/>
    <x v="4"/>
    <x v="4"/>
    <x v="17"/>
    <n v="484.89"/>
    <n v="10"/>
    <n v="4848.8999999999996"/>
    <n v="10"/>
    <n v="484.89"/>
    <n v="4364.01"/>
    <s v="Credit Card"/>
    <s v="CUST_00496"/>
    <n v="5"/>
    <n v="484.88999999999942"/>
    <n v="436.40100000000001"/>
    <s v="Medium"/>
  </r>
  <r>
    <s v="TXN_02272"/>
    <d v="2024-01-29T00:00:00"/>
    <x v="2"/>
    <s v="Monday"/>
    <s v="STORE_020"/>
    <x v="1"/>
    <x v="3"/>
    <x v="12"/>
    <n v="1486.94"/>
    <n v="4"/>
    <n v="5947.76"/>
    <n v="0"/>
    <n v="0"/>
    <n v="5947.76"/>
    <s v="Debit Card"/>
    <s v="CUST_00867"/>
    <n v="3"/>
    <n v="0"/>
    <n v="1486.94"/>
    <s v="No Discount"/>
  </r>
  <r>
    <s v="TXN_02273"/>
    <d v="2024-03-04T00:00:00"/>
    <x v="5"/>
    <s v="Monday"/>
    <s v="STORE_028"/>
    <x v="2"/>
    <x v="1"/>
    <x v="6"/>
    <n v="297.48"/>
    <n v="1"/>
    <n v="297.48"/>
    <n v="20"/>
    <n v="59.5"/>
    <n v="237.98"/>
    <s v="Cash"/>
    <s v="CUST_00455"/>
    <n v="4"/>
    <n v="59.500000000000028"/>
    <n v="237.98"/>
    <s v="High"/>
  </r>
  <r>
    <s v="TXN_02274"/>
    <d v="2024-09-22T00:00:00"/>
    <x v="9"/>
    <s v="Sunday"/>
    <s v="STORE_027"/>
    <x v="1"/>
    <x v="0"/>
    <x v="0"/>
    <n v="819.57"/>
    <n v="6"/>
    <n v="4917.42"/>
    <n v="0"/>
    <n v="0"/>
    <n v="4917.42"/>
    <s v="Credit Card"/>
    <s v="CUST_00079"/>
    <n v="4"/>
    <n v="0"/>
    <n v="819.57"/>
    <s v="No Discount"/>
  </r>
  <r>
    <s v="TXN_02275"/>
    <d v="2024-03-19T00:00:00"/>
    <x v="5"/>
    <s v="Tuesday"/>
    <s v="STORE_031"/>
    <x v="0"/>
    <x v="7"/>
    <x v="37"/>
    <n v="1055.8499999999999"/>
    <n v="9"/>
    <n v="9502.65"/>
    <n v="20"/>
    <n v="1900.53"/>
    <n v="7602.12"/>
    <s v="Cash"/>
    <s v="CUST_00985"/>
    <n v="1"/>
    <n v="1900.5299999999997"/>
    <n v="844.68"/>
    <s v="High"/>
  </r>
  <r>
    <s v="TXN_02276"/>
    <d v="2024-06-04T00:00:00"/>
    <x v="10"/>
    <s v="Tuesday"/>
    <s v="STORE_013"/>
    <x v="1"/>
    <x v="5"/>
    <x v="10"/>
    <n v="3372.36"/>
    <n v="2"/>
    <n v="6744.72"/>
    <n v="0"/>
    <n v="0"/>
    <n v="6744.72"/>
    <s v="Cash"/>
    <s v="CUST_00038"/>
    <n v="4"/>
    <n v="0"/>
    <n v="3372.36"/>
    <s v="No Discount"/>
  </r>
  <r>
    <s v="TXN_02277"/>
    <d v="2024-03-25T00:00:00"/>
    <x v="5"/>
    <s v="Monday"/>
    <s v="STORE_035"/>
    <x v="2"/>
    <x v="7"/>
    <x v="23"/>
    <n v="1253.74"/>
    <n v="9"/>
    <n v="11283.66"/>
    <n v="0"/>
    <n v="0"/>
    <n v="11283.66"/>
    <s v="Cash"/>
    <s v="CUST_00747"/>
    <n v="3"/>
    <n v="0"/>
    <n v="1253.74"/>
    <s v="No Discount"/>
  </r>
  <r>
    <s v="TXN_02278"/>
    <d v="2024-03-23T00:00:00"/>
    <x v="5"/>
    <s v="Saturday"/>
    <s v="STORE_026"/>
    <x v="1"/>
    <x v="7"/>
    <x v="24"/>
    <n v="1374.24"/>
    <n v="8"/>
    <n v="10993.92"/>
    <n v="0"/>
    <n v="0"/>
    <n v="10993.92"/>
    <s v="Cash"/>
    <s v="CUST_00255"/>
    <n v="5"/>
    <n v="0"/>
    <n v="1374.24"/>
    <s v="No Discount"/>
  </r>
  <r>
    <s v="TXN_02279"/>
    <d v="2024-06-14T00:00:00"/>
    <x v="10"/>
    <s v="Friday"/>
    <s v="STORE_004"/>
    <x v="1"/>
    <x v="7"/>
    <x v="37"/>
    <n v="356.27"/>
    <n v="8"/>
    <n v="2850.16"/>
    <n v="20"/>
    <n v="570.03"/>
    <n v="2280.13"/>
    <s v="UPI"/>
    <s v="CUST_00012"/>
    <n v="1"/>
    <n v="570.02999999999975"/>
    <n v="285.01625000000001"/>
    <s v="High"/>
  </r>
  <r>
    <s v="TXN_02280"/>
    <d v="2024-12-29T00:00:00"/>
    <x v="6"/>
    <s v="Sunday"/>
    <s v="STORE_018"/>
    <x v="2"/>
    <x v="3"/>
    <x v="21"/>
    <n v="2207.11"/>
    <n v="6"/>
    <n v="13242.66"/>
    <n v="0"/>
    <n v="0"/>
    <n v="13242.66"/>
    <s v="Credit Card"/>
    <s v="CUST_00780"/>
    <n v="5"/>
    <n v="0"/>
    <n v="2207.11"/>
    <s v="No Discount"/>
  </r>
  <r>
    <s v="TXN_02281"/>
    <d v="2024-04-25T00:00:00"/>
    <x v="4"/>
    <s v="Thursday"/>
    <s v="STORE_035"/>
    <x v="2"/>
    <x v="3"/>
    <x v="16"/>
    <n v="2784.73"/>
    <n v="9"/>
    <n v="25062.57"/>
    <n v="0"/>
    <n v="0"/>
    <n v="25062.57"/>
    <s v="Debit Card"/>
    <s v="CUST_00698"/>
    <n v="1"/>
    <n v="0"/>
    <n v="2784.73"/>
    <s v="No Discount"/>
  </r>
  <r>
    <s v="TXN_02282"/>
    <d v="2024-06-26T00:00:00"/>
    <x v="10"/>
    <s v="Wednesday"/>
    <s v="STORE_033"/>
    <x v="1"/>
    <x v="3"/>
    <x v="16"/>
    <n v="1271.33"/>
    <n v="3"/>
    <n v="3813.99"/>
    <n v="20"/>
    <n v="762.8"/>
    <n v="3051.19"/>
    <s v="Credit Card"/>
    <s v="CUST_00938"/>
    <n v="2"/>
    <n v="762.79999999999973"/>
    <n v="1017.0633333333334"/>
    <s v="High"/>
  </r>
  <r>
    <s v="TXN_02283"/>
    <d v="2024-09-22T00:00:00"/>
    <x v="9"/>
    <s v="Sunday"/>
    <s v="STORE_035"/>
    <x v="2"/>
    <x v="0"/>
    <x v="32"/>
    <n v="702.67"/>
    <n v="1"/>
    <n v="702.67"/>
    <n v="15"/>
    <n v="105.4"/>
    <n v="597.27"/>
    <s v="UPI"/>
    <s v="CUST_00156"/>
    <n v="5"/>
    <n v="105.39999999999998"/>
    <n v="597.27"/>
    <s v="Medium"/>
  </r>
  <r>
    <s v="TXN_02284"/>
    <d v="2024-05-25T00:00:00"/>
    <x v="3"/>
    <s v="Saturday"/>
    <s v="STORE_045"/>
    <x v="3"/>
    <x v="0"/>
    <x v="32"/>
    <n v="325.95999999999998"/>
    <n v="6"/>
    <n v="1955.76"/>
    <n v="0"/>
    <n v="0"/>
    <n v="1955.76"/>
    <s v="UPI"/>
    <s v="CUST_00727"/>
    <n v="3"/>
    <n v="0"/>
    <n v="325.95999999999998"/>
    <s v="No Discount"/>
  </r>
  <r>
    <s v="TXN_02285"/>
    <d v="2024-02-10T00:00:00"/>
    <x v="1"/>
    <s v="Saturday"/>
    <s v="STORE_013"/>
    <x v="2"/>
    <x v="3"/>
    <x v="12"/>
    <n v="2222.65"/>
    <n v="6"/>
    <n v="13335.9"/>
    <n v="15"/>
    <n v="2000.38"/>
    <n v="11335.52"/>
    <s v="UPI"/>
    <s v="CUST_00955"/>
    <n v="2"/>
    <n v="2000.3799999999992"/>
    <n v="1889.2533333333333"/>
    <s v="Medium"/>
  </r>
  <r>
    <s v="TXN_02286"/>
    <d v="2024-05-08T00:00:00"/>
    <x v="3"/>
    <s v="Wednesday"/>
    <s v="STORE_033"/>
    <x v="2"/>
    <x v="3"/>
    <x v="16"/>
    <n v="2959.27"/>
    <n v="5"/>
    <n v="14796.35"/>
    <n v="0"/>
    <n v="0"/>
    <n v="14796.35"/>
    <s v="Credit Card"/>
    <s v="CUST_00781"/>
    <n v="5"/>
    <n v="0"/>
    <n v="2959.27"/>
    <s v="No Discount"/>
  </r>
  <r>
    <s v="TXN_02287"/>
    <d v="2024-04-10T00:00:00"/>
    <x v="4"/>
    <s v="Wednesday"/>
    <s v="STORE_039"/>
    <x v="0"/>
    <x v="0"/>
    <x v="4"/>
    <n v="234.06"/>
    <n v="10"/>
    <n v="2340.6"/>
    <n v="10"/>
    <n v="234.06"/>
    <n v="2106.54"/>
    <s v="UPI"/>
    <s v="CUST_00043"/>
    <n v="1"/>
    <n v="234.05999999999995"/>
    <n v="210.654"/>
    <s v="Medium"/>
  </r>
  <r>
    <s v="TXN_02288"/>
    <d v="2024-11-21T00:00:00"/>
    <x v="0"/>
    <s v="Thursday"/>
    <s v="STORE_006"/>
    <x v="2"/>
    <x v="7"/>
    <x v="23"/>
    <n v="1139.1500000000001"/>
    <n v="2"/>
    <n v="2278.3000000000002"/>
    <n v="10"/>
    <n v="227.83"/>
    <n v="2050.4699999999998"/>
    <s v="Cash"/>
    <s v="CUST_00205"/>
    <n v="2"/>
    <n v="227.83000000000038"/>
    <n v="1025.2349999999999"/>
    <s v="Medium"/>
  </r>
  <r>
    <s v="TXN_02289"/>
    <d v="2024-10-09T00:00:00"/>
    <x v="7"/>
    <s v="Wednesday"/>
    <s v="STORE_036"/>
    <x v="1"/>
    <x v="5"/>
    <x v="9"/>
    <n v="2514.29"/>
    <n v="2"/>
    <n v="5028.58"/>
    <n v="0"/>
    <n v="0"/>
    <n v="5028.58"/>
    <s v="Wallet"/>
    <s v="CUST_00575"/>
    <n v="3"/>
    <n v="0"/>
    <n v="2514.29"/>
    <s v="No Discount"/>
  </r>
  <r>
    <s v="TXN_02290"/>
    <d v="2024-05-20T00:00:00"/>
    <x v="3"/>
    <s v="Monday"/>
    <s v="STORE_008"/>
    <x v="4"/>
    <x v="6"/>
    <x v="15"/>
    <n v="744.51"/>
    <n v="7"/>
    <n v="5211.57"/>
    <n v="0"/>
    <n v="0"/>
    <n v="5211.57"/>
    <s v="Debit Card"/>
    <s v="CUST_00672"/>
    <n v="1"/>
    <n v="0"/>
    <n v="744.51"/>
    <s v="No Discount"/>
  </r>
  <r>
    <s v="TXN_02291"/>
    <d v="2024-03-05T00:00:00"/>
    <x v="5"/>
    <s v="Tuesday"/>
    <s v="STORE_002"/>
    <x v="1"/>
    <x v="0"/>
    <x v="18"/>
    <n v="436.21"/>
    <n v="8"/>
    <n v="3489.68"/>
    <n v="20"/>
    <n v="697.94"/>
    <n v="2791.74"/>
    <s v="Debit Card"/>
    <s v="CUST_00232"/>
    <n v="2"/>
    <n v="697.94"/>
    <n v="348.96749999999997"/>
    <s v="High"/>
  </r>
  <r>
    <s v="TXN_02292"/>
    <d v="2024-11-16T00:00:00"/>
    <x v="0"/>
    <s v="Saturday"/>
    <s v="STORE_031"/>
    <x v="2"/>
    <x v="1"/>
    <x v="36"/>
    <n v="264.22000000000003"/>
    <n v="5"/>
    <n v="1321.1"/>
    <n v="0"/>
    <n v="0"/>
    <n v="1321.1"/>
    <s v="Cash"/>
    <s v="CUST_00885"/>
    <n v="3"/>
    <n v="0"/>
    <n v="264.21999999999997"/>
    <s v="No Discount"/>
  </r>
  <r>
    <s v="TXN_02293"/>
    <d v="2024-06-04T00:00:00"/>
    <x v="10"/>
    <s v="Tuesday"/>
    <s v="STORE_040"/>
    <x v="4"/>
    <x v="5"/>
    <x v="11"/>
    <n v="1319.71"/>
    <n v="2"/>
    <n v="2639.42"/>
    <n v="0"/>
    <n v="0"/>
    <n v="2639.42"/>
    <s v="UPI"/>
    <s v="CUST_00348"/>
    <n v="1"/>
    <n v="0"/>
    <n v="1319.71"/>
    <s v="No Discount"/>
  </r>
  <r>
    <s v="TXN_02294"/>
    <d v="2024-11-10T00:00:00"/>
    <x v="0"/>
    <s v="Sunday"/>
    <s v="STORE_009"/>
    <x v="3"/>
    <x v="3"/>
    <x v="16"/>
    <n v="962.44"/>
    <n v="8"/>
    <n v="7699.52"/>
    <n v="20"/>
    <n v="1539.9"/>
    <n v="6159.62"/>
    <s v="UPI"/>
    <s v="CUST_00185"/>
    <n v="4"/>
    <n v="1539.9000000000005"/>
    <n v="769.95249999999999"/>
    <s v="High"/>
  </r>
  <r>
    <s v="TXN_02295"/>
    <d v="2024-09-30T00:00:00"/>
    <x v="9"/>
    <s v="Monday"/>
    <s v="STORE_015"/>
    <x v="2"/>
    <x v="3"/>
    <x v="22"/>
    <n v="2168.7399999999998"/>
    <n v="10"/>
    <n v="21687.4"/>
    <n v="5"/>
    <n v="1084.3699999999999"/>
    <n v="20603.03"/>
    <s v="Credit Card"/>
    <s v="CUST_00142"/>
    <n v="3"/>
    <n v="1084.3700000000026"/>
    <n v="2060.3029999999999"/>
    <s v="Low"/>
  </r>
  <r>
    <s v="TXN_02296"/>
    <d v="2024-02-17T00:00:00"/>
    <x v="1"/>
    <s v="Saturday"/>
    <s v="STORE_032"/>
    <x v="4"/>
    <x v="0"/>
    <x v="18"/>
    <n v="791.89"/>
    <n v="5"/>
    <n v="3959.45"/>
    <n v="0"/>
    <n v="0"/>
    <n v="3959.45"/>
    <s v="Debit Card"/>
    <s v="CUST_00929"/>
    <n v="3"/>
    <n v="0"/>
    <n v="791.89"/>
    <s v="No Discount"/>
  </r>
  <r>
    <s v="TXN_02297"/>
    <d v="2024-09-14T00:00:00"/>
    <x v="9"/>
    <s v="Saturday"/>
    <s v="STORE_022"/>
    <x v="2"/>
    <x v="1"/>
    <x v="36"/>
    <n v="147.24"/>
    <n v="7"/>
    <n v="1030.68"/>
    <n v="10"/>
    <n v="103.07"/>
    <n v="927.61"/>
    <s v="UPI"/>
    <s v="CUST_00403"/>
    <n v="1"/>
    <n v="103.07000000000005"/>
    <n v="132.5157142857143"/>
    <s v="Medium"/>
  </r>
  <r>
    <s v="TXN_02298"/>
    <d v="2024-11-24T00:00:00"/>
    <x v="0"/>
    <s v="Sunday"/>
    <s v="STORE_003"/>
    <x v="0"/>
    <x v="3"/>
    <x v="21"/>
    <n v="1309.43"/>
    <n v="4"/>
    <n v="5237.72"/>
    <n v="5"/>
    <n v="261.89"/>
    <n v="4975.83"/>
    <s v="Credit Card"/>
    <s v="CUST_00749"/>
    <n v="3"/>
    <n v="261.89000000000033"/>
    <n v="1243.9575"/>
    <s v="Low"/>
  </r>
  <r>
    <s v="TXN_02299"/>
    <d v="2024-03-27T00:00:00"/>
    <x v="5"/>
    <s v="Wednesday"/>
    <s v="STORE_008"/>
    <x v="2"/>
    <x v="7"/>
    <x v="37"/>
    <n v="619.17999999999995"/>
    <n v="1"/>
    <n v="619.17999999999995"/>
    <n v="10"/>
    <n v="61.92"/>
    <n v="557.26"/>
    <s v="Wallet"/>
    <s v="CUST_00881"/>
    <n v="5"/>
    <n v="61.919999999999959"/>
    <n v="557.26"/>
    <s v="Medium"/>
  </r>
  <r>
    <s v="TXN_02300"/>
    <d v="2024-10-30T00:00:00"/>
    <x v="7"/>
    <s v="Wednesday"/>
    <s v="STORE_041"/>
    <x v="2"/>
    <x v="3"/>
    <x v="16"/>
    <n v="322.64"/>
    <n v="2"/>
    <n v="645.28"/>
    <n v="0"/>
    <n v="0"/>
    <n v="645.28"/>
    <s v="Credit Card"/>
    <s v="CUST_00147"/>
    <n v="2"/>
    <n v="0"/>
    <n v="322.64"/>
    <s v="No Discount"/>
  </r>
  <r>
    <s v="TXN_02301"/>
    <d v="2024-10-24T00:00:00"/>
    <x v="7"/>
    <s v="Thursday"/>
    <s v="STORE_050"/>
    <x v="3"/>
    <x v="4"/>
    <x v="20"/>
    <n v="160.49"/>
    <n v="5"/>
    <n v="802.45"/>
    <n v="0"/>
    <n v="0"/>
    <n v="802.45"/>
    <s v="Debit Card"/>
    <s v="CUST_00776"/>
    <n v="2"/>
    <n v="0"/>
    <n v="160.49"/>
    <s v="No Discount"/>
  </r>
  <r>
    <s v="TXN_02302"/>
    <d v="2024-03-19T00:00:00"/>
    <x v="5"/>
    <s v="Tuesday"/>
    <s v="STORE_037"/>
    <x v="0"/>
    <x v="4"/>
    <x v="17"/>
    <n v="360.37"/>
    <n v="10"/>
    <n v="3603.7"/>
    <n v="0"/>
    <n v="0"/>
    <n v="3603.7"/>
    <s v="Debit Card"/>
    <s v="CUST_00993"/>
    <n v="1"/>
    <n v="0"/>
    <n v="360.37"/>
    <s v="No Discount"/>
  </r>
  <r>
    <s v="TXN_02303"/>
    <d v="2024-03-28T00:00:00"/>
    <x v="5"/>
    <s v="Thursday"/>
    <s v="STORE_030"/>
    <x v="1"/>
    <x v="0"/>
    <x v="18"/>
    <n v="239.63"/>
    <n v="9"/>
    <n v="2156.67"/>
    <n v="5"/>
    <n v="107.83"/>
    <n v="2048.84"/>
    <s v="Credit Card"/>
    <s v="CUST_00940"/>
    <n v="2"/>
    <n v="107.82999999999993"/>
    <n v="227.64888888888891"/>
    <s v="Low"/>
  </r>
  <r>
    <s v="TXN_02304"/>
    <d v="2024-12-03T00:00:00"/>
    <x v="6"/>
    <s v="Tuesday"/>
    <s v="STORE_009"/>
    <x v="2"/>
    <x v="1"/>
    <x v="6"/>
    <n v="347.71"/>
    <n v="5"/>
    <n v="1738.55"/>
    <n v="20"/>
    <n v="347.71"/>
    <n v="1390.84"/>
    <s v="Cash"/>
    <s v="CUST_00327"/>
    <n v="5"/>
    <n v="347.71000000000004"/>
    <n v="278.16800000000001"/>
    <s v="High"/>
  </r>
  <r>
    <s v="TXN_02305"/>
    <d v="2024-11-15T00:00:00"/>
    <x v="0"/>
    <s v="Friday"/>
    <s v="STORE_015"/>
    <x v="4"/>
    <x v="2"/>
    <x v="7"/>
    <n v="773.85"/>
    <n v="5"/>
    <n v="3869.25"/>
    <n v="15"/>
    <n v="580.39"/>
    <n v="3288.86"/>
    <s v="Cash"/>
    <s v="CUST_00093"/>
    <n v="3"/>
    <n v="580.38999999999987"/>
    <n v="657.77200000000005"/>
    <s v="Medium"/>
  </r>
  <r>
    <s v="TXN_02306"/>
    <d v="2024-11-05T00:00:00"/>
    <x v="0"/>
    <s v="Tuesday"/>
    <s v="STORE_025"/>
    <x v="1"/>
    <x v="7"/>
    <x v="23"/>
    <n v="319.55"/>
    <n v="9"/>
    <n v="2875.95"/>
    <n v="0"/>
    <n v="0"/>
    <n v="2875.95"/>
    <s v="Wallet"/>
    <s v="CUST_00645"/>
    <n v="5"/>
    <n v="0"/>
    <n v="319.54999999999995"/>
    <s v="No Discount"/>
  </r>
  <r>
    <s v="TXN_02307"/>
    <d v="2024-06-21T00:00:00"/>
    <x v="10"/>
    <s v="Friday"/>
    <s v="STORE_026"/>
    <x v="0"/>
    <x v="4"/>
    <x v="17"/>
    <n v="245.11"/>
    <n v="5"/>
    <n v="1225.55"/>
    <n v="20"/>
    <n v="245.11"/>
    <n v="980.44"/>
    <s v="Cash"/>
    <s v="CUST_00888"/>
    <n v="4"/>
    <n v="245.1099999999999"/>
    <n v="196.08800000000002"/>
    <s v="High"/>
  </r>
  <r>
    <s v="TXN_02308"/>
    <d v="2024-10-15T00:00:00"/>
    <x v="7"/>
    <s v="Tuesday"/>
    <s v="STORE_040"/>
    <x v="3"/>
    <x v="5"/>
    <x v="10"/>
    <n v="4176.8100000000004"/>
    <n v="6"/>
    <n v="25060.86"/>
    <n v="0"/>
    <n v="0"/>
    <n v="25060.86"/>
    <s v="Credit Card"/>
    <s v="CUST_00054"/>
    <n v="4"/>
    <n v="0"/>
    <n v="4176.8100000000004"/>
    <s v="No Discount"/>
  </r>
  <r>
    <s v="TXN_02309"/>
    <d v="2024-01-22T00:00:00"/>
    <x v="2"/>
    <s v="Monday"/>
    <s v="STORE_027"/>
    <x v="0"/>
    <x v="4"/>
    <x v="19"/>
    <n v="320.95"/>
    <n v="4"/>
    <n v="1283.8"/>
    <n v="20"/>
    <n v="256.76"/>
    <n v="1027.04"/>
    <s v="UPI"/>
    <s v="CUST_00318"/>
    <n v="1"/>
    <n v="256.76"/>
    <n v="256.76"/>
    <s v="High"/>
  </r>
  <r>
    <s v="TXN_02310"/>
    <d v="2024-01-15T00:00:00"/>
    <x v="2"/>
    <s v="Monday"/>
    <s v="STORE_026"/>
    <x v="2"/>
    <x v="0"/>
    <x v="18"/>
    <n v="558.12"/>
    <n v="5"/>
    <n v="2790.6"/>
    <n v="5"/>
    <n v="139.53"/>
    <n v="2651.07"/>
    <s v="Debit Card"/>
    <s v="CUST_00135"/>
    <n v="4"/>
    <n v="139.52999999999975"/>
    <n v="530.21400000000006"/>
    <s v="Low"/>
  </r>
  <r>
    <s v="TXN_02311"/>
    <d v="2024-02-11T00:00:00"/>
    <x v="1"/>
    <s v="Sunday"/>
    <s v="STORE_002"/>
    <x v="2"/>
    <x v="3"/>
    <x v="22"/>
    <n v="2439.38"/>
    <n v="2"/>
    <n v="4878.76"/>
    <n v="0"/>
    <n v="0"/>
    <n v="4878.76"/>
    <s v="Wallet"/>
    <s v="CUST_00384"/>
    <n v="3"/>
    <n v="0"/>
    <n v="2439.38"/>
    <s v="No Discount"/>
  </r>
  <r>
    <s v="TXN_02312"/>
    <d v="2024-01-24T00:00:00"/>
    <x v="2"/>
    <s v="Wednesday"/>
    <s v="STORE_032"/>
    <x v="2"/>
    <x v="3"/>
    <x v="21"/>
    <n v="389.98"/>
    <n v="4"/>
    <n v="1559.92"/>
    <n v="15"/>
    <n v="233.99"/>
    <n v="1325.93"/>
    <s v="Credit Card"/>
    <s v="CUST_00324"/>
    <n v="4"/>
    <n v="233.99"/>
    <n v="331.48250000000002"/>
    <s v="Medium"/>
  </r>
  <r>
    <s v="TXN_02313"/>
    <d v="2024-11-24T00:00:00"/>
    <x v="0"/>
    <s v="Sunday"/>
    <s v="STORE_009"/>
    <x v="0"/>
    <x v="0"/>
    <x v="18"/>
    <n v="477.49"/>
    <n v="8"/>
    <n v="3819.92"/>
    <n v="10"/>
    <n v="381.99"/>
    <n v="3437.93"/>
    <s v="Credit Card"/>
    <s v="CUST_00262"/>
    <n v="3"/>
    <n v="381.99000000000024"/>
    <n v="429.74124999999998"/>
    <s v="Medium"/>
  </r>
  <r>
    <s v="TXN_02314"/>
    <d v="2024-10-22T00:00:00"/>
    <x v="7"/>
    <s v="Tuesday"/>
    <s v="STORE_037"/>
    <x v="1"/>
    <x v="2"/>
    <x v="2"/>
    <n v="246.43"/>
    <n v="10"/>
    <n v="2464.3000000000002"/>
    <n v="0"/>
    <n v="0"/>
    <n v="2464.3000000000002"/>
    <s v="Cash"/>
    <s v="CUST_00058"/>
    <n v="4"/>
    <n v="0"/>
    <n v="246.43"/>
    <s v="No Discount"/>
  </r>
  <r>
    <s v="TXN_02315"/>
    <d v="2024-05-15T00:00:00"/>
    <x v="3"/>
    <s v="Wednesday"/>
    <s v="STORE_045"/>
    <x v="3"/>
    <x v="0"/>
    <x v="32"/>
    <n v="785.54"/>
    <n v="6"/>
    <n v="4713.24"/>
    <n v="0"/>
    <n v="0"/>
    <n v="4713.24"/>
    <s v="Credit Card"/>
    <s v="CUST_00598"/>
    <n v="3"/>
    <n v="0"/>
    <n v="785.54"/>
    <s v="No Discount"/>
  </r>
  <r>
    <s v="TXN_02316"/>
    <d v="2024-11-29T00:00:00"/>
    <x v="0"/>
    <s v="Friday"/>
    <s v="STORE_041"/>
    <x v="4"/>
    <x v="6"/>
    <x v="15"/>
    <n v="1584.02"/>
    <n v="2"/>
    <n v="3168.04"/>
    <n v="10"/>
    <n v="316.8"/>
    <n v="2851.24"/>
    <s v="Credit Card"/>
    <s v="CUST_00545"/>
    <n v="5"/>
    <n v="316.80000000000018"/>
    <n v="1425.62"/>
    <s v="Medium"/>
  </r>
  <r>
    <s v="TXN_02317"/>
    <d v="2024-04-17T00:00:00"/>
    <x v="4"/>
    <s v="Wednesday"/>
    <s v="STORE_014"/>
    <x v="3"/>
    <x v="0"/>
    <x v="4"/>
    <n v="971.54"/>
    <n v="5"/>
    <n v="4857.7"/>
    <n v="20"/>
    <n v="971.54"/>
    <n v="3886.16"/>
    <s v="UPI"/>
    <s v="CUST_00339"/>
    <n v="5"/>
    <n v="971.54"/>
    <n v="777.23199999999997"/>
    <s v="High"/>
  </r>
  <r>
    <s v="TXN_02318"/>
    <d v="2024-10-19T00:00:00"/>
    <x v="7"/>
    <s v="Saturday"/>
    <s v="STORE_017"/>
    <x v="4"/>
    <x v="0"/>
    <x v="18"/>
    <n v="642.98"/>
    <n v="4"/>
    <n v="2571.92"/>
    <n v="0"/>
    <n v="0"/>
    <n v="2571.92"/>
    <s v="Wallet"/>
    <s v="CUST_00472"/>
    <n v="4"/>
    <n v="0"/>
    <n v="642.98"/>
    <s v="No Discount"/>
  </r>
  <r>
    <s v="TXN_02319"/>
    <d v="2024-08-01T00:00:00"/>
    <x v="8"/>
    <s v="Thursday"/>
    <s v="STORE_050"/>
    <x v="0"/>
    <x v="0"/>
    <x v="27"/>
    <n v="963.88"/>
    <n v="6"/>
    <n v="5783.28"/>
    <n v="15"/>
    <n v="867.49"/>
    <n v="4915.79"/>
    <s v="UPI"/>
    <s v="CUST_00994"/>
    <n v="1"/>
    <n v="867.48999999999978"/>
    <n v="819.29833333333329"/>
    <s v="Medium"/>
  </r>
  <r>
    <s v="TXN_02320"/>
    <d v="2024-11-12T00:00:00"/>
    <x v="0"/>
    <s v="Tuesday"/>
    <s v="STORE_001"/>
    <x v="2"/>
    <x v="3"/>
    <x v="5"/>
    <n v="2573.1799999999998"/>
    <n v="2"/>
    <n v="5146.3599999999997"/>
    <n v="10"/>
    <n v="514.64"/>
    <n v="4631.72"/>
    <s v="Cash"/>
    <s v="CUST_00578"/>
    <n v="2"/>
    <n v="514.63999999999942"/>
    <n v="2315.86"/>
    <s v="Medium"/>
  </r>
  <r>
    <s v="TXN_02321"/>
    <d v="2024-11-23T00:00:00"/>
    <x v="0"/>
    <s v="Saturday"/>
    <s v="STORE_014"/>
    <x v="0"/>
    <x v="5"/>
    <x v="11"/>
    <n v="1102.1300000000001"/>
    <n v="6"/>
    <n v="6612.78"/>
    <n v="5"/>
    <n v="330.64"/>
    <n v="6282.14"/>
    <s v="UPI"/>
    <s v="CUST_00871"/>
    <n v="2"/>
    <n v="330.63999999999942"/>
    <n v="1047.0233333333333"/>
    <s v="Low"/>
  </r>
  <r>
    <s v="TXN_02322"/>
    <d v="2024-01-16T00:00:00"/>
    <x v="2"/>
    <s v="Tuesday"/>
    <s v="STORE_037"/>
    <x v="3"/>
    <x v="5"/>
    <x v="10"/>
    <n v="3794.41"/>
    <n v="4"/>
    <n v="15177.64"/>
    <n v="20"/>
    <n v="3035.53"/>
    <n v="12142.11"/>
    <s v="Debit Card"/>
    <s v="CUST_00297"/>
    <n v="2"/>
    <n v="3035.5299999999988"/>
    <n v="3035.5275000000001"/>
    <s v="High"/>
  </r>
  <r>
    <s v="TXN_02323"/>
    <d v="2024-09-11T00:00:00"/>
    <x v="9"/>
    <s v="Wednesday"/>
    <s v="STORE_049"/>
    <x v="0"/>
    <x v="2"/>
    <x v="2"/>
    <n v="230.23"/>
    <n v="9"/>
    <n v="2072.0700000000002"/>
    <n v="0"/>
    <n v="0"/>
    <n v="2072.0700000000002"/>
    <s v="Cash"/>
    <s v="CUST_00836"/>
    <n v="2"/>
    <n v="0"/>
    <n v="230.23000000000002"/>
    <s v="No Discount"/>
  </r>
  <r>
    <s v="TXN_02324"/>
    <d v="2024-11-17T00:00:00"/>
    <x v="0"/>
    <s v="Sunday"/>
    <s v="STORE_011"/>
    <x v="3"/>
    <x v="0"/>
    <x v="4"/>
    <n v="500.85"/>
    <n v="10"/>
    <n v="5008.5"/>
    <n v="15"/>
    <n v="751.27"/>
    <n v="4257.2299999999996"/>
    <s v="Debit Card"/>
    <s v="CUST_00485"/>
    <n v="3"/>
    <n v="751.27000000000044"/>
    <n v="425.72299999999996"/>
    <s v="Medium"/>
  </r>
  <r>
    <s v="TXN_02325"/>
    <d v="2024-10-06T00:00:00"/>
    <x v="7"/>
    <s v="Sunday"/>
    <s v="STORE_042"/>
    <x v="0"/>
    <x v="3"/>
    <x v="16"/>
    <n v="2812.55"/>
    <n v="3"/>
    <n v="8437.65"/>
    <n v="0"/>
    <n v="0"/>
    <n v="8437.65"/>
    <s v="Wallet"/>
    <s v="CUST_00048"/>
    <n v="3"/>
    <n v="0"/>
    <n v="2812.5499999999997"/>
    <s v="No Discount"/>
  </r>
  <r>
    <s v="TXN_02326"/>
    <d v="2024-05-28T00:00:00"/>
    <x v="3"/>
    <s v="Tuesday"/>
    <s v="STORE_045"/>
    <x v="2"/>
    <x v="5"/>
    <x v="11"/>
    <n v="3744.04"/>
    <n v="1"/>
    <n v="3744.04"/>
    <n v="10"/>
    <n v="374.4"/>
    <n v="3369.64"/>
    <s v="Credit Card"/>
    <s v="CUST_00067"/>
    <n v="3"/>
    <n v="374.40000000000009"/>
    <n v="3369.64"/>
    <s v="Medium"/>
  </r>
  <r>
    <s v="TXN_02327"/>
    <d v="2024-11-24T00:00:00"/>
    <x v="0"/>
    <s v="Sunday"/>
    <s v="STORE_009"/>
    <x v="0"/>
    <x v="0"/>
    <x v="27"/>
    <n v="351.12"/>
    <n v="3"/>
    <n v="1053.3599999999999"/>
    <n v="10"/>
    <n v="105.34"/>
    <n v="948.02"/>
    <s v="Cash"/>
    <s v="CUST_00985"/>
    <n v="3"/>
    <n v="105.33999999999992"/>
    <n v="316.00666666666666"/>
    <s v="Medium"/>
  </r>
  <r>
    <s v="TXN_02328"/>
    <d v="2024-06-03T00:00:00"/>
    <x v="10"/>
    <s v="Monday"/>
    <s v="STORE_039"/>
    <x v="2"/>
    <x v="2"/>
    <x v="13"/>
    <n v="561.89"/>
    <n v="10"/>
    <n v="5618.9"/>
    <n v="10"/>
    <n v="561.89"/>
    <n v="5057.01"/>
    <s v="Wallet"/>
    <s v="CUST_00819"/>
    <n v="2"/>
    <n v="561.88999999999942"/>
    <n v="505.70100000000002"/>
    <s v="Medium"/>
  </r>
  <r>
    <s v="TXN_02329"/>
    <d v="2024-09-04T00:00:00"/>
    <x v="9"/>
    <s v="Wednesday"/>
    <s v="STORE_009"/>
    <x v="3"/>
    <x v="1"/>
    <x v="6"/>
    <n v="418.95"/>
    <n v="2"/>
    <n v="837.9"/>
    <n v="0"/>
    <n v="0"/>
    <n v="837.9"/>
    <s v="Cash"/>
    <s v="CUST_00059"/>
    <n v="3"/>
    <n v="0"/>
    <n v="418.95"/>
    <s v="No Discount"/>
  </r>
  <r>
    <s v="TXN_02330"/>
    <d v="2024-05-05T00:00:00"/>
    <x v="3"/>
    <s v="Sunday"/>
    <s v="STORE_036"/>
    <x v="0"/>
    <x v="1"/>
    <x v="6"/>
    <n v="246.39"/>
    <n v="10"/>
    <n v="2463.9"/>
    <n v="10"/>
    <n v="246.39"/>
    <n v="2217.5100000000002"/>
    <s v="Credit Card"/>
    <s v="CUST_00128"/>
    <n v="2"/>
    <n v="246.38999999999987"/>
    <n v="221.75100000000003"/>
    <s v="Medium"/>
  </r>
  <r>
    <s v="TXN_02331"/>
    <d v="2024-12-16T00:00:00"/>
    <x v="6"/>
    <s v="Monday"/>
    <s v="STORE_014"/>
    <x v="0"/>
    <x v="6"/>
    <x v="30"/>
    <n v="1574.93"/>
    <n v="7"/>
    <n v="11024.51"/>
    <n v="20"/>
    <n v="2204.9"/>
    <n v="8819.61"/>
    <s v="Cash"/>
    <s v="CUST_00189"/>
    <n v="2"/>
    <n v="2204.8999999999996"/>
    <n v="1259.9442857142858"/>
    <s v="High"/>
  </r>
  <r>
    <s v="TXN_02332"/>
    <d v="2024-07-26T00:00:00"/>
    <x v="11"/>
    <s v="Friday"/>
    <s v="STORE_014"/>
    <x v="0"/>
    <x v="0"/>
    <x v="0"/>
    <n v="930.89"/>
    <n v="8"/>
    <n v="7447.12"/>
    <n v="5"/>
    <n v="372.36"/>
    <n v="7074.76"/>
    <s v="UPI"/>
    <s v="CUST_00962"/>
    <n v="4"/>
    <n v="372.35999999999967"/>
    <n v="884.34500000000003"/>
    <s v="Low"/>
  </r>
  <r>
    <s v="TXN_02333"/>
    <d v="2024-06-01T00:00:00"/>
    <x v="10"/>
    <s v="Saturday"/>
    <s v="STORE_026"/>
    <x v="1"/>
    <x v="7"/>
    <x v="37"/>
    <n v="1364.04"/>
    <n v="9"/>
    <n v="12276.36"/>
    <n v="15"/>
    <n v="1841.45"/>
    <n v="10434.91"/>
    <s v="Credit Card"/>
    <s v="CUST_00748"/>
    <n v="4"/>
    <n v="1841.4500000000007"/>
    <n v="1159.4344444444444"/>
    <s v="Medium"/>
  </r>
  <r>
    <s v="TXN_02334"/>
    <d v="2024-08-20T00:00:00"/>
    <x v="8"/>
    <s v="Tuesday"/>
    <s v="STORE_024"/>
    <x v="2"/>
    <x v="1"/>
    <x v="36"/>
    <n v="466.48"/>
    <n v="8"/>
    <n v="3731.84"/>
    <n v="0"/>
    <n v="0"/>
    <n v="3731.84"/>
    <s v="Debit Card"/>
    <s v="CUST_00244"/>
    <n v="5"/>
    <n v="0"/>
    <n v="466.48"/>
    <s v="No Discount"/>
  </r>
  <r>
    <s v="TXN_02335"/>
    <d v="2024-02-07T00:00:00"/>
    <x v="1"/>
    <s v="Wednesday"/>
    <s v="STORE_020"/>
    <x v="0"/>
    <x v="0"/>
    <x v="18"/>
    <n v="468.05"/>
    <n v="6"/>
    <n v="2808.3"/>
    <n v="0"/>
    <n v="0"/>
    <n v="2808.3"/>
    <s v="Wallet"/>
    <s v="CUST_00646"/>
    <n v="5"/>
    <n v="0"/>
    <n v="468.05"/>
    <s v="No Discount"/>
  </r>
  <r>
    <s v="TXN_02336"/>
    <d v="2024-12-18T00:00:00"/>
    <x v="6"/>
    <s v="Wednesday"/>
    <s v="STORE_047"/>
    <x v="2"/>
    <x v="2"/>
    <x v="2"/>
    <n v="609.54999999999995"/>
    <n v="1"/>
    <n v="609.54999999999995"/>
    <n v="15"/>
    <n v="91.43"/>
    <n v="518.12"/>
    <s v="UPI"/>
    <s v="CUST_00136"/>
    <n v="3"/>
    <n v="91.42999999999995"/>
    <n v="518.12"/>
    <s v="Medium"/>
  </r>
  <r>
    <s v="TXN_02337"/>
    <d v="2024-01-31T00:00:00"/>
    <x v="2"/>
    <s v="Wednesday"/>
    <s v="STORE_011"/>
    <x v="3"/>
    <x v="1"/>
    <x v="6"/>
    <n v="58.33"/>
    <n v="7"/>
    <n v="408.31"/>
    <n v="5"/>
    <n v="20.420000000000002"/>
    <n v="387.89"/>
    <s v="Cash"/>
    <s v="CUST_00465"/>
    <n v="5"/>
    <n v="20.420000000000016"/>
    <n v="55.412857142857142"/>
    <s v="Low"/>
  </r>
  <r>
    <s v="TXN_02338"/>
    <d v="2024-03-21T00:00:00"/>
    <x v="5"/>
    <s v="Thursday"/>
    <s v="STORE_001"/>
    <x v="2"/>
    <x v="0"/>
    <x v="0"/>
    <n v="497"/>
    <n v="1"/>
    <n v="497"/>
    <n v="20"/>
    <n v="99.4"/>
    <n v="397.6"/>
    <s v="UPI"/>
    <s v="CUST_00251"/>
    <n v="2"/>
    <n v="99.399999999999977"/>
    <n v="397.6"/>
    <s v="High"/>
  </r>
  <r>
    <s v="TXN_02339"/>
    <d v="2024-08-13T00:00:00"/>
    <x v="8"/>
    <s v="Tuesday"/>
    <s v="STORE_027"/>
    <x v="2"/>
    <x v="0"/>
    <x v="0"/>
    <n v="843.88"/>
    <n v="6"/>
    <n v="5063.28"/>
    <n v="15"/>
    <n v="759.49"/>
    <n v="4303.79"/>
    <s v="UPI"/>
    <s v="CUST_00290"/>
    <n v="3"/>
    <n v="759.48999999999978"/>
    <n v="717.29833333333329"/>
    <s v="Medium"/>
  </r>
  <r>
    <s v="TXN_02340"/>
    <d v="2024-07-31T00:00:00"/>
    <x v="11"/>
    <s v="Wednesday"/>
    <s v="STORE_007"/>
    <x v="4"/>
    <x v="1"/>
    <x v="6"/>
    <n v="191.78"/>
    <n v="8"/>
    <n v="1534.24"/>
    <n v="15"/>
    <n v="230.14"/>
    <n v="1304.0999999999999"/>
    <s v="Wallet"/>
    <s v="CUST_00948"/>
    <n v="2"/>
    <n v="230.1400000000001"/>
    <n v="163.01249999999999"/>
    <s v="Medium"/>
  </r>
  <r>
    <s v="TXN_02341"/>
    <d v="2024-09-04T00:00:00"/>
    <x v="9"/>
    <s v="Wednesday"/>
    <s v="STORE_035"/>
    <x v="1"/>
    <x v="3"/>
    <x v="16"/>
    <n v="2157.15"/>
    <n v="10"/>
    <n v="21571.5"/>
    <n v="15"/>
    <n v="3235.72"/>
    <n v="18335.78"/>
    <s v="UPI"/>
    <s v="CUST_00863"/>
    <n v="5"/>
    <n v="3235.7200000000012"/>
    <n v="1833.578"/>
    <s v="Medium"/>
  </r>
  <r>
    <s v="TXN_02342"/>
    <d v="2024-08-25T00:00:00"/>
    <x v="8"/>
    <s v="Sunday"/>
    <s v="STORE_048"/>
    <x v="4"/>
    <x v="7"/>
    <x v="24"/>
    <n v="1018.49"/>
    <n v="9"/>
    <n v="9166.41"/>
    <n v="5"/>
    <n v="458.32"/>
    <n v="8708.09"/>
    <s v="Credit Card"/>
    <s v="CUST_00911"/>
    <n v="5"/>
    <n v="458.31999999999971"/>
    <n v="967.56555555555553"/>
    <s v="Low"/>
  </r>
  <r>
    <s v="TXN_02343"/>
    <d v="2024-04-14T00:00:00"/>
    <x v="4"/>
    <s v="Sunday"/>
    <s v="STORE_027"/>
    <x v="3"/>
    <x v="4"/>
    <x v="35"/>
    <n v="156.38999999999999"/>
    <n v="5"/>
    <n v="781.95"/>
    <n v="10"/>
    <n v="78.2"/>
    <n v="703.75"/>
    <s v="Debit Card"/>
    <s v="CUST_00304"/>
    <n v="2"/>
    <n v="78.200000000000045"/>
    <n v="140.75"/>
    <s v="Medium"/>
  </r>
  <r>
    <s v="TXN_02344"/>
    <d v="2024-06-23T00:00:00"/>
    <x v="10"/>
    <s v="Sunday"/>
    <s v="STORE_007"/>
    <x v="0"/>
    <x v="3"/>
    <x v="12"/>
    <n v="569.01"/>
    <n v="4"/>
    <n v="2276.04"/>
    <n v="10"/>
    <n v="227.6"/>
    <n v="2048.44"/>
    <s v="Cash"/>
    <s v="CUST_00104"/>
    <n v="4"/>
    <n v="227.59999999999991"/>
    <n v="512.11"/>
    <s v="Medium"/>
  </r>
  <r>
    <s v="TXN_02345"/>
    <d v="2024-11-06T00:00:00"/>
    <x v="0"/>
    <s v="Wednesday"/>
    <s v="STORE_022"/>
    <x v="4"/>
    <x v="5"/>
    <x v="10"/>
    <n v="3342.9"/>
    <n v="9"/>
    <n v="30086.1"/>
    <n v="20"/>
    <n v="6017.22"/>
    <n v="24068.880000000001"/>
    <s v="Credit Card"/>
    <s v="CUST_00296"/>
    <n v="1"/>
    <n v="6017.2199999999975"/>
    <n v="2674.32"/>
    <s v="High"/>
  </r>
  <r>
    <s v="TXN_02346"/>
    <d v="2024-03-14T00:00:00"/>
    <x v="5"/>
    <s v="Thursday"/>
    <s v="STORE_044"/>
    <x v="3"/>
    <x v="4"/>
    <x v="20"/>
    <n v="263.17"/>
    <n v="1"/>
    <n v="263.17"/>
    <n v="15"/>
    <n v="39.479999999999997"/>
    <n v="223.69"/>
    <s v="Credit Card"/>
    <s v="CUST_00448"/>
    <n v="2"/>
    <n v="39.480000000000018"/>
    <n v="223.69"/>
    <s v="Medium"/>
  </r>
  <r>
    <s v="TXN_02347"/>
    <d v="2024-06-09T00:00:00"/>
    <x v="10"/>
    <s v="Sunday"/>
    <s v="STORE_020"/>
    <x v="0"/>
    <x v="5"/>
    <x v="11"/>
    <n v="4638.4799999999996"/>
    <n v="10"/>
    <n v="46384.800000000003"/>
    <n v="10"/>
    <n v="4638.4799999999996"/>
    <n v="41746.32"/>
    <s v="Cash"/>
    <s v="CUST_00847"/>
    <n v="4"/>
    <n v="4638.4800000000032"/>
    <n v="4174.6319999999996"/>
    <s v="Medium"/>
  </r>
  <r>
    <s v="TXN_02348"/>
    <d v="2024-06-12T00:00:00"/>
    <x v="10"/>
    <s v="Wednesday"/>
    <s v="STORE_005"/>
    <x v="4"/>
    <x v="5"/>
    <x v="25"/>
    <n v="2590.77"/>
    <n v="8"/>
    <n v="20726.16"/>
    <n v="15"/>
    <n v="3108.92"/>
    <n v="17617.240000000002"/>
    <s v="Wallet"/>
    <s v="CUST_00793"/>
    <n v="4"/>
    <n v="3108.9199999999983"/>
    <n v="2202.1550000000002"/>
    <s v="Medium"/>
  </r>
  <r>
    <s v="TXN_02349"/>
    <d v="2024-06-25T00:00:00"/>
    <x v="10"/>
    <s v="Tuesday"/>
    <s v="STORE_004"/>
    <x v="1"/>
    <x v="5"/>
    <x v="11"/>
    <n v="1820.12"/>
    <n v="9"/>
    <n v="16381.08"/>
    <n v="15"/>
    <n v="2457.16"/>
    <n v="13923.92"/>
    <s v="Wallet"/>
    <s v="CUST_00674"/>
    <n v="4"/>
    <n v="2457.16"/>
    <n v="1547.1022222222223"/>
    <s v="Medium"/>
  </r>
  <r>
    <s v="TXN_02350"/>
    <d v="2024-07-23T00:00:00"/>
    <x v="11"/>
    <s v="Tuesday"/>
    <s v="STORE_045"/>
    <x v="1"/>
    <x v="2"/>
    <x v="2"/>
    <n v="371.55"/>
    <n v="1"/>
    <n v="371.55"/>
    <n v="5"/>
    <n v="18.579999999999998"/>
    <n v="352.97"/>
    <s v="Credit Card"/>
    <s v="CUST_00590"/>
    <n v="2"/>
    <n v="18.579999999999984"/>
    <n v="352.97"/>
    <s v="Low"/>
  </r>
  <r>
    <s v="TXN_02351"/>
    <d v="2024-03-07T00:00:00"/>
    <x v="5"/>
    <s v="Thursday"/>
    <s v="STORE_026"/>
    <x v="2"/>
    <x v="4"/>
    <x v="19"/>
    <n v="287.68"/>
    <n v="10"/>
    <n v="2876.8"/>
    <n v="10"/>
    <n v="287.68"/>
    <n v="2589.12"/>
    <s v="Wallet"/>
    <s v="CUST_00772"/>
    <n v="3"/>
    <n v="287.68000000000029"/>
    <n v="258.91199999999998"/>
    <s v="Medium"/>
  </r>
  <r>
    <s v="TXN_02352"/>
    <d v="2024-07-08T00:00:00"/>
    <x v="11"/>
    <s v="Monday"/>
    <s v="STORE_050"/>
    <x v="3"/>
    <x v="4"/>
    <x v="17"/>
    <n v="342.77"/>
    <n v="8"/>
    <n v="2742.16"/>
    <n v="10"/>
    <n v="274.22000000000003"/>
    <n v="2467.94"/>
    <s v="Cash"/>
    <s v="CUST_00198"/>
    <n v="5"/>
    <n v="274.2199999999998"/>
    <n v="308.49250000000001"/>
    <s v="Medium"/>
  </r>
  <r>
    <s v="TXN_02353"/>
    <d v="2024-09-20T00:00:00"/>
    <x v="9"/>
    <s v="Friday"/>
    <s v="STORE_008"/>
    <x v="2"/>
    <x v="3"/>
    <x v="21"/>
    <n v="2597.6799999999998"/>
    <n v="8"/>
    <n v="20781.439999999999"/>
    <n v="0"/>
    <n v="0"/>
    <n v="20781.439999999999"/>
    <s v="Debit Card"/>
    <s v="CUST_00860"/>
    <n v="4"/>
    <n v="0"/>
    <n v="2597.6799999999998"/>
    <s v="No Discount"/>
  </r>
  <r>
    <s v="TXN_02354"/>
    <d v="2024-10-14T00:00:00"/>
    <x v="7"/>
    <s v="Monday"/>
    <s v="STORE_009"/>
    <x v="2"/>
    <x v="6"/>
    <x v="26"/>
    <n v="1820.09"/>
    <n v="7"/>
    <n v="12740.63"/>
    <n v="0"/>
    <n v="0"/>
    <n v="12740.63"/>
    <s v="UPI"/>
    <s v="CUST_00102"/>
    <n v="4"/>
    <n v="0"/>
    <n v="1820.09"/>
    <s v="No Discount"/>
  </r>
  <r>
    <s v="TXN_02355"/>
    <d v="2024-02-24T00:00:00"/>
    <x v="1"/>
    <s v="Saturday"/>
    <s v="STORE_027"/>
    <x v="1"/>
    <x v="0"/>
    <x v="32"/>
    <n v="485.06"/>
    <n v="6"/>
    <n v="2910.36"/>
    <n v="15"/>
    <n v="436.55"/>
    <n v="2473.81"/>
    <s v="UPI"/>
    <s v="CUST_00339"/>
    <n v="5"/>
    <n v="436.55000000000018"/>
    <n v="412.30166666666668"/>
    <s v="Medium"/>
  </r>
  <r>
    <s v="TXN_02356"/>
    <d v="2024-06-12T00:00:00"/>
    <x v="10"/>
    <s v="Wednesday"/>
    <s v="STORE_023"/>
    <x v="2"/>
    <x v="1"/>
    <x v="3"/>
    <n v="476.16"/>
    <n v="6"/>
    <n v="2856.96"/>
    <n v="0"/>
    <n v="0"/>
    <n v="2856.96"/>
    <s v="Cash"/>
    <s v="CUST_00990"/>
    <n v="4"/>
    <n v="0"/>
    <n v="476.16"/>
    <s v="No Discount"/>
  </r>
  <r>
    <s v="TXN_02357"/>
    <d v="2024-05-03T00:00:00"/>
    <x v="3"/>
    <s v="Friday"/>
    <s v="STORE_025"/>
    <x v="4"/>
    <x v="5"/>
    <x v="25"/>
    <n v="2881.04"/>
    <n v="5"/>
    <n v="14405.2"/>
    <n v="0"/>
    <n v="0"/>
    <n v="14405.2"/>
    <s v="Credit Card"/>
    <s v="CUST_00458"/>
    <n v="1"/>
    <n v="0"/>
    <n v="2881.04"/>
    <s v="No Discount"/>
  </r>
  <r>
    <s v="TXN_02358"/>
    <d v="2024-08-26T00:00:00"/>
    <x v="8"/>
    <s v="Monday"/>
    <s v="STORE_019"/>
    <x v="2"/>
    <x v="4"/>
    <x v="17"/>
    <n v="504.1"/>
    <n v="7"/>
    <n v="3528.7"/>
    <n v="20"/>
    <n v="705.74"/>
    <n v="2822.96"/>
    <s v="Wallet"/>
    <s v="CUST_00366"/>
    <n v="2"/>
    <n v="705.73999999999978"/>
    <n v="403.28000000000003"/>
    <s v="High"/>
  </r>
  <r>
    <s v="TXN_02359"/>
    <d v="2024-03-03T00:00:00"/>
    <x v="5"/>
    <s v="Sunday"/>
    <s v="STORE_012"/>
    <x v="1"/>
    <x v="7"/>
    <x v="37"/>
    <n v="759.14"/>
    <n v="5"/>
    <n v="3795.7"/>
    <n v="0"/>
    <n v="0"/>
    <n v="3795.7"/>
    <s v="Credit Card"/>
    <s v="CUST_00883"/>
    <n v="2"/>
    <n v="0"/>
    <n v="759.14"/>
    <s v="No Discount"/>
  </r>
  <r>
    <s v="TXN_02360"/>
    <d v="2024-05-16T00:00:00"/>
    <x v="3"/>
    <s v="Thursday"/>
    <s v="STORE_019"/>
    <x v="2"/>
    <x v="2"/>
    <x v="39"/>
    <n v="148.1"/>
    <n v="9"/>
    <n v="1332.9"/>
    <n v="10"/>
    <n v="133.29"/>
    <n v="1199.6099999999999"/>
    <s v="Wallet"/>
    <s v="CUST_00148"/>
    <n v="4"/>
    <n v="133.29000000000019"/>
    <n v="133.29"/>
    <s v="Medium"/>
  </r>
  <r>
    <s v="TXN_02361"/>
    <d v="2024-08-18T00:00:00"/>
    <x v="8"/>
    <s v="Sunday"/>
    <s v="STORE_050"/>
    <x v="0"/>
    <x v="3"/>
    <x v="12"/>
    <n v="1681.99"/>
    <n v="9"/>
    <n v="15137.91"/>
    <n v="5"/>
    <n v="756.9"/>
    <n v="14381.01"/>
    <s v="Credit Card"/>
    <s v="CUST_00857"/>
    <n v="5"/>
    <n v="756.89999999999964"/>
    <n v="1597.89"/>
    <s v="Low"/>
  </r>
  <r>
    <s v="TXN_02362"/>
    <d v="2024-05-06T00:00:00"/>
    <x v="3"/>
    <s v="Monday"/>
    <s v="STORE_027"/>
    <x v="0"/>
    <x v="4"/>
    <x v="19"/>
    <n v="540.27"/>
    <n v="2"/>
    <n v="1080.54"/>
    <n v="5"/>
    <n v="54.03"/>
    <n v="1026.51"/>
    <s v="Credit Card"/>
    <s v="CUST_00047"/>
    <n v="2"/>
    <n v="54.029999999999973"/>
    <n v="513.255"/>
    <s v="Low"/>
  </r>
  <r>
    <s v="TXN_02363"/>
    <d v="2024-03-13T00:00:00"/>
    <x v="5"/>
    <s v="Wednesday"/>
    <s v="STORE_012"/>
    <x v="2"/>
    <x v="2"/>
    <x v="39"/>
    <n v="207.72"/>
    <n v="4"/>
    <n v="830.88"/>
    <n v="10"/>
    <n v="83.09"/>
    <n v="747.79"/>
    <s v="UPI"/>
    <s v="CUST_00817"/>
    <n v="1"/>
    <n v="83.090000000000032"/>
    <n v="186.94749999999999"/>
    <s v="Medium"/>
  </r>
  <r>
    <s v="TXN_02364"/>
    <d v="2024-02-19T00:00:00"/>
    <x v="1"/>
    <s v="Monday"/>
    <s v="STORE_050"/>
    <x v="1"/>
    <x v="4"/>
    <x v="8"/>
    <n v="393.25"/>
    <n v="9"/>
    <n v="3539.25"/>
    <n v="0"/>
    <n v="0"/>
    <n v="3539.25"/>
    <s v="Credit Card"/>
    <s v="CUST_00765"/>
    <n v="5"/>
    <n v="0"/>
    <n v="393.25"/>
    <s v="No Discount"/>
  </r>
  <r>
    <s v="TXN_02365"/>
    <d v="2024-01-26T00:00:00"/>
    <x v="2"/>
    <s v="Friday"/>
    <s v="STORE_041"/>
    <x v="2"/>
    <x v="7"/>
    <x v="38"/>
    <n v="622.94000000000005"/>
    <n v="10"/>
    <n v="6229.4"/>
    <n v="0"/>
    <n v="0"/>
    <n v="6229.4"/>
    <s v="Wallet"/>
    <s v="CUST_00844"/>
    <n v="4"/>
    <n v="0"/>
    <n v="622.93999999999994"/>
    <s v="No Discount"/>
  </r>
  <r>
    <s v="TXN_02366"/>
    <d v="2024-05-28T00:00:00"/>
    <x v="3"/>
    <s v="Tuesday"/>
    <s v="STORE_022"/>
    <x v="0"/>
    <x v="1"/>
    <x v="3"/>
    <n v="268.16000000000003"/>
    <n v="10"/>
    <n v="2681.6"/>
    <n v="5"/>
    <n v="134.08000000000001"/>
    <n v="2547.52"/>
    <s v="Debit Card"/>
    <s v="CUST_00569"/>
    <n v="3"/>
    <n v="134.07999999999993"/>
    <n v="254.75200000000001"/>
    <s v="Low"/>
  </r>
  <r>
    <s v="TXN_02367"/>
    <d v="2024-07-15T00:00:00"/>
    <x v="11"/>
    <s v="Monday"/>
    <s v="STORE_001"/>
    <x v="1"/>
    <x v="2"/>
    <x v="2"/>
    <n v="246.82"/>
    <n v="7"/>
    <n v="1727.74"/>
    <n v="10"/>
    <n v="172.77"/>
    <n v="1554.97"/>
    <s v="Cash"/>
    <s v="CUST_00326"/>
    <n v="5"/>
    <n v="172.76999999999998"/>
    <n v="222.13857142857142"/>
    <s v="Medium"/>
  </r>
  <r>
    <s v="TXN_02368"/>
    <d v="2024-11-11T00:00:00"/>
    <x v="0"/>
    <s v="Monday"/>
    <s v="STORE_033"/>
    <x v="2"/>
    <x v="6"/>
    <x v="33"/>
    <n v="806.97"/>
    <n v="7"/>
    <n v="5648.79"/>
    <n v="20"/>
    <n v="1129.76"/>
    <n v="4519.03"/>
    <s v="UPI"/>
    <s v="CUST_00587"/>
    <n v="3"/>
    <n v="1129.7600000000002"/>
    <n v="645.5757142857143"/>
    <s v="High"/>
  </r>
  <r>
    <s v="TXN_02369"/>
    <d v="2024-08-02T00:00:00"/>
    <x v="8"/>
    <s v="Friday"/>
    <s v="STORE_022"/>
    <x v="4"/>
    <x v="4"/>
    <x v="19"/>
    <n v="438.1"/>
    <n v="4"/>
    <n v="1752.4"/>
    <n v="10"/>
    <n v="175.24"/>
    <n v="1577.16"/>
    <s v="Cash"/>
    <s v="CUST_00849"/>
    <n v="1"/>
    <n v="175.24"/>
    <n v="394.29"/>
    <s v="Medium"/>
  </r>
  <r>
    <s v="TXN_02370"/>
    <d v="2024-05-07T00:00:00"/>
    <x v="3"/>
    <s v="Tuesday"/>
    <s v="STORE_017"/>
    <x v="1"/>
    <x v="6"/>
    <x v="14"/>
    <n v="1486.79"/>
    <n v="7"/>
    <n v="10407.530000000001"/>
    <n v="0"/>
    <n v="0"/>
    <n v="10407.530000000001"/>
    <s v="Debit Card"/>
    <s v="CUST_00151"/>
    <n v="5"/>
    <n v="0"/>
    <n v="1486.7900000000002"/>
    <s v="No Discount"/>
  </r>
  <r>
    <s v="TXN_02371"/>
    <d v="2024-03-22T00:00:00"/>
    <x v="5"/>
    <s v="Friday"/>
    <s v="STORE_022"/>
    <x v="4"/>
    <x v="6"/>
    <x v="14"/>
    <n v="1954.17"/>
    <n v="6"/>
    <n v="11725.02"/>
    <n v="10"/>
    <n v="1172.5"/>
    <n v="10552.52"/>
    <s v="Wallet"/>
    <s v="CUST_00288"/>
    <n v="2"/>
    <n v="1172.5"/>
    <n v="1758.7533333333333"/>
    <s v="Medium"/>
  </r>
  <r>
    <s v="TXN_02372"/>
    <d v="2024-06-16T00:00:00"/>
    <x v="10"/>
    <s v="Sunday"/>
    <s v="STORE_007"/>
    <x v="4"/>
    <x v="6"/>
    <x v="33"/>
    <n v="786.81"/>
    <n v="5"/>
    <n v="3934.05"/>
    <n v="0"/>
    <n v="0"/>
    <n v="3934.05"/>
    <s v="Credit Card"/>
    <s v="CUST_00762"/>
    <n v="2"/>
    <n v="0"/>
    <n v="786.81000000000006"/>
    <s v="No Discount"/>
  </r>
  <r>
    <s v="TXN_02373"/>
    <d v="2024-10-22T00:00:00"/>
    <x v="7"/>
    <s v="Tuesday"/>
    <s v="STORE_040"/>
    <x v="1"/>
    <x v="1"/>
    <x v="1"/>
    <n v="262.02"/>
    <n v="9"/>
    <n v="2358.1799999999998"/>
    <n v="5"/>
    <n v="117.91"/>
    <n v="2240.27"/>
    <s v="UPI"/>
    <s v="CUST_00979"/>
    <n v="3"/>
    <n v="117.90999999999985"/>
    <n v="248.91888888888889"/>
    <s v="Low"/>
  </r>
  <r>
    <s v="TXN_02374"/>
    <d v="2024-06-09T00:00:00"/>
    <x v="10"/>
    <s v="Sunday"/>
    <s v="STORE_047"/>
    <x v="0"/>
    <x v="7"/>
    <x v="24"/>
    <n v="380.03"/>
    <n v="7"/>
    <n v="2660.21"/>
    <n v="15"/>
    <n v="399.03"/>
    <n v="2261.1799999999998"/>
    <s v="Cash"/>
    <s v="CUST_00207"/>
    <n v="5"/>
    <n v="399.0300000000002"/>
    <n v="323.02571428571429"/>
    <s v="Medium"/>
  </r>
  <r>
    <s v="TXN_02375"/>
    <d v="2024-04-07T00:00:00"/>
    <x v="4"/>
    <s v="Sunday"/>
    <s v="STORE_042"/>
    <x v="4"/>
    <x v="6"/>
    <x v="26"/>
    <n v="1282.97"/>
    <n v="3"/>
    <n v="3848.91"/>
    <n v="20"/>
    <n v="769.78"/>
    <n v="3079.13"/>
    <s v="Wallet"/>
    <s v="CUST_00895"/>
    <n v="3"/>
    <n v="769.77999999999975"/>
    <n v="1026.3766666666668"/>
    <s v="High"/>
  </r>
  <r>
    <s v="TXN_02376"/>
    <d v="2024-03-22T00:00:00"/>
    <x v="5"/>
    <s v="Friday"/>
    <s v="STORE_011"/>
    <x v="0"/>
    <x v="0"/>
    <x v="27"/>
    <n v="844.78"/>
    <n v="5"/>
    <n v="4223.8999999999996"/>
    <n v="0"/>
    <n v="0"/>
    <n v="4223.8999999999996"/>
    <s v="Wallet"/>
    <s v="CUST_00663"/>
    <n v="4"/>
    <n v="0"/>
    <n v="844.78"/>
    <s v="No Discount"/>
  </r>
  <r>
    <s v="TXN_02377"/>
    <d v="2024-09-12T00:00:00"/>
    <x v="9"/>
    <s v="Thursday"/>
    <s v="STORE_025"/>
    <x v="4"/>
    <x v="3"/>
    <x v="12"/>
    <n v="2919.01"/>
    <n v="7"/>
    <n v="20433.07"/>
    <n v="0"/>
    <n v="0"/>
    <n v="20433.07"/>
    <s v="Cash"/>
    <s v="CUST_00775"/>
    <n v="5"/>
    <n v="0"/>
    <n v="2919.0099999999998"/>
    <s v="No Discount"/>
  </r>
  <r>
    <s v="TXN_02378"/>
    <d v="2024-09-20T00:00:00"/>
    <x v="9"/>
    <s v="Friday"/>
    <s v="STORE_007"/>
    <x v="3"/>
    <x v="2"/>
    <x v="29"/>
    <n v="421.47"/>
    <n v="8"/>
    <n v="3371.76"/>
    <n v="0"/>
    <n v="0"/>
    <n v="3371.76"/>
    <s v="Wallet"/>
    <s v="CUST_00198"/>
    <n v="2"/>
    <n v="0"/>
    <n v="421.47"/>
    <s v="No Discount"/>
  </r>
  <r>
    <s v="TXN_02379"/>
    <d v="2024-08-27T00:00:00"/>
    <x v="8"/>
    <s v="Tuesday"/>
    <s v="STORE_006"/>
    <x v="4"/>
    <x v="6"/>
    <x v="33"/>
    <n v="1104.28"/>
    <n v="10"/>
    <n v="11042.8"/>
    <n v="0"/>
    <n v="0"/>
    <n v="11042.8"/>
    <s v="Credit Card"/>
    <s v="CUST_00946"/>
    <n v="3"/>
    <n v="0"/>
    <n v="1104.28"/>
    <s v="No Discount"/>
  </r>
  <r>
    <s v="TXN_02380"/>
    <d v="2024-09-12T00:00:00"/>
    <x v="9"/>
    <s v="Thursday"/>
    <s v="STORE_024"/>
    <x v="1"/>
    <x v="7"/>
    <x v="37"/>
    <n v="949.06"/>
    <n v="3"/>
    <n v="2847.18"/>
    <n v="0"/>
    <n v="0"/>
    <n v="2847.18"/>
    <s v="Debit Card"/>
    <s v="CUST_00577"/>
    <n v="4"/>
    <n v="0"/>
    <n v="949.06"/>
    <s v="No Discount"/>
  </r>
  <r>
    <s v="TXN_02381"/>
    <d v="2024-06-06T00:00:00"/>
    <x v="10"/>
    <s v="Thursday"/>
    <s v="STORE_010"/>
    <x v="0"/>
    <x v="2"/>
    <x v="13"/>
    <n v="536"/>
    <n v="10"/>
    <n v="5360"/>
    <n v="20"/>
    <n v="1072"/>
    <n v="4288"/>
    <s v="Credit Card"/>
    <s v="CUST_00137"/>
    <n v="4"/>
    <n v="1072"/>
    <n v="428.8"/>
    <s v="High"/>
  </r>
  <r>
    <s v="TXN_02382"/>
    <d v="2024-09-11T00:00:00"/>
    <x v="9"/>
    <s v="Wednesday"/>
    <s v="STORE_033"/>
    <x v="4"/>
    <x v="1"/>
    <x v="31"/>
    <n v="149.03"/>
    <n v="8"/>
    <n v="1192.24"/>
    <n v="0"/>
    <n v="0"/>
    <n v="1192.24"/>
    <s v="UPI"/>
    <s v="CUST_00028"/>
    <n v="5"/>
    <n v="0"/>
    <n v="149.03"/>
    <s v="No Discount"/>
  </r>
  <r>
    <s v="TXN_02383"/>
    <d v="2024-01-12T00:00:00"/>
    <x v="2"/>
    <s v="Friday"/>
    <s v="STORE_021"/>
    <x v="1"/>
    <x v="5"/>
    <x v="11"/>
    <n v="1912"/>
    <n v="10"/>
    <n v="19120"/>
    <n v="0"/>
    <n v="0"/>
    <n v="19120"/>
    <s v="Credit Card"/>
    <s v="CUST_00894"/>
    <n v="4"/>
    <n v="0"/>
    <n v="1912"/>
    <s v="No Discount"/>
  </r>
  <r>
    <s v="TXN_02384"/>
    <d v="2024-02-16T00:00:00"/>
    <x v="1"/>
    <s v="Friday"/>
    <s v="STORE_038"/>
    <x v="1"/>
    <x v="1"/>
    <x v="36"/>
    <n v="351.99"/>
    <n v="9"/>
    <n v="3167.91"/>
    <n v="0"/>
    <n v="0"/>
    <n v="3167.91"/>
    <s v="UPI"/>
    <s v="CUST_00721"/>
    <n v="4"/>
    <n v="0"/>
    <n v="351.99"/>
    <s v="No Discount"/>
  </r>
  <r>
    <s v="TXN_02385"/>
    <d v="2024-07-20T00:00:00"/>
    <x v="11"/>
    <s v="Saturday"/>
    <s v="STORE_021"/>
    <x v="0"/>
    <x v="2"/>
    <x v="2"/>
    <n v="538.98"/>
    <n v="8"/>
    <n v="4311.84"/>
    <n v="5"/>
    <n v="215.59"/>
    <n v="4096.25"/>
    <s v="UPI"/>
    <s v="CUST_00608"/>
    <n v="3"/>
    <n v="215.59000000000015"/>
    <n v="512.03125"/>
    <s v="Low"/>
  </r>
  <r>
    <s v="TXN_02386"/>
    <d v="2024-09-15T00:00:00"/>
    <x v="9"/>
    <s v="Sunday"/>
    <s v="STORE_030"/>
    <x v="4"/>
    <x v="7"/>
    <x v="23"/>
    <n v="948.94"/>
    <n v="1"/>
    <n v="948.94"/>
    <n v="20"/>
    <n v="189.79"/>
    <n v="759.15"/>
    <s v="UPI"/>
    <s v="CUST_00068"/>
    <n v="2"/>
    <n v="189.79000000000008"/>
    <n v="759.15"/>
    <s v="High"/>
  </r>
  <r>
    <s v="TXN_02387"/>
    <d v="2024-08-22T00:00:00"/>
    <x v="8"/>
    <s v="Thursday"/>
    <s v="STORE_038"/>
    <x v="1"/>
    <x v="4"/>
    <x v="17"/>
    <n v="179.16"/>
    <n v="8"/>
    <n v="1433.28"/>
    <n v="10"/>
    <n v="143.33000000000001"/>
    <n v="1289.95"/>
    <s v="Credit Card"/>
    <s v="CUST_00379"/>
    <n v="5"/>
    <n v="143.32999999999993"/>
    <n v="161.24375000000001"/>
    <s v="Medium"/>
  </r>
  <r>
    <s v="TXN_02388"/>
    <d v="2024-05-03T00:00:00"/>
    <x v="3"/>
    <s v="Friday"/>
    <s v="STORE_036"/>
    <x v="4"/>
    <x v="0"/>
    <x v="0"/>
    <n v="523.99"/>
    <n v="9"/>
    <n v="4715.91"/>
    <n v="0"/>
    <n v="0"/>
    <n v="4715.91"/>
    <s v="Wallet"/>
    <s v="CUST_00454"/>
    <n v="3"/>
    <n v="0"/>
    <n v="523.99"/>
    <s v="No Discount"/>
  </r>
  <r>
    <s v="TXN_02389"/>
    <d v="2024-04-20T00:00:00"/>
    <x v="4"/>
    <s v="Saturday"/>
    <s v="STORE_006"/>
    <x v="0"/>
    <x v="0"/>
    <x v="0"/>
    <n v="620.1"/>
    <n v="3"/>
    <n v="1860.3"/>
    <n v="0"/>
    <n v="0"/>
    <n v="1860.3"/>
    <s v="UPI"/>
    <s v="CUST_00244"/>
    <n v="4"/>
    <n v="0"/>
    <n v="620.1"/>
    <s v="No Discount"/>
  </r>
  <r>
    <s v="TXN_02390"/>
    <d v="2024-10-25T00:00:00"/>
    <x v="7"/>
    <s v="Friday"/>
    <s v="STORE_036"/>
    <x v="4"/>
    <x v="0"/>
    <x v="18"/>
    <n v="344.33"/>
    <n v="10"/>
    <n v="3443.3"/>
    <n v="0"/>
    <n v="0"/>
    <n v="3443.3"/>
    <s v="Cash"/>
    <s v="CUST_00103"/>
    <n v="1"/>
    <n v="0"/>
    <n v="344.33000000000004"/>
    <s v="No Discount"/>
  </r>
  <r>
    <s v="TXN_02391"/>
    <d v="2024-06-29T00:00:00"/>
    <x v="10"/>
    <s v="Saturday"/>
    <s v="STORE_033"/>
    <x v="0"/>
    <x v="5"/>
    <x v="10"/>
    <n v="3588.16"/>
    <n v="9"/>
    <n v="32293.439999999999"/>
    <n v="10"/>
    <n v="3229.34"/>
    <n v="29064.1"/>
    <s v="UPI"/>
    <s v="CUST_00836"/>
    <n v="1"/>
    <n v="3229.34"/>
    <n v="3229.3444444444444"/>
    <s v="Medium"/>
  </r>
  <r>
    <s v="TXN_02392"/>
    <d v="2024-01-25T00:00:00"/>
    <x v="2"/>
    <s v="Thursday"/>
    <s v="STORE_008"/>
    <x v="2"/>
    <x v="6"/>
    <x v="33"/>
    <n v="510.56"/>
    <n v="7"/>
    <n v="3573.92"/>
    <n v="5"/>
    <n v="178.7"/>
    <n v="3395.22"/>
    <s v="Wallet"/>
    <s v="CUST_00466"/>
    <n v="1"/>
    <n v="178.70000000000027"/>
    <n v="485.03142857142853"/>
    <s v="Low"/>
  </r>
  <r>
    <s v="TXN_02393"/>
    <d v="2024-01-26T00:00:00"/>
    <x v="2"/>
    <s v="Friday"/>
    <s v="STORE_025"/>
    <x v="4"/>
    <x v="5"/>
    <x v="11"/>
    <n v="2924.19"/>
    <n v="3"/>
    <n v="8772.57"/>
    <n v="10"/>
    <n v="877.26"/>
    <n v="7895.31"/>
    <s v="Wallet"/>
    <s v="CUST_00622"/>
    <n v="2"/>
    <n v="877.25999999999931"/>
    <n v="2631.77"/>
    <s v="Medium"/>
  </r>
  <r>
    <s v="TXN_02394"/>
    <d v="2024-05-24T00:00:00"/>
    <x v="3"/>
    <s v="Friday"/>
    <s v="STORE_039"/>
    <x v="3"/>
    <x v="3"/>
    <x v="12"/>
    <n v="969.72"/>
    <n v="9"/>
    <n v="8727.48"/>
    <n v="15"/>
    <n v="1309.1199999999999"/>
    <n v="7418.36"/>
    <s v="UPI"/>
    <s v="CUST_00944"/>
    <n v="3"/>
    <n v="1309.1199999999999"/>
    <n v="824.26222222222214"/>
    <s v="Medium"/>
  </r>
  <r>
    <s v="TXN_02395"/>
    <d v="2024-09-10T00:00:00"/>
    <x v="9"/>
    <s v="Tuesday"/>
    <s v="STORE_030"/>
    <x v="4"/>
    <x v="6"/>
    <x v="14"/>
    <n v="1570.77"/>
    <n v="1"/>
    <n v="1570.77"/>
    <n v="5"/>
    <n v="78.540000000000006"/>
    <n v="1492.23"/>
    <s v="UPI"/>
    <s v="CUST_00629"/>
    <n v="3"/>
    <n v="78.539999999999964"/>
    <n v="1492.23"/>
    <s v="Low"/>
  </r>
  <r>
    <s v="TXN_02396"/>
    <d v="2024-11-01T00:00:00"/>
    <x v="0"/>
    <s v="Friday"/>
    <s v="STORE_045"/>
    <x v="3"/>
    <x v="0"/>
    <x v="27"/>
    <n v="826.35"/>
    <n v="4"/>
    <n v="3305.4"/>
    <n v="0"/>
    <n v="0"/>
    <n v="3305.4"/>
    <s v="Cash"/>
    <s v="CUST_00014"/>
    <n v="3"/>
    <n v="0"/>
    <n v="826.35"/>
    <s v="No Discount"/>
  </r>
  <r>
    <s v="TXN_02397"/>
    <d v="2024-11-30T00:00:00"/>
    <x v="0"/>
    <s v="Saturday"/>
    <s v="STORE_007"/>
    <x v="1"/>
    <x v="1"/>
    <x v="1"/>
    <n v="156.26"/>
    <n v="2"/>
    <n v="312.52"/>
    <n v="20"/>
    <n v="62.5"/>
    <n v="250.02"/>
    <s v="Debit Card"/>
    <s v="CUST_00338"/>
    <n v="2"/>
    <n v="62.499999999999972"/>
    <n v="125.01"/>
    <s v="High"/>
  </r>
  <r>
    <s v="TXN_02398"/>
    <d v="2024-12-10T00:00:00"/>
    <x v="6"/>
    <s v="Tuesday"/>
    <s v="STORE_009"/>
    <x v="2"/>
    <x v="4"/>
    <x v="8"/>
    <n v="456.61"/>
    <n v="6"/>
    <n v="2739.66"/>
    <n v="5"/>
    <n v="136.97999999999999"/>
    <n v="2602.6799999999998"/>
    <s v="Credit Card"/>
    <s v="CUST_00538"/>
    <n v="3"/>
    <n v="136.98000000000002"/>
    <n v="433.78"/>
    <s v="Low"/>
  </r>
  <r>
    <s v="TXN_02399"/>
    <d v="2024-08-28T00:00:00"/>
    <x v="8"/>
    <s v="Wednesday"/>
    <s v="STORE_017"/>
    <x v="2"/>
    <x v="1"/>
    <x v="3"/>
    <n v="321.58"/>
    <n v="4"/>
    <n v="1286.32"/>
    <n v="10"/>
    <n v="128.63"/>
    <n v="1157.69"/>
    <s v="Cash"/>
    <s v="CUST_00319"/>
    <n v="3"/>
    <n v="128.62999999999988"/>
    <n v="289.42250000000001"/>
    <s v="Medium"/>
  </r>
  <r>
    <s v="TXN_02400"/>
    <d v="2024-05-26T00:00:00"/>
    <x v="3"/>
    <s v="Sunday"/>
    <s v="STORE_020"/>
    <x v="3"/>
    <x v="4"/>
    <x v="17"/>
    <n v="391.83"/>
    <n v="2"/>
    <n v="783.66"/>
    <n v="0"/>
    <n v="0"/>
    <n v="783.66"/>
    <s v="Cash"/>
    <s v="CUST_00974"/>
    <n v="1"/>
    <n v="0"/>
    <n v="391.83"/>
    <s v="No Discount"/>
  </r>
  <r>
    <s v="TXN_02401"/>
    <d v="2024-10-01T00:00:00"/>
    <x v="7"/>
    <s v="Tuesday"/>
    <s v="STORE_013"/>
    <x v="3"/>
    <x v="6"/>
    <x v="30"/>
    <n v="1628.81"/>
    <n v="4"/>
    <n v="6515.24"/>
    <n v="15"/>
    <n v="977.29"/>
    <n v="5537.95"/>
    <s v="Cash"/>
    <s v="CUST_00549"/>
    <n v="1"/>
    <n v="977.29"/>
    <n v="1384.4875"/>
    <s v="Medium"/>
  </r>
  <r>
    <s v="TXN_02402"/>
    <d v="2024-01-05T00:00:00"/>
    <x v="2"/>
    <s v="Friday"/>
    <s v="STORE_005"/>
    <x v="2"/>
    <x v="1"/>
    <x v="36"/>
    <n v="195.93"/>
    <n v="7"/>
    <n v="1371.51"/>
    <n v="20"/>
    <n v="274.3"/>
    <n v="1097.21"/>
    <s v="Wallet"/>
    <s v="CUST_00597"/>
    <n v="5"/>
    <n v="274.29999999999995"/>
    <n v="156.74428571428572"/>
    <s v="High"/>
  </r>
  <r>
    <s v="TXN_02403"/>
    <d v="2024-02-25T00:00:00"/>
    <x v="1"/>
    <s v="Sunday"/>
    <s v="STORE_041"/>
    <x v="1"/>
    <x v="1"/>
    <x v="1"/>
    <n v="328.06"/>
    <n v="9"/>
    <n v="2952.54"/>
    <n v="0"/>
    <n v="0"/>
    <n v="2952.54"/>
    <s v="Debit Card"/>
    <s v="CUST_00824"/>
    <n v="2"/>
    <n v="0"/>
    <n v="328.06"/>
    <s v="No Discount"/>
  </r>
  <r>
    <s v="TXN_02404"/>
    <d v="2024-08-08T00:00:00"/>
    <x v="8"/>
    <s v="Thursday"/>
    <s v="STORE_037"/>
    <x v="1"/>
    <x v="2"/>
    <x v="39"/>
    <n v="398.45"/>
    <n v="5"/>
    <n v="1992.25"/>
    <n v="0"/>
    <n v="0"/>
    <n v="1992.25"/>
    <s v="UPI"/>
    <s v="CUST_00026"/>
    <n v="4"/>
    <n v="0"/>
    <n v="398.45"/>
    <s v="No Discount"/>
  </r>
  <r>
    <s v="TXN_02405"/>
    <d v="2024-03-09T00:00:00"/>
    <x v="5"/>
    <s v="Saturday"/>
    <s v="STORE_028"/>
    <x v="0"/>
    <x v="3"/>
    <x v="5"/>
    <n v="2231.7600000000002"/>
    <n v="7"/>
    <n v="15622.32"/>
    <n v="0"/>
    <n v="0"/>
    <n v="15622.32"/>
    <s v="Credit Card"/>
    <s v="CUST_00961"/>
    <n v="1"/>
    <n v="0"/>
    <n v="2231.7599999999998"/>
    <s v="No Discount"/>
  </r>
  <r>
    <s v="TXN_02406"/>
    <d v="2024-05-15T00:00:00"/>
    <x v="3"/>
    <s v="Wednesday"/>
    <s v="STORE_043"/>
    <x v="0"/>
    <x v="5"/>
    <x v="10"/>
    <n v="2277.19"/>
    <n v="4"/>
    <n v="9108.76"/>
    <n v="20"/>
    <n v="1821.75"/>
    <n v="7287.01"/>
    <s v="UPI"/>
    <s v="CUST_00890"/>
    <n v="5"/>
    <n v="1821.75"/>
    <n v="1821.7525000000001"/>
    <s v="High"/>
  </r>
  <r>
    <s v="TXN_02407"/>
    <d v="2024-07-06T00:00:00"/>
    <x v="11"/>
    <s v="Saturday"/>
    <s v="STORE_039"/>
    <x v="0"/>
    <x v="7"/>
    <x v="24"/>
    <n v="998.75"/>
    <n v="8"/>
    <n v="7990"/>
    <n v="0"/>
    <n v="0"/>
    <n v="7990"/>
    <s v="UPI"/>
    <s v="CUST_00679"/>
    <n v="2"/>
    <n v="0"/>
    <n v="998.75"/>
    <s v="No Discount"/>
  </r>
  <r>
    <s v="TXN_02408"/>
    <d v="2024-07-25T00:00:00"/>
    <x v="11"/>
    <s v="Thursday"/>
    <s v="STORE_009"/>
    <x v="4"/>
    <x v="1"/>
    <x v="31"/>
    <n v="97.01"/>
    <n v="7"/>
    <n v="679.07"/>
    <n v="10"/>
    <n v="67.91"/>
    <n v="611.16"/>
    <s v="Debit Card"/>
    <s v="CUST_00850"/>
    <n v="1"/>
    <n v="67.910000000000082"/>
    <n v="87.308571428571426"/>
    <s v="Medium"/>
  </r>
  <r>
    <s v="TXN_02409"/>
    <d v="2024-07-06T00:00:00"/>
    <x v="11"/>
    <s v="Saturday"/>
    <s v="STORE_015"/>
    <x v="0"/>
    <x v="7"/>
    <x v="24"/>
    <n v="971.05"/>
    <n v="5"/>
    <n v="4855.25"/>
    <n v="15"/>
    <n v="728.29"/>
    <n v="4126.96"/>
    <s v="Debit Card"/>
    <s v="CUST_00308"/>
    <n v="2"/>
    <n v="728.29"/>
    <n v="825.39200000000005"/>
    <s v="Medium"/>
  </r>
  <r>
    <s v="TXN_02410"/>
    <d v="2024-01-24T00:00:00"/>
    <x v="2"/>
    <s v="Wednesday"/>
    <s v="STORE_041"/>
    <x v="1"/>
    <x v="7"/>
    <x v="37"/>
    <n v="1325.44"/>
    <n v="6"/>
    <n v="7952.64"/>
    <n v="0"/>
    <n v="0"/>
    <n v="7952.64"/>
    <s v="Wallet"/>
    <s v="CUST_00551"/>
    <n v="3"/>
    <n v="0"/>
    <n v="1325.44"/>
    <s v="No Discount"/>
  </r>
  <r>
    <s v="TXN_02411"/>
    <d v="2024-07-24T00:00:00"/>
    <x v="11"/>
    <s v="Wednesday"/>
    <s v="STORE_020"/>
    <x v="1"/>
    <x v="3"/>
    <x v="16"/>
    <n v="1412.01"/>
    <n v="7"/>
    <n v="9884.07"/>
    <n v="0"/>
    <n v="0"/>
    <n v="9884.07"/>
    <s v="UPI"/>
    <s v="CUST_00814"/>
    <n v="2"/>
    <n v="0"/>
    <n v="1412.01"/>
    <s v="No Discount"/>
  </r>
  <r>
    <s v="TXN_02412"/>
    <d v="2024-01-27T00:00:00"/>
    <x v="2"/>
    <s v="Saturday"/>
    <s v="STORE_048"/>
    <x v="4"/>
    <x v="0"/>
    <x v="4"/>
    <n v="767.22"/>
    <n v="7"/>
    <n v="5370.54"/>
    <n v="0"/>
    <n v="0"/>
    <n v="5370.54"/>
    <s v="Credit Card"/>
    <s v="CUST_00366"/>
    <n v="3"/>
    <n v="0"/>
    <n v="767.22"/>
    <s v="No Discount"/>
  </r>
  <r>
    <s v="TXN_02413"/>
    <d v="2024-10-18T00:00:00"/>
    <x v="7"/>
    <s v="Friday"/>
    <s v="STORE_028"/>
    <x v="2"/>
    <x v="2"/>
    <x v="2"/>
    <n v="745.1"/>
    <n v="8"/>
    <n v="5960.8"/>
    <n v="0"/>
    <n v="0"/>
    <n v="5960.8"/>
    <s v="Wallet"/>
    <s v="CUST_00453"/>
    <n v="1"/>
    <n v="0"/>
    <n v="745.1"/>
    <s v="No Discount"/>
  </r>
  <r>
    <s v="TXN_02414"/>
    <d v="2024-10-14T00:00:00"/>
    <x v="7"/>
    <s v="Monday"/>
    <s v="STORE_043"/>
    <x v="2"/>
    <x v="6"/>
    <x v="15"/>
    <n v="519.69000000000005"/>
    <n v="3"/>
    <n v="1559.07"/>
    <n v="0"/>
    <n v="0"/>
    <n v="1559.07"/>
    <s v="Credit Card"/>
    <s v="CUST_00415"/>
    <n v="5"/>
    <n v="0"/>
    <n v="519.68999999999994"/>
    <s v="No Discount"/>
  </r>
  <r>
    <s v="TXN_02415"/>
    <d v="2024-04-09T00:00:00"/>
    <x v="4"/>
    <s v="Tuesday"/>
    <s v="STORE_043"/>
    <x v="3"/>
    <x v="7"/>
    <x v="24"/>
    <n v="1369.49"/>
    <n v="2"/>
    <n v="2738.98"/>
    <n v="0"/>
    <n v="0"/>
    <n v="2738.98"/>
    <s v="Cash"/>
    <s v="CUST_00396"/>
    <n v="3"/>
    <n v="0"/>
    <n v="1369.49"/>
    <s v="No Discount"/>
  </r>
  <r>
    <s v="TXN_02416"/>
    <d v="2024-07-04T00:00:00"/>
    <x v="11"/>
    <s v="Thursday"/>
    <s v="STORE_019"/>
    <x v="2"/>
    <x v="6"/>
    <x v="26"/>
    <n v="882.72"/>
    <n v="9"/>
    <n v="7944.48"/>
    <n v="0"/>
    <n v="0"/>
    <n v="7944.48"/>
    <s v="UPI"/>
    <s v="CUST_00754"/>
    <n v="4"/>
    <n v="0"/>
    <n v="882.71999999999991"/>
    <s v="No Discount"/>
  </r>
  <r>
    <s v="TXN_02417"/>
    <d v="2024-10-10T00:00:00"/>
    <x v="7"/>
    <s v="Thursday"/>
    <s v="STORE_043"/>
    <x v="0"/>
    <x v="5"/>
    <x v="10"/>
    <n v="4241.46"/>
    <n v="3"/>
    <n v="12724.38"/>
    <n v="10"/>
    <n v="1272.44"/>
    <n v="11451.94"/>
    <s v="UPI"/>
    <s v="CUST_00995"/>
    <n v="3"/>
    <n v="1272.4399999999987"/>
    <n v="3817.3133333333335"/>
    <s v="Medium"/>
  </r>
  <r>
    <s v="TXN_02418"/>
    <d v="2024-05-27T00:00:00"/>
    <x v="3"/>
    <s v="Monday"/>
    <s v="STORE_037"/>
    <x v="4"/>
    <x v="3"/>
    <x v="21"/>
    <n v="2473.34"/>
    <n v="7"/>
    <n v="17313.38"/>
    <n v="20"/>
    <n v="3462.68"/>
    <n v="13850.7"/>
    <s v="Cash"/>
    <s v="CUST_00394"/>
    <n v="1"/>
    <n v="3462.6800000000003"/>
    <n v="1978.6714285714286"/>
    <s v="High"/>
  </r>
  <r>
    <s v="TXN_02419"/>
    <d v="2024-02-07T00:00:00"/>
    <x v="1"/>
    <s v="Wednesday"/>
    <s v="STORE_030"/>
    <x v="2"/>
    <x v="5"/>
    <x v="34"/>
    <n v="3231.32"/>
    <n v="4"/>
    <n v="12925.28"/>
    <n v="5"/>
    <n v="646.26"/>
    <n v="12279.02"/>
    <s v="UPI"/>
    <s v="CUST_00615"/>
    <n v="4"/>
    <n v="646.26000000000022"/>
    <n v="3069.7550000000001"/>
    <s v="Low"/>
  </r>
  <r>
    <s v="TXN_02420"/>
    <d v="2024-07-16T00:00:00"/>
    <x v="11"/>
    <s v="Tuesday"/>
    <s v="STORE_048"/>
    <x v="3"/>
    <x v="0"/>
    <x v="4"/>
    <n v="531.09"/>
    <n v="2"/>
    <n v="1062.18"/>
    <n v="0"/>
    <n v="0"/>
    <n v="1062.18"/>
    <s v="Debit Card"/>
    <s v="CUST_00938"/>
    <n v="3"/>
    <n v="0"/>
    <n v="531.09"/>
    <s v="No Discount"/>
  </r>
  <r>
    <s v="TXN_02421"/>
    <d v="2024-09-15T00:00:00"/>
    <x v="9"/>
    <s v="Sunday"/>
    <s v="STORE_044"/>
    <x v="0"/>
    <x v="3"/>
    <x v="22"/>
    <n v="686.91"/>
    <n v="1"/>
    <n v="686.91"/>
    <n v="0"/>
    <n v="0"/>
    <n v="686.91"/>
    <s v="Debit Card"/>
    <s v="CUST_00276"/>
    <n v="2"/>
    <n v="0"/>
    <n v="686.91"/>
    <s v="No Discount"/>
  </r>
  <r>
    <s v="TXN_02422"/>
    <d v="2024-08-18T00:00:00"/>
    <x v="8"/>
    <s v="Sunday"/>
    <s v="STORE_036"/>
    <x v="0"/>
    <x v="6"/>
    <x v="30"/>
    <n v="1849.47"/>
    <n v="4"/>
    <n v="7397.88"/>
    <n v="15"/>
    <n v="1109.68"/>
    <n v="6288.2"/>
    <s v="UPI"/>
    <s v="CUST_00913"/>
    <n v="4"/>
    <n v="1109.6800000000003"/>
    <n v="1572.05"/>
    <s v="Medium"/>
  </r>
  <r>
    <s v="TXN_02423"/>
    <d v="2024-10-08T00:00:00"/>
    <x v="7"/>
    <s v="Tuesday"/>
    <s v="STORE_040"/>
    <x v="2"/>
    <x v="0"/>
    <x v="4"/>
    <n v="486.47"/>
    <n v="1"/>
    <n v="486.47"/>
    <n v="0"/>
    <n v="0"/>
    <n v="486.47"/>
    <s v="UPI"/>
    <s v="CUST_00336"/>
    <n v="4"/>
    <n v="0"/>
    <n v="486.47"/>
    <s v="No Discount"/>
  </r>
  <r>
    <s v="TXN_02424"/>
    <d v="2024-05-23T00:00:00"/>
    <x v="3"/>
    <s v="Thursday"/>
    <s v="STORE_002"/>
    <x v="4"/>
    <x v="5"/>
    <x v="25"/>
    <n v="2104.31"/>
    <n v="7"/>
    <n v="14730.17"/>
    <n v="0"/>
    <n v="0"/>
    <n v="14730.17"/>
    <s v="Cash"/>
    <s v="CUST_00169"/>
    <n v="3"/>
    <n v="0"/>
    <n v="2104.31"/>
    <s v="No Discount"/>
  </r>
  <r>
    <s v="TXN_02425"/>
    <d v="2024-11-15T00:00:00"/>
    <x v="0"/>
    <s v="Friday"/>
    <s v="STORE_026"/>
    <x v="1"/>
    <x v="3"/>
    <x v="12"/>
    <n v="2375.2199999999998"/>
    <n v="6"/>
    <n v="14251.32"/>
    <n v="0"/>
    <n v="0"/>
    <n v="14251.32"/>
    <s v="UPI"/>
    <s v="CUST_00445"/>
    <n v="3"/>
    <n v="0"/>
    <n v="2375.2199999999998"/>
    <s v="No Discount"/>
  </r>
  <r>
    <s v="TXN_02426"/>
    <d v="2024-12-14T00:00:00"/>
    <x v="6"/>
    <s v="Saturday"/>
    <s v="STORE_036"/>
    <x v="3"/>
    <x v="2"/>
    <x v="29"/>
    <n v="707.99"/>
    <n v="7"/>
    <n v="4955.93"/>
    <n v="20"/>
    <n v="991.19"/>
    <n v="3964.74"/>
    <s v="Credit Card"/>
    <s v="CUST_00253"/>
    <n v="1"/>
    <n v="991.19000000000051"/>
    <n v="566.39142857142849"/>
    <s v="High"/>
  </r>
  <r>
    <s v="TXN_02427"/>
    <d v="2024-11-08T00:00:00"/>
    <x v="0"/>
    <s v="Friday"/>
    <s v="STORE_048"/>
    <x v="3"/>
    <x v="1"/>
    <x v="31"/>
    <n v="220.82"/>
    <n v="2"/>
    <n v="441.64"/>
    <n v="10"/>
    <n v="44.16"/>
    <n v="397.48"/>
    <s v="Wallet"/>
    <s v="CUST_00916"/>
    <n v="3"/>
    <n v="44.159999999999968"/>
    <n v="198.74"/>
    <s v="Medium"/>
  </r>
  <r>
    <s v="TXN_02428"/>
    <d v="2024-03-01T00:00:00"/>
    <x v="5"/>
    <s v="Friday"/>
    <s v="STORE_044"/>
    <x v="3"/>
    <x v="4"/>
    <x v="35"/>
    <n v="412.19"/>
    <n v="3"/>
    <n v="1236.57"/>
    <n v="15"/>
    <n v="185.49"/>
    <n v="1051.08"/>
    <s v="Debit Card"/>
    <s v="CUST_00385"/>
    <n v="4"/>
    <n v="185.49"/>
    <n v="350.35999999999996"/>
    <s v="Medium"/>
  </r>
  <r>
    <s v="TXN_02429"/>
    <d v="2024-03-06T00:00:00"/>
    <x v="5"/>
    <s v="Wednesday"/>
    <s v="STORE_021"/>
    <x v="2"/>
    <x v="2"/>
    <x v="2"/>
    <n v="309.04000000000002"/>
    <n v="1"/>
    <n v="309.04000000000002"/>
    <n v="0"/>
    <n v="0"/>
    <n v="309.04000000000002"/>
    <s v="Debit Card"/>
    <s v="CUST_00997"/>
    <n v="5"/>
    <n v="0"/>
    <n v="309.04000000000002"/>
    <s v="No Discount"/>
  </r>
  <r>
    <s v="TXN_02430"/>
    <d v="2024-02-19T00:00:00"/>
    <x v="1"/>
    <s v="Monday"/>
    <s v="STORE_044"/>
    <x v="1"/>
    <x v="5"/>
    <x v="25"/>
    <n v="2373.1"/>
    <n v="4"/>
    <n v="9492.4"/>
    <n v="20"/>
    <n v="1898.48"/>
    <n v="7593.92"/>
    <s v="Cash"/>
    <s v="CUST_00897"/>
    <n v="3"/>
    <n v="1898.4799999999996"/>
    <n v="1898.48"/>
    <s v="High"/>
  </r>
  <r>
    <s v="TXN_02431"/>
    <d v="2024-07-20T00:00:00"/>
    <x v="11"/>
    <s v="Saturday"/>
    <s v="STORE_001"/>
    <x v="1"/>
    <x v="0"/>
    <x v="4"/>
    <n v="312.55"/>
    <n v="9"/>
    <n v="2812.95"/>
    <n v="10"/>
    <n v="281.3"/>
    <n v="2531.65"/>
    <s v="Debit Card"/>
    <s v="CUST_00481"/>
    <n v="5"/>
    <n v="281.29999999999973"/>
    <n v="281.29444444444448"/>
    <s v="Medium"/>
  </r>
  <r>
    <s v="TXN_02432"/>
    <d v="2024-07-10T00:00:00"/>
    <x v="11"/>
    <s v="Wednesday"/>
    <s v="STORE_024"/>
    <x v="3"/>
    <x v="3"/>
    <x v="12"/>
    <n v="385.09"/>
    <n v="6"/>
    <n v="2310.54"/>
    <n v="0"/>
    <n v="0"/>
    <n v="2310.54"/>
    <s v="UPI"/>
    <s v="CUST_00300"/>
    <n v="1"/>
    <n v="0"/>
    <n v="385.09"/>
    <s v="No Discount"/>
  </r>
  <r>
    <s v="TXN_02433"/>
    <d v="2024-06-22T00:00:00"/>
    <x v="10"/>
    <s v="Saturday"/>
    <s v="STORE_034"/>
    <x v="4"/>
    <x v="3"/>
    <x v="12"/>
    <n v="1201.27"/>
    <n v="2"/>
    <n v="2402.54"/>
    <n v="0"/>
    <n v="0"/>
    <n v="2402.54"/>
    <s v="Wallet"/>
    <s v="CUST_00478"/>
    <n v="4"/>
    <n v="0"/>
    <n v="1201.27"/>
    <s v="No Discount"/>
  </r>
  <r>
    <s v="TXN_02434"/>
    <d v="2024-10-12T00:00:00"/>
    <x v="7"/>
    <s v="Saturday"/>
    <s v="STORE_021"/>
    <x v="1"/>
    <x v="4"/>
    <x v="20"/>
    <n v="178.59"/>
    <n v="1"/>
    <n v="178.59"/>
    <n v="0"/>
    <n v="0"/>
    <n v="178.59"/>
    <s v="Credit Card"/>
    <s v="CUST_00250"/>
    <n v="5"/>
    <n v="0"/>
    <n v="178.59"/>
    <s v="No Discount"/>
  </r>
  <r>
    <s v="TXN_02435"/>
    <d v="2024-07-06T00:00:00"/>
    <x v="11"/>
    <s v="Saturday"/>
    <s v="STORE_004"/>
    <x v="4"/>
    <x v="1"/>
    <x v="1"/>
    <n v="342.78"/>
    <n v="7"/>
    <n v="2399.46"/>
    <n v="0"/>
    <n v="0"/>
    <n v="2399.46"/>
    <s v="Wallet"/>
    <s v="CUST_00824"/>
    <n v="2"/>
    <n v="0"/>
    <n v="342.78000000000003"/>
    <s v="No Discount"/>
  </r>
  <r>
    <s v="TXN_02436"/>
    <d v="2024-03-14T00:00:00"/>
    <x v="5"/>
    <s v="Thursday"/>
    <s v="STORE_016"/>
    <x v="2"/>
    <x v="4"/>
    <x v="17"/>
    <n v="173.22"/>
    <n v="2"/>
    <n v="346.44"/>
    <n v="15"/>
    <n v="51.97"/>
    <n v="294.47000000000003"/>
    <s v="Wallet"/>
    <s v="CUST_00320"/>
    <n v="4"/>
    <n v="51.96999999999997"/>
    <n v="147.23500000000001"/>
    <s v="Medium"/>
  </r>
  <r>
    <s v="TXN_02437"/>
    <d v="2024-04-11T00:00:00"/>
    <x v="4"/>
    <s v="Thursday"/>
    <s v="STORE_028"/>
    <x v="3"/>
    <x v="3"/>
    <x v="16"/>
    <n v="436.06"/>
    <n v="2"/>
    <n v="872.12"/>
    <n v="0"/>
    <n v="0"/>
    <n v="872.12"/>
    <s v="Cash"/>
    <s v="CUST_00548"/>
    <n v="2"/>
    <n v="0"/>
    <n v="436.06"/>
    <s v="No Discount"/>
  </r>
  <r>
    <s v="TXN_02438"/>
    <d v="2024-11-04T00:00:00"/>
    <x v="0"/>
    <s v="Monday"/>
    <s v="STORE_036"/>
    <x v="3"/>
    <x v="0"/>
    <x v="0"/>
    <n v="705.05"/>
    <n v="1"/>
    <n v="705.05"/>
    <n v="5"/>
    <n v="35.25"/>
    <n v="669.8"/>
    <s v="Wallet"/>
    <s v="CUST_00100"/>
    <n v="1"/>
    <n v="35.25"/>
    <n v="669.8"/>
    <s v="Low"/>
  </r>
  <r>
    <s v="TXN_02439"/>
    <d v="2024-09-17T00:00:00"/>
    <x v="9"/>
    <s v="Tuesday"/>
    <s v="STORE_009"/>
    <x v="1"/>
    <x v="6"/>
    <x v="26"/>
    <n v="1507.08"/>
    <n v="9"/>
    <n v="13563.72"/>
    <n v="0"/>
    <n v="0"/>
    <n v="13563.72"/>
    <s v="UPI"/>
    <s v="CUST_00780"/>
    <n v="3"/>
    <n v="0"/>
    <n v="1507.08"/>
    <s v="No Discount"/>
  </r>
  <r>
    <s v="TXN_02440"/>
    <d v="2024-07-24T00:00:00"/>
    <x v="11"/>
    <s v="Wednesday"/>
    <s v="STORE_028"/>
    <x v="4"/>
    <x v="1"/>
    <x v="36"/>
    <n v="232.95"/>
    <n v="9"/>
    <n v="2096.5500000000002"/>
    <n v="15"/>
    <n v="314.48"/>
    <n v="1782.07"/>
    <s v="Credit Card"/>
    <s v="CUST_00673"/>
    <n v="2"/>
    <n v="314.48000000000025"/>
    <n v="198.00777777777776"/>
    <s v="Medium"/>
  </r>
  <r>
    <s v="TXN_02441"/>
    <d v="2024-09-13T00:00:00"/>
    <x v="9"/>
    <s v="Friday"/>
    <s v="STORE_046"/>
    <x v="0"/>
    <x v="3"/>
    <x v="12"/>
    <n v="2788.59"/>
    <n v="2"/>
    <n v="5577.18"/>
    <n v="0"/>
    <n v="0"/>
    <n v="5577.18"/>
    <s v="Cash"/>
    <s v="CUST_00013"/>
    <n v="2"/>
    <n v="0"/>
    <n v="2788.59"/>
    <s v="No Discount"/>
  </r>
  <r>
    <s v="TXN_02442"/>
    <d v="2024-01-21T00:00:00"/>
    <x v="2"/>
    <s v="Sunday"/>
    <s v="STORE_028"/>
    <x v="1"/>
    <x v="0"/>
    <x v="18"/>
    <n v="242.24"/>
    <n v="4"/>
    <n v="968.96"/>
    <n v="0"/>
    <n v="0"/>
    <n v="968.96"/>
    <s v="Debit Card"/>
    <s v="CUST_00663"/>
    <n v="5"/>
    <n v="0"/>
    <n v="242.24"/>
    <s v="No Discount"/>
  </r>
  <r>
    <s v="TXN_02443"/>
    <d v="2024-01-24T00:00:00"/>
    <x v="2"/>
    <s v="Wednesday"/>
    <s v="STORE_007"/>
    <x v="1"/>
    <x v="4"/>
    <x v="8"/>
    <n v="453.88"/>
    <n v="3"/>
    <n v="1361.64"/>
    <n v="0"/>
    <n v="0"/>
    <n v="1361.64"/>
    <s v="Cash"/>
    <s v="CUST_00808"/>
    <n v="1"/>
    <n v="0"/>
    <n v="453.88000000000005"/>
    <s v="No Discount"/>
  </r>
  <r>
    <s v="TXN_02444"/>
    <d v="2024-01-20T00:00:00"/>
    <x v="2"/>
    <s v="Saturday"/>
    <s v="STORE_005"/>
    <x v="1"/>
    <x v="5"/>
    <x v="34"/>
    <n v="2614.86"/>
    <n v="8"/>
    <n v="20918.88"/>
    <n v="0"/>
    <n v="0"/>
    <n v="20918.88"/>
    <s v="Credit Card"/>
    <s v="CUST_00328"/>
    <n v="3"/>
    <n v="0"/>
    <n v="2614.86"/>
    <s v="No Discount"/>
  </r>
  <r>
    <s v="TXN_02445"/>
    <d v="2024-03-11T00:00:00"/>
    <x v="5"/>
    <s v="Monday"/>
    <s v="STORE_048"/>
    <x v="4"/>
    <x v="5"/>
    <x v="34"/>
    <n v="1381.79"/>
    <n v="7"/>
    <n v="9672.5300000000007"/>
    <n v="5"/>
    <n v="483.63"/>
    <n v="9188.9"/>
    <s v="Debit Card"/>
    <s v="CUST_00145"/>
    <n v="2"/>
    <n v="483.63000000000102"/>
    <n v="1312.7"/>
    <s v="Low"/>
  </r>
  <r>
    <s v="TXN_02446"/>
    <d v="2024-12-31T00:00:00"/>
    <x v="6"/>
    <s v="Tuesday"/>
    <s v="STORE_015"/>
    <x v="4"/>
    <x v="5"/>
    <x v="11"/>
    <n v="4411.5200000000004"/>
    <n v="5"/>
    <n v="22057.599999999999"/>
    <n v="0"/>
    <n v="0"/>
    <n v="22057.599999999999"/>
    <s v="Credit Card"/>
    <s v="CUST_00134"/>
    <n v="3"/>
    <n v="0"/>
    <n v="4411.5199999999995"/>
    <s v="No Discount"/>
  </r>
  <r>
    <s v="TXN_02447"/>
    <d v="2024-06-19T00:00:00"/>
    <x v="10"/>
    <s v="Wednesday"/>
    <s v="STORE_043"/>
    <x v="4"/>
    <x v="5"/>
    <x v="11"/>
    <n v="1188.77"/>
    <n v="7"/>
    <n v="8321.39"/>
    <n v="0"/>
    <n v="0"/>
    <n v="8321.39"/>
    <s v="Credit Card"/>
    <s v="CUST_00776"/>
    <n v="1"/>
    <n v="0"/>
    <n v="1188.77"/>
    <s v="No Discount"/>
  </r>
  <r>
    <s v="TXN_02448"/>
    <d v="2024-08-30T00:00:00"/>
    <x v="8"/>
    <s v="Friday"/>
    <s v="STORE_014"/>
    <x v="0"/>
    <x v="6"/>
    <x v="30"/>
    <n v="670.81"/>
    <n v="4"/>
    <n v="2683.24"/>
    <n v="0"/>
    <n v="0"/>
    <n v="2683.24"/>
    <s v="Wallet"/>
    <s v="CUST_00590"/>
    <n v="3"/>
    <n v="0"/>
    <n v="670.81"/>
    <s v="No Discount"/>
  </r>
  <r>
    <s v="TXN_02449"/>
    <d v="2024-09-22T00:00:00"/>
    <x v="9"/>
    <s v="Sunday"/>
    <s v="STORE_025"/>
    <x v="2"/>
    <x v="7"/>
    <x v="38"/>
    <n v="573.39"/>
    <n v="3"/>
    <n v="1720.17"/>
    <n v="0"/>
    <n v="0"/>
    <n v="1720.17"/>
    <s v="Debit Card"/>
    <s v="CUST_00816"/>
    <n v="5"/>
    <n v="0"/>
    <n v="573.39"/>
    <s v="No Discount"/>
  </r>
  <r>
    <s v="TXN_02450"/>
    <d v="2024-08-21T00:00:00"/>
    <x v="8"/>
    <s v="Wednesday"/>
    <s v="STORE_044"/>
    <x v="1"/>
    <x v="3"/>
    <x v="12"/>
    <n v="881.12"/>
    <n v="10"/>
    <n v="8811.2000000000007"/>
    <n v="0"/>
    <n v="0"/>
    <n v="8811.2000000000007"/>
    <s v="Cash"/>
    <s v="CUST_00342"/>
    <n v="4"/>
    <n v="0"/>
    <n v="881.12000000000012"/>
    <s v="No Discount"/>
  </r>
  <r>
    <s v="TXN_02451"/>
    <d v="2024-03-17T00:00:00"/>
    <x v="5"/>
    <s v="Sunday"/>
    <s v="STORE_040"/>
    <x v="3"/>
    <x v="5"/>
    <x v="11"/>
    <n v="2217.12"/>
    <n v="9"/>
    <n v="19954.080000000002"/>
    <n v="5"/>
    <n v="997.7"/>
    <n v="18956.38"/>
    <s v="Cash"/>
    <s v="CUST_00439"/>
    <n v="3"/>
    <n v="997.70000000000073"/>
    <n v="2106.2644444444445"/>
    <s v="Low"/>
  </r>
  <r>
    <s v="TXN_02452"/>
    <d v="2024-11-06T00:00:00"/>
    <x v="0"/>
    <s v="Wednesday"/>
    <s v="STORE_018"/>
    <x v="0"/>
    <x v="6"/>
    <x v="14"/>
    <n v="895.56"/>
    <n v="9"/>
    <n v="8060.04"/>
    <n v="5"/>
    <n v="403"/>
    <n v="7657.04"/>
    <s v="UPI"/>
    <s v="CUST_00764"/>
    <n v="2"/>
    <n v="403"/>
    <n v="850.78222222222223"/>
    <s v="Low"/>
  </r>
  <r>
    <s v="TXN_02453"/>
    <d v="2024-09-20T00:00:00"/>
    <x v="9"/>
    <s v="Friday"/>
    <s v="STORE_041"/>
    <x v="0"/>
    <x v="6"/>
    <x v="26"/>
    <n v="1926.13"/>
    <n v="4"/>
    <n v="7704.52"/>
    <n v="5"/>
    <n v="385.23"/>
    <n v="7319.29"/>
    <s v="UPI"/>
    <s v="CUST_00284"/>
    <n v="4"/>
    <n v="385.23000000000047"/>
    <n v="1829.8225"/>
    <s v="Low"/>
  </r>
  <r>
    <s v="TXN_02454"/>
    <d v="2024-03-12T00:00:00"/>
    <x v="5"/>
    <s v="Tuesday"/>
    <s v="STORE_022"/>
    <x v="0"/>
    <x v="4"/>
    <x v="20"/>
    <n v="429.82"/>
    <n v="4"/>
    <n v="1719.28"/>
    <n v="0"/>
    <n v="0"/>
    <n v="1719.28"/>
    <s v="UPI"/>
    <s v="CUST_00393"/>
    <n v="1"/>
    <n v="0"/>
    <n v="429.82"/>
    <s v="No Discount"/>
  </r>
  <r>
    <s v="TXN_02455"/>
    <d v="2024-06-16T00:00:00"/>
    <x v="10"/>
    <s v="Sunday"/>
    <s v="STORE_032"/>
    <x v="3"/>
    <x v="0"/>
    <x v="32"/>
    <n v="851.26"/>
    <n v="10"/>
    <n v="8512.6"/>
    <n v="20"/>
    <n v="1702.52"/>
    <n v="6810.08"/>
    <s v="Credit Card"/>
    <s v="CUST_00984"/>
    <n v="3"/>
    <n v="1702.5200000000004"/>
    <n v="681.00800000000004"/>
    <s v="High"/>
  </r>
  <r>
    <s v="TXN_02456"/>
    <d v="2024-11-09T00:00:00"/>
    <x v="0"/>
    <s v="Saturday"/>
    <s v="STORE_027"/>
    <x v="1"/>
    <x v="5"/>
    <x v="25"/>
    <n v="4150.1400000000003"/>
    <n v="9"/>
    <n v="37351.26"/>
    <n v="0"/>
    <n v="0"/>
    <n v="37351.26"/>
    <s v="Wallet"/>
    <s v="CUST_00108"/>
    <n v="4"/>
    <n v="0"/>
    <n v="4150.1400000000003"/>
    <s v="No Discount"/>
  </r>
  <r>
    <s v="TXN_02457"/>
    <d v="2024-06-12T00:00:00"/>
    <x v="10"/>
    <s v="Wednesday"/>
    <s v="STORE_038"/>
    <x v="1"/>
    <x v="2"/>
    <x v="13"/>
    <n v="647.92999999999995"/>
    <n v="6"/>
    <n v="3887.58"/>
    <n v="0"/>
    <n v="0"/>
    <n v="3887.58"/>
    <s v="Debit Card"/>
    <s v="CUST_00164"/>
    <n v="4"/>
    <n v="0"/>
    <n v="647.92999999999995"/>
    <s v="No Discount"/>
  </r>
  <r>
    <s v="TXN_02458"/>
    <d v="2024-03-24T00:00:00"/>
    <x v="5"/>
    <s v="Sunday"/>
    <s v="STORE_047"/>
    <x v="1"/>
    <x v="2"/>
    <x v="13"/>
    <n v="644.22"/>
    <n v="5"/>
    <n v="3221.1"/>
    <n v="20"/>
    <n v="644.22"/>
    <n v="2576.88"/>
    <s v="UPI"/>
    <s v="CUST_00683"/>
    <n v="4"/>
    <n v="644.2199999999998"/>
    <n v="515.37599999999998"/>
    <s v="High"/>
  </r>
  <r>
    <s v="TXN_02459"/>
    <d v="2024-07-20T00:00:00"/>
    <x v="11"/>
    <s v="Saturday"/>
    <s v="STORE_049"/>
    <x v="4"/>
    <x v="3"/>
    <x v="22"/>
    <n v="783.46"/>
    <n v="10"/>
    <n v="7834.6"/>
    <n v="15"/>
    <n v="1175.19"/>
    <n v="6659.41"/>
    <s v="UPI"/>
    <s v="CUST_00565"/>
    <n v="2"/>
    <n v="1175.1900000000005"/>
    <n v="665.94100000000003"/>
    <s v="Medium"/>
  </r>
  <r>
    <s v="TXN_02460"/>
    <d v="2024-11-11T00:00:00"/>
    <x v="0"/>
    <s v="Monday"/>
    <s v="STORE_038"/>
    <x v="0"/>
    <x v="4"/>
    <x v="20"/>
    <n v="219.34"/>
    <n v="4"/>
    <n v="877.36"/>
    <n v="15"/>
    <n v="131.6"/>
    <n v="745.76"/>
    <s v="UPI"/>
    <s v="CUST_00305"/>
    <n v="4"/>
    <n v="131.60000000000002"/>
    <n v="186.44"/>
    <s v="Medium"/>
  </r>
  <r>
    <s v="TXN_02461"/>
    <d v="2024-06-02T00:00:00"/>
    <x v="10"/>
    <s v="Sunday"/>
    <s v="STORE_013"/>
    <x v="4"/>
    <x v="7"/>
    <x v="24"/>
    <n v="869.79"/>
    <n v="3"/>
    <n v="2609.37"/>
    <n v="15"/>
    <n v="391.41"/>
    <n v="2217.96"/>
    <s v="UPI"/>
    <s v="CUST_00954"/>
    <n v="4"/>
    <n v="391.40999999999985"/>
    <n v="739.32"/>
    <s v="Medium"/>
  </r>
  <r>
    <s v="TXN_02462"/>
    <d v="2024-10-30T00:00:00"/>
    <x v="7"/>
    <s v="Wednesday"/>
    <s v="STORE_033"/>
    <x v="3"/>
    <x v="3"/>
    <x v="22"/>
    <n v="960.07"/>
    <n v="5"/>
    <n v="4800.3500000000004"/>
    <n v="5"/>
    <n v="240.02"/>
    <n v="4560.33"/>
    <s v="Wallet"/>
    <s v="CUST_00253"/>
    <n v="3"/>
    <n v="240.02000000000044"/>
    <n v="912.06600000000003"/>
    <s v="Low"/>
  </r>
  <r>
    <s v="TXN_02463"/>
    <d v="2024-06-21T00:00:00"/>
    <x v="10"/>
    <s v="Friday"/>
    <s v="STORE_019"/>
    <x v="4"/>
    <x v="6"/>
    <x v="33"/>
    <n v="1677.19"/>
    <n v="7"/>
    <n v="11740.33"/>
    <n v="15"/>
    <n v="1761.05"/>
    <n v="9979.2800000000007"/>
    <s v="Wallet"/>
    <s v="CUST_00482"/>
    <n v="2"/>
    <n v="1761.0499999999993"/>
    <n v="1425.6114285714286"/>
    <s v="Medium"/>
  </r>
  <r>
    <s v="TXN_02464"/>
    <d v="2024-09-16T00:00:00"/>
    <x v="9"/>
    <s v="Monday"/>
    <s v="STORE_007"/>
    <x v="1"/>
    <x v="3"/>
    <x v="16"/>
    <n v="1903.57"/>
    <n v="9"/>
    <n v="17132.13"/>
    <n v="20"/>
    <n v="3426.43"/>
    <n v="13705.7"/>
    <s v="Credit Card"/>
    <s v="CUST_00882"/>
    <n v="4"/>
    <n v="3426.4300000000003"/>
    <n v="1522.8555555555556"/>
    <s v="High"/>
  </r>
  <r>
    <s v="TXN_02465"/>
    <d v="2024-09-17T00:00:00"/>
    <x v="9"/>
    <s v="Tuesday"/>
    <s v="STORE_045"/>
    <x v="3"/>
    <x v="3"/>
    <x v="16"/>
    <n v="433.25"/>
    <n v="7"/>
    <n v="3032.75"/>
    <n v="20"/>
    <n v="606.54999999999995"/>
    <n v="2426.1999999999998"/>
    <s v="Wallet"/>
    <s v="CUST_00091"/>
    <n v="2"/>
    <n v="606.55000000000018"/>
    <n v="346.59999999999997"/>
    <s v="High"/>
  </r>
  <r>
    <s v="TXN_02466"/>
    <d v="2024-09-29T00:00:00"/>
    <x v="9"/>
    <s v="Sunday"/>
    <s v="STORE_004"/>
    <x v="3"/>
    <x v="6"/>
    <x v="14"/>
    <n v="534.67999999999995"/>
    <n v="4"/>
    <n v="2138.7199999999998"/>
    <n v="5"/>
    <n v="106.94"/>
    <n v="2031.78"/>
    <s v="Debit Card"/>
    <s v="CUST_00708"/>
    <n v="4"/>
    <n v="106.93999999999983"/>
    <n v="507.94499999999999"/>
    <s v="Low"/>
  </r>
  <r>
    <s v="TXN_02467"/>
    <d v="2024-09-07T00:00:00"/>
    <x v="9"/>
    <s v="Saturday"/>
    <s v="STORE_031"/>
    <x v="4"/>
    <x v="5"/>
    <x v="34"/>
    <n v="4771.9399999999996"/>
    <n v="5"/>
    <n v="23859.7"/>
    <n v="10"/>
    <n v="2385.9699999999998"/>
    <n v="21473.73"/>
    <s v="Wallet"/>
    <s v="CUST_00926"/>
    <n v="4"/>
    <n v="2385.9700000000012"/>
    <n v="4294.7460000000001"/>
    <s v="Medium"/>
  </r>
  <r>
    <s v="TXN_02468"/>
    <d v="2024-12-28T00:00:00"/>
    <x v="6"/>
    <s v="Saturday"/>
    <s v="STORE_014"/>
    <x v="2"/>
    <x v="6"/>
    <x v="26"/>
    <n v="1844.36"/>
    <n v="7"/>
    <n v="12910.52"/>
    <n v="15"/>
    <n v="1936.58"/>
    <n v="10973.94"/>
    <s v="Cash"/>
    <s v="CUST_00135"/>
    <n v="5"/>
    <n v="1936.58"/>
    <n v="1567.7057142857143"/>
    <s v="Medium"/>
  </r>
  <r>
    <s v="TXN_02469"/>
    <d v="2024-10-15T00:00:00"/>
    <x v="7"/>
    <s v="Tuesday"/>
    <s v="STORE_026"/>
    <x v="0"/>
    <x v="7"/>
    <x v="24"/>
    <n v="777.88"/>
    <n v="4"/>
    <n v="3111.52"/>
    <n v="10"/>
    <n v="311.14999999999998"/>
    <n v="2800.37"/>
    <s v="Cash"/>
    <s v="CUST_00332"/>
    <n v="4"/>
    <n v="311.15000000000009"/>
    <n v="700.09249999999997"/>
    <s v="Medium"/>
  </r>
  <r>
    <s v="TXN_02470"/>
    <d v="2024-06-02T00:00:00"/>
    <x v="10"/>
    <s v="Sunday"/>
    <s v="STORE_049"/>
    <x v="3"/>
    <x v="2"/>
    <x v="29"/>
    <n v="624.07000000000005"/>
    <n v="3"/>
    <n v="1872.21"/>
    <n v="5"/>
    <n v="93.61"/>
    <n v="1778.6"/>
    <s v="Cash"/>
    <s v="CUST_00211"/>
    <n v="3"/>
    <n v="93.610000000000127"/>
    <n v="592.86666666666667"/>
    <s v="Low"/>
  </r>
  <r>
    <s v="TXN_02471"/>
    <d v="2024-08-31T00:00:00"/>
    <x v="8"/>
    <s v="Saturday"/>
    <s v="STORE_041"/>
    <x v="1"/>
    <x v="3"/>
    <x v="16"/>
    <n v="504.88"/>
    <n v="3"/>
    <n v="1514.64"/>
    <n v="15"/>
    <n v="227.2"/>
    <n v="1287.44"/>
    <s v="Wallet"/>
    <s v="CUST_00012"/>
    <n v="5"/>
    <n v="227.20000000000005"/>
    <n v="429.1466666666667"/>
    <s v="Medium"/>
  </r>
  <r>
    <s v="TXN_02472"/>
    <d v="2024-01-09T00:00:00"/>
    <x v="2"/>
    <s v="Tuesday"/>
    <s v="STORE_012"/>
    <x v="3"/>
    <x v="3"/>
    <x v="5"/>
    <n v="2497.85"/>
    <n v="5"/>
    <n v="12489.25"/>
    <n v="10"/>
    <n v="1248.93"/>
    <n v="11240.32"/>
    <s v="Credit Card"/>
    <s v="CUST_00720"/>
    <n v="1"/>
    <n v="1248.9300000000003"/>
    <n v="2248.0639999999999"/>
    <s v="Medium"/>
  </r>
  <r>
    <s v="TXN_02473"/>
    <d v="2024-07-07T00:00:00"/>
    <x v="11"/>
    <s v="Sunday"/>
    <s v="STORE_044"/>
    <x v="2"/>
    <x v="0"/>
    <x v="32"/>
    <n v="653.73"/>
    <n v="2"/>
    <n v="1307.46"/>
    <n v="10"/>
    <n v="130.75"/>
    <n v="1176.71"/>
    <s v="UPI"/>
    <s v="CUST_00422"/>
    <n v="4"/>
    <n v="130.75"/>
    <n v="588.35500000000002"/>
    <s v="Medium"/>
  </r>
  <r>
    <s v="TXN_02474"/>
    <d v="2024-06-18T00:00:00"/>
    <x v="10"/>
    <s v="Tuesday"/>
    <s v="STORE_025"/>
    <x v="2"/>
    <x v="3"/>
    <x v="12"/>
    <n v="1120.18"/>
    <n v="10"/>
    <n v="11201.8"/>
    <n v="0"/>
    <n v="0"/>
    <n v="11201.8"/>
    <s v="Credit Card"/>
    <s v="CUST_00174"/>
    <n v="1"/>
    <n v="0"/>
    <n v="1120.1799999999998"/>
    <s v="No Discount"/>
  </r>
  <r>
    <s v="TXN_02475"/>
    <d v="2024-12-10T00:00:00"/>
    <x v="6"/>
    <s v="Tuesday"/>
    <s v="STORE_039"/>
    <x v="1"/>
    <x v="4"/>
    <x v="17"/>
    <n v="162.38999999999999"/>
    <n v="7"/>
    <n v="1136.73"/>
    <n v="20"/>
    <n v="227.35"/>
    <n v="909.38"/>
    <s v="Debit Card"/>
    <s v="CUST_00749"/>
    <n v="5"/>
    <n v="227.35000000000002"/>
    <n v="129.91142857142856"/>
    <s v="High"/>
  </r>
  <r>
    <s v="TXN_02476"/>
    <d v="2024-02-26T00:00:00"/>
    <x v="1"/>
    <s v="Monday"/>
    <s v="STORE_031"/>
    <x v="3"/>
    <x v="6"/>
    <x v="30"/>
    <n v="792.03"/>
    <n v="4"/>
    <n v="3168.12"/>
    <n v="0"/>
    <n v="0"/>
    <n v="3168.12"/>
    <s v="Cash"/>
    <s v="CUST_00854"/>
    <n v="2"/>
    <n v="0"/>
    <n v="792.03"/>
    <s v="No Discount"/>
  </r>
  <r>
    <s v="TXN_02477"/>
    <d v="2024-08-01T00:00:00"/>
    <x v="8"/>
    <s v="Thursday"/>
    <s v="STORE_003"/>
    <x v="4"/>
    <x v="1"/>
    <x v="31"/>
    <n v="480.65"/>
    <n v="5"/>
    <n v="2403.25"/>
    <n v="10"/>
    <n v="240.33"/>
    <n v="2162.92"/>
    <s v="Credit Card"/>
    <s v="CUST_00559"/>
    <n v="3"/>
    <n v="240.32999999999993"/>
    <n v="432.584"/>
    <s v="Medium"/>
  </r>
  <r>
    <s v="TXN_02478"/>
    <d v="2024-10-25T00:00:00"/>
    <x v="7"/>
    <s v="Friday"/>
    <s v="STORE_039"/>
    <x v="0"/>
    <x v="2"/>
    <x v="2"/>
    <n v="609.86"/>
    <n v="2"/>
    <n v="1219.72"/>
    <n v="20"/>
    <n v="243.94"/>
    <n v="975.78"/>
    <s v="UPI"/>
    <s v="CUST_00039"/>
    <n v="4"/>
    <n v="243.94000000000005"/>
    <n v="487.89"/>
    <s v="High"/>
  </r>
  <r>
    <s v="TXN_02479"/>
    <d v="2024-06-06T00:00:00"/>
    <x v="10"/>
    <s v="Thursday"/>
    <s v="STORE_019"/>
    <x v="4"/>
    <x v="7"/>
    <x v="24"/>
    <n v="1390.45"/>
    <n v="2"/>
    <n v="2780.9"/>
    <n v="0"/>
    <n v="0"/>
    <n v="2780.9"/>
    <s v="UPI"/>
    <s v="CUST_00671"/>
    <n v="1"/>
    <n v="0"/>
    <n v="1390.45"/>
    <s v="No Discount"/>
  </r>
  <r>
    <s v="TXN_02480"/>
    <d v="2024-12-18T00:00:00"/>
    <x v="6"/>
    <s v="Wednesday"/>
    <s v="STORE_010"/>
    <x v="4"/>
    <x v="7"/>
    <x v="28"/>
    <n v="357.07"/>
    <n v="5"/>
    <n v="1785.35"/>
    <n v="15"/>
    <n v="267.8"/>
    <n v="1517.55"/>
    <s v="Debit Card"/>
    <s v="CUST_00576"/>
    <n v="1"/>
    <n v="267.79999999999995"/>
    <n v="303.51"/>
    <s v="Medium"/>
  </r>
  <r>
    <s v="TXN_02481"/>
    <d v="2024-11-18T00:00:00"/>
    <x v="0"/>
    <s v="Monday"/>
    <s v="STORE_040"/>
    <x v="4"/>
    <x v="0"/>
    <x v="4"/>
    <n v="940.66"/>
    <n v="7"/>
    <n v="6584.62"/>
    <n v="10"/>
    <n v="658.46"/>
    <n v="5926.16"/>
    <s v="Credit Card"/>
    <s v="CUST_00041"/>
    <n v="1"/>
    <n v="658.46"/>
    <n v="846.59428571428566"/>
    <s v="Medium"/>
  </r>
  <r>
    <s v="TXN_02482"/>
    <d v="2024-01-14T00:00:00"/>
    <x v="2"/>
    <s v="Sunday"/>
    <s v="STORE_020"/>
    <x v="4"/>
    <x v="3"/>
    <x v="22"/>
    <n v="604.26"/>
    <n v="4"/>
    <n v="2417.04"/>
    <n v="0"/>
    <n v="0"/>
    <n v="2417.04"/>
    <s v="Wallet"/>
    <s v="CUST_00268"/>
    <n v="3"/>
    <n v="0"/>
    <n v="604.26"/>
    <s v="No Discount"/>
  </r>
  <r>
    <s v="TXN_02483"/>
    <d v="2024-11-01T00:00:00"/>
    <x v="0"/>
    <s v="Friday"/>
    <s v="STORE_045"/>
    <x v="3"/>
    <x v="5"/>
    <x v="34"/>
    <n v="1838.12"/>
    <n v="4"/>
    <n v="7352.48"/>
    <n v="0"/>
    <n v="0"/>
    <n v="7352.48"/>
    <s v="UPI"/>
    <s v="CUST_00580"/>
    <n v="1"/>
    <n v="0"/>
    <n v="1838.12"/>
    <s v="No Discount"/>
  </r>
  <r>
    <s v="TXN_02484"/>
    <d v="2024-08-30T00:00:00"/>
    <x v="8"/>
    <s v="Friday"/>
    <s v="STORE_025"/>
    <x v="2"/>
    <x v="7"/>
    <x v="37"/>
    <n v="1304.8"/>
    <n v="10"/>
    <n v="13048"/>
    <n v="0"/>
    <n v="0"/>
    <n v="13048"/>
    <s v="Debit Card"/>
    <s v="CUST_00082"/>
    <n v="5"/>
    <n v="0"/>
    <n v="1304.8"/>
    <s v="No Discount"/>
  </r>
  <r>
    <s v="TXN_02485"/>
    <d v="2024-05-15T00:00:00"/>
    <x v="3"/>
    <s v="Wednesday"/>
    <s v="STORE_014"/>
    <x v="0"/>
    <x v="4"/>
    <x v="19"/>
    <n v="194.5"/>
    <n v="2"/>
    <n v="389"/>
    <n v="20"/>
    <n v="77.8"/>
    <n v="311.2"/>
    <s v="UPI"/>
    <s v="CUST_00802"/>
    <n v="1"/>
    <n v="77.800000000000011"/>
    <n v="155.6"/>
    <s v="High"/>
  </r>
  <r>
    <s v="TXN_02486"/>
    <d v="2024-12-01T00:00:00"/>
    <x v="6"/>
    <s v="Sunday"/>
    <s v="STORE_043"/>
    <x v="2"/>
    <x v="7"/>
    <x v="23"/>
    <n v="1118.21"/>
    <n v="1"/>
    <n v="1118.21"/>
    <n v="0"/>
    <n v="0"/>
    <n v="1118.21"/>
    <s v="Cash"/>
    <s v="CUST_00166"/>
    <n v="4"/>
    <n v="0"/>
    <n v="1118.21"/>
    <s v="No Discount"/>
  </r>
  <r>
    <s v="TXN_02487"/>
    <d v="2024-10-23T00:00:00"/>
    <x v="7"/>
    <s v="Wednesday"/>
    <s v="STORE_041"/>
    <x v="1"/>
    <x v="7"/>
    <x v="24"/>
    <n v="410.42"/>
    <n v="3"/>
    <n v="1231.26"/>
    <n v="20"/>
    <n v="246.25"/>
    <n v="985.01"/>
    <s v="Wallet"/>
    <s v="CUST_00325"/>
    <n v="4"/>
    <n v="246.25"/>
    <n v="328.33666666666664"/>
    <s v="High"/>
  </r>
  <r>
    <s v="TXN_02488"/>
    <d v="2024-10-22T00:00:00"/>
    <x v="7"/>
    <s v="Tuesday"/>
    <s v="STORE_028"/>
    <x v="3"/>
    <x v="5"/>
    <x v="9"/>
    <n v="4735.55"/>
    <n v="2"/>
    <n v="9471.1"/>
    <n v="20"/>
    <n v="1894.22"/>
    <n v="7576.88"/>
    <s v="Wallet"/>
    <s v="CUST_00870"/>
    <n v="2"/>
    <n v="1894.2200000000003"/>
    <n v="3788.44"/>
    <s v="High"/>
  </r>
  <r>
    <s v="TXN_02489"/>
    <d v="2024-04-26T00:00:00"/>
    <x v="4"/>
    <s v="Friday"/>
    <s v="STORE_016"/>
    <x v="4"/>
    <x v="4"/>
    <x v="19"/>
    <n v="321.25"/>
    <n v="7"/>
    <n v="2248.75"/>
    <n v="0"/>
    <n v="0"/>
    <n v="2248.75"/>
    <s v="Wallet"/>
    <s v="CUST_00808"/>
    <n v="1"/>
    <n v="0"/>
    <n v="321.25"/>
    <s v="No Discount"/>
  </r>
  <r>
    <s v="TXN_02490"/>
    <d v="2024-01-27T00:00:00"/>
    <x v="2"/>
    <s v="Saturday"/>
    <s v="STORE_043"/>
    <x v="3"/>
    <x v="7"/>
    <x v="28"/>
    <n v="1401.56"/>
    <n v="8"/>
    <n v="11212.48"/>
    <n v="0"/>
    <n v="0"/>
    <n v="11212.48"/>
    <s v="Wallet"/>
    <s v="CUST_00126"/>
    <n v="1"/>
    <n v="0"/>
    <n v="1401.56"/>
    <s v="No Discount"/>
  </r>
  <r>
    <s v="TXN_02491"/>
    <d v="2024-10-25T00:00:00"/>
    <x v="7"/>
    <s v="Friday"/>
    <s v="STORE_004"/>
    <x v="2"/>
    <x v="2"/>
    <x v="29"/>
    <n v="274.64999999999998"/>
    <n v="3"/>
    <n v="823.95"/>
    <n v="0"/>
    <n v="0"/>
    <n v="823.95"/>
    <s v="Cash"/>
    <s v="CUST_00728"/>
    <n v="3"/>
    <n v="0"/>
    <n v="274.65000000000003"/>
    <s v="No Discount"/>
  </r>
  <r>
    <s v="TXN_02492"/>
    <d v="2024-09-02T00:00:00"/>
    <x v="9"/>
    <s v="Monday"/>
    <s v="STORE_039"/>
    <x v="3"/>
    <x v="3"/>
    <x v="21"/>
    <n v="2776.23"/>
    <n v="4"/>
    <n v="11104.92"/>
    <n v="0"/>
    <n v="0"/>
    <n v="11104.92"/>
    <s v="Credit Card"/>
    <s v="CUST_00989"/>
    <n v="4"/>
    <n v="0"/>
    <n v="2776.23"/>
    <s v="No Discount"/>
  </r>
  <r>
    <s v="TXN_02493"/>
    <d v="2024-03-28T00:00:00"/>
    <x v="5"/>
    <s v="Thursday"/>
    <s v="STORE_011"/>
    <x v="1"/>
    <x v="5"/>
    <x v="9"/>
    <n v="1265.72"/>
    <n v="9"/>
    <n v="11391.48"/>
    <n v="0"/>
    <n v="0"/>
    <n v="11391.48"/>
    <s v="Cash"/>
    <s v="CUST_00180"/>
    <n v="3"/>
    <n v="0"/>
    <n v="1265.72"/>
    <s v="No Discount"/>
  </r>
  <r>
    <s v="TXN_02494"/>
    <d v="2024-09-25T00:00:00"/>
    <x v="9"/>
    <s v="Wednesday"/>
    <s v="STORE_032"/>
    <x v="2"/>
    <x v="1"/>
    <x v="6"/>
    <n v="452.04"/>
    <n v="1"/>
    <n v="452.04"/>
    <n v="0"/>
    <n v="0"/>
    <n v="452.04"/>
    <s v="Cash"/>
    <s v="CUST_00957"/>
    <n v="3"/>
    <n v="0"/>
    <n v="452.04"/>
    <s v="No Discount"/>
  </r>
  <r>
    <s v="TXN_02495"/>
    <d v="2024-11-18T00:00:00"/>
    <x v="0"/>
    <s v="Monday"/>
    <s v="STORE_023"/>
    <x v="3"/>
    <x v="1"/>
    <x v="3"/>
    <n v="294.26"/>
    <n v="10"/>
    <n v="2942.6"/>
    <n v="0"/>
    <n v="0"/>
    <n v="2942.6"/>
    <s v="Wallet"/>
    <s v="CUST_00400"/>
    <n v="5"/>
    <n v="0"/>
    <n v="294.26"/>
    <s v="No Discount"/>
  </r>
  <r>
    <s v="TXN_02496"/>
    <d v="2024-11-13T00:00:00"/>
    <x v="0"/>
    <s v="Wednesday"/>
    <s v="STORE_024"/>
    <x v="2"/>
    <x v="2"/>
    <x v="7"/>
    <n v="499.15"/>
    <n v="10"/>
    <n v="4991.5"/>
    <n v="0"/>
    <n v="0"/>
    <n v="4991.5"/>
    <s v="Credit Card"/>
    <s v="CUST_00606"/>
    <n v="1"/>
    <n v="0"/>
    <n v="499.15"/>
    <s v="No Discount"/>
  </r>
  <r>
    <s v="TXN_02497"/>
    <d v="2024-07-13T00:00:00"/>
    <x v="11"/>
    <s v="Saturday"/>
    <s v="STORE_050"/>
    <x v="4"/>
    <x v="4"/>
    <x v="19"/>
    <n v="353.14"/>
    <n v="7"/>
    <n v="2471.98"/>
    <n v="0"/>
    <n v="0"/>
    <n v="2471.98"/>
    <s v="Cash"/>
    <s v="CUST_00304"/>
    <n v="3"/>
    <n v="0"/>
    <n v="353.14"/>
    <s v="No Discount"/>
  </r>
  <r>
    <s v="TXN_02498"/>
    <d v="2024-03-16T00:00:00"/>
    <x v="5"/>
    <s v="Saturday"/>
    <s v="STORE_026"/>
    <x v="0"/>
    <x v="5"/>
    <x v="11"/>
    <n v="2793.02"/>
    <n v="2"/>
    <n v="5586.04"/>
    <n v="5"/>
    <n v="279.3"/>
    <n v="5306.74"/>
    <s v="Debit Card"/>
    <s v="CUST_00779"/>
    <n v="4"/>
    <n v="279.30000000000018"/>
    <n v="2653.37"/>
    <s v="Low"/>
  </r>
  <r>
    <s v="TXN_02499"/>
    <d v="2024-12-14T00:00:00"/>
    <x v="6"/>
    <s v="Saturday"/>
    <s v="STORE_002"/>
    <x v="2"/>
    <x v="4"/>
    <x v="19"/>
    <n v="315.13"/>
    <n v="5"/>
    <n v="1575.65"/>
    <n v="5"/>
    <n v="78.78"/>
    <n v="1496.87"/>
    <s v="Credit Card"/>
    <s v="CUST_00085"/>
    <n v="4"/>
    <n v="78.7800000000002"/>
    <n v="299.37399999999997"/>
    <s v="Low"/>
  </r>
  <r>
    <s v="TXN_02500"/>
    <d v="2024-05-04T00:00:00"/>
    <x v="3"/>
    <s v="Saturday"/>
    <s v="STORE_042"/>
    <x v="3"/>
    <x v="2"/>
    <x v="39"/>
    <n v="177.86"/>
    <n v="4"/>
    <n v="711.44"/>
    <n v="0"/>
    <n v="0"/>
    <n v="711.44"/>
    <s v="UPI"/>
    <s v="CUST_00882"/>
    <n v="5"/>
    <n v="0"/>
    <n v="177.86"/>
    <s v="No Discount"/>
  </r>
  <r>
    <s v="TXN_02501"/>
    <d v="2024-01-17T00:00:00"/>
    <x v="2"/>
    <s v="Wednesday"/>
    <s v="STORE_001"/>
    <x v="3"/>
    <x v="5"/>
    <x v="25"/>
    <n v="1162.0999999999999"/>
    <n v="9"/>
    <n v="10458.9"/>
    <n v="5"/>
    <n v="522.95000000000005"/>
    <n v="9935.9500000000007"/>
    <s v="Credit Card"/>
    <s v="CUST_00419"/>
    <n v="1"/>
    <n v="522.94999999999891"/>
    <n v="1103.9944444444445"/>
    <s v="Low"/>
  </r>
  <r>
    <s v="TXN_02502"/>
    <d v="2024-10-20T00:00:00"/>
    <x v="7"/>
    <s v="Sunday"/>
    <s v="STORE_010"/>
    <x v="2"/>
    <x v="6"/>
    <x v="15"/>
    <n v="1982.41"/>
    <n v="2"/>
    <n v="3964.82"/>
    <n v="5"/>
    <n v="198.24"/>
    <n v="3766.58"/>
    <s v="Debit Card"/>
    <s v="CUST_00484"/>
    <n v="5"/>
    <n v="198.24000000000024"/>
    <n v="1883.29"/>
    <s v="Low"/>
  </r>
  <r>
    <s v="TXN_02503"/>
    <d v="2024-12-24T00:00:00"/>
    <x v="6"/>
    <s v="Tuesday"/>
    <s v="STORE_009"/>
    <x v="0"/>
    <x v="0"/>
    <x v="0"/>
    <n v="353.74"/>
    <n v="2"/>
    <n v="707.48"/>
    <n v="0"/>
    <n v="0"/>
    <n v="707.48"/>
    <s v="Cash"/>
    <s v="CUST_00147"/>
    <n v="2"/>
    <n v="0"/>
    <n v="353.74"/>
    <s v="No Discount"/>
  </r>
  <r>
    <s v="TXN_02504"/>
    <d v="2024-02-26T00:00:00"/>
    <x v="1"/>
    <s v="Monday"/>
    <s v="STORE_018"/>
    <x v="3"/>
    <x v="5"/>
    <x v="11"/>
    <n v="1699.96"/>
    <n v="3"/>
    <n v="5099.88"/>
    <n v="0"/>
    <n v="0"/>
    <n v="5099.88"/>
    <s v="Credit Card"/>
    <s v="CUST_00335"/>
    <n v="5"/>
    <n v="0"/>
    <n v="1699.96"/>
    <s v="No Discount"/>
  </r>
  <r>
    <s v="TXN_02505"/>
    <d v="2024-04-07T00:00:00"/>
    <x v="4"/>
    <s v="Sunday"/>
    <s v="STORE_003"/>
    <x v="2"/>
    <x v="5"/>
    <x v="10"/>
    <n v="1770.42"/>
    <n v="10"/>
    <n v="17704.2"/>
    <n v="10"/>
    <n v="1770.42"/>
    <n v="15933.78"/>
    <s v="Wallet"/>
    <s v="CUST_00280"/>
    <n v="3"/>
    <n v="1770.42"/>
    <n v="1593.3780000000002"/>
    <s v="Medium"/>
  </r>
  <r>
    <s v="TXN_02506"/>
    <d v="2024-01-10T00:00:00"/>
    <x v="2"/>
    <s v="Wednesday"/>
    <s v="STORE_008"/>
    <x v="0"/>
    <x v="7"/>
    <x v="28"/>
    <n v="1171.55"/>
    <n v="9"/>
    <n v="10543.95"/>
    <n v="0"/>
    <n v="0"/>
    <n v="10543.95"/>
    <s v="UPI"/>
    <s v="CUST_00382"/>
    <n v="5"/>
    <n v="0"/>
    <n v="1171.5500000000002"/>
    <s v="No Discount"/>
  </r>
  <r>
    <s v="TXN_02507"/>
    <d v="2024-08-13T00:00:00"/>
    <x v="8"/>
    <s v="Tuesday"/>
    <s v="STORE_013"/>
    <x v="1"/>
    <x v="7"/>
    <x v="28"/>
    <n v="1423.22"/>
    <n v="6"/>
    <n v="8539.32"/>
    <n v="15"/>
    <n v="1280.9000000000001"/>
    <n v="7258.42"/>
    <s v="Credit Card"/>
    <s v="CUST_00991"/>
    <n v="3"/>
    <n v="1280.8999999999996"/>
    <n v="1209.7366666666667"/>
    <s v="Medium"/>
  </r>
  <r>
    <s v="TXN_02508"/>
    <d v="2024-06-09T00:00:00"/>
    <x v="10"/>
    <s v="Sunday"/>
    <s v="STORE_028"/>
    <x v="1"/>
    <x v="1"/>
    <x v="31"/>
    <n v="124.13"/>
    <n v="9"/>
    <n v="1117.17"/>
    <n v="10"/>
    <n v="111.72"/>
    <n v="1005.45"/>
    <s v="Debit Card"/>
    <s v="CUST_00121"/>
    <n v="1"/>
    <n v="111.72000000000003"/>
    <n v="111.71666666666667"/>
    <s v="Medium"/>
  </r>
  <r>
    <s v="TXN_02509"/>
    <d v="2024-08-02T00:00:00"/>
    <x v="8"/>
    <s v="Friday"/>
    <s v="STORE_016"/>
    <x v="2"/>
    <x v="4"/>
    <x v="19"/>
    <n v="400.44"/>
    <n v="1"/>
    <n v="400.44"/>
    <n v="10"/>
    <n v="40.04"/>
    <n v="360.4"/>
    <s v="UPI"/>
    <s v="CUST_00131"/>
    <n v="5"/>
    <n v="40.04000000000002"/>
    <n v="360.4"/>
    <s v="Medium"/>
  </r>
  <r>
    <s v="TXN_02510"/>
    <d v="2024-03-18T00:00:00"/>
    <x v="5"/>
    <s v="Monday"/>
    <s v="STORE_046"/>
    <x v="1"/>
    <x v="6"/>
    <x v="30"/>
    <n v="535.59"/>
    <n v="5"/>
    <n v="2677.95"/>
    <n v="0"/>
    <n v="0"/>
    <n v="2677.95"/>
    <s v="Wallet"/>
    <s v="CUST_00249"/>
    <n v="3"/>
    <n v="0"/>
    <n v="535.58999999999992"/>
    <s v="No Discount"/>
  </r>
  <r>
    <s v="TXN_02511"/>
    <d v="2024-07-30T00:00:00"/>
    <x v="11"/>
    <s v="Tuesday"/>
    <s v="STORE_042"/>
    <x v="1"/>
    <x v="2"/>
    <x v="2"/>
    <n v="529.29"/>
    <n v="3"/>
    <n v="1587.87"/>
    <n v="20"/>
    <n v="317.57"/>
    <n v="1270.3"/>
    <s v="Wallet"/>
    <s v="CUST_00295"/>
    <n v="1"/>
    <n v="317.56999999999994"/>
    <n v="423.43333333333334"/>
    <s v="High"/>
  </r>
  <r>
    <s v="TXN_02512"/>
    <d v="2024-12-19T00:00:00"/>
    <x v="6"/>
    <s v="Thursday"/>
    <s v="STORE_003"/>
    <x v="0"/>
    <x v="1"/>
    <x v="3"/>
    <n v="234.5"/>
    <n v="8"/>
    <n v="1876"/>
    <n v="0"/>
    <n v="0"/>
    <n v="1876"/>
    <s v="Debit Card"/>
    <s v="CUST_00088"/>
    <n v="5"/>
    <n v="0"/>
    <n v="234.5"/>
    <s v="No Discount"/>
  </r>
  <r>
    <s v="TXN_02513"/>
    <d v="2024-04-14T00:00:00"/>
    <x v="4"/>
    <s v="Sunday"/>
    <s v="STORE_044"/>
    <x v="0"/>
    <x v="3"/>
    <x v="21"/>
    <n v="1279.47"/>
    <n v="6"/>
    <n v="7676.82"/>
    <n v="5"/>
    <n v="383.84"/>
    <n v="7292.98"/>
    <s v="Wallet"/>
    <s v="CUST_00476"/>
    <n v="1"/>
    <n v="383.84000000000015"/>
    <n v="1215.4966666666667"/>
    <s v="Low"/>
  </r>
  <r>
    <s v="TXN_02514"/>
    <d v="2024-07-29T00:00:00"/>
    <x v="11"/>
    <s v="Monday"/>
    <s v="STORE_016"/>
    <x v="3"/>
    <x v="7"/>
    <x v="38"/>
    <n v="416.82"/>
    <n v="10"/>
    <n v="4168.2"/>
    <n v="15"/>
    <n v="625.23"/>
    <n v="3542.97"/>
    <s v="UPI"/>
    <s v="CUST_00611"/>
    <n v="3"/>
    <n v="625.23"/>
    <n v="354.29699999999997"/>
    <s v="Medium"/>
  </r>
  <r>
    <s v="TXN_02515"/>
    <d v="2024-09-13T00:00:00"/>
    <x v="9"/>
    <s v="Friday"/>
    <s v="STORE_024"/>
    <x v="4"/>
    <x v="6"/>
    <x v="15"/>
    <n v="1721.48"/>
    <n v="9"/>
    <n v="15493.32"/>
    <n v="0"/>
    <n v="0"/>
    <n v="15493.32"/>
    <s v="Cash"/>
    <s v="CUST_00586"/>
    <n v="4"/>
    <n v="0"/>
    <n v="1721.48"/>
    <s v="No Discount"/>
  </r>
  <r>
    <s v="TXN_02516"/>
    <d v="2024-11-09T00:00:00"/>
    <x v="0"/>
    <s v="Saturday"/>
    <s v="STORE_027"/>
    <x v="4"/>
    <x v="2"/>
    <x v="2"/>
    <n v="481.31"/>
    <n v="5"/>
    <n v="2406.5500000000002"/>
    <n v="0"/>
    <n v="0"/>
    <n v="2406.5500000000002"/>
    <s v="Wallet"/>
    <s v="CUST_00988"/>
    <n v="1"/>
    <n v="0"/>
    <n v="481.31000000000006"/>
    <s v="No Discount"/>
  </r>
  <r>
    <s v="TXN_02517"/>
    <d v="2024-08-29T00:00:00"/>
    <x v="8"/>
    <s v="Thursday"/>
    <s v="STORE_039"/>
    <x v="4"/>
    <x v="0"/>
    <x v="27"/>
    <n v="710.11"/>
    <n v="5"/>
    <n v="3550.55"/>
    <n v="0"/>
    <n v="0"/>
    <n v="3550.55"/>
    <s v="Debit Card"/>
    <s v="CUST_00440"/>
    <n v="5"/>
    <n v="0"/>
    <n v="710.11"/>
    <s v="No Discount"/>
  </r>
  <r>
    <s v="TXN_02518"/>
    <d v="2024-02-01T00:00:00"/>
    <x v="1"/>
    <s v="Thursday"/>
    <s v="STORE_030"/>
    <x v="0"/>
    <x v="6"/>
    <x v="33"/>
    <n v="600.02"/>
    <n v="1"/>
    <n v="600.02"/>
    <n v="5"/>
    <n v="30"/>
    <n v="570.02"/>
    <s v="Cash"/>
    <s v="CUST_00240"/>
    <n v="4"/>
    <n v="30"/>
    <n v="570.02"/>
    <s v="Low"/>
  </r>
  <r>
    <s v="TXN_02519"/>
    <d v="2024-12-27T00:00:00"/>
    <x v="6"/>
    <s v="Friday"/>
    <s v="STORE_010"/>
    <x v="3"/>
    <x v="1"/>
    <x v="6"/>
    <n v="217.06"/>
    <n v="1"/>
    <n v="217.06"/>
    <n v="0"/>
    <n v="0"/>
    <n v="217.06"/>
    <s v="UPI"/>
    <s v="CUST_00425"/>
    <n v="3"/>
    <n v="0"/>
    <n v="217.06"/>
    <s v="No Discount"/>
  </r>
  <r>
    <s v="TXN_02520"/>
    <d v="2024-03-11T00:00:00"/>
    <x v="5"/>
    <s v="Monday"/>
    <s v="STORE_036"/>
    <x v="2"/>
    <x v="7"/>
    <x v="38"/>
    <n v="801.91"/>
    <n v="9"/>
    <n v="7217.19"/>
    <n v="0"/>
    <n v="0"/>
    <n v="7217.19"/>
    <s v="Cash"/>
    <s v="CUST_00144"/>
    <n v="5"/>
    <n v="0"/>
    <n v="801.91"/>
    <s v="No Discount"/>
  </r>
  <r>
    <s v="TXN_02521"/>
    <d v="2024-09-22T00:00:00"/>
    <x v="9"/>
    <s v="Sunday"/>
    <s v="STORE_047"/>
    <x v="3"/>
    <x v="4"/>
    <x v="20"/>
    <n v="435.76"/>
    <n v="9"/>
    <n v="3921.84"/>
    <n v="0"/>
    <n v="0"/>
    <n v="3921.84"/>
    <s v="Debit Card"/>
    <s v="CUST_00631"/>
    <n v="4"/>
    <n v="0"/>
    <n v="435.76"/>
    <s v="No Discount"/>
  </r>
  <r>
    <s v="TXN_02522"/>
    <d v="2024-04-16T00:00:00"/>
    <x v="4"/>
    <s v="Tuesday"/>
    <s v="STORE_050"/>
    <x v="3"/>
    <x v="5"/>
    <x v="10"/>
    <n v="4395.5200000000004"/>
    <n v="5"/>
    <n v="21977.599999999999"/>
    <n v="0"/>
    <n v="0"/>
    <n v="21977.599999999999"/>
    <s v="Cash"/>
    <s v="CUST_00881"/>
    <n v="4"/>
    <n v="0"/>
    <n v="4395.5199999999995"/>
    <s v="No Discount"/>
  </r>
  <r>
    <s v="TXN_02523"/>
    <d v="2024-10-14T00:00:00"/>
    <x v="7"/>
    <s v="Monday"/>
    <s v="STORE_016"/>
    <x v="0"/>
    <x v="5"/>
    <x v="25"/>
    <n v="4210.83"/>
    <n v="1"/>
    <n v="4210.83"/>
    <n v="10"/>
    <n v="421.08"/>
    <n v="3789.75"/>
    <s v="Cash"/>
    <s v="CUST_00923"/>
    <n v="2"/>
    <n v="421.07999999999993"/>
    <n v="3789.75"/>
    <s v="Medium"/>
  </r>
  <r>
    <s v="TXN_02524"/>
    <d v="2024-06-15T00:00:00"/>
    <x v="10"/>
    <s v="Saturday"/>
    <s v="STORE_006"/>
    <x v="3"/>
    <x v="2"/>
    <x v="29"/>
    <n v="248.81"/>
    <n v="9"/>
    <n v="2239.29"/>
    <n v="0"/>
    <n v="0"/>
    <n v="2239.29"/>
    <s v="Credit Card"/>
    <s v="CUST_00727"/>
    <n v="3"/>
    <n v="0"/>
    <n v="248.81"/>
    <s v="No Discount"/>
  </r>
  <r>
    <s v="TXN_02525"/>
    <d v="2024-12-05T00:00:00"/>
    <x v="6"/>
    <s v="Thursday"/>
    <s v="STORE_039"/>
    <x v="2"/>
    <x v="5"/>
    <x v="25"/>
    <n v="1442.44"/>
    <n v="6"/>
    <n v="8654.64"/>
    <n v="0"/>
    <n v="0"/>
    <n v="8654.64"/>
    <s v="Debit Card"/>
    <s v="CUST_00336"/>
    <n v="4"/>
    <n v="0"/>
    <n v="1442.4399999999998"/>
    <s v="No Discount"/>
  </r>
  <r>
    <s v="TXN_02526"/>
    <d v="2024-09-01T00:00:00"/>
    <x v="9"/>
    <s v="Sunday"/>
    <s v="STORE_032"/>
    <x v="4"/>
    <x v="4"/>
    <x v="35"/>
    <n v="356.34"/>
    <n v="10"/>
    <n v="3563.4"/>
    <n v="0"/>
    <n v="0"/>
    <n v="3563.4"/>
    <s v="UPI"/>
    <s v="CUST_00829"/>
    <n v="2"/>
    <n v="0"/>
    <n v="356.34000000000003"/>
    <s v="No Discount"/>
  </r>
  <r>
    <s v="TXN_02527"/>
    <d v="2024-09-26T00:00:00"/>
    <x v="9"/>
    <s v="Thursday"/>
    <s v="STORE_016"/>
    <x v="0"/>
    <x v="0"/>
    <x v="18"/>
    <n v="329.72"/>
    <n v="3"/>
    <n v="989.16"/>
    <n v="0"/>
    <n v="0"/>
    <n v="989.16"/>
    <s v="UPI"/>
    <s v="CUST_00227"/>
    <n v="1"/>
    <n v="0"/>
    <n v="329.71999999999997"/>
    <s v="No Discount"/>
  </r>
  <r>
    <s v="TXN_02528"/>
    <d v="2024-07-11T00:00:00"/>
    <x v="11"/>
    <s v="Thursday"/>
    <s v="STORE_015"/>
    <x v="2"/>
    <x v="5"/>
    <x v="10"/>
    <n v="4179.3100000000004"/>
    <n v="10"/>
    <n v="41793.1"/>
    <n v="0"/>
    <n v="0"/>
    <n v="41793.1"/>
    <s v="Cash"/>
    <s v="CUST_00330"/>
    <n v="2"/>
    <n v="0"/>
    <n v="4179.3099999999995"/>
    <s v="No Discount"/>
  </r>
  <r>
    <s v="TXN_02529"/>
    <d v="2024-06-09T00:00:00"/>
    <x v="10"/>
    <s v="Sunday"/>
    <s v="STORE_039"/>
    <x v="3"/>
    <x v="5"/>
    <x v="10"/>
    <n v="2547.5"/>
    <n v="1"/>
    <n v="2547.5"/>
    <n v="0"/>
    <n v="0"/>
    <n v="2547.5"/>
    <s v="Credit Card"/>
    <s v="CUST_00402"/>
    <n v="2"/>
    <n v="0"/>
    <n v="2547.5"/>
    <s v="No Discount"/>
  </r>
  <r>
    <s v="TXN_02530"/>
    <d v="2024-03-29T00:00:00"/>
    <x v="5"/>
    <s v="Friday"/>
    <s v="STORE_019"/>
    <x v="0"/>
    <x v="5"/>
    <x v="10"/>
    <n v="3400.38"/>
    <n v="8"/>
    <n v="27203.040000000001"/>
    <n v="0"/>
    <n v="0"/>
    <n v="27203.040000000001"/>
    <s v="Credit Card"/>
    <s v="CUST_00615"/>
    <n v="4"/>
    <n v="0"/>
    <n v="3400.38"/>
    <s v="No Discount"/>
  </r>
  <r>
    <s v="TXN_02531"/>
    <d v="2024-08-23T00:00:00"/>
    <x v="8"/>
    <s v="Friday"/>
    <s v="STORE_050"/>
    <x v="0"/>
    <x v="5"/>
    <x v="11"/>
    <n v="1105.77"/>
    <n v="2"/>
    <n v="2211.54"/>
    <n v="5"/>
    <n v="110.58"/>
    <n v="2100.96"/>
    <s v="UPI"/>
    <s v="CUST_00927"/>
    <n v="5"/>
    <n v="110.57999999999993"/>
    <n v="1050.48"/>
    <s v="Low"/>
  </r>
  <r>
    <s v="TXN_02532"/>
    <d v="2024-09-29T00:00:00"/>
    <x v="9"/>
    <s v="Sunday"/>
    <s v="STORE_039"/>
    <x v="0"/>
    <x v="7"/>
    <x v="24"/>
    <n v="1121.4000000000001"/>
    <n v="10"/>
    <n v="11214"/>
    <n v="0"/>
    <n v="0"/>
    <n v="11214"/>
    <s v="UPI"/>
    <s v="CUST_00487"/>
    <n v="4"/>
    <n v="0"/>
    <n v="1121.4000000000001"/>
    <s v="No Discount"/>
  </r>
  <r>
    <s v="TXN_02533"/>
    <d v="2024-06-24T00:00:00"/>
    <x v="10"/>
    <s v="Monday"/>
    <s v="STORE_014"/>
    <x v="2"/>
    <x v="6"/>
    <x v="33"/>
    <n v="831.94"/>
    <n v="3"/>
    <n v="2495.8200000000002"/>
    <n v="20"/>
    <n v="499.16"/>
    <n v="1996.66"/>
    <s v="Cash"/>
    <s v="CUST_00860"/>
    <n v="1"/>
    <n v="499.16000000000008"/>
    <n v="665.5533333333334"/>
    <s v="High"/>
  </r>
  <r>
    <s v="TXN_02534"/>
    <d v="2024-10-06T00:00:00"/>
    <x v="7"/>
    <s v="Sunday"/>
    <s v="STORE_001"/>
    <x v="0"/>
    <x v="3"/>
    <x v="16"/>
    <n v="639.29999999999995"/>
    <n v="1"/>
    <n v="639.29999999999995"/>
    <n v="0"/>
    <n v="0"/>
    <n v="639.29999999999995"/>
    <s v="Wallet"/>
    <s v="CUST_00155"/>
    <n v="3"/>
    <n v="0"/>
    <n v="639.29999999999995"/>
    <s v="No Discount"/>
  </r>
  <r>
    <s v="TXN_02535"/>
    <d v="2024-06-30T00:00:00"/>
    <x v="10"/>
    <s v="Sunday"/>
    <s v="STORE_016"/>
    <x v="0"/>
    <x v="6"/>
    <x v="33"/>
    <n v="642.83000000000004"/>
    <n v="10"/>
    <n v="6428.3"/>
    <n v="0"/>
    <n v="0"/>
    <n v="6428.3"/>
    <s v="Credit Card"/>
    <s v="CUST_00217"/>
    <n v="5"/>
    <n v="0"/>
    <n v="642.83000000000004"/>
    <s v="No Discount"/>
  </r>
  <r>
    <s v="TXN_02536"/>
    <d v="2024-12-12T00:00:00"/>
    <x v="6"/>
    <s v="Thursday"/>
    <s v="STORE_004"/>
    <x v="2"/>
    <x v="4"/>
    <x v="17"/>
    <n v="251.56"/>
    <n v="10"/>
    <n v="2515.6"/>
    <n v="5"/>
    <n v="125.78"/>
    <n v="2389.8200000000002"/>
    <s v="Credit Card"/>
    <s v="CUST_00060"/>
    <n v="5"/>
    <n v="125.77999999999975"/>
    <n v="238.98200000000003"/>
    <s v="Low"/>
  </r>
  <r>
    <s v="TXN_02537"/>
    <d v="2024-12-14T00:00:00"/>
    <x v="6"/>
    <s v="Saturday"/>
    <s v="STORE_010"/>
    <x v="0"/>
    <x v="6"/>
    <x v="14"/>
    <n v="1563.1"/>
    <n v="6"/>
    <n v="9378.6"/>
    <n v="5"/>
    <n v="468.93"/>
    <n v="8909.67"/>
    <s v="Credit Card"/>
    <s v="CUST_00862"/>
    <n v="4"/>
    <n v="468.93000000000029"/>
    <n v="1484.9449999999999"/>
    <s v="Low"/>
  </r>
  <r>
    <s v="TXN_02538"/>
    <d v="2024-11-25T00:00:00"/>
    <x v="0"/>
    <s v="Monday"/>
    <s v="STORE_033"/>
    <x v="1"/>
    <x v="4"/>
    <x v="19"/>
    <n v="471.99"/>
    <n v="5"/>
    <n v="2359.9499999999998"/>
    <n v="15"/>
    <n v="353.99"/>
    <n v="2005.96"/>
    <s v="UPI"/>
    <s v="CUST_00363"/>
    <n v="1"/>
    <n v="353.98999999999978"/>
    <n v="401.19200000000001"/>
    <s v="Medium"/>
  </r>
  <r>
    <s v="TXN_02539"/>
    <d v="2024-12-20T00:00:00"/>
    <x v="6"/>
    <s v="Friday"/>
    <s v="STORE_001"/>
    <x v="1"/>
    <x v="2"/>
    <x v="2"/>
    <n v="608.97"/>
    <n v="10"/>
    <n v="6089.7"/>
    <n v="10"/>
    <n v="608.97"/>
    <n v="5480.73"/>
    <s v="Debit Card"/>
    <s v="CUST_00813"/>
    <n v="2"/>
    <n v="608.97000000000025"/>
    <n v="548.07299999999998"/>
    <s v="Medium"/>
  </r>
  <r>
    <s v="TXN_02540"/>
    <d v="2024-05-15T00:00:00"/>
    <x v="3"/>
    <s v="Wednesday"/>
    <s v="STORE_030"/>
    <x v="4"/>
    <x v="4"/>
    <x v="20"/>
    <n v="211.52"/>
    <n v="4"/>
    <n v="846.08"/>
    <n v="0"/>
    <n v="0"/>
    <n v="846.08"/>
    <s v="UPI"/>
    <s v="CUST_00787"/>
    <n v="4"/>
    <n v="0"/>
    <n v="211.52"/>
    <s v="No Discount"/>
  </r>
  <r>
    <s v="TXN_02541"/>
    <d v="2024-11-08T00:00:00"/>
    <x v="0"/>
    <s v="Friday"/>
    <s v="STORE_029"/>
    <x v="2"/>
    <x v="7"/>
    <x v="24"/>
    <n v="697.8"/>
    <n v="5"/>
    <n v="3489"/>
    <n v="5"/>
    <n v="174.45"/>
    <n v="3314.55"/>
    <s v="Cash"/>
    <s v="CUST_00802"/>
    <n v="2"/>
    <n v="174.44999999999982"/>
    <n v="662.91000000000008"/>
    <s v="Low"/>
  </r>
  <r>
    <s v="TXN_02542"/>
    <d v="2024-09-04T00:00:00"/>
    <x v="9"/>
    <s v="Wednesday"/>
    <s v="STORE_006"/>
    <x v="3"/>
    <x v="7"/>
    <x v="23"/>
    <n v="654.85"/>
    <n v="6"/>
    <n v="3929.1"/>
    <n v="0"/>
    <n v="0"/>
    <n v="3929.1"/>
    <s v="Wallet"/>
    <s v="CUST_00998"/>
    <n v="1"/>
    <n v="0"/>
    <n v="654.85"/>
    <s v="No Discount"/>
  </r>
  <r>
    <s v="TXN_02543"/>
    <d v="2024-04-08T00:00:00"/>
    <x v="4"/>
    <s v="Monday"/>
    <s v="STORE_012"/>
    <x v="3"/>
    <x v="1"/>
    <x v="1"/>
    <n v="486.14"/>
    <n v="7"/>
    <n v="3402.98"/>
    <n v="0"/>
    <n v="0"/>
    <n v="3402.98"/>
    <s v="Credit Card"/>
    <s v="CUST_00664"/>
    <n v="3"/>
    <n v="0"/>
    <n v="486.14"/>
    <s v="No Discount"/>
  </r>
  <r>
    <s v="TXN_02544"/>
    <d v="2024-05-06T00:00:00"/>
    <x v="3"/>
    <s v="Monday"/>
    <s v="STORE_045"/>
    <x v="1"/>
    <x v="0"/>
    <x v="18"/>
    <n v="300.02"/>
    <n v="10"/>
    <n v="3000.2"/>
    <n v="0"/>
    <n v="0"/>
    <n v="3000.2"/>
    <s v="Wallet"/>
    <s v="CUST_00489"/>
    <n v="1"/>
    <n v="0"/>
    <n v="300.02"/>
    <s v="No Discount"/>
  </r>
  <r>
    <s v="TXN_02545"/>
    <d v="2024-05-22T00:00:00"/>
    <x v="3"/>
    <s v="Wednesday"/>
    <s v="STORE_016"/>
    <x v="2"/>
    <x v="6"/>
    <x v="33"/>
    <n v="1493.27"/>
    <n v="10"/>
    <n v="14932.7"/>
    <n v="0"/>
    <n v="0"/>
    <n v="14932.7"/>
    <s v="Debit Card"/>
    <s v="CUST_00692"/>
    <n v="2"/>
    <n v="0"/>
    <n v="1493.27"/>
    <s v="No Discount"/>
  </r>
  <r>
    <s v="TXN_02546"/>
    <d v="2024-10-12T00:00:00"/>
    <x v="7"/>
    <s v="Saturday"/>
    <s v="STORE_025"/>
    <x v="3"/>
    <x v="7"/>
    <x v="37"/>
    <n v="874.15"/>
    <n v="9"/>
    <n v="7867.35"/>
    <n v="15"/>
    <n v="1180.0999999999999"/>
    <n v="6687.25"/>
    <s v="UPI"/>
    <s v="CUST_00648"/>
    <n v="1"/>
    <n v="1180.1000000000004"/>
    <n v="743.02777777777783"/>
    <s v="Medium"/>
  </r>
  <r>
    <s v="TXN_02547"/>
    <d v="2024-06-01T00:00:00"/>
    <x v="10"/>
    <s v="Saturday"/>
    <s v="STORE_008"/>
    <x v="4"/>
    <x v="0"/>
    <x v="0"/>
    <n v="468.24"/>
    <n v="3"/>
    <n v="1404.72"/>
    <n v="0"/>
    <n v="0"/>
    <n v="1404.72"/>
    <s v="Debit Card"/>
    <s v="CUST_00365"/>
    <n v="4"/>
    <n v="0"/>
    <n v="468.24"/>
    <s v="No Discount"/>
  </r>
  <r>
    <s v="TXN_02548"/>
    <d v="2024-04-25T00:00:00"/>
    <x v="4"/>
    <s v="Thursday"/>
    <s v="STORE_042"/>
    <x v="4"/>
    <x v="5"/>
    <x v="34"/>
    <n v="4476.0200000000004"/>
    <n v="7"/>
    <n v="31332.14"/>
    <n v="20"/>
    <n v="6266.43"/>
    <n v="25065.71"/>
    <s v="Wallet"/>
    <s v="CUST_00377"/>
    <n v="3"/>
    <n v="6266.43"/>
    <n v="3580.815714285714"/>
    <s v="High"/>
  </r>
  <r>
    <s v="TXN_02549"/>
    <d v="2024-06-01T00:00:00"/>
    <x v="10"/>
    <s v="Saturday"/>
    <s v="STORE_039"/>
    <x v="1"/>
    <x v="0"/>
    <x v="0"/>
    <n v="929.29"/>
    <n v="2"/>
    <n v="1858.58"/>
    <n v="0"/>
    <n v="0"/>
    <n v="1858.58"/>
    <s v="Cash"/>
    <s v="CUST_00198"/>
    <n v="2"/>
    <n v="0"/>
    <n v="929.29"/>
    <s v="No Discount"/>
  </r>
  <r>
    <s v="TXN_02550"/>
    <d v="2024-05-27T00:00:00"/>
    <x v="3"/>
    <s v="Monday"/>
    <s v="STORE_037"/>
    <x v="4"/>
    <x v="6"/>
    <x v="30"/>
    <n v="543.38"/>
    <n v="4"/>
    <n v="2173.52"/>
    <n v="5"/>
    <n v="108.68"/>
    <n v="2064.84"/>
    <s v="Cash"/>
    <s v="CUST_00579"/>
    <n v="2"/>
    <n v="108.67999999999984"/>
    <n v="516.21"/>
    <s v="Low"/>
  </r>
  <r>
    <s v="TXN_02551"/>
    <d v="2024-12-26T00:00:00"/>
    <x v="6"/>
    <s v="Thursday"/>
    <s v="STORE_028"/>
    <x v="1"/>
    <x v="5"/>
    <x v="11"/>
    <n v="3812.16"/>
    <n v="2"/>
    <n v="7624.32"/>
    <n v="0"/>
    <n v="0"/>
    <n v="7624.32"/>
    <s v="Debit Card"/>
    <s v="CUST_00614"/>
    <n v="3"/>
    <n v="0"/>
    <n v="3812.16"/>
    <s v="No Discount"/>
  </r>
  <r>
    <s v="TXN_02552"/>
    <d v="2024-04-16T00:00:00"/>
    <x v="4"/>
    <s v="Tuesday"/>
    <s v="STORE_007"/>
    <x v="3"/>
    <x v="0"/>
    <x v="4"/>
    <n v="690.08"/>
    <n v="3"/>
    <n v="2070.2399999999998"/>
    <n v="5"/>
    <n v="103.51"/>
    <n v="1966.73"/>
    <s v="Wallet"/>
    <s v="CUST_00675"/>
    <n v="3"/>
    <n v="103.50999999999976"/>
    <n v="655.57666666666671"/>
    <s v="Low"/>
  </r>
  <r>
    <s v="TXN_02553"/>
    <d v="2024-12-19T00:00:00"/>
    <x v="6"/>
    <s v="Thursday"/>
    <s v="STORE_034"/>
    <x v="0"/>
    <x v="3"/>
    <x v="5"/>
    <n v="1355.66"/>
    <n v="10"/>
    <n v="13556.6"/>
    <n v="0"/>
    <n v="0"/>
    <n v="13556.6"/>
    <s v="Cash"/>
    <s v="CUST_00043"/>
    <n v="2"/>
    <n v="0"/>
    <n v="1355.66"/>
    <s v="No Discount"/>
  </r>
  <r>
    <s v="TXN_02554"/>
    <d v="2024-12-26T00:00:00"/>
    <x v="6"/>
    <s v="Thursday"/>
    <s v="STORE_011"/>
    <x v="3"/>
    <x v="7"/>
    <x v="28"/>
    <n v="1234.73"/>
    <n v="1"/>
    <n v="1234.73"/>
    <n v="20"/>
    <n v="246.95"/>
    <n v="987.78"/>
    <s v="UPI"/>
    <s v="CUST_00403"/>
    <n v="3"/>
    <n v="246.95000000000005"/>
    <n v="987.78"/>
    <s v="High"/>
  </r>
  <r>
    <s v="TXN_02555"/>
    <d v="2024-09-07T00:00:00"/>
    <x v="9"/>
    <s v="Saturday"/>
    <s v="STORE_010"/>
    <x v="3"/>
    <x v="2"/>
    <x v="29"/>
    <n v="401.76"/>
    <n v="4"/>
    <n v="1607.04"/>
    <n v="20"/>
    <n v="321.41000000000003"/>
    <n v="1285.6300000000001"/>
    <s v="Cash"/>
    <s v="CUST_00188"/>
    <n v="1"/>
    <n v="321.40999999999985"/>
    <n v="321.40750000000003"/>
    <s v="High"/>
  </r>
  <r>
    <s v="TXN_02556"/>
    <d v="2024-06-11T00:00:00"/>
    <x v="10"/>
    <s v="Tuesday"/>
    <s v="STORE_024"/>
    <x v="3"/>
    <x v="2"/>
    <x v="39"/>
    <n v="760.15"/>
    <n v="4"/>
    <n v="3040.6"/>
    <n v="20"/>
    <n v="608.12"/>
    <n v="2432.48"/>
    <s v="Debit Card"/>
    <s v="CUST_00322"/>
    <n v="4"/>
    <n v="608.11999999999989"/>
    <n v="608.12"/>
    <s v="High"/>
  </r>
  <r>
    <s v="TXN_02557"/>
    <d v="2024-09-02T00:00:00"/>
    <x v="9"/>
    <s v="Monday"/>
    <s v="STORE_033"/>
    <x v="1"/>
    <x v="0"/>
    <x v="27"/>
    <n v="575.41"/>
    <n v="7"/>
    <n v="4027.87"/>
    <n v="0"/>
    <n v="0"/>
    <n v="4027.87"/>
    <s v="Wallet"/>
    <s v="CUST_00603"/>
    <n v="4"/>
    <n v="0"/>
    <n v="575.41"/>
    <s v="No Discount"/>
  </r>
  <r>
    <s v="TXN_02558"/>
    <d v="2024-06-27T00:00:00"/>
    <x v="10"/>
    <s v="Thursday"/>
    <s v="STORE_002"/>
    <x v="1"/>
    <x v="0"/>
    <x v="0"/>
    <n v="331.75"/>
    <n v="10"/>
    <n v="3317.5"/>
    <n v="0"/>
    <n v="0"/>
    <n v="3317.5"/>
    <s v="Cash"/>
    <s v="CUST_00417"/>
    <n v="1"/>
    <n v="0"/>
    <n v="331.75"/>
    <s v="No Discount"/>
  </r>
  <r>
    <s v="TXN_02559"/>
    <d v="2024-10-13T00:00:00"/>
    <x v="7"/>
    <s v="Sunday"/>
    <s v="STORE_027"/>
    <x v="1"/>
    <x v="5"/>
    <x v="25"/>
    <n v="1023.25"/>
    <n v="7"/>
    <n v="7162.75"/>
    <n v="10"/>
    <n v="716.28"/>
    <n v="6446.47"/>
    <s v="Debit Card"/>
    <s v="CUST_00393"/>
    <n v="5"/>
    <n v="716.27999999999975"/>
    <n v="920.9242857142857"/>
    <s v="Medium"/>
  </r>
  <r>
    <s v="TXN_02560"/>
    <d v="2024-05-20T00:00:00"/>
    <x v="3"/>
    <s v="Monday"/>
    <s v="STORE_049"/>
    <x v="3"/>
    <x v="4"/>
    <x v="8"/>
    <n v="214.35"/>
    <n v="1"/>
    <n v="214.35"/>
    <n v="20"/>
    <n v="42.87"/>
    <n v="171.48"/>
    <s v="UPI"/>
    <s v="CUST_00897"/>
    <n v="2"/>
    <n v="42.870000000000005"/>
    <n v="171.48"/>
    <s v="High"/>
  </r>
  <r>
    <s v="TXN_02561"/>
    <d v="2024-05-27T00:00:00"/>
    <x v="3"/>
    <s v="Monday"/>
    <s v="STORE_040"/>
    <x v="3"/>
    <x v="0"/>
    <x v="4"/>
    <n v="343.46"/>
    <n v="4"/>
    <n v="1373.84"/>
    <n v="15"/>
    <n v="206.08"/>
    <n v="1167.76"/>
    <s v="Cash"/>
    <s v="CUST_00599"/>
    <n v="1"/>
    <n v="206.07999999999993"/>
    <n v="291.94"/>
    <s v="Medium"/>
  </r>
  <r>
    <s v="TXN_02562"/>
    <d v="2024-03-03T00:00:00"/>
    <x v="5"/>
    <s v="Sunday"/>
    <s v="STORE_009"/>
    <x v="4"/>
    <x v="3"/>
    <x v="22"/>
    <n v="2117.48"/>
    <n v="5"/>
    <n v="10587.4"/>
    <n v="20"/>
    <n v="2117.48"/>
    <n v="8469.92"/>
    <s v="Debit Card"/>
    <s v="CUST_00113"/>
    <n v="1"/>
    <n v="2117.4799999999996"/>
    <n v="1693.9839999999999"/>
    <s v="High"/>
  </r>
  <r>
    <s v="TXN_02563"/>
    <d v="2024-10-20T00:00:00"/>
    <x v="7"/>
    <s v="Sunday"/>
    <s v="STORE_013"/>
    <x v="1"/>
    <x v="2"/>
    <x v="13"/>
    <n v="708.07"/>
    <n v="6"/>
    <n v="4248.42"/>
    <n v="0"/>
    <n v="0"/>
    <n v="4248.42"/>
    <s v="Debit Card"/>
    <s v="CUST_00915"/>
    <n v="2"/>
    <n v="0"/>
    <n v="708.07"/>
    <s v="No Discount"/>
  </r>
  <r>
    <s v="TXN_02564"/>
    <d v="2024-12-12T00:00:00"/>
    <x v="6"/>
    <s v="Thursday"/>
    <s v="STORE_047"/>
    <x v="4"/>
    <x v="1"/>
    <x v="1"/>
    <n v="297.55"/>
    <n v="1"/>
    <n v="297.55"/>
    <n v="0"/>
    <n v="0"/>
    <n v="297.55"/>
    <s v="Cash"/>
    <s v="CUST_00475"/>
    <n v="4"/>
    <n v="0"/>
    <n v="297.55"/>
    <s v="No Discount"/>
  </r>
  <r>
    <s v="TXN_02565"/>
    <d v="2024-10-05T00:00:00"/>
    <x v="7"/>
    <s v="Saturday"/>
    <s v="STORE_002"/>
    <x v="0"/>
    <x v="5"/>
    <x v="25"/>
    <n v="1464.87"/>
    <n v="9"/>
    <n v="13183.83"/>
    <n v="0"/>
    <n v="0"/>
    <n v="13183.83"/>
    <s v="Credit Card"/>
    <s v="CUST_00236"/>
    <n v="4"/>
    <n v="0"/>
    <n v="1464.87"/>
    <s v="No Discount"/>
  </r>
  <r>
    <s v="TXN_02566"/>
    <d v="2024-07-13T00:00:00"/>
    <x v="11"/>
    <s v="Saturday"/>
    <s v="STORE_013"/>
    <x v="3"/>
    <x v="5"/>
    <x v="34"/>
    <n v="2170.42"/>
    <n v="9"/>
    <n v="19533.78"/>
    <n v="15"/>
    <n v="2930.07"/>
    <n v="16603.71"/>
    <s v="Debit Card"/>
    <s v="CUST_00661"/>
    <n v="2"/>
    <n v="2930.0699999999997"/>
    <n v="1844.8566666666666"/>
    <s v="Medium"/>
  </r>
  <r>
    <s v="TXN_02567"/>
    <d v="2024-07-21T00:00:00"/>
    <x v="11"/>
    <s v="Sunday"/>
    <s v="STORE_032"/>
    <x v="3"/>
    <x v="5"/>
    <x v="34"/>
    <n v="4705.8599999999997"/>
    <n v="5"/>
    <n v="23529.3"/>
    <n v="0"/>
    <n v="0"/>
    <n v="23529.3"/>
    <s v="Credit Card"/>
    <s v="CUST_00785"/>
    <n v="4"/>
    <n v="0"/>
    <n v="4705.8599999999997"/>
    <s v="No Discount"/>
  </r>
  <r>
    <s v="TXN_02568"/>
    <d v="2024-06-25T00:00:00"/>
    <x v="10"/>
    <s v="Tuesday"/>
    <s v="STORE_034"/>
    <x v="3"/>
    <x v="1"/>
    <x v="36"/>
    <n v="227.94"/>
    <n v="7"/>
    <n v="1595.58"/>
    <n v="15"/>
    <n v="239.34"/>
    <n v="1356.24"/>
    <s v="Debit Card"/>
    <s v="CUST_00206"/>
    <n v="2"/>
    <n v="239.33999999999992"/>
    <n v="193.74857142857144"/>
    <s v="Medium"/>
  </r>
  <r>
    <s v="TXN_02569"/>
    <d v="2024-03-15T00:00:00"/>
    <x v="5"/>
    <s v="Friday"/>
    <s v="STORE_004"/>
    <x v="4"/>
    <x v="6"/>
    <x v="30"/>
    <n v="601.04999999999995"/>
    <n v="3"/>
    <n v="1803.15"/>
    <n v="20"/>
    <n v="360.63"/>
    <n v="1442.52"/>
    <s v="Debit Card"/>
    <s v="CUST_00300"/>
    <n v="1"/>
    <n v="360.63000000000011"/>
    <n v="480.84"/>
    <s v="High"/>
  </r>
  <r>
    <s v="TXN_02570"/>
    <d v="2024-05-28T00:00:00"/>
    <x v="3"/>
    <s v="Tuesday"/>
    <s v="STORE_014"/>
    <x v="0"/>
    <x v="2"/>
    <x v="29"/>
    <n v="371.39"/>
    <n v="5"/>
    <n v="1856.95"/>
    <n v="20"/>
    <n v="371.39"/>
    <n v="1485.56"/>
    <s v="Wallet"/>
    <s v="CUST_00434"/>
    <n v="2"/>
    <n v="371.3900000000001"/>
    <n v="297.11199999999997"/>
    <s v="High"/>
  </r>
  <r>
    <s v="TXN_02571"/>
    <d v="2024-01-22T00:00:00"/>
    <x v="2"/>
    <s v="Monday"/>
    <s v="STORE_026"/>
    <x v="3"/>
    <x v="1"/>
    <x v="3"/>
    <n v="221.46"/>
    <n v="9"/>
    <n v="1993.14"/>
    <n v="0"/>
    <n v="0"/>
    <n v="1993.14"/>
    <s v="Wallet"/>
    <s v="CUST_00742"/>
    <n v="5"/>
    <n v="0"/>
    <n v="221.46"/>
    <s v="No Discount"/>
  </r>
  <r>
    <s v="TXN_02572"/>
    <d v="2024-05-27T00:00:00"/>
    <x v="3"/>
    <s v="Monday"/>
    <s v="STORE_019"/>
    <x v="3"/>
    <x v="7"/>
    <x v="38"/>
    <n v="757.43"/>
    <n v="6"/>
    <n v="4544.58"/>
    <n v="15"/>
    <n v="681.69"/>
    <n v="3862.89"/>
    <s v="Cash"/>
    <s v="CUST_00898"/>
    <n v="5"/>
    <n v="681.69"/>
    <n v="643.81499999999994"/>
    <s v="Medium"/>
  </r>
  <r>
    <s v="TXN_02573"/>
    <d v="2024-12-31T00:00:00"/>
    <x v="6"/>
    <s v="Tuesday"/>
    <s v="STORE_046"/>
    <x v="2"/>
    <x v="5"/>
    <x v="34"/>
    <n v="3249.17"/>
    <n v="6"/>
    <n v="19495.02"/>
    <n v="5"/>
    <n v="974.75"/>
    <n v="18520.27"/>
    <s v="Cash"/>
    <s v="CUST_00117"/>
    <n v="5"/>
    <n v="974.75"/>
    <n v="3086.7116666666666"/>
    <s v="Low"/>
  </r>
  <r>
    <s v="TXN_02574"/>
    <d v="2024-02-10T00:00:00"/>
    <x v="1"/>
    <s v="Saturday"/>
    <s v="STORE_014"/>
    <x v="1"/>
    <x v="3"/>
    <x v="12"/>
    <n v="932.34"/>
    <n v="6"/>
    <n v="5594.04"/>
    <n v="20"/>
    <n v="1118.81"/>
    <n v="4475.2299999999996"/>
    <s v="Credit Card"/>
    <s v="CUST_00052"/>
    <n v="5"/>
    <n v="1118.8100000000004"/>
    <n v="745.87166666666656"/>
    <s v="High"/>
  </r>
  <r>
    <s v="TXN_02575"/>
    <d v="2024-06-26T00:00:00"/>
    <x v="10"/>
    <s v="Wednesday"/>
    <s v="STORE_031"/>
    <x v="1"/>
    <x v="6"/>
    <x v="30"/>
    <n v="662.42"/>
    <n v="6"/>
    <n v="3974.52"/>
    <n v="0"/>
    <n v="0"/>
    <n v="3974.52"/>
    <s v="UPI"/>
    <s v="CUST_00806"/>
    <n v="1"/>
    <n v="0"/>
    <n v="662.42"/>
    <s v="No Discount"/>
  </r>
  <r>
    <s v="TXN_02576"/>
    <d v="2024-08-14T00:00:00"/>
    <x v="8"/>
    <s v="Wednesday"/>
    <s v="STORE_041"/>
    <x v="2"/>
    <x v="6"/>
    <x v="26"/>
    <n v="1816.66"/>
    <n v="4"/>
    <n v="7266.64"/>
    <n v="10"/>
    <n v="726.66"/>
    <n v="6539.98"/>
    <s v="Wallet"/>
    <s v="CUST_00293"/>
    <n v="5"/>
    <n v="726.66000000000076"/>
    <n v="1634.9949999999999"/>
    <s v="Medium"/>
  </r>
  <r>
    <s v="TXN_02577"/>
    <d v="2024-12-01T00:00:00"/>
    <x v="6"/>
    <s v="Sunday"/>
    <s v="STORE_023"/>
    <x v="3"/>
    <x v="2"/>
    <x v="2"/>
    <n v="142.88"/>
    <n v="1"/>
    <n v="142.88"/>
    <n v="0"/>
    <n v="0"/>
    <n v="142.88"/>
    <s v="Debit Card"/>
    <s v="CUST_00395"/>
    <n v="1"/>
    <n v="0"/>
    <n v="142.88"/>
    <s v="No Discount"/>
  </r>
  <r>
    <s v="TXN_02578"/>
    <d v="2024-05-11T00:00:00"/>
    <x v="3"/>
    <s v="Saturday"/>
    <s v="STORE_018"/>
    <x v="4"/>
    <x v="4"/>
    <x v="8"/>
    <n v="459.2"/>
    <n v="6"/>
    <n v="2755.2"/>
    <n v="0"/>
    <n v="0"/>
    <n v="2755.2"/>
    <s v="Wallet"/>
    <s v="CUST_00662"/>
    <n v="1"/>
    <n v="0"/>
    <n v="459.2"/>
    <s v="No Discount"/>
  </r>
  <r>
    <s v="TXN_02579"/>
    <d v="2024-09-02T00:00:00"/>
    <x v="9"/>
    <s v="Monday"/>
    <s v="STORE_013"/>
    <x v="2"/>
    <x v="3"/>
    <x v="5"/>
    <n v="1068.82"/>
    <n v="6"/>
    <n v="6412.92"/>
    <n v="0"/>
    <n v="0"/>
    <n v="6412.92"/>
    <s v="Wallet"/>
    <s v="CUST_00640"/>
    <n v="1"/>
    <n v="0"/>
    <n v="1068.82"/>
    <s v="No Discount"/>
  </r>
  <r>
    <s v="TXN_02580"/>
    <d v="2024-04-19T00:00:00"/>
    <x v="4"/>
    <s v="Friday"/>
    <s v="STORE_029"/>
    <x v="2"/>
    <x v="6"/>
    <x v="30"/>
    <n v="1883.26"/>
    <n v="9"/>
    <n v="16949.34"/>
    <n v="0"/>
    <n v="0"/>
    <n v="16949.34"/>
    <s v="UPI"/>
    <s v="CUST_00499"/>
    <n v="3"/>
    <n v="0"/>
    <n v="1883.26"/>
    <s v="No Discount"/>
  </r>
  <r>
    <s v="TXN_02581"/>
    <d v="2024-04-13T00:00:00"/>
    <x v="4"/>
    <s v="Saturday"/>
    <s v="STORE_030"/>
    <x v="2"/>
    <x v="1"/>
    <x v="3"/>
    <n v="168.02"/>
    <n v="2"/>
    <n v="336.04"/>
    <n v="10"/>
    <n v="33.6"/>
    <n v="302.44"/>
    <s v="Credit Card"/>
    <s v="CUST_00415"/>
    <n v="2"/>
    <n v="33.600000000000023"/>
    <n v="151.22"/>
    <s v="Medium"/>
  </r>
  <r>
    <s v="TXN_02582"/>
    <d v="2024-10-02T00:00:00"/>
    <x v="7"/>
    <s v="Wednesday"/>
    <s v="STORE_034"/>
    <x v="3"/>
    <x v="3"/>
    <x v="5"/>
    <n v="2164.83"/>
    <n v="7"/>
    <n v="15153.81"/>
    <n v="0"/>
    <n v="0"/>
    <n v="15153.81"/>
    <s v="Credit Card"/>
    <s v="CUST_00435"/>
    <n v="3"/>
    <n v="0"/>
    <n v="2164.83"/>
    <s v="No Discount"/>
  </r>
  <r>
    <s v="TXN_02583"/>
    <d v="2024-05-18T00:00:00"/>
    <x v="3"/>
    <s v="Saturday"/>
    <s v="STORE_023"/>
    <x v="4"/>
    <x v="0"/>
    <x v="18"/>
    <n v="268.14999999999998"/>
    <n v="10"/>
    <n v="2681.5"/>
    <n v="5"/>
    <n v="134.08000000000001"/>
    <n v="2547.42"/>
    <s v="UPI"/>
    <s v="CUST_00754"/>
    <n v="4"/>
    <n v="134.07999999999993"/>
    <n v="254.74200000000002"/>
    <s v="Low"/>
  </r>
  <r>
    <s v="TXN_02584"/>
    <d v="2024-10-14T00:00:00"/>
    <x v="7"/>
    <s v="Monday"/>
    <s v="STORE_002"/>
    <x v="1"/>
    <x v="3"/>
    <x v="12"/>
    <n v="647.53"/>
    <n v="2"/>
    <n v="1295.06"/>
    <n v="5"/>
    <n v="64.75"/>
    <n v="1230.31"/>
    <s v="Credit Card"/>
    <s v="CUST_00993"/>
    <n v="3"/>
    <n v="64.75"/>
    <n v="615.15499999999997"/>
    <s v="Low"/>
  </r>
  <r>
    <s v="TXN_02585"/>
    <d v="2024-12-22T00:00:00"/>
    <x v="6"/>
    <s v="Sunday"/>
    <s v="STORE_038"/>
    <x v="1"/>
    <x v="3"/>
    <x v="22"/>
    <n v="730.86"/>
    <n v="6"/>
    <n v="4385.16"/>
    <n v="15"/>
    <n v="657.77"/>
    <n v="3727.39"/>
    <s v="Wallet"/>
    <s v="CUST_00433"/>
    <n v="1"/>
    <n v="657.77"/>
    <n v="621.23166666666668"/>
    <s v="Medium"/>
  </r>
  <r>
    <s v="TXN_02586"/>
    <d v="2024-05-19T00:00:00"/>
    <x v="3"/>
    <s v="Sunday"/>
    <s v="STORE_016"/>
    <x v="0"/>
    <x v="4"/>
    <x v="19"/>
    <n v="467.52"/>
    <n v="9"/>
    <n v="4207.68"/>
    <n v="0"/>
    <n v="0"/>
    <n v="4207.68"/>
    <s v="Debit Card"/>
    <s v="CUST_00593"/>
    <n v="3"/>
    <n v="0"/>
    <n v="467.52000000000004"/>
    <s v="No Discount"/>
  </r>
  <r>
    <s v="TXN_02587"/>
    <d v="2024-03-11T00:00:00"/>
    <x v="5"/>
    <s v="Monday"/>
    <s v="STORE_030"/>
    <x v="3"/>
    <x v="5"/>
    <x v="25"/>
    <n v="1636.89"/>
    <n v="7"/>
    <n v="11458.23"/>
    <n v="15"/>
    <n v="1718.73"/>
    <n v="9739.5"/>
    <s v="Debit Card"/>
    <s v="CUST_00344"/>
    <n v="1"/>
    <n v="1718.7299999999996"/>
    <n v="1391.3571428571429"/>
    <s v="Medium"/>
  </r>
  <r>
    <s v="TXN_02588"/>
    <d v="2024-02-25T00:00:00"/>
    <x v="1"/>
    <s v="Sunday"/>
    <s v="STORE_028"/>
    <x v="4"/>
    <x v="6"/>
    <x v="30"/>
    <n v="1521.98"/>
    <n v="9"/>
    <n v="13697.82"/>
    <n v="20"/>
    <n v="2739.56"/>
    <n v="10958.26"/>
    <s v="Cash"/>
    <s v="CUST_00497"/>
    <n v="4"/>
    <n v="2739.5599999999995"/>
    <n v="1217.5844444444444"/>
    <s v="High"/>
  </r>
  <r>
    <s v="TXN_02589"/>
    <d v="2024-11-11T00:00:00"/>
    <x v="0"/>
    <s v="Monday"/>
    <s v="STORE_022"/>
    <x v="0"/>
    <x v="3"/>
    <x v="21"/>
    <n v="2481.4"/>
    <n v="4"/>
    <n v="9925.6"/>
    <n v="0"/>
    <n v="0"/>
    <n v="9925.6"/>
    <s v="Debit Card"/>
    <s v="CUST_00162"/>
    <n v="5"/>
    <n v="0"/>
    <n v="2481.4"/>
    <s v="No Discount"/>
  </r>
  <r>
    <s v="TXN_02590"/>
    <d v="2024-10-27T00:00:00"/>
    <x v="7"/>
    <s v="Sunday"/>
    <s v="STORE_042"/>
    <x v="0"/>
    <x v="1"/>
    <x v="31"/>
    <n v="265.55"/>
    <n v="7"/>
    <n v="1858.85"/>
    <n v="5"/>
    <n v="92.94"/>
    <n v="1765.91"/>
    <s v="Wallet"/>
    <s v="CUST_00262"/>
    <n v="5"/>
    <n v="92.939999999999827"/>
    <n v="252.27285714285716"/>
    <s v="Low"/>
  </r>
  <r>
    <s v="TXN_02591"/>
    <d v="2024-05-02T00:00:00"/>
    <x v="3"/>
    <s v="Thursday"/>
    <s v="STORE_034"/>
    <x v="1"/>
    <x v="4"/>
    <x v="8"/>
    <n v="437.09"/>
    <n v="1"/>
    <n v="437.09"/>
    <n v="0"/>
    <n v="0"/>
    <n v="437.09"/>
    <s v="Cash"/>
    <s v="CUST_00967"/>
    <n v="2"/>
    <n v="0"/>
    <n v="437.09"/>
    <s v="No Discount"/>
  </r>
  <r>
    <s v="TXN_02592"/>
    <d v="2024-05-04T00:00:00"/>
    <x v="3"/>
    <s v="Saturday"/>
    <s v="STORE_013"/>
    <x v="2"/>
    <x v="2"/>
    <x v="13"/>
    <n v="174.55"/>
    <n v="4"/>
    <n v="698.2"/>
    <n v="0"/>
    <n v="0"/>
    <n v="698.2"/>
    <s v="Wallet"/>
    <s v="CUST_00549"/>
    <n v="4"/>
    <n v="0"/>
    <n v="174.55"/>
    <s v="No Discount"/>
  </r>
  <r>
    <s v="TXN_02593"/>
    <d v="2024-01-26T00:00:00"/>
    <x v="2"/>
    <s v="Friday"/>
    <s v="STORE_036"/>
    <x v="0"/>
    <x v="1"/>
    <x v="31"/>
    <n v="448.7"/>
    <n v="1"/>
    <n v="448.7"/>
    <n v="15"/>
    <n v="67.3"/>
    <n v="381.4"/>
    <s v="UPI"/>
    <s v="CUST_00973"/>
    <n v="2"/>
    <n v="67.300000000000011"/>
    <n v="381.4"/>
    <s v="Medium"/>
  </r>
  <r>
    <s v="TXN_02594"/>
    <d v="2024-12-08T00:00:00"/>
    <x v="6"/>
    <s v="Sunday"/>
    <s v="STORE_009"/>
    <x v="1"/>
    <x v="1"/>
    <x v="1"/>
    <n v="261.11"/>
    <n v="2"/>
    <n v="522.22"/>
    <n v="0"/>
    <n v="0"/>
    <n v="522.22"/>
    <s v="Wallet"/>
    <s v="CUST_00132"/>
    <n v="3"/>
    <n v="0"/>
    <n v="261.11"/>
    <s v="No Discount"/>
  </r>
  <r>
    <s v="TXN_02595"/>
    <d v="2024-09-28T00:00:00"/>
    <x v="9"/>
    <s v="Saturday"/>
    <s v="STORE_001"/>
    <x v="3"/>
    <x v="1"/>
    <x v="3"/>
    <n v="464.69"/>
    <n v="4"/>
    <n v="1858.76"/>
    <n v="0"/>
    <n v="0"/>
    <n v="1858.76"/>
    <s v="Wallet"/>
    <s v="CUST_00930"/>
    <n v="1"/>
    <n v="0"/>
    <n v="464.69"/>
    <s v="No Discount"/>
  </r>
  <r>
    <s v="TXN_02596"/>
    <d v="2024-04-25T00:00:00"/>
    <x v="4"/>
    <s v="Thursday"/>
    <s v="STORE_013"/>
    <x v="1"/>
    <x v="7"/>
    <x v="38"/>
    <n v="387.82"/>
    <n v="3"/>
    <n v="1163.46"/>
    <n v="15"/>
    <n v="174.52"/>
    <n v="988.94"/>
    <s v="Cash"/>
    <s v="CUST_00692"/>
    <n v="2"/>
    <n v="174.51999999999998"/>
    <n v="329.6466666666667"/>
    <s v="Medium"/>
  </r>
  <r>
    <s v="TXN_02597"/>
    <d v="2024-11-22T00:00:00"/>
    <x v="0"/>
    <s v="Friday"/>
    <s v="STORE_031"/>
    <x v="2"/>
    <x v="2"/>
    <x v="13"/>
    <n v="251.62"/>
    <n v="1"/>
    <n v="251.62"/>
    <n v="0"/>
    <n v="0"/>
    <n v="251.62"/>
    <s v="UPI"/>
    <s v="CUST_00776"/>
    <n v="4"/>
    <n v="0"/>
    <n v="251.62"/>
    <s v="No Discount"/>
  </r>
  <r>
    <s v="TXN_02598"/>
    <d v="2024-04-29T00:00:00"/>
    <x v="4"/>
    <s v="Monday"/>
    <s v="STORE_025"/>
    <x v="1"/>
    <x v="0"/>
    <x v="18"/>
    <n v="742.28"/>
    <n v="10"/>
    <n v="7422.8"/>
    <n v="15"/>
    <n v="1113.42"/>
    <n v="6309.38"/>
    <s v="UPI"/>
    <s v="CUST_00727"/>
    <n v="1"/>
    <n v="1113.42"/>
    <n v="630.93799999999999"/>
    <s v="Medium"/>
  </r>
  <r>
    <s v="TXN_02599"/>
    <d v="2024-01-27T00:00:00"/>
    <x v="2"/>
    <s v="Saturday"/>
    <s v="STORE_019"/>
    <x v="2"/>
    <x v="0"/>
    <x v="32"/>
    <n v="817.5"/>
    <n v="7"/>
    <n v="5722.5"/>
    <n v="20"/>
    <n v="1144.5"/>
    <n v="4578"/>
    <s v="UPI"/>
    <s v="CUST_00622"/>
    <n v="4"/>
    <n v="1144.5"/>
    <n v="654"/>
    <s v="High"/>
  </r>
  <r>
    <s v="TXN_02600"/>
    <d v="2024-02-21T00:00:00"/>
    <x v="1"/>
    <s v="Wednesday"/>
    <s v="STORE_002"/>
    <x v="4"/>
    <x v="0"/>
    <x v="27"/>
    <n v="883.76"/>
    <n v="4"/>
    <n v="3535.04"/>
    <n v="0"/>
    <n v="0"/>
    <n v="3535.04"/>
    <s v="Cash"/>
    <s v="CUST_00731"/>
    <n v="1"/>
    <n v="0"/>
    <n v="883.76"/>
    <s v="No Discount"/>
  </r>
  <r>
    <s v="TXN_02601"/>
    <d v="2024-07-30T00:00:00"/>
    <x v="11"/>
    <s v="Tuesday"/>
    <s v="STORE_013"/>
    <x v="3"/>
    <x v="4"/>
    <x v="20"/>
    <n v="222.66"/>
    <n v="5"/>
    <n v="1113.3"/>
    <n v="0"/>
    <n v="0"/>
    <n v="1113.3"/>
    <s v="UPI"/>
    <s v="CUST_00640"/>
    <n v="3"/>
    <n v="0"/>
    <n v="222.66"/>
    <s v="No Discount"/>
  </r>
  <r>
    <s v="TXN_02602"/>
    <d v="2024-06-18T00:00:00"/>
    <x v="10"/>
    <s v="Tuesday"/>
    <s v="STORE_016"/>
    <x v="4"/>
    <x v="3"/>
    <x v="12"/>
    <n v="556.12"/>
    <n v="2"/>
    <n v="1112.24"/>
    <n v="10"/>
    <n v="111.22"/>
    <n v="1001.02"/>
    <s v="Credit Card"/>
    <s v="CUST_00721"/>
    <n v="3"/>
    <n v="111.22000000000003"/>
    <n v="500.51"/>
    <s v="Medium"/>
  </r>
  <r>
    <s v="TXN_02603"/>
    <d v="2024-08-29T00:00:00"/>
    <x v="8"/>
    <s v="Thursday"/>
    <s v="STORE_004"/>
    <x v="2"/>
    <x v="6"/>
    <x v="33"/>
    <n v="531.88"/>
    <n v="5"/>
    <n v="2659.4"/>
    <n v="5"/>
    <n v="132.97"/>
    <n v="2526.4299999999998"/>
    <s v="Debit Card"/>
    <s v="CUST_00343"/>
    <n v="4"/>
    <n v="132.97000000000025"/>
    <n v="505.28599999999994"/>
    <s v="Low"/>
  </r>
  <r>
    <s v="TXN_02604"/>
    <d v="2024-02-21T00:00:00"/>
    <x v="1"/>
    <s v="Wednesday"/>
    <s v="STORE_005"/>
    <x v="3"/>
    <x v="1"/>
    <x v="3"/>
    <n v="101.43"/>
    <n v="6"/>
    <n v="608.58000000000004"/>
    <n v="0"/>
    <n v="0"/>
    <n v="608.58000000000004"/>
    <s v="Credit Card"/>
    <s v="CUST_00726"/>
    <n v="1"/>
    <n v="0"/>
    <n v="101.43"/>
    <s v="No Discount"/>
  </r>
  <r>
    <s v="TXN_02605"/>
    <d v="2024-12-14T00:00:00"/>
    <x v="6"/>
    <s v="Saturday"/>
    <s v="STORE_023"/>
    <x v="4"/>
    <x v="5"/>
    <x v="9"/>
    <n v="1035.6500000000001"/>
    <n v="9"/>
    <n v="9320.85"/>
    <n v="0"/>
    <n v="0"/>
    <n v="9320.85"/>
    <s v="Debit Card"/>
    <s v="CUST_00586"/>
    <n v="4"/>
    <n v="0"/>
    <n v="1035.6500000000001"/>
    <s v="No Discount"/>
  </r>
  <r>
    <s v="TXN_02606"/>
    <d v="2024-03-11T00:00:00"/>
    <x v="5"/>
    <s v="Monday"/>
    <s v="STORE_014"/>
    <x v="0"/>
    <x v="3"/>
    <x v="22"/>
    <n v="2565.15"/>
    <n v="6"/>
    <n v="15390.9"/>
    <n v="10"/>
    <n v="1539.09"/>
    <n v="13851.81"/>
    <s v="UPI"/>
    <s v="CUST_00327"/>
    <n v="5"/>
    <n v="1539.0900000000001"/>
    <n v="2308.6349999999998"/>
    <s v="Medium"/>
  </r>
  <r>
    <s v="TXN_02607"/>
    <d v="2024-01-03T00:00:00"/>
    <x v="2"/>
    <s v="Wednesday"/>
    <s v="STORE_039"/>
    <x v="0"/>
    <x v="2"/>
    <x v="7"/>
    <n v="450.28"/>
    <n v="4"/>
    <n v="1801.12"/>
    <n v="0"/>
    <n v="0"/>
    <n v="1801.12"/>
    <s v="UPI"/>
    <s v="CUST_00111"/>
    <n v="1"/>
    <n v="0"/>
    <n v="450.28"/>
    <s v="No Discount"/>
  </r>
  <r>
    <s v="TXN_02608"/>
    <d v="2024-10-08T00:00:00"/>
    <x v="7"/>
    <s v="Tuesday"/>
    <s v="STORE_016"/>
    <x v="4"/>
    <x v="2"/>
    <x v="7"/>
    <n v="382.04"/>
    <n v="10"/>
    <n v="3820.4"/>
    <n v="0"/>
    <n v="0"/>
    <n v="3820.4"/>
    <s v="Cash"/>
    <s v="CUST_00947"/>
    <n v="4"/>
    <n v="0"/>
    <n v="382.04"/>
    <s v="No Discount"/>
  </r>
  <r>
    <s v="TXN_02609"/>
    <d v="2024-03-21T00:00:00"/>
    <x v="5"/>
    <s v="Thursday"/>
    <s v="STORE_014"/>
    <x v="2"/>
    <x v="0"/>
    <x v="4"/>
    <n v="882.45"/>
    <n v="4"/>
    <n v="3529.8"/>
    <n v="20"/>
    <n v="705.96"/>
    <n v="2823.84"/>
    <s v="Debit Card"/>
    <s v="CUST_00966"/>
    <n v="1"/>
    <n v="705.96"/>
    <n v="705.96"/>
    <s v="High"/>
  </r>
  <r>
    <s v="TXN_02610"/>
    <d v="2024-07-27T00:00:00"/>
    <x v="11"/>
    <s v="Saturday"/>
    <s v="STORE_050"/>
    <x v="4"/>
    <x v="1"/>
    <x v="31"/>
    <n v="417.78"/>
    <n v="7"/>
    <n v="2924.46"/>
    <n v="5"/>
    <n v="146.22"/>
    <n v="2778.24"/>
    <s v="Cash"/>
    <s v="CUST_00146"/>
    <n v="2"/>
    <n v="146.22000000000025"/>
    <n v="396.89142857142855"/>
    <s v="Low"/>
  </r>
  <r>
    <s v="TXN_02611"/>
    <d v="2024-11-30T00:00:00"/>
    <x v="0"/>
    <s v="Saturday"/>
    <s v="STORE_047"/>
    <x v="3"/>
    <x v="2"/>
    <x v="13"/>
    <n v="477.11"/>
    <n v="5"/>
    <n v="2385.5500000000002"/>
    <n v="20"/>
    <n v="477.11"/>
    <n v="1908.44"/>
    <s v="Wallet"/>
    <s v="CUST_00686"/>
    <n v="2"/>
    <n v="477.11000000000013"/>
    <n v="381.68799999999999"/>
    <s v="High"/>
  </r>
  <r>
    <s v="TXN_02612"/>
    <d v="2024-08-31T00:00:00"/>
    <x v="8"/>
    <s v="Saturday"/>
    <s v="STORE_035"/>
    <x v="3"/>
    <x v="5"/>
    <x v="25"/>
    <n v="1010.45"/>
    <n v="1"/>
    <n v="1010.45"/>
    <n v="15"/>
    <n v="151.57"/>
    <n v="858.88"/>
    <s v="Debit Card"/>
    <s v="CUST_00681"/>
    <n v="1"/>
    <n v="151.57000000000005"/>
    <n v="858.88"/>
    <s v="Medium"/>
  </r>
  <r>
    <s v="TXN_02613"/>
    <d v="2024-09-01T00:00:00"/>
    <x v="9"/>
    <s v="Sunday"/>
    <s v="STORE_006"/>
    <x v="4"/>
    <x v="6"/>
    <x v="30"/>
    <n v="956.29"/>
    <n v="7"/>
    <n v="6694.03"/>
    <n v="20"/>
    <n v="1338.81"/>
    <n v="5355.22"/>
    <s v="Credit Card"/>
    <s v="CUST_00025"/>
    <n v="3"/>
    <n v="1338.8099999999995"/>
    <n v="765.03142857142859"/>
    <s v="High"/>
  </r>
  <r>
    <s v="TXN_02614"/>
    <d v="2024-11-29T00:00:00"/>
    <x v="0"/>
    <s v="Friday"/>
    <s v="STORE_042"/>
    <x v="0"/>
    <x v="4"/>
    <x v="35"/>
    <n v="243.81"/>
    <n v="3"/>
    <n v="731.43"/>
    <n v="5"/>
    <n v="36.57"/>
    <n v="694.86"/>
    <s v="Credit Card"/>
    <s v="CUST_00748"/>
    <n v="4"/>
    <n v="36.569999999999936"/>
    <n v="231.62"/>
    <s v="Low"/>
  </r>
  <r>
    <s v="TXN_02615"/>
    <d v="2024-04-12T00:00:00"/>
    <x v="4"/>
    <s v="Friday"/>
    <s v="STORE_039"/>
    <x v="0"/>
    <x v="6"/>
    <x v="14"/>
    <n v="1982.53"/>
    <n v="6"/>
    <n v="11895.18"/>
    <n v="5"/>
    <n v="594.76"/>
    <n v="11300.42"/>
    <s v="Debit Card"/>
    <s v="CUST_00832"/>
    <n v="4"/>
    <n v="594.76000000000022"/>
    <n v="1883.4033333333334"/>
    <s v="Low"/>
  </r>
  <r>
    <s v="TXN_02616"/>
    <d v="2024-05-27T00:00:00"/>
    <x v="3"/>
    <s v="Monday"/>
    <s v="STORE_004"/>
    <x v="4"/>
    <x v="6"/>
    <x v="30"/>
    <n v="1860.61"/>
    <n v="1"/>
    <n v="1860.61"/>
    <n v="15"/>
    <n v="279.08999999999997"/>
    <n v="1581.52"/>
    <s v="Credit Card"/>
    <s v="CUST_00841"/>
    <n v="5"/>
    <n v="279.08999999999992"/>
    <n v="1581.52"/>
    <s v="Medium"/>
  </r>
  <r>
    <s v="TXN_02617"/>
    <d v="2024-06-13T00:00:00"/>
    <x v="10"/>
    <s v="Thursday"/>
    <s v="STORE_035"/>
    <x v="2"/>
    <x v="3"/>
    <x v="21"/>
    <n v="1748.52"/>
    <n v="9"/>
    <n v="15736.68"/>
    <n v="0"/>
    <n v="0"/>
    <n v="15736.68"/>
    <s v="Credit Card"/>
    <s v="CUST_00178"/>
    <n v="3"/>
    <n v="0"/>
    <n v="1748.52"/>
    <s v="No Discount"/>
  </r>
  <r>
    <s v="TXN_02618"/>
    <d v="2024-05-26T00:00:00"/>
    <x v="3"/>
    <s v="Sunday"/>
    <s v="STORE_039"/>
    <x v="0"/>
    <x v="3"/>
    <x v="22"/>
    <n v="2157.2600000000002"/>
    <n v="5"/>
    <n v="10786.3"/>
    <n v="0"/>
    <n v="0"/>
    <n v="10786.3"/>
    <s v="Cash"/>
    <s v="CUST_00640"/>
    <n v="5"/>
    <n v="0"/>
    <n v="2157.2599999999998"/>
    <s v="No Discount"/>
  </r>
  <r>
    <s v="TXN_02619"/>
    <d v="2024-11-26T00:00:00"/>
    <x v="0"/>
    <s v="Tuesday"/>
    <s v="STORE_027"/>
    <x v="3"/>
    <x v="6"/>
    <x v="26"/>
    <n v="1609.39"/>
    <n v="1"/>
    <n v="1609.39"/>
    <n v="0"/>
    <n v="0"/>
    <n v="1609.39"/>
    <s v="Debit Card"/>
    <s v="CUST_00091"/>
    <n v="4"/>
    <n v="0"/>
    <n v="1609.39"/>
    <s v="No Discount"/>
  </r>
  <r>
    <s v="TXN_02620"/>
    <d v="2024-01-31T00:00:00"/>
    <x v="2"/>
    <s v="Wednesday"/>
    <s v="STORE_006"/>
    <x v="0"/>
    <x v="3"/>
    <x v="5"/>
    <n v="1302.94"/>
    <n v="9"/>
    <n v="11726.46"/>
    <n v="15"/>
    <n v="1758.97"/>
    <n v="9967.49"/>
    <s v="Credit Card"/>
    <s v="CUST_00141"/>
    <n v="5"/>
    <n v="1758.9699999999993"/>
    <n v="1107.4988888888888"/>
    <s v="Medium"/>
  </r>
  <r>
    <s v="TXN_02621"/>
    <d v="2024-02-15T00:00:00"/>
    <x v="1"/>
    <s v="Thursday"/>
    <s v="STORE_050"/>
    <x v="3"/>
    <x v="0"/>
    <x v="27"/>
    <n v="253.42"/>
    <n v="10"/>
    <n v="2534.1999999999998"/>
    <n v="0"/>
    <n v="0"/>
    <n v="2534.1999999999998"/>
    <s v="UPI"/>
    <s v="CUST_00868"/>
    <n v="3"/>
    <n v="0"/>
    <n v="253.42"/>
    <s v="No Discount"/>
  </r>
  <r>
    <s v="TXN_02622"/>
    <d v="2024-11-29T00:00:00"/>
    <x v="0"/>
    <s v="Friday"/>
    <s v="STORE_023"/>
    <x v="4"/>
    <x v="6"/>
    <x v="15"/>
    <n v="1867.04"/>
    <n v="4"/>
    <n v="7468.16"/>
    <n v="0"/>
    <n v="0"/>
    <n v="7468.16"/>
    <s v="Credit Card"/>
    <s v="CUST_00970"/>
    <n v="1"/>
    <n v="0"/>
    <n v="1867.04"/>
    <s v="No Discount"/>
  </r>
  <r>
    <s v="TXN_02623"/>
    <d v="2024-10-20T00:00:00"/>
    <x v="7"/>
    <s v="Sunday"/>
    <s v="STORE_039"/>
    <x v="3"/>
    <x v="3"/>
    <x v="12"/>
    <n v="223.43"/>
    <n v="10"/>
    <n v="2234.3000000000002"/>
    <n v="5"/>
    <n v="111.72"/>
    <n v="2122.58"/>
    <s v="UPI"/>
    <s v="CUST_00634"/>
    <n v="2"/>
    <n v="111.72000000000025"/>
    <n v="212.25799999999998"/>
    <s v="Low"/>
  </r>
  <r>
    <s v="TXN_02624"/>
    <d v="2024-04-28T00:00:00"/>
    <x v="4"/>
    <s v="Sunday"/>
    <s v="STORE_043"/>
    <x v="3"/>
    <x v="2"/>
    <x v="29"/>
    <n v="166.27"/>
    <n v="10"/>
    <n v="1662.7"/>
    <n v="0"/>
    <n v="0"/>
    <n v="1662.7"/>
    <s v="Cash"/>
    <s v="CUST_00621"/>
    <n v="2"/>
    <n v="0"/>
    <n v="166.27"/>
    <s v="No Discount"/>
  </r>
  <r>
    <s v="TXN_02625"/>
    <d v="2024-09-30T00:00:00"/>
    <x v="9"/>
    <s v="Monday"/>
    <s v="STORE_026"/>
    <x v="3"/>
    <x v="3"/>
    <x v="5"/>
    <n v="2996.35"/>
    <n v="6"/>
    <n v="17978.099999999999"/>
    <n v="15"/>
    <n v="2696.71"/>
    <n v="15281.39"/>
    <s v="Credit Card"/>
    <s v="CUST_00438"/>
    <n v="1"/>
    <n v="2696.7099999999991"/>
    <n v="2546.8983333333331"/>
    <s v="Medium"/>
  </r>
  <r>
    <s v="TXN_02626"/>
    <d v="2024-01-20T00:00:00"/>
    <x v="2"/>
    <s v="Saturday"/>
    <s v="STORE_035"/>
    <x v="0"/>
    <x v="1"/>
    <x v="36"/>
    <n v="279.08999999999997"/>
    <n v="8"/>
    <n v="2232.7199999999998"/>
    <n v="5"/>
    <n v="111.64"/>
    <n v="2121.08"/>
    <s v="Debit Card"/>
    <s v="CUST_00419"/>
    <n v="5"/>
    <n v="111.63999999999987"/>
    <n v="265.13499999999999"/>
    <s v="Low"/>
  </r>
  <r>
    <s v="TXN_02627"/>
    <d v="2024-03-30T00:00:00"/>
    <x v="5"/>
    <s v="Saturday"/>
    <s v="STORE_050"/>
    <x v="0"/>
    <x v="3"/>
    <x v="5"/>
    <n v="1725.29"/>
    <n v="6"/>
    <n v="10351.74"/>
    <n v="0"/>
    <n v="0"/>
    <n v="10351.74"/>
    <s v="Credit Card"/>
    <s v="CUST_00471"/>
    <n v="4"/>
    <n v="0"/>
    <n v="1725.29"/>
    <s v="No Discount"/>
  </r>
  <r>
    <s v="TXN_02628"/>
    <d v="2024-08-01T00:00:00"/>
    <x v="8"/>
    <s v="Thursday"/>
    <s v="STORE_029"/>
    <x v="4"/>
    <x v="0"/>
    <x v="0"/>
    <n v="673.7"/>
    <n v="3"/>
    <n v="2021.1"/>
    <n v="5"/>
    <n v="101.06"/>
    <n v="1920.04"/>
    <s v="UPI"/>
    <s v="CUST_00851"/>
    <n v="4"/>
    <n v="101.05999999999995"/>
    <n v="640.01333333333332"/>
    <s v="Low"/>
  </r>
  <r>
    <s v="TXN_02629"/>
    <d v="2024-03-31T00:00:00"/>
    <x v="5"/>
    <s v="Sunday"/>
    <s v="STORE_026"/>
    <x v="1"/>
    <x v="6"/>
    <x v="26"/>
    <n v="1548.86"/>
    <n v="4"/>
    <n v="6195.44"/>
    <n v="5"/>
    <n v="309.77"/>
    <n v="5885.67"/>
    <s v="UPI"/>
    <s v="CUST_00174"/>
    <n v="1"/>
    <n v="309.76999999999953"/>
    <n v="1471.4175"/>
    <s v="Low"/>
  </r>
  <r>
    <s v="TXN_02630"/>
    <d v="2024-01-19T00:00:00"/>
    <x v="2"/>
    <s v="Friday"/>
    <s v="STORE_001"/>
    <x v="3"/>
    <x v="5"/>
    <x v="10"/>
    <n v="4667.1099999999997"/>
    <n v="10"/>
    <n v="46671.1"/>
    <n v="15"/>
    <n v="7000.66"/>
    <n v="39670.44"/>
    <s v="Wallet"/>
    <s v="CUST_00299"/>
    <n v="5"/>
    <n v="7000.6599999999962"/>
    <n v="3967.0440000000003"/>
    <s v="Medium"/>
  </r>
  <r>
    <s v="TXN_02631"/>
    <d v="2024-07-22T00:00:00"/>
    <x v="11"/>
    <s v="Monday"/>
    <s v="STORE_040"/>
    <x v="3"/>
    <x v="3"/>
    <x v="22"/>
    <n v="1783.68"/>
    <n v="2"/>
    <n v="3567.36"/>
    <n v="0"/>
    <n v="0"/>
    <n v="3567.36"/>
    <s v="Cash"/>
    <s v="CUST_00492"/>
    <n v="3"/>
    <n v="0"/>
    <n v="1783.68"/>
    <s v="No Discount"/>
  </r>
  <r>
    <s v="TXN_02632"/>
    <d v="2024-09-10T00:00:00"/>
    <x v="9"/>
    <s v="Tuesday"/>
    <s v="STORE_019"/>
    <x v="2"/>
    <x v="1"/>
    <x v="31"/>
    <n v="245.23"/>
    <n v="10"/>
    <n v="2452.3000000000002"/>
    <n v="20"/>
    <n v="490.46"/>
    <n v="1961.84"/>
    <s v="UPI"/>
    <s v="CUST_00563"/>
    <n v="4"/>
    <n v="490.46000000000026"/>
    <n v="196.184"/>
    <s v="High"/>
  </r>
  <r>
    <s v="TXN_02633"/>
    <d v="2024-04-05T00:00:00"/>
    <x v="4"/>
    <s v="Friday"/>
    <s v="STORE_005"/>
    <x v="1"/>
    <x v="3"/>
    <x v="16"/>
    <n v="1234.2"/>
    <n v="9"/>
    <n v="11107.8"/>
    <n v="0"/>
    <n v="0"/>
    <n v="11107.8"/>
    <s v="Cash"/>
    <s v="CUST_00128"/>
    <n v="1"/>
    <n v="0"/>
    <n v="1234.1999999999998"/>
    <s v="No Discount"/>
  </r>
  <r>
    <s v="TXN_02634"/>
    <d v="2024-05-28T00:00:00"/>
    <x v="3"/>
    <s v="Tuesday"/>
    <s v="STORE_038"/>
    <x v="0"/>
    <x v="1"/>
    <x v="36"/>
    <n v="451.37"/>
    <n v="7"/>
    <n v="3159.59"/>
    <n v="0"/>
    <n v="0"/>
    <n v="3159.59"/>
    <s v="UPI"/>
    <s v="CUST_00586"/>
    <n v="5"/>
    <n v="0"/>
    <n v="451.37"/>
    <s v="No Discount"/>
  </r>
  <r>
    <s v="TXN_02635"/>
    <d v="2024-01-20T00:00:00"/>
    <x v="2"/>
    <s v="Saturday"/>
    <s v="STORE_006"/>
    <x v="4"/>
    <x v="7"/>
    <x v="38"/>
    <n v="1008.28"/>
    <n v="6"/>
    <n v="6049.68"/>
    <n v="20"/>
    <n v="1209.94"/>
    <n v="4839.74"/>
    <s v="UPI"/>
    <s v="CUST_00546"/>
    <n v="3"/>
    <n v="1209.9400000000005"/>
    <n v="806.62333333333333"/>
    <s v="High"/>
  </r>
  <r>
    <s v="TXN_02636"/>
    <d v="2024-01-05T00:00:00"/>
    <x v="2"/>
    <s v="Friday"/>
    <s v="STORE_004"/>
    <x v="1"/>
    <x v="1"/>
    <x v="36"/>
    <n v="341.73"/>
    <n v="5"/>
    <n v="1708.65"/>
    <n v="10"/>
    <n v="170.87"/>
    <n v="1537.78"/>
    <s v="UPI"/>
    <s v="CUST_00793"/>
    <n v="1"/>
    <n v="170.87000000000012"/>
    <n v="307.55599999999998"/>
    <s v="Medium"/>
  </r>
  <r>
    <s v="TXN_02637"/>
    <d v="2024-06-01T00:00:00"/>
    <x v="10"/>
    <s v="Saturday"/>
    <s v="STORE_046"/>
    <x v="0"/>
    <x v="6"/>
    <x v="30"/>
    <n v="1577.6"/>
    <n v="3"/>
    <n v="4732.8"/>
    <n v="0"/>
    <n v="0"/>
    <n v="4732.8"/>
    <s v="Cash"/>
    <s v="CUST_00536"/>
    <n v="5"/>
    <n v="0"/>
    <n v="1577.6000000000001"/>
    <s v="No Discount"/>
  </r>
  <r>
    <s v="TXN_02638"/>
    <d v="2024-10-17T00:00:00"/>
    <x v="7"/>
    <s v="Thursday"/>
    <s v="STORE_041"/>
    <x v="0"/>
    <x v="1"/>
    <x v="3"/>
    <n v="425.87"/>
    <n v="8"/>
    <n v="3406.96"/>
    <n v="0"/>
    <n v="0"/>
    <n v="3406.96"/>
    <s v="UPI"/>
    <s v="CUST_00658"/>
    <n v="1"/>
    <n v="0"/>
    <n v="425.87"/>
    <s v="No Discount"/>
  </r>
  <r>
    <s v="TXN_02639"/>
    <d v="2024-11-04T00:00:00"/>
    <x v="0"/>
    <s v="Monday"/>
    <s v="STORE_022"/>
    <x v="2"/>
    <x v="6"/>
    <x v="14"/>
    <n v="1384.48"/>
    <n v="1"/>
    <n v="1384.48"/>
    <n v="0"/>
    <n v="0"/>
    <n v="1384.48"/>
    <s v="Credit Card"/>
    <s v="CUST_00066"/>
    <n v="2"/>
    <n v="0"/>
    <n v="1384.48"/>
    <s v="No Discount"/>
  </r>
  <r>
    <s v="TXN_02640"/>
    <d v="2024-02-24T00:00:00"/>
    <x v="1"/>
    <s v="Saturday"/>
    <s v="STORE_043"/>
    <x v="4"/>
    <x v="0"/>
    <x v="18"/>
    <n v="594.73"/>
    <n v="3"/>
    <n v="1784.19"/>
    <n v="10"/>
    <n v="178.42"/>
    <n v="1605.77"/>
    <s v="Credit Card"/>
    <s v="CUST_00353"/>
    <n v="4"/>
    <n v="178.42000000000007"/>
    <n v="535.25666666666666"/>
    <s v="Medium"/>
  </r>
  <r>
    <s v="TXN_02641"/>
    <d v="2024-06-20T00:00:00"/>
    <x v="10"/>
    <s v="Thursday"/>
    <s v="STORE_008"/>
    <x v="4"/>
    <x v="5"/>
    <x v="11"/>
    <n v="1648.2"/>
    <n v="4"/>
    <n v="6592.8"/>
    <n v="5"/>
    <n v="329.64"/>
    <n v="6263.16"/>
    <s v="Wallet"/>
    <s v="CUST_00017"/>
    <n v="2"/>
    <n v="329.64000000000033"/>
    <n v="1565.79"/>
    <s v="Low"/>
  </r>
  <r>
    <s v="TXN_02642"/>
    <d v="2024-05-25T00:00:00"/>
    <x v="3"/>
    <s v="Saturday"/>
    <s v="STORE_002"/>
    <x v="0"/>
    <x v="0"/>
    <x v="0"/>
    <n v="909.15"/>
    <n v="1"/>
    <n v="909.15"/>
    <n v="20"/>
    <n v="181.83"/>
    <n v="727.32"/>
    <s v="UPI"/>
    <s v="CUST_00832"/>
    <n v="2"/>
    <n v="181.82999999999993"/>
    <n v="727.32"/>
    <s v="High"/>
  </r>
  <r>
    <s v="TXN_02643"/>
    <d v="2024-08-20T00:00:00"/>
    <x v="8"/>
    <s v="Tuesday"/>
    <s v="STORE_029"/>
    <x v="1"/>
    <x v="2"/>
    <x v="29"/>
    <n v="733.29"/>
    <n v="7"/>
    <n v="5133.03"/>
    <n v="0"/>
    <n v="0"/>
    <n v="5133.03"/>
    <s v="Cash"/>
    <s v="CUST_00245"/>
    <n v="5"/>
    <n v="0"/>
    <n v="733.29"/>
    <s v="No Discount"/>
  </r>
  <r>
    <s v="TXN_02644"/>
    <d v="2024-11-24T00:00:00"/>
    <x v="0"/>
    <s v="Sunday"/>
    <s v="STORE_020"/>
    <x v="3"/>
    <x v="1"/>
    <x v="6"/>
    <n v="497.36"/>
    <n v="6"/>
    <n v="2984.16"/>
    <n v="5"/>
    <n v="149.21"/>
    <n v="2834.95"/>
    <s v="Credit Card"/>
    <s v="CUST_00969"/>
    <n v="3"/>
    <n v="149.21000000000004"/>
    <n v="472.49166666666662"/>
    <s v="Low"/>
  </r>
  <r>
    <s v="TXN_02645"/>
    <d v="2024-10-05T00:00:00"/>
    <x v="7"/>
    <s v="Saturday"/>
    <s v="STORE_035"/>
    <x v="3"/>
    <x v="4"/>
    <x v="19"/>
    <n v="455.23"/>
    <n v="8"/>
    <n v="3641.84"/>
    <n v="0"/>
    <n v="0"/>
    <n v="3641.84"/>
    <s v="Credit Card"/>
    <s v="CUST_00808"/>
    <n v="4"/>
    <n v="0"/>
    <n v="455.23"/>
    <s v="No Discount"/>
  </r>
  <r>
    <s v="TXN_02646"/>
    <d v="2024-09-25T00:00:00"/>
    <x v="9"/>
    <s v="Wednesday"/>
    <s v="STORE_022"/>
    <x v="2"/>
    <x v="3"/>
    <x v="22"/>
    <n v="2008.64"/>
    <n v="5"/>
    <n v="10043.200000000001"/>
    <n v="0"/>
    <n v="0"/>
    <n v="10043.200000000001"/>
    <s v="Debit Card"/>
    <s v="CUST_00288"/>
    <n v="3"/>
    <n v="0"/>
    <n v="2008.64"/>
    <s v="No Discount"/>
  </r>
  <r>
    <s v="TXN_02647"/>
    <d v="2024-09-09T00:00:00"/>
    <x v="9"/>
    <s v="Monday"/>
    <s v="STORE_033"/>
    <x v="0"/>
    <x v="0"/>
    <x v="4"/>
    <n v="917.06"/>
    <n v="9"/>
    <n v="8253.5400000000009"/>
    <n v="15"/>
    <n v="1238.03"/>
    <n v="7015.51"/>
    <s v="UPI"/>
    <s v="CUST_00683"/>
    <n v="3"/>
    <n v="1238.0300000000007"/>
    <n v="779.50111111111119"/>
    <s v="Medium"/>
  </r>
  <r>
    <s v="TXN_02648"/>
    <d v="2024-03-09T00:00:00"/>
    <x v="5"/>
    <s v="Saturday"/>
    <s v="STORE_042"/>
    <x v="4"/>
    <x v="2"/>
    <x v="7"/>
    <n v="238.81"/>
    <n v="5"/>
    <n v="1194.05"/>
    <n v="10"/>
    <n v="119.41"/>
    <n v="1074.6400000000001"/>
    <s v="Debit Card"/>
    <s v="CUST_00968"/>
    <n v="3"/>
    <n v="119.40999999999985"/>
    <n v="214.92800000000003"/>
    <s v="Medium"/>
  </r>
  <r>
    <s v="TXN_02649"/>
    <d v="2024-09-15T00:00:00"/>
    <x v="9"/>
    <s v="Sunday"/>
    <s v="STORE_020"/>
    <x v="4"/>
    <x v="0"/>
    <x v="0"/>
    <n v="883.74"/>
    <n v="8"/>
    <n v="7069.92"/>
    <n v="0"/>
    <n v="0"/>
    <n v="7069.92"/>
    <s v="UPI"/>
    <s v="CUST_00321"/>
    <n v="4"/>
    <n v="0"/>
    <n v="883.74"/>
    <s v="No Discount"/>
  </r>
  <r>
    <s v="TXN_02650"/>
    <d v="2024-08-27T00:00:00"/>
    <x v="8"/>
    <s v="Tuesday"/>
    <s v="STORE_031"/>
    <x v="2"/>
    <x v="3"/>
    <x v="12"/>
    <n v="282.04000000000002"/>
    <n v="8"/>
    <n v="2256.3200000000002"/>
    <n v="5"/>
    <n v="112.82"/>
    <n v="2143.5"/>
    <s v="Cash"/>
    <s v="CUST_00947"/>
    <n v="5"/>
    <n v="112.82000000000016"/>
    <n v="267.9375"/>
    <s v="Low"/>
  </r>
  <r>
    <s v="TXN_02651"/>
    <d v="2024-05-19T00:00:00"/>
    <x v="3"/>
    <s v="Sunday"/>
    <s v="STORE_014"/>
    <x v="1"/>
    <x v="2"/>
    <x v="29"/>
    <n v="211.35"/>
    <n v="7"/>
    <n v="1479.45"/>
    <n v="20"/>
    <n v="295.89"/>
    <n v="1183.56"/>
    <s v="Wallet"/>
    <s v="CUST_00308"/>
    <n v="5"/>
    <n v="295.8900000000001"/>
    <n v="169.07999999999998"/>
    <s v="High"/>
  </r>
  <r>
    <s v="TXN_02652"/>
    <d v="2024-04-08T00:00:00"/>
    <x v="4"/>
    <s v="Monday"/>
    <s v="STORE_023"/>
    <x v="2"/>
    <x v="3"/>
    <x v="5"/>
    <n v="2991.09"/>
    <n v="6"/>
    <n v="17946.54"/>
    <n v="20"/>
    <n v="3589.31"/>
    <n v="14357.23"/>
    <s v="Wallet"/>
    <s v="CUST_00782"/>
    <n v="1"/>
    <n v="3589.3100000000013"/>
    <n v="2392.8716666666664"/>
    <s v="High"/>
  </r>
  <r>
    <s v="TXN_02653"/>
    <d v="2024-02-27T00:00:00"/>
    <x v="1"/>
    <s v="Tuesday"/>
    <s v="STORE_012"/>
    <x v="4"/>
    <x v="2"/>
    <x v="39"/>
    <n v="659.8"/>
    <n v="6"/>
    <n v="3958.8"/>
    <n v="15"/>
    <n v="593.82000000000005"/>
    <n v="3364.98"/>
    <s v="Credit Card"/>
    <s v="CUST_00276"/>
    <n v="5"/>
    <n v="593.82000000000016"/>
    <n v="560.83000000000004"/>
    <s v="Medium"/>
  </r>
  <r>
    <s v="TXN_02654"/>
    <d v="2024-06-18T00:00:00"/>
    <x v="10"/>
    <s v="Tuesday"/>
    <s v="STORE_018"/>
    <x v="0"/>
    <x v="0"/>
    <x v="4"/>
    <n v="332.15"/>
    <n v="1"/>
    <n v="332.15"/>
    <n v="0"/>
    <n v="0"/>
    <n v="332.15"/>
    <s v="UPI"/>
    <s v="CUST_00940"/>
    <n v="2"/>
    <n v="0"/>
    <n v="332.15"/>
    <s v="No Discount"/>
  </r>
  <r>
    <s v="TXN_02655"/>
    <d v="2024-03-24T00:00:00"/>
    <x v="5"/>
    <s v="Sunday"/>
    <s v="STORE_010"/>
    <x v="4"/>
    <x v="3"/>
    <x v="16"/>
    <n v="327.9"/>
    <n v="8"/>
    <n v="2623.2"/>
    <n v="5"/>
    <n v="131.16"/>
    <n v="2492.04"/>
    <s v="Debit Card"/>
    <s v="CUST_00323"/>
    <n v="4"/>
    <n v="131.15999999999985"/>
    <n v="311.505"/>
    <s v="Low"/>
  </r>
  <r>
    <s v="TXN_02656"/>
    <d v="2024-08-22T00:00:00"/>
    <x v="8"/>
    <s v="Thursday"/>
    <s v="STORE_005"/>
    <x v="3"/>
    <x v="2"/>
    <x v="39"/>
    <n v="566.87"/>
    <n v="1"/>
    <n v="566.87"/>
    <n v="0"/>
    <n v="0"/>
    <n v="566.87"/>
    <s v="Wallet"/>
    <s v="CUST_00142"/>
    <n v="1"/>
    <n v="0"/>
    <n v="566.87"/>
    <s v="No Discount"/>
  </r>
  <r>
    <s v="TXN_02657"/>
    <d v="2024-11-27T00:00:00"/>
    <x v="0"/>
    <s v="Wednesday"/>
    <s v="STORE_045"/>
    <x v="2"/>
    <x v="4"/>
    <x v="17"/>
    <n v="596.76"/>
    <n v="2"/>
    <n v="1193.52"/>
    <n v="0"/>
    <n v="0"/>
    <n v="1193.52"/>
    <s v="Credit Card"/>
    <s v="CUST_00308"/>
    <n v="2"/>
    <n v="0"/>
    <n v="596.76"/>
    <s v="No Discount"/>
  </r>
  <r>
    <s v="TXN_02658"/>
    <d v="2024-05-11T00:00:00"/>
    <x v="3"/>
    <s v="Saturday"/>
    <s v="STORE_022"/>
    <x v="0"/>
    <x v="4"/>
    <x v="8"/>
    <n v="446.07"/>
    <n v="9"/>
    <n v="4014.63"/>
    <n v="0"/>
    <n v="0"/>
    <n v="4014.63"/>
    <s v="Cash"/>
    <s v="CUST_00906"/>
    <n v="2"/>
    <n v="0"/>
    <n v="446.07"/>
    <s v="No Discount"/>
  </r>
  <r>
    <s v="TXN_02659"/>
    <d v="2024-04-05T00:00:00"/>
    <x v="4"/>
    <s v="Friday"/>
    <s v="STORE_049"/>
    <x v="3"/>
    <x v="7"/>
    <x v="38"/>
    <n v="1390.63"/>
    <n v="10"/>
    <n v="13906.3"/>
    <n v="0"/>
    <n v="0"/>
    <n v="13906.3"/>
    <s v="Debit Card"/>
    <s v="CUST_00636"/>
    <n v="2"/>
    <n v="0"/>
    <n v="1390.6299999999999"/>
    <s v="No Discount"/>
  </r>
  <r>
    <s v="TXN_02660"/>
    <d v="2024-01-08T00:00:00"/>
    <x v="2"/>
    <s v="Monday"/>
    <s v="STORE_043"/>
    <x v="1"/>
    <x v="4"/>
    <x v="20"/>
    <n v="185.4"/>
    <n v="2"/>
    <n v="370.8"/>
    <n v="0"/>
    <n v="0"/>
    <n v="370.8"/>
    <s v="Debit Card"/>
    <s v="CUST_00590"/>
    <n v="2"/>
    <n v="0"/>
    <n v="185.4"/>
    <s v="No Discount"/>
  </r>
  <r>
    <s v="TXN_02661"/>
    <d v="2024-06-21T00:00:00"/>
    <x v="10"/>
    <s v="Friday"/>
    <s v="STORE_030"/>
    <x v="1"/>
    <x v="6"/>
    <x v="15"/>
    <n v="1990.64"/>
    <n v="3"/>
    <n v="5971.92"/>
    <n v="5"/>
    <n v="298.60000000000002"/>
    <n v="5673.32"/>
    <s v="Cash"/>
    <s v="CUST_00153"/>
    <n v="2"/>
    <n v="298.60000000000036"/>
    <n v="1891.1066666666666"/>
    <s v="Low"/>
  </r>
  <r>
    <s v="TXN_02662"/>
    <d v="2024-05-31T00:00:00"/>
    <x v="3"/>
    <s v="Friday"/>
    <s v="STORE_024"/>
    <x v="3"/>
    <x v="0"/>
    <x v="4"/>
    <n v="924.89"/>
    <n v="6"/>
    <n v="5549.34"/>
    <n v="0"/>
    <n v="0"/>
    <n v="5549.34"/>
    <s v="Credit Card"/>
    <s v="CUST_00229"/>
    <n v="5"/>
    <n v="0"/>
    <n v="924.89"/>
    <s v="No Discount"/>
  </r>
  <r>
    <s v="TXN_02663"/>
    <d v="2024-10-17T00:00:00"/>
    <x v="7"/>
    <s v="Thursday"/>
    <s v="STORE_006"/>
    <x v="1"/>
    <x v="3"/>
    <x v="16"/>
    <n v="2201.75"/>
    <n v="6"/>
    <n v="13210.5"/>
    <n v="0"/>
    <n v="0"/>
    <n v="13210.5"/>
    <s v="Cash"/>
    <s v="CUST_00648"/>
    <n v="3"/>
    <n v="0"/>
    <n v="2201.75"/>
    <s v="No Discount"/>
  </r>
  <r>
    <s v="TXN_02664"/>
    <d v="2024-12-11T00:00:00"/>
    <x v="6"/>
    <s v="Wednesday"/>
    <s v="STORE_007"/>
    <x v="2"/>
    <x v="0"/>
    <x v="18"/>
    <n v="838.55"/>
    <n v="2"/>
    <n v="1677.1"/>
    <n v="10"/>
    <n v="167.71"/>
    <n v="1509.39"/>
    <s v="Debit Card"/>
    <s v="CUST_00489"/>
    <n v="3"/>
    <n v="167.70999999999981"/>
    <n v="754.69500000000005"/>
    <s v="Medium"/>
  </r>
  <r>
    <s v="TXN_02665"/>
    <d v="2024-04-08T00:00:00"/>
    <x v="4"/>
    <s v="Monday"/>
    <s v="STORE_045"/>
    <x v="2"/>
    <x v="2"/>
    <x v="39"/>
    <n v="680.16"/>
    <n v="6"/>
    <n v="4080.96"/>
    <n v="20"/>
    <n v="816.19"/>
    <n v="3264.77"/>
    <s v="Debit Card"/>
    <s v="CUST_00946"/>
    <n v="4"/>
    <n v="816.19"/>
    <n v="544.12833333333333"/>
    <s v="High"/>
  </r>
  <r>
    <s v="TXN_02666"/>
    <d v="2024-03-30T00:00:00"/>
    <x v="5"/>
    <s v="Saturday"/>
    <s v="STORE_030"/>
    <x v="0"/>
    <x v="0"/>
    <x v="0"/>
    <n v="579.13"/>
    <n v="9"/>
    <n v="5212.17"/>
    <n v="20"/>
    <n v="1042.43"/>
    <n v="4169.74"/>
    <s v="Credit Card"/>
    <s v="CUST_00254"/>
    <n v="4"/>
    <n v="1042.4300000000003"/>
    <n v="463.30444444444441"/>
    <s v="High"/>
  </r>
  <r>
    <s v="TXN_02667"/>
    <d v="2024-11-08T00:00:00"/>
    <x v="0"/>
    <s v="Friday"/>
    <s v="STORE_031"/>
    <x v="1"/>
    <x v="1"/>
    <x v="6"/>
    <n v="223.37"/>
    <n v="3"/>
    <n v="670.11"/>
    <n v="20"/>
    <n v="134.02000000000001"/>
    <n v="536.09"/>
    <s v="Credit Card"/>
    <s v="CUST_00987"/>
    <n v="3"/>
    <n v="134.01999999999998"/>
    <n v="178.69666666666669"/>
    <s v="High"/>
  </r>
  <r>
    <s v="TXN_02668"/>
    <d v="2024-11-23T00:00:00"/>
    <x v="0"/>
    <s v="Saturday"/>
    <s v="STORE_002"/>
    <x v="4"/>
    <x v="0"/>
    <x v="0"/>
    <n v="808.84"/>
    <n v="5"/>
    <n v="4044.2"/>
    <n v="0"/>
    <n v="0"/>
    <n v="4044.2"/>
    <s v="Debit Card"/>
    <s v="CUST_00264"/>
    <n v="4"/>
    <n v="0"/>
    <n v="808.83999999999992"/>
    <s v="No Discount"/>
  </r>
  <r>
    <s v="TXN_02669"/>
    <d v="2024-07-26T00:00:00"/>
    <x v="11"/>
    <s v="Friday"/>
    <s v="STORE_038"/>
    <x v="4"/>
    <x v="7"/>
    <x v="23"/>
    <n v="1470.85"/>
    <n v="8"/>
    <n v="11766.8"/>
    <n v="5"/>
    <n v="588.34"/>
    <n v="11178.46"/>
    <s v="Debit Card"/>
    <s v="CUST_00956"/>
    <n v="1"/>
    <n v="588.34000000000015"/>
    <n v="1397.3074999999999"/>
    <s v="Low"/>
  </r>
  <r>
    <s v="TXN_02670"/>
    <d v="2024-08-06T00:00:00"/>
    <x v="8"/>
    <s v="Tuesday"/>
    <s v="STORE_002"/>
    <x v="0"/>
    <x v="6"/>
    <x v="33"/>
    <n v="1356.53"/>
    <n v="2"/>
    <n v="2713.06"/>
    <n v="10"/>
    <n v="271.31"/>
    <n v="2441.75"/>
    <s v="UPI"/>
    <s v="CUST_00946"/>
    <n v="2"/>
    <n v="271.30999999999995"/>
    <n v="1220.875"/>
    <s v="Medium"/>
  </r>
  <r>
    <s v="TXN_02671"/>
    <d v="2024-09-20T00:00:00"/>
    <x v="9"/>
    <s v="Friday"/>
    <s v="STORE_003"/>
    <x v="1"/>
    <x v="4"/>
    <x v="8"/>
    <n v="346.12"/>
    <n v="8"/>
    <n v="2768.96"/>
    <n v="0"/>
    <n v="0"/>
    <n v="2768.96"/>
    <s v="Cash"/>
    <s v="CUST_00739"/>
    <n v="3"/>
    <n v="0"/>
    <n v="346.12"/>
    <s v="No Discount"/>
  </r>
  <r>
    <s v="TXN_02672"/>
    <d v="2024-06-16T00:00:00"/>
    <x v="10"/>
    <s v="Sunday"/>
    <s v="STORE_012"/>
    <x v="0"/>
    <x v="5"/>
    <x v="11"/>
    <n v="4657.5200000000004"/>
    <n v="7"/>
    <n v="32602.639999999999"/>
    <n v="5"/>
    <n v="1630.13"/>
    <n v="30972.51"/>
    <s v="Debit Card"/>
    <s v="CUST_00288"/>
    <n v="1"/>
    <n v="1630.130000000001"/>
    <n v="4424.6442857142856"/>
    <s v="Low"/>
  </r>
  <r>
    <s v="TXN_02673"/>
    <d v="2024-02-14T00:00:00"/>
    <x v="1"/>
    <s v="Wednesday"/>
    <s v="STORE_023"/>
    <x v="2"/>
    <x v="3"/>
    <x v="16"/>
    <n v="2775.32"/>
    <n v="9"/>
    <n v="24977.88"/>
    <n v="0"/>
    <n v="0"/>
    <n v="24977.88"/>
    <s v="Cash"/>
    <s v="CUST_00674"/>
    <n v="5"/>
    <n v="0"/>
    <n v="2775.32"/>
    <s v="No Discount"/>
  </r>
  <r>
    <s v="TXN_02674"/>
    <d v="2024-07-24T00:00:00"/>
    <x v="11"/>
    <s v="Wednesday"/>
    <s v="STORE_020"/>
    <x v="1"/>
    <x v="2"/>
    <x v="29"/>
    <n v="140.03"/>
    <n v="6"/>
    <n v="840.18"/>
    <n v="10"/>
    <n v="84.02"/>
    <n v="756.16"/>
    <s v="Debit Card"/>
    <s v="CUST_00048"/>
    <n v="4"/>
    <n v="84.019999999999982"/>
    <n v="126.02666666666666"/>
    <s v="Medium"/>
  </r>
  <r>
    <s v="TXN_02675"/>
    <d v="2024-12-08T00:00:00"/>
    <x v="6"/>
    <s v="Sunday"/>
    <s v="STORE_009"/>
    <x v="3"/>
    <x v="5"/>
    <x v="10"/>
    <n v="1702.82"/>
    <n v="4"/>
    <n v="6811.28"/>
    <n v="0"/>
    <n v="0"/>
    <n v="6811.28"/>
    <s v="Debit Card"/>
    <s v="CUST_00371"/>
    <n v="3"/>
    <n v="0"/>
    <n v="1702.82"/>
    <s v="No Discount"/>
  </r>
  <r>
    <s v="TXN_02676"/>
    <d v="2024-02-18T00:00:00"/>
    <x v="1"/>
    <s v="Sunday"/>
    <s v="STORE_008"/>
    <x v="1"/>
    <x v="4"/>
    <x v="19"/>
    <n v="320.37"/>
    <n v="3"/>
    <n v="961.11"/>
    <n v="10"/>
    <n v="96.11"/>
    <n v="865"/>
    <s v="Wallet"/>
    <s v="CUST_00300"/>
    <n v="1"/>
    <n v="96.110000000000014"/>
    <n v="288.33333333333331"/>
    <s v="Medium"/>
  </r>
  <r>
    <s v="TXN_02677"/>
    <d v="2024-04-04T00:00:00"/>
    <x v="4"/>
    <s v="Thursday"/>
    <s v="STORE_042"/>
    <x v="1"/>
    <x v="6"/>
    <x v="15"/>
    <n v="1443.07"/>
    <n v="4"/>
    <n v="5772.28"/>
    <n v="0"/>
    <n v="0"/>
    <n v="5772.28"/>
    <s v="Wallet"/>
    <s v="CUST_00255"/>
    <n v="2"/>
    <n v="0"/>
    <n v="1443.07"/>
    <s v="No Discount"/>
  </r>
  <r>
    <s v="TXN_02678"/>
    <d v="2024-03-12T00:00:00"/>
    <x v="5"/>
    <s v="Tuesday"/>
    <s v="STORE_031"/>
    <x v="3"/>
    <x v="0"/>
    <x v="27"/>
    <n v="498.01"/>
    <n v="2"/>
    <n v="996.02"/>
    <n v="0"/>
    <n v="0"/>
    <n v="996.02"/>
    <s v="Debit Card"/>
    <s v="CUST_00122"/>
    <n v="5"/>
    <n v="0"/>
    <n v="498.01"/>
    <s v="No Discount"/>
  </r>
  <r>
    <s v="TXN_02679"/>
    <d v="2024-09-01T00:00:00"/>
    <x v="9"/>
    <s v="Sunday"/>
    <s v="STORE_044"/>
    <x v="3"/>
    <x v="7"/>
    <x v="24"/>
    <n v="318.95999999999998"/>
    <n v="3"/>
    <n v="956.88"/>
    <n v="15"/>
    <n v="143.53"/>
    <n v="813.35"/>
    <s v="Wallet"/>
    <s v="CUST_00620"/>
    <n v="1"/>
    <n v="143.52999999999997"/>
    <n v="271.11666666666667"/>
    <s v="Medium"/>
  </r>
  <r>
    <s v="TXN_02680"/>
    <d v="2024-06-14T00:00:00"/>
    <x v="10"/>
    <s v="Friday"/>
    <s v="STORE_014"/>
    <x v="0"/>
    <x v="5"/>
    <x v="9"/>
    <n v="4613"/>
    <n v="6"/>
    <n v="27678"/>
    <n v="20"/>
    <n v="5535.6"/>
    <n v="22142.400000000001"/>
    <s v="Credit Card"/>
    <s v="CUST_00522"/>
    <n v="4"/>
    <n v="5535.5999999999985"/>
    <n v="3690.4"/>
    <s v="High"/>
  </r>
  <r>
    <s v="TXN_02681"/>
    <d v="2024-05-07T00:00:00"/>
    <x v="3"/>
    <s v="Tuesday"/>
    <s v="STORE_032"/>
    <x v="0"/>
    <x v="7"/>
    <x v="37"/>
    <n v="469.51"/>
    <n v="10"/>
    <n v="4695.1000000000004"/>
    <n v="0"/>
    <n v="0"/>
    <n v="4695.1000000000004"/>
    <s v="Credit Card"/>
    <s v="CUST_00840"/>
    <n v="5"/>
    <n v="0"/>
    <n v="469.51000000000005"/>
    <s v="No Discount"/>
  </r>
  <r>
    <s v="TXN_02682"/>
    <d v="2024-01-04T00:00:00"/>
    <x v="2"/>
    <s v="Thursday"/>
    <s v="STORE_005"/>
    <x v="1"/>
    <x v="5"/>
    <x v="11"/>
    <n v="1391.8"/>
    <n v="9"/>
    <n v="12526.2"/>
    <n v="0"/>
    <n v="0"/>
    <n v="12526.2"/>
    <s v="UPI"/>
    <s v="CUST_00454"/>
    <n v="5"/>
    <n v="0"/>
    <n v="1391.8000000000002"/>
    <s v="No Discount"/>
  </r>
  <r>
    <s v="TXN_02683"/>
    <d v="2024-05-13T00:00:00"/>
    <x v="3"/>
    <s v="Monday"/>
    <s v="STORE_009"/>
    <x v="4"/>
    <x v="3"/>
    <x v="5"/>
    <n v="1418.42"/>
    <n v="8"/>
    <n v="11347.36"/>
    <n v="0"/>
    <n v="0"/>
    <n v="11347.36"/>
    <s v="Credit Card"/>
    <s v="CUST_00527"/>
    <n v="3"/>
    <n v="0"/>
    <n v="1418.42"/>
    <s v="No Discount"/>
  </r>
  <r>
    <s v="TXN_02684"/>
    <d v="2024-07-15T00:00:00"/>
    <x v="11"/>
    <s v="Monday"/>
    <s v="STORE_047"/>
    <x v="2"/>
    <x v="1"/>
    <x v="1"/>
    <n v="50.44"/>
    <n v="5"/>
    <n v="252.2"/>
    <n v="0"/>
    <n v="0"/>
    <n v="252.2"/>
    <s v="Wallet"/>
    <s v="CUST_00383"/>
    <n v="5"/>
    <n v="0"/>
    <n v="50.44"/>
    <s v="No Discount"/>
  </r>
  <r>
    <s v="TXN_02685"/>
    <d v="2024-04-30T00:00:00"/>
    <x v="4"/>
    <s v="Tuesday"/>
    <s v="STORE_001"/>
    <x v="0"/>
    <x v="3"/>
    <x v="21"/>
    <n v="912.03"/>
    <n v="6"/>
    <n v="5472.18"/>
    <n v="0"/>
    <n v="0"/>
    <n v="5472.18"/>
    <s v="Credit Card"/>
    <s v="CUST_00795"/>
    <n v="2"/>
    <n v="0"/>
    <n v="912.03000000000009"/>
    <s v="No Discount"/>
  </r>
  <r>
    <s v="TXN_02686"/>
    <d v="2024-08-16T00:00:00"/>
    <x v="8"/>
    <s v="Friday"/>
    <s v="STORE_014"/>
    <x v="1"/>
    <x v="0"/>
    <x v="27"/>
    <n v="395.23"/>
    <n v="8"/>
    <n v="3161.84"/>
    <n v="10"/>
    <n v="316.18"/>
    <n v="2845.66"/>
    <s v="Wallet"/>
    <s v="CUST_00654"/>
    <n v="1"/>
    <n v="316.18000000000029"/>
    <n v="355.70749999999998"/>
    <s v="Medium"/>
  </r>
  <r>
    <s v="TXN_02687"/>
    <d v="2024-05-16T00:00:00"/>
    <x v="3"/>
    <s v="Thursday"/>
    <s v="STORE_049"/>
    <x v="3"/>
    <x v="4"/>
    <x v="8"/>
    <n v="226.55"/>
    <n v="6"/>
    <n v="1359.3"/>
    <n v="10"/>
    <n v="135.93"/>
    <n v="1223.3699999999999"/>
    <s v="UPI"/>
    <s v="CUST_00049"/>
    <n v="4"/>
    <n v="135.93000000000006"/>
    <n v="203.89499999999998"/>
    <s v="Medium"/>
  </r>
  <r>
    <s v="TXN_02688"/>
    <d v="2024-06-17T00:00:00"/>
    <x v="10"/>
    <s v="Monday"/>
    <s v="STORE_027"/>
    <x v="3"/>
    <x v="3"/>
    <x v="21"/>
    <n v="962.16"/>
    <n v="10"/>
    <n v="9621.6"/>
    <n v="20"/>
    <n v="1924.32"/>
    <n v="7697.28"/>
    <s v="Debit Card"/>
    <s v="CUST_00696"/>
    <n v="3"/>
    <n v="1924.3200000000006"/>
    <n v="769.72799999999995"/>
    <s v="High"/>
  </r>
  <r>
    <s v="TXN_02689"/>
    <d v="2024-06-03T00:00:00"/>
    <x v="10"/>
    <s v="Monday"/>
    <s v="STORE_028"/>
    <x v="4"/>
    <x v="4"/>
    <x v="35"/>
    <n v="431.45"/>
    <n v="9"/>
    <n v="3883.05"/>
    <n v="15"/>
    <n v="582.46"/>
    <n v="3300.59"/>
    <s v="Debit Card"/>
    <s v="CUST_00518"/>
    <n v="2"/>
    <n v="582.46"/>
    <n v="366.73222222222222"/>
    <s v="Medium"/>
  </r>
  <r>
    <s v="TXN_02690"/>
    <d v="2024-10-25T00:00:00"/>
    <x v="7"/>
    <s v="Friday"/>
    <s v="STORE_029"/>
    <x v="0"/>
    <x v="7"/>
    <x v="28"/>
    <n v="390.62"/>
    <n v="4"/>
    <n v="1562.48"/>
    <n v="20"/>
    <n v="312.5"/>
    <n v="1249.98"/>
    <s v="Wallet"/>
    <s v="CUST_00074"/>
    <n v="2"/>
    <n v="312.5"/>
    <n v="312.495"/>
    <s v="High"/>
  </r>
  <r>
    <s v="TXN_02691"/>
    <d v="2024-10-20T00:00:00"/>
    <x v="7"/>
    <s v="Sunday"/>
    <s v="STORE_007"/>
    <x v="4"/>
    <x v="6"/>
    <x v="15"/>
    <n v="650.19000000000005"/>
    <n v="4"/>
    <n v="2600.7600000000002"/>
    <n v="0"/>
    <n v="0"/>
    <n v="2600.7600000000002"/>
    <s v="UPI"/>
    <s v="CUST_00318"/>
    <n v="1"/>
    <n v="0"/>
    <n v="650.19000000000005"/>
    <s v="No Discount"/>
  </r>
  <r>
    <s v="TXN_02692"/>
    <d v="2024-01-06T00:00:00"/>
    <x v="2"/>
    <s v="Saturday"/>
    <s v="STORE_024"/>
    <x v="0"/>
    <x v="5"/>
    <x v="11"/>
    <n v="1011.69"/>
    <n v="4"/>
    <n v="4046.76"/>
    <n v="10"/>
    <n v="404.68"/>
    <n v="3642.08"/>
    <s v="Wallet"/>
    <s v="CUST_00178"/>
    <n v="2"/>
    <n v="404.68000000000029"/>
    <n v="910.52"/>
    <s v="Medium"/>
  </r>
  <r>
    <s v="TXN_02693"/>
    <d v="2024-05-13T00:00:00"/>
    <x v="3"/>
    <s v="Monday"/>
    <s v="STORE_008"/>
    <x v="3"/>
    <x v="6"/>
    <x v="26"/>
    <n v="1610.35"/>
    <n v="2"/>
    <n v="3220.7"/>
    <n v="20"/>
    <n v="644.14"/>
    <n v="2576.56"/>
    <s v="UPI"/>
    <s v="CUST_00228"/>
    <n v="5"/>
    <n v="644.13999999999987"/>
    <n v="1288.28"/>
    <s v="High"/>
  </r>
  <r>
    <s v="TXN_02694"/>
    <d v="2024-11-30T00:00:00"/>
    <x v="0"/>
    <s v="Saturday"/>
    <s v="STORE_016"/>
    <x v="3"/>
    <x v="0"/>
    <x v="18"/>
    <n v="390.05"/>
    <n v="10"/>
    <n v="3900.5"/>
    <n v="15"/>
    <n v="585.07000000000005"/>
    <n v="3315.43"/>
    <s v="Credit Card"/>
    <s v="CUST_00615"/>
    <n v="4"/>
    <n v="585.07000000000016"/>
    <n v="331.54300000000001"/>
    <s v="Medium"/>
  </r>
  <r>
    <s v="TXN_02695"/>
    <d v="2024-07-03T00:00:00"/>
    <x v="11"/>
    <s v="Wednesday"/>
    <s v="STORE_028"/>
    <x v="3"/>
    <x v="6"/>
    <x v="33"/>
    <n v="1623.63"/>
    <n v="10"/>
    <n v="16236.3"/>
    <n v="15"/>
    <n v="2435.44"/>
    <n v="13800.86"/>
    <s v="Cash"/>
    <s v="CUST_00189"/>
    <n v="4"/>
    <n v="2435.4399999999987"/>
    <n v="1380.086"/>
    <s v="Medium"/>
  </r>
  <r>
    <s v="TXN_02696"/>
    <d v="2024-12-20T00:00:00"/>
    <x v="6"/>
    <s v="Friday"/>
    <s v="STORE_050"/>
    <x v="2"/>
    <x v="6"/>
    <x v="30"/>
    <n v="534.70000000000005"/>
    <n v="3"/>
    <n v="1604.1"/>
    <n v="0"/>
    <n v="0"/>
    <n v="1604.1"/>
    <s v="Cash"/>
    <s v="CUST_00990"/>
    <n v="1"/>
    <n v="0"/>
    <n v="534.69999999999993"/>
    <s v="No Discount"/>
  </r>
  <r>
    <s v="TXN_02697"/>
    <d v="2024-04-30T00:00:00"/>
    <x v="4"/>
    <s v="Tuesday"/>
    <s v="STORE_024"/>
    <x v="2"/>
    <x v="1"/>
    <x v="36"/>
    <n v="255.54"/>
    <n v="7"/>
    <n v="1788.78"/>
    <n v="0"/>
    <n v="0"/>
    <n v="1788.78"/>
    <s v="Cash"/>
    <s v="CUST_00814"/>
    <n v="5"/>
    <n v="0"/>
    <n v="255.54"/>
    <s v="No Discount"/>
  </r>
  <r>
    <s v="TXN_02698"/>
    <d v="2024-02-01T00:00:00"/>
    <x v="1"/>
    <s v="Thursday"/>
    <s v="STORE_006"/>
    <x v="2"/>
    <x v="4"/>
    <x v="8"/>
    <n v="231.14"/>
    <n v="8"/>
    <n v="1849.12"/>
    <n v="0"/>
    <n v="0"/>
    <n v="1849.12"/>
    <s v="Wallet"/>
    <s v="CUST_00904"/>
    <n v="3"/>
    <n v="0"/>
    <n v="231.14"/>
    <s v="No Discount"/>
  </r>
  <r>
    <s v="TXN_02699"/>
    <d v="2024-12-07T00:00:00"/>
    <x v="6"/>
    <s v="Saturday"/>
    <s v="STORE_027"/>
    <x v="4"/>
    <x v="7"/>
    <x v="23"/>
    <n v="617.79999999999995"/>
    <n v="5"/>
    <n v="3089"/>
    <n v="0"/>
    <n v="0"/>
    <n v="3089"/>
    <s v="Cash"/>
    <s v="CUST_00484"/>
    <n v="3"/>
    <n v="0"/>
    <n v="617.79999999999995"/>
    <s v="No Discount"/>
  </r>
  <r>
    <s v="TXN_02700"/>
    <d v="2024-03-01T00:00:00"/>
    <x v="5"/>
    <s v="Friday"/>
    <s v="STORE_012"/>
    <x v="3"/>
    <x v="5"/>
    <x v="10"/>
    <n v="2581.71"/>
    <n v="6"/>
    <n v="15490.26"/>
    <n v="5"/>
    <n v="774.51"/>
    <n v="14715.75"/>
    <s v="Credit Card"/>
    <s v="CUST_00439"/>
    <n v="5"/>
    <n v="774.51000000000022"/>
    <n v="2452.625"/>
    <s v="Low"/>
  </r>
  <r>
    <s v="TXN_02701"/>
    <d v="2024-08-26T00:00:00"/>
    <x v="8"/>
    <s v="Monday"/>
    <s v="STORE_033"/>
    <x v="3"/>
    <x v="1"/>
    <x v="36"/>
    <n v="156.35"/>
    <n v="8"/>
    <n v="1250.8"/>
    <n v="15"/>
    <n v="187.62"/>
    <n v="1063.18"/>
    <s v="Credit Card"/>
    <s v="CUST_00769"/>
    <n v="5"/>
    <n v="187.61999999999989"/>
    <n v="132.89750000000001"/>
    <s v="Medium"/>
  </r>
  <r>
    <s v="TXN_02702"/>
    <d v="2024-06-06T00:00:00"/>
    <x v="10"/>
    <s v="Thursday"/>
    <s v="STORE_048"/>
    <x v="3"/>
    <x v="5"/>
    <x v="9"/>
    <n v="1962.07"/>
    <n v="6"/>
    <n v="11772.42"/>
    <n v="5"/>
    <n v="588.62"/>
    <n v="11183.8"/>
    <s v="Credit Card"/>
    <s v="CUST_00784"/>
    <n v="2"/>
    <n v="588.6200000000008"/>
    <n v="1863.9666666666665"/>
    <s v="Low"/>
  </r>
  <r>
    <s v="TXN_02703"/>
    <d v="2024-03-22T00:00:00"/>
    <x v="5"/>
    <s v="Friday"/>
    <s v="STORE_014"/>
    <x v="3"/>
    <x v="0"/>
    <x v="4"/>
    <n v="635.12"/>
    <n v="1"/>
    <n v="635.12"/>
    <n v="0"/>
    <n v="0"/>
    <n v="635.12"/>
    <s v="Cash"/>
    <s v="CUST_00101"/>
    <n v="4"/>
    <n v="0"/>
    <n v="635.12"/>
    <s v="No Discount"/>
  </r>
  <r>
    <s v="TXN_02704"/>
    <d v="2024-07-26T00:00:00"/>
    <x v="11"/>
    <s v="Friday"/>
    <s v="STORE_011"/>
    <x v="0"/>
    <x v="3"/>
    <x v="16"/>
    <n v="2568.9899999999998"/>
    <n v="9"/>
    <n v="23120.91"/>
    <n v="5"/>
    <n v="1156.05"/>
    <n v="21964.86"/>
    <s v="Cash"/>
    <s v="CUST_00223"/>
    <n v="1"/>
    <n v="1156.0499999999993"/>
    <n v="2440.54"/>
    <s v="Low"/>
  </r>
  <r>
    <s v="TXN_02705"/>
    <d v="2024-12-17T00:00:00"/>
    <x v="6"/>
    <s v="Tuesday"/>
    <s v="STORE_012"/>
    <x v="3"/>
    <x v="2"/>
    <x v="13"/>
    <n v="772.99"/>
    <n v="5"/>
    <n v="3864.95"/>
    <n v="0"/>
    <n v="0"/>
    <n v="3864.95"/>
    <s v="UPI"/>
    <s v="CUST_00435"/>
    <n v="4"/>
    <n v="0"/>
    <n v="772.99"/>
    <s v="No Discount"/>
  </r>
  <r>
    <s v="TXN_02706"/>
    <d v="2024-09-14T00:00:00"/>
    <x v="9"/>
    <s v="Saturday"/>
    <s v="STORE_050"/>
    <x v="2"/>
    <x v="3"/>
    <x v="12"/>
    <n v="202.38"/>
    <n v="2"/>
    <n v="404.76"/>
    <n v="0"/>
    <n v="0"/>
    <n v="404.76"/>
    <s v="UPI"/>
    <s v="CUST_00701"/>
    <n v="4"/>
    <n v="0"/>
    <n v="202.38"/>
    <s v="No Discount"/>
  </r>
  <r>
    <s v="TXN_02707"/>
    <d v="2024-12-26T00:00:00"/>
    <x v="6"/>
    <s v="Thursday"/>
    <s v="STORE_033"/>
    <x v="0"/>
    <x v="2"/>
    <x v="29"/>
    <n v="538.35"/>
    <n v="2"/>
    <n v="1076.7"/>
    <n v="0"/>
    <n v="0"/>
    <n v="1076.7"/>
    <s v="Debit Card"/>
    <s v="CUST_00116"/>
    <n v="3"/>
    <n v="0"/>
    <n v="538.35"/>
    <s v="No Discount"/>
  </r>
  <r>
    <s v="TXN_02708"/>
    <d v="2024-06-08T00:00:00"/>
    <x v="10"/>
    <s v="Saturday"/>
    <s v="STORE_002"/>
    <x v="1"/>
    <x v="0"/>
    <x v="27"/>
    <n v="789.7"/>
    <n v="4"/>
    <n v="3158.8"/>
    <n v="5"/>
    <n v="157.94"/>
    <n v="3000.86"/>
    <s v="Cash"/>
    <s v="CUST_00398"/>
    <n v="4"/>
    <n v="157.94000000000005"/>
    <n v="750.21500000000003"/>
    <s v="Low"/>
  </r>
  <r>
    <s v="TXN_02709"/>
    <d v="2024-12-19T00:00:00"/>
    <x v="6"/>
    <s v="Thursday"/>
    <s v="STORE_031"/>
    <x v="2"/>
    <x v="4"/>
    <x v="19"/>
    <n v="392.39"/>
    <n v="10"/>
    <n v="3923.9"/>
    <n v="5"/>
    <n v="196.2"/>
    <n v="3727.7"/>
    <s v="Wallet"/>
    <s v="CUST_00222"/>
    <n v="5"/>
    <n v="196.20000000000027"/>
    <n v="372.77"/>
    <s v="Low"/>
  </r>
  <r>
    <s v="TXN_02710"/>
    <d v="2024-03-01T00:00:00"/>
    <x v="5"/>
    <s v="Friday"/>
    <s v="STORE_035"/>
    <x v="0"/>
    <x v="0"/>
    <x v="27"/>
    <n v="646.99"/>
    <n v="4"/>
    <n v="2587.96"/>
    <n v="0"/>
    <n v="0"/>
    <n v="2587.96"/>
    <s v="Credit Card"/>
    <s v="CUST_00499"/>
    <n v="3"/>
    <n v="0"/>
    <n v="646.99"/>
    <s v="No Discount"/>
  </r>
  <r>
    <s v="TXN_02711"/>
    <d v="2024-11-23T00:00:00"/>
    <x v="0"/>
    <s v="Saturday"/>
    <s v="STORE_012"/>
    <x v="0"/>
    <x v="3"/>
    <x v="5"/>
    <n v="2241.02"/>
    <n v="2"/>
    <n v="4482.04"/>
    <n v="20"/>
    <n v="896.41"/>
    <n v="3585.63"/>
    <s v="Cash"/>
    <s v="CUST_00799"/>
    <n v="5"/>
    <n v="896.40999999999985"/>
    <n v="1792.8150000000001"/>
    <s v="High"/>
  </r>
  <r>
    <s v="TXN_02712"/>
    <d v="2024-05-31T00:00:00"/>
    <x v="3"/>
    <s v="Friday"/>
    <s v="STORE_015"/>
    <x v="1"/>
    <x v="7"/>
    <x v="38"/>
    <n v="879.07"/>
    <n v="1"/>
    <n v="879.07"/>
    <n v="5"/>
    <n v="43.95"/>
    <n v="835.12"/>
    <s v="Cash"/>
    <s v="CUST_00066"/>
    <n v="5"/>
    <n v="43.950000000000045"/>
    <n v="835.12"/>
    <s v="Low"/>
  </r>
  <r>
    <s v="TXN_02713"/>
    <d v="2024-07-07T00:00:00"/>
    <x v="11"/>
    <s v="Sunday"/>
    <s v="STORE_035"/>
    <x v="3"/>
    <x v="6"/>
    <x v="15"/>
    <n v="574.82000000000005"/>
    <n v="3"/>
    <n v="1724.46"/>
    <n v="10"/>
    <n v="172.45"/>
    <n v="1552.01"/>
    <s v="Credit Card"/>
    <s v="CUST_00175"/>
    <n v="1"/>
    <n v="172.45000000000005"/>
    <n v="517.3366666666667"/>
    <s v="Medium"/>
  </r>
  <r>
    <s v="TXN_02714"/>
    <d v="2024-11-10T00:00:00"/>
    <x v="0"/>
    <s v="Sunday"/>
    <s v="STORE_002"/>
    <x v="2"/>
    <x v="5"/>
    <x v="10"/>
    <n v="1627.51"/>
    <n v="8"/>
    <n v="13020.08"/>
    <n v="0"/>
    <n v="0"/>
    <n v="13020.08"/>
    <s v="Wallet"/>
    <s v="CUST_00550"/>
    <n v="2"/>
    <n v="0"/>
    <n v="1627.51"/>
    <s v="No Discount"/>
  </r>
  <r>
    <s v="TXN_02715"/>
    <d v="2024-04-23T00:00:00"/>
    <x v="4"/>
    <s v="Tuesday"/>
    <s v="STORE_022"/>
    <x v="3"/>
    <x v="7"/>
    <x v="37"/>
    <n v="1135.83"/>
    <n v="7"/>
    <n v="7950.81"/>
    <n v="15"/>
    <n v="1192.6199999999999"/>
    <n v="6758.19"/>
    <s v="Credit Card"/>
    <s v="CUST_00539"/>
    <n v="4"/>
    <n v="1192.6200000000008"/>
    <n v="965.45571428571418"/>
    <s v="Medium"/>
  </r>
  <r>
    <s v="TXN_02716"/>
    <d v="2024-04-22T00:00:00"/>
    <x v="4"/>
    <s v="Monday"/>
    <s v="STORE_040"/>
    <x v="4"/>
    <x v="2"/>
    <x v="7"/>
    <n v="433.95"/>
    <n v="5"/>
    <n v="2169.75"/>
    <n v="10"/>
    <n v="216.98"/>
    <n v="1952.77"/>
    <s v="Wallet"/>
    <s v="CUST_00059"/>
    <n v="4"/>
    <n v="216.98000000000002"/>
    <n v="390.55399999999997"/>
    <s v="Medium"/>
  </r>
  <r>
    <s v="TXN_02717"/>
    <d v="2024-03-09T00:00:00"/>
    <x v="5"/>
    <s v="Saturday"/>
    <s v="STORE_008"/>
    <x v="1"/>
    <x v="4"/>
    <x v="20"/>
    <n v="568.44000000000005"/>
    <n v="3"/>
    <n v="1705.32"/>
    <n v="0"/>
    <n v="0"/>
    <n v="1705.32"/>
    <s v="UPI"/>
    <s v="CUST_00560"/>
    <n v="1"/>
    <n v="0"/>
    <n v="568.43999999999994"/>
    <s v="No Discount"/>
  </r>
  <r>
    <s v="TXN_02718"/>
    <d v="2024-09-01T00:00:00"/>
    <x v="9"/>
    <s v="Sunday"/>
    <s v="STORE_040"/>
    <x v="4"/>
    <x v="0"/>
    <x v="32"/>
    <n v="990.28"/>
    <n v="6"/>
    <n v="5941.68"/>
    <n v="10"/>
    <n v="594.16999999999996"/>
    <n v="5347.51"/>
    <s v="Credit Card"/>
    <s v="CUST_00679"/>
    <n v="5"/>
    <n v="594.17000000000007"/>
    <n v="891.25166666666667"/>
    <s v="Medium"/>
  </r>
  <r>
    <s v="TXN_02719"/>
    <d v="2024-03-19T00:00:00"/>
    <x v="5"/>
    <s v="Tuesday"/>
    <s v="STORE_016"/>
    <x v="2"/>
    <x v="7"/>
    <x v="28"/>
    <n v="819.2"/>
    <n v="8"/>
    <n v="6553.6"/>
    <n v="0"/>
    <n v="0"/>
    <n v="6553.6"/>
    <s v="Cash"/>
    <s v="CUST_00418"/>
    <n v="4"/>
    <n v="0"/>
    <n v="819.2"/>
    <s v="No Discount"/>
  </r>
  <r>
    <s v="TXN_02720"/>
    <d v="2024-08-20T00:00:00"/>
    <x v="8"/>
    <s v="Tuesday"/>
    <s v="STORE_012"/>
    <x v="3"/>
    <x v="3"/>
    <x v="21"/>
    <n v="670.86"/>
    <n v="8"/>
    <n v="5366.88"/>
    <n v="0"/>
    <n v="0"/>
    <n v="5366.88"/>
    <s v="Cash"/>
    <s v="CUST_00106"/>
    <n v="4"/>
    <n v="0"/>
    <n v="670.86"/>
    <s v="No Discount"/>
  </r>
  <r>
    <s v="TXN_02721"/>
    <d v="2024-11-06T00:00:00"/>
    <x v="0"/>
    <s v="Wednesday"/>
    <s v="STORE_033"/>
    <x v="2"/>
    <x v="0"/>
    <x v="27"/>
    <n v="444.07"/>
    <n v="7"/>
    <n v="3108.49"/>
    <n v="0"/>
    <n v="0"/>
    <n v="3108.49"/>
    <s v="UPI"/>
    <s v="CUST_00091"/>
    <n v="5"/>
    <n v="0"/>
    <n v="444.07"/>
    <s v="No Discount"/>
  </r>
  <r>
    <s v="TXN_02722"/>
    <d v="2024-07-10T00:00:00"/>
    <x v="11"/>
    <s v="Wednesday"/>
    <s v="STORE_004"/>
    <x v="3"/>
    <x v="3"/>
    <x v="16"/>
    <n v="2588.25"/>
    <n v="10"/>
    <n v="25882.5"/>
    <n v="15"/>
    <n v="3882.38"/>
    <n v="22000.12"/>
    <s v="Wallet"/>
    <s v="CUST_00544"/>
    <n v="5"/>
    <n v="3882.380000000001"/>
    <n v="2200.0119999999997"/>
    <s v="Medium"/>
  </r>
  <r>
    <s v="TXN_02723"/>
    <d v="2024-07-31T00:00:00"/>
    <x v="11"/>
    <s v="Wednesday"/>
    <s v="STORE_005"/>
    <x v="3"/>
    <x v="5"/>
    <x v="34"/>
    <n v="1455.31"/>
    <n v="4"/>
    <n v="5821.24"/>
    <n v="15"/>
    <n v="873.19"/>
    <n v="4948.05"/>
    <s v="Credit Card"/>
    <s v="CUST_00506"/>
    <n v="4"/>
    <n v="873.1899999999996"/>
    <n v="1237.0125"/>
    <s v="Medium"/>
  </r>
  <r>
    <s v="TXN_02724"/>
    <d v="2024-12-25T00:00:00"/>
    <x v="6"/>
    <s v="Wednesday"/>
    <s v="STORE_045"/>
    <x v="0"/>
    <x v="4"/>
    <x v="20"/>
    <n v="507.91"/>
    <n v="3"/>
    <n v="1523.73"/>
    <n v="0"/>
    <n v="0"/>
    <n v="1523.73"/>
    <s v="UPI"/>
    <s v="CUST_00432"/>
    <n v="2"/>
    <n v="0"/>
    <n v="507.91"/>
    <s v="No Discount"/>
  </r>
  <r>
    <s v="TXN_02725"/>
    <d v="2024-10-08T00:00:00"/>
    <x v="7"/>
    <s v="Tuesday"/>
    <s v="STORE_018"/>
    <x v="4"/>
    <x v="7"/>
    <x v="38"/>
    <n v="392.26"/>
    <n v="10"/>
    <n v="3922.6"/>
    <n v="20"/>
    <n v="784.52"/>
    <n v="3138.08"/>
    <s v="Wallet"/>
    <s v="CUST_00038"/>
    <n v="3"/>
    <n v="784.52"/>
    <n v="313.80799999999999"/>
    <s v="High"/>
  </r>
  <r>
    <s v="TXN_02726"/>
    <d v="2024-08-29T00:00:00"/>
    <x v="8"/>
    <s v="Thursday"/>
    <s v="STORE_039"/>
    <x v="1"/>
    <x v="6"/>
    <x v="15"/>
    <n v="1533.87"/>
    <n v="1"/>
    <n v="1533.87"/>
    <n v="0"/>
    <n v="0"/>
    <n v="1533.87"/>
    <s v="UPI"/>
    <s v="CUST_00768"/>
    <n v="2"/>
    <n v="0"/>
    <n v="1533.87"/>
    <s v="No Discount"/>
  </r>
  <r>
    <s v="TXN_02727"/>
    <d v="2024-10-02T00:00:00"/>
    <x v="7"/>
    <s v="Wednesday"/>
    <s v="STORE_045"/>
    <x v="3"/>
    <x v="2"/>
    <x v="39"/>
    <n v="461.12"/>
    <n v="6"/>
    <n v="2766.72"/>
    <n v="10"/>
    <n v="276.67"/>
    <n v="2490.0500000000002"/>
    <s v="Debit Card"/>
    <s v="CUST_00926"/>
    <n v="3"/>
    <n v="276.66999999999962"/>
    <n v="415.00833333333338"/>
    <s v="Medium"/>
  </r>
  <r>
    <s v="TXN_02728"/>
    <d v="2024-12-06T00:00:00"/>
    <x v="6"/>
    <s v="Friday"/>
    <s v="STORE_031"/>
    <x v="1"/>
    <x v="3"/>
    <x v="16"/>
    <n v="2767.79"/>
    <n v="9"/>
    <n v="24910.11"/>
    <n v="20"/>
    <n v="4982.0200000000004"/>
    <n v="19928.09"/>
    <s v="Credit Card"/>
    <s v="CUST_00751"/>
    <n v="2"/>
    <n v="4982.0200000000004"/>
    <n v="2214.2322222222224"/>
    <s v="High"/>
  </r>
  <r>
    <s v="TXN_02729"/>
    <d v="2024-04-21T00:00:00"/>
    <x v="4"/>
    <s v="Sunday"/>
    <s v="STORE_029"/>
    <x v="1"/>
    <x v="3"/>
    <x v="16"/>
    <n v="1969.93"/>
    <n v="3"/>
    <n v="5909.79"/>
    <n v="0"/>
    <n v="0"/>
    <n v="5909.79"/>
    <s v="Cash"/>
    <s v="CUST_00072"/>
    <n v="1"/>
    <n v="0"/>
    <n v="1969.93"/>
    <s v="No Discount"/>
  </r>
  <r>
    <s v="TXN_02730"/>
    <d v="2024-05-06T00:00:00"/>
    <x v="3"/>
    <s v="Monday"/>
    <s v="STORE_027"/>
    <x v="0"/>
    <x v="5"/>
    <x v="25"/>
    <n v="3230.61"/>
    <n v="2"/>
    <n v="6461.22"/>
    <n v="15"/>
    <n v="969.18"/>
    <n v="5492.04"/>
    <s v="Cash"/>
    <s v="CUST_00927"/>
    <n v="4"/>
    <n v="969.18000000000029"/>
    <n v="2746.02"/>
    <s v="Medium"/>
  </r>
  <r>
    <s v="TXN_02731"/>
    <d v="2024-12-14T00:00:00"/>
    <x v="6"/>
    <s v="Saturday"/>
    <s v="STORE_045"/>
    <x v="4"/>
    <x v="7"/>
    <x v="38"/>
    <n v="1148"/>
    <n v="7"/>
    <n v="8036"/>
    <n v="20"/>
    <n v="1607.2"/>
    <n v="6428.8"/>
    <s v="Credit Card"/>
    <s v="CUST_00405"/>
    <n v="1"/>
    <n v="1607.1999999999998"/>
    <n v="918.4"/>
    <s v="High"/>
  </r>
  <r>
    <s v="TXN_02732"/>
    <d v="2024-11-01T00:00:00"/>
    <x v="0"/>
    <s v="Friday"/>
    <s v="STORE_047"/>
    <x v="4"/>
    <x v="3"/>
    <x v="16"/>
    <n v="1875.06"/>
    <n v="6"/>
    <n v="11250.36"/>
    <n v="0"/>
    <n v="0"/>
    <n v="11250.36"/>
    <s v="Credit Card"/>
    <s v="CUST_00258"/>
    <n v="2"/>
    <n v="0"/>
    <n v="1875.0600000000002"/>
    <s v="No Discount"/>
  </r>
  <r>
    <s v="TXN_02733"/>
    <d v="2024-02-11T00:00:00"/>
    <x v="1"/>
    <s v="Sunday"/>
    <s v="STORE_016"/>
    <x v="2"/>
    <x v="4"/>
    <x v="20"/>
    <n v="192.22"/>
    <n v="7"/>
    <n v="1345.54"/>
    <n v="0"/>
    <n v="0"/>
    <n v="1345.54"/>
    <s v="Credit Card"/>
    <s v="CUST_00917"/>
    <n v="5"/>
    <n v="0"/>
    <n v="192.22"/>
    <s v="No Discount"/>
  </r>
  <r>
    <s v="TXN_02734"/>
    <d v="2024-09-26T00:00:00"/>
    <x v="9"/>
    <s v="Thursday"/>
    <s v="STORE_042"/>
    <x v="4"/>
    <x v="1"/>
    <x v="3"/>
    <n v="229.97"/>
    <n v="6"/>
    <n v="1379.82"/>
    <n v="20"/>
    <n v="275.95999999999998"/>
    <n v="1103.8599999999999"/>
    <s v="Wallet"/>
    <s v="CUST_00439"/>
    <n v="1"/>
    <n v="275.96000000000004"/>
    <n v="183.97666666666666"/>
    <s v="High"/>
  </r>
  <r>
    <s v="TXN_02735"/>
    <d v="2024-08-16T00:00:00"/>
    <x v="8"/>
    <s v="Friday"/>
    <s v="STORE_041"/>
    <x v="1"/>
    <x v="2"/>
    <x v="39"/>
    <n v="717.35"/>
    <n v="10"/>
    <n v="7173.5"/>
    <n v="10"/>
    <n v="717.35"/>
    <n v="6456.15"/>
    <s v="UPI"/>
    <s v="CUST_00937"/>
    <n v="2"/>
    <n v="717.35000000000036"/>
    <n v="645.61500000000001"/>
    <s v="Medium"/>
  </r>
  <r>
    <s v="TXN_02736"/>
    <d v="2024-09-27T00:00:00"/>
    <x v="9"/>
    <s v="Friday"/>
    <s v="STORE_030"/>
    <x v="3"/>
    <x v="6"/>
    <x v="26"/>
    <n v="1977.91"/>
    <n v="10"/>
    <n v="19779.099999999999"/>
    <n v="10"/>
    <n v="1977.91"/>
    <n v="17801.189999999999"/>
    <s v="Debit Card"/>
    <s v="CUST_00652"/>
    <n v="1"/>
    <n v="1977.9099999999999"/>
    <n v="1780.1189999999999"/>
    <s v="Medium"/>
  </r>
  <r>
    <s v="TXN_02737"/>
    <d v="2024-12-26T00:00:00"/>
    <x v="6"/>
    <s v="Thursday"/>
    <s v="STORE_005"/>
    <x v="2"/>
    <x v="3"/>
    <x v="22"/>
    <n v="2022.38"/>
    <n v="2"/>
    <n v="4044.76"/>
    <n v="5"/>
    <n v="202.24"/>
    <n v="3842.52"/>
    <s v="UPI"/>
    <s v="CUST_00899"/>
    <n v="5"/>
    <n v="202.24000000000024"/>
    <n v="1921.26"/>
    <s v="Low"/>
  </r>
  <r>
    <s v="TXN_02738"/>
    <d v="2024-07-04T00:00:00"/>
    <x v="11"/>
    <s v="Thursday"/>
    <s v="STORE_002"/>
    <x v="3"/>
    <x v="3"/>
    <x v="12"/>
    <n v="2896.38"/>
    <n v="8"/>
    <n v="23171.040000000001"/>
    <n v="0"/>
    <n v="0"/>
    <n v="23171.040000000001"/>
    <s v="UPI"/>
    <s v="CUST_00710"/>
    <n v="4"/>
    <n v="0"/>
    <n v="2896.38"/>
    <s v="No Discount"/>
  </r>
  <r>
    <s v="TXN_02739"/>
    <d v="2024-02-09T00:00:00"/>
    <x v="1"/>
    <s v="Friday"/>
    <s v="STORE_046"/>
    <x v="0"/>
    <x v="5"/>
    <x v="34"/>
    <n v="2915.29"/>
    <n v="4"/>
    <n v="11661.16"/>
    <n v="15"/>
    <n v="1749.17"/>
    <n v="9911.99"/>
    <s v="Cash"/>
    <s v="CUST_00313"/>
    <n v="1"/>
    <n v="1749.17"/>
    <n v="2477.9974999999999"/>
    <s v="Medium"/>
  </r>
  <r>
    <s v="TXN_02740"/>
    <d v="2024-10-15T00:00:00"/>
    <x v="7"/>
    <s v="Tuesday"/>
    <s v="STORE_047"/>
    <x v="0"/>
    <x v="5"/>
    <x v="11"/>
    <n v="3585.36"/>
    <n v="5"/>
    <n v="17926.8"/>
    <n v="0"/>
    <n v="0"/>
    <n v="17926.8"/>
    <s v="Wallet"/>
    <s v="CUST_00831"/>
    <n v="5"/>
    <n v="0"/>
    <n v="3585.3599999999997"/>
    <s v="No Discount"/>
  </r>
  <r>
    <s v="TXN_02741"/>
    <d v="2024-02-27T00:00:00"/>
    <x v="1"/>
    <s v="Tuesday"/>
    <s v="STORE_021"/>
    <x v="1"/>
    <x v="6"/>
    <x v="33"/>
    <n v="1510.56"/>
    <n v="4"/>
    <n v="6042.24"/>
    <n v="0"/>
    <n v="0"/>
    <n v="6042.24"/>
    <s v="Debit Card"/>
    <s v="CUST_00924"/>
    <n v="4"/>
    <n v="0"/>
    <n v="1510.56"/>
    <s v="No Discount"/>
  </r>
  <r>
    <s v="TXN_02742"/>
    <d v="2024-02-01T00:00:00"/>
    <x v="1"/>
    <s v="Thursday"/>
    <s v="STORE_018"/>
    <x v="0"/>
    <x v="6"/>
    <x v="30"/>
    <n v="1837.34"/>
    <n v="2"/>
    <n v="3674.68"/>
    <n v="15"/>
    <n v="551.20000000000005"/>
    <n v="3123.48"/>
    <s v="Cash"/>
    <s v="CUST_00304"/>
    <n v="3"/>
    <n v="551.19999999999982"/>
    <n v="1561.74"/>
    <s v="Medium"/>
  </r>
  <r>
    <s v="TXN_02743"/>
    <d v="2024-10-07T00:00:00"/>
    <x v="7"/>
    <s v="Monday"/>
    <s v="STORE_049"/>
    <x v="1"/>
    <x v="2"/>
    <x v="29"/>
    <n v="568.58000000000004"/>
    <n v="1"/>
    <n v="568.58000000000004"/>
    <n v="0"/>
    <n v="0"/>
    <n v="568.58000000000004"/>
    <s v="Cash"/>
    <s v="CUST_00008"/>
    <n v="2"/>
    <n v="0"/>
    <n v="568.58000000000004"/>
    <s v="No Discount"/>
  </r>
  <r>
    <s v="TXN_02744"/>
    <d v="2024-09-15T00:00:00"/>
    <x v="9"/>
    <s v="Sunday"/>
    <s v="STORE_043"/>
    <x v="2"/>
    <x v="2"/>
    <x v="13"/>
    <n v="387.95"/>
    <n v="2"/>
    <n v="775.9"/>
    <n v="0"/>
    <n v="0"/>
    <n v="775.9"/>
    <s v="Wallet"/>
    <s v="CUST_00345"/>
    <n v="4"/>
    <n v="0"/>
    <n v="387.95"/>
    <s v="No Discount"/>
  </r>
  <r>
    <s v="TXN_02745"/>
    <d v="2024-04-13T00:00:00"/>
    <x v="4"/>
    <s v="Saturday"/>
    <s v="STORE_032"/>
    <x v="1"/>
    <x v="0"/>
    <x v="32"/>
    <n v="206.45"/>
    <n v="10"/>
    <n v="2064.5"/>
    <n v="0"/>
    <n v="0"/>
    <n v="2064.5"/>
    <s v="Credit Card"/>
    <s v="CUST_00198"/>
    <n v="3"/>
    <n v="0"/>
    <n v="206.45"/>
    <s v="No Discount"/>
  </r>
  <r>
    <s v="TXN_02746"/>
    <d v="2024-10-20T00:00:00"/>
    <x v="7"/>
    <s v="Sunday"/>
    <s v="STORE_021"/>
    <x v="2"/>
    <x v="7"/>
    <x v="38"/>
    <n v="860.95"/>
    <n v="6"/>
    <n v="5165.7"/>
    <n v="0"/>
    <n v="0"/>
    <n v="5165.7"/>
    <s v="Debit Card"/>
    <s v="CUST_00701"/>
    <n v="3"/>
    <n v="0"/>
    <n v="860.94999999999993"/>
    <s v="No Discount"/>
  </r>
  <r>
    <s v="TXN_02747"/>
    <d v="2024-10-01T00:00:00"/>
    <x v="7"/>
    <s v="Tuesday"/>
    <s v="STORE_002"/>
    <x v="0"/>
    <x v="6"/>
    <x v="26"/>
    <n v="1863.95"/>
    <n v="3"/>
    <n v="5591.85"/>
    <n v="5"/>
    <n v="279.58999999999997"/>
    <n v="5312.26"/>
    <s v="Credit Card"/>
    <s v="CUST_00326"/>
    <n v="1"/>
    <n v="279.59000000000015"/>
    <n v="1770.7533333333333"/>
    <s v="Low"/>
  </r>
  <r>
    <s v="TXN_02748"/>
    <d v="2024-03-17T00:00:00"/>
    <x v="5"/>
    <s v="Sunday"/>
    <s v="STORE_012"/>
    <x v="2"/>
    <x v="0"/>
    <x v="32"/>
    <n v="693.2"/>
    <n v="3"/>
    <n v="2079.6"/>
    <n v="15"/>
    <n v="311.94"/>
    <n v="1767.66"/>
    <s v="Wallet"/>
    <s v="CUST_00650"/>
    <n v="5"/>
    <n v="311.93999999999983"/>
    <n v="589.22"/>
    <s v="Medium"/>
  </r>
  <r>
    <s v="TXN_02749"/>
    <d v="2024-03-25T00:00:00"/>
    <x v="5"/>
    <s v="Monday"/>
    <s v="STORE_039"/>
    <x v="0"/>
    <x v="5"/>
    <x v="11"/>
    <n v="2921.14"/>
    <n v="7"/>
    <n v="20447.98"/>
    <n v="5"/>
    <n v="1022.4"/>
    <n v="19425.580000000002"/>
    <s v="Wallet"/>
    <s v="CUST_00794"/>
    <n v="4"/>
    <n v="1022.3999999999978"/>
    <n v="2775.0828571428574"/>
    <s v="Low"/>
  </r>
  <r>
    <s v="TXN_02750"/>
    <d v="2024-06-16T00:00:00"/>
    <x v="10"/>
    <s v="Sunday"/>
    <s v="STORE_037"/>
    <x v="1"/>
    <x v="5"/>
    <x v="10"/>
    <n v="2387.9"/>
    <n v="4"/>
    <n v="9551.6"/>
    <n v="10"/>
    <n v="955.16"/>
    <n v="8596.44"/>
    <s v="UPI"/>
    <s v="CUST_00096"/>
    <n v="1"/>
    <n v="955.15999999999985"/>
    <n v="2149.11"/>
    <s v="Medium"/>
  </r>
  <r>
    <s v="TXN_02751"/>
    <d v="2024-09-23T00:00:00"/>
    <x v="9"/>
    <s v="Monday"/>
    <s v="STORE_015"/>
    <x v="1"/>
    <x v="7"/>
    <x v="23"/>
    <n v="1238.92"/>
    <n v="4"/>
    <n v="4955.68"/>
    <n v="10"/>
    <n v="495.57"/>
    <n v="4460.1099999999997"/>
    <s v="Credit Card"/>
    <s v="CUST_00130"/>
    <n v="5"/>
    <n v="495.57000000000062"/>
    <n v="1115.0274999999999"/>
    <s v="Medium"/>
  </r>
  <r>
    <s v="TXN_02752"/>
    <d v="2024-08-14T00:00:00"/>
    <x v="8"/>
    <s v="Wednesday"/>
    <s v="STORE_048"/>
    <x v="0"/>
    <x v="2"/>
    <x v="29"/>
    <n v="305.83999999999997"/>
    <n v="7"/>
    <n v="2140.88"/>
    <n v="5"/>
    <n v="107.04"/>
    <n v="2033.84"/>
    <s v="Debit Card"/>
    <s v="CUST_00277"/>
    <n v="5"/>
    <n v="107.04000000000019"/>
    <n v="290.54857142857139"/>
    <s v="Low"/>
  </r>
  <r>
    <s v="TXN_02753"/>
    <d v="2024-02-29T00:00:00"/>
    <x v="1"/>
    <s v="Thursday"/>
    <s v="STORE_039"/>
    <x v="0"/>
    <x v="0"/>
    <x v="0"/>
    <n v="361.26"/>
    <n v="5"/>
    <n v="1806.3"/>
    <n v="15"/>
    <n v="270.94"/>
    <n v="1535.36"/>
    <s v="Wallet"/>
    <s v="CUST_00976"/>
    <n v="5"/>
    <n v="270.94000000000005"/>
    <n v="307.072"/>
    <s v="Medium"/>
  </r>
  <r>
    <s v="TXN_02754"/>
    <d v="2024-12-14T00:00:00"/>
    <x v="6"/>
    <s v="Saturday"/>
    <s v="STORE_028"/>
    <x v="4"/>
    <x v="3"/>
    <x v="22"/>
    <n v="784.32"/>
    <n v="6"/>
    <n v="4705.92"/>
    <n v="0"/>
    <n v="0"/>
    <n v="4705.92"/>
    <s v="Wallet"/>
    <s v="CUST_00261"/>
    <n v="4"/>
    <n v="0"/>
    <n v="784.32"/>
    <s v="No Discount"/>
  </r>
  <r>
    <s v="TXN_02755"/>
    <d v="2024-04-15T00:00:00"/>
    <x v="4"/>
    <s v="Monday"/>
    <s v="STORE_019"/>
    <x v="0"/>
    <x v="6"/>
    <x v="26"/>
    <n v="1151.99"/>
    <n v="6"/>
    <n v="6911.94"/>
    <n v="20"/>
    <n v="1382.39"/>
    <n v="5529.55"/>
    <s v="Cash"/>
    <s v="CUST_00745"/>
    <n v="2"/>
    <n v="1382.3899999999994"/>
    <n v="921.5916666666667"/>
    <s v="High"/>
  </r>
  <r>
    <s v="TXN_02756"/>
    <d v="2024-10-25T00:00:00"/>
    <x v="7"/>
    <s v="Friday"/>
    <s v="STORE_002"/>
    <x v="3"/>
    <x v="5"/>
    <x v="9"/>
    <n v="4775.1099999999997"/>
    <n v="3"/>
    <n v="14325.33"/>
    <n v="10"/>
    <n v="1432.53"/>
    <n v="12892.8"/>
    <s v="Cash"/>
    <s v="CUST_00276"/>
    <n v="3"/>
    <n v="1432.5300000000007"/>
    <n v="4297.5999999999995"/>
    <s v="Medium"/>
  </r>
  <r>
    <s v="TXN_02757"/>
    <d v="2024-09-07T00:00:00"/>
    <x v="9"/>
    <s v="Saturday"/>
    <s v="STORE_049"/>
    <x v="4"/>
    <x v="3"/>
    <x v="22"/>
    <n v="2499.34"/>
    <n v="1"/>
    <n v="2499.34"/>
    <n v="10"/>
    <n v="249.93"/>
    <n v="2249.41"/>
    <s v="Cash"/>
    <s v="CUST_00649"/>
    <n v="2"/>
    <n v="249.93000000000029"/>
    <n v="2249.41"/>
    <s v="Medium"/>
  </r>
  <r>
    <s v="TXN_02758"/>
    <d v="2024-02-16T00:00:00"/>
    <x v="1"/>
    <s v="Friday"/>
    <s v="STORE_037"/>
    <x v="3"/>
    <x v="4"/>
    <x v="17"/>
    <n v="272.39"/>
    <n v="8"/>
    <n v="2179.12"/>
    <n v="20"/>
    <n v="435.82"/>
    <n v="1743.3"/>
    <s v="Credit Card"/>
    <s v="CUST_00827"/>
    <n v="2"/>
    <n v="435.81999999999994"/>
    <n v="217.91249999999999"/>
    <s v="High"/>
  </r>
  <r>
    <s v="TXN_02759"/>
    <d v="2024-09-18T00:00:00"/>
    <x v="9"/>
    <s v="Wednesday"/>
    <s v="STORE_026"/>
    <x v="1"/>
    <x v="0"/>
    <x v="32"/>
    <n v="461.41"/>
    <n v="6"/>
    <n v="2768.46"/>
    <n v="10"/>
    <n v="276.85000000000002"/>
    <n v="2491.61"/>
    <s v="Credit Card"/>
    <s v="CUST_00046"/>
    <n v="4"/>
    <n v="276.84999999999991"/>
    <n v="415.26833333333337"/>
    <s v="Medium"/>
  </r>
  <r>
    <s v="TXN_02760"/>
    <d v="2024-08-16T00:00:00"/>
    <x v="8"/>
    <s v="Friday"/>
    <s v="STORE_003"/>
    <x v="4"/>
    <x v="2"/>
    <x v="13"/>
    <n v="187.22"/>
    <n v="9"/>
    <n v="1684.98"/>
    <n v="10"/>
    <n v="168.5"/>
    <n v="1516.48"/>
    <s v="Debit Card"/>
    <s v="CUST_00818"/>
    <n v="1"/>
    <n v="168.5"/>
    <n v="168.49777777777777"/>
    <s v="Medium"/>
  </r>
  <r>
    <s v="TXN_02761"/>
    <d v="2024-01-29T00:00:00"/>
    <x v="2"/>
    <s v="Monday"/>
    <s v="STORE_019"/>
    <x v="4"/>
    <x v="4"/>
    <x v="35"/>
    <n v="211.37"/>
    <n v="9"/>
    <n v="1902.33"/>
    <n v="5"/>
    <n v="95.12"/>
    <n v="1807.21"/>
    <s v="Debit Card"/>
    <s v="CUST_00661"/>
    <n v="3"/>
    <n v="95.119999999999891"/>
    <n v="200.80111111111111"/>
    <s v="Low"/>
  </r>
  <r>
    <s v="TXN_02762"/>
    <d v="2024-08-20T00:00:00"/>
    <x v="8"/>
    <s v="Tuesday"/>
    <s v="STORE_035"/>
    <x v="4"/>
    <x v="0"/>
    <x v="4"/>
    <n v="613.08000000000004"/>
    <n v="7"/>
    <n v="4291.5600000000004"/>
    <n v="5"/>
    <n v="214.58"/>
    <n v="4076.98"/>
    <s v="UPI"/>
    <s v="CUST_00594"/>
    <n v="5"/>
    <n v="214.58000000000038"/>
    <n v="582.42571428571432"/>
    <s v="Low"/>
  </r>
  <r>
    <s v="TXN_02763"/>
    <d v="2024-03-08T00:00:00"/>
    <x v="5"/>
    <s v="Friday"/>
    <s v="STORE_038"/>
    <x v="2"/>
    <x v="2"/>
    <x v="13"/>
    <n v="111.48"/>
    <n v="2"/>
    <n v="222.96"/>
    <n v="5"/>
    <n v="11.15"/>
    <n v="211.81"/>
    <s v="Credit Card"/>
    <s v="CUST_00088"/>
    <n v="4"/>
    <n v="11.150000000000006"/>
    <n v="105.905"/>
    <s v="Low"/>
  </r>
  <r>
    <s v="TXN_02764"/>
    <d v="2024-09-19T00:00:00"/>
    <x v="9"/>
    <s v="Thursday"/>
    <s v="STORE_034"/>
    <x v="1"/>
    <x v="2"/>
    <x v="7"/>
    <n v="408.22"/>
    <n v="2"/>
    <n v="816.44"/>
    <n v="0"/>
    <n v="0"/>
    <n v="816.44"/>
    <s v="Credit Card"/>
    <s v="CUST_00816"/>
    <n v="2"/>
    <n v="0"/>
    <n v="408.22"/>
    <s v="No Discount"/>
  </r>
  <r>
    <s v="TXN_02765"/>
    <d v="2024-07-31T00:00:00"/>
    <x v="11"/>
    <s v="Wednesday"/>
    <s v="STORE_028"/>
    <x v="1"/>
    <x v="1"/>
    <x v="36"/>
    <n v="201.53"/>
    <n v="8"/>
    <n v="1612.24"/>
    <n v="20"/>
    <n v="322.45"/>
    <n v="1289.79"/>
    <s v="Cash"/>
    <s v="CUST_00001"/>
    <n v="4"/>
    <n v="322.45000000000005"/>
    <n v="161.22375"/>
    <s v="High"/>
  </r>
  <r>
    <s v="TXN_02766"/>
    <d v="2024-08-21T00:00:00"/>
    <x v="8"/>
    <s v="Wednesday"/>
    <s v="STORE_025"/>
    <x v="3"/>
    <x v="4"/>
    <x v="8"/>
    <n v="394.27"/>
    <n v="9"/>
    <n v="3548.43"/>
    <n v="5"/>
    <n v="177.42"/>
    <n v="3371.01"/>
    <s v="Credit Card"/>
    <s v="CUST_00679"/>
    <n v="1"/>
    <n v="177.41999999999962"/>
    <n v="374.55666666666667"/>
    <s v="Low"/>
  </r>
  <r>
    <s v="TXN_02767"/>
    <d v="2024-10-15T00:00:00"/>
    <x v="7"/>
    <s v="Tuesday"/>
    <s v="STORE_024"/>
    <x v="4"/>
    <x v="2"/>
    <x v="39"/>
    <n v="494.08"/>
    <n v="3"/>
    <n v="1482.24"/>
    <n v="0"/>
    <n v="0"/>
    <n v="1482.24"/>
    <s v="Cash"/>
    <s v="CUST_00909"/>
    <n v="2"/>
    <n v="0"/>
    <n v="494.08"/>
    <s v="No Discount"/>
  </r>
  <r>
    <s v="TXN_02768"/>
    <d v="2024-01-30T00:00:00"/>
    <x v="2"/>
    <s v="Tuesday"/>
    <s v="STORE_042"/>
    <x v="1"/>
    <x v="0"/>
    <x v="27"/>
    <n v="613.70000000000005"/>
    <n v="1"/>
    <n v="613.70000000000005"/>
    <n v="0"/>
    <n v="0"/>
    <n v="613.70000000000005"/>
    <s v="Cash"/>
    <s v="CUST_00801"/>
    <n v="1"/>
    <n v="0"/>
    <n v="613.70000000000005"/>
    <s v="No Discount"/>
  </r>
  <r>
    <s v="TXN_02769"/>
    <d v="2024-10-13T00:00:00"/>
    <x v="7"/>
    <s v="Sunday"/>
    <s v="STORE_022"/>
    <x v="1"/>
    <x v="0"/>
    <x v="4"/>
    <n v="885.5"/>
    <n v="10"/>
    <n v="8855"/>
    <n v="20"/>
    <n v="1771"/>
    <n v="7084"/>
    <s v="Debit Card"/>
    <s v="CUST_00047"/>
    <n v="4"/>
    <n v="1771"/>
    <n v="708.4"/>
    <s v="High"/>
  </r>
  <r>
    <s v="TXN_02770"/>
    <d v="2024-08-24T00:00:00"/>
    <x v="8"/>
    <s v="Saturday"/>
    <s v="STORE_045"/>
    <x v="4"/>
    <x v="5"/>
    <x v="25"/>
    <n v="4604.96"/>
    <n v="9"/>
    <n v="41444.639999999999"/>
    <n v="5"/>
    <n v="2072.23"/>
    <n v="39372.410000000003"/>
    <s v="Credit Card"/>
    <s v="CUST_00602"/>
    <n v="4"/>
    <n v="2072.2299999999959"/>
    <n v="4374.7122222222224"/>
    <s v="Low"/>
  </r>
  <r>
    <s v="TXN_02771"/>
    <d v="2024-12-10T00:00:00"/>
    <x v="6"/>
    <s v="Tuesday"/>
    <s v="STORE_022"/>
    <x v="2"/>
    <x v="5"/>
    <x v="25"/>
    <n v="4206.1499999999996"/>
    <n v="2"/>
    <n v="8412.2999999999993"/>
    <n v="0"/>
    <n v="0"/>
    <n v="8412.2999999999993"/>
    <s v="Credit Card"/>
    <s v="CUST_00883"/>
    <n v="2"/>
    <n v="0"/>
    <n v="4206.1499999999996"/>
    <s v="No Discount"/>
  </r>
  <r>
    <s v="TXN_02772"/>
    <d v="2024-06-06T00:00:00"/>
    <x v="10"/>
    <s v="Thursday"/>
    <s v="STORE_020"/>
    <x v="4"/>
    <x v="3"/>
    <x v="16"/>
    <n v="1106.43"/>
    <n v="8"/>
    <n v="8851.44"/>
    <n v="5"/>
    <n v="442.57"/>
    <n v="8408.8700000000008"/>
    <s v="Debit Card"/>
    <s v="CUST_00809"/>
    <n v="4"/>
    <n v="442.56999999999971"/>
    <n v="1051.1087500000001"/>
    <s v="Low"/>
  </r>
  <r>
    <s v="TXN_02773"/>
    <d v="2024-01-12T00:00:00"/>
    <x v="2"/>
    <s v="Friday"/>
    <s v="STORE_016"/>
    <x v="3"/>
    <x v="7"/>
    <x v="37"/>
    <n v="1212.71"/>
    <n v="4"/>
    <n v="4850.84"/>
    <n v="10"/>
    <n v="485.08"/>
    <n v="4365.76"/>
    <s v="Cash"/>
    <s v="CUST_00881"/>
    <n v="5"/>
    <n v="485.07999999999993"/>
    <n v="1091.44"/>
    <s v="Medium"/>
  </r>
  <r>
    <s v="TXN_02774"/>
    <d v="2024-07-21T00:00:00"/>
    <x v="11"/>
    <s v="Sunday"/>
    <s v="STORE_047"/>
    <x v="2"/>
    <x v="6"/>
    <x v="33"/>
    <n v="793.79"/>
    <n v="9"/>
    <n v="7144.11"/>
    <n v="0"/>
    <n v="0"/>
    <n v="7144.11"/>
    <s v="Debit Card"/>
    <s v="CUST_00023"/>
    <n v="1"/>
    <n v="0"/>
    <n v="793.79"/>
    <s v="No Discount"/>
  </r>
  <r>
    <s v="TXN_02775"/>
    <d v="2024-05-10T00:00:00"/>
    <x v="3"/>
    <s v="Friday"/>
    <s v="STORE_006"/>
    <x v="4"/>
    <x v="7"/>
    <x v="38"/>
    <n v="827.13"/>
    <n v="10"/>
    <n v="8271.2999999999993"/>
    <n v="5"/>
    <n v="413.56"/>
    <n v="7857.74"/>
    <s v="Wallet"/>
    <s v="CUST_00665"/>
    <n v="3"/>
    <n v="413.55999999999949"/>
    <n v="785.774"/>
    <s v="Low"/>
  </r>
  <r>
    <s v="TXN_02776"/>
    <d v="2024-01-02T00:00:00"/>
    <x v="2"/>
    <s v="Tuesday"/>
    <s v="STORE_046"/>
    <x v="3"/>
    <x v="3"/>
    <x v="21"/>
    <n v="2325.46"/>
    <n v="9"/>
    <n v="20929.14"/>
    <n v="20"/>
    <n v="4185.83"/>
    <n v="16743.310000000001"/>
    <s v="Cash"/>
    <s v="CUST_00471"/>
    <n v="2"/>
    <n v="4185.8299999999981"/>
    <n v="1860.367777777778"/>
    <s v="High"/>
  </r>
  <r>
    <s v="TXN_02777"/>
    <d v="2024-04-21T00:00:00"/>
    <x v="4"/>
    <s v="Sunday"/>
    <s v="STORE_021"/>
    <x v="3"/>
    <x v="4"/>
    <x v="17"/>
    <n v="319.22000000000003"/>
    <n v="8"/>
    <n v="2553.7600000000002"/>
    <n v="0"/>
    <n v="0"/>
    <n v="2553.7600000000002"/>
    <s v="Debit Card"/>
    <s v="CUST_00151"/>
    <n v="4"/>
    <n v="0"/>
    <n v="319.22000000000003"/>
    <s v="No Discount"/>
  </r>
  <r>
    <s v="TXN_02778"/>
    <d v="2024-10-23T00:00:00"/>
    <x v="7"/>
    <s v="Wednesday"/>
    <s v="STORE_014"/>
    <x v="4"/>
    <x v="6"/>
    <x v="14"/>
    <n v="1621.04"/>
    <n v="4"/>
    <n v="6484.16"/>
    <n v="0"/>
    <n v="0"/>
    <n v="6484.16"/>
    <s v="Cash"/>
    <s v="CUST_00265"/>
    <n v="3"/>
    <n v="0"/>
    <n v="1621.04"/>
    <s v="No Discount"/>
  </r>
  <r>
    <s v="TXN_02779"/>
    <d v="2024-02-07T00:00:00"/>
    <x v="1"/>
    <s v="Wednesday"/>
    <s v="STORE_007"/>
    <x v="4"/>
    <x v="0"/>
    <x v="27"/>
    <n v="824.71"/>
    <n v="7"/>
    <n v="5772.97"/>
    <n v="15"/>
    <n v="865.95"/>
    <n v="4907.0200000000004"/>
    <s v="Debit Card"/>
    <s v="CUST_00074"/>
    <n v="2"/>
    <n v="865.94999999999982"/>
    <n v="701.00285714285724"/>
    <s v="Medium"/>
  </r>
  <r>
    <s v="TXN_02780"/>
    <d v="2024-01-24T00:00:00"/>
    <x v="2"/>
    <s v="Wednesday"/>
    <s v="STORE_031"/>
    <x v="2"/>
    <x v="5"/>
    <x v="11"/>
    <n v="1889.4"/>
    <n v="8"/>
    <n v="15115.2"/>
    <n v="15"/>
    <n v="2267.2800000000002"/>
    <n v="12847.92"/>
    <s v="UPI"/>
    <s v="CUST_00460"/>
    <n v="1"/>
    <n v="2267.2800000000007"/>
    <n v="1605.99"/>
    <s v="Medium"/>
  </r>
  <r>
    <s v="TXN_02781"/>
    <d v="2024-08-04T00:00:00"/>
    <x v="8"/>
    <s v="Sunday"/>
    <s v="STORE_030"/>
    <x v="3"/>
    <x v="3"/>
    <x v="21"/>
    <n v="2680.54"/>
    <n v="5"/>
    <n v="13402.7"/>
    <n v="0"/>
    <n v="0"/>
    <n v="13402.7"/>
    <s v="Cash"/>
    <s v="CUST_00178"/>
    <n v="4"/>
    <n v="0"/>
    <n v="2680.54"/>
    <s v="No Discount"/>
  </r>
  <r>
    <s v="TXN_02782"/>
    <d v="2024-06-25T00:00:00"/>
    <x v="10"/>
    <s v="Tuesday"/>
    <s v="STORE_045"/>
    <x v="2"/>
    <x v="0"/>
    <x v="0"/>
    <n v="510.5"/>
    <n v="7"/>
    <n v="3573.5"/>
    <n v="5"/>
    <n v="178.68"/>
    <n v="3394.82"/>
    <s v="Wallet"/>
    <s v="CUST_00522"/>
    <n v="3"/>
    <n v="178.67999999999984"/>
    <n v="484.97428571428571"/>
    <s v="Low"/>
  </r>
  <r>
    <s v="TXN_02783"/>
    <d v="2024-12-24T00:00:00"/>
    <x v="6"/>
    <s v="Tuesday"/>
    <s v="STORE_018"/>
    <x v="1"/>
    <x v="1"/>
    <x v="1"/>
    <n v="169.23"/>
    <n v="8"/>
    <n v="1353.84"/>
    <n v="20"/>
    <n v="270.77"/>
    <n v="1083.07"/>
    <s v="Cash"/>
    <s v="CUST_00666"/>
    <n v="5"/>
    <n v="270.77"/>
    <n v="135.38374999999999"/>
    <s v="High"/>
  </r>
  <r>
    <s v="TXN_02784"/>
    <d v="2024-02-02T00:00:00"/>
    <x v="1"/>
    <s v="Friday"/>
    <s v="STORE_013"/>
    <x v="3"/>
    <x v="3"/>
    <x v="22"/>
    <n v="2550.0700000000002"/>
    <n v="6"/>
    <n v="15300.42"/>
    <n v="0"/>
    <n v="0"/>
    <n v="15300.42"/>
    <s v="Wallet"/>
    <s v="CUST_00768"/>
    <n v="3"/>
    <n v="0"/>
    <n v="2550.0700000000002"/>
    <s v="No Discount"/>
  </r>
  <r>
    <s v="TXN_02785"/>
    <d v="2024-10-04T00:00:00"/>
    <x v="7"/>
    <s v="Friday"/>
    <s v="STORE_025"/>
    <x v="3"/>
    <x v="1"/>
    <x v="6"/>
    <n v="445.18"/>
    <n v="1"/>
    <n v="445.18"/>
    <n v="20"/>
    <n v="89.04"/>
    <n v="356.14"/>
    <s v="Debit Card"/>
    <s v="CUST_00430"/>
    <n v="4"/>
    <n v="89.04000000000002"/>
    <n v="356.14"/>
    <s v="High"/>
  </r>
  <r>
    <s v="TXN_02786"/>
    <d v="2024-01-31T00:00:00"/>
    <x v="2"/>
    <s v="Wednesday"/>
    <s v="STORE_030"/>
    <x v="1"/>
    <x v="1"/>
    <x v="6"/>
    <n v="61.26"/>
    <n v="3"/>
    <n v="183.78"/>
    <n v="0"/>
    <n v="0"/>
    <n v="183.78"/>
    <s v="UPI"/>
    <s v="CUST_00083"/>
    <n v="4"/>
    <n v="0"/>
    <n v="61.26"/>
    <s v="No Discount"/>
  </r>
  <r>
    <s v="TXN_02787"/>
    <d v="2024-02-05T00:00:00"/>
    <x v="1"/>
    <s v="Monday"/>
    <s v="STORE_021"/>
    <x v="3"/>
    <x v="2"/>
    <x v="7"/>
    <n v="411.61"/>
    <n v="4"/>
    <n v="1646.44"/>
    <n v="0"/>
    <n v="0"/>
    <n v="1646.44"/>
    <s v="Credit Card"/>
    <s v="CUST_00785"/>
    <n v="1"/>
    <n v="0"/>
    <n v="411.61"/>
    <s v="No Discount"/>
  </r>
  <r>
    <s v="TXN_02788"/>
    <d v="2024-08-29T00:00:00"/>
    <x v="8"/>
    <s v="Thursday"/>
    <s v="STORE_037"/>
    <x v="1"/>
    <x v="3"/>
    <x v="12"/>
    <n v="366.31"/>
    <n v="10"/>
    <n v="3663.1"/>
    <n v="0"/>
    <n v="0"/>
    <n v="3663.1"/>
    <s v="Credit Card"/>
    <s v="CUST_00757"/>
    <n v="1"/>
    <n v="0"/>
    <n v="366.31"/>
    <s v="No Discount"/>
  </r>
  <r>
    <s v="TXN_02789"/>
    <d v="2024-01-17T00:00:00"/>
    <x v="2"/>
    <s v="Wednesday"/>
    <s v="STORE_016"/>
    <x v="1"/>
    <x v="6"/>
    <x v="33"/>
    <n v="1058.9000000000001"/>
    <n v="6"/>
    <n v="6353.4"/>
    <n v="15"/>
    <n v="953.01"/>
    <n v="5400.39"/>
    <s v="Wallet"/>
    <s v="CUST_00740"/>
    <n v="2"/>
    <n v="953.00999999999931"/>
    <n v="900.06500000000005"/>
    <s v="Medium"/>
  </r>
  <r>
    <s v="TXN_02790"/>
    <d v="2024-05-26T00:00:00"/>
    <x v="3"/>
    <s v="Sunday"/>
    <s v="STORE_016"/>
    <x v="1"/>
    <x v="2"/>
    <x v="39"/>
    <n v="270.92"/>
    <n v="6"/>
    <n v="1625.52"/>
    <n v="15"/>
    <n v="243.83"/>
    <n v="1381.69"/>
    <s v="UPI"/>
    <s v="CUST_00977"/>
    <n v="3"/>
    <n v="243.82999999999993"/>
    <n v="230.28166666666667"/>
    <s v="Medium"/>
  </r>
  <r>
    <s v="TXN_02791"/>
    <d v="2024-07-28T00:00:00"/>
    <x v="11"/>
    <s v="Sunday"/>
    <s v="STORE_041"/>
    <x v="2"/>
    <x v="5"/>
    <x v="11"/>
    <n v="4459.68"/>
    <n v="3"/>
    <n v="13379.04"/>
    <n v="5"/>
    <n v="668.95"/>
    <n v="12710.09"/>
    <s v="UPI"/>
    <s v="CUST_00883"/>
    <n v="1"/>
    <n v="668.95000000000073"/>
    <n v="4236.6966666666667"/>
    <s v="Low"/>
  </r>
  <r>
    <s v="TXN_02792"/>
    <d v="2024-04-02T00:00:00"/>
    <x v="4"/>
    <s v="Tuesday"/>
    <s v="STORE_004"/>
    <x v="0"/>
    <x v="6"/>
    <x v="15"/>
    <n v="1199.6199999999999"/>
    <n v="10"/>
    <n v="11996.2"/>
    <n v="15"/>
    <n v="1799.43"/>
    <n v="10196.77"/>
    <s v="Credit Card"/>
    <s v="CUST_00835"/>
    <n v="1"/>
    <n v="1799.4300000000003"/>
    <n v="1019.677"/>
    <s v="Medium"/>
  </r>
  <r>
    <s v="TXN_02793"/>
    <d v="2024-03-10T00:00:00"/>
    <x v="5"/>
    <s v="Sunday"/>
    <s v="STORE_006"/>
    <x v="4"/>
    <x v="2"/>
    <x v="7"/>
    <n v="792.72"/>
    <n v="6"/>
    <n v="4756.32"/>
    <n v="20"/>
    <n v="951.26"/>
    <n v="3805.06"/>
    <s v="UPI"/>
    <s v="CUST_00706"/>
    <n v="1"/>
    <n v="951.25999999999976"/>
    <n v="634.17666666666662"/>
    <s v="High"/>
  </r>
  <r>
    <s v="TXN_02794"/>
    <d v="2024-11-24T00:00:00"/>
    <x v="0"/>
    <s v="Sunday"/>
    <s v="STORE_033"/>
    <x v="0"/>
    <x v="0"/>
    <x v="32"/>
    <n v="994.89"/>
    <n v="2"/>
    <n v="1989.78"/>
    <n v="10"/>
    <n v="198.98"/>
    <n v="1790.8"/>
    <s v="Credit Card"/>
    <s v="CUST_00767"/>
    <n v="3"/>
    <n v="198.98000000000002"/>
    <n v="895.4"/>
    <s v="Medium"/>
  </r>
  <r>
    <s v="TXN_02795"/>
    <d v="2024-11-26T00:00:00"/>
    <x v="0"/>
    <s v="Tuesday"/>
    <s v="STORE_029"/>
    <x v="3"/>
    <x v="1"/>
    <x v="6"/>
    <n v="230.81"/>
    <n v="2"/>
    <n v="461.62"/>
    <n v="0"/>
    <n v="0"/>
    <n v="461.62"/>
    <s v="Cash"/>
    <s v="CUST_00946"/>
    <n v="4"/>
    <n v="0"/>
    <n v="230.81"/>
    <s v="No Discount"/>
  </r>
  <r>
    <s v="TXN_02796"/>
    <d v="2024-08-03T00:00:00"/>
    <x v="8"/>
    <s v="Saturday"/>
    <s v="STORE_018"/>
    <x v="3"/>
    <x v="7"/>
    <x v="23"/>
    <n v="1071.4000000000001"/>
    <n v="7"/>
    <n v="7499.8"/>
    <n v="10"/>
    <n v="749.98"/>
    <n v="6749.82"/>
    <s v="UPI"/>
    <s v="CUST_00751"/>
    <n v="1"/>
    <n v="749.98000000000047"/>
    <n v="964.26"/>
    <s v="Medium"/>
  </r>
  <r>
    <s v="TXN_02797"/>
    <d v="2024-07-10T00:00:00"/>
    <x v="11"/>
    <s v="Wednesday"/>
    <s v="STORE_002"/>
    <x v="1"/>
    <x v="0"/>
    <x v="4"/>
    <n v="736.97"/>
    <n v="7"/>
    <n v="5158.79"/>
    <n v="10"/>
    <n v="515.88"/>
    <n v="4642.91"/>
    <s v="Debit Card"/>
    <s v="CUST_00730"/>
    <n v="5"/>
    <n v="515.88000000000011"/>
    <n v="663.27285714285711"/>
    <s v="Medium"/>
  </r>
  <r>
    <s v="TXN_02798"/>
    <d v="2024-07-14T00:00:00"/>
    <x v="11"/>
    <s v="Sunday"/>
    <s v="STORE_034"/>
    <x v="4"/>
    <x v="5"/>
    <x v="25"/>
    <n v="2616.46"/>
    <n v="10"/>
    <n v="26164.6"/>
    <n v="10"/>
    <n v="2616.46"/>
    <n v="23548.14"/>
    <s v="Cash"/>
    <s v="CUST_00070"/>
    <n v="1"/>
    <n v="2616.4599999999991"/>
    <n v="2354.8139999999999"/>
    <s v="Medium"/>
  </r>
  <r>
    <s v="TXN_02799"/>
    <d v="2024-08-17T00:00:00"/>
    <x v="8"/>
    <s v="Saturday"/>
    <s v="STORE_046"/>
    <x v="0"/>
    <x v="2"/>
    <x v="29"/>
    <n v="590.97"/>
    <n v="4"/>
    <n v="2363.88"/>
    <n v="0"/>
    <n v="0"/>
    <n v="2363.88"/>
    <s v="Debit Card"/>
    <s v="CUST_00509"/>
    <n v="5"/>
    <n v="0"/>
    <n v="590.97"/>
    <s v="No Discount"/>
  </r>
  <r>
    <s v="TXN_02800"/>
    <d v="2024-07-12T00:00:00"/>
    <x v="11"/>
    <s v="Friday"/>
    <s v="STORE_040"/>
    <x v="4"/>
    <x v="0"/>
    <x v="32"/>
    <n v="884.29"/>
    <n v="6"/>
    <n v="5305.74"/>
    <n v="0"/>
    <n v="0"/>
    <n v="5305.74"/>
    <s v="UPI"/>
    <s v="CUST_00433"/>
    <n v="2"/>
    <n v="0"/>
    <n v="884.29"/>
    <s v="No Discount"/>
  </r>
  <r>
    <s v="TXN_02801"/>
    <d v="2024-07-11T00:00:00"/>
    <x v="11"/>
    <s v="Thursday"/>
    <s v="STORE_006"/>
    <x v="4"/>
    <x v="5"/>
    <x v="11"/>
    <n v="1268.3399999999999"/>
    <n v="1"/>
    <n v="1268.3399999999999"/>
    <n v="0"/>
    <n v="0"/>
    <n v="1268.3399999999999"/>
    <s v="Credit Card"/>
    <s v="CUST_00398"/>
    <n v="2"/>
    <n v="0"/>
    <n v="1268.3399999999999"/>
    <s v="No Discount"/>
  </r>
  <r>
    <s v="TXN_02802"/>
    <d v="2024-02-11T00:00:00"/>
    <x v="1"/>
    <s v="Sunday"/>
    <s v="STORE_036"/>
    <x v="4"/>
    <x v="0"/>
    <x v="18"/>
    <n v="446.66"/>
    <n v="5"/>
    <n v="2233.3000000000002"/>
    <n v="5"/>
    <n v="111.67"/>
    <n v="2121.63"/>
    <s v="Debit Card"/>
    <s v="CUST_00859"/>
    <n v="2"/>
    <n v="111.67000000000007"/>
    <n v="424.32600000000002"/>
    <s v="Low"/>
  </r>
  <r>
    <s v="TXN_02803"/>
    <d v="2024-12-15T00:00:00"/>
    <x v="6"/>
    <s v="Sunday"/>
    <s v="STORE_030"/>
    <x v="1"/>
    <x v="7"/>
    <x v="24"/>
    <n v="844.54"/>
    <n v="9"/>
    <n v="7600.86"/>
    <n v="0"/>
    <n v="0"/>
    <n v="7600.86"/>
    <s v="Debit Card"/>
    <s v="CUST_00886"/>
    <n v="3"/>
    <n v="0"/>
    <n v="844.54"/>
    <s v="No Discount"/>
  </r>
  <r>
    <s v="TXN_02804"/>
    <d v="2024-12-04T00:00:00"/>
    <x v="6"/>
    <s v="Wednesday"/>
    <s v="STORE_007"/>
    <x v="2"/>
    <x v="2"/>
    <x v="29"/>
    <n v="101.86"/>
    <n v="6"/>
    <n v="611.16"/>
    <n v="10"/>
    <n v="61.12"/>
    <n v="550.04"/>
    <s v="Cash"/>
    <s v="CUST_00953"/>
    <n v="3"/>
    <n v="61.120000000000005"/>
    <n v="91.673333333333332"/>
    <s v="Medium"/>
  </r>
  <r>
    <s v="TXN_02805"/>
    <d v="2024-10-03T00:00:00"/>
    <x v="7"/>
    <s v="Thursday"/>
    <s v="STORE_006"/>
    <x v="4"/>
    <x v="5"/>
    <x v="11"/>
    <n v="4132.3599999999997"/>
    <n v="8"/>
    <n v="33058.879999999997"/>
    <n v="15"/>
    <n v="4958.83"/>
    <n v="28100.05"/>
    <s v="Debit Card"/>
    <s v="CUST_00938"/>
    <n v="3"/>
    <n v="4958.8299999999981"/>
    <n v="3512.5062499999999"/>
    <s v="Medium"/>
  </r>
  <r>
    <s v="TXN_02806"/>
    <d v="2024-03-09T00:00:00"/>
    <x v="5"/>
    <s v="Saturday"/>
    <s v="STORE_014"/>
    <x v="2"/>
    <x v="0"/>
    <x v="4"/>
    <n v="448.08"/>
    <n v="8"/>
    <n v="3584.64"/>
    <n v="5"/>
    <n v="179.23"/>
    <n v="3405.41"/>
    <s v="Cash"/>
    <s v="CUST_00993"/>
    <n v="1"/>
    <n v="179.23000000000002"/>
    <n v="425.67624999999998"/>
    <s v="Low"/>
  </r>
  <r>
    <s v="TXN_02807"/>
    <d v="2024-11-30T00:00:00"/>
    <x v="0"/>
    <s v="Saturday"/>
    <s v="STORE_033"/>
    <x v="1"/>
    <x v="3"/>
    <x v="22"/>
    <n v="413.79"/>
    <n v="4"/>
    <n v="1655.16"/>
    <n v="0"/>
    <n v="0"/>
    <n v="1655.16"/>
    <s v="Debit Card"/>
    <s v="CUST_00201"/>
    <n v="3"/>
    <n v="0"/>
    <n v="413.79"/>
    <s v="No Discount"/>
  </r>
  <r>
    <s v="TXN_02808"/>
    <d v="2024-06-27T00:00:00"/>
    <x v="10"/>
    <s v="Thursday"/>
    <s v="STORE_014"/>
    <x v="4"/>
    <x v="2"/>
    <x v="13"/>
    <n v="640.71"/>
    <n v="9"/>
    <n v="5766.39"/>
    <n v="20"/>
    <n v="1153.28"/>
    <n v="4613.1099999999997"/>
    <s v="Credit Card"/>
    <s v="CUST_00959"/>
    <n v="3"/>
    <n v="1153.2800000000007"/>
    <n v="512.56777777777779"/>
    <s v="High"/>
  </r>
  <r>
    <s v="TXN_02809"/>
    <d v="2024-03-01T00:00:00"/>
    <x v="5"/>
    <s v="Friday"/>
    <s v="STORE_022"/>
    <x v="4"/>
    <x v="4"/>
    <x v="20"/>
    <n v="462.19"/>
    <n v="8"/>
    <n v="3697.52"/>
    <n v="10"/>
    <n v="369.75"/>
    <n v="3327.77"/>
    <s v="Wallet"/>
    <s v="CUST_00827"/>
    <n v="3"/>
    <n v="369.75"/>
    <n v="415.97125"/>
    <s v="Medium"/>
  </r>
  <r>
    <s v="TXN_02810"/>
    <d v="2024-04-01T00:00:00"/>
    <x v="4"/>
    <s v="Monday"/>
    <s v="STORE_022"/>
    <x v="1"/>
    <x v="6"/>
    <x v="26"/>
    <n v="1283.77"/>
    <n v="2"/>
    <n v="2567.54"/>
    <n v="0"/>
    <n v="0"/>
    <n v="2567.54"/>
    <s v="Wallet"/>
    <s v="CUST_00828"/>
    <n v="4"/>
    <n v="0"/>
    <n v="1283.77"/>
    <s v="No Discount"/>
  </r>
  <r>
    <s v="TXN_02811"/>
    <d v="2024-10-02T00:00:00"/>
    <x v="7"/>
    <s v="Wednesday"/>
    <s v="STORE_014"/>
    <x v="2"/>
    <x v="7"/>
    <x v="37"/>
    <n v="852.86"/>
    <n v="10"/>
    <n v="8528.6"/>
    <n v="0"/>
    <n v="0"/>
    <n v="8528.6"/>
    <s v="Debit Card"/>
    <s v="CUST_00602"/>
    <n v="5"/>
    <n v="0"/>
    <n v="852.86"/>
    <s v="No Discount"/>
  </r>
  <r>
    <s v="TXN_02812"/>
    <d v="2024-07-20T00:00:00"/>
    <x v="11"/>
    <s v="Saturday"/>
    <s v="STORE_047"/>
    <x v="2"/>
    <x v="3"/>
    <x v="22"/>
    <n v="1690.98"/>
    <n v="10"/>
    <n v="16909.8"/>
    <n v="0"/>
    <n v="0"/>
    <n v="16909.8"/>
    <s v="Wallet"/>
    <s v="CUST_00201"/>
    <n v="1"/>
    <n v="0"/>
    <n v="1690.98"/>
    <s v="No Discount"/>
  </r>
  <r>
    <s v="TXN_02813"/>
    <d v="2024-09-27T00:00:00"/>
    <x v="9"/>
    <s v="Friday"/>
    <s v="STORE_012"/>
    <x v="1"/>
    <x v="7"/>
    <x v="24"/>
    <n v="1339.38"/>
    <n v="4"/>
    <n v="5357.52"/>
    <n v="0"/>
    <n v="0"/>
    <n v="5357.52"/>
    <s v="Debit Card"/>
    <s v="CUST_00937"/>
    <n v="5"/>
    <n v="0"/>
    <n v="1339.38"/>
    <s v="No Discount"/>
  </r>
  <r>
    <s v="TXN_02814"/>
    <d v="2024-03-06T00:00:00"/>
    <x v="5"/>
    <s v="Wednesday"/>
    <s v="STORE_049"/>
    <x v="2"/>
    <x v="5"/>
    <x v="34"/>
    <n v="3756.55"/>
    <n v="6"/>
    <n v="22539.3"/>
    <n v="10"/>
    <n v="2253.9299999999998"/>
    <n v="20285.37"/>
    <s v="UPI"/>
    <s v="CUST_00861"/>
    <n v="2"/>
    <n v="2253.9300000000003"/>
    <n v="3380.895"/>
    <s v="Medium"/>
  </r>
  <r>
    <s v="TXN_02815"/>
    <d v="2024-04-24T00:00:00"/>
    <x v="4"/>
    <s v="Wednesday"/>
    <s v="STORE_019"/>
    <x v="2"/>
    <x v="7"/>
    <x v="38"/>
    <n v="375.98"/>
    <n v="6"/>
    <n v="2255.88"/>
    <n v="0"/>
    <n v="0"/>
    <n v="2255.88"/>
    <s v="UPI"/>
    <s v="CUST_00090"/>
    <n v="2"/>
    <n v="0"/>
    <n v="375.98"/>
    <s v="No Discount"/>
  </r>
  <r>
    <s v="TXN_02816"/>
    <d v="2024-01-02T00:00:00"/>
    <x v="2"/>
    <s v="Tuesday"/>
    <s v="STORE_024"/>
    <x v="0"/>
    <x v="2"/>
    <x v="13"/>
    <n v="161.68"/>
    <n v="4"/>
    <n v="646.72"/>
    <n v="0"/>
    <n v="0"/>
    <n v="646.72"/>
    <s v="Cash"/>
    <s v="CUST_00870"/>
    <n v="3"/>
    <n v="0"/>
    <n v="161.68"/>
    <s v="No Discount"/>
  </r>
  <r>
    <s v="TXN_02817"/>
    <d v="2024-01-12T00:00:00"/>
    <x v="2"/>
    <s v="Friday"/>
    <s v="STORE_019"/>
    <x v="2"/>
    <x v="6"/>
    <x v="30"/>
    <n v="981.09"/>
    <n v="1"/>
    <n v="981.09"/>
    <n v="0"/>
    <n v="0"/>
    <n v="981.09"/>
    <s v="Credit Card"/>
    <s v="CUST_00461"/>
    <n v="3"/>
    <n v="0"/>
    <n v="981.09"/>
    <s v="No Discount"/>
  </r>
  <r>
    <s v="TXN_02818"/>
    <d v="2024-06-01T00:00:00"/>
    <x v="10"/>
    <s v="Saturday"/>
    <s v="STORE_024"/>
    <x v="4"/>
    <x v="1"/>
    <x v="3"/>
    <n v="89.58"/>
    <n v="2"/>
    <n v="179.16"/>
    <n v="0"/>
    <n v="0"/>
    <n v="179.16"/>
    <s v="Wallet"/>
    <s v="CUST_00563"/>
    <n v="4"/>
    <n v="0"/>
    <n v="89.58"/>
    <s v="No Discount"/>
  </r>
  <r>
    <s v="TXN_02819"/>
    <d v="2024-08-25T00:00:00"/>
    <x v="8"/>
    <s v="Sunday"/>
    <s v="STORE_048"/>
    <x v="1"/>
    <x v="2"/>
    <x v="39"/>
    <n v="323.83999999999997"/>
    <n v="7"/>
    <n v="2266.88"/>
    <n v="15"/>
    <n v="340.03"/>
    <n v="1926.85"/>
    <s v="UPI"/>
    <s v="CUST_00334"/>
    <n v="2"/>
    <n v="340.0300000000002"/>
    <n v="275.26428571428568"/>
    <s v="Medium"/>
  </r>
  <r>
    <s v="TXN_02820"/>
    <d v="2024-12-10T00:00:00"/>
    <x v="6"/>
    <s v="Tuesday"/>
    <s v="STORE_010"/>
    <x v="3"/>
    <x v="2"/>
    <x v="2"/>
    <n v="648.16"/>
    <n v="3"/>
    <n v="1944.48"/>
    <n v="10"/>
    <n v="194.45"/>
    <n v="1750.03"/>
    <s v="Wallet"/>
    <s v="CUST_00962"/>
    <n v="1"/>
    <n v="194.45000000000005"/>
    <n v="583.34333333333336"/>
    <s v="Medium"/>
  </r>
  <r>
    <s v="TXN_02821"/>
    <d v="2024-10-05T00:00:00"/>
    <x v="7"/>
    <s v="Saturday"/>
    <s v="STORE_047"/>
    <x v="2"/>
    <x v="2"/>
    <x v="39"/>
    <n v="206.89"/>
    <n v="7"/>
    <n v="1448.23"/>
    <n v="0"/>
    <n v="0"/>
    <n v="1448.23"/>
    <s v="Credit Card"/>
    <s v="CUST_00024"/>
    <n v="5"/>
    <n v="0"/>
    <n v="206.89000000000001"/>
    <s v="No Discount"/>
  </r>
  <r>
    <s v="TXN_02822"/>
    <d v="2024-08-05T00:00:00"/>
    <x v="8"/>
    <s v="Monday"/>
    <s v="STORE_006"/>
    <x v="2"/>
    <x v="0"/>
    <x v="18"/>
    <n v="934.17"/>
    <n v="7"/>
    <n v="6539.19"/>
    <n v="15"/>
    <n v="980.88"/>
    <n v="5558.31"/>
    <s v="UPI"/>
    <s v="CUST_00061"/>
    <n v="5"/>
    <n v="980.8799999999992"/>
    <n v="794.04428571428582"/>
    <s v="Medium"/>
  </r>
  <r>
    <s v="TXN_02823"/>
    <d v="2024-09-29T00:00:00"/>
    <x v="9"/>
    <s v="Sunday"/>
    <s v="STORE_035"/>
    <x v="0"/>
    <x v="5"/>
    <x v="11"/>
    <n v="3656.62"/>
    <n v="3"/>
    <n v="10969.86"/>
    <n v="20"/>
    <n v="2193.9699999999998"/>
    <n v="8775.89"/>
    <s v="Credit Card"/>
    <s v="CUST_00428"/>
    <n v="4"/>
    <n v="2193.9700000000012"/>
    <n v="2925.2966666666666"/>
    <s v="High"/>
  </r>
  <r>
    <s v="TXN_02824"/>
    <d v="2024-07-13T00:00:00"/>
    <x v="11"/>
    <s v="Saturday"/>
    <s v="STORE_042"/>
    <x v="3"/>
    <x v="5"/>
    <x v="11"/>
    <n v="3748.06"/>
    <n v="8"/>
    <n v="29984.48"/>
    <n v="0"/>
    <n v="0"/>
    <n v="29984.48"/>
    <s v="UPI"/>
    <s v="CUST_00856"/>
    <n v="2"/>
    <n v="0"/>
    <n v="3748.06"/>
    <s v="No Discount"/>
  </r>
  <r>
    <s v="TXN_02825"/>
    <d v="2024-04-27T00:00:00"/>
    <x v="4"/>
    <s v="Saturday"/>
    <s v="STORE_037"/>
    <x v="2"/>
    <x v="0"/>
    <x v="0"/>
    <n v="224.38"/>
    <n v="4"/>
    <n v="897.52"/>
    <n v="15"/>
    <n v="134.63"/>
    <n v="762.89"/>
    <s v="Cash"/>
    <s v="CUST_00764"/>
    <n v="4"/>
    <n v="134.63"/>
    <n v="190.7225"/>
    <s v="Medium"/>
  </r>
  <r>
    <s v="TXN_02826"/>
    <d v="2024-05-06T00:00:00"/>
    <x v="3"/>
    <s v="Monday"/>
    <s v="STORE_009"/>
    <x v="0"/>
    <x v="6"/>
    <x v="30"/>
    <n v="1017.89"/>
    <n v="4"/>
    <n v="4071.56"/>
    <n v="0"/>
    <n v="0"/>
    <n v="4071.56"/>
    <s v="Cash"/>
    <s v="CUST_00565"/>
    <n v="4"/>
    <n v="0"/>
    <n v="1017.89"/>
    <s v="No Discount"/>
  </r>
  <r>
    <s v="TXN_02827"/>
    <d v="2024-08-23T00:00:00"/>
    <x v="8"/>
    <s v="Friday"/>
    <s v="STORE_042"/>
    <x v="3"/>
    <x v="1"/>
    <x v="36"/>
    <n v="366.56"/>
    <n v="3"/>
    <n v="1099.68"/>
    <n v="0"/>
    <n v="0"/>
    <n v="1099.68"/>
    <s v="Credit Card"/>
    <s v="CUST_00935"/>
    <n v="1"/>
    <n v="0"/>
    <n v="366.56"/>
    <s v="No Discount"/>
  </r>
  <r>
    <s v="TXN_02828"/>
    <d v="2024-06-26T00:00:00"/>
    <x v="10"/>
    <s v="Wednesday"/>
    <s v="STORE_013"/>
    <x v="4"/>
    <x v="2"/>
    <x v="7"/>
    <n v="337.72"/>
    <n v="8"/>
    <n v="2701.76"/>
    <n v="15"/>
    <n v="405.26"/>
    <n v="2296.5"/>
    <s v="Debit Card"/>
    <s v="CUST_00475"/>
    <n v="3"/>
    <n v="405.26000000000022"/>
    <n v="287.0625"/>
    <s v="Medium"/>
  </r>
  <r>
    <s v="TXN_02829"/>
    <d v="2024-03-20T00:00:00"/>
    <x v="5"/>
    <s v="Wednesday"/>
    <s v="STORE_046"/>
    <x v="2"/>
    <x v="7"/>
    <x v="38"/>
    <n v="1032.07"/>
    <n v="2"/>
    <n v="2064.14"/>
    <n v="0"/>
    <n v="0"/>
    <n v="2064.14"/>
    <s v="Cash"/>
    <s v="CUST_00340"/>
    <n v="2"/>
    <n v="0"/>
    <n v="1032.07"/>
    <s v="No Discount"/>
  </r>
  <r>
    <s v="TXN_02830"/>
    <d v="2024-05-21T00:00:00"/>
    <x v="3"/>
    <s v="Tuesday"/>
    <s v="STORE_003"/>
    <x v="1"/>
    <x v="6"/>
    <x v="14"/>
    <n v="1870.29"/>
    <n v="9"/>
    <n v="16832.61"/>
    <n v="5"/>
    <n v="841.63"/>
    <n v="15990.98"/>
    <s v="Credit Card"/>
    <s v="CUST_00566"/>
    <n v="4"/>
    <n v="841.63000000000102"/>
    <n v="1776.7755555555555"/>
    <s v="Low"/>
  </r>
  <r>
    <s v="TXN_02831"/>
    <d v="2024-04-06T00:00:00"/>
    <x v="4"/>
    <s v="Saturday"/>
    <s v="STORE_023"/>
    <x v="1"/>
    <x v="6"/>
    <x v="14"/>
    <n v="1686.94"/>
    <n v="3"/>
    <n v="5060.82"/>
    <n v="0"/>
    <n v="0"/>
    <n v="5060.82"/>
    <s v="Credit Card"/>
    <s v="CUST_00908"/>
    <n v="4"/>
    <n v="0"/>
    <n v="1686.9399999999998"/>
    <s v="No Discount"/>
  </r>
  <r>
    <s v="TXN_02832"/>
    <d v="2024-02-27T00:00:00"/>
    <x v="1"/>
    <s v="Tuesday"/>
    <s v="STORE_003"/>
    <x v="4"/>
    <x v="1"/>
    <x v="6"/>
    <n v="253.02"/>
    <n v="7"/>
    <n v="1771.14"/>
    <n v="15"/>
    <n v="265.67"/>
    <n v="1505.47"/>
    <s v="Wallet"/>
    <s v="CUST_00024"/>
    <n v="3"/>
    <n v="265.67000000000007"/>
    <n v="215.06714285714287"/>
    <s v="Medium"/>
  </r>
  <r>
    <s v="TXN_02833"/>
    <d v="2024-01-17T00:00:00"/>
    <x v="2"/>
    <s v="Wednesday"/>
    <s v="STORE_026"/>
    <x v="1"/>
    <x v="2"/>
    <x v="2"/>
    <n v="544.20000000000005"/>
    <n v="10"/>
    <n v="5442"/>
    <n v="10"/>
    <n v="544.20000000000005"/>
    <n v="4897.8"/>
    <s v="Cash"/>
    <s v="CUST_00210"/>
    <n v="4"/>
    <n v="544.19999999999982"/>
    <n v="489.78000000000003"/>
    <s v="Medium"/>
  </r>
  <r>
    <s v="TXN_02834"/>
    <d v="2024-12-04T00:00:00"/>
    <x v="6"/>
    <s v="Wednesday"/>
    <s v="STORE_009"/>
    <x v="0"/>
    <x v="6"/>
    <x v="30"/>
    <n v="1850.87"/>
    <n v="6"/>
    <n v="11105.22"/>
    <n v="15"/>
    <n v="1665.78"/>
    <n v="9439.44"/>
    <s v="Cash"/>
    <s v="CUST_00528"/>
    <n v="4"/>
    <n v="1665.7799999999988"/>
    <n v="1573.24"/>
    <s v="Medium"/>
  </r>
  <r>
    <s v="TXN_02835"/>
    <d v="2024-08-02T00:00:00"/>
    <x v="8"/>
    <s v="Friday"/>
    <s v="STORE_028"/>
    <x v="4"/>
    <x v="1"/>
    <x v="3"/>
    <n v="278.89999999999998"/>
    <n v="9"/>
    <n v="2510.1"/>
    <n v="5"/>
    <n v="125.5"/>
    <n v="2384.6"/>
    <s v="UPI"/>
    <s v="CUST_00639"/>
    <n v="3"/>
    <n v="125.5"/>
    <n v="264.95555555555552"/>
    <s v="Low"/>
  </r>
  <r>
    <s v="TXN_02836"/>
    <d v="2024-11-10T00:00:00"/>
    <x v="0"/>
    <s v="Sunday"/>
    <s v="STORE_038"/>
    <x v="2"/>
    <x v="3"/>
    <x v="21"/>
    <n v="776.81"/>
    <n v="1"/>
    <n v="776.81"/>
    <n v="5"/>
    <n v="38.840000000000003"/>
    <n v="737.97"/>
    <s v="Debit Card"/>
    <s v="CUST_00906"/>
    <n v="2"/>
    <n v="38.839999999999918"/>
    <n v="737.97"/>
    <s v="Low"/>
  </r>
  <r>
    <s v="TXN_02837"/>
    <d v="2024-01-09T00:00:00"/>
    <x v="2"/>
    <s v="Tuesday"/>
    <s v="STORE_018"/>
    <x v="3"/>
    <x v="7"/>
    <x v="28"/>
    <n v="1259.24"/>
    <n v="4"/>
    <n v="5036.96"/>
    <n v="10"/>
    <n v="503.7"/>
    <n v="4533.26"/>
    <s v="UPI"/>
    <s v="CUST_00851"/>
    <n v="1"/>
    <n v="503.69999999999982"/>
    <n v="1133.3150000000001"/>
    <s v="Medium"/>
  </r>
  <r>
    <s v="TXN_02838"/>
    <d v="2024-05-03T00:00:00"/>
    <x v="3"/>
    <s v="Friday"/>
    <s v="STORE_001"/>
    <x v="0"/>
    <x v="2"/>
    <x v="13"/>
    <n v="731.79"/>
    <n v="2"/>
    <n v="1463.58"/>
    <n v="20"/>
    <n v="292.72000000000003"/>
    <n v="1170.8599999999999"/>
    <s v="Wallet"/>
    <s v="CUST_00522"/>
    <n v="5"/>
    <n v="292.72000000000003"/>
    <n v="585.42999999999995"/>
    <s v="High"/>
  </r>
  <r>
    <s v="TXN_02839"/>
    <d v="2024-04-15T00:00:00"/>
    <x v="4"/>
    <s v="Monday"/>
    <s v="STORE_049"/>
    <x v="1"/>
    <x v="6"/>
    <x v="14"/>
    <n v="993.91"/>
    <n v="5"/>
    <n v="4969.55"/>
    <n v="20"/>
    <n v="993.91"/>
    <n v="3975.64"/>
    <s v="Wallet"/>
    <s v="CUST_00748"/>
    <n v="5"/>
    <n v="993.91000000000031"/>
    <n v="795.12799999999993"/>
    <s v="High"/>
  </r>
  <r>
    <s v="TXN_02840"/>
    <d v="2024-02-04T00:00:00"/>
    <x v="1"/>
    <s v="Sunday"/>
    <s v="STORE_038"/>
    <x v="2"/>
    <x v="3"/>
    <x v="16"/>
    <n v="671.77"/>
    <n v="10"/>
    <n v="6717.7"/>
    <n v="0"/>
    <n v="0"/>
    <n v="6717.7"/>
    <s v="Cash"/>
    <s v="CUST_00266"/>
    <n v="1"/>
    <n v="0"/>
    <n v="671.77"/>
    <s v="No Discount"/>
  </r>
  <r>
    <s v="TXN_02841"/>
    <d v="2024-02-21T00:00:00"/>
    <x v="1"/>
    <s v="Wednesday"/>
    <s v="STORE_009"/>
    <x v="4"/>
    <x v="1"/>
    <x v="3"/>
    <n v="378.98"/>
    <n v="6"/>
    <n v="2273.88"/>
    <n v="0"/>
    <n v="0"/>
    <n v="2273.88"/>
    <s v="Cash"/>
    <s v="CUST_00246"/>
    <n v="4"/>
    <n v="0"/>
    <n v="378.98"/>
    <s v="No Discount"/>
  </r>
  <r>
    <s v="TXN_02842"/>
    <d v="2024-10-31T00:00:00"/>
    <x v="7"/>
    <s v="Thursday"/>
    <s v="STORE_037"/>
    <x v="1"/>
    <x v="4"/>
    <x v="8"/>
    <n v="580.79"/>
    <n v="7"/>
    <n v="4065.53"/>
    <n v="5"/>
    <n v="203.28"/>
    <n v="3862.25"/>
    <s v="Debit Card"/>
    <s v="CUST_00747"/>
    <n v="1"/>
    <n v="203.2800000000002"/>
    <n v="551.75"/>
    <s v="Low"/>
  </r>
  <r>
    <s v="TXN_02843"/>
    <d v="2024-01-18T00:00:00"/>
    <x v="2"/>
    <s v="Thursday"/>
    <s v="STORE_017"/>
    <x v="4"/>
    <x v="3"/>
    <x v="12"/>
    <n v="2041.02"/>
    <n v="7"/>
    <n v="14287.14"/>
    <n v="5"/>
    <n v="714.36"/>
    <n v="13572.78"/>
    <s v="Credit Card"/>
    <s v="CUST_00778"/>
    <n v="5"/>
    <n v="714.35999999999876"/>
    <n v="1938.9685714285715"/>
    <s v="Low"/>
  </r>
  <r>
    <s v="TXN_02844"/>
    <d v="2024-08-16T00:00:00"/>
    <x v="8"/>
    <s v="Friday"/>
    <s v="STORE_045"/>
    <x v="0"/>
    <x v="0"/>
    <x v="27"/>
    <n v="798.57"/>
    <n v="7"/>
    <n v="5589.99"/>
    <n v="20"/>
    <n v="1118"/>
    <n v="4471.99"/>
    <s v="Cash"/>
    <s v="CUST_00608"/>
    <n v="4"/>
    <n v="1118"/>
    <n v="638.85571428571427"/>
    <s v="High"/>
  </r>
  <r>
    <s v="TXN_02845"/>
    <d v="2024-11-02T00:00:00"/>
    <x v="0"/>
    <s v="Saturday"/>
    <s v="STORE_034"/>
    <x v="0"/>
    <x v="5"/>
    <x v="25"/>
    <n v="4097.1899999999996"/>
    <n v="9"/>
    <n v="36874.71"/>
    <n v="15"/>
    <n v="5531.21"/>
    <n v="31343.5"/>
    <s v="Debit Card"/>
    <s v="CUST_00735"/>
    <n v="2"/>
    <n v="5531.2099999999991"/>
    <n v="3482.6111111111113"/>
    <s v="Medium"/>
  </r>
  <r>
    <s v="TXN_02846"/>
    <d v="2024-12-10T00:00:00"/>
    <x v="6"/>
    <s v="Tuesday"/>
    <s v="STORE_003"/>
    <x v="3"/>
    <x v="6"/>
    <x v="30"/>
    <n v="1290.4100000000001"/>
    <n v="3"/>
    <n v="3871.23"/>
    <n v="0"/>
    <n v="0"/>
    <n v="3871.23"/>
    <s v="Cash"/>
    <s v="CUST_00920"/>
    <n v="2"/>
    <n v="0"/>
    <n v="1290.4100000000001"/>
    <s v="No Discount"/>
  </r>
  <r>
    <s v="TXN_02847"/>
    <d v="2024-12-26T00:00:00"/>
    <x v="6"/>
    <s v="Thursday"/>
    <s v="STORE_027"/>
    <x v="3"/>
    <x v="4"/>
    <x v="19"/>
    <n v="390.83"/>
    <n v="5"/>
    <n v="1954.15"/>
    <n v="15"/>
    <n v="293.12"/>
    <n v="1661.03"/>
    <s v="UPI"/>
    <s v="CUST_00515"/>
    <n v="4"/>
    <n v="293.12000000000012"/>
    <n v="332.20600000000002"/>
    <s v="Medium"/>
  </r>
  <r>
    <s v="TXN_02848"/>
    <d v="2024-01-25T00:00:00"/>
    <x v="2"/>
    <s v="Thursday"/>
    <s v="STORE_031"/>
    <x v="1"/>
    <x v="6"/>
    <x v="26"/>
    <n v="1923.64"/>
    <n v="5"/>
    <n v="9618.2000000000007"/>
    <n v="0"/>
    <n v="0"/>
    <n v="9618.2000000000007"/>
    <s v="Wallet"/>
    <s v="CUST_00752"/>
    <n v="2"/>
    <n v="0"/>
    <n v="1923.64"/>
    <s v="No Discount"/>
  </r>
  <r>
    <s v="TXN_02849"/>
    <d v="2024-05-05T00:00:00"/>
    <x v="3"/>
    <s v="Sunday"/>
    <s v="STORE_006"/>
    <x v="0"/>
    <x v="2"/>
    <x v="7"/>
    <n v="327.82"/>
    <n v="10"/>
    <n v="3278.2"/>
    <n v="5"/>
    <n v="163.91"/>
    <n v="3114.29"/>
    <s v="Cash"/>
    <s v="CUST_00366"/>
    <n v="2"/>
    <n v="163.90999999999985"/>
    <n v="311.42899999999997"/>
    <s v="Low"/>
  </r>
  <r>
    <s v="TXN_02850"/>
    <d v="2024-01-23T00:00:00"/>
    <x v="2"/>
    <s v="Tuesday"/>
    <s v="STORE_041"/>
    <x v="0"/>
    <x v="3"/>
    <x v="21"/>
    <n v="2825.36"/>
    <n v="6"/>
    <n v="16952.16"/>
    <n v="0"/>
    <n v="0"/>
    <n v="16952.16"/>
    <s v="Cash"/>
    <s v="CUST_00946"/>
    <n v="5"/>
    <n v="0"/>
    <n v="2825.36"/>
    <s v="No Discount"/>
  </r>
  <r>
    <s v="TXN_02851"/>
    <d v="2024-07-24T00:00:00"/>
    <x v="11"/>
    <s v="Wednesday"/>
    <s v="STORE_046"/>
    <x v="1"/>
    <x v="1"/>
    <x v="6"/>
    <n v="291.85000000000002"/>
    <n v="8"/>
    <n v="2334.8000000000002"/>
    <n v="0"/>
    <n v="0"/>
    <n v="2334.8000000000002"/>
    <s v="Credit Card"/>
    <s v="CUST_00995"/>
    <n v="1"/>
    <n v="0"/>
    <n v="291.85000000000002"/>
    <s v="No Discount"/>
  </r>
  <r>
    <s v="TXN_02852"/>
    <d v="2024-08-12T00:00:00"/>
    <x v="8"/>
    <s v="Monday"/>
    <s v="STORE_040"/>
    <x v="4"/>
    <x v="0"/>
    <x v="0"/>
    <n v="542.83000000000004"/>
    <n v="6"/>
    <n v="3256.98"/>
    <n v="20"/>
    <n v="651.4"/>
    <n v="2605.58"/>
    <s v="Credit Card"/>
    <s v="CUST_00505"/>
    <n v="1"/>
    <n v="651.40000000000009"/>
    <n v="434.26333333333332"/>
    <s v="High"/>
  </r>
  <r>
    <s v="TXN_02853"/>
    <d v="2024-04-29T00:00:00"/>
    <x v="4"/>
    <s v="Monday"/>
    <s v="STORE_021"/>
    <x v="2"/>
    <x v="0"/>
    <x v="32"/>
    <n v="467.72"/>
    <n v="5"/>
    <n v="2338.6"/>
    <n v="10"/>
    <n v="233.86"/>
    <n v="2104.7399999999998"/>
    <s v="UPI"/>
    <s v="CUST_00786"/>
    <n v="3"/>
    <n v="233.86000000000013"/>
    <n v="420.94799999999998"/>
    <s v="Medium"/>
  </r>
  <r>
    <s v="TXN_02854"/>
    <d v="2024-10-03T00:00:00"/>
    <x v="7"/>
    <s v="Thursday"/>
    <s v="STORE_034"/>
    <x v="4"/>
    <x v="4"/>
    <x v="19"/>
    <n v="289.81"/>
    <n v="2"/>
    <n v="579.62"/>
    <n v="10"/>
    <n v="57.96"/>
    <n v="521.66"/>
    <s v="UPI"/>
    <s v="CUST_00438"/>
    <n v="4"/>
    <n v="57.960000000000036"/>
    <n v="260.83"/>
    <s v="Medium"/>
  </r>
  <r>
    <s v="TXN_02855"/>
    <d v="2024-04-21T00:00:00"/>
    <x v="4"/>
    <s v="Sunday"/>
    <s v="STORE_048"/>
    <x v="4"/>
    <x v="3"/>
    <x v="21"/>
    <n v="2757.84"/>
    <n v="1"/>
    <n v="2757.84"/>
    <n v="10"/>
    <n v="275.77999999999997"/>
    <n v="2482.06"/>
    <s v="Debit Card"/>
    <s v="CUST_00838"/>
    <n v="3"/>
    <n v="275.7800000000002"/>
    <n v="2482.06"/>
    <s v="Medium"/>
  </r>
  <r>
    <s v="TXN_02856"/>
    <d v="2024-01-29T00:00:00"/>
    <x v="2"/>
    <s v="Monday"/>
    <s v="STORE_006"/>
    <x v="1"/>
    <x v="5"/>
    <x v="34"/>
    <n v="4340.28"/>
    <n v="7"/>
    <n v="30381.96"/>
    <n v="20"/>
    <n v="6076.39"/>
    <n v="24305.57"/>
    <s v="Debit Card"/>
    <s v="CUST_00590"/>
    <n v="1"/>
    <n v="6076.3899999999994"/>
    <n v="3472.2242857142855"/>
    <s v="High"/>
  </r>
  <r>
    <s v="TXN_02857"/>
    <d v="2024-03-12T00:00:00"/>
    <x v="5"/>
    <s v="Tuesday"/>
    <s v="STORE_018"/>
    <x v="4"/>
    <x v="1"/>
    <x v="31"/>
    <n v="127.65"/>
    <n v="5"/>
    <n v="638.25"/>
    <n v="0"/>
    <n v="0"/>
    <n v="638.25"/>
    <s v="Debit Card"/>
    <s v="CUST_00811"/>
    <n v="5"/>
    <n v="0"/>
    <n v="127.65"/>
    <s v="No Discount"/>
  </r>
  <r>
    <s v="TXN_02858"/>
    <d v="2024-09-14T00:00:00"/>
    <x v="9"/>
    <s v="Saturday"/>
    <s v="STORE_027"/>
    <x v="4"/>
    <x v="3"/>
    <x v="22"/>
    <n v="2362.42"/>
    <n v="10"/>
    <n v="23624.2"/>
    <n v="0"/>
    <n v="0"/>
    <n v="23624.2"/>
    <s v="UPI"/>
    <s v="CUST_00050"/>
    <n v="4"/>
    <n v="0"/>
    <n v="2362.42"/>
    <s v="No Discount"/>
  </r>
  <r>
    <s v="TXN_02859"/>
    <d v="2024-05-28T00:00:00"/>
    <x v="3"/>
    <s v="Tuesday"/>
    <s v="STORE_018"/>
    <x v="2"/>
    <x v="2"/>
    <x v="13"/>
    <n v="558.42999999999995"/>
    <n v="1"/>
    <n v="558.42999999999995"/>
    <n v="0"/>
    <n v="0"/>
    <n v="558.42999999999995"/>
    <s v="Wallet"/>
    <s v="CUST_00813"/>
    <n v="1"/>
    <n v="0"/>
    <n v="558.42999999999995"/>
    <s v="No Discount"/>
  </r>
  <r>
    <s v="TXN_02860"/>
    <d v="2024-04-29T00:00:00"/>
    <x v="4"/>
    <s v="Monday"/>
    <s v="STORE_015"/>
    <x v="3"/>
    <x v="3"/>
    <x v="12"/>
    <n v="2747.97"/>
    <n v="9"/>
    <n v="24731.73"/>
    <n v="0"/>
    <n v="0"/>
    <n v="24731.73"/>
    <s v="Credit Card"/>
    <s v="CUST_00766"/>
    <n v="3"/>
    <n v="0"/>
    <n v="2747.97"/>
    <s v="No Discount"/>
  </r>
  <r>
    <s v="TXN_02861"/>
    <d v="2024-10-21T00:00:00"/>
    <x v="7"/>
    <s v="Monday"/>
    <s v="STORE_007"/>
    <x v="1"/>
    <x v="3"/>
    <x v="22"/>
    <n v="2424.77"/>
    <n v="9"/>
    <n v="21822.93"/>
    <n v="5"/>
    <n v="1091.1500000000001"/>
    <n v="20731.78"/>
    <s v="UPI"/>
    <s v="CUST_00335"/>
    <n v="4"/>
    <n v="1091.1500000000015"/>
    <n v="2303.5311111111109"/>
    <s v="Low"/>
  </r>
  <r>
    <s v="TXN_02862"/>
    <d v="2024-06-12T00:00:00"/>
    <x v="10"/>
    <s v="Wednesday"/>
    <s v="STORE_010"/>
    <x v="3"/>
    <x v="2"/>
    <x v="39"/>
    <n v="391.78"/>
    <n v="1"/>
    <n v="391.78"/>
    <n v="0"/>
    <n v="0"/>
    <n v="391.78"/>
    <s v="Debit Card"/>
    <s v="CUST_00042"/>
    <n v="5"/>
    <n v="0"/>
    <n v="391.78"/>
    <s v="No Discount"/>
  </r>
  <r>
    <s v="TXN_02863"/>
    <d v="2024-10-22T00:00:00"/>
    <x v="7"/>
    <s v="Tuesday"/>
    <s v="STORE_009"/>
    <x v="2"/>
    <x v="0"/>
    <x v="4"/>
    <n v="884.63"/>
    <n v="7"/>
    <n v="6192.41"/>
    <n v="15"/>
    <n v="928.86"/>
    <n v="5263.55"/>
    <s v="Debit Card"/>
    <s v="CUST_00645"/>
    <n v="4"/>
    <n v="928.85999999999967"/>
    <n v="751.93571428571431"/>
    <s v="Medium"/>
  </r>
  <r>
    <s v="TXN_02864"/>
    <d v="2024-11-02T00:00:00"/>
    <x v="0"/>
    <s v="Saturday"/>
    <s v="STORE_007"/>
    <x v="4"/>
    <x v="4"/>
    <x v="20"/>
    <n v="327.79"/>
    <n v="5"/>
    <n v="1638.95"/>
    <n v="10"/>
    <n v="163.9"/>
    <n v="1475.05"/>
    <s v="Wallet"/>
    <s v="CUST_00708"/>
    <n v="1"/>
    <n v="163.90000000000009"/>
    <n v="295.01"/>
    <s v="Medium"/>
  </r>
  <r>
    <s v="TXN_02865"/>
    <d v="2024-12-10T00:00:00"/>
    <x v="6"/>
    <s v="Tuesday"/>
    <s v="STORE_033"/>
    <x v="1"/>
    <x v="5"/>
    <x v="10"/>
    <n v="4284.05"/>
    <n v="6"/>
    <n v="25704.3"/>
    <n v="5"/>
    <n v="1285.22"/>
    <n v="24419.08"/>
    <s v="UPI"/>
    <s v="CUST_00756"/>
    <n v="2"/>
    <n v="1285.2199999999975"/>
    <n v="4069.8466666666668"/>
    <s v="Low"/>
  </r>
  <r>
    <s v="TXN_02866"/>
    <d v="2024-06-13T00:00:00"/>
    <x v="10"/>
    <s v="Thursday"/>
    <s v="STORE_016"/>
    <x v="2"/>
    <x v="6"/>
    <x v="14"/>
    <n v="1971.67"/>
    <n v="6"/>
    <n v="11830.02"/>
    <n v="0"/>
    <n v="0"/>
    <n v="11830.02"/>
    <s v="Debit Card"/>
    <s v="CUST_00690"/>
    <n v="5"/>
    <n v="0"/>
    <n v="1971.67"/>
    <s v="No Discount"/>
  </r>
  <r>
    <s v="TXN_02867"/>
    <d v="2024-05-01T00:00:00"/>
    <x v="3"/>
    <s v="Wednesday"/>
    <s v="STORE_011"/>
    <x v="3"/>
    <x v="1"/>
    <x v="1"/>
    <n v="203.08"/>
    <n v="6"/>
    <n v="1218.48"/>
    <n v="10"/>
    <n v="121.85"/>
    <n v="1096.6300000000001"/>
    <s v="Debit Card"/>
    <s v="CUST_00187"/>
    <n v="1"/>
    <n v="121.84999999999991"/>
    <n v="182.77166666666668"/>
    <s v="Medium"/>
  </r>
  <r>
    <s v="TXN_02868"/>
    <d v="2024-06-03T00:00:00"/>
    <x v="10"/>
    <s v="Monday"/>
    <s v="STORE_042"/>
    <x v="4"/>
    <x v="0"/>
    <x v="32"/>
    <n v="374.04"/>
    <n v="10"/>
    <n v="3740.4"/>
    <n v="0"/>
    <n v="0"/>
    <n v="3740.4"/>
    <s v="UPI"/>
    <s v="CUST_00274"/>
    <n v="4"/>
    <n v="0"/>
    <n v="374.04"/>
    <s v="No Discount"/>
  </r>
  <r>
    <s v="TXN_02869"/>
    <d v="2024-03-14T00:00:00"/>
    <x v="5"/>
    <s v="Thursday"/>
    <s v="STORE_022"/>
    <x v="2"/>
    <x v="2"/>
    <x v="13"/>
    <n v="101.77"/>
    <n v="9"/>
    <n v="915.93"/>
    <n v="10"/>
    <n v="91.59"/>
    <n v="824.34"/>
    <s v="Credit Card"/>
    <s v="CUST_00683"/>
    <n v="4"/>
    <n v="91.589999999999918"/>
    <n v="91.593333333333334"/>
    <s v="Medium"/>
  </r>
  <r>
    <s v="TXN_02870"/>
    <d v="2024-12-04T00:00:00"/>
    <x v="6"/>
    <s v="Wednesday"/>
    <s v="STORE_005"/>
    <x v="0"/>
    <x v="7"/>
    <x v="23"/>
    <n v="905.85"/>
    <n v="8"/>
    <n v="7246.8"/>
    <n v="5"/>
    <n v="362.34"/>
    <n v="6884.46"/>
    <s v="Cash"/>
    <s v="CUST_00587"/>
    <n v="3"/>
    <n v="362.34000000000015"/>
    <n v="860.5575"/>
    <s v="Low"/>
  </r>
  <r>
    <s v="TXN_02871"/>
    <d v="2024-09-23T00:00:00"/>
    <x v="9"/>
    <s v="Monday"/>
    <s v="STORE_014"/>
    <x v="2"/>
    <x v="2"/>
    <x v="39"/>
    <n v="167.18"/>
    <n v="5"/>
    <n v="835.9"/>
    <n v="10"/>
    <n v="83.59"/>
    <n v="752.31"/>
    <s v="Debit Card"/>
    <s v="CUST_00440"/>
    <n v="3"/>
    <n v="83.590000000000032"/>
    <n v="150.46199999999999"/>
    <s v="Medium"/>
  </r>
  <r>
    <s v="TXN_02872"/>
    <d v="2024-04-23T00:00:00"/>
    <x v="4"/>
    <s v="Tuesday"/>
    <s v="STORE_050"/>
    <x v="1"/>
    <x v="2"/>
    <x v="7"/>
    <n v="479.05"/>
    <n v="9"/>
    <n v="4311.45"/>
    <n v="20"/>
    <n v="862.29"/>
    <n v="3449.16"/>
    <s v="Debit Card"/>
    <s v="CUST_00679"/>
    <n v="5"/>
    <n v="862.29"/>
    <n v="383.24"/>
    <s v="High"/>
  </r>
  <r>
    <s v="TXN_02873"/>
    <d v="2024-07-30T00:00:00"/>
    <x v="11"/>
    <s v="Tuesday"/>
    <s v="STORE_038"/>
    <x v="2"/>
    <x v="1"/>
    <x v="6"/>
    <n v="247.99"/>
    <n v="7"/>
    <n v="1735.93"/>
    <n v="0"/>
    <n v="0"/>
    <n v="1735.93"/>
    <s v="UPI"/>
    <s v="CUST_00493"/>
    <n v="3"/>
    <n v="0"/>
    <n v="247.99"/>
    <s v="No Discount"/>
  </r>
  <r>
    <s v="TXN_02874"/>
    <d v="2024-06-02T00:00:00"/>
    <x v="10"/>
    <s v="Sunday"/>
    <s v="STORE_015"/>
    <x v="3"/>
    <x v="6"/>
    <x v="15"/>
    <n v="989.22"/>
    <n v="10"/>
    <n v="9892.2000000000007"/>
    <n v="0"/>
    <n v="0"/>
    <n v="9892.2000000000007"/>
    <s v="Debit Card"/>
    <s v="CUST_00550"/>
    <n v="3"/>
    <n v="0"/>
    <n v="989.22"/>
    <s v="No Discount"/>
  </r>
  <r>
    <s v="TXN_02875"/>
    <d v="2024-05-20T00:00:00"/>
    <x v="3"/>
    <s v="Monday"/>
    <s v="STORE_010"/>
    <x v="2"/>
    <x v="1"/>
    <x v="1"/>
    <n v="95.83"/>
    <n v="7"/>
    <n v="670.81"/>
    <n v="20"/>
    <n v="134.16"/>
    <n v="536.65"/>
    <s v="Wallet"/>
    <s v="CUST_00850"/>
    <n v="2"/>
    <n v="134.15999999999997"/>
    <n v="76.664285714285711"/>
    <s v="High"/>
  </r>
  <r>
    <s v="TXN_02876"/>
    <d v="2024-02-01T00:00:00"/>
    <x v="1"/>
    <s v="Thursday"/>
    <s v="STORE_020"/>
    <x v="2"/>
    <x v="2"/>
    <x v="7"/>
    <n v="701.02"/>
    <n v="1"/>
    <n v="701.02"/>
    <n v="5"/>
    <n v="35.049999999999997"/>
    <n v="665.97"/>
    <s v="UPI"/>
    <s v="CUST_00355"/>
    <n v="2"/>
    <n v="35.049999999999955"/>
    <n v="665.97"/>
    <s v="Low"/>
  </r>
  <r>
    <s v="TXN_02877"/>
    <d v="2024-10-12T00:00:00"/>
    <x v="7"/>
    <s v="Saturday"/>
    <s v="STORE_008"/>
    <x v="2"/>
    <x v="3"/>
    <x v="22"/>
    <n v="1862.48"/>
    <n v="8"/>
    <n v="14899.84"/>
    <n v="0"/>
    <n v="0"/>
    <n v="14899.84"/>
    <s v="Credit Card"/>
    <s v="CUST_00973"/>
    <n v="1"/>
    <n v="0"/>
    <n v="1862.48"/>
    <s v="No Discount"/>
  </r>
  <r>
    <s v="TXN_02878"/>
    <d v="2024-10-29T00:00:00"/>
    <x v="7"/>
    <s v="Tuesday"/>
    <s v="STORE_017"/>
    <x v="0"/>
    <x v="4"/>
    <x v="35"/>
    <n v="358.05"/>
    <n v="4"/>
    <n v="1432.2"/>
    <n v="20"/>
    <n v="286.44"/>
    <n v="1145.76"/>
    <s v="Cash"/>
    <s v="CUST_00680"/>
    <n v="5"/>
    <n v="286.44000000000005"/>
    <n v="286.44"/>
    <s v="High"/>
  </r>
  <r>
    <s v="TXN_02879"/>
    <d v="2024-03-30T00:00:00"/>
    <x v="5"/>
    <s v="Saturday"/>
    <s v="STORE_024"/>
    <x v="3"/>
    <x v="7"/>
    <x v="24"/>
    <n v="1133.08"/>
    <n v="8"/>
    <n v="9064.64"/>
    <n v="0"/>
    <n v="0"/>
    <n v="9064.64"/>
    <s v="Debit Card"/>
    <s v="CUST_00986"/>
    <n v="3"/>
    <n v="0"/>
    <n v="1133.08"/>
    <s v="No Discount"/>
  </r>
  <r>
    <s v="TXN_02880"/>
    <d v="2024-11-16T00:00:00"/>
    <x v="0"/>
    <s v="Saturday"/>
    <s v="STORE_020"/>
    <x v="2"/>
    <x v="4"/>
    <x v="19"/>
    <n v="264.55"/>
    <n v="4"/>
    <n v="1058.2"/>
    <n v="0"/>
    <n v="0"/>
    <n v="1058.2"/>
    <s v="Cash"/>
    <s v="CUST_00403"/>
    <n v="4"/>
    <n v="0"/>
    <n v="264.55"/>
    <s v="No Discount"/>
  </r>
  <r>
    <s v="TXN_02881"/>
    <d v="2024-12-13T00:00:00"/>
    <x v="6"/>
    <s v="Friday"/>
    <s v="STORE_016"/>
    <x v="0"/>
    <x v="4"/>
    <x v="35"/>
    <n v="360.42"/>
    <n v="10"/>
    <n v="3604.2"/>
    <n v="15"/>
    <n v="540.63"/>
    <n v="3063.57"/>
    <s v="Cash"/>
    <s v="CUST_00550"/>
    <n v="2"/>
    <n v="540.62999999999965"/>
    <n v="306.35700000000003"/>
    <s v="Medium"/>
  </r>
  <r>
    <s v="TXN_02882"/>
    <d v="2024-08-06T00:00:00"/>
    <x v="8"/>
    <s v="Tuesday"/>
    <s v="STORE_032"/>
    <x v="4"/>
    <x v="4"/>
    <x v="35"/>
    <n v="307.27999999999997"/>
    <n v="1"/>
    <n v="307.27999999999997"/>
    <n v="20"/>
    <n v="61.46"/>
    <n v="245.82"/>
    <s v="Wallet"/>
    <s v="CUST_00309"/>
    <n v="3"/>
    <n v="61.45999999999998"/>
    <n v="245.82"/>
    <s v="High"/>
  </r>
  <r>
    <s v="TXN_02883"/>
    <d v="2024-10-11T00:00:00"/>
    <x v="7"/>
    <s v="Friday"/>
    <s v="STORE_003"/>
    <x v="0"/>
    <x v="1"/>
    <x v="6"/>
    <n v="467.58"/>
    <n v="2"/>
    <n v="935.16"/>
    <n v="15"/>
    <n v="140.27000000000001"/>
    <n v="794.89"/>
    <s v="UPI"/>
    <s v="CUST_00807"/>
    <n v="4"/>
    <n v="140.26999999999998"/>
    <n v="397.44499999999999"/>
    <s v="Medium"/>
  </r>
  <r>
    <s v="TXN_02884"/>
    <d v="2024-09-10T00:00:00"/>
    <x v="9"/>
    <s v="Tuesday"/>
    <s v="STORE_048"/>
    <x v="1"/>
    <x v="2"/>
    <x v="2"/>
    <n v="643.69000000000005"/>
    <n v="7"/>
    <n v="4505.83"/>
    <n v="0"/>
    <n v="0"/>
    <n v="4505.83"/>
    <s v="Debit Card"/>
    <s v="CUST_00455"/>
    <n v="2"/>
    <n v="0"/>
    <n v="643.68999999999994"/>
    <s v="No Discount"/>
  </r>
  <r>
    <s v="TXN_02885"/>
    <d v="2024-01-25T00:00:00"/>
    <x v="2"/>
    <s v="Thursday"/>
    <s v="STORE_029"/>
    <x v="2"/>
    <x v="6"/>
    <x v="15"/>
    <n v="527.36"/>
    <n v="2"/>
    <n v="1054.72"/>
    <n v="0"/>
    <n v="0"/>
    <n v="1054.72"/>
    <s v="UPI"/>
    <s v="CUST_00261"/>
    <n v="5"/>
    <n v="0"/>
    <n v="527.36"/>
    <s v="No Discount"/>
  </r>
  <r>
    <s v="TXN_02886"/>
    <d v="2024-06-25T00:00:00"/>
    <x v="10"/>
    <s v="Tuesday"/>
    <s v="STORE_023"/>
    <x v="1"/>
    <x v="1"/>
    <x v="3"/>
    <n v="270.11"/>
    <n v="4"/>
    <n v="1080.44"/>
    <n v="0"/>
    <n v="0"/>
    <n v="1080.44"/>
    <s v="Credit Card"/>
    <s v="CUST_00586"/>
    <n v="5"/>
    <n v="0"/>
    <n v="270.11"/>
    <s v="No Discount"/>
  </r>
  <r>
    <s v="TXN_02887"/>
    <d v="2024-11-25T00:00:00"/>
    <x v="0"/>
    <s v="Monday"/>
    <s v="STORE_046"/>
    <x v="3"/>
    <x v="4"/>
    <x v="8"/>
    <n v="383.19"/>
    <n v="4"/>
    <n v="1532.76"/>
    <n v="5"/>
    <n v="76.64"/>
    <n v="1456.12"/>
    <s v="Cash"/>
    <s v="CUST_00038"/>
    <n v="3"/>
    <n v="76.6400000000001"/>
    <n v="364.03"/>
    <s v="Low"/>
  </r>
  <r>
    <s v="TXN_02888"/>
    <d v="2024-12-09T00:00:00"/>
    <x v="6"/>
    <s v="Monday"/>
    <s v="STORE_002"/>
    <x v="2"/>
    <x v="7"/>
    <x v="37"/>
    <n v="330.48"/>
    <n v="10"/>
    <n v="3304.8"/>
    <n v="20"/>
    <n v="660.96"/>
    <n v="2643.84"/>
    <s v="UPI"/>
    <s v="CUST_00472"/>
    <n v="1"/>
    <n v="660.96"/>
    <n v="264.38400000000001"/>
    <s v="High"/>
  </r>
  <r>
    <s v="TXN_02889"/>
    <d v="2024-07-14T00:00:00"/>
    <x v="11"/>
    <s v="Sunday"/>
    <s v="STORE_048"/>
    <x v="2"/>
    <x v="4"/>
    <x v="17"/>
    <n v="455.01"/>
    <n v="1"/>
    <n v="455.01"/>
    <n v="20"/>
    <n v="91"/>
    <n v="364.01"/>
    <s v="Credit Card"/>
    <s v="CUST_00963"/>
    <n v="4"/>
    <n v="91"/>
    <n v="364.01"/>
    <s v="High"/>
  </r>
  <r>
    <s v="TXN_02890"/>
    <d v="2024-09-25T00:00:00"/>
    <x v="9"/>
    <s v="Wednesday"/>
    <s v="STORE_035"/>
    <x v="3"/>
    <x v="0"/>
    <x v="4"/>
    <n v="658.22"/>
    <n v="5"/>
    <n v="3291.1"/>
    <n v="10"/>
    <n v="329.11"/>
    <n v="2961.99"/>
    <s v="Credit Card"/>
    <s v="CUST_00718"/>
    <n v="4"/>
    <n v="329.11000000000013"/>
    <n v="592.39799999999991"/>
    <s v="Medium"/>
  </r>
  <r>
    <s v="TXN_02891"/>
    <d v="2024-06-12T00:00:00"/>
    <x v="10"/>
    <s v="Wednesday"/>
    <s v="STORE_048"/>
    <x v="1"/>
    <x v="5"/>
    <x v="10"/>
    <n v="2250.4"/>
    <n v="2"/>
    <n v="4500.8"/>
    <n v="5"/>
    <n v="225.04"/>
    <n v="4275.76"/>
    <s v="Debit Card"/>
    <s v="CUST_00593"/>
    <n v="1"/>
    <n v="225.03999999999996"/>
    <n v="2137.88"/>
    <s v="Low"/>
  </r>
  <r>
    <s v="TXN_02892"/>
    <d v="2024-12-22T00:00:00"/>
    <x v="6"/>
    <s v="Sunday"/>
    <s v="STORE_044"/>
    <x v="0"/>
    <x v="3"/>
    <x v="16"/>
    <n v="2357.8200000000002"/>
    <n v="10"/>
    <n v="23578.2"/>
    <n v="5"/>
    <n v="1178.9100000000001"/>
    <n v="22399.29"/>
    <s v="UPI"/>
    <s v="CUST_00362"/>
    <n v="4"/>
    <n v="1178.9099999999999"/>
    <n v="2239.9290000000001"/>
    <s v="Low"/>
  </r>
  <r>
    <s v="TXN_02893"/>
    <d v="2024-08-01T00:00:00"/>
    <x v="8"/>
    <s v="Thursday"/>
    <s v="STORE_039"/>
    <x v="3"/>
    <x v="3"/>
    <x v="5"/>
    <n v="1563.06"/>
    <n v="4"/>
    <n v="6252.24"/>
    <n v="0"/>
    <n v="0"/>
    <n v="6252.24"/>
    <s v="Cash"/>
    <s v="CUST_00047"/>
    <n v="5"/>
    <n v="0"/>
    <n v="1563.06"/>
    <s v="No Discount"/>
  </r>
  <r>
    <s v="TXN_02894"/>
    <d v="2024-07-28T00:00:00"/>
    <x v="11"/>
    <s v="Sunday"/>
    <s v="STORE_018"/>
    <x v="2"/>
    <x v="1"/>
    <x v="36"/>
    <n v="254.5"/>
    <n v="3"/>
    <n v="763.5"/>
    <n v="10"/>
    <n v="76.349999999999994"/>
    <n v="687.15"/>
    <s v="Wallet"/>
    <s v="CUST_00991"/>
    <n v="2"/>
    <n v="76.350000000000023"/>
    <n v="229.04999999999998"/>
    <s v="Medium"/>
  </r>
  <r>
    <s v="TXN_02895"/>
    <d v="2024-03-17T00:00:00"/>
    <x v="5"/>
    <s v="Sunday"/>
    <s v="STORE_001"/>
    <x v="2"/>
    <x v="3"/>
    <x v="12"/>
    <n v="2442.37"/>
    <n v="2"/>
    <n v="4884.74"/>
    <n v="20"/>
    <n v="976.95"/>
    <n v="3907.79"/>
    <s v="Debit Card"/>
    <s v="CUST_00279"/>
    <n v="5"/>
    <n v="976.94999999999982"/>
    <n v="1953.895"/>
    <s v="High"/>
  </r>
  <r>
    <s v="TXN_02896"/>
    <d v="2024-06-02T00:00:00"/>
    <x v="10"/>
    <s v="Sunday"/>
    <s v="STORE_040"/>
    <x v="0"/>
    <x v="3"/>
    <x v="21"/>
    <n v="1890.08"/>
    <n v="5"/>
    <n v="9450.4"/>
    <n v="0"/>
    <n v="0"/>
    <n v="9450.4"/>
    <s v="UPI"/>
    <s v="CUST_00443"/>
    <n v="3"/>
    <n v="0"/>
    <n v="1890.08"/>
    <s v="No Discount"/>
  </r>
  <r>
    <s v="TXN_02897"/>
    <d v="2024-07-11T00:00:00"/>
    <x v="11"/>
    <s v="Thursday"/>
    <s v="STORE_045"/>
    <x v="1"/>
    <x v="0"/>
    <x v="0"/>
    <n v="450.92"/>
    <n v="10"/>
    <n v="4509.2"/>
    <n v="5"/>
    <n v="225.46"/>
    <n v="4283.74"/>
    <s v="UPI"/>
    <s v="CUST_00533"/>
    <n v="1"/>
    <n v="225.46000000000004"/>
    <n v="428.37399999999997"/>
    <s v="Low"/>
  </r>
  <r>
    <s v="TXN_02898"/>
    <d v="2024-04-04T00:00:00"/>
    <x v="4"/>
    <s v="Thursday"/>
    <s v="STORE_044"/>
    <x v="0"/>
    <x v="6"/>
    <x v="14"/>
    <n v="1555.39"/>
    <n v="1"/>
    <n v="1555.39"/>
    <n v="15"/>
    <n v="233.31"/>
    <n v="1322.08"/>
    <s v="Credit Card"/>
    <s v="CUST_00824"/>
    <n v="4"/>
    <n v="233.31000000000017"/>
    <n v="1322.08"/>
    <s v="Medium"/>
  </r>
  <r>
    <s v="TXN_02899"/>
    <d v="2024-10-02T00:00:00"/>
    <x v="7"/>
    <s v="Wednesday"/>
    <s v="STORE_002"/>
    <x v="4"/>
    <x v="4"/>
    <x v="19"/>
    <n v="529.57000000000005"/>
    <n v="9"/>
    <n v="4766.13"/>
    <n v="20"/>
    <n v="953.23"/>
    <n v="3812.9"/>
    <s v="Debit Card"/>
    <s v="CUST_00179"/>
    <n v="4"/>
    <n v="953.23"/>
    <n v="423.65555555555557"/>
    <s v="High"/>
  </r>
  <r>
    <s v="TXN_02900"/>
    <d v="2024-08-30T00:00:00"/>
    <x v="8"/>
    <s v="Friday"/>
    <s v="STORE_017"/>
    <x v="2"/>
    <x v="4"/>
    <x v="20"/>
    <n v="576.86"/>
    <n v="7"/>
    <n v="4038.02"/>
    <n v="0"/>
    <n v="0"/>
    <n v="4038.02"/>
    <s v="UPI"/>
    <s v="CUST_00145"/>
    <n v="5"/>
    <n v="0"/>
    <n v="576.86"/>
    <s v="No Discount"/>
  </r>
  <r>
    <s v="TXN_02901"/>
    <d v="2024-05-03T00:00:00"/>
    <x v="3"/>
    <s v="Friday"/>
    <s v="STORE_013"/>
    <x v="0"/>
    <x v="0"/>
    <x v="4"/>
    <n v="951.18"/>
    <n v="2"/>
    <n v="1902.36"/>
    <n v="0"/>
    <n v="0"/>
    <n v="1902.36"/>
    <s v="Debit Card"/>
    <s v="CUST_00078"/>
    <n v="2"/>
    <n v="0"/>
    <n v="951.18"/>
    <s v="No Discount"/>
  </r>
  <r>
    <s v="TXN_02902"/>
    <d v="2024-04-25T00:00:00"/>
    <x v="4"/>
    <s v="Thursday"/>
    <s v="STORE_007"/>
    <x v="4"/>
    <x v="2"/>
    <x v="29"/>
    <n v="325.58999999999997"/>
    <n v="3"/>
    <n v="976.77"/>
    <n v="20"/>
    <n v="195.35"/>
    <n v="781.42"/>
    <s v="UPI"/>
    <s v="CUST_00501"/>
    <n v="1"/>
    <n v="195.35000000000002"/>
    <n v="260.4733333333333"/>
    <s v="High"/>
  </r>
  <r>
    <s v="TXN_02903"/>
    <d v="2024-06-02T00:00:00"/>
    <x v="10"/>
    <s v="Sunday"/>
    <s v="STORE_017"/>
    <x v="1"/>
    <x v="5"/>
    <x v="25"/>
    <n v="4240.05"/>
    <n v="5"/>
    <n v="21200.25"/>
    <n v="5"/>
    <n v="1060.01"/>
    <n v="20140.240000000002"/>
    <s v="Cash"/>
    <s v="CUST_00387"/>
    <n v="4"/>
    <n v="1060.0099999999984"/>
    <n v="4028.0480000000002"/>
    <s v="Low"/>
  </r>
  <r>
    <s v="TXN_02904"/>
    <d v="2024-12-28T00:00:00"/>
    <x v="6"/>
    <s v="Saturday"/>
    <s v="STORE_008"/>
    <x v="4"/>
    <x v="4"/>
    <x v="20"/>
    <n v="231.39"/>
    <n v="6"/>
    <n v="1388.34"/>
    <n v="0"/>
    <n v="0"/>
    <n v="1388.34"/>
    <s v="Cash"/>
    <s v="CUST_00100"/>
    <n v="1"/>
    <n v="0"/>
    <n v="231.39"/>
    <s v="No Discount"/>
  </r>
  <r>
    <s v="TXN_02905"/>
    <d v="2024-03-14T00:00:00"/>
    <x v="5"/>
    <s v="Thursday"/>
    <s v="STORE_044"/>
    <x v="1"/>
    <x v="4"/>
    <x v="8"/>
    <n v="246.22"/>
    <n v="8"/>
    <n v="1969.76"/>
    <n v="0"/>
    <n v="0"/>
    <n v="1969.76"/>
    <s v="Wallet"/>
    <s v="CUST_00148"/>
    <n v="1"/>
    <n v="0"/>
    <n v="246.22"/>
    <s v="No Discount"/>
  </r>
  <r>
    <s v="TXN_02906"/>
    <d v="2024-08-25T00:00:00"/>
    <x v="8"/>
    <s v="Sunday"/>
    <s v="STORE_029"/>
    <x v="3"/>
    <x v="6"/>
    <x v="14"/>
    <n v="1328.93"/>
    <n v="9"/>
    <n v="11960.37"/>
    <n v="0"/>
    <n v="0"/>
    <n v="11960.37"/>
    <s v="Wallet"/>
    <s v="CUST_00526"/>
    <n v="2"/>
    <n v="0"/>
    <n v="1328.93"/>
    <s v="No Discount"/>
  </r>
  <r>
    <s v="TXN_02907"/>
    <d v="2024-01-30T00:00:00"/>
    <x v="2"/>
    <s v="Tuesday"/>
    <s v="STORE_017"/>
    <x v="3"/>
    <x v="2"/>
    <x v="2"/>
    <n v="475.94"/>
    <n v="5"/>
    <n v="2379.6999999999998"/>
    <n v="20"/>
    <n v="475.94"/>
    <n v="1903.76"/>
    <s v="UPI"/>
    <s v="CUST_00687"/>
    <n v="1"/>
    <n v="475.93999999999983"/>
    <n v="380.75200000000001"/>
    <s v="High"/>
  </r>
  <r>
    <s v="TXN_02908"/>
    <d v="2024-10-14T00:00:00"/>
    <x v="7"/>
    <s v="Monday"/>
    <s v="STORE_013"/>
    <x v="0"/>
    <x v="5"/>
    <x v="11"/>
    <n v="1111.6099999999999"/>
    <n v="2"/>
    <n v="2223.2199999999998"/>
    <n v="0"/>
    <n v="0"/>
    <n v="2223.2199999999998"/>
    <s v="Wallet"/>
    <s v="CUST_00332"/>
    <n v="2"/>
    <n v="0"/>
    <n v="1111.6099999999999"/>
    <s v="No Discount"/>
  </r>
  <r>
    <s v="TXN_02909"/>
    <d v="2024-07-30T00:00:00"/>
    <x v="11"/>
    <s v="Tuesday"/>
    <s v="STORE_035"/>
    <x v="0"/>
    <x v="2"/>
    <x v="2"/>
    <n v="729.58"/>
    <n v="2"/>
    <n v="1459.16"/>
    <n v="0"/>
    <n v="0"/>
    <n v="1459.16"/>
    <s v="UPI"/>
    <s v="CUST_00934"/>
    <n v="2"/>
    <n v="0"/>
    <n v="729.58"/>
    <s v="No Discount"/>
  </r>
  <r>
    <s v="TXN_02910"/>
    <d v="2024-08-01T00:00:00"/>
    <x v="8"/>
    <s v="Thursday"/>
    <s v="STORE_030"/>
    <x v="3"/>
    <x v="0"/>
    <x v="18"/>
    <n v="356.48"/>
    <n v="9"/>
    <n v="3208.32"/>
    <n v="5"/>
    <n v="160.41999999999999"/>
    <n v="3047.9"/>
    <s v="UPI"/>
    <s v="CUST_00048"/>
    <n v="3"/>
    <n v="160.42000000000007"/>
    <n v="338.65555555555557"/>
    <s v="Low"/>
  </r>
  <r>
    <s v="TXN_02911"/>
    <d v="2024-10-12T00:00:00"/>
    <x v="7"/>
    <s v="Saturday"/>
    <s v="STORE_016"/>
    <x v="3"/>
    <x v="6"/>
    <x v="33"/>
    <n v="1492.1"/>
    <n v="8"/>
    <n v="11936.8"/>
    <n v="5"/>
    <n v="596.84"/>
    <n v="11339.96"/>
    <s v="Credit Card"/>
    <s v="CUST_00387"/>
    <n v="5"/>
    <n v="596.84000000000015"/>
    <n v="1417.4949999999999"/>
    <s v="Low"/>
  </r>
  <r>
    <s v="TXN_02912"/>
    <d v="2024-09-28T00:00:00"/>
    <x v="9"/>
    <s v="Saturday"/>
    <s v="STORE_041"/>
    <x v="3"/>
    <x v="5"/>
    <x v="10"/>
    <n v="2492.71"/>
    <n v="8"/>
    <n v="19941.68"/>
    <n v="5"/>
    <n v="997.08"/>
    <n v="18944.599999999999"/>
    <s v="UPI"/>
    <s v="CUST_00190"/>
    <n v="1"/>
    <n v="997.08000000000175"/>
    <n v="2368.0749999999998"/>
    <s v="Low"/>
  </r>
  <r>
    <s v="TXN_02913"/>
    <d v="2024-03-09T00:00:00"/>
    <x v="5"/>
    <s v="Saturday"/>
    <s v="STORE_026"/>
    <x v="4"/>
    <x v="7"/>
    <x v="37"/>
    <n v="476.74"/>
    <n v="5"/>
    <n v="2383.6999999999998"/>
    <n v="10"/>
    <n v="238.37"/>
    <n v="2145.33"/>
    <s v="Wallet"/>
    <s v="CUST_00051"/>
    <n v="5"/>
    <n v="238.36999999999989"/>
    <n v="429.06599999999997"/>
    <s v="Medium"/>
  </r>
  <r>
    <s v="TXN_02914"/>
    <d v="2024-07-17T00:00:00"/>
    <x v="11"/>
    <s v="Wednesday"/>
    <s v="STORE_043"/>
    <x v="0"/>
    <x v="2"/>
    <x v="2"/>
    <n v="450.7"/>
    <n v="10"/>
    <n v="4507"/>
    <n v="0"/>
    <n v="0"/>
    <n v="4507"/>
    <s v="Credit Card"/>
    <s v="CUST_00397"/>
    <n v="2"/>
    <n v="0"/>
    <n v="450.7"/>
    <s v="No Discount"/>
  </r>
  <r>
    <s v="TXN_02915"/>
    <d v="2024-05-04T00:00:00"/>
    <x v="3"/>
    <s v="Saturday"/>
    <s v="STORE_020"/>
    <x v="2"/>
    <x v="2"/>
    <x v="39"/>
    <n v="657.09"/>
    <n v="5"/>
    <n v="3285.45"/>
    <n v="10"/>
    <n v="328.55"/>
    <n v="2956.9"/>
    <s v="UPI"/>
    <s v="CUST_00603"/>
    <n v="4"/>
    <n v="328.54999999999973"/>
    <n v="591.38"/>
    <s v="Medium"/>
  </r>
  <r>
    <s v="TXN_02916"/>
    <d v="2024-05-10T00:00:00"/>
    <x v="3"/>
    <s v="Friday"/>
    <s v="STORE_017"/>
    <x v="4"/>
    <x v="7"/>
    <x v="37"/>
    <n v="344.41"/>
    <n v="4"/>
    <n v="1377.64"/>
    <n v="10"/>
    <n v="137.76"/>
    <n v="1239.8800000000001"/>
    <s v="Credit Card"/>
    <s v="CUST_00034"/>
    <n v="4"/>
    <n v="137.76"/>
    <n v="309.97000000000003"/>
    <s v="Medium"/>
  </r>
  <r>
    <s v="TXN_02917"/>
    <d v="2024-04-14T00:00:00"/>
    <x v="4"/>
    <s v="Sunday"/>
    <s v="STORE_029"/>
    <x v="2"/>
    <x v="1"/>
    <x v="36"/>
    <n v="153.26"/>
    <n v="3"/>
    <n v="459.78"/>
    <n v="0"/>
    <n v="0"/>
    <n v="459.78"/>
    <s v="Credit Card"/>
    <s v="CUST_00127"/>
    <n v="5"/>
    <n v="0"/>
    <n v="153.26"/>
    <s v="No Discount"/>
  </r>
  <r>
    <s v="TXN_02918"/>
    <d v="2024-06-18T00:00:00"/>
    <x v="10"/>
    <s v="Tuesday"/>
    <s v="STORE_010"/>
    <x v="4"/>
    <x v="7"/>
    <x v="24"/>
    <n v="970.38"/>
    <n v="2"/>
    <n v="1940.76"/>
    <n v="0"/>
    <n v="0"/>
    <n v="1940.76"/>
    <s v="UPI"/>
    <s v="CUST_00401"/>
    <n v="5"/>
    <n v="0"/>
    <n v="970.38"/>
    <s v="No Discount"/>
  </r>
  <r>
    <s v="TXN_02919"/>
    <d v="2024-11-27T00:00:00"/>
    <x v="0"/>
    <s v="Wednesday"/>
    <s v="STORE_005"/>
    <x v="4"/>
    <x v="1"/>
    <x v="36"/>
    <n v="258.07"/>
    <n v="3"/>
    <n v="774.21"/>
    <n v="0"/>
    <n v="0"/>
    <n v="774.21"/>
    <s v="Cash"/>
    <s v="CUST_00255"/>
    <n v="2"/>
    <n v="0"/>
    <n v="258.07"/>
    <s v="No Discount"/>
  </r>
  <r>
    <s v="TXN_02920"/>
    <d v="2024-02-10T00:00:00"/>
    <x v="1"/>
    <s v="Saturday"/>
    <s v="STORE_009"/>
    <x v="0"/>
    <x v="0"/>
    <x v="0"/>
    <n v="824.77"/>
    <n v="6"/>
    <n v="4948.62"/>
    <n v="0"/>
    <n v="0"/>
    <n v="4948.62"/>
    <s v="UPI"/>
    <s v="CUST_00116"/>
    <n v="1"/>
    <n v="0"/>
    <n v="824.77"/>
    <s v="No Discount"/>
  </r>
  <r>
    <s v="TXN_02921"/>
    <d v="2024-08-18T00:00:00"/>
    <x v="8"/>
    <s v="Sunday"/>
    <s v="STORE_024"/>
    <x v="1"/>
    <x v="0"/>
    <x v="27"/>
    <n v="787.98"/>
    <n v="1"/>
    <n v="787.98"/>
    <n v="10"/>
    <n v="78.8"/>
    <n v="709.18"/>
    <s v="Wallet"/>
    <s v="CUST_00527"/>
    <n v="4"/>
    <n v="78.800000000000068"/>
    <n v="709.18"/>
    <s v="Medium"/>
  </r>
  <r>
    <s v="TXN_02922"/>
    <d v="2024-07-08T00:00:00"/>
    <x v="11"/>
    <s v="Monday"/>
    <s v="STORE_035"/>
    <x v="0"/>
    <x v="6"/>
    <x v="14"/>
    <n v="1797.26"/>
    <n v="10"/>
    <n v="17972.599999999999"/>
    <n v="0"/>
    <n v="0"/>
    <n v="17972.599999999999"/>
    <s v="Debit Card"/>
    <s v="CUST_00775"/>
    <n v="3"/>
    <n v="0"/>
    <n v="1797.2599999999998"/>
    <s v="No Discount"/>
  </r>
  <r>
    <s v="TXN_02923"/>
    <d v="2024-02-17T00:00:00"/>
    <x v="1"/>
    <s v="Saturday"/>
    <s v="STORE_027"/>
    <x v="1"/>
    <x v="2"/>
    <x v="29"/>
    <n v="577.71"/>
    <n v="10"/>
    <n v="5777.1"/>
    <n v="15"/>
    <n v="866.57"/>
    <n v="4910.53"/>
    <s v="Credit Card"/>
    <s v="CUST_00460"/>
    <n v="1"/>
    <n v="866.57000000000062"/>
    <n v="491.053"/>
    <s v="Medium"/>
  </r>
  <r>
    <s v="TXN_02924"/>
    <d v="2024-10-01T00:00:00"/>
    <x v="7"/>
    <s v="Tuesday"/>
    <s v="STORE_025"/>
    <x v="4"/>
    <x v="3"/>
    <x v="22"/>
    <n v="2583.59"/>
    <n v="8"/>
    <n v="20668.72"/>
    <n v="0"/>
    <n v="0"/>
    <n v="20668.72"/>
    <s v="Cash"/>
    <s v="CUST_00223"/>
    <n v="3"/>
    <n v="0"/>
    <n v="2583.59"/>
    <s v="No Discount"/>
  </r>
  <r>
    <s v="TXN_02925"/>
    <d v="2024-04-07T00:00:00"/>
    <x v="4"/>
    <s v="Sunday"/>
    <s v="STORE_004"/>
    <x v="2"/>
    <x v="4"/>
    <x v="8"/>
    <n v="161.69999999999999"/>
    <n v="3"/>
    <n v="485.1"/>
    <n v="15"/>
    <n v="72.77"/>
    <n v="412.33"/>
    <s v="Credit Card"/>
    <s v="CUST_00155"/>
    <n v="3"/>
    <n v="72.770000000000039"/>
    <n v="137.44333333333333"/>
    <s v="Medium"/>
  </r>
  <r>
    <s v="TXN_02926"/>
    <d v="2024-01-27T00:00:00"/>
    <x v="2"/>
    <s v="Saturday"/>
    <s v="STORE_046"/>
    <x v="3"/>
    <x v="3"/>
    <x v="12"/>
    <n v="442.99"/>
    <n v="6"/>
    <n v="2657.94"/>
    <n v="0"/>
    <n v="0"/>
    <n v="2657.94"/>
    <s v="Wallet"/>
    <s v="CUST_00580"/>
    <n v="5"/>
    <n v="0"/>
    <n v="442.99"/>
    <s v="No Discount"/>
  </r>
  <r>
    <s v="TXN_02927"/>
    <d v="2024-05-17T00:00:00"/>
    <x v="3"/>
    <s v="Friday"/>
    <s v="STORE_032"/>
    <x v="2"/>
    <x v="6"/>
    <x v="14"/>
    <n v="1008.31"/>
    <n v="10"/>
    <n v="10083.1"/>
    <n v="5"/>
    <n v="504.16"/>
    <n v="9578.94"/>
    <s v="Credit Card"/>
    <s v="CUST_00878"/>
    <n v="4"/>
    <n v="504.15999999999985"/>
    <n v="957.89400000000001"/>
    <s v="Low"/>
  </r>
  <r>
    <s v="TXN_02928"/>
    <d v="2024-07-12T00:00:00"/>
    <x v="11"/>
    <s v="Friday"/>
    <s v="STORE_004"/>
    <x v="4"/>
    <x v="1"/>
    <x v="36"/>
    <n v="136.51"/>
    <n v="6"/>
    <n v="819.06"/>
    <n v="5"/>
    <n v="40.950000000000003"/>
    <n v="778.11"/>
    <s v="Wallet"/>
    <s v="CUST_00311"/>
    <n v="4"/>
    <n v="40.949999999999932"/>
    <n v="129.685"/>
    <s v="Low"/>
  </r>
  <r>
    <s v="TXN_02929"/>
    <d v="2024-12-10T00:00:00"/>
    <x v="6"/>
    <s v="Tuesday"/>
    <s v="STORE_026"/>
    <x v="1"/>
    <x v="7"/>
    <x v="38"/>
    <n v="604.38"/>
    <n v="7"/>
    <n v="4230.66"/>
    <n v="0"/>
    <n v="0"/>
    <n v="4230.66"/>
    <s v="Cash"/>
    <s v="CUST_00554"/>
    <n v="1"/>
    <n v="0"/>
    <n v="604.38"/>
    <s v="No Discount"/>
  </r>
  <r>
    <s v="TXN_02930"/>
    <d v="2024-11-05T00:00:00"/>
    <x v="0"/>
    <s v="Tuesday"/>
    <s v="STORE_036"/>
    <x v="1"/>
    <x v="3"/>
    <x v="16"/>
    <n v="1853.67"/>
    <n v="4"/>
    <n v="7414.68"/>
    <n v="0"/>
    <n v="0"/>
    <n v="7414.68"/>
    <s v="UPI"/>
    <s v="CUST_00119"/>
    <n v="4"/>
    <n v="0"/>
    <n v="1853.67"/>
    <s v="No Discount"/>
  </r>
  <r>
    <s v="TXN_02931"/>
    <d v="2024-11-04T00:00:00"/>
    <x v="0"/>
    <s v="Monday"/>
    <s v="STORE_025"/>
    <x v="1"/>
    <x v="1"/>
    <x v="1"/>
    <n v="255.88"/>
    <n v="7"/>
    <n v="1791.16"/>
    <n v="20"/>
    <n v="358.23"/>
    <n v="1432.93"/>
    <s v="Credit Card"/>
    <s v="CUST_00230"/>
    <n v="1"/>
    <n v="358.23"/>
    <n v="204.70428571428573"/>
    <s v="High"/>
  </r>
  <r>
    <s v="TXN_02932"/>
    <d v="2024-01-21T00:00:00"/>
    <x v="2"/>
    <s v="Sunday"/>
    <s v="STORE_006"/>
    <x v="3"/>
    <x v="2"/>
    <x v="39"/>
    <n v="759.22"/>
    <n v="10"/>
    <n v="7592.2"/>
    <n v="20"/>
    <n v="1518.44"/>
    <n v="6073.76"/>
    <s v="UPI"/>
    <s v="CUST_00779"/>
    <n v="2"/>
    <n v="1518.4399999999996"/>
    <n v="607.37599999999998"/>
    <s v="High"/>
  </r>
  <r>
    <s v="TXN_02933"/>
    <d v="2024-02-07T00:00:00"/>
    <x v="1"/>
    <s v="Wednesday"/>
    <s v="STORE_048"/>
    <x v="3"/>
    <x v="3"/>
    <x v="21"/>
    <n v="837.41"/>
    <n v="3"/>
    <n v="2512.23"/>
    <n v="0"/>
    <n v="0"/>
    <n v="2512.23"/>
    <s v="Wallet"/>
    <s v="CUST_00342"/>
    <n v="4"/>
    <n v="0"/>
    <n v="837.41"/>
    <s v="No Discount"/>
  </r>
  <r>
    <s v="TXN_02934"/>
    <d v="2024-04-06T00:00:00"/>
    <x v="4"/>
    <s v="Saturday"/>
    <s v="STORE_035"/>
    <x v="1"/>
    <x v="1"/>
    <x v="6"/>
    <n v="497.55"/>
    <n v="6"/>
    <n v="2985.3"/>
    <n v="0"/>
    <n v="0"/>
    <n v="2985.3"/>
    <s v="Credit Card"/>
    <s v="CUST_00919"/>
    <n v="3"/>
    <n v="0"/>
    <n v="497.55"/>
    <s v="No Discount"/>
  </r>
  <r>
    <s v="TXN_02935"/>
    <d v="2024-10-27T00:00:00"/>
    <x v="7"/>
    <s v="Sunday"/>
    <s v="STORE_035"/>
    <x v="2"/>
    <x v="6"/>
    <x v="26"/>
    <n v="955.21"/>
    <n v="8"/>
    <n v="7641.68"/>
    <n v="15"/>
    <n v="1146.25"/>
    <n v="6495.43"/>
    <s v="Debit Card"/>
    <s v="CUST_00353"/>
    <n v="1"/>
    <n v="1146.25"/>
    <n v="811.92875000000004"/>
    <s v="Medium"/>
  </r>
  <r>
    <s v="TXN_02936"/>
    <d v="2024-12-09T00:00:00"/>
    <x v="6"/>
    <s v="Monday"/>
    <s v="STORE_030"/>
    <x v="4"/>
    <x v="0"/>
    <x v="18"/>
    <n v="885.16"/>
    <n v="5"/>
    <n v="4425.8"/>
    <n v="0"/>
    <n v="0"/>
    <n v="4425.8"/>
    <s v="UPI"/>
    <s v="CUST_00799"/>
    <n v="1"/>
    <n v="0"/>
    <n v="885.16000000000008"/>
    <s v="No Discount"/>
  </r>
  <r>
    <s v="TXN_02937"/>
    <d v="2024-10-13T00:00:00"/>
    <x v="7"/>
    <s v="Sunday"/>
    <s v="STORE_008"/>
    <x v="2"/>
    <x v="4"/>
    <x v="17"/>
    <n v="473.15"/>
    <n v="5"/>
    <n v="2365.75"/>
    <n v="20"/>
    <n v="473.15"/>
    <n v="1892.6"/>
    <s v="UPI"/>
    <s v="CUST_00111"/>
    <n v="4"/>
    <n v="473.15000000000009"/>
    <n v="378.52"/>
    <s v="High"/>
  </r>
  <r>
    <s v="TXN_02938"/>
    <d v="2024-04-21T00:00:00"/>
    <x v="4"/>
    <s v="Sunday"/>
    <s v="STORE_029"/>
    <x v="1"/>
    <x v="6"/>
    <x v="33"/>
    <n v="1930.04"/>
    <n v="10"/>
    <n v="19300.400000000001"/>
    <n v="5"/>
    <n v="965.02"/>
    <n v="18335.38"/>
    <s v="UPI"/>
    <s v="CUST_00297"/>
    <n v="3"/>
    <n v="965.02000000000044"/>
    <n v="1833.538"/>
    <s v="Low"/>
  </r>
  <r>
    <s v="TXN_02939"/>
    <d v="2024-09-02T00:00:00"/>
    <x v="9"/>
    <s v="Monday"/>
    <s v="STORE_010"/>
    <x v="0"/>
    <x v="4"/>
    <x v="19"/>
    <n v="303.64"/>
    <n v="3"/>
    <n v="910.92"/>
    <n v="10"/>
    <n v="91.09"/>
    <n v="819.83"/>
    <s v="Wallet"/>
    <s v="CUST_00397"/>
    <n v="4"/>
    <n v="91.089999999999918"/>
    <n v="273.2766666666667"/>
    <s v="Medium"/>
  </r>
  <r>
    <s v="TXN_02940"/>
    <d v="2024-04-16T00:00:00"/>
    <x v="4"/>
    <s v="Tuesday"/>
    <s v="STORE_038"/>
    <x v="2"/>
    <x v="3"/>
    <x v="22"/>
    <n v="1619.35"/>
    <n v="5"/>
    <n v="8096.75"/>
    <n v="15"/>
    <n v="1214.51"/>
    <n v="6882.24"/>
    <s v="Credit Card"/>
    <s v="CUST_00624"/>
    <n v="2"/>
    <n v="1214.5100000000002"/>
    <n v="1376.4479999999999"/>
    <s v="Medium"/>
  </r>
  <r>
    <s v="TXN_02941"/>
    <d v="2024-06-19T00:00:00"/>
    <x v="10"/>
    <s v="Wednesday"/>
    <s v="STORE_028"/>
    <x v="3"/>
    <x v="2"/>
    <x v="13"/>
    <n v="469.9"/>
    <n v="6"/>
    <n v="2819.4"/>
    <n v="15"/>
    <n v="422.91"/>
    <n v="2396.4899999999998"/>
    <s v="UPI"/>
    <s v="CUST_00741"/>
    <n v="1"/>
    <n v="422.91000000000031"/>
    <n v="399.41499999999996"/>
    <s v="Medium"/>
  </r>
  <r>
    <s v="TXN_02942"/>
    <d v="2024-06-04T00:00:00"/>
    <x v="10"/>
    <s v="Tuesday"/>
    <s v="STORE_031"/>
    <x v="2"/>
    <x v="5"/>
    <x v="9"/>
    <n v="1270.72"/>
    <n v="9"/>
    <n v="11436.48"/>
    <n v="0"/>
    <n v="0"/>
    <n v="11436.48"/>
    <s v="UPI"/>
    <s v="CUST_00640"/>
    <n v="5"/>
    <n v="0"/>
    <n v="1270.72"/>
    <s v="No Discount"/>
  </r>
  <r>
    <s v="TXN_02943"/>
    <d v="2024-01-08T00:00:00"/>
    <x v="2"/>
    <s v="Monday"/>
    <s v="STORE_003"/>
    <x v="0"/>
    <x v="1"/>
    <x v="1"/>
    <n v="450.67"/>
    <n v="8"/>
    <n v="3605.36"/>
    <n v="10"/>
    <n v="360.54"/>
    <n v="3244.82"/>
    <s v="Cash"/>
    <s v="CUST_00584"/>
    <n v="4"/>
    <n v="360.53999999999996"/>
    <n v="405.60250000000002"/>
    <s v="Medium"/>
  </r>
  <r>
    <s v="TXN_02944"/>
    <d v="2024-04-18T00:00:00"/>
    <x v="4"/>
    <s v="Thursday"/>
    <s v="STORE_048"/>
    <x v="3"/>
    <x v="0"/>
    <x v="0"/>
    <n v="501"/>
    <n v="8"/>
    <n v="4008"/>
    <n v="5"/>
    <n v="200.4"/>
    <n v="3807.6"/>
    <s v="Wallet"/>
    <s v="CUST_00072"/>
    <n v="2"/>
    <n v="200.40000000000009"/>
    <n v="475.95"/>
    <s v="Low"/>
  </r>
  <r>
    <s v="TXN_02945"/>
    <d v="2024-04-07T00:00:00"/>
    <x v="4"/>
    <s v="Sunday"/>
    <s v="STORE_036"/>
    <x v="4"/>
    <x v="7"/>
    <x v="28"/>
    <n v="1435.62"/>
    <n v="4"/>
    <n v="5742.48"/>
    <n v="0"/>
    <n v="0"/>
    <n v="5742.48"/>
    <s v="Credit Card"/>
    <s v="CUST_00430"/>
    <n v="2"/>
    <n v="0"/>
    <n v="1435.62"/>
    <s v="No Discount"/>
  </r>
  <r>
    <s v="TXN_02946"/>
    <d v="2024-03-01T00:00:00"/>
    <x v="5"/>
    <s v="Friday"/>
    <s v="STORE_019"/>
    <x v="0"/>
    <x v="5"/>
    <x v="11"/>
    <n v="3642.76"/>
    <n v="1"/>
    <n v="3642.76"/>
    <n v="5"/>
    <n v="182.14"/>
    <n v="3460.62"/>
    <s v="Wallet"/>
    <s v="CUST_00168"/>
    <n v="2"/>
    <n v="182.14000000000033"/>
    <n v="3460.62"/>
    <s v="Low"/>
  </r>
  <r>
    <s v="TXN_02947"/>
    <d v="2024-09-02T00:00:00"/>
    <x v="9"/>
    <s v="Monday"/>
    <s v="STORE_040"/>
    <x v="4"/>
    <x v="3"/>
    <x v="12"/>
    <n v="2116.35"/>
    <n v="4"/>
    <n v="8465.4"/>
    <n v="0"/>
    <n v="0"/>
    <n v="8465.4"/>
    <s v="Debit Card"/>
    <s v="CUST_00952"/>
    <n v="2"/>
    <n v="0"/>
    <n v="2116.35"/>
    <s v="No Discount"/>
  </r>
  <r>
    <s v="TXN_02948"/>
    <d v="2024-05-04T00:00:00"/>
    <x v="3"/>
    <s v="Saturday"/>
    <s v="STORE_025"/>
    <x v="4"/>
    <x v="3"/>
    <x v="22"/>
    <n v="983.78"/>
    <n v="1"/>
    <n v="983.78"/>
    <n v="20"/>
    <n v="196.76"/>
    <n v="787.02"/>
    <s v="UPI"/>
    <s v="CUST_00998"/>
    <n v="1"/>
    <n v="196.76"/>
    <n v="787.02"/>
    <s v="High"/>
  </r>
  <r>
    <s v="TXN_02949"/>
    <d v="2024-12-22T00:00:00"/>
    <x v="6"/>
    <s v="Sunday"/>
    <s v="STORE_042"/>
    <x v="0"/>
    <x v="2"/>
    <x v="29"/>
    <n v="576.04"/>
    <n v="1"/>
    <n v="576.04"/>
    <n v="5"/>
    <n v="28.8"/>
    <n v="547.24"/>
    <s v="Wallet"/>
    <s v="CUST_00196"/>
    <n v="3"/>
    <n v="28.799999999999955"/>
    <n v="547.24"/>
    <s v="Low"/>
  </r>
  <r>
    <s v="TXN_02950"/>
    <d v="2024-11-05T00:00:00"/>
    <x v="0"/>
    <s v="Tuesday"/>
    <s v="STORE_020"/>
    <x v="2"/>
    <x v="4"/>
    <x v="19"/>
    <n v="391.96"/>
    <n v="7"/>
    <n v="2743.72"/>
    <n v="0"/>
    <n v="0"/>
    <n v="2743.72"/>
    <s v="Debit Card"/>
    <s v="CUST_00140"/>
    <n v="5"/>
    <n v="0"/>
    <n v="391.96"/>
    <s v="No Discount"/>
  </r>
  <r>
    <s v="TXN_02951"/>
    <d v="2024-12-26T00:00:00"/>
    <x v="6"/>
    <s v="Thursday"/>
    <s v="STORE_017"/>
    <x v="4"/>
    <x v="4"/>
    <x v="20"/>
    <n v="367.08"/>
    <n v="1"/>
    <n v="367.08"/>
    <n v="0"/>
    <n v="0"/>
    <n v="367.08"/>
    <s v="UPI"/>
    <s v="CUST_00908"/>
    <n v="3"/>
    <n v="0"/>
    <n v="367.08"/>
    <s v="No Discount"/>
  </r>
  <r>
    <s v="TXN_02952"/>
    <d v="2024-04-14T00:00:00"/>
    <x v="4"/>
    <s v="Sunday"/>
    <s v="STORE_038"/>
    <x v="4"/>
    <x v="4"/>
    <x v="35"/>
    <n v="389.27"/>
    <n v="6"/>
    <n v="2335.62"/>
    <n v="0"/>
    <n v="0"/>
    <n v="2335.62"/>
    <s v="Credit Card"/>
    <s v="CUST_00803"/>
    <n v="1"/>
    <n v="0"/>
    <n v="389.27"/>
    <s v="No Discount"/>
  </r>
  <r>
    <s v="TXN_02953"/>
    <d v="2024-07-22T00:00:00"/>
    <x v="11"/>
    <s v="Monday"/>
    <s v="STORE_001"/>
    <x v="1"/>
    <x v="6"/>
    <x v="15"/>
    <n v="750.08"/>
    <n v="6"/>
    <n v="4500.4799999999996"/>
    <n v="0"/>
    <n v="0"/>
    <n v="4500.4799999999996"/>
    <s v="Debit Card"/>
    <s v="CUST_00254"/>
    <n v="5"/>
    <n v="0"/>
    <n v="750.07999999999993"/>
    <s v="No Discount"/>
  </r>
  <r>
    <s v="TXN_02954"/>
    <d v="2024-05-02T00:00:00"/>
    <x v="3"/>
    <s v="Thursday"/>
    <s v="STORE_002"/>
    <x v="3"/>
    <x v="1"/>
    <x v="1"/>
    <n v="392.06"/>
    <n v="5"/>
    <n v="1960.3"/>
    <n v="0"/>
    <n v="0"/>
    <n v="1960.3"/>
    <s v="Cash"/>
    <s v="CUST_00571"/>
    <n v="3"/>
    <n v="0"/>
    <n v="392.06"/>
    <s v="No Discount"/>
  </r>
  <r>
    <s v="TXN_02955"/>
    <d v="2024-10-09T00:00:00"/>
    <x v="7"/>
    <s v="Wednesday"/>
    <s v="STORE_044"/>
    <x v="0"/>
    <x v="0"/>
    <x v="27"/>
    <n v="624.03"/>
    <n v="8"/>
    <n v="4992.24"/>
    <n v="10"/>
    <n v="499.22"/>
    <n v="4493.0200000000004"/>
    <s v="UPI"/>
    <s v="CUST_00044"/>
    <n v="1"/>
    <n v="499.21999999999935"/>
    <n v="561.62750000000005"/>
    <s v="Medium"/>
  </r>
  <r>
    <s v="TXN_02956"/>
    <d v="2024-06-13T00:00:00"/>
    <x v="10"/>
    <s v="Thursday"/>
    <s v="STORE_031"/>
    <x v="2"/>
    <x v="3"/>
    <x v="16"/>
    <n v="2862.68"/>
    <n v="3"/>
    <n v="8588.0400000000009"/>
    <n v="0"/>
    <n v="0"/>
    <n v="8588.0400000000009"/>
    <s v="Debit Card"/>
    <s v="CUST_00924"/>
    <n v="1"/>
    <n v="0"/>
    <n v="2862.6800000000003"/>
    <s v="No Discount"/>
  </r>
  <r>
    <s v="TXN_02957"/>
    <d v="2024-05-24T00:00:00"/>
    <x v="3"/>
    <s v="Friday"/>
    <s v="STORE_014"/>
    <x v="4"/>
    <x v="7"/>
    <x v="23"/>
    <n v="1462.61"/>
    <n v="6"/>
    <n v="8775.66"/>
    <n v="10"/>
    <n v="877.57"/>
    <n v="7898.09"/>
    <s v="UPI"/>
    <s v="CUST_00795"/>
    <n v="4"/>
    <n v="877.56999999999971"/>
    <n v="1316.3483333333334"/>
    <s v="Medium"/>
  </r>
  <r>
    <s v="TXN_02958"/>
    <d v="2024-07-13T00:00:00"/>
    <x v="11"/>
    <s v="Saturday"/>
    <s v="STORE_034"/>
    <x v="3"/>
    <x v="5"/>
    <x v="10"/>
    <n v="4244.4399999999996"/>
    <n v="10"/>
    <n v="42444.4"/>
    <n v="10"/>
    <n v="4244.4399999999996"/>
    <n v="38199.96"/>
    <s v="UPI"/>
    <s v="CUST_00208"/>
    <n v="2"/>
    <n v="4244.4400000000023"/>
    <n v="3819.9960000000001"/>
    <s v="Medium"/>
  </r>
  <r>
    <s v="TXN_02959"/>
    <d v="2024-08-26T00:00:00"/>
    <x v="8"/>
    <s v="Monday"/>
    <s v="STORE_012"/>
    <x v="4"/>
    <x v="7"/>
    <x v="24"/>
    <n v="1261.73"/>
    <n v="5"/>
    <n v="6308.65"/>
    <n v="10"/>
    <n v="630.87"/>
    <n v="5677.78"/>
    <s v="Cash"/>
    <s v="CUST_00838"/>
    <n v="4"/>
    <n v="630.86999999999989"/>
    <n v="1135.556"/>
    <s v="Medium"/>
  </r>
  <r>
    <s v="TXN_02960"/>
    <d v="2024-09-30T00:00:00"/>
    <x v="9"/>
    <s v="Monday"/>
    <s v="STORE_008"/>
    <x v="3"/>
    <x v="7"/>
    <x v="37"/>
    <n v="1398.86"/>
    <n v="10"/>
    <n v="13988.6"/>
    <n v="5"/>
    <n v="699.43"/>
    <n v="13289.17"/>
    <s v="Cash"/>
    <s v="CUST_00009"/>
    <n v="3"/>
    <n v="699.43000000000029"/>
    <n v="1328.9169999999999"/>
    <s v="Low"/>
  </r>
  <r>
    <s v="TXN_02961"/>
    <d v="2024-11-28T00:00:00"/>
    <x v="0"/>
    <s v="Thursday"/>
    <s v="STORE_031"/>
    <x v="2"/>
    <x v="3"/>
    <x v="12"/>
    <n v="2328.6799999999998"/>
    <n v="9"/>
    <n v="20958.12"/>
    <n v="10"/>
    <n v="2095.81"/>
    <n v="18862.310000000001"/>
    <s v="Wallet"/>
    <s v="CUST_00020"/>
    <n v="1"/>
    <n v="2095.8099999999977"/>
    <n v="2095.8122222222223"/>
    <s v="Medium"/>
  </r>
  <r>
    <s v="TXN_02962"/>
    <d v="2024-07-02T00:00:00"/>
    <x v="11"/>
    <s v="Tuesday"/>
    <s v="STORE_022"/>
    <x v="2"/>
    <x v="4"/>
    <x v="8"/>
    <n v="465.71"/>
    <n v="3"/>
    <n v="1397.13"/>
    <n v="10"/>
    <n v="139.71"/>
    <n v="1257.42"/>
    <s v="UPI"/>
    <s v="CUST_00154"/>
    <n v="3"/>
    <n v="139.71000000000004"/>
    <n v="419.14000000000004"/>
    <s v="Medium"/>
  </r>
  <r>
    <s v="TXN_02963"/>
    <d v="2024-06-06T00:00:00"/>
    <x v="10"/>
    <s v="Thursday"/>
    <s v="STORE_020"/>
    <x v="1"/>
    <x v="6"/>
    <x v="14"/>
    <n v="1521.66"/>
    <n v="1"/>
    <n v="1521.66"/>
    <n v="0"/>
    <n v="0"/>
    <n v="1521.66"/>
    <s v="UPI"/>
    <s v="CUST_00970"/>
    <n v="3"/>
    <n v="0"/>
    <n v="1521.66"/>
    <s v="No Discount"/>
  </r>
  <r>
    <s v="TXN_02964"/>
    <d v="2024-05-13T00:00:00"/>
    <x v="3"/>
    <s v="Monday"/>
    <s v="STORE_043"/>
    <x v="2"/>
    <x v="2"/>
    <x v="2"/>
    <n v="378.84"/>
    <n v="9"/>
    <n v="3409.56"/>
    <n v="5"/>
    <n v="170.48"/>
    <n v="3239.08"/>
    <s v="Wallet"/>
    <s v="CUST_00057"/>
    <n v="2"/>
    <n v="170.48000000000002"/>
    <n v="359.89777777777778"/>
    <s v="Low"/>
  </r>
  <r>
    <s v="TXN_02965"/>
    <d v="2024-07-03T00:00:00"/>
    <x v="11"/>
    <s v="Wednesday"/>
    <s v="STORE_023"/>
    <x v="0"/>
    <x v="2"/>
    <x v="13"/>
    <n v="390.54"/>
    <n v="8"/>
    <n v="3124.32"/>
    <n v="0"/>
    <n v="0"/>
    <n v="3124.32"/>
    <s v="Credit Card"/>
    <s v="CUST_00416"/>
    <n v="1"/>
    <n v="0"/>
    <n v="390.54"/>
    <s v="No Discount"/>
  </r>
  <r>
    <s v="TXN_02966"/>
    <d v="2024-09-19T00:00:00"/>
    <x v="9"/>
    <s v="Thursday"/>
    <s v="STORE_031"/>
    <x v="4"/>
    <x v="1"/>
    <x v="6"/>
    <n v="174.1"/>
    <n v="1"/>
    <n v="174.1"/>
    <n v="0"/>
    <n v="0"/>
    <n v="174.1"/>
    <s v="UPI"/>
    <s v="CUST_00931"/>
    <n v="1"/>
    <n v="0"/>
    <n v="174.1"/>
    <s v="No Discount"/>
  </r>
  <r>
    <s v="TXN_02967"/>
    <d v="2024-09-11T00:00:00"/>
    <x v="9"/>
    <s v="Wednesday"/>
    <s v="STORE_024"/>
    <x v="4"/>
    <x v="4"/>
    <x v="35"/>
    <n v="480.73"/>
    <n v="4"/>
    <n v="1922.92"/>
    <n v="0"/>
    <n v="0"/>
    <n v="1922.92"/>
    <s v="Credit Card"/>
    <s v="CUST_00976"/>
    <n v="5"/>
    <n v="0"/>
    <n v="480.73"/>
    <s v="No Discount"/>
  </r>
  <r>
    <s v="TXN_02968"/>
    <d v="2024-08-26T00:00:00"/>
    <x v="8"/>
    <s v="Monday"/>
    <s v="STORE_046"/>
    <x v="2"/>
    <x v="1"/>
    <x v="31"/>
    <n v="455.94"/>
    <n v="9"/>
    <n v="4103.46"/>
    <n v="0"/>
    <n v="0"/>
    <n v="4103.46"/>
    <s v="UPI"/>
    <s v="CUST_00437"/>
    <n v="5"/>
    <n v="0"/>
    <n v="455.94"/>
    <s v="No Discount"/>
  </r>
  <r>
    <s v="TXN_02969"/>
    <d v="2024-02-20T00:00:00"/>
    <x v="1"/>
    <s v="Tuesday"/>
    <s v="STORE_015"/>
    <x v="0"/>
    <x v="6"/>
    <x v="30"/>
    <n v="1796.64"/>
    <n v="6"/>
    <n v="10779.84"/>
    <n v="5"/>
    <n v="538.99"/>
    <n v="10240.85"/>
    <s v="Wallet"/>
    <s v="CUST_00411"/>
    <n v="2"/>
    <n v="538.98999999999978"/>
    <n v="1706.8083333333334"/>
    <s v="Low"/>
  </r>
  <r>
    <s v="TXN_02970"/>
    <d v="2024-08-28T00:00:00"/>
    <x v="8"/>
    <s v="Wednesday"/>
    <s v="STORE_040"/>
    <x v="3"/>
    <x v="1"/>
    <x v="36"/>
    <n v="170.55"/>
    <n v="9"/>
    <n v="1534.95"/>
    <n v="0"/>
    <n v="0"/>
    <n v="1534.95"/>
    <s v="Wallet"/>
    <s v="CUST_00008"/>
    <n v="1"/>
    <n v="0"/>
    <n v="170.55"/>
    <s v="No Discount"/>
  </r>
  <r>
    <s v="TXN_02971"/>
    <d v="2024-06-12T00:00:00"/>
    <x v="10"/>
    <s v="Wednesday"/>
    <s v="STORE_039"/>
    <x v="3"/>
    <x v="7"/>
    <x v="24"/>
    <n v="353.14"/>
    <n v="2"/>
    <n v="706.28"/>
    <n v="10"/>
    <n v="70.63"/>
    <n v="635.65"/>
    <s v="UPI"/>
    <s v="CUST_00686"/>
    <n v="4"/>
    <n v="70.63"/>
    <n v="317.82499999999999"/>
    <s v="Medium"/>
  </r>
  <r>
    <s v="TXN_02972"/>
    <d v="2024-04-14T00:00:00"/>
    <x v="4"/>
    <s v="Sunday"/>
    <s v="STORE_003"/>
    <x v="2"/>
    <x v="5"/>
    <x v="34"/>
    <n v="3469.7"/>
    <n v="6"/>
    <n v="20818.2"/>
    <n v="0"/>
    <n v="0"/>
    <n v="20818.2"/>
    <s v="Wallet"/>
    <s v="CUST_00869"/>
    <n v="2"/>
    <n v="0"/>
    <n v="3469.7000000000003"/>
    <s v="No Discount"/>
  </r>
  <r>
    <s v="TXN_02973"/>
    <d v="2024-07-08T00:00:00"/>
    <x v="11"/>
    <s v="Monday"/>
    <s v="STORE_046"/>
    <x v="0"/>
    <x v="5"/>
    <x v="10"/>
    <n v="3895.29"/>
    <n v="6"/>
    <n v="23371.74"/>
    <n v="0"/>
    <n v="0"/>
    <n v="23371.74"/>
    <s v="Debit Card"/>
    <s v="CUST_00993"/>
    <n v="2"/>
    <n v="0"/>
    <n v="3895.2900000000004"/>
    <s v="No Discount"/>
  </r>
  <r>
    <s v="TXN_02974"/>
    <d v="2024-06-09T00:00:00"/>
    <x v="10"/>
    <s v="Sunday"/>
    <s v="STORE_038"/>
    <x v="1"/>
    <x v="1"/>
    <x v="36"/>
    <n v="424.1"/>
    <n v="10"/>
    <n v="4241"/>
    <n v="15"/>
    <n v="636.15"/>
    <n v="3604.85"/>
    <s v="Debit Card"/>
    <s v="CUST_00518"/>
    <n v="4"/>
    <n v="636.15000000000009"/>
    <n v="360.48500000000001"/>
    <s v="Medium"/>
  </r>
  <r>
    <s v="TXN_02975"/>
    <d v="2024-07-30T00:00:00"/>
    <x v="11"/>
    <s v="Tuesday"/>
    <s v="STORE_008"/>
    <x v="2"/>
    <x v="5"/>
    <x v="10"/>
    <n v="4637.96"/>
    <n v="6"/>
    <n v="27827.759999999998"/>
    <n v="10"/>
    <n v="2782.78"/>
    <n v="25044.98"/>
    <s v="Cash"/>
    <s v="CUST_00440"/>
    <n v="3"/>
    <n v="2782.7799999999988"/>
    <n v="4174.163333333333"/>
    <s v="Medium"/>
  </r>
  <r>
    <s v="TXN_02976"/>
    <d v="2024-01-24T00:00:00"/>
    <x v="2"/>
    <s v="Wednesday"/>
    <s v="STORE_002"/>
    <x v="3"/>
    <x v="3"/>
    <x v="16"/>
    <n v="2008.59"/>
    <n v="2"/>
    <n v="4017.18"/>
    <n v="0"/>
    <n v="0"/>
    <n v="4017.18"/>
    <s v="Wallet"/>
    <s v="CUST_00343"/>
    <n v="2"/>
    <n v="0"/>
    <n v="2008.59"/>
    <s v="No Discount"/>
  </r>
  <r>
    <s v="TXN_02977"/>
    <d v="2024-10-15T00:00:00"/>
    <x v="7"/>
    <s v="Tuesday"/>
    <s v="STORE_020"/>
    <x v="4"/>
    <x v="1"/>
    <x v="6"/>
    <n v="363.2"/>
    <n v="2"/>
    <n v="726.4"/>
    <n v="20"/>
    <n v="145.28"/>
    <n v="581.12"/>
    <s v="Cash"/>
    <s v="CUST_00831"/>
    <n v="2"/>
    <n v="145.27999999999997"/>
    <n v="290.56"/>
    <s v="High"/>
  </r>
  <r>
    <s v="TXN_02978"/>
    <d v="2024-04-23T00:00:00"/>
    <x v="4"/>
    <s v="Tuesday"/>
    <s v="STORE_039"/>
    <x v="2"/>
    <x v="1"/>
    <x v="31"/>
    <n v="312.27"/>
    <n v="3"/>
    <n v="936.81"/>
    <n v="5"/>
    <n v="46.84"/>
    <n v="889.97"/>
    <s v="Debit Card"/>
    <s v="CUST_00530"/>
    <n v="3"/>
    <n v="46.839999999999918"/>
    <n v="296.65666666666669"/>
    <s v="Low"/>
  </r>
  <r>
    <s v="TXN_02979"/>
    <d v="2024-03-15T00:00:00"/>
    <x v="5"/>
    <s v="Friday"/>
    <s v="STORE_016"/>
    <x v="3"/>
    <x v="3"/>
    <x v="21"/>
    <n v="697.89"/>
    <n v="10"/>
    <n v="6978.9"/>
    <n v="20"/>
    <n v="1395.78"/>
    <n v="5583.12"/>
    <s v="UPI"/>
    <s v="CUST_00726"/>
    <n v="4"/>
    <n v="1395.7799999999997"/>
    <n v="558.31200000000001"/>
    <s v="High"/>
  </r>
  <r>
    <s v="TXN_02980"/>
    <d v="2024-01-09T00:00:00"/>
    <x v="2"/>
    <s v="Tuesday"/>
    <s v="STORE_013"/>
    <x v="1"/>
    <x v="1"/>
    <x v="1"/>
    <n v="127.33"/>
    <n v="5"/>
    <n v="636.65"/>
    <n v="0"/>
    <n v="0"/>
    <n v="636.65"/>
    <s v="Debit Card"/>
    <s v="CUST_00881"/>
    <n v="3"/>
    <n v="0"/>
    <n v="127.33"/>
    <s v="No Discount"/>
  </r>
  <r>
    <s v="TXN_02981"/>
    <d v="2024-05-13T00:00:00"/>
    <x v="3"/>
    <s v="Monday"/>
    <s v="STORE_025"/>
    <x v="1"/>
    <x v="2"/>
    <x v="7"/>
    <n v="727.72"/>
    <n v="9"/>
    <n v="6549.48"/>
    <n v="5"/>
    <n v="327.47000000000003"/>
    <n v="6222.01"/>
    <s v="Debit Card"/>
    <s v="CUST_00488"/>
    <n v="5"/>
    <n v="327.46999999999935"/>
    <n v="691.33444444444444"/>
    <s v="Low"/>
  </r>
  <r>
    <s v="TXN_02982"/>
    <d v="2024-10-10T00:00:00"/>
    <x v="7"/>
    <s v="Thursday"/>
    <s v="STORE_011"/>
    <x v="4"/>
    <x v="7"/>
    <x v="24"/>
    <n v="1384.8"/>
    <n v="5"/>
    <n v="6924"/>
    <n v="0"/>
    <n v="0"/>
    <n v="6924"/>
    <s v="Wallet"/>
    <s v="CUST_00938"/>
    <n v="1"/>
    <n v="0"/>
    <n v="1384.8"/>
    <s v="No Discount"/>
  </r>
  <r>
    <s v="TXN_02983"/>
    <d v="2024-10-26T00:00:00"/>
    <x v="7"/>
    <s v="Saturday"/>
    <s v="STORE_009"/>
    <x v="1"/>
    <x v="6"/>
    <x v="14"/>
    <n v="905.32"/>
    <n v="9"/>
    <n v="8147.88"/>
    <n v="15"/>
    <n v="1222.18"/>
    <n v="6925.7"/>
    <s v="Credit Card"/>
    <s v="CUST_00483"/>
    <n v="3"/>
    <n v="1222.1800000000003"/>
    <n v="769.52222222222224"/>
    <s v="Medium"/>
  </r>
  <r>
    <s v="TXN_02984"/>
    <d v="2024-10-23T00:00:00"/>
    <x v="7"/>
    <s v="Wednesday"/>
    <s v="STORE_039"/>
    <x v="2"/>
    <x v="0"/>
    <x v="18"/>
    <n v="701.19"/>
    <n v="1"/>
    <n v="701.19"/>
    <n v="10"/>
    <n v="70.12"/>
    <n v="631.07000000000005"/>
    <s v="Cash"/>
    <s v="CUST_00430"/>
    <n v="1"/>
    <n v="70.12"/>
    <n v="631.07000000000005"/>
    <s v="Medium"/>
  </r>
  <r>
    <s v="TXN_02985"/>
    <d v="2024-08-01T00:00:00"/>
    <x v="8"/>
    <s v="Thursday"/>
    <s v="STORE_026"/>
    <x v="3"/>
    <x v="4"/>
    <x v="19"/>
    <n v="252.62"/>
    <n v="7"/>
    <n v="1768.34"/>
    <n v="0"/>
    <n v="0"/>
    <n v="1768.34"/>
    <s v="Cash"/>
    <s v="CUST_00712"/>
    <n v="2"/>
    <n v="0"/>
    <n v="252.61999999999998"/>
    <s v="No Discount"/>
  </r>
  <r>
    <s v="TXN_02986"/>
    <d v="2024-05-31T00:00:00"/>
    <x v="3"/>
    <s v="Friday"/>
    <s v="STORE_027"/>
    <x v="4"/>
    <x v="5"/>
    <x v="11"/>
    <n v="2463.87"/>
    <n v="10"/>
    <n v="24638.7"/>
    <n v="0"/>
    <n v="0"/>
    <n v="24638.7"/>
    <s v="Credit Card"/>
    <s v="CUST_00237"/>
    <n v="2"/>
    <n v="0"/>
    <n v="2463.87"/>
    <s v="No Discount"/>
  </r>
  <r>
    <s v="TXN_02987"/>
    <d v="2024-03-19T00:00:00"/>
    <x v="5"/>
    <s v="Tuesday"/>
    <s v="STORE_044"/>
    <x v="1"/>
    <x v="6"/>
    <x v="26"/>
    <n v="1640.71"/>
    <n v="5"/>
    <n v="8203.5499999999993"/>
    <n v="20"/>
    <n v="1640.71"/>
    <n v="6562.84"/>
    <s v="Credit Card"/>
    <s v="CUST_00152"/>
    <n v="1"/>
    <n v="1640.7099999999991"/>
    <n v="1312.568"/>
    <s v="High"/>
  </r>
  <r>
    <s v="TXN_02988"/>
    <d v="2024-04-10T00:00:00"/>
    <x v="4"/>
    <s v="Wednesday"/>
    <s v="STORE_012"/>
    <x v="3"/>
    <x v="1"/>
    <x v="31"/>
    <n v="98.93"/>
    <n v="2"/>
    <n v="197.86"/>
    <n v="20"/>
    <n v="39.57"/>
    <n v="158.29"/>
    <s v="UPI"/>
    <s v="CUST_00319"/>
    <n v="2"/>
    <n v="39.570000000000022"/>
    <n v="79.144999999999996"/>
    <s v="High"/>
  </r>
  <r>
    <s v="TXN_02989"/>
    <d v="2024-06-17T00:00:00"/>
    <x v="10"/>
    <s v="Monday"/>
    <s v="STORE_001"/>
    <x v="2"/>
    <x v="7"/>
    <x v="24"/>
    <n v="889.61"/>
    <n v="6"/>
    <n v="5337.66"/>
    <n v="5"/>
    <n v="266.88"/>
    <n v="5070.78"/>
    <s v="Wallet"/>
    <s v="CUST_00535"/>
    <n v="1"/>
    <n v="266.88000000000011"/>
    <n v="845.13"/>
    <s v="Low"/>
  </r>
  <r>
    <s v="TXN_02990"/>
    <d v="2024-04-27T00:00:00"/>
    <x v="4"/>
    <s v="Saturday"/>
    <s v="STORE_034"/>
    <x v="1"/>
    <x v="2"/>
    <x v="29"/>
    <n v="742.88"/>
    <n v="4"/>
    <n v="2971.52"/>
    <n v="0"/>
    <n v="0"/>
    <n v="2971.52"/>
    <s v="Cash"/>
    <s v="CUST_00460"/>
    <n v="5"/>
    <n v="0"/>
    <n v="742.88"/>
    <s v="No Discount"/>
  </r>
  <r>
    <s v="TXN_02991"/>
    <d v="2024-07-13T00:00:00"/>
    <x v="11"/>
    <s v="Saturday"/>
    <s v="STORE_040"/>
    <x v="3"/>
    <x v="2"/>
    <x v="29"/>
    <n v="210.54"/>
    <n v="9"/>
    <n v="1894.86"/>
    <n v="15"/>
    <n v="284.23"/>
    <n v="1610.63"/>
    <s v="Debit Card"/>
    <s v="CUST_00701"/>
    <n v="3"/>
    <n v="284.22999999999979"/>
    <n v="178.95888888888891"/>
    <s v="Medium"/>
  </r>
  <r>
    <s v="TXN_02992"/>
    <d v="2024-10-18T00:00:00"/>
    <x v="7"/>
    <s v="Friday"/>
    <s v="STORE_002"/>
    <x v="0"/>
    <x v="0"/>
    <x v="4"/>
    <n v="830.01"/>
    <n v="2"/>
    <n v="1660.02"/>
    <n v="0"/>
    <n v="0"/>
    <n v="1660.02"/>
    <s v="Debit Card"/>
    <s v="CUST_00171"/>
    <n v="5"/>
    <n v="0"/>
    <n v="830.01"/>
    <s v="No Discount"/>
  </r>
  <r>
    <s v="TXN_02993"/>
    <d v="2024-05-05T00:00:00"/>
    <x v="3"/>
    <s v="Sunday"/>
    <s v="STORE_021"/>
    <x v="2"/>
    <x v="0"/>
    <x v="0"/>
    <n v="793.4"/>
    <n v="8"/>
    <n v="6347.2"/>
    <n v="15"/>
    <n v="952.08"/>
    <n v="5395.12"/>
    <s v="Debit Card"/>
    <s v="CUST_00044"/>
    <n v="4"/>
    <n v="952.07999999999993"/>
    <n v="674.39"/>
    <s v="Medium"/>
  </r>
  <r>
    <s v="TXN_02994"/>
    <d v="2024-09-12T00:00:00"/>
    <x v="9"/>
    <s v="Thursday"/>
    <s v="STORE_028"/>
    <x v="1"/>
    <x v="3"/>
    <x v="12"/>
    <n v="1894.32"/>
    <n v="1"/>
    <n v="1894.32"/>
    <n v="10"/>
    <n v="189.43"/>
    <n v="1704.89"/>
    <s v="Credit Card"/>
    <s v="CUST_00863"/>
    <n v="1"/>
    <n v="189.42999999999984"/>
    <n v="1704.89"/>
    <s v="Medium"/>
  </r>
  <r>
    <s v="TXN_02995"/>
    <d v="2024-10-08T00:00:00"/>
    <x v="7"/>
    <s v="Tuesday"/>
    <s v="STORE_033"/>
    <x v="3"/>
    <x v="1"/>
    <x v="1"/>
    <n v="80.400000000000006"/>
    <n v="5"/>
    <n v="402"/>
    <n v="0"/>
    <n v="0"/>
    <n v="402"/>
    <s v="Debit Card"/>
    <s v="CUST_00256"/>
    <n v="4"/>
    <n v="0"/>
    <n v="80.400000000000006"/>
    <s v="No Discount"/>
  </r>
  <r>
    <s v="TXN_02996"/>
    <d v="2024-12-01T00:00:00"/>
    <x v="6"/>
    <s v="Sunday"/>
    <s v="STORE_042"/>
    <x v="0"/>
    <x v="4"/>
    <x v="35"/>
    <n v="266.91000000000003"/>
    <n v="1"/>
    <n v="266.91000000000003"/>
    <n v="15"/>
    <n v="40.04"/>
    <n v="226.87"/>
    <s v="Cash"/>
    <s v="CUST_00128"/>
    <n v="2"/>
    <n v="40.04000000000002"/>
    <n v="226.87"/>
    <s v="Medium"/>
  </r>
  <r>
    <s v="TXN_02997"/>
    <d v="2024-12-16T00:00:00"/>
    <x v="6"/>
    <s v="Monday"/>
    <s v="STORE_029"/>
    <x v="1"/>
    <x v="0"/>
    <x v="27"/>
    <n v="594.16999999999996"/>
    <n v="3"/>
    <n v="1782.51"/>
    <n v="15"/>
    <n v="267.38"/>
    <n v="1515.13"/>
    <s v="Credit Card"/>
    <s v="CUST_00831"/>
    <n v="4"/>
    <n v="267.37999999999988"/>
    <n v="505.04333333333335"/>
    <s v="Medium"/>
  </r>
  <r>
    <s v="TXN_02998"/>
    <d v="2024-06-21T00:00:00"/>
    <x v="10"/>
    <s v="Friday"/>
    <s v="STORE_026"/>
    <x v="4"/>
    <x v="2"/>
    <x v="7"/>
    <n v="257.24"/>
    <n v="4"/>
    <n v="1028.96"/>
    <n v="0"/>
    <n v="0"/>
    <n v="1028.96"/>
    <s v="Debit Card"/>
    <s v="CUST_00020"/>
    <n v="5"/>
    <n v="0"/>
    <n v="257.24"/>
    <s v="No Discount"/>
  </r>
  <r>
    <s v="TXN_02999"/>
    <d v="2024-05-11T00:00:00"/>
    <x v="3"/>
    <s v="Saturday"/>
    <s v="STORE_012"/>
    <x v="4"/>
    <x v="2"/>
    <x v="39"/>
    <n v="697.57"/>
    <n v="10"/>
    <n v="6975.7"/>
    <n v="20"/>
    <n v="1395.14"/>
    <n v="5580.56"/>
    <s v="Debit Card"/>
    <s v="CUST_00481"/>
    <n v="3"/>
    <n v="1395.1399999999994"/>
    <n v="558.05600000000004"/>
    <s v="High"/>
  </r>
  <r>
    <s v="TXN_03000"/>
    <d v="2024-09-07T00:00:00"/>
    <x v="9"/>
    <s v="Saturday"/>
    <s v="STORE_015"/>
    <x v="0"/>
    <x v="3"/>
    <x v="22"/>
    <n v="1478.69"/>
    <n v="4"/>
    <n v="5914.76"/>
    <n v="20"/>
    <n v="1182.95"/>
    <n v="4731.8100000000004"/>
    <s v="Wallet"/>
    <s v="CUST_00021"/>
    <n v="1"/>
    <n v="1182.9499999999998"/>
    <n v="1182.9525000000001"/>
    <s v="High"/>
  </r>
  <r>
    <s v="TXN_03001"/>
    <d v="2024-11-24T00:00:00"/>
    <x v="0"/>
    <s v="Sunday"/>
    <s v="STORE_012"/>
    <x v="0"/>
    <x v="1"/>
    <x v="31"/>
    <n v="174.76"/>
    <n v="4"/>
    <n v="699.04"/>
    <n v="15"/>
    <n v="104.86"/>
    <n v="594.17999999999995"/>
    <s v="Debit Card"/>
    <s v="CUST_00434"/>
    <n v="1"/>
    <n v="104.86000000000001"/>
    <n v="148.54499999999999"/>
    <s v="Medium"/>
  </r>
  <r>
    <s v="TXN_03002"/>
    <d v="2024-09-08T00:00:00"/>
    <x v="9"/>
    <s v="Sunday"/>
    <s v="STORE_002"/>
    <x v="4"/>
    <x v="2"/>
    <x v="2"/>
    <n v="691.59"/>
    <n v="3"/>
    <n v="2074.77"/>
    <n v="0"/>
    <n v="0"/>
    <n v="2074.77"/>
    <s v="UPI"/>
    <s v="CUST_00552"/>
    <n v="3"/>
    <n v="0"/>
    <n v="691.59"/>
    <s v="No Discount"/>
  </r>
  <r>
    <s v="TXN_03003"/>
    <d v="2024-08-23T00:00:00"/>
    <x v="8"/>
    <s v="Friday"/>
    <s v="STORE_015"/>
    <x v="1"/>
    <x v="4"/>
    <x v="20"/>
    <n v="471.56"/>
    <n v="8"/>
    <n v="3772.48"/>
    <n v="0"/>
    <n v="0"/>
    <n v="3772.48"/>
    <s v="Credit Card"/>
    <s v="CUST_00046"/>
    <n v="2"/>
    <n v="0"/>
    <n v="471.56"/>
    <s v="No Discount"/>
  </r>
  <r>
    <s v="TXN_03004"/>
    <d v="2024-03-27T00:00:00"/>
    <x v="5"/>
    <s v="Wednesday"/>
    <s v="STORE_007"/>
    <x v="2"/>
    <x v="4"/>
    <x v="8"/>
    <n v="329.89"/>
    <n v="3"/>
    <n v="989.67"/>
    <n v="0"/>
    <n v="0"/>
    <n v="989.67"/>
    <s v="Debit Card"/>
    <s v="CUST_00500"/>
    <n v="3"/>
    <n v="0"/>
    <n v="329.89"/>
    <s v="No Discount"/>
  </r>
  <r>
    <s v="TXN_03005"/>
    <d v="2024-06-29T00:00:00"/>
    <x v="10"/>
    <s v="Saturday"/>
    <s v="STORE_038"/>
    <x v="1"/>
    <x v="7"/>
    <x v="24"/>
    <n v="1436.65"/>
    <n v="6"/>
    <n v="8619.9"/>
    <n v="10"/>
    <n v="861.99"/>
    <n v="7757.91"/>
    <s v="UPI"/>
    <s v="CUST_00650"/>
    <n v="1"/>
    <n v="861.98999999999978"/>
    <n v="1292.9849999999999"/>
    <s v="Medium"/>
  </r>
  <r>
    <s v="TXN_03006"/>
    <d v="2024-03-27T00:00:00"/>
    <x v="5"/>
    <s v="Wednesday"/>
    <s v="STORE_005"/>
    <x v="2"/>
    <x v="6"/>
    <x v="15"/>
    <n v="727.83"/>
    <n v="5"/>
    <n v="3639.15"/>
    <n v="0"/>
    <n v="0"/>
    <n v="3639.15"/>
    <s v="UPI"/>
    <s v="CUST_00608"/>
    <n v="3"/>
    <n v="0"/>
    <n v="727.83"/>
    <s v="No Discount"/>
  </r>
  <r>
    <s v="TXN_03007"/>
    <d v="2024-03-12T00:00:00"/>
    <x v="5"/>
    <s v="Tuesday"/>
    <s v="STORE_033"/>
    <x v="2"/>
    <x v="5"/>
    <x v="25"/>
    <n v="4252.05"/>
    <n v="2"/>
    <n v="8504.1"/>
    <n v="0"/>
    <n v="0"/>
    <n v="8504.1"/>
    <s v="Cash"/>
    <s v="CUST_00964"/>
    <n v="2"/>
    <n v="0"/>
    <n v="4252.05"/>
    <s v="No Discount"/>
  </r>
  <r>
    <s v="TXN_03008"/>
    <d v="2024-10-06T00:00:00"/>
    <x v="7"/>
    <s v="Sunday"/>
    <s v="STORE_002"/>
    <x v="1"/>
    <x v="1"/>
    <x v="3"/>
    <n v="83.92"/>
    <n v="2"/>
    <n v="167.84"/>
    <n v="20"/>
    <n v="33.57"/>
    <n v="134.27000000000001"/>
    <s v="Debit Card"/>
    <s v="CUST_00733"/>
    <n v="3"/>
    <n v="33.569999999999993"/>
    <n v="67.135000000000005"/>
    <s v="High"/>
  </r>
  <r>
    <s v="TXN_03009"/>
    <d v="2024-09-07T00:00:00"/>
    <x v="9"/>
    <s v="Saturday"/>
    <s v="STORE_046"/>
    <x v="3"/>
    <x v="3"/>
    <x v="22"/>
    <n v="1911.47"/>
    <n v="5"/>
    <n v="9557.35"/>
    <n v="20"/>
    <n v="1911.47"/>
    <n v="7645.88"/>
    <s v="Credit Card"/>
    <s v="CUST_00113"/>
    <n v="5"/>
    <n v="1911.4700000000003"/>
    <n v="1529.1759999999999"/>
    <s v="High"/>
  </r>
  <r>
    <s v="TXN_03010"/>
    <d v="2024-04-04T00:00:00"/>
    <x v="4"/>
    <s v="Thursday"/>
    <s v="STORE_026"/>
    <x v="3"/>
    <x v="4"/>
    <x v="19"/>
    <n v="536.24"/>
    <n v="6"/>
    <n v="3217.44"/>
    <n v="0"/>
    <n v="0"/>
    <n v="3217.44"/>
    <s v="UPI"/>
    <s v="CUST_00817"/>
    <n v="1"/>
    <n v="0"/>
    <n v="536.24"/>
    <s v="No Discount"/>
  </r>
  <r>
    <s v="TXN_03011"/>
    <d v="2024-10-04T00:00:00"/>
    <x v="7"/>
    <s v="Friday"/>
    <s v="STORE_002"/>
    <x v="3"/>
    <x v="3"/>
    <x v="12"/>
    <n v="2884.62"/>
    <n v="3"/>
    <n v="8653.86"/>
    <n v="0"/>
    <n v="0"/>
    <n v="8653.86"/>
    <s v="UPI"/>
    <s v="CUST_00124"/>
    <n v="2"/>
    <n v="0"/>
    <n v="2884.6200000000003"/>
    <s v="No Discount"/>
  </r>
  <r>
    <s v="TXN_03012"/>
    <d v="2024-11-24T00:00:00"/>
    <x v="0"/>
    <s v="Sunday"/>
    <s v="STORE_046"/>
    <x v="3"/>
    <x v="0"/>
    <x v="0"/>
    <n v="876.3"/>
    <n v="2"/>
    <n v="1752.6"/>
    <n v="15"/>
    <n v="262.89"/>
    <n v="1489.71"/>
    <s v="Wallet"/>
    <s v="CUST_00244"/>
    <n v="3"/>
    <n v="262.88999999999987"/>
    <n v="744.85500000000002"/>
    <s v="Medium"/>
  </r>
  <r>
    <s v="TXN_03013"/>
    <d v="2024-01-31T00:00:00"/>
    <x v="2"/>
    <s v="Wednesday"/>
    <s v="STORE_021"/>
    <x v="2"/>
    <x v="4"/>
    <x v="20"/>
    <n v="154.16999999999999"/>
    <n v="1"/>
    <n v="154.16999999999999"/>
    <n v="5"/>
    <n v="7.71"/>
    <n v="146.46"/>
    <s v="UPI"/>
    <s v="CUST_00297"/>
    <n v="1"/>
    <n v="7.7099999999999795"/>
    <n v="146.46"/>
    <s v="Low"/>
  </r>
  <r>
    <s v="TXN_03014"/>
    <d v="2024-09-25T00:00:00"/>
    <x v="9"/>
    <s v="Wednesday"/>
    <s v="STORE_023"/>
    <x v="3"/>
    <x v="5"/>
    <x v="34"/>
    <n v="2257.5700000000002"/>
    <n v="9"/>
    <n v="20318.13"/>
    <n v="15"/>
    <n v="3047.72"/>
    <n v="17270.41"/>
    <s v="UPI"/>
    <s v="CUST_00610"/>
    <n v="5"/>
    <n v="3047.7200000000012"/>
    <n v="1918.9344444444444"/>
    <s v="Medium"/>
  </r>
  <r>
    <s v="TXN_03015"/>
    <d v="2024-01-18T00:00:00"/>
    <x v="2"/>
    <s v="Thursday"/>
    <s v="STORE_002"/>
    <x v="4"/>
    <x v="1"/>
    <x v="1"/>
    <n v="444.77"/>
    <n v="5"/>
    <n v="2223.85"/>
    <n v="0"/>
    <n v="0"/>
    <n v="2223.85"/>
    <s v="Debit Card"/>
    <s v="CUST_00044"/>
    <n v="4"/>
    <n v="0"/>
    <n v="444.77"/>
    <s v="No Discount"/>
  </r>
  <r>
    <s v="TXN_03016"/>
    <d v="2024-02-08T00:00:00"/>
    <x v="1"/>
    <s v="Thursday"/>
    <s v="STORE_004"/>
    <x v="0"/>
    <x v="6"/>
    <x v="30"/>
    <n v="566.20000000000005"/>
    <n v="5"/>
    <n v="2831"/>
    <n v="20"/>
    <n v="566.20000000000005"/>
    <n v="2264.8000000000002"/>
    <s v="UPI"/>
    <s v="CUST_00615"/>
    <n v="1"/>
    <n v="566.19999999999982"/>
    <n v="452.96000000000004"/>
    <s v="High"/>
  </r>
  <r>
    <s v="TXN_03017"/>
    <d v="2024-12-08T00:00:00"/>
    <x v="6"/>
    <s v="Sunday"/>
    <s v="STORE_035"/>
    <x v="4"/>
    <x v="5"/>
    <x v="9"/>
    <n v="4324.2299999999996"/>
    <n v="9"/>
    <n v="38918.07"/>
    <n v="10"/>
    <n v="3891.81"/>
    <n v="35026.26"/>
    <s v="Wallet"/>
    <s v="CUST_00213"/>
    <n v="1"/>
    <n v="3891.8099999999977"/>
    <n v="3891.8066666666668"/>
    <s v="Medium"/>
  </r>
  <r>
    <s v="TXN_03018"/>
    <d v="2024-01-25T00:00:00"/>
    <x v="2"/>
    <s v="Thursday"/>
    <s v="STORE_016"/>
    <x v="4"/>
    <x v="6"/>
    <x v="15"/>
    <n v="1698.87"/>
    <n v="7"/>
    <n v="11892.09"/>
    <n v="15"/>
    <n v="1783.81"/>
    <n v="10108.280000000001"/>
    <s v="Credit Card"/>
    <s v="CUST_00536"/>
    <n v="4"/>
    <n v="1783.8099999999995"/>
    <n v="1444.0400000000002"/>
    <s v="Medium"/>
  </r>
  <r>
    <s v="TXN_03019"/>
    <d v="2024-01-04T00:00:00"/>
    <x v="2"/>
    <s v="Thursday"/>
    <s v="STORE_006"/>
    <x v="4"/>
    <x v="7"/>
    <x v="37"/>
    <n v="1460.26"/>
    <n v="8"/>
    <n v="11682.08"/>
    <n v="15"/>
    <n v="1752.31"/>
    <n v="9929.77"/>
    <s v="Wallet"/>
    <s v="CUST_00837"/>
    <n v="3"/>
    <n v="1752.3099999999995"/>
    <n v="1241.2212500000001"/>
    <s v="Medium"/>
  </r>
  <r>
    <s v="TXN_03020"/>
    <d v="2024-07-30T00:00:00"/>
    <x v="11"/>
    <s v="Tuesday"/>
    <s v="STORE_025"/>
    <x v="1"/>
    <x v="4"/>
    <x v="19"/>
    <n v="568.92999999999995"/>
    <n v="1"/>
    <n v="568.92999999999995"/>
    <n v="0"/>
    <n v="0"/>
    <n v="568.92999999999995"/>
    <s v="Credit Card"/>
    <s v="CUST_00410"/>
    <n v="5"/>
    <n v="0"/>
    <n v="568.92999999999995"/>
    <s v="No Discount"/>
  </r>
  <r>
    <s v="TXN_03021"/>
    <d v="2024-03-11T00:00:00"/>
    <x v="5"/>
    <s v="Monday"/>
    <s v="STORE_010"/>
    <x v="3"/>
    <x v="5"/>
    <x v="9"/>
    <n v="2914.53"/>
    <n v="9"/>
    <n v="26230.77"/>
    <n v="0"/>
    <n v="0"/>
    <n v="26230.77"/>
    <s v="Credit Card"/>
    <s v="CUST_00161"/>
    <n v="4"/>
    <n v="0"/>
    <n v="2914.53"/>
    <s v="No Discount"/>
  </r>
  <r>
    <s v="TXN_03022"/>
    <d v="2024-11-18T00:00:00"/>
    <x v="0"/>
    <s v="Monday"/>
    <s v="STORE_030"/>
    <x v="0"/>
    <x v="6"/>
    <x v="26"/>
    <n v="668.39"/>
    <n v="5"/>
    <n v="3341.95"/>
    <n v="5"/>
    <n v="167.1"/>
    <n v="3174.85"/>
    <s v="Debit Card"/>
    <s v="CUST_00361"/>
    <n v="2"/>
    <n v="167.09999999999991"/>
    <n v="634.97"/>
    <s v="Low"/>
  </r>
  <r>
    <s v="TXN_03023"/>
    <d v="2024-04-28T00:00:00"/>
    <x v="4"/>
    <s v="Sunday"/>
    <s v="STORE_015"/>
    <x v="2"/>
    <x v="0"/>
    <x v="32"/>
    <n v="214.19"/>
    <n v="9"/>
    <n v="1927.71"/>
    <n v="0"/>
    <n v="0"/>
    <n v="1927.71"/>
    <s v="Credit Card"/>
    <s v="CUST_00788"/>
    <n v="5"/>
    <n v="0"/>
    <n v="214.19"/>
    <s v="No Discount"/>
  </r>
  <r>
    <s v="TXN_03024"/>
    <d v="2024-02-04T00:00:00"/>
    <x v="1"/>
    <s v="Sunday"/>
    <s v="STORE_041"/>
    <x v="4"/>
    <x v="0"/>
    <x v="27"/>
    <n v="554.76"/>
    <n v="9"/>
    <n v="4992.84"/>
    <n v="20"/>
    <n v="998.57"/>
    <n v="3994.27"/>
    <s v="Wallet"/>
    <s v="CUST_00381"/>
    <n v="5"/>
    <n v="998.57000000000016"/>
    <n v="443.8077777777778"/>
    <s v="High"/>
  </r>
  <r>
    <s v="TXN_03025"/>
    <d v="2024-12-28T00:00:00"/>
    <x v="6"/>
    <s v="Saturday"/>
    <s v="STORE_027"/>
    <x v="3"/>
    <x v="7"/>
    <x v="24"/>
    <n v="716.02"/>
    <n v="5"/>
    <n v="3580.1"/>
    <n v="10"/>
    <n v="358.01"/>
    <n v="3222.09"/>
    <s v="Wallet"/>
    <s v="CUST_00914"/>
    <n v="2"/>
    <n v="358.00999999999976"/>
    <n v="644.41800000000001"/>
    <s v="Medium"/>
  </r>
  <r>
    <s v="TXN_03026"/>
    <d v="2024-03-18T00:00:00"/>
    <x v="5"/>
    <s v="Monday"/>
    <s v="STORE_025"/>
    <x v="4"/>
    <x v="7"/>
    <x v="24"/>
    <n v="765.03"/>
    <n v="5"/>
    <n v="3825.15"/>
    <n v="10"/>
    <n v="382.52"/>
    <n v="3442.63"/>
    <s v="Credit Card"/>
    <s v="CUST_00528"/>
    <n v="4"/>
    <n v="382.52"/>
    <n v="688.52600000000007"/>
    <s v="Medium"/>
  </r>
  <r>
    <s v="TXN_03027"/>
    <d v="2024-01-05T00:00:00"/>
    <x v="2"/>
    <s v="Friday"/>
    <s v="STORE_006"/>
    <x v="3"/>
    <x v="0"/>
    <x v="4"/>
    <n v="498.06"/>
    <n v="9"/>
    <n v="4482.54"/>
    <n v="0"/>
    <n v="0"/>
    <n v="4482.54"/>
    <s v="UPI"/>
    <s v="CUST_00312"/>
    <n v="1"/>
    <n v="0"/>
    <n v="498.06"/>
    <s v="No Discount"/>
  </r>
  <r>
    <s v="TXN_03028"/>
    <d v="2024-04-21T00:00:00"/>
    <x v="4"/>
    <s v="Sunday"/>
    <s v="STORE_014"/>
    <x v="1"/>
    <x v="4"/>
    <x v="19"/>
    <n v="170.45"/>
    <n v="10"/>
    <n v="1704.5"/>
    <n v="20"/>
    <n v="340.9"/>
    <n v="1363.6"/>
    <s v="Cash"/>
    <s v="CUST_00255"/>
    <n v="4"/>
    <n v="340.90000000000009"/>
    <n v="136.35999999999999"/>
    <s v="High"/>
  </r>
  <r>
    <s v="TXN_03029"/>
    <d v="2024-09-15T00:00:00"/>
    <x v="9"/>
    <s v="Sunday"/>
    <s v="STORE_002"/>
    <x v="2"/>
    <x v="7"/>
    <x v="23"/>
    <n v="358.58"/>
    <n v="8"/>
    <n v="2868.64"/>
    <n v="0"/>
    <n v="0"/>
    <n v="2868.64"/>
    <s v="Wallet"/>
    <s v="CUST_00138"/>
    <n v="2"/>
    <n v="0"/>
    <n v="358.58"/>
    <s v="No Discount"/>
  </r>
  <r>
    <s v="TXN_03030"/>
    <d v="2024-08-21T00:00:00"/>
    <x v="8"/>
    <s v="Wednesday"/>
    <s v="STORE_016"/>
    <x v="3"/>
    <x v="4"/>
    <x v="17"/>
    <n v="525.70000000000005"/>
    <n v="6"/>
    <n v="3154.2"/>
    <n v="5"/>
    <n v="157.71"/>
    <n v="2996.49"/>
    <s v="Cash"/>
    <s v="CUST_00721"/>
    <n v="2"/>
    <n v="157.71000000000004"/>
    <n v="499.41499999999996"/>
    <s v="Low"/>
  </r>
  <r>
    <s v="TXN_03031"/>
    <d v="2024-07-10T00:00:00"/>
    <x v="11"/>
    <s v="Wednesday"/>
    <s v="STORE_025"/>
    <x v="3"/>
    <x v="1"/>
    <x v="1"/>
    <n v="407.57"/>
    <n v="1"/>
    <n v="407.57"/>
    <n v="15"/>
    <n v="61.14"/>
    <n v="346.43"/>
    <s v="Debit Card"/>
    <s v="CUST_00705"/>
    <n v="1"/>
    <n v="61.139999999999986"/>
    <n v="346.43"/>
    <s v="Medium"/>
  </r>
  <r>
    <s v="TXN_03032"/>
    <d v="2024-01-31T00:00:00"/>
    <x v="2"/>
    <s v="Wednesday"/>
    <s v="STORE_024"/>
    <x v="1"/>
    <x v="1"/>
    <x v="36"/>
    <n v="316.36"/>
    <n v="3"/>
    <n v="949.08"/>
    <n v="20"/>
    <n v="189.82"/>
    <n v="759.26"/>
    <s v="UPI"/>
    <s v="CUST_00561"/>
    <n v="1"/>
    <n v="189.82000000000005"/>
    <n v="253.08666666666667"/>
    <s v="High"/>
  </r>
  <r>
    <s v="TXN_03033"/>
    <d v="2024-11-12T00:00:00"/>
    <x v="0"/>
    <s v="Tuesday"/>
    <s v="STORE_009"/>
    <x v="1"/>
    <x v="1"/>
    <x v="31"/>
    <n v="55.68"/>
    <n v="2"/>
    <n v="111.36"/>
    <n v="0"/>
    <n v="0"/>
    <n v="111.36"/>
    <s v="Cash"/>
    <s v="CUST_00979"/>
    <n v="1"/>
    <n v="0"/>
    <n v="55.68"/>
    <s v="No Discount"/>
  </r>
  <r>
    <s v="TXN_03034"/>
    <d v="2024-11-22T00:00:00"/>
    <x v="0"/>
    <s v="Friday"/>
    <s v="STORE_003"/>
    <x v="4"/>
    <x v="2"/>
    <x v="39"/>
    <n v="324.87"/>
    <n v="1"/>
    <n v="324.87"/>
    <n v="0"/>
    <n v="0"/>
    <n v="324.87"/>
    <s v="Cash"/>
    <s v="CUST_00763"/>
    <n v="5"/>
    <n v="0"/>
    <n v="324.87"/>
    <s v="No Discount"/>
  </r>
  <r>
    <s v="TXN_03035"/>
    <d v="2024-12-07T00:00:00"/>
    <x v="6"/>
    <s v="Saturday"/>
    <s v="STORE_032"/>
    <x v="3"/>
    <x v="6"/>
    <x v="26"/>
    <n v="1379.22"/>
    <n v="9"/>
    <n v="12412.98"/>
    <n v="20"/>
    <n v="2482.6"/>
    <n v="9930.3799999999992"/>
    <s v="Debit Card"/>
    <s v="CUST_00647"/>
    <n v="5"/>
    <n v="2482.6000000000004"/>
    <n v="1103.3755555555554"/>
    <s v="High"/>
  </r>
  <r>
    <s v="TXN_03036"/>
    <d v="2024-11-11T00:00:00"/>
    <x v="0"/>
    <s v="Monday"/>
    <s v="STORE_007"/>
    <x v="3"/>
    <x v="1"/>
    <x v="31"/>
    <n v="284.19"/>
    <n v="8"/>
    <n v="2273.52"/>
    <n v="0"/>
    <n v="0"/>
    <n v="2273.52"/>
    <s v="Cash"/>
    <s v="CUST_00220"/>
    <n v="4"/>
    <n v="0"/>
    <n v="284.19"/>
    <s v="No Discount"/>
  </r>
  <r>
    <s v="TXN_03037"/>
    <d v="2024-09-04T00:00:00"/>
    <x v="9"/>
    <s v="Wednesday"/>
    <s v="STORE_050"/>
    <x v="2"/>
    <x v="6"/>
    <x v="14"/>
    <n v="1697.5"/>
    <n v="5"/>
    <n v="8487.5"/>
    <n v="0"/>
    <n v="0"/>
    <n v="8487.5"/>
    <s v="Wallet"/>
    <s v="CUST_00029"/>
    <n v="2"/>
    <n v="0"/>
    <n v="1697.5"/>
    <s v="No Discount"/>
  </r>
  <r>
    <s v="TXN_03038"/>
    <d v="2024-12-03T00:00:00"/>
    <x v="6"/>
    <s v="Tuesday"/>
    <s v="STORE_020"/>
    <x v="4"/>
    <x v="6"/>
    <x v="26"/>
    <n v="619.20000000000005"/>
    <n v="4"/>
    <n v="2476.8000000000002"/>
    <n v="0"/>
    <n v="0"/>
    <n v="2476.8000000000002"/>
    <s v="Debit Card"/>
    <s v="CUST_00960"/>
    <n v="5"/>
    <n v="0"/>
    <n v="619.20000000000005"/>
    <s v="No Discount"/>
  </r>
  <r>
    <s v="TXN_03039"/>
    <d v="2024-09-06T00:00:00"/>
    <x v="9"/>
    <s v="Friday"/>
    <s v="STORE_037"/>
    <x v="3"/>
    <x v="3"/>
    <x v="21"/>
    <n v="1576.81"/>
    <n v="5"/>
    <n v="7884.05"/>
    <n v="0"/>
    <n v="0"/>
    <n v="7884.05"/>
    <s v="UPI"/>
    <s v="CUST_00322"/>
    <n v="5"/>
    <n v="0"/>
    <n v="1576.81"/>
    <s v="No Discount"/>
  </r>
  <r>
    <s v="TXN_03040"/>
    <d v="2024-01-09T00:00:00"/>
    <x v="2"/>
    <s v="Tuesday"/>
    <s v="STORE_045"/>
    <x v="0"/>
    <x v="2"/>
    <x v="13"/>
    <n v="628.22"/>
    <n v="3"/>
    <n v="1884.66"/>
    <n v="10"/>
    <n v="188.47"/>
    <n v="1696.19"/>
    <s v="Wallet"/>
    <s v="CUST_00368"/>
    <n v="4"/>
    <n v="188.47000000000003"/>
    <n v="565.39666666666665"/>
    <s v="Medium"/>
  </r>
  <r>
    <s v="TXN_03041"/>
    <d v="2024-01-04T00:00:00"/>
    <x v="2"/>
    <s v="Thursday"/>
    <s v="STORE_010"/>
    <x v="3"/>
    <x v="7"/>
    <x v="23"/>
    <n v="1026.76"/>
    <n v="7"/>
    <n v="7187.32"/>
    <n v="0"/>
    <n v="0"/>
    <n v="7187.32"/>
    <s v="Debit Card"/>
    <s v="CUST_00797"/>
    <n v="3"/>
    <n v="0"/>
    <n v="1026.76"/>
    <s v="No Discount"/>
  </r>
  <r>
    <s v="TXN_03042"/>
    <d v="2024-09-29T00:00:00"/>
    <x v="9"/>
    <s v="Sunday"/>
    <s v="STORE_009"/>
    <x v="0"/>
    <x v="4"/>
    <x v="19"/>
    <n v="175.06"/>
    <n v="3"/>
    <n v="525.17999999999995"/>
    <n v="0"/>
    <n v="0"/>
    <n v="525.17999999999995"/>
    <s v="Debit Card"/>
    <s v="CUST_00919"/>
    <n v="1"/>
    <n v="0"/>
    <n v="175.05999999999997"/>
    <s v="No Discount"/>
  </r>
  <r>
    <s v="TXN_03043"/>
    <d v="2024-10-09T00:00:00"/>
    <x v="7"/>
    <s v="Wednesday"/>
    <s v="STORE_024"/>
    <x v="2"/>
    <x v="2"/>
    <x v="2"/>
    <n v="360.6"/>
    <n v="8"/>
    <n v="2884.8"/>
    <n v="5"/>
    <n v="144.24"/>
    <n v="2740.56"/>
    <s v="Credit Card"/>
    <s v="CUST_00676"/>
    <n v="2"/>
    <n v="144.24000000000024"/>
    <n v="342.57"/>
    <s v="Low"/>
  </r>
  <r>
    <s v="TXN_03044"/>
    <d v="2024-07-29T00:00:00"/>
    <x v="11"/>
    <s v="Monday"/>
    <s v="STORE_034"/>
    <x v="0"/>
    <x v="4"/>
    <x v="17"/>
    <n v="403.74"/>
    <n v="1"/>
    <n v="403.74"/>
    <n v="20"/>
    <n v="80.75"/>
    <n v="322.99"/>
    <s v="Cash"/>
    <s v="CUST_00791"/>
    <n v="1"/>
    <n v="80.75"/>
    <n v="322.99"/>
    <s v="High"/>
  </r>
  <r>
    <s v="TXN_03045"/>
    <d v="2024-01-07T00:00:00"/>
    <x v="2"/>
    <s v="Sunday"/>
    <s v="STORE_008"/>
    <x v="0"/>
    <x v="6"/>
    <x v="15"/>
    <n v="604.16999999999996"/>
    <n v="7"/>
    <n v="4229.1899999999996"/>
    <n v="5"/>
    <n v="211.46"/>
    <n v="4017.73"/>
    <s v="Credit Card"/>
    <s v="CUST_00223"/>
    <n v="5"/>
    <n v="211.45999999999958"/>
    <n v="573.96142857142854"/>
    <s v="Low"/>
  </r>
  <r>
    <s v="TXN_03046"/>
    <d v="2024-01-09T00:00:00"/>
    <x v="2"/>
    <s v="Tuesday"/>
    <s v="STORE_041"/>
    <x v="4"/>
    <x v="5"/>
    <x v="9"/>
    <n v="3108.82"/>
    <n v="5"/>
    <n v="15544.1"/>
    <n v="20"/>
    <n v="3108.82"/>
    <n v="12435.28"/>
    <s v="Cash"/>
    <s v="CUST_00035"/>
    <n v="4"/>
    <n v="3108.8199999999997"/>
    <n v="2487.056"/>
    <s v="High"/>
  </r>
  <r>
    <s v="TXN_03047"/>
    <d v="2024-09-28T00:00:00"/>
    <x v="9"/>
    <s v="Saturday"/>
    <s v="STORE_040"/>
    <x v="1"/>
    <x v="0"/>
    <x v="0"/>
    <n v="533.03"/>
    <n v="6"/>
    <n v="3198.18"/>
    <n v="0"/>
    <n v="0"/>
    <n v="3198.18"/>
    <s v="UPI"/>
    <s v="CUST_00850"/>
    <n v="4"/>
    <n v="0"/>
    <n v="533.03"/>
    <s v="No Discount"/>
  </r>
  <r>
    <s v="TXN_03048"/>
    <d v="2024-05-20T00:00:00"/>
    <x v="3"/>
    <s v="Monday"/>
    <s v="STORE_045"/>
    <x v="4"/>
    <x v="2"/>
    <x v="39"/>
    <n v="312.05"/>
    <n v="1"/>
    <n v="312.05"/>
    <n v="0"/>
    <n v="0"/>
    <n v="312.05"/>
    <s v="Debit Card"/>
    <s v="CUST_00153"/>
    <n v="3"/>
    <n v="0"/>
    <n v="312.05"/>
    <s v="No Discount"/>
  </r>
  <r>
    <s v="TXN_03049"/>
    <d v="2024-10-01T00:00:00"/>
    <x v="7"/>
    <s v="Tuesday"/>
    <s v="STORE_030"/>
    <x v="0"/>
    <x v="2"/>
    <x v="7"/>
    <n v="480.95"/>
    <n v="7"/>
    <n v="3366.65"/>
    <n v="0"/>
    <n v="0"/>
    <n v="3366.65"/>
    <s v="Credit Card"/>
    <s v="CUST_00474"/>
    <n v="2"/>
    <n v="0"/>
    <n v="480.95"/>
    <s v="No Discount"/>
  </r>
  <r>
    <s v="TXN_03050"/>
    <d v="2024-05-26T00:00:00"/>
    <x v="3"/>
    <s v="Sunday"/>
    <s v="STORE_003"/>
    <x v="0"/>
    <x v="7"/>
    <x v="24"/>
    <n v="740.39"/>
    <n v="4"/>
    <n v="2961.56"/>
    <n v="0"/>
    <n v="0"/>
    <n v="2961.56"/>
    <s v="Credit Card"/>
    <s v="CUST_00390"/>
    <n v="5"/>
    <n v="0"/>
    <n v="740.39"/>
    <s v="No Discount"/>
  </r>
  <r>
    <s v="TXN_03051"/>
    <d v="2024-01-09T00:00:00"/>
    <x v="2"/>
    <s v="Tuesday"/>
    <s v="STORE_049"/>
    <x v="0"/>
    <x v="0"/>
    <x v="27"/>
    <n v="849.74"/>
    <n v="5"/>
    <n v="4248.7"/>
    <n v="20"/>
    <n v="849.74"/>
    <n v="3398.96"/>
    <s v="Credit Card"/>
    <s v="CUST_00686"/>
    <n v="5"/>
    <n v="849.73999999999978"/>
    <n v="679.79200000000003"/>
    <s v="High"/>
  </r>
  <r>
    <s v="TXN_03052"/>
    <d v="2024-09-14T00:00:00"/>
    <x v="9"/>
    <s v="Saturday"/>
    <s v="STORE_033"/>
    <x v="4"/>
    <x v="0"/>
    <x v="18"/>
    <n v="506.59"/>
    <n v="1"/>
    <n v="506.59"/>
    <n v="0"/>
    <n v="0"/>
    <n v="506.59"/>
    <s v="UPI"/>
    <s v="CUST_00854"/>
    <n v="1"/>
    <n v="0"/>
    <n v="506.59"/>
    <s v="No Discount"/>
  </r>
  <r>
    <s v="TXN_03053"/>
    <d v="2024-12-23T00:00:00"/>
    <x v="6"/>
    <s v="Monday"/>
    <s v="STORE_043"/>
    <x v="4"/>
    <x v="7"/>
    <x v="28"/>
    <n v="1277.5"/>
    <n v="10"/>
    <n v="12775"/>
    <n v="0"/>
    <n v="0"/>
    <n v="12775"/>
    <s v="Cash"/>
    <s v="CUST_00147"/>
    <n v="4"/>
    <n v="0"/>
    <n v="1277.5"/>
    <s v="No Discount"/>
  </r>
  <r>
    <s v="TXN_03054"/>
    <d v="2024-12-11T00:00:00"/>
    <x v="6"/>
    <s v="Wednesday"/>
    <s v="STORE_005"/>
    <x v="2"/>
    <x v="2"/>
    <x v="13"/>
    <n v="386.44"/>
    <n v="9"/>
    <n v="3477.96"/>
    <n v="15"/>
    <n v="521.69000000000005"/>
    <n v="2956.27"/>
    <s v="Debit Card"/>
    <s v="CUST_00226"/>
    <n v="3"/>
    <n v="521.69000000000005"/>
    <n v="328.47444444444443"/>
    <s v="Medium"/>
  </r>
  <r>
    <s v="TXN_03055"/>
    <d v="2024-08-08T00:00:00"/>
    <x v="8"/>
    <s v="Thursday"/>
    <s v="STORE_007"/>
    <x v="2"/>
    <x v="2"/>
    <x v="2"/>
    <n v="296.63"/>
    <n v="4"/>
    <n v="1186.52"/>
    <n v="20"/>
    <n v="237.3"/>
    <n v="949.22"/>
    <s v="Credit Card"/>
    <s v="CUST_00967"/>
    <n v="5"/>
    <n v="237.29999999999995"/>
    <n v="237.30500000000001"/>
    <s v="High"/>
  </r>
  <r>
    <s v="TXN_03056"/>
    <d v="2024-04-01T00:00:00"/>
    <x v="4"/>
    <s v="Monday"/>
    <s v="STORE_021"/>
    <x v="2"/>
    <x v="7"/>
    <x v="24"/>
    <n v="311.64999999999998"/>
    <n v="6"/>
    <n v="1869.9"/>
    <n v="0"/>
    <n v="0"/>
    <n v="1869.9"/>
    <s v="Debit Card"/>
    <s v="CUST_00456"/>
    <n v="2"/>
    <n v="0"/>
    <n v="311.65000000000003"/>
    <s v="No Discount"/>
  </r>
  <r>
    <s v="TXN_03057"/>
    <d v="2024-02-24T00:00:00"/>
    <x v="1"/>
    <s v="Saturday"/>
    <s v="STORE_001"/>
    <x v="4"/>
    <x v="6"/>
    <x v="15"/>
    <n v="967.73"/>
    <n v="1"/>
    <n v="967.73"/>
    <n v="10"/>
    <n v="96.77"/>
    <n v="870.96"/>
    <s v="Cash"/>
    <s v="CUST_00763"/>
    <n v="4"/>
    <n v="96.769999999999982"/>
    <n v="870.96"/>
    <s v="Medium"/>
  </r>
  <r>
    <s v="TXN_03058"/>
    <d v="2024-02-19T00:00:00"/>
    <x v="1"/>
    <s v="Monday"/>
    <s v="STORE_043"/>
    <x v="4"/>
    <x v="2"/>
    <x v="2"/>
    <n v="664.67"/>
    <n v="7"/>
    <n v="4652.6899999999996"/>
    <n v="5"/>
    <n v="232.63"/>
    <n v="4420.0600000000004"/>
    <s v="Credit Card"/>
    <s v="CUST_00470"/>
    <n v="3"/>
    <n v="232.6299999999992"/>
    <n v="631.43714285714293"/>
    <s v="Low"/>
  </r>
  <r>
    <s v="TXN_03059"/>
    <d v="2024-09-25T00:00:00"/>
    <x v="9"/>
    <s v="Wednesday"/>
    <s v="STORE_018"/>
    <x v="1"/>
    <x v="3"/>
    <x v="21"/>
    <n v="260.99"/>
    <n v="2"/>
    <n v="521.98"/>
    <n v="0"/>
    <n v="0"/>
    <n v="521.98"/>
    <s v="Cash"/>
    <s v="CUST_00486"/>
    <n v="4"/>
    <n v="0"/>
    <n v="260.99"/>
    <s v="No Discount"/>
  </r>
  <r>
    <s v="TXN_03060"/>
    <d v="2024-03-17T00:00:00"/>
    <x v="5"/>
    <s v="Sunday"/>
    <s v="STORE_030"/>
    <x v="1"/>
    <x v="5"/>
    <x v="11"/>
    <n v="2830.9"/>
    <n v="8"/>
    <n v="22647.200000000001"/>
    <n v="10"/>
    <n v="2264.7199999999998"/>
    <n v="20382.48"/>
    <s v="Cash"/>
    <s v="CUST_00028"/>
    <n v="1"/>
    <n v="2264.7200000000012"/>
    <n v="2547.81"/>
    <s v="Medium"/>
  </r>
  <r>
    <s v="TXN_03061"/>
    <d v="2024-05-03T00:00:00"/>
    <x v="3"/>
    <s v="Friday"/>
    <s v="STORE_041"/>
    <x v="4"/>
    <x v="3"/>
    <x v="12"/>
    <n v="2601.98"/>
    <n v="8"/>
    <n v="20815.84"/>
    <n v="0"/>
    <n v="0"/>
    <n v="20815.84"/>
    <s v="Cash"/>
    <s v="CUST_00629"/>
    <n v="5"/>
    <n v="0"/>
    <n v="2601.98"/>
    <s v="No Discount"/>
  </r>
  <r>
    <s v="TXN_03062"/>
    <d v="2024-04-08T00:00:00"/>
    <x v="4"/>
    <s v="Monday"/>
    <s v="STORE_046"/>
    <x v="0"/>
    <x v="1"/>
    <x v="36"/>
    <n v="321.92"/>
    <n v="4"/>
    <n v="1287.68"/>
    <n v="0"/>
    <n v="0"/>
    <n v="1287.68"/>
    <s v="Wallet"/>
    <s v="CUST_00403"/>
    <n v="1"/>
    <n v="0"/>
    <n v="321.92"/>
    <s v="No Discount"/>
  </r>
  <r>
    <s v="TXN_03063"/>
    <d v="2024-11-13T00:00:00"/>
    <x v="0"/>
    <s v="Wednesday"/>
    <s v="STORE_025"/>
    <x v="2"/>
    <x v="2"/>
    <x v="2"/>
    <n v="230.08"/>
    <n v="7"/>
    <n v="1610.56"/>
    <n v="0"/>
    <n v="0"/>
    <n v="1610.56"/>
    <s v="Credit Card"/>
    <s v="CUST_00230"/>
    <n v="1"/>
    <n v="0"/>
    <n v="230.07999999999998"/>
    <s v="No Discount"/>
  </r>
  <r>
    <s v="TXN_03064"/>
    <d v="2024-09-26T00:00:00"/>
    <x v="9"/>
    <s v="Thursday"/>
    <s v="STORE_045"/>
    <x v="4"/>
    <x v="5"/>
    <x v="9"/>
    <n v="4036.31"/>
    <n v="8"/>
    <n v="32290.48"/>
    <n v="0"/>
    <n v="0"/>
    <n v="32290.48"/>
    <s v="Debit Card"/>
    <s v="CUST_00047"/>
    <n v="1"/>
    <n v="0"/>
    <n v="4036.31"/>
    <s v="No Discount"/>
  </r>
  <r>
    <s v="TXN_03065"/>
    <d v="2024-05-09T00:00:00"/>
    <x v="3"/>
    <s v="Thursday"/>
    <s v="STORE_006"/>
    <x v="2"/>
    <x v="4"/>
    <x v="19"/>
    <n v="566.46"/>
    <n v="7"/>
    <n v="3965.22"/>
    <n v="0"/>
    <n v="0"/>
    <n v="3965.22"/>
    <s v="Credit Card"/>
    <s v="CUST_00547"/>
    <n v="1"/>
    <n v="0"/>
    <n v="566.45999999999992"/>
    <s v="No Discount"/>
  </r>
  <r>
    <s v="TXN_03066"/>
    <d v="2024-06-30T00:00:00"/>
    <x v="10"/>
    <s v="Sunday"/>
    <s v="STORE_026"/>
    <x v="2"/>
    <x v="0"/>
    <x v="32"/>
    <n v="436.26"/>
    <n v="2"/>
    <n v="872.52"/>
    <n v="0"/>
    <n v="0"/>
    <n v="872.52"/>
    <s v="Cash"/>
    <s v="CUST_00398"/>
    <n v="2"/>
    <n v="0"/>
    <n v="436.26"/>
    <s v="No Discount"/>
  </r>
  <r>
    <s v="TXN_03067"/>
    <d v="2024-05-16T00:00:00"/>
    <x v="3"/>
    <s v="Thursday"/>
    <s v="STORE_030"/>
    <x v="4"/>
    <x v="2"/>
    <x v="2"/>
    <n v="143"/>
    <n v="8"/>
    <n v="1144"/>
    <n v="0"/>
    <n v="0"/>
    <n v="1144"/>
    <s v="Wallet"/>
    <s v="CUST_00308"/>
    <n v="4"/>
    <n v="0"/>
    <n v="143"/>
    <s v="No Discount"/>
  </r>
  <r>
    <s v="TXN_03068"/>
    <d v="2024-07-22T00:00:00"/>
    <x v="11"/>
    <s v="Monday"/>
    <s v="STORE_034"/>
    <x v="2"/>
    <x v="0"/>
    <x v="27"/>
    <n v="853.05"/>
    <n v="10"/>
    <n v="8530.5"/>
    <n v="0"/>
    <n v="0"/>
    <n v="8530.5"/>
    <s v="Wallet"/>
    <s v="CUST_00479"/>
    <n v="3"/>
    <n v="0"/>
    <n v="853.05"/>
    <s v="No Discount"/>
  </r>
  <r>
    <s v="TXN_03069"/>
    <d v="2024-02-10T00:00:00"/>
    <x v="1"/>
    <s v="Saturday"/>
    <s v="STORE_030"/>
    <x v="2"/>
    <x v="6"/>
    <x v="14"/>
    <n v="1107.93"/>
    <n v="2"/>
    <n v="2215.86"/>
    <n v="0"/>
    <n v="0"/>
    <n v="2215.86"/>
    <s v="Credit Card"/>
    <s v="CUST_00772"/>
    <n v="4"/>
    <n v="0"/>
    <n v="1107.93"/>
    <s v="No Discount"/>
  </r>
  <r>
    <s v="TXN_03070"/>
    <d v="2024-07-10T00:00:00"/>
    <x v="11"/>
    <s v="Wednesday"/>
    <s v="STORE_037"/>
    <x v="1"/>
    <x v="7"/>
    <x v="37"/>
    <n v="883.54"/>
    <n v="4"/>
    <n v="3534.16"/>
    <n v="15"/>
    <n v="530.12"/>
    <n v="3004.04"/>
    <s v="UPI"/>
    <s v="CUST_00610"/>
    <n v="3"/>
    <n v="530.11999999999989"/>
    <n v="751.01"/>
    <s v="Medium"/>
  </r>
  <r>
    <s v="TXN_03071"/>
    <d v="2024-07-26T00:00:00"/>
    <x v="11"/>
    <s v="Friday"/>
    <s v="STORE_008"/>
    <x v="2"/>
    <x v="3"/>
    <x v="12"/>
    <n v="2484.4499999999998"/>
    <n v="1"/>
    <n v="2484.4499999999998"/>
    <n v="5"/>
    <n v="124.22"/>
    <n v="2360.23"/>
    <s v="Wallet"/>
    <s v="CUST_00453"/>
    <n v="1"/>
    <n v="124.2199999999998"/>
    <n v="2360.23"/>
    <s v="Low"/>
  </r>
  <r>
    <s v="TXN_03072"/>
    <d v="2024-08-23T00:00:00"/>
    <x v="8"/>
    <s v="Friday"/>
    <s v="STORE_018"/>
    <x v="4"/>
    <x v="7"/>
    <x v="23"/>
    <n v="1144.18"/>
    <n v="7"/>
    <n v="8009.26"/>
    <n v="20"/>
    <n v="1601.85"/>
    <n v="6407.41"/>
    <s v="Credit Card"/>
    <s v="CUST_00025"/>
    <n v="1"/>
    <n v="1601.8500000000004"/>
    <n v="915.34428571428566"/>
    <s v="High"/>
  </r>
  <r>
    <s v="TXN_03073"/>
    <d v="2024-10-16T00:00:00"/>
    <x v="7"/>
    <s v="Wednesday"/>
    <s v="STORE_038"/>
    <x v="3"/>
    <x v="5"/>
    <x v="34"/>
    <n v="2072.1999999999998"/>
    <n v="5"/>
    <n v="10361"/>
    <n v="0"/>
    <n v="0"/>
    <n v="10361"/>
    <s v="Cash"/>
    <s v="CUST_00459"/>
    <n v="3"/>
    <n v="0"/>
    <n v="2072.1999999999998"/>
    <s v="No Discount"/>
  </r>
  <r>
    <s v="TXN_03074"/>
    <d v="2024-05-04T00:00:00"/>
    <x v="3"/>
    <s v="Saturday"/>
    <s v="STORE_045"/>
    <x v="1"/>
    <x v="2"/>
    <x v="29"/>
    <n v="262.64999999999998"/>
    <n v="9"/>
    <n v="2363.85"/>
    <n v="0"/>
    <n v="0"/>
    <n v="2363.85"/>
    <s v="Wallet"/>
    <s v="CUST_00384"/>
    <n v="4"/>
    <n v="0"/>
    <n v="262.64999999999998"/>
    <s v="No Discount"/>
  </r>
  <r>
    <s v="TXN_03075"/>
    <d v="2024-12-22T00:00:00"/>
    <x v="6"/>
    <s v="Sunday"/>
    <s v="STORE_047"/>
    <x v="0"/>
    <x v="5"/>
    <x v="11"/>
    <n v="3270.19"/>
    <n v="2"/>
    <n v="6540.38"/>
    <n v="5"/>
    <n v="327.02"/>
    <n v="6213.36"/>
    <s v="Credit Card"/>
    <s v="CUST_00369"/>
    <n v="2"/>
    <n v="327.02000000000044"/>
    <n v="3106.68"/>
    <s v="Low"/>
  </r>
  <r>
    <s v="TXN_03076"/>
    <d v="2024-04-25T00:00:00"/>
    <x v="4"/>
    <s v="Thursday"/>
    <s v="STORE_038"/>
    <x v="0"/>
    <x v="3"/>
    <x v="21"/>
    <n v="2654.02"/>
    <n v="1"/>
    <n v="2654.02"/>
    <n v="0"/>
    <n v="0"/>
    <n v="2654.02"/>
    <s v="Wallet"/>
    <s v="CUST_00394"/>
    <n v="5"/>
    <n v="0"/>
    <n v="2654.02"/>
    <s v="No Discount"/>
  </r>
  <r>
    <s v="TXN_03077"/>
    <d v="2024-06-02T00:00:00"/>
    <x v="10"/>
    <s v="Sunday"/>
    <s v="STORE_031"/>
    <x v="3"/>
    <x v="0"/>
    <x v="32"/>
    <n v="371.55"/>
    <n v="7"/>
    <n v="2600.85"/>
    <n v="15"/>
    <n v="390.13"/>
    <n v="2210.7199999999998"/>
    <s v="Credit Card"/>
    <s v="CUST_00242"/>
    <n v="5"/>
    <n v="390.13000000000011"/>
    <n v="315.81714285714281"/>
    <s v="Medium"/>
  </r>
  <r>
    <s v="TXN_03078"/>
    <d v="2024-12-16T00:00:00"/>
    <x v="6"/>
    <s v="Monday"/>
    <s v="STORE_045"/>
    <x v="0"/>
    <x v="7"/>
    <x v="37"/>
    <n v="559.75"/>
    <n v="10"/>
    <n v="5597.5"/>
    <n v="20"/>
    <n v="1119.5"/>
    <n v="4478"/>
    <s v="Cash"/>
    <s v="CUST_00280"/>
    <n v="4"/>
    <n v="1119.5"/>
    <n v="447.8"/>
    <s v="High"/>
  </r>
  <r>
    <s v="TXN_03079"/>
    <d v="2024-02-11T00:00:00"/>
    <x v="1"/>
    <s v="Sunday"/>
    <s v="STORE_034"/>
    <x v="3"/>
    <x v="1"/>
    <x v="31"/>
    <n v="468.09"/>
    <n v="4"/>
    <n v="1872.36"/>
    <n v="20"/>
    <n v="374.47"/>
    <n v="1497.89"/>
    <s v="Wallet"/>
    <s v="CUST_00879"/>
    <n v="3"/>
    <n v="374.4699999999998"/>
    <n v="374.47250000000003"/>
    <s v="High"/>
  </r>
  <r>
    <s v="TXN_03080"/>
    <d v="2024-11-30T00:00:00"/>
    <x v="0"/>
    <s v="Saturday"/>
    <s v="STORE_036"/>
    <x v="3"/>
    <x v="4"/>
    <x v="20"/>
    <n v="526.02"/>
    <n v="3"/>
    <n v="1578.06"/>
    <n v="20"/>
    <n v="315.61"/>
    <n v="1262.45"/>
    <s v="UPI"/>
    <s v="CUST_00680"/>
    <n v="4"/>
    <n v="315.6099999999999"/>
    <n v="420.81666666666666"/>
    <s v="High"/>
  </r>
  <r>
    <s v="TXN_03081"/>
    <d v="2024-11-28T00:00:00"/>
    <x v="0"/>
    <s v="Thursday"/>
    <s v="STORE_008"/>
    <x v="3"/>
    <x v="7"/>
    <x v="24"/>
    <n v="1141.55"/>
    <n v="4"/>
    <n v="4566.2"/>
    <n v="0"/>
    <n v="0"/>
    <n v="4566.2"/>
    <s v="Wallet"/>
    <s v="CUST_00940"/>
    <n v="2"/>
    <n v="0"/>
    <n v="1141.55"/>
    <s v="No Discount"/>
  </r>
  <r>
    <s v="TXN_03082"/>
    <d v="2024-01-17T00:00:00"/>
    <x v="2"/>
    <s v="Wednesday"/>
    <s v="STORE_036"/>
    <x v="2"/>
    <x v="0"/>
    <x v="4"/>
    <n v="949.78"/>
    <n v="7"/>
    <n v="6648.46"/>
    <n v="0"/>
    <n v="0"/>
    <n v="6648.46"/>
    <s v="Cash"/>
    <s v="CUST_00490"/>
    <n v="3"/>
    <n v="0"/>
    <n v="949.78"/>
    <s v="No Discount"/>
  </r>
  <r>
    <s v="TXN_03083"/>
    <d v="2024-02-17T00:00:00"/>
    <x v="1"/>
    <s v="Saturday"/>
    <s v="STORE_009"/>
    <x v="1"/>
    <x v="3"/>
    <x v="22"/>
    <n v="1495.02"/>
    <n v="3"/>
    <n v="4485.0600000000004"/>
    <n v="0"/>
    <n v="0"/>
    <n v="4485.0600000000004"/>
    <s v="Credit Card"/>
    <s v="CUST_00026"/>
    <n v="4"/>
    <n v="0"/>
    <n v="1495.0200000000002"/>
    <s v="No Discount"/>
  </r>
  <r>
    <s v="TXN_03084"/>
    <d v="2024-07-26T00:00:00"/>
    <x v="11"/>
    <s v="Friday"/>
    <s v="STORE_020"/>
    <x v="3"/>
    <x v="0"/>
    <x v="27"/>
    <n v="645.83000000000004"/>
    <n v="4"/>
    <n v="2583.3200000000002"/>
    <n v="0"/>
    <n v="0"/>
    <n v="2583.3200000000002"/>
    <s v="Cash"/>
    <s v="CUST_00214"/>
    <n v="4"/>
    <n v="0"/>
    <n v="645.83000000000004"/>
    <s v="No Discount"/>
  </r>
  <r>
    <s v="TXN_03085"/>
    <d v="2024-07-13T00:00:00"/>
    <x v="11"/>
    <s v="Saturday"/>
    <s v="STORE_032"/>
    <x v="2"/>
    <x v="1"/>
    <x v="36"/>
    <n v="95.73"/>
    <n v="5"/>
    <n v="478.65"/>
    <n v="15"/>
    <n v="71.8"/>
    <n v="406.85"/>
    <s v="Cash"/>
    <s v="CUST_00868"/>
    <n v="3"/>
    <n v="71.799999999999955"/>
    <n v="81.37"/>
    <s v="Medium"/>
  </r>
  <r>
    <s v="TXN_03086"/>
    <d v="2024-07-12T00:00:00"/>
    <x v="11"/>
    <s v="Friday"/>
    <s v="STORE_045"/>
    <x v="2"/>
    <x v="3"/>
    <x v="16"/>
    <n v="2208.5700000000002"/>
    <n v="5"/>
    <n v="11042.85"/>
    <n v="15"/>
    <n v="1656.43"/>
    <n v="9386.42"/>
    <s v="Debit Card"/>
    <s v="CUST_00742"/>
    <n v="4"/>
    <n v="1656.4300000000003"/>
    <n v="1877.2840000000001"/>
    <s v="Medium"/>
  </r>
  <r>
    <s v="TXN_03087"/>
    <d v="2024-10-09T00:00:00"/>
    <x v="7"/>
    <s v="Wednesday"/>
    <s v="STORE_009"/>
    <x v="4"/>
    <x v="0"/>
    <x v="4"/>
    <n v="963.01"/>
    <n v="10"/>
    <n v="9630.1"/>
    <n v="0"/>
    <n v="0"/>
    <n v="9630.1"/>
    <s v="Cash"/>
    <s v="CUST_00854"/>
    <n v="3"/>
    <n v="0"/>
    <n v="963.01"/>
    <s v="No Discount"/>
  </r>
  <r>
    <s v="TXN_03088"/>
    <d v="2024-08-31T00:00:00"/>
    <x v="8"/>
    <s v="Saturday"/>
    <s v="STORE_004"/>
    <x v="2"/>
    <x v="6"/>
    <x v="15"/>
    <n v="535.78"/>
    <n v="3"/>
    <n v="1607.34"/>
    <n v="5"/>
    <n v="80.37"/>
    <n v="1526.97"/>
    <s v="Credit Card"/>
    <s v="CUST_00803"/>
    <n v="1"/>
    <n v="80.369999999999891"/>
    <n v="508.99"/>
    <s v="Low"/>
  </r>
  <r>
    <s v="TXN_03089"/>
    <d v="2024-01-29T00:00:00"/>
    <x v="2"/>
    <s v="Monday"/>
    <s v="STORE_005"/>
    <x v="4"/>
    <x v="7"/>
    <x v="28"/>
    <n v="399.8"/>
    <n v="6"/>
    <n v="2398.8000000000002"/>
    <n v="5"/>
    <n v="119.94"/>
    <n v="2278.86"/>
    <s v="Credit Card"/>
    <s v="CUST_00471"/>
    <n v="4"/>
    <n v="119.94000000000005"/>
    <n v="379.81"/>
    <s v="Low"/>
  </r>
  <r>
    <s v="TXN_03090"/>
    <d v="2024-11-22T00:00:00"/>
    <x v="0"/>
    <s v="Friday"/>
    <s v="STORE_006"/>
    <x v="0"/>
    <x v="3"/>
    <x v="16"/>
    <n v="922.18"/>
    <n v="5"/>
    <n v="4610.8999999999996"/>
    <n v="20"/>
    <n v="922.18"/>
    <n v="3688.72"/>
    <s v="Wallet"/>
    <s v="CUST_00971"/>
    <n v="5"/>
    <n v="922.17999999999984"/>
    <n v="737.74399999999991"/>
    <s v="High"/>
  </r>
  <r>
    <s v="TXN_03091"/>
    <d v="2024-01-05T00:00:00"/>
    <x v="2"/>
    <s v="Friday"/>
    <s v="STORE_034"/>
    <x v="1"/>
    <x v="7"/>
    <x v="38"/>
    <n v="301.45"/>
    <n v="9"/>
    <n v="2713.05"/>
    <n v="10"/>
    <n v="271.31"/>
    <n v="2441.7399999999998"/>
    <s v="Debit Card"/>
    <s v="CUST_00682"/>
    <n v="2"/>
    <n v="271.3100000000004"/>
    <n v="271.30444444444441"/>
    <s v="Medium"/>
  </r>
  <r>
    <s v="TXN_03092"/>
    <d v="2024-12-25T00:00:00"/>
    <x v="6"/>
    <s v="Wednesday"/>
    <s v="STORE_009"/>
    <x v="0"/>
    <x v="0"/>
    <x v="27"/>
    <n v="699.59"/>
    <n v="9"/>
    <n v="6296.31"/>
    <n v="20"/>
    <n v="1259.26"/>
    <n v="5037.05"/>
    <s v="UPI"/>
    <s v="CUST_00691"/>
    <n v="4"/>
    <n v="1259.2600000000002"/>
    <n v="559.67222222222222"/>
    <s v="High"/>
  </r>
  <r>
    <s v="TXN_03093"/>
    <d v="2024-03-28T00:00:00"/>
    <x v="5"/>
    <s v="Thursday"/>
    <s v="STORE_044"/>
    <x v="3"/>
    <x v="3"/>
    <x v="21"/>
    <n v="371.81"/>
    <n v="5"/>
    <n v="1859.05"/>
    <n v="10"/>
    <n v="185.91"/>
    <n v="1673.14"/>
    <s v="Credit Card"/>
    <s v="CUST_00972"/>
    <n v="4"/>
    <n v="185.90999999999985"/>
    <n v="334.62800000000004"/>
    <s v="Medium"/>
  </r>
  <r>
    <s v="TXN_03094"/>
    <d v="2024-02-12T00:00:00"/>
    <x v="1"/>
    <s v="Monday"/>
    <s v="STORE_039"/>
    <x v="0"/>
    <x v="3"/>
    <x v="5"/>
    <n v="2597.02"/>
    <n v="6"/>
    <n v="15582.12"/>
    <n v="0"/>
    <n v="0"/>
    <n v="15582.12"/>
    <s v="UPI"/>
    <s v="CUST_00130"/>
    <n v="1"/>
    <n v="0"/>
    <n v="2597.02"/>
    <s v="No Discount"/>
  </r>
  <r>
    <s v="TXN_03095"/>
    <d v="2024-09-12T00:00:00"/>
    <x v="9"/>
    <s v="Thursday"/>
    <s v="STORE_049"/>
    <x v="2"/>
    <x v="7"/>
    <x v="23"/>
    <n v="956.34"/>
    <n v="3"/>
    <n v="2869.02"/>
    <n v="0"/>
    <n v="0"/>
    <n v="2869.02"/>
    <s v="UPI"/>
    <s v="CUST_00539"/>
    <n v="2"/>
    <n v="0"/>
    <n v="956.34"/>
    <s v="No Discount"/>
  </r>
  <r>
    <s v="TXN_03096"/>
    <d v="2024-08-10T00:00:00"/>
    <x v="8"/>
    <s v="Saturday"/>
    <s v="STORE_010"/>
    <x v="0"/>
    <x v="0"/>
    <x v="32"/>
    <n v="297.25"/>
    <n v="7"/>
    <n v="2080.75"/>
    <n v="0"/>
    <n v="0"/>
    <n v="2080.75"/>
    <s v="Debit Card"/>
    <s v="CUST_00424"/>
    <n v="1"/>
    <n v="0"/>
    <n v="297.25"/>
    <s v="No Discount"/>
  </r>
  <r>
    <s v="TXN_03097"/>
    <d v="2024-11-26T00:00:00"/>
    <x v="0"/>
    <s v="Tuesday"/>
    <s v="STORE_033"/>
    <x v="0"/>
    <x v="2"/>
    <x v="2"/>
    <n v="583.19000000000005"/>
    <n v="7"/>
    <n v="4082.33"/>
    <n v="10"/>
    <n v="408.23"/>
    <n v="3674.1"/>
    <s v="Debit Card"/>
    <s v="CUST_00325"/>
    <n v="4"/>
    <n v="408.23"/>
    <n v="524.87142857142851"/>
    <s v="Medium"/>
  </r>
  <r>
    <s v="TXN_03098"/>
    <d v="2024-06-18T00:00:00"/>
    <x v="10"/>
    <s v="Tuesday"/>
    <s v="STORE_010"/>
    <x v="0"/>
    <x v="7"/>
    <x v="37"/>
    <n v="1317.14"/>
    <n v="7"/>
    <n v="9219.98"/>
    <n v="0"/>
    <n v="0"/>
    <n v="9219.98"/>
    <s v="Credit Card"/>
    <s v="CUST_00801"/>
    <n v="2"/>
    <n v="0"/>
    <n v="1317.1399999999999"/>
    <s v="No Discount"/>
  </r>
  <r>
    <s v="TXN_03099"/>
    <d v="2024-10-16T00:00:00"/>
    <x v="7"/>
    <s v="Wednesday"/>
    <s v="STORE_010"/>
    <x v="3"/>
    <x v="7"/>
    <x v="23"/>
    <n v="1181.01"/>
    <n v="3"/>
    <n v="3543.03"/>
    <n v="0"/>
    <n v="0"/>
    <n v="3543.03"/>
    <s v="Debit Card"/>
    <s v="CUST_00825"/>
    <n v="5"/>
    <n v="0"/>
    <n v="1181.01"/>
    <s v="No Discount"/>
  </r>
  <r>
    <s v="TXN_03100"/>
    <d v="2024-02-18T00:00:00"/>
    <x v="1"/>
    <s v="Sunday"/>
    <s v="STORE_017"/>
    <x v="4"/>
    <x v="1"/>
    <x v="36"/>
    <n v="128.66"/>
    <n v="10"/>
    <n v="1286.5999999999999"/>
    <n v="0"/>
    <n v="0"/>
    <n v="1286.5999999999999"/>
    <s v="UPI"/>
    <s v="CUST_00867"/>
    <n v="5"/>
    <n v="0"/>
    <n v="128.66"/>
    <s v="No Discount"/>
  </r>
  <r>
    <s v="TXN_03101"/>
    <d v="2024-09-27T00:00:00"/>
    <x v="9"/>
    <s v="Friday"/>
    <s v="STORE_049"/>
    <x v="1"/>
    <x v="4"/>
    <x v="20"/>
    <n v="571.33000000000004"/>
    <n v="6"/>
    <n v="3427.98"/>
    <n v="0"/>
    <n v="0"/>
    <n v="3427.98"/>
    <s v="Wallet"/>
    <s v="CUST_00265"/>
    <n v="4"/>
    <n v="0"/>
    <n v="571.33000000000004"/>
    <s v="No Discount"/>
  </r>
  <r>
    <s v="TXN_03102"/>
    <d v="2024-01-22T00:00:00"/>
    <x v="2"/>
    <s v="Monday"/>
    <s v="STORE_028"/>
    <x v="4"/>
    <x v="2"/>
    <x v="7"/>
    <n v="294.89"/>
    <n v="4"/>
    <n v="1179.56"/>
    <n v="20"/>
    <n v="235.91"/>
    <n v="943.65"/>
    <s v="UPI"/>
    <s v="CUST_00116"/>
    <n v="5"/>
    <n v="235.90999999999997"/>
    <n v="235.91249999999999"/>
    <s v="High"/>
  </r>
  <r>
    <s v="TXN_03103"/>
    <d v="2024-04-27T00:00:00"/>
    <x v="4"/>
    <s v="Saturday"/>
    <s v="STORE_017"/>
    <x v="2"/>
    <x v="7"/>
    <x v="28"/>
    <n v="670.93"/>
    <n v="4"/>
    <n v="2683.72"/>
    <n v="0"/>
    <n v="0"/>
    <n v="2683.72"/>
    <s v="Credit Card"/>
    <s v="CUST_00620"/>
    <n v="4"/>
    <n v="0"/>
    <n v="670.93"/>
    <s v="No Discount"/>
  </r>
  <r>
    <s v="TXN_03104"/>
    <d v="2024-04-18T00:00:00"/>
    <x v="4"/>
    <s v="Thursday"/>
    <s v="STORE_045"/>
    <x v="1"/>
    <x v="6"/>
    <x v="15"/>
    <n v="1342.89"/>
    <n v="8"/>
    <n v="10743.12"/>
    <n v="0"/>
    <n v="0"/>
    <n v="10743.12"/>
    <s v="Cash"/>
    <s v="CUST_00609"/>
    <n v="3"/>
    <n v="0"/>
    <n v="1342.89"/>
    <s v="No Discount"/>
  </r>
  <r>
    <s v="TXN_03105"/>
    <d v="2024-12-20T00:00:00"/>
    <x v="6"/>
    <s v="Friday"/>
    <s v="STORE_031"/>
    <x v="4"/>
    <x v="6"/>
    <x v="33"/>
    <n v="1547.9"/>
    <n v="3"/>
    <n v="4643.7"/>
    <n v="20"/>
    <n v="928.74"/>
    <n v="3714.96"/>
    <s v="UPI"/>
    <s v="CUST_00054"/>
    <n v="5"/>
    <n v="928.73999999999978"/>
    <n v="1238.32"/>
    <s v="High"/>
  </r>
  <r>
    <s v="TXN_03106"/>
    <d v="2024-10-17T00:00:00"/>
    <x v="7"/>
    <s v="Thursday"/>
    <s v="STORE_016"/>
    <x v="3"/>
    <x v="5"/>
    <x v="25"/>
    <n v="3308.51"/>
    <n v="3"/>
    <n v="9925.5300000000007"/>
    <n v="0"/>
    <n v="0"/>
    <n v="9925.5300000000007"/>
    <s v="Cash"/>
    <s v="CUST_00173"/>
    <n v="4"/>
    <n v="0"/>
    <n v="3308.51"/>
    <s v="No Discount"/>
  </r>
  <r>
    <s v="TXN_03107"/>
    <d v="2024-08-31T00:00:00"/>
    <x v="8"/>
    <s v="Saturday"/>
    <s v="STORE_010"/>
    <x v="0"/>
    <x v="7"/>
    <x v="37"/>
    <n v="514.29"/>
    <n v="7"/>
    <n v="3600.03"/>
    <n v="5"/>
    <n v="180"/>
    <n v="3420.03"/>
    <s v="Credit Card"/>
    <s v="CUST_00332"/>
    <n v="2"/>
    <n v="180"/>
    <n v="488.5757142857143"/>
    <s v="Low"/>
  </r>
  <r>
    <s v="TXN_03108"/>
    <d v="2024-05-18T00:00:00"/>
    <x v="3"/>
    <s v="Saturday"/>
    <s v="STORE_023"/>
    <x v="4"/>
    <x v="2"/>
    <x v="2"/>
    <n v="474.63"/>
    <n v="1"/>
    <n v="474.63"/>
    <n v="0"/>
    <n v="0"/>
    <n v="474.63"/>
    <s v="Wallet"/>
    <s v="CUST_00604"/>
    <n v="3"/>
    <n v="0"/>
    <n v="474.63"/>
    <s v="No Discount"/>
  </r>
  <r>
    <s v="TXN_03109"/>
    <d v="2024-01-24T00:00:00"/>
    <x v="2"/>
    <s v="Wednesday"/>
    <s v="STORE_039"/>
    <x v="1"/>
    <x v="1"/>
    <x v="1"/>
    <n v="396.3"/>
    <n v="8"/>
    <n v="3170.4"/>
    <n v="20"/>
    <n v="634.08000000000004"/>
    <n v="2536.3200000000002"/>
    <s v="Wallet"/>
    <s v="CUST_00501"/>
    <n v="2"/>
    <n v="634.07999999999993"/>
    <n v="317.04000000000002"/>
    <s v="High"/>
  </r>
  <r>
    <s v="TXN_03110"/>
    <d v="2024-02-08T00:00:00"/>
    <x v="1"/>
    <s v="Thursday"/>
    <s v="STORE_044"/>
    <x v="2"/>
    <x v="4"/>
    <x v="35"/>
    <n v="180.35"/>
    <n v="3"/>
    <n v="541.04999999999995"/>
    <n v="0"/>
    <n v="0"/>
    <n v="541.04999999999995"/>
    <s v="UPI"/>
    <s v="CUST_00076"/>
    <n v="3"/>
    <n v="0"/>
    <n v="180.35"/>
    <s v="No Discount"/>
  </r>
  <r>
    <s v="TXN_03111"/>
    <d v="2024-12-16T00:00:00"/>
    <x v="6"/>
    <s v="Monday"/>
    <s v="STORE_046"/>
    <x v="4"/>
    <x v="7"/>
    <x v="37"/>
    <n v="1110.5"/>
    <n v="7"/>
    <n v="7773.5"/>
    <n v="5"/>
    <n v="388.68"/>
    <n v="7384.82"/>
    <s v="Credit Card"/>
    <s v="CUST_00436"/>
    <n v="2"/>
    <n v="388.68000000000029"/>
    <n v="1054.9742857142858"/>
    <s v="Low"/>
  </r>
  <r>
    <s v="TXN_03112"/>
    <d v="2024-05-23T00:00:00"/>
    <x v="3"/>
    <s v="Thursday"/>
    <s v="STORE_007"/>
    <x v="0"/>
    <x v="5"/>
    <x v="25"/>
    <n v="2571.7800000000002"/>
    <n v="8"/>
    <n v="20574.240000000002"/>
    <n v="20"/>
    <n v="4114.8500000000004"/>
    <n v="16459.39"/>
    <s v="UPI"/>
    <s v="CUST_00374"/>
    <n v="1"/>
    <n v="4114.8500000000022"/>
    <n v="2057.4237499999999"/>
    <s v="High"/>
  </r>
  <r>
    <s v="TXN_03113"/>
    <d v="2024-10-05T00:00:00"/>
    <x v="7"/>
    <s v="Saturday"/>
    <s v="STORE_003"/>
    <x v="1"/>
    <x v="2"/>
    <x v="29"/>
    <n v="243.7"/>
    <n v="1"/>
    <n v="243.7"/>
    <n v="20"/>
    <n v="48.74"/>
    <n v="194.96"/>
    <s v="Credit Card"/>
    <s v="CUST_00408"/>
    <n v="5"/>
    <n v="48.739999999999981"/>
    <n v="194.96"/>
    <s v="High"/>
  </r>
  <r>
    <s v="TXN_03114"/>
    <d v="2024-10-15T00:00:00"/>
    <x v="7"/>
    <s v="Tuesday"/>
    <s v="STORE_011"/>
    <x v="1"/>
    <x v="3"/>
    <x v="21"/>
    <n v="2280.7199999999998"/>
    <n v="9"/>
    <n v="20526.48"/>
    <n v="15"/>
    <n v="3078.97"/>
    <n v="17447.509999999998"/>
    <s v="Debit Card"/>
    <s v="CUST_00653"/>
    <n v="5"/>
    <n v="3078.9700000000012"/>
    <n v="1938.612222222222"/>
    <s v="Medium"/>
  </r>
  <r>
    <s v="TXN_03115"/>
    <d v="2024-12-02T00:00:00"/>
    <x v="6"/>
    <s v="Monday"/>
    <s v="STORE_031"/>
    <x v="4"/>
    <x v="5"/>
    <x v="10"/>
    <n v="2865.35"/>
    <n v="3"/>
    <n v="8596.0499999999993"/>
    <n v="20"/>
    <n v="1719.21"/>
    <n v="6876.84"/>
    <s v="Credit Card"/>
    <s v="CUST_00538"/>
    <n v="1"/>
    <n v="1719.2099999999991"/>
    <n v="2292.2800000000002"/>
    <s v="High"/>
  </r>
  <r>
    <s v="TXN_03116"/>
    <d v="2024-01-17T00:00:00"/>
    <x v="2"/>
    <s v="Wednesday"/>
    <s v="STORE_049"/>
    <x v="1"/>
    <x v="3"/>
    <x v="21"/>
    <n v="680.94"/>
    <n v="8"/>
    <n v="5447.52"/>
    <n v="0"/>
    <n v="0"/>
    <n v="5447.52"/>
    <s v="UPI"/>
    <s v="CUST_00558"/>
    <n v="3"/>
    <n v="0"/>
    <n v="680.94"/>
    <s v="No Discount"/>
  </r>
  <r>
    <s v="TXN_03117"/>
    <d v="2024-04-01T00:00:00"/>
    <x v="4"/>
    <s v="Monday"/>
    <s v="STORE_040"/>
    <x v="3"/>
    <x v="4"/>
    <x v="20"/>
    <n v="232.75"/>
    <n v="8"/>
    <n v="1862"/>
    <n v="0"/>
    <n v="0"/>
    <n v="1862"/>
    <s v="Credit Card"/>
    <s v="CUST_00866"/>
    <n v="1"/>
    <n v="0"/>
    <n v="232.75"/>
    <s v="No Discount"/>
  </r>
  <r>
    <s v="TXN_03118"/>
    <d v="2024-06-10T00:00:00"/>
    <x v="10"/>
    <s v="Monday"/>
    <s v="STORE_028"/>
    <x v="0"/>
    <x v="6"/>
    <x v="26"/>
    <n v="942.39"/>
    <n v="9"/>
    <n v="8481.51"/>
    <n v="5"/>
    <n v="424.08"/>
    <n v="8057.43"/>
    <s v="Cash"/>
    <s v="CUST_00502"/>
    <n v="1"/>
    <n v="424.07999999999993"/>
    <n v="895.27"/>
    <s v="Low"/>
  </r>
  <r>
    <s v="TXN_03119"/>
    <d v="2024-01-09T00:00:00"/>
    <x v="2"/>
    <s v="Tuesday"/>
    <s v="STORE_047"/>
    <x v="1"/>
    <x v="0"/>
    <x v="0"/>
    <n v="703.38"/>
    <n v="6"/>
    <n v="4220.28"/>
    <n v="0"/>
    <n v="0"/>
    <n v="4220.28"/>
    <s v="Debit Card"/>
    <s v="CUST_00362"/>
    <n v="5"/>
    <n v="0"/>
    <n v="703.38"/>
    <s v="No Discount"/>
  </r>
  <r>
    <s v="TXN_03120"/>
    <d v="2024-04-16T00:00:00"/>
    <x v="4"/>
    <s v="Tuesday"/>
    <s v="STORE_003"/>
    <x v="4"/>
    <x v="4"/>
    <x v="8"/>
    <n v="457.99"/>
    <n v="1"/>
    <n v="457.99"/>
    <n v="0"/>
    <n v="0"/>
    <n v="457.99"/>
    <s v="Cash"/>
    <s v="CUST_00118"/>
    <n v="1"/>
    <n v="0"/>
    <n v="457.99"/>
    <s v="No Discount"/>
  </r>
  <r>
    <s v="TXN_03121"/>
    <d v="2024-10-27T00:00:00"/>
    <x v="7"/>
    <s v="Sunday"/>
    <s v="STORE_014"/>
    <x v="2"/>
    <x v="2"/>
    <x v="7"/>
    <n v="638.01"/>
    <n v="3"/>
    <n v="1914.03"/>
    <n v="0"/>
    <n v="0"/>
    <n v="1914.03"/>
    <s v="UPI"/>
    <s v="CUST_00014"/>
    <n v="2"/>
    <n v="0"/>
    <n v="638.01"/>
    <s v="No Discount"/>
  </r>
  <r>
    <s v="TXN_03122"/>
    <d v="2024-03-14T00:00:00"/>
    <x v="5"/>
    <s v="Thursday"/>
    <s v="STORE_021"/>
    <x v="2"/>
    <x v="3"/>
    <x v="5"/>
    <n v="230.06"/>
    <n v="8"/>
    <n v="1840.48"/>
    <n v="0"/>
    <n v="0"/>
    <n v="1840.48"/>
    <s v="Debit Card"/>
    <s v="CUST_00158"/>
    <n v="2"/>
    <n v="0"/>
    <n v="230.06"/>
    <s v="No Discount"/>
  </r>
  <r>
    <s v="TXN_03123"/>
    <d v="2024-12-30T00:00:00"/>
    <x v="6"/>
    <s v="Monday"/>
    <s v="STORE_041"/>
    <x v="1"/>
    <x v="3"/>
    <x v="21"/>
    <n v="2175.09"/>
    <n v="4"/>
    <n v="8700.36"/>
    <n v="15"/>
    <n v="1305.05"/>
    <n v="7395.31"/>
    <s v="Cash"/>
    <s v="CUST_00203"/>
    <n v="2"/>
    <n v="1305.0500000000002"/>
    <n v="1848.8275000000001"/>
    <s v="Medium"/>
  </r>
  <r>
    <s v="TXN_03124"/>
    <d v="2024-07-22T00:00:00"/>
    <x v="11"/>
    <s v="Monday"/>
    <s v="STORE_010"/>
    <x v="4"/>
    <x v="1"/>
    <x v="6"/>
    <n v="413.1"/>
    <n v="10"/>
    <n v="4131"/>
    <n v="0"/>
    <n v="0"/>
    <n v="4131"/>
    <s v="UPI"/>
    <s v="CUST_00031"/>
    <n v="5"/>
    <n v="0"/>
    <n v="413.1"/>
    <s v="No Discount"/>
  </r>
  <r>
    <s v="TXN_03125"/>
    <d v="2024-02-09T00:00:00"/>
    <x v="1"/>
    <s v="Friday"/>
    <s v="STORE_040"/>
    <x v="3"/>
    <x v="7"/>
    <x v="37"/>
    <n v="1151.3599999999999"/>
    <n v="4"/>
    <n v="4605.4399999999996"/>
    <n v="0"/>
    <n v="0"/>
    <n v="4605.4399999999996"/>
    <s v="UPI"/>
    <s v="CUST_00857"/>
    <n v="4"/>
    <n v="0"/>
    <n v="1151.3599999999999"/>
    <s v="No Discount"/>
  </r>
  <r>
    <s v="TXN_03126"/>
    <d v="2024-06-02T00:00:00"/>
    <x v="10"/>
    <s v="Sunday"/>
    <s v="STORE_024"/>
    <x v="1"/>
    <x v="1"/>
    <x v="6"/>
    <n v="54.16"/>
    <n v="4"/>
    <n v="216.64"/>
    <n v="20"/>
    <n v="43.33"/>
    <n v="173.31"/>
    <s v="Credit Card"/>
    <s v="CUST_00932"/>
    <n v="3"/>
    <n v="43.329999999999984"/>
    <n v="43.327500000000001"/>
    <s v="High"/>
  </r>
  <r>
    <s v="TXN_03127"/>
    <d v="2024-03-24T00:00:00"/>
    <x v="5"/>
    <s v="Sunday"/>
    <s v="STORE_017"/>
    <x v="4"/>
    <x v="2"/>
    <x v="2"/>
    <n v="760.01"/>
    <n v="7"/>
    <n v="5320.07"/>
    <n v="0"/>
    <n v="0"/>
    <n v="5320.07"/>
    <s v="UPI"/>
    <s v="CUST_00476"/>
    <n v="4"/>
    <n v="0"/>
    <n v="760.01"/>
    <s v="No Discount"/>
  </r>
  <r>
    <s v="TXN_03128"/>
    <d v="2024-10-15T00:00:00"/>
    <x v="7"/>
    <s v="Tuesday"/>
    <s v="STORE_002"/>
    <x v="2"/>
    <x v="6"/>
    <x v="30"/>
    <n v="1528.66"/>
    <n v="5"/>
    <n v="7643.3"/>
    <n v="0"/>
    <n v="0"/>
    <n v="7643.3"/>
    <s v="Cash"/>
    <s v="CUST_00338"/>
    <n v="5"/>
    <n v="0"/>
    <n v="1528.66"/>
    <s v="No Discount"/>
  </r>
  <r>
    <s v="TXN_03129"/>
    <d v="2024-05-03T00:00:00"/>
    <x v="3"/>
    <s v="Friday"/>
    <s v="STORE_034"/>
    <x v="2"/>
    <x v="7"/>
    <x v="37"/>
    <n v="788.66"/>
    <n v="3"/>
    <n v="2365.98"/>
    <n v="10"/>
    <n v="236.6"/>
    <n v="2129.38"/>
    <s v="UPI"/>
    <s v="CUST_00601"/>
    <n v="2"/>
    <n v="236.59999999999991"/>
    <n v="709.79333333333341"/>
    <s v="Medium"/>
  </r>
  <r>
    <s v="TXN_03130"/>
    <d v="2024-10-17T00:00:00"/>
    <x v="7"/>
    <s v="Thursday"/>
    <s v="STORE_042"/>
    <x v="4"/>
    <x v="5"/>
    <x v="25"/>
    <n v="1383.57"/>
    <n v="6"/>
    <n v="8301.42"/>
    <n v="0"/>
    <n v="0"/>
    <n v="8301.42"/>
    <s v="Cash"/>
    <s v="CUST_00988"/>
    <n v="1"/>
    <n v="0"/>
    <n v="1383.57"/>
    <s v="No Discount"/>
  </r>
  <r>
    <s v="TXN_03131"/>
    <d v="2024-07-18T00:00:00"/>
    <x v="11"/>
    <s v="Thursday"/>
    <s v="STORE_022"/>
    <x v="0"/>
    <x v="0"/>
    <x v="27"/>
    <n v="658.52"/>
    <n v="7"/>
    <n v="4609.6400000000003"/>
    <n v="0"/>
    <n v="0"/>
    <n v="4609.6400000000003"/>
    <s v="Debit Card"/>
    <s v="CUST_00726"/>
    <n v="1"/>
    <n v="0"/>
    <n v="658.5200000000001"/>
    <s v="No Discount"/>
  </r>
  <r>
    <s v="TXN_03132"/>
    <d v="2024-12-12T00:00:00"/>
    <x v="6"/>
    <s v="Thursday"/>
    <s v="STORE_043"/>
    <x v="4"/>
    <x v="4"/>
    <x v="35"/>
    <n v="221.91"/>
    <n v="4"/>
    <n v="887.64"/>
    <n v="15"/>
    <n v="133.15"/>
    <n v="754.49"/>
    <s v="Debit Card"/>
    <s v="CUST_00958"/>
    <n v="2"/>
    <n v="133.14999999999998"/>
    <n v="188.6225"/>
    <s v="Medium"/>
  </r>
  <r>
    <s v="TXN_03133"/>
    <d v="2024-10-03T00:00:00"/>
    <x v="7"/>
    <s v="Thursday"/>
    <s v="STORE_041"/>
    <x v="1"/>
    <x v="6"/>
    <x v="15"/>
    <n v="1254.82"/>
    <n v="9"/>
    <n v="11293.38"/>
    <n v="0"/>
    <n v="0"/>
    <n v="11293.38"/>
    <s v="UPI"/>
    <s v="CUST_00241"/>
    <n v="4"/>
    <n v="0"/>
    <n v="1254.82"/>
    <s v="No Discount"/>
  </r>
  <r>
    <s v="TXN_03134"/>
    <d v="2024-06-18T00:00:00"/>
    <x v="10"/>
    <s v="Tuesday"/>
    <s v="STORE_022"/>
    <x v="0"/>
    <x v="4"/>
    <x v="35"/>
    <n v="483.08"/>
    <n v="5"/>
    <n v="2415.4"/>
    <n v="5"/>
    <n v="120.77"/>
    <n v="2294.63"/>
    <s v="UPI"/>
    <s v="CUST_00611"/>
    <n v="2"/>
    <n v="120.76999999999998"/>
    <n v="458.92600000000004"/>
    <s v="Low"/>
  </r>
  <r>
    <s v="TXN_03135"/>
    <d v="2024-07-15T00:00:00"/>
    <x v="11"/>
    <s v="Monday"/>
    <s v="STORE_021"/>
    <x v="1"/>
    <x v="4"/>
    <x v="8"/>
    <n v="497.21"/>
    <n v="2"/>
    <n v="994.42"/>
    <n v="0"/>
    <n v="0"/>
    <n v="994.42"/>
    <s v="Cash"/>
    <s v="CUST_00519"/>
    <n v="2"/>
    <n v="0"/>
    <n v="497.21"/>
    <s v="No Discount"/>
  </r>
  <r>
    <s v="TXN_03136"/>
    <d v="2024-03-12T00:00:00"/>
    <x v="5"/>
    <s v="Tuesday"/>
    <s v="STORE_026"/>
    <x v="2"/>
    <x v="0"/>
    <x v="0"/>
    <n v="570.41"/>
    <n v="9"/>
    <n v="5133.6899999999996"/>
    <n v="10"/>
    <n v="513.37"/>
    <n v="4620.32"/>
    <s v="Wallet"/>
    <s v="CUST_00227"/>
    <n v="2"/>
    <n v="513.36999999999989"/>
    <n v="513.36888888888882"/>
    <s v="Medium"/>
  </r>
  <r>
    <s v="TXN_03137"/>
    <d v="2024-12-18T00:00:00"/>
    <x v="6"/>
    <s v="Wednesday"/>
    <s v="STORE_017"/>
    <x v="1"/>
    <x v="7"/>
    <x v="37"/>
    <n v="631.63"/>
    <n v="10"/>
    <n v="6316.3"/>
    <n v="0"/>
    <n v="0"/>
    <n v="6316.3"/>
    <s v="Debit Card"/>
    <s v="CUST_00822"/>
    <n v="1"/>
    <n v="0"/>
    <n v="631.63"/>
    <s v="No Discount"/>
  </r>
  <r>
    <s v="TXN_03138"/>
    <d v="2024-02-10T00:00:00"/>
    <x v="1"/>
    <s v="Saturday"/>
    <s v="STORE_009"/>
    <x v="0"/>
    <x v="6"/>
    <x v="26"/>
    <n v="1206.33"/>
    <n v="9"/>
    <n v="10856.97"/>
    <n v="5"/>
    <n v="542.85"/>
    <n v="10314.120000000001"/>
    <s v="Credit Card"/>
    <s v="CUST_00624"/>
    <n v="3"/>
    <n v="542.84999999999854"/>
    <n v="1146.0133333333333"/>
    <s v="Low"/>
  </r>
  <r>
    <s v="TXN_03139"/>
    <d v="2024-09-13T00:00:00"/>
    <x v="9"/>
    <s v="Friday"/>
    <s v="STORE_039"/>
    <x v="0"/>
    <x v="3"/>
    <x v="22"/>
    <n v="2880.38"/>
    <n v="6"/>
    <n v="17282.28"/>
    <n v="15"/>
    <n v="2592.34"/>
    <n v="14689.94"/>
    <s v="Cash"/>
    <s v="CUST_00047"/>
    <n v="3"/>
    <n v="2592.3399999999983"/>
    <n v="2448.3233333333333"/>
    <s v="Medium"/>
  </r>
  <r>
    <s v="TXN_03140"/>
    <d v="2024-06-26T00:00:00"/>
    <x v="10"/>
    <s v="Wednesday"/>
    <s v="STORE_039"/>
    <x v="4"/>
    <x v="4"/>
    <x v="35"/>
    <n v="403.59"/>
    <n v="8"/>
    <n v="3228.72"/>
    <n v="0"/>
    <n v="0"/>
    <n v="3228.72"/>
    <s v="UPI"/>
    <s v="CUST_00874"/>
    <n v="4"/>
    <n v="0"/>
    <n v="403.59"/>
    <s v="No Discount"/>
  </r>
  <r>
    <s v="TXN_03141"/>
    <d v="2024-01-28T00:00:00"/>
    <x v="2"/>
    <s v="Sunday"/>
    <s v="STORE_002"/>
    <x v="1"/>
    <x v="7"/>
    <x v="28"/>
    <n v="1116.74"/>
    <n v="8"/>
    <n v="8933.92"/>
    <n v="10"/>
    <n v="893.39"/>
    <n v="8040.53"/>
    <s v="Wallet"/>
    <s v="CUST_00777"/>
    <n v="2"/>
    <n v="893.39000000000033"/>
    <n v="1005.06625"/>
    <s v="Medium"/>
  </r>
  <r>
    <s v="TXN_03142"/>
    <d v="2024-02-20T00:00:00"/>
    <x v="1"/>
    <s v="Tuesday"/>
    <s v="STORE_050"/>
    <x v="2"/>
    <x v="4"/>
    <x v="19"/>
    <n v="335.25"/>
    <n v="3"/>
    <n v="1005.75"/>
    <n v="5"/>
    <n v="50.29"/>
    <n v="955.46"/>
    <s v="Cash"/>
    <s v="CUST_00090"/>
    <n v="3"/>
    <n v="50.289999999999964"/>
    <n v="318.48666666666668"/>
    <s v="Low"/>
  </r>
  <r>
    <s v="TXN_03143"/>
    <d v="2024-08-11T00:00:00"/>
    <x v="8"/>
    <s v="Sunday"/>
    <s v="STORE_003"/>
    <x v="2"/>
    <x v="0"/>
    <x v="18"/>
    <n v="639.59"/>
    <n v="6"/>
    <n v="3837.54"/>
    <n v="10"/>
    <n v="383.75"/>
    <n v="3453.79"/>
    <s v="Wallet"/>
    <s v="CUST_00900"/>
    <n v="4"/>
    <n v="383.75"/>
    <n v="575.63166666666666"/>
    <s v="Medium"/>
  </r>
  <r>
    <s v="TXN_03144"/>
    <d v="2024-04-28T00:00:00"/>
    <x v="4"/>
    <s v="Sunday"/>
    <s v="STORE_039"/>
    <x v="3"/>
    <x v="4"/>
    <x v="20"/>
    <n v="231.69"/>
    <n v="4"/>
    <n v="926.76"/>
    <n v="0"/>
    <n v="0"/>
    <n v="926.76"/>
    <s v="UPI"/>
    <s v="CUST_00063"/>
    <n v="5"/>
    <n v="0"/>
    <n v="231.69"/>
    <s v="No Discount"/>
  </r>
  <r>
    <s v="TXN_03145"/>
    <d v="2024-02-08T00:00:00"/>
    <x v="1"/>
    <s v="Thursday"/>
    <s v="STORE_043"/>
    <x v="4"/>
    <x v="6"/>
    <x v="26"/>
    <n v="793.64"/>
    <n v="8"/>
    <n v="6349.12"/>
    <n v="5"/>
    <n v="317.45999999999998"/>
    <n v="6031.66"/>
    <s v="Credit Card"/>
    <s v="CUST_00651"/>
    <n v="2"/>
    <n v="317.46000000000004"/>
    <n v="753.95749999999998"/>
    <s v="Low"/>
  </r>
  <r>
    <s v="TXN_03146"/>
    <d v="2024-06-23T00:00:00"/>
    <x v="10"/>
    <s v="Sunday"/>
    <s v="STORE_048"/>
    <x v="2"/>
    <x v="3"/>
    <x v="21"/>
    <n v="2123.21"/>
    <n v="8"/>
    <n v="16985.68"/>
    <n v="0"/>
    <n v="0"/>
    <n v="16985.68"/>
    <s v="UPI"/>
    <s v="CUST_00766"/>
    <n v="1"/>
    <n v="0"/>
    <n v="2123.21"/>
    <s v="No Discount"/>
  </r>
  <r>
    <s v="TXN_03147"/>
    <d v="2024-11-05T00:00:00"/>
    <x v="0"/>
    <s v="Tuesday"/>
    <s v="STORE_030"/>
    <x v="2"/>
    <x v="3"/>
    <x v="16"/>
    <n v="1892.03"/>
    <n v="8"/>
    <n v="15136.24"/>
    <n v="10"/>
    <n v="1513.62"/>
    <n v="13622.62"/>
    <s v="Wallet"/>
    <s v="CUST_00649"/>
    <n v="2"/>
    <n v="1513.619999999999"/>
    <n v="1702.8275000000001"/>
    <s v="Medium"/>
  </r>
  <r>
    <s v="TXN_03148"/>
    <d v="2024-11-10T00:00:00"/>
    <x v="0"/>
    <s v="Sunday"/>
    <s v="STORE_048"/>
    <x v="4"/>
    <x v="4"/>
    <x v="19"/>
    <n v="570.77"/>
    <n v="4"/>
    <n v="2283.08"/>
    <n v="0"/>
    <n v="0"/>
    <n v="2283.08"/>
    <s v="Wallet"/>
    <s v="CUST_00904"/>
    <n v="4"/>
    <n v="0"/>
    <n v="570.77"/>
    <s v="No Discount"/>
  </r>
  <r>
    <s v="TXN_03149"/>
    <d v="2024-10-31T00:00:00"/>
    <x v="7"/>
    <s v="Thursday"/>
    <s v="STORE_026"/>
    <x v="4"/>
    <x v="4"/>
    <x v="20"/>
    <n v="381.01"/>
    <n v="9"/>
    <n v="3429.09"/>
    <n v="20"/>
    <n v="685.82"/>
    <n v="2743.27"/>
    <s v="Wallet"/>
    <s v="CUST_00668"/>
    <n v="5"/>
    <n v="685.82000000000016"/>
    <n v="304.8077777777778"/>
    <s v="High"/>
  </r>
  <r>
    <s v="TXN_03150"/>
    <d v="2024-07-22T00:00:00"/>
    <x v="11"/>
    <s v="Monday"/>
    <s v="STORE_030"/>
    <x v="3"/>
    <x v="7"/>
    <x v="23"/>
    <n v="1227.56"/>
    <n v="5"/>
    <n v="6137.8"/>
    <n v="20"/>
    <n v="1227.56"/>
    <n v="4910.24"/>
    <s v="Debit Card"/>
    <s v="CUST_00714"/>
    <n v="5"/>
    <n v="1227.5600000000004"/>
    <n v="982.048"/>
    <s v="High"/>
  </r>
  <r>
    <s v="TXN_03151"/>
    <d v="2024-06-16T00:00:00"/>
    <x v="10"/>
    <s v="Sunday"/>
    <s v="STORE_016"/>
    <x v="3"/>
    <x v="3"/>
    <x v="21"/>
    <n v="2192.94"/>
    <n v="10"/>
    <n v="21929.4"/>
    <n v="0"/>
    <n v="0"/>
    <n v="21929.4"/>
    <s v="Credit Card"/>
    <s v="CUST_00602"/>
    <n v="4"/>
    <n v="0"/>
    <n v="2192.94"/>
    <s v="No Discount"/>
  </r>
  <r>
    <s v="TXN_03152"/>
    <d v="2024-01-16T00:00:00"/>
    <x v="2"/>
    <s v="Tuesday"/>
    <s v="STORE_021"/>
    <x v="3"/>
    <x v="2"/>
    <x v="7"/>
    <n v="507.67"/>
    <n v="10"/>
    <n v="5076.7"/>
    <n v="20"/>
    <n v="1015.34"/>
    <n v="4061.36"/>
    <s v="Cash"/>
    <s v="CUST_00701"/>
    <n v="3"/>
    <n v="1015.3399999999997"/>
    <n v="406.13600000000002"/>
    <s v="High"/>
  </r>
  <r>
    <s v="TXN_03153"/>
    <d v="2024-11-20T00:00:00"/>
    <x v="0"/>
    <s v="Wednesday"/>
    <s v="STORE_011"/>
    <x v="3"/>
    <x v="2"/>
    <x v="39"/>
    <n v="293.97000000000003"/>
    <n v="1"/>
    <n v="293.97000000000003"/>
    <n v="5"/>
    <n v="14.7"/>
    <n v="279.27"/>
    <s v="UPI"/>
    <s v="CUST_00139"/>
    <n v="5"/>
    <n v="14.700000000000045"/>
    <n v="279.27"/>
    <s v="Low"/>
  </r>
  <r>
    <s v="TXN_03154"/>
    <d v="2024-05-19T00:00:00"/>
    <x v="3"/>
    <s v="Sunday"/>
    <s v="STORE_037"/>
    <x v="2"/>
    <x v="0"/>
    <x v="32"/>
    <n v="427.85"/>
    <n v="4"/>
    <n v="1711.4"/>
    <n v="0"/>
    <n v="0"/>
    <n v="1711.4"/>
    <s v="UPI"/>
    <s v="CUST_00706"/>
    <n v="3"/>
    <n v="0"/>
    <n v="427.85"/>
    <s v="No Discount"/>
  </r>
  <r>
    <s v="TXN_03155"/>
    <d v="2024-08-18T00:00:00"/>
    <x v="8"/>
    <s v="Sunday"/>
    <s v="STORE_042"/>
    <x v="4"/>
    <x v="0"/>
    <x v="18"/>
    <n v="949.35"/>
    <n v="5"/>
    <n v="4746.75"/>
    <n v="0"/>
    <n v="0"/>
    <n v="4746.75"/>
    <s v="Cash"/>
    <s v="CUST_00215"/>
    <n v="5"/>
    <n v="0"/>
    <n v="949.35"/>
    <s v="No Discount"/>
  </r>
  <r>
    <s v="TXN_03156"/>
    <d v="2024-09-08T00:00:00"/>
    <x v="9"/>
    <s v="Sunday"/>
    <s v="STORE_028"/>
    <x v="1"/>
    <x v="4"/>
    <x v="17"/>
    <n v="483.35"/>
    <n v="8"/>
    <n v="3866.8"/>
    <n v="20"/>
    <n v="773.36"/>
    <n v="3093.44"/>
    <s v="Wallet"/>
    <s v="CUST_00519"/>
    <n v="5"/>
    <n v="773.36000000000013"/>
    <n v="386.68"/>
    <s v="High"/>
  </r>
  <r>
    <s v="TXN_03157"/>
    <d v="2024-04-26T00:00:00"/>
    <x v="4"/>
    <s v="Friday"/>
    <s v="STORE_027"/>
    <x v="4"/>
    <x v="4"/>
    <x v="19"/>
    <n v="378.32"/>
    <n v="4"/>
    <n v="1513.28"/>
    <n v="15"/>
    <n v="226.99"/>
    <n v="1286.29"/>
    <s v="UPI"/>
    <s v="CUST_00074"/>
    <n v="3"/>
    <n v="226.99"/>
    <n v="321.57249999999999"/>
    <s v="Medium"/>
  </r>
  <r>
    <s v="TXN_03158"/>
    <d v="2024-07-01T00:00:00"/>
    <x v="11"/>
    <s v="Monday"/>
    <s v="STORE_045"/>
    <x v="0"/>
    <x v="0"/>
    <x v="4"/>
    <n v="621"/>
    <n v="4"/>
    <n v="2484"/>
    <n v="0"/>
    <n v="0"/>
    <n v="2484"/>
    <s v="Credit Card"/>
    <s v="CUST_00059"/>
    <n v="4"/>
    <n v="0"/>
    <n v="621"/>
    <s v="No Discount"/>
  </r>
  <r>
    <s v="TXN_03159"/>
    <d v="2024-10-10T00:00:00"/>
    <x v="7"/>
    <s v="Thursday"/>
    <s v="STORE_044"/>
    <x v="0"/>
    <x v="1"/>
    <x v="36"/>
    <n v="412.87"/>
    <n v="8"/>
    <n v="3302.96"/>
    <n v="5"/>
    <n v="165.15"/>
    <n v="3137.81"/>
    <s v="UPI"/>
    <s v="CUST_00324"/>
    <n v="1"/>
    <n v="165.15000000000009"/>
    <n v="392.22624999999999"/>
    <s v="Low"/>
  </r>
  <r>
    <s v="TXN_03160"/>
    <d v="2024-07-11T00:00:00"/>
    <x v="11"/>
    <s v="Thursday"/>
    <s v="STORE_011"/>
    <x v="0"/>
    <x v="6"/>
    <x v="30"/>
    <n v="1237.8900000000001"/>
    <n v="9"/>
    <n v="11141.01"/>
    <n v="0"/>
    <n v="0"/>
    <n v="11141.01"/>
    <s v="UPI"/>
    <s v="CUST_00196"/>
    <n v="5"/>
    <n v="0"/>
    <n v="1237.8900000000001"/>
    <s v="No Discount"/>
  </r>
  <r>
    <s v="TXN_03161"/>
    <d v="2024-08-09T00:00:00"/>
    <x v="8"/>
    <s v="Friday"/>
    <s v="STORE_038"/>
    <x v="4"/>
    <x v="3"/>
    <x v="16"/>
    <n v="1100.33"/>
    <n v="1"/>
    <n v="1100.33"/>
    <n v="0"/>
    <n v="0"/>
    <n v="1100.33"/>
    <s v="Debit Card"/>
    <s v="CUST_00619"/>
    <n v="4"/>
    <n v="0"/>
    <n v="1100.33"/>
    <s v="No Discount"/>
  </r>
  <r>
    <s v="TXN_03162"/>
    <d v="2024-04-05T00:00:00"/>
    <x v="4"/>
    <s v="Friday"/>
    <s v="STORE_015"/>
    <x v="2"/>
    <x v="4"/>
    <x v="20"/>
    <n v="579.27"/>
    <n v="6"/>
    <n v="3475.62"/>
    <n v="15"/>
    <n v="521.34"/>
    <n v="2954.28"/>
    <s v="Credit Card"/>
    <s v="CUST_00784"/>
    <n v="2"/>
    <n v="521.33999999999969"/>
    <n v="492.38000000000005"/>
    <s v="Medium"/>
  </r>
  <r>
    <s v="TXN_03163"/>
    <d v="2024-12-14T00:00:00"/>
    <x v="6"/>
    <s v="Saturday"/>
    <s v="STORE_045"/>
    <x v="1"/>
    <x v="5"/>
    <x v="9"/>
    <n v="2260.2399999999998"/>
    <n v="3"/>
    <n v="6780.72"/>
    <n v="5"/>
    <n v="339.04"/>
    <n v="6441.68"/>
    <s v="Debit Card"/>
    <s v="CUST_00829"/>
    <n v="3"/>
    <n v="339.03999999999996"/>
    <n v="2147.2266666666669"/>
    <s v="Low"/>
  </r>
  <r>
    <s v="TXN_03164"/>
    <d v="2024-10-26T00:00:00"/>
    <x v="7"/>
    <s v="Saturday"/>
    <s v="STORE_013"/>
    <x v="0"/>
    <x v="7"/>
    <x v="24"/>
    <n v="1047.68"/>
    <n v="3"/>
    <n v="3143.04"/>
    <n v="0"/>
    <n v="0"/>
    <n v="3143.04"/>
    <s v="Wallet"/>
    <s v="CUST_00992"/>
    <n v="1"/>
    <n v="0"/>
    <n v="1047.68"/>
    <s v="No Discount"/>
  </r>
  <r>
    <s v="TXN_03165"/>
    <d v="2024-12-04T00:00:00"/>
    <x v="6"/>
    <s v="Wednesday"/>
    <s v="STORE_040"/>
    <x v="1"/>
    <x v="5"/>
    <x v="11"/>
    <n v="2071.35"/>
    <n v="8"/>
    <n v="16570.8"/>
    <n v="0"/>
    <n v="0"/>
    <n v="16570.8"/>
    <s v="Cash"/>
    <s v="CUST_00908"/>
    <n v="4"/>
    <n v="0"/>
    <n v="2071.35"/>
    <s v="No Discount"/>
  </r>
  <r>
    <s v="TXN_03166"/>
    <d v="2024-07-13T00:00:00"/>
    <x v="11"/>
    <s v="Saturday"/>
    <s v="STORE_045"/>
    <x v="3"/>
    <x v="6"/>
    <x v="26"/>
    <n v="864.54"/>
    <n v="6"/>
    <n v="5187.24"/>
    <n v="0"/>
    <n v="0"/>
    <n v="5187.24"/>
    <s v="Cash"/>
    <s v="CUST_00043"/>
    <n v="3"/>
    <n v="0"/>
    <n v="864.54"/>
    <s v="No Discount"/>
  </r>
  <r>
    <s v="TXN_03167"/>
    <d v="2024-02-13T00:00:00"/>
    <x v="1"/>
    <s v="Tuesday"/>
    <s v="STORE_013"/>
    <x v="3"/>
    <x v="5"/>
    <x v="34"/>
    <n v="1163.82"/>
    <n v="2"/>
    <n v="2327.64"/>
    <n v="5"/>
    <n v="116.38"/>
    <n v="2211.2600000000002"/>
    <s v="Cash"/>
    <s v="CUST_00998"/>
    <n v="1"/>
    <n v="116.37999999999965"/>
    <n v="1105.6300000000001"/>
    <s v="Low"/>
  </r>
  <r>
    <s v="TXN_03168"/>
    <d v="2024-11-12T00:00:00"/>
    <x v="0"/>
    <s v="Tuesday"/>
    <s v="STORE_026"/>
    <x v="2"/>
    <x v="2"/>
    <x v="39"/>
    <n v="755.91"/>
    <n v="6"/>
    <n v="4535.46"/>
    <n v="10"/>
    <n v="453.55"/>
    <n v="4081.91"/>
    <s v="Cash"/>
    <s v="CUST_00785"/>
    <n v="4"/>
    <n v="453.55000000000018"/>
    <n v="680.31833333333327"/>
    <s v="Medium"/>
  </r>
  <r>
    <s v="TXN_03169"/>
    <d v="2024-05-31T00:00:00"/>
    <x v="3"/>
    <s v="Friday"/>
    <s v="STORE_041"/>
    <x v="0"/>
    <x v="5"/>
    <x v="34"/>
    <n v="3204.05"/>
    <n v="4"/>
    <n v="12816.2"/>
    <n v="15"/>
    <n v="1922.43"/>
    <n v="10893.77"/>
    <s v="Wallet"/>
    <s v="CUST_00490"/>
    <n v="1"/>
    <n v="1922.4300000000003"/>
    <n v="2723.4425000000001"/>
    <s v="Medium"/>
  </r>
  <r>
    <s v="TXN_03170"/>
    <d v="2024-05-06T00:00:00"/>
    <x v="3"/>
    <s v="Monday"/>
    <s v="STORE_010"/>
    <x v="0"/>
    <x v="6"/>
    <x v="33"/>
    <n v="987.39"/>
    <n v="8"/>
    <n v="7899.12"/>
    <n v="15"/>
    <n v="1184.8699999999999"/>
    <n v="6714.25"/>
    <s v="UPI"/>
    <s v="CUST_00891"/>
    <n v="1"/>
    <n v="1184.8699999999999"/>
    <n v="839.28125"/>
    <s v="Medium"/>
  </r>
  <r>
    <s v="TXN_03171"/>
    <d v="2024-12-31T00:00:00"/>
    <x v="6"/>
    <s v="Tuesday"/>
    <s v="STORE_019"/>
    <x v="3"/>
    <x v="5"/>
    <x v="10"/>
    <n v="3596.43"/>
    <n v="1"/>
    <n v="3596.43"/>
    <n v="0"/>
    <n v="0"/>
    <n v="3596.43"/>
    <s v="UPI"/>
    <s v="CUST_00571"/>
    <n v="3"/>
    <n v="0"/>
    <n v="3596.43"/>
    <s v="No Discount"/>
  </r>
  <r>
    <s v="TXN_03172"/>
    <d v="2024-02-07T00:00:00"/>
    <x v="1"/>
    <s v="Wednesday"/>
    <s v="STORE_022"/>
    <x v="4"/>
    <x v="4"/>
    <x v="20"/>
    <n v="452.04"/>
    <n v="5"/>
    <n v="2260.1999999999998"/>
    <n v="0"/>
    <n v="0"/>
    <n v="2260.1999999999998"/>
    <s v="Cash"/>
    <s v="CUST_00341"/>
    <n v="3"/>
    <n v="0"/>
    <n v="452.03999999999996"/>
    <s v="No Discount"/>
  </r>
  <r>
    <s v="TXN_03173"/>
    <d v="2024-02-12T00:00:00"/>
    <x v="1"/>
    <s v="Monday"/>
    <s v="STORE_001"/>
    <x v="3"/>
    <x v="6"/>
    <x v="14"/>
    <n v="1954.29"/>
    <n v="4"/>
    <n v="7817.16"/>
    <n v="15"/>
    <n v="1172.57"/>
    <n v="6644.59"/>
    <s v="Cash"/>
    <s v="CUST_00511"/>
    <n v="4"/>
    <n v="1172.5699999999997"/>
    <n v="1661.1475"/>
    <s v="Medium"/>
  </r>
  <r>
    <s v="TXN_03174"/>
    <d v="2024-05-17T00:00:00"/>
    <x v="3"/>
    <s v="Friday"/>
    <s v="STORE_042"/>
    <x v="0"/>
    <x v="1"/>
    <x v="3"/>
    <n v="322.57"/>
    <n v="5"/>
    <n v="1612.85"/>
    <n v="20"/>
    <n v="322.57"/>
    <n v="1290.28"/>
    <s v="Debit Card"/>
    <s v="CUST_00500"/>
    <n v="2"/>
    <n v="322.56999999999994"/>
    <n v="258.05599999999998"/>
    <s v="High"/>
  </r>
  <r>
    <s v="TXN_03175"/>
    <d v="2024-03-19T00:00:00"/>
    <x v="5"/>
    <s v="Tuesday"/>
    <s v="STORE_003"/>
    <x v="2"/>
    <x v="0"/>
    <x v="0"/>
    <n v="661.25"/>
    <n v="10"/>
    <n v="6612.5"/>
    <n v="0"/>
    <n v="0"/>
    <n v="6612.5"/>
    <s v="Cash"/>
    <s v="CUST_00533"/>
    <n v="4"/>
    <n v="0"/>
    <n v="661.25"/>
    <s v="No Discount"/>
  </r>
  <r>
    <s v="TXN_03176"/>
    <d v="2024-07-13T00:00:00"/>
    <x v="11"/>
    <s v="Saturday"/>
    <s v="STORE_037"/>
    <x v="2"/>
    <x v="5"/>
    <x v="11"/>
    <n v="2601.23"/>
    <n v="7"/>
    <n v="18208.61"/>
    <n v="15"/>
    <n v="2731.29"/>
    <n v="15477.32"/>
    <s v="Debit Card"/>
    <s v="CUST_00189"/>
    <n v="4"/>
    <n v="2731.2900000000009"/>
    <n v="2211.0457142857144"/>
    <s v="Medium"/>
  </r>
  <r>
    <s v="TXN_03177"/>
    <d v="2024-12-30T00:00:00"/>
    <x v="6"/>
    <s v="Monday"/>
    <s v="STORE_026"/>
    <x v="2"/>
    <x v="5"/>
    <x v="11"/>
    <n v="1248.28"/>
    <n v="8"/>
    <n v="9986.24"/>
    <n v="0"/>
    <n v="0"/>
    <n v="9986.24"/>
    <s v="Cash"/>
    <s v="CUST_00469"/>
    <n v="1"/>
    <n v="0"/>
    <n v="1248.28"/>
    <s v="No Discount"/>
  </r>
  <r>
    <s v="TXN_03178"/>
    <d v="2024-11-20T00:00:00"/>
    <x v="0"/>
    <s v="Wednesday"/>
    <s v="STORE_044"/>
    <x v="2"/>
    <x v="6"/>
    <x v="33"/>
    <n v="1464.97"/>
    <n v="8"/>
    <n v="11719.76"/>
    <n v="0"/>
    <n v="0"/>
    <n v="11719.76"/>
    <s v="Credit Card"/>
    <s v="CUST_00177"/>
    <n v="3"/>
    <n v="0"/>
    <n v="1464.97"/>
    <s v="No Discount"/>
  </r>
  <r>
    <s v="TXN_03179"/>
    <d v="2024-03-19T00:00:00"/>
    <x v="5"/>
    <s v="Tuesday"/>
    <s v="STORE_003"/>
    <x v="3"/>
    <x v="6"/>
    <x v="30"/>
    <n v="810.81"/>
    <n v="4"/>
    <n v="3243.24"/>
    <n v="0"/>
    <n v="0"/>
    <n v="3243.24"/>
    <s v="Cash"/>
    <s v="CUST_00447"/>
    <n v="5"/>
    <n v="0"/>
    <n v="810.81"/>
    <s v="No Discount"/>
  </r>
  <r>
    <s v="TXN_03180"/>
    <d v="2024-07-18T00:00:00"/>
    <x v="11"/>
    <s v="Thursday"/>
    <s v="STORE_042"/>
    <x v="0"/>
    <x v="1"/>
    <x v="31"/>
    <n v="460.56"/>
    <n v="7"/>
    <n v="3223.92"/>
    <n v="0"/>
    <n v="0"/>
    <n v="3223.92"/>
    <s v="Credit Card"/>
    <s v="CUST_00703"/>
    <n v="5"/>
    <n v="0"/>
    <n v="460.56"/>
    <s v="No Discount"/>
  </r>
  <r>
    <s v="TXN_03181"/>
    <d v="2024-06-11T00:00:00"/>
    <x v="10"/>
    <s v="Tuesday"/>
    <s v="STORE_037"/>
    <x v="3"/>
    <x v="3"/>
    <x v="12"/>
    <n v="1846.87"/>
    <n v="2"/>
    <n v="3693.74"/>
    <n v="15"/>
    <n v="554.05999999999995"/>
    <n v="3139.68"/>
    <s v="Wallet"/>
    <s v="CUST_00802"/>
    <n v="2"/>
    <n v="554.05999999999995"/>
    <n v="1569.84"/>
    <s v="Medium"/>
  </r>
  <r>
    <s v="TXN_03182"/>
    <d v="2024-07-03T00:00:00"/>
    <x v="11"/>
    <s v="Wednesday"/>
    <s v="STORE_006"/>
    <x v="0"/>
    <x v="5"/>
    <x v="34"/>
    <n v="1009.78"/>
    <n v="6"/>
    <n v="6058.68"/>
    <n v="0"/>
    <n v="0"/>
    <n v="6058.68"/>
    <s v="Credit Card"/>
    <s v="CUST_00178"/>
    <n v="4"/>
    <n v="0"/>
    <n v="1009.7800000000001"/>
    <s v="No Discount"/>
  </r>
  <r>
    <s v="TXN_03183"/>
    <d v="2024-02-24T00:00:00"/>
    <x v="1"/>
    <s v="Saturday"/>
    <s v="STORE_015"/>
    <x v="3"/>
    <x v="0"/>
    <x v="18"/>
    <n v="892.71"/>
    <n v="9"/>
    <n v="8034.39"/>
    <n v="0"/>
    <n v="0"/>
    <n v="8034.39"/>
    <s v="Debit Card"/>
    <s v="CUST_00456"/>
    <n v="5"/>
    <n v="0"/>
    <n v="892.71"/>
    <s v="No Discount"/>
  </r>
  <r>
    <s v="TXN_03184"/>
    <d v="2024-02-16T00:00:00"/>
    <x v="1"/>
    <s v="Friday"/>
    <s v="STORE_036"/>
    <x v="1"/>
    <x v="2"/>
    <x v="29"/>
    <n v="417.82"/>
    <n v="1"/>
    <n v="417.82"/>
    <n v="0"/>
    <n v="0"/>
    <n v="417.82"/>
    <s v="Cash"/>
    <s v="CUST_00503"/>
    <n v="5"/>
    <n v="0"/>
    <n v="417.82"/>
    <s v="No Discount"/>
  </r>
  <r>
    <s v="TXN_03185"/>
    <d v="2024-01-03T00:00:00"/>
    <x v="2"/>
    <s v="Wednesday"/>
    <s v="STORE_010"/>
    <x v="0"/>
    <x v="1"/>
    <x v="31"/>
    <n v="450.8"/>
    <n v="3"/>
    <n v="1352.4"/>
    <n v="0"/>
    <n v="0"/>
    <n v="1352.4"/>
    <s v="UPI"/>
    <s v="CUST_00710"/>
    <n v="2"/>
    <n v="0"/>
    <n v="450.8"/>
    <s v="No Discount"/>
  </r>
  <r>
    <s v="TXN_03186"/>
    <d v="2024-06-06T00:00:00"/>
    <x v="10"/>
    <s v="Thursday"/>
    <s v="STORE_004"/>
    <x v="1"/>
    <x v="6"/>
    <x v="30"/>
    <n v="1971.28"/>
    <n v="3"/>
    <n v="5913.84"/>
    <n v="5"/>
    <n v="295.69"/>
    <n v="5618.15"/>
    <s v="Wallet"/>
    <s v="CUST_00265"/>
    <n v="5"/>
    <n v="295.69000000000051"/>
    <n v="1872.7166666666665"/>
    <s v="Low"/>
  </r>
  <r>
    <s v="TXN_03187"/>
    <d v="2024-08-15T00:00:00"/>
    <x v="8"/>
    <s v="Thursday"/>
    <s v="STORE_032"/>
    <x v="3"/>
    <x v="0"/>
    <x v="4"/>
    <n v="492.54"/>
    <n v="10"/>
    <n v="4925.3999999999996"/>
    <n v="0"/>
    <n v="0"/>
    <n v="4925.3999999999996"/>
    <s v="Debit Card"/>
    <s v="CUST_00014"/>
    <n v="3"/>
    <n v="0"/>
    <n v="492.53999999999996"/>
    <s v="No Discount"/>
  </r>
  <r>
    <s v="TXN_03188"/>
    <d v="2024-07-03T00:00:00"/>
    <x v="11"/>
    <s v="Wednesday"/>
    <s v="STORE_022"/>
    <x v="0"/>
    <x v="0"/>
    <x v="18"/>
    <n v="717.39"/>
    <n v="5"/>
    <n v="3586.95"/>
    <n v="5"/>
    <n v="179.35"/>
    <n v="3407.6"/>
    <s v="Debit Card"/>
    <s v="CUST_00371"/>
    <n v="3"/>
    <n v="179.34999999999991"/>
    <n v="681.52"/>
    <s v="Low"/>
  </r>
  <r>
    <s v="TXN_03189"/>
    <d v="2024-05-18T00:00:00"/>
    <x v="3"/>
    <s v="Saturday"/>
    <s v="STORE_032"/>
    <x v="4"/>
    <x v="1"/>
    <x v="31"/>
    <n v="253.87"/>
    <n v="8"/>
    <n v="2030.96"/>
    <n v="15"/>
    <n v="304.64"/>
    <n v="1726.32"/>
    <s v="Cash"/>
    <s v="CUST_00928"/>
    <n v="4"/>
    <n v="304.6400000000001"/>
    <n v="215.79"/>
    <s v="Medium"/>
  </r>
  <r>
    <s v="TXN_03190"/>
    <d v="2024-02-22T00:00:00"/>
    <x v="1"/>
    <s v="Thursday"/>
    <s v="STORE_031"/>
    <x v="3"/>
    <x v="2"/>
    <x v="2"/>
    <n v="409.06"/>
    <n v="10"/>
    <n v="4090.6"/>
    <n v="0"/>
    <n v="0"/>
    <n v="4090.6"/>
    <s v="UPI"/>
    <s v="CUST_00470"/>
    <n v="3"/>
    <n v="0"/>
    <n v="409.06"/>
    <s v="No Discount"/>
  </r>
  <r>
    <s v="TXN_03191"/>
    <d v="2024-03-08T00:00:00"/>
    <x v="5"/>
    <s v="Friday"/>
    <s v="STORE_030"/>
    <x v="0"/>
    <x v="6"/>
    <x v="33"/>
    <n v="629.62"/>
    <n v="10"/>
    <n v="6296.2"/>
    <n v="10"/>
    <n v="629.62"/>
    <n v="5666.58"/>
    <s v="Wallet"/>
    <s v="CUST_00559"/>
    <n v="5"/>
    <n v="629.61999999999989"/>
    <n v="566.65800000000002"/>
    <s v="Medium"/>
  </r>
  <r>
    <s v="TXN_03192"/>
    <d v="2024-02-14T00:00:00"/>
    <x v="1"/>
    <s v="Wednesday"/>
    <s v="STORE_033"/>
    <x v="0"/>
    <x v="2"/>
    <x v="29"/>
    <n v="379.22"/>
    <n v="1"/>
    <n v="379.22"/>
    <n v="20"/>
    <n v="75.84"/>
    <n v="303.38"/>
    <s v="Wallet"/>
    <s v="CUST_00916"/>
    <n v="2"/>
    <n v="75.840000000000032"/>
    <n v="303.38"/>
    <s v="High"/>
  </r>
  <r>
    <s v="TXN_03193"/>
    <d v="2024-04-05T00:00:00"/>
    <x v="4"/>
    <s v="Friday"/>
    <s v="STORE_002"/>
    <x v="2"/>
    <x v="0"/>
    <x v="18"/>
    <n v="765.96"/>
    <n v="7"/>
    <n v="5361.72"/>
    <n v="0"/>
    <n v="0"/>
    <n v="5361.72"/>
    <s v="Credit Card"/>
    <s v="CUST_00350"/>
    <n v="4"/>
    <n v="0"/>
    <n v="765.96"/>
    <s v="No Discount"/>
  </r>
  <r>
    <s v="TXN_03194"/>
    <d v="2024-08-08T00:00:00"/>
    <x v="8"/>
    <s v="Thursday"/>
    <s v="STORE_025"/>
    <x v="3"/>
    <x v="3"/>
    <x v="5"/>
    <n v="408.69"/>
    <n v="9"/>
    <n v="3678.21"/>
    <n v="5"/>
    <n v="183.91"/>
    <n v="3494.3"/>
    <s v="Credit Card"/>
    <s v="CUST_00556"/>
    <n v="3"/>
    <n v="183.90999999999985"/>
    <n v="388.25555555555559"/>
    <s v="Low"/>
  </r>
  <r>
    <s v="TXN_03195"/>
    <d v="2024-08-17T00:00:00"/>
    <x v="8"/>
    <s v="Saturday"/>
    <s v="STORE_037"/>
    <x v="1"/>
    <x v="6"/>
    <x v="14"/>
    <n v="611.41"/>
    <n v="7"/>
    <n v="4279.87"/>
    <n v="5"/>
    <n v="213.99"/>
    <n v="4065.88"/>
    <s v="Cash"/>
    <s v="CUST_00652"/>
    <n v="4"/>
    <n v="213.98999999999978"/>
    <n v="580.84"/>
    <s v="Low"/>
  </r>
  <r>
    <s v="TXN_03196"/>
    <d v="2024-10-12T00:00:00"/>
    <x v="7"/>
    <s v="Saturday"/>
    <s v="STORE_049"/>
    <x v="1"/>
    <x v="7"/>
    <x v="38"/>
    <n v="859.45"/>
    <n v="9"/>
    <n v="7735.05"/>
    <n v="0"/>
    <n v="0"/>
    <n v="7735.05"/>
    <s v="Credit Card"/>
    <s v="CUST_00137"/>
    <n v="2"/>
    <n v="0"/>
    <n v="859.45"/>
    <s v="No Discount"/>
  </r>
  <r>
    <s v="TXN_03197"/>
    <d v="2024-10-11T00:00:00"/>
    <x v="7"/>
    <s v="Friday"/>
    <s v="STORE_006"/>
    <x v="4"/>
    <x v="4"/>
    <x v="20"/>
    <n v="592.34"/>
    <n v="5"/>
    <n v="2961.7"/>
    <n v="0"/>
    <n v="0"/>
    <n v="2961.7"/>
    <s v="UPI"/>
    <s v="CUST_00619"/>
    <n v="1"/>
    <n v="0"/>
    <n v="592.33999999999992"/>
    <s v="No Discount"/>
  </r>
  <r>
    <s v="TXN_03198"/>
    <d v="2024-09-19T00:00:00"/>
    <x v="9"/>
    <s v="Thursday"/>
    <s v="STORE_029"/>
    <x v="2"/>
    <x v="7"/>
    <x v="23"/>
    <n v="967.64"/>
    <n v="5"/>
    <n v="4838.2"/>
    <n v="10"/>
    <n v="483.82"/>
    <n v="4354.38"/>
    <s v="Credit Card"/>
    <s v="CUST_00954"/>
    <n v="5"/>
    <n v="483.81999999999971"/>
    <n v="870.87599999999998"/>
    <s v="Medium"/>
  </r>
  <r>
    <s v="TXN_03199"/>
    <d v="2024-07-27T00:00:00"/>
    <x v="11"/>
    <s v="Saturday"/>
    <s v="STORE_007"/>
    <x v="1"/>
    <x v="7"/>
    <x v="37"/>
    <n v="301.41000000000003"/>
    <n v="9"/>
    <n v="2712.69"/>
    <n v="20"/>
    <n v="542.54"/>
    <n v="2170.15"/>
    <s v="UPI"/>
    <s v="CUST_00175"/>
    <n v="4"/>
    <n v="542.54"/>
    <n v="241.12777777777779"/>
    <s v="High"/>
  </r>
  <r>
    <s v="TXN_03200"/>
    <d v="2024-02-22T00:00:00"/>
    <x v="1"/>
    <s v="Thursday"/>
    <s v="STORE_019"/>
    <x v="2"/>
    <x v="6"/>
    <x v="33"/>
    <n v="1201.01"/>
    <n v="2"/>
    <n v="2402.02"/>
    <n v="15"/>
    <n v="360.3"/>
    <n v="2041.72"/>
    <s v="Credit Card"/>
    <s v="CUST_00292"/>
    <n v="4"/>
    <n v="360.29999999999995"/>
    <n v="1020.86"/>
    <s v="Medium"/>
  </r>
  <r>
    <s v="TXN_03201"/>
    <d v="2024-01-14T00:00:00"/>
    <x v="2"/>
    <s v="Sunday"/>
    <s v="STORE_039"/>
    <x v="3"/>
    <x v="3"/>
    <x v="12"/>
    <n v="1389.02"/>
    <n v="9"/>
    <n v="12501.18"/>
    <n v="10"/>
    <n v="1250.1199999999999"/>
    <n v="11251.06"/>
    <s v="Cash"/>
    <s v="CUST_00464"/>
    <n v="4"/>
    <n v="1250.1200000000008"/>
    <n v="1250.1177777777777"/>
    <s v="Medium"/>
  </r>
  <r>
    <s v="TXN_03202"/>
    <d v="2024-02-15T00:00:00"/>
    <x v="1"/>
    <s v="Thursday"/>
    <s v="STORE_003"/>
    <x v="4"/>
    <x v="5"/>
    <x v="25"/>
    <n v="2649.14"/>
    <n v="1"/>
    <n v="2649.14"/>
    <n v="0"/>
    <n v="0"/>
    <n v="2649.14"/>
    <s v="Credit Card"/>
    <s v="CUST_00948"/>
    <n v="1"/>
    <n v="0"/>
    <n v="2649.14"/>
    <s v="No Discount"/>
  </r>
  <r>
    <s v="TXN_03203"/>
    <d v="2024-06-30T00:00:00"/>
    <x v="10"/>
    <s v="Sunday"/>
    <s v="STORE_036"/>
    <x v="1"/>
    <x v="6"/>
    <x v="30"/>
    <n v="1514.43"/>
    <n v="1"/>
    <n v="1514.43"/>
    <n v="20"/>
    <n v="302.89"/>
    <n v="1211.54"/>
    <s v="Credit Card"/>
    <s v="CUST_00029"/>
    <n v="4"/>
    <n v="302.8900000000001"/>
    <n v="1211.54"/>
    <s v="High"/>
  </r>
  <r>
    <s v="TXN_03204"/>
    <d v="2024-10-10T00:00:00"/>
    <x v="7"/>
    <s v="Thursday"/>
    <s v="STORE_031"/>
    <x v="0"/>
    <x v="5"/>
    <x v="34"/>
    <n v="2488.9"/>
    <n v="3"/>
    <n v="7466.7"/>
    <n v="0"/>
    <n v="0"/>
    <n v="7466.7"/>
    <s v="Cash"/>
    <s v="CUST_00703"/>
    <n v="5"/>
    <n v="0"/>
    <n v="2488.9"/>
    <s v="No Discount"/>
  </r>
  <r>
    <s v="TXN_03205"/>
    <d v="2024-02-17T00:00:00"/>
    <x v="1"/>
    <s v="Saturday"/>
    <s v="STORE_031"/>
    <x v="1"/>
    <x v="3"/>
    <x v="16"/>
    <n v="691.75"/>
    <n v="2"/>
    <n v="1383.5"/>
    <n v="0"/>
    <n v="0"/>
    <n v="1383.5"/>
    <s v="Debit Card"/>
    <s v="CUST_00927"/>
    <n v="5"/>
    <n v="0"/>
    <n v="691.75"/>
    <s v="No Discount"/>
  </r>
  <r>
    <s v="TXN_03206"/>
    <d v="2024-11-01T00:00:00"/>
    <x v="0"/>
    <s v="Friday"/>
    <s v="STORE_028"/>
    <x v="1"/>
    <x v="1"/>
    <x v="6"/>
    <n v="341.79"/>
    <n v="6"/>
    <n v="2050.7399999999998"/>
    <n v="15"/>
    <n v="307.61"/>
    <n v="1743.13"/>
    <s v="Debit Card"/>
    <s v="CUST_00610"/>
    <n v="5"/>
    <n v="307.60999999999967"/>
    <n v="290.5216666666667"/>
    <s v="Medium"/>
  </r>
  <r>
    <s v="TXN_03207"/>
    <d v="2024-11-02T00:00:00"/>
    <x v="0"/>
    <s v="Saturday"/>
    <s v="STORE_043"/>
    <x v="4"/>
    <x v="1"/>
    <x v="6"/>
    <n v="164.48"/>
    <n v="3"/>
    <n v="493.44"/>
    <n v="0"/>
    <n v="0"/>
    <n v="493.44"/>
    <s v="Debit Card"/>
    <s v="CUST_00782"/>
    <n v="4"/>
    <n v="0"/>
    <n v="164.48"/>
    <s v="No Discount"/>
  </r>
  <r>
    <s v="TXN_03208"/>
    <d v="2024-06-15T00:00:00"/>
    <x v="10"/>
    <s v="Saturday"/>
    <s v="STORE_023"/>
    <x v="0"/>
    <x v="2"/>
    <x v="29"/>
    <n v="139.31"/>
    <n v="2"/>
    <n v="278.62"/>
    <n v="5"/>
    <n v="13.93"/>
    <n v="264.69"/>
    <s v="Cash"/>
    <s v="CUST_00452"/>
    <n v="1"/>
    <n v="13.930000000000007"/>
    <n v="132.345"/>
    <s v="Low"/>
  </r>
  <r>
    <s v="TXN_03209"/>
    <d v="2024-07-16T00:00:00"/>
    <x v="11"/>
    <s v="Tuesday"/>
    <s v="STORE_030"/>
    <x v="4"/>
    <x v="2"/>
    <x v="2"/>
    <n v="758.81"/>
    <n v="6"/>
    <n v="4552.8599999999997"/>
    <n v="0"/>
    <n v="0"/>
    <n v="4552.8599999999997"/>
    <s v="Debit Card"/>
    <s v="CUST_00786"/>
    <n v="2"/>
    <n v="0"/>
    <n v="758.81"/>
    <s v="No Discount"/>
  </r>
  <r>
    <s v="TXN_03210"/>
    <d v="2024-01-07T00:00:00"/>
    <x v="2"/>
    <s v="Sunday"/>
    <s v="STORE_029"/>
    <x v="3"/>
    <x v="3"/>
    <x v="5"/>
    <n v="2410.36"/>
    <n v="7"/>
    <n v="16872.52"/>
    <n v="15"/>
    <n v="2530.88"/>
    <n v="14341.64"/>
    <s v="Wallet"/>
    <s v="CUST_00547"/>
    <n v="5"/>
    <n v="2530.880000000001"/>
    <n v="2048.8057142857142"/>
    <s v="Medium"/>
  </r>
  <r>
    <s v="TXN_03211"/>
    <d v="2024-05-29T00:00:00"/>
    <x v="3"/>
    <s v="Wednesday"/>
    <s v="STORE_022"/>
    <x v="3"/>
    <x v="7"/>
    <x v="37"/>
    <n v="1220.55"/>
    <n v="1"/>
    <n v="1220.55"/>
    <n v="20"/>
    <n v="244.11"/>
    <n v="976.44"/>
    <s v="Wallet"/>
    <s v="CUST_00786"/>
    <n v="3"/>
    <n v="244.1099999999999"/>
    <n v="976.44"/>
    <s v="High"/>
  </r>
  <r>
    <s v="TXN_03212"/>
    <d v="2024-07-30T00:00:00"/>
    <x v="11"/>
    <s v="Tuesday"/>
    <s v="STORE_020"/>
    <x v="4"/>
    <x v="7"/>
    <x v="37"/>
    <n v="661.41"/>
    <n v="1"/>
    <n v="661.41"/>
    <n v="20"/>
    <n v="132.28"/>
    <n v="529.13"/>
    <s v="Cash"/>
    <s v="CUST_00741"/>
    <n v="5"/>
    <n v="132.27999999999997"/>
    <n v="529.13"/>
    <s v="High"/>
  </r>
  <r>
    <s v="TXN_03213"/>
    <d v="2024-07-17T00:00:00"/>
    <x v="11"/>
    <s v="Wednesday"/>
    <s v="STORE_003"/>
    <x v="4"/>
    <x v="0"/>
    <x v="27"/>
    <n v="607.30999999999995"/>
    <n v="5"/>
    <n v="3036.55"/>
    <n v="0"/>
    <n v="0"/>
    <n v="3036.55"/>
    <s v="Wallet"/>
    <s v="CUST_00060"/>
    <n v="5"/>
    <n v="0"/>
    <n v="607.31000000000006"/>
    <s v="No Discount"/>
  </r>
  <r>
    <s v="TXN_03214"/>
    <d v="2024-02-13T00:00:00"/>
    <x v="1"/>
    <s v="Tuesday"/>
    <s v="STORE_029"/>
    <x v="1"/>
    <x v="3"/>
    <x v="22"/>
    <n v="1609.28"/>
    <n v="3"/>
    <n v="4827.84"/>
    <n v="0"/>
    <n v="0"/>
    <n v="4827.84"/>
    <s v="Credit Card"/>
    <s v="CUST_00272"/>
    <n v="3"/>
    <n v="0"/>
    <n v="1609.28"/>
    <s v="No Discount"/>
  </r>
  <r>
    <s v="TXN_03215"/>
    <d v="2024-10-13T00:00:00"/>
    <x v="7"/>
    <s v="Sunday"/>
    <s v="STORE_012"/>
    <x v="1"/>
    <x v="4"/>
    <x v="8"/>
    <n v="404.22"/>
    <n v="10"/>
    <n v="4042.2"/>
    <n v="10"/>
    <n v="404.22"/>
    <n v="3637.98"/>
    <s v="UPI"/>
    <s v="CUST_00383"/>
    <n v="2"/>
    <n v="404.2199999999998"/>
    <n v="363.798"/>
    <s v="Medium"/>
  </r>
  <r>
    <s v="TXN_03216"/>
    <d v="2024-05-04T00:00:00"/>
    <x v="3"/>
    <s v="Saturday"/>
    <s v="STORE_007"/>
    <x v="2"/>
    <x v="3"/>
    <x v="22"/>
    <n v="607"/>
    <n v="8"/>
    <n v="4856"/>
    <n v="15"/>
    <n v="728.4"/>
    <n v="4127.6000000000004"/>
    <s v="Wallet"/>
    <s v="CUST_00093"/>
    <n v="1"/>
    <n v="728.39999999999964"/>
    <n v="515.95000000000005"/>
    <s v="Medium"/>
  </r>
  <r>
    <s v="TXN_03217"/>
    <d v="2024-10-19T00:00:00"/>
    <x v="7"/>
    <s v="Saturday"/>
    <s v="STORE_044"/>
    <x v="3"/>
    <x v="6"/>
    <x v="26"/>
    <n v="1057.92"/>
    <n v="2"/>
    <n v="2115.84"/>
    <n v="10"/>
    <n v="211.58"/>
    <n v="1904.26"/>
    <s v="Cash"/>
    <s v="CUST_00919"/>
    <n v="4"/>
    <n v="211.58000000000015"/>
    <n v="952.13"/>
    <s v="Medium"/>
  </r>
  <r>
    <s v="TXN_03218"/>
    <d v="2024-09-23T00:00:00"/>
    <x v="9"/>
    <s v="Monday"/>
    <s v="STORE_037"/>
    <x v="3"/>
    <x v="4"/>
    <x v="17"/>
    <n v="250.07"/>
    <n v="3"/>
    <n v="750.21"/>
    <n v="0"/>
    <n v="0"/>
    <n v="750.21"/>
    <s v="Debit Card"/>
    <s v="CUST_00121"/>
    <n v="3"/>
    <n v="0"/>
    <n v="250.07000000000002"/>
    <s v="No Discount"/>
  </r>
  <r>
    <s v="TXN_03219"/>
    <d v="2024-03-27T00:00:00"/>
    <x v="5"/>
    <s v="Wednesday"/>
    <s v="STORE_045"/>
    <x v="4"/>
    <x v="3"/>
    <x v="21"/>
    <n v="2492.46"/>
    <n v="8"/>
    <n v="19939.68"/>
    <n v="15"/>
    <n v="2990.95"/>
    <n v="16948.73"/>
    <s v="Debit Card"/>
    <s v="CUST_00009"/>
    <n v="3"/>
    <n v="2990.9500000000007"/>
    <n v="2118.5912499999999"/>
    <s v="Medium"/>
  </r>
  <r>
    <s v="TXN_03220"/>
    <d v="2024-12-16T00:00:00"/>
    <x v="6"/>
    <s v="Monday"/>
    <s v="STORE_040"/>
    <x v="3"/>
    <x v="6"/>
    <x v="14"/>
    <n v="721.7"/>
    <n v="7"/>
    <n v="5051.8999999999996"/>
    <n v="0"/>
    <n v="0"/>
    <n v="5051.8999999999996"/>
    <s v="Debit Card"/>
    <s v="CUST_00679"/>
    <n v="3"/>
    <n v="0"/>
    <n v="721.69999999999993"/>
    <s v="No Discount"/>
  </r>
  <r>
    <s v="TXN_03221"/>
    <d v="2024-07-13T00:00:00"/>
    <x v="11"/>
    <s v="Saturday"/>
    <s v="STORE_037"/>
    <x v="4"/>
    <x v="5"/>
    <x v="34"/>
    <n v="2339.79"/>
    <n v="6"/>
    <n v="14038.74"/>
    <n v="0"/>
    <n v="0"/>
    <n v="14038.74"/>
    <s v="Wallet"/>
    <s v="CUST_00891"/>
    <n v="2"/>
    <n v="0"/>
    <n v="2339.79"/>
    <s v="No Discount"/>
  </r>
  <r>
    <s v="TXN_03222"/>
    <d v="2024-03-27T00:00:00"/>
    <x v="5"/>
    <s v="Wednesday"/>
    <s v="STORE_031"/>
    <x v="1"/>
    <x v="1"/>
    <x v="3"/>
    <n v="439.01"/>
    <n v="10"/>
    <n v="4390.1000000000004"/>
    <n v="0"/>
    <n v="0"/>
    <n v="4390.1000000000004"/>
    <s v="Credit Card"/>
    <s v="CUST_00624"/>
    <n v="3"/>
    <n v="0"/>
    <n v="439.01000000000005"/>
    <s v="No Discount"/>
  </r>
  <r>
    <s v="TXN_03223"/>
    <d v="2024-03-12T00:00:00"/>
    <x v="5"/>
    <s v="Tuesday"/>
    <s v="STORE_016"/>
    <x v="3"/>
    <x v="2"/>
    <x v="13"/>
    <n v="313.52999999999997"/>
    <n v="1"/>
    <n v="313.52999999999997"/>
    <n v="0"/>
    <n v="0"/>
    <n v="313.52999999999997"/>
    <s v="Debit Card"/>
    <s v="CUST_00982"/>
    <n v="5"/>
    <n v="0"/>
    <n v="313.52999999999997"/>
    <s v="No Discount"/>
  </r>
  <r>
    <s v="TXN_03224"/>
    <d v="2024-05-17T00:00:00"/>
    <x v="3"/>
    <s v="Friday"/>
    <s v="STORE_006"/>
    <x v="1"/>
    <x v="7"/>
    <x v="37"/>
    <n v="1165.27"/>
    <n v="5"/>
    <n v="5826.35"/>
    <n v="15"/>
    <n v="873.95"/>
    <n v="4952.3999999999996"/>
    <s v="UPI"/>
    <s v="CUST_00441"/>
    <n v="2"/>
    <n v="873.95000000000073"/>
    <n v="990.4799999999999"/>
    <s v="Medium"/>
  </r>
  <r>
    <s v="TXN_03225"/>
    <d v="2024-06-03T00:00:00"/>
    <x v="10"/>
    <s v="Monday"/>
    <s v="STORE_023"/>
    <x v="0"/>
    <x v="7"/>
    <x v="37"/>
    <n v="519.79"/>
    <n v="6"/>
    <n v="3118.74"/>
    <n v="10"/>
    <n v="311.87"/>
    <n v="2806.87"/>
    <s v="Credit Card"/>
    <s v="CUST_00637"/>
    <n v="3"/>
    <n v="311.86999999999989"/>
    <n v="467.81166666666667"/>
    <s v="Medium"/>
  </r>
  <r>
    <s v="TXN_03226"/>
    <d v="2024-05-17T00:00:00"/>
    <x v="3"/>
    <s v="Friday"/>
    <s v="STORE_042"/>
    <x v="4"/>
    <x v="5"/>
    <x v="9"/>
    <n v="2784.06"/>
    <n v="7"/>
    <n v="19488.419999999998"/>
    <n v="10"/>
    <n v="1948.84"/>
    <n v="17539.580000000002"/>
    <s v="Wallet"/>
    <s v="CUST_00466"/>
    <n v="5"/>
    <n v="1948.8399999999965"/>
    <n v="2505.6542857142858"/>
    <s v="Medium"/>
  </r>
  <r>
    <s v="TXN_03227"/>
    <d v="2024-09-09T00:00:00"/>
    <x v="9"/>
    <s v="Monday"/>
    <s v="STORE_029"/>
    <x v="1"/>
    <x v="1"/>
    <x v="1"/>
    <n v="198.79"/>
    <n v="5"/>
    <n v="993.95"/>
    <n v="0"/>
    <n v="0"/>
    <n v="993.95"/>
    <s v="Wallet"/>
    <s v="CUST_00990"/>
    <n v="3"/>
    <n v="0"/>
    <n v="198.79000000000002"/>
    <s v="No Discount"/>
  </r>
  <r>
    <s v="TXN_03228"/>
    <d v="2024-03-15T00:00:00"/>
    <x v="5"/>
    <s v="Friday"/>
    <s v="STORE_045"/>
    <x v="0"/>
    <x v="7"/>
    <x v="38"/>
    <n v="633.16"/>
    <n v="2"/>
    <n v="1266.32"/>
    <n v="10"/>
    <n v="126.63"/>
    <n v="1139.69"/>
    <s v="Debit Card"/>
    <s v="CUST_00426"/>
    <n v="5"/>
    <n v="126.62999999999988"/>
    <n v="569.84500000000003"/>
    <s v="Medium"/>
  </r>
  <r>
    <s v="TXN_03229"/>
    <d v="2024-02-02T00:00:00"/>
    <x v="1"/>
    <s v="Friday"/>
    <s v="STORE_043"/>
    <x v="2"/>
    <x v="6"/>
    <x v="15"/>
    <n v="1943.84"/>
    <n v="7"/>
    <n v="13606.88"/>
    <n v="0"/>
    <n v="0"/>
    <n v="13606.88"/>
    <s v="UPI"/>
    <s v="CUST_00716"/>
    <n v="3"/>
    <n v="0"/>
    <n v="1943.84"/>
    <s v="No Discount"/>
  </r>
  <r>
    <s v="TXN_03230"/>
    <d v="2024-03-26T00:00:00"/>
    <x v="5"/>
    <s v="Tuesday"/>
    <s v="STORE_008"/>
    <x v="0"/>
    <x v="3"/>
    <x v="22"/>
    <n v="1255.26"/>
    <n v="4"/>
    <n v="5021.04"/>
    <n v="10"/>
    <n v="502.1"/>
    <n v="4518.9399999999996"/>
    <s v="Wallet"/>
    <s v="CUST_00861"/>
    <n v="1"/>
    <n v="502.10000000000036"/>
    <n v="1129.7349999999999"/>
    <s v="Medium"/>
  </r>
  <r>
    <s v="TXN_03231"/>
    <d v="2024-08-10T00:00:00"/>
    <x v="8"/>
    <s v="Saturday"/>
    <s v="STORE_028"/>
    <x v="1"/>
    <x v="2"/>
    <x v="7"/>
    <n v="300.44"/>
    <n v="5"/>
    <n v="1502.2"/>
    <n v="5"/>
    <n v="75.11"/>
    <n v="1427.09"/>
    <s v="Wallet"/>
    <s v="CUST_00417"/>
    <n v="2"/>
    <n v="75.110000000000127"/>
    <n v="285.41800000000001"/>
    <s v="Low"/>
  </r>
  <r>
    <s v="TXN_03232"/>
    <d v="2024-05-21T00:00:00"/>
    <x v="3"/>
    <s v="Tuesday"/>
    <s v="STORE_046"/>
    <x v="0"/>
    <x v="7"/>
    <x v="28"/>
    <n v="1477.43"/>
    <n v="7"/>
    <n v="10342.01"/>
    <n v="10"/>
    <n v="1034.2"/>
    <n v="9307.81"/>
    <s v="UPI"/>
    <s v="CUST_00719"/>
    <n v="2"/>
    <n v="1034.2000000000007"/>
    <n v="1329.6871428571428"/>
    <s v="Medium"/>
  </r>
  <r>
    <s v="TXN_03233"/>
    <d v="2024-08-03T00:00:00"/>
    <x v="8"/>
    <s v="Saturday"/>
    <s v="STORE_040"/>
    <x v="1"/>
    <x v="3"/>
    <x v="21"/>
    <n v="2905.05"/>
    <n v="8"/>
    <n v="23240.400000000001"/>
    <n v="0"/>
    <n v="0"/>
    <n v="23240.400000000001"/>
    <s v="UPI"/>
    <s v="CUST_00531"/>
    <n v="3"/>
    <n v="0"/>
    <n v="2905.05"/>
    <s v="No Discount"/>
  </r>
  <r>
    <s v="TXN_03234"/>
    <d v="2024-06-02T00:00:00"/>
    <x v="10"/>
    <s v="Sunday"/>
    <s v="STORE_046"/>
    <x v="0"/>
    <x v="6"/>
    <x v="15"/>
    <n v="1951.7"/>
    <n v="2"/>
    <n v="3903.4"/>
    <n v="5"/>
    <n v="195.17"/>
    <n v="3708.23"/>
    <s v="Credit Card"/>
    <s v="CUST_00461"/>
    <n v="2"/>
    <n v="195.17000000000007"/>
    <n v="1854.115"/>
    <s v="Low"/>
  </r>
  <r>
    <s v="TXN_03235"/>
    <d v="2024-09-04T00:00:00"/>
    <x v="9"/>
    <s v="Wednesday"/>
    <s v="STORE_042"/>
    <x v="3"/>
    <x v="2"/>
    <x v="29"/>
    <n v="273.64999999999998"/>
    <n v="4"/>
    <n v="1094.5999999999999"/>
    <n v="20"/>
    <n v="218.92"/>
    <n v="875.68"/>
    <s v="UPI"/>
    <s v="CUST_00070"/>
    <n v="2"/>
    <n v="218.91999999999996"/>
    <n v="218.92"/>
    <s v="High"/>
  </r>
  <r>
    <s v="TXN_03236"/>
    <d v="2024-02-09T00:00:00"/>
    <x v="1"/>
    <s v="Friday"/>
    <s v="STORE_013"/>
    <x v="2"/>
    <x v="0"/>
    <x v="0"/>
    <n v="427.42"/>
    <n v="8"/>
    <n v="3419.36"/>
    <n v="20"/>
    <n v="683.87"/>
    <n v="2735.49"/>
    <s v="Cash"/>
    <s v="CUST_00819"/>
    <n v="4"/>
    <n v="683.87000000000035"/>
    <n v="341.93624999999997"/>
    <s v="High"/>
  </r>
  <r>
    <s v="TXN_03237"/>
    <d v="2024-07-03T00:00:00"/>
    <x v="11"/>
    <s v="Wednesday"/>
    <s v="STORE_035"/>
    <x v="0"/>
    <x v="7"/>
    <x v="38"/>
    <n v="1050.6500000000001"/>
    <n v="4"/>
    <n v="4202.6000000000004"/>
    <n v="10"/>
    <n v="420.26"/>
    <n v="3782.34"/>
    <s v="Credit Card"/>
    <s v="CUST_00571"/>
    <n v="4"/>
    <n v="420.26000000000022"/>
    <n v="945.58500000000004"/>
    <s v="Medium"/>
  </r>
  <r>
    <s v="TXN_03238"/>
    <d v="2024-05-08T00:00:00"/>
    <x v="3"/>
    <s v="Wednesday"/>
    <s v="STORE_021"/>
    <x v="1"/>
    <x v="1"/>
    <x v="3"/>
    <n v="391.23"/>
    <n v="1"/>
    <n v="391.23"/>
    <n v="5"/>
    <n v="19.559999999999999"/>
    <n v="371.67"/>
    <s v="UPI"/>
    <s v="CUST_00356"/>
    <n v="1"/>
    <n v="19.560000000000002"/>
    <n v="371.67"/>
    <s v="Low"/>
  </r>
  <r>
    <s v="TXN_03239"/>
    <d v="2024-05-06T00:00:00"/>
    <x v="3"/>
    <s v="Monday"/>
    <s v="STORE_046"/>
    <x v="1"/>
    <x v="4"/>
    <x v="17"/>
    <n v="330.6"/>
    <n v="4"/>
    <n v="1322.4"/>
    <n v="0"/>
    <n v="0"/>
    <n v="1322.4"/>
    <s v="UPI"/>
    <s v="CUST_00082"/>
    <n v="3"/>
    <n v="0"/>
    <n v="330.6"/>
    <s v="No Discount"/>
  </r>
  <r>
    <s v="TXN_03240"/>
    <d v="2024-11-16T00:00:00"/>
    <x v="0"/>
    <s v="Saturday"/>
    <s v="STORE_022"/>
    <x v="0"/>
    <x v="6"/>
    <x v="14"/>
    <n v="1442.72"/>
    <n v="9"/>
    <n v="12984.48"/>
    <n v="15"/>
    <n v="1947.67"/>
    <n v="11036.81"/>
    <s v="Wallet"/>
    <s v="CUST_00078"/>
    <n v="2"/>
    <n v="1947.67"/>
    <n v="1226.3122222222221"/>
    <s v="Medium"/>
  </r>
  <r>
    <s v="TXN_03241"/>
    <d v="2024-09-10T00:00:00"/>
    <x v="9"/>
    <s v="Tuesday"/>
    <s v="STORE_021"/>
    <x v="4"/>
    <x v="5"/>
    <x v="10"/>
    <n v="3819.57"/>
    <n v="7"/>
    <n v="26736.99"/>
    <n v="5"/>
    <n v="1336.85"/>
    <n v="25400.14"/>
    <s v="Wallet"/>
    <s v="CUST_00280"/>
    <n v="1"/>
    <n v="1336.8500000000022"/>
    <n v="3628.5914285714284"/>
    <s v="Low"/>
  </r>
  <r>
    <s v="TXN_03242"/>
    <d v="2024-10-31T00:00:00"/>
    <x v="7"/>
    <s v="Thursday"/>
    <s v="STORE_035"/>
    <x v="4"/>
    <x v="0"/>
    <x v="27"/>
    <n v="937.87"/>
    <n v="10"/>
    <n v="9378.7000000000007"/>
    <n v="10"/>
    <n v="937.87"/>
    <n v="8440.83"/>
    <s v="Cash"/>
    <s v="CUST_00912"/>
    <n v="2"/>
    <n v="937.8700000000008"/>
    <n v="844.08299999999997"/>
    <s v="Medium"/>
  </r>
  <r>
    <s v="TXN_03243"/>
    <d v="2024-11-11T00:00:00"/>
    <x v="0"/>
    <s v="Monday"/>
    <s v="STORE_003"/>
    <x v="0"/>
    <x v="5"/>
    <x v="10"/>
    <n v="4960.59"/>
    <n v="8"/>
    <n v="39684.720000000001"/>
    <n v="0"/>
    <n v="0"/>
    <n v="39684.720000000001"/>
    <s v="Cash"/>
    <s v="CUST_00082"/>
    <n v="2"/>
    <n v="0"/>
    <n v="4960.59"/>
    <s v="No Discount"/>
  </r>
  <r>
    <s v="TXN_03244"/>
    <d v="2024-04-10T00:00:00"/>
    <x v="4"/>
    <s v="Wednesday"/>
    <s v="STORE_047"/>
    <x v="0"/>
    <x v="3"/>
    <x v="12"/>
    <n v="2480.58"/>
    <n v="9"/>
    <n v="22325.22"/>
    <n v="10"/>
    <n v="2232.52"/>
    <n v="20092.7"/>
    <s v="UPI"/>
    <s v="CUST_00215"/>
    <n v="1"/>
    <n v="2232.5200000000004"/>
    <n v="2232.5222222222224"/>
    <s v="Medium"/>
  </r>
  <r>
    <s v="TXN_03245"/>
    <d v="2024-08-22T00:00:00"/>
    <x v="8"/>
    <s v="Thursday"/>
    <s v="STORE_019"/>
    <x v="0"/>
    <x v="5"/>
    <x v="34"/>
    <n v="1831.94"/>
    <n v="7"/>
    <n v="12823.58"/>
    <n v="5"/>
    <n v="641.17999999999995"/>
    <n v="12182.4"/>
    <s v="Wallet"/>
    <s v="CUST_00807"/>
    <n v="4"/>
    <n v="641.18000000000029"/>
    <n v="1740.3428571428572"/>
    <s v="Low"/>
  </r>
  <r>
    <s v="TXN_03246"/>
    <d v="2024-02-24T00:00:00"/>
    <x v="1"/>
    <s v="Saturday"/>
    <s v="STORE_012"/>
    <x v="3"/>
    <x v="1"/>
    <x v="1"/>
    <n v="295.31"/>
    <n v="3"/>
    <n v="885.93"/>
    <n v="5"/>
    <n v="44.3"/>
    <n v="841.63"/>
    <s v="Wallet"/>
    <s v="CUST_00148"/>
    <n v="3"/>
    <n v="44.299999999999955"/>
    <n v="280.54333333333335"/>
    <s v="Low"/>
  </r>
  <r>
    <s v="TXN_03247"/>
    <d v="2024-03-10T00:00:00"/>
    <x v="5"/>
    <s v="Sunday"/>
    <s v="STORE_031"/>
    <x v="3"/>
    <x v="1"/>
    <x v="1"/>
    <n v="491.7"/>
    <n v="4"/>
    <n v="1966.8"/>
    <n v="0"/>
    <n v="0"/>
    <n v="1966.8"/>
    <s v="Credit Card"/>
    <s v="CUST_00575"/>
    <n v="5"/>
    <n v="0"/>
    <n v="491.7"/>
    <s v="No Discount"/>
  </r>
  <r>
    <s v="TXN_03248"/>
    <d v="2024-06-04T00:00:00"/>
    <x v="10"/>
    <s v="Tuesday"/>
    <s v="STORE_012"/>
    <x v="4"/>
    <x v="3"/>
    <x v="22"/>
    <n v="1425.37"/>
    <n v="2"/>
    <n v="2850.74"/>
    <n v="15"/>
    <n v="427.61"/>
    <n v="2423.13"/>
    <s v="Credit Card"/>
    <s v="CUST_00234"/>
    <n v="4"/>
    <n v="427.60999999999967"/>
    <n v="1211.5650000000001"/>
    <s v="Medium"/>
  </r>
  <r>
    <s v="TXN_03249"/>
    <d v="2024-01-04T00:00:00"/>
    <x v="2"/>
    <s v="Thursday"/>
    <s v="STORE_016"/>
    <x v="1"/>
    <x v="3"/>
    <x v="22"/>
    <n v="1985.63"/>
    <n v="6"/>
    <n v="11913.78"/>
    <n v="20"/>
    <n v="2382.7600000000002"/>
    <n v="9531.02"/>
    <s v="Cash"/>
    <s v="CUST_00913"/>
    <n v="4"/>
    <n v="2382.7600000000002"/>
    <n v="1588.5033333333333"/>
    <s v="High"/>
  </r>
  <r>
    <s v="TXN_03250"/>
    <d v="2024-07-21T00:00:00"/>
    <x v="11"/>
    <s v="Sunday"/>
    <s v="STORE_042"/>
    <x v="2"/>
    <x v="0"/>
    <x v="0"/>
    <n v="354.3"/>
    <n v="3"/>
    <n v="1062.9000000000001"/>
    <n v="20"/>
    <n v="212.58"/>
    <n v="850.32"/>
    <s v="UPI"/>
    <s v="CUST_00058"/>
    <n v="4"/>
    <n v="212.58000000000004"/>
    <n v="283.44"/>
    <s v="High"/>
  </r>
  <r>
    <s v="TXN_03251"/>
    <d v="2024-06-19T00:00:00"/>
    <x v="10"/>
    <s v="Wednesday"/>
    <s v="STORE_014"/>
    <x v="2"/>
    <x v="2"/>
    <x v="39"/>
    <n v="249.08"/>
    <n v="9"/>
    <n v="2241.7199999999998"/>
    <n v="0"/>
    <n v="0"/>
    <n v="2241.7199999999998"/>
    <s v="Wallet"/>
    <s v="CUST_00965"/>
    <n v="4"/>
    <n v="0"/>
    <n v="249.07999999999998"/>
    <s v="No Discount"/>
  </r>
  <r>
    <s v="TXN_03252"/>
    <d v="2024-11-13T00:00:00"/>
    <x v="0"/>
    <s v="Wednesday"/>
    <s v="STORE_029"/>
    <x v="2"/>
    <x v="5"/>
    <x v="9"/>
    <n v="1882.51"/>
    <n v="3"/>
    <n v="5647.53"/>
    <n v="0"/>
    <n v="0"/>
    <n v="5647.53"/>
    <s v="Wallet"/>
    <s v="CUST_00320"/>
    <n v="3"/>
    <n v="0"/>
    <n v="1882.51"/>
    <s v="No Discount"/>
  </r>
  <r>
    <s v="TXN_03253"/>
    <d v="2024-07-13T00:00:00"/>
    <x v="11"/>
    <s v="Saturday"/>
    <s v="STORE_019"/>
    <x v="3"/>
    <x v="5"/>
    <x v="25"/>
    <n v="1167.04"/>
    <n v="3"/>
    <n v="3501.12"/>
    <n v="0"/>
    <n v="0"/>
    <n v="3501.12"/>
    <s v="Cash"/>
    <s v="CUST_00534"/>
    <n v="3"/>
    <n v="0"/>
    <n v="1167.04"/>
    <s v="No Discount"/>
  </r>
  <r>
    <s v="TXN_03254"/>
    <d v="2024-06-17T00:00:00"/>
    <x v="10"/>
    <s v="Monday"/>
    <s v="STORE_007"/>
    <x v="2"/>
    <x v="3"/>
    <x v="16"/>
    <n v="2428.14"/>
    <n v="8"/>
    <n v="19425.12"/>
    <n v="15"/>
    <n v="2913.77"/>
    <n v="16511.349999999999"/>
    <s v="Credit Card"/>
    <s v="CUST_00426"/>
    <n v="3"/>
    <n v="2913.7700000000004"/>
    <n v="2063.9187499999998"/>
    <s v="Medium"/>
  </r>
  <r>
    <s v="TXN_03255"/>
    <d v="2024-08-13T00:00:00"/>
    <x v="8"/>
    <s v="Tuesday"/>
    <s v="STORE_041"/>
    <x v="1"/>
    <x v="1"/>
    <x v="3"/>
    <n v="291.85000000000002"/>
    <n v="2"/>
    <n v="583.70000000000005"/>
    <n v="0"/>
    <n v="0"/>
    <n v="583.70000000000005"/>
    <s v="Wallet"/>
    <s v="CUST_00410"/>
    <n v="4"/>
    <n v="0"/>
    <n v="291.85000000000002"/>
    <s v="No Discount"/>
  </r>
  <r>
    <s v="TXN_03256"/>
    <d v="2024-06-20T00:00:00"/>
    <x v="10"/>
    <s v="Thursday"/>
    <s v="STORE_020"/>
    <x v="1"/>
    <x v="1"/>
    <x v="31"/>
    <n v="287.44"/>
    <n v="6"/>
    <n v="1724.64"/>
    <n v="5"/>
    <n v="86.23"/>
    <n v="1638.41"/>
    <s v="Wallet"/>
    <s v="CUST_00528"/>
    <n v="1"/>
    <n v="86.230000000000018"/>
    <n v="273.06833333333333"/>
    <s v="Low"/>
  </r>
  <r>
    <s v="TXN_03257"/>
    <d v="2024-08-08T00:00:00"/>
    <x v="8"/>
    <s v="Thursday"/>
    <s v="STORE_040"/>
    <x v="2"/>
    <x v="2"/>
    <x v="13"/>
    <n v="449.62"/>
    <n v="4"/>
    <n v="1798.48"/>
    <n v="0"/>
    <n v="0"/>
    <n v="1798.48"/>
    <s v="Debit Card"/>
    <s v="CUST_00988"/>
    <n v="2"/>
    <n v="0"/>
    <n v="449.62"/>
    <s v="No Discount"/>
  </r>
  <r>
    <s v="TXN_03258"/>
    <d v="2024-11-29T00:00:00"/>
    <x v="0"/>
    <s v="Friday"/>
    <s v="STORE_045"/>
    <x v="3"/>
    <x v="5"/>
    <x v="25"/>
    <n v="3177.45"/>
    <n v="6"/>
    <n v="19064.7"/>
    <n v="0"/>
    <n v="0"/>
    <n v="19064.7"/>
    <s v="Wallet"/>
    <s v="CUST_00030"/>
    <n v="4"/>
    <n v="0"/>
    <n v="3177.4500000000003"/>
    <s v="No Discount"/>
  </r>
  <r>
    <s v="TXN_03259"/>
    <d v="2024-10-31T00:00:00"/>
    <x v="7"/>
    <s v="Thursday"/>
    <s v="STORE_021"/>
    <x v="4"/>
    <x v="6"/>
    <x v="33"/>
    <n v="1836.75"/>
    <n v="4"/>
    <n v="7347"/>
    <n v="15"/>
    <n v="1102.05"/>
    <n v="6244.95"/>
    <s v="Wallet"/>
    <s v="CUST_00861"/>
    <n v="3"/>
    <n v="1102.0500000000002"/>
    <n v="1561.2375"/>
    <s v="Medium"/>
  </r>
  <r>
    <s v="TXN_03260"/>
    <d v="2024-03-10T00:00:00"/>
    <x v="5"/>
    <s v="Sunday"/>
    <s v="STORE_041"/>
    <x v="4"/>
    <x v="2"/>
    <x v="29"/>
    <n v="395.22"/>
    <n v="1"/>
    <n v="395.22"/>
    <n v="5"/>
    <n v="19.760000000000002"/>
    <n v="375.46"/>
    <s v="UPI"/>
    <s v="CUST_00609"/>
    <n v="1"/>
    <n v="19.760000000000048"/>
    <n v="375.46"/>
    <s v="Low"/>
  </r>
  <r>
    <s v="TXN_03261"/>
    <d v="2024-06-02T00:00:00"/>
    <x v="10"/>
    <s v="Sunday"/>
    <s v="STORE_016"/>
    <x v="4"/>
    <x v="4"/>
    <x v="20"/>
    <n v="176.62"/>
    <n v="3"/>
    <n v="529.86"/>
    <n v="15"/>
    <n v="79.48"/>
    <n v="450.38"/>
    <s v="Credit Card"/>
    <s v="CUST_00524"/>
    <n v="2"/>
    <n v="79.480000000000018"/>
    <n v="150.12666666666667"/>
    <s v="Medium"/>
  </r>
  <r>
    <s v="TXN_03262"/>
    <d v="2024-06-13T00:00:00"/>
    <x v="10"/>
    <s v="Thursday"/>
    <s v="STORE_010"/>
    <x v="4"/>
    <x v="6"/>
    <x v="30"/>
    <n v="861.99"/>
    <n v="9"/>
    <n v="7757.91"/>
    <n v="5"/>
    <n v="387.9"/>
    <n v="7370.01"/>
    <s v="Credit Card"/>
    <s v="CUST_00230"/>
    <n v="4"/>
    <n v="387.89999999999964"/>
    <n v="818.89"/>
    <s v="Low"/>
  </r>
  <r>
    <s v="TXN_03263"/>
    <d v="2024-11-04T00:00:00"/>
    <x v="0"/>
    <s v="Monday"/>
    <s v="STORE_050"/>
    <x v="2"/>
    <x v="3"/>
    <x v="22"/>
    <n v="1388.04"/>
    <n v="10"/>
    <n v="13880.4"/>
    <n v="0"/>
    <n v="0"/>
    <n v="13880.4"/>
    <s v="Cash"/>
    <s v="CUST_00040"/>
    <n v="5"/>
    <n v="0"/>
    <n v="1388.04"/>
    <s v="No Discount"/>
  </r>
  <r>
    <s v="TXN_03264"/>
    <d v="2024-12-21T00:00:00"/>
    <x v="6"/>
    <s v="Saturday"/>
    <s v="STORE_013"/>
    <x v="1"/>
    <x v="6"/>
    <x v="30"/>
    <n v="1048.96"/>
    <n v="4"/>
    <n v="4195.84"/>
    <n v="0"/>
    <n v="0"/>
    <n v="4195.84"/>
    <s v="UPI"/>
    <s v="CUST_00414"/>
    <n v="3"/>
    <n v="0"/>
    <n v="1048.96"/>
    <s v="No Discount"/>
  </r>
  <r>
    <s v="TXN_03265"/>
    <d v="2024-04-12T00:00:00"/>
    <x v="4"/>
    <s v="Friday"/>
    <s v="STORE_050"/>
    <x v="3"/>
    <x v="1"/>
    <x v="36"/>
    <n v="108.19"/>
    <n v="8"/>
    <n v="865.52"/>
    <n v="5"/>
    <n v="43.28"/>
    <n v="822.24"/>
    <s v="Debit Card"/>
    <s v="CUST_00073"/>
    <n v="5"/>
    <n v="43.279999999999973"/>
    <n v="102.78"/>
    <s v="Low"/>
  </r>
  <r>
    <s v="TXN_03266"/>
    <d v="2024-09-02T00:00:00"/>
    <x v="9"/>
    <s v="Monday"/>
    <s v="STORE_030"/>
    <x v="4"/>
    <x v="4"/>
    <x v="19"/>
    <n v="314.62"/>
    <n v="7"/>
    <n v="2202.34"/>
    <n v="15"/>
    <n v="330.35"/>
    <n v="1871.99"/>
    <s v="Wallet"/>
    <s v="CUST_00684"/>
    <n v="3"/>
    <n v="330.35000000000014"/>
    <n v="267.42714285714288"/>
    <s v="Medium"/>
  </r>
  <r>
    <s v="TXN_03267"/>
    <d v="2024-06-09T00:00:00"/>
    <x v="10"/>
    <s v="Sunday"/>
    <s v="STORE_037"/>
    <x v="1"/>
    <x v="2"/>
    <x v="39"/>
    <n v="772.5"/>
    <n v="6"/>
    <n v="4635"/>
    <n v="10"/>
    <n v="463.5"/>
    <n v="4171.5"/>
    <s v="Cash"/>
    <s v="CUST_01000"/>
    <n v="5"/>
    <n v="463.5"/>
    <n v="695.25"/>
    <s v="Medium"/>
  </r>
  <r>
    <s v="TXN_03268"/>
    <d v="2024-03-31T00:00:00"/>
    <x v="5"/>
    <s v="Sunday"/>
    <s v="STORE_009"/>
    <x v="4"/>
    <x v="4"/>
    <x v="8"/>
    <n v="550.96"/>
    <n v="6"/>
    <n v="3305.76"/>
    <n v="15"/>
    <n v="495.86"/>
    <n v="2809.9"/>
    <s v="Debit Card"/>
    <s v="CUST_00728"/>
    <n v="4"/>
    <n v="495.86000000000013"/>
    <n v="468.31666666666666"/>
    <s v="Medium"/>
  </r>
  <r>
    <s v="TXN_03269"/>
    <d v="2024-07-22T00:00:00"/>
    <x v="11"/>
    <s v="Monday"/>
    <s v="STORE_036"/>
    <x v="0"/>
    <x v="7"/>
    <x v="37"/>
    <n v="437.68"/>
    <n v="9"/>
    <n v="3939.12"/>
    <n v="0"/>
    <n v="0"/>
    <n v="3939.12"/>
    <s v="Cash"/>
    <s v="CUST_00640"/>
    <n v="1"/>
    <n v="0"/>
    <n v="437.68"/>
    <s v="No Discount"/>
  </r>
  <r>
    <s v="TXN_03270"/>
    <d v="2024-06-12T00:00:00"/>
    <x v="10"/>
    <s v="Wednesday"/>
    <s v="STORE_004"/>
    <x v="3"/>
    <x v="4"/>
    <x v="20"/>
    <n v="460.36"/>
    <n v="3"/>
    <n v="1381.08"/>
    <n v="15"/>
    <n v="207.16"/>
    <n v="1173.92"/>
    <s v="Cash"/>
    <s v="CUST_00916"/>
    <n v="2"/>
    <n v="207.15999999999985"/>
    <n v="391.30666666666667"/>
    <s v="Medium"/>
  </r>
  <r>
    <s v="TXN_03271"/>
    <d v="2024-05-29T00:00:00"/>
    <x v="3"/>
    <s v="Wednesday"/>
    <s v="STORE_041"/>
    <x v="0"/>
    <x v="5"/>
    <x v="34"/>
    <n v="2577.4299999999998"/>
    <n v="6"/>
    <n v="15464.58"/>
    <n v="0"/>
    <n v="0"/>
    <n v="15464.58"/>
    <s v="Credit Card"/>
    <s v="CUST_00095"/>
    <n v="5"/>
    <n v="0"/>
    <n v="2577.4299999999998"/>
    <s v="No Discount"/>
  </r>
  <r>
    <s v="TXN_03272"/>
    <d v="2024-12-21T00:00:00"/>
    <x v="6"/>
    <s v="Saturday"/>
    <s v="STORE_014"/>
    <x v="2"/>
    <x v="2"/>
    <x v="39"/>
    <n v="444"/>
    <n v="5"/>
    <n v="2220"/>
    <n v="0"/>
    <n v="0"/>
    <n v="2220"/>
    <s v="Debit Card"/>
    <s v="CUST_00809"/>
    <n v="1"/>
    <n v="0"/>
    <n v="444"/>
    <s v="No Discount"/>
  </r>
  <r>
    <s v="TXN_03273"/>
    <d v="2024-11-20T00:00:00"/>
    <x v="0"/>
    <s v="Wednesday"/>
    <s v="STORE_002"/>
    <x v="4"/>
    <x v="5"/>
    <x v="9"/>
    <n v="3522.7"/>
    <n v="10"/>
    <n v="35227"/>
    <n v="0"/>
    <n v="0"/>
    <n v="35227"/>
    <s v="UPI"/>
    <s v="CUST_00749"/>
    <n v="2"/>
    <n v="0"/>
    <n v="3522.7"/>
    <s v="No Discount"/>
  </r>
  <r>
    <s v="TXN_03274"/>
    <d v="2024-09-08T00:00:00"/>
    <x v="9"/>
    <s v="Sunday"/>
    <s v="STORE_012"/>
    <x v="2"/>
    <x v="5"/>
    <x v="25"/>
    <n v="4804.29"/>
    <n v="4"/>
    <n v="19217.16"/>
    <n v="20"/>
    <n v="3843.43"/>
    <n v="15373.73"/>
    <s v="Cash"/>
    <s v="CUST_00805"/>
    <n v="2"/>
    <n v="3843.4300000000003"/>
    <n v="3843.4324999999999"/>
    <s v="High"/>
  </r>
  <r>
    <s v="TXN_03275"/>
    <d v="2024-10-21T00:00:00"/>
    <x v="7"/>
    <s v="Monday"/>
    <s v="STORE_013"/>
    <x v="3"/>
    <x v="5"/>
    <x v="25"/>
    <n v="4512.21"/>
    <n v="5"/>
    <n v="22561.05"/>
    <n v="0"/>
    <n v="0"/>
    <n v="22561.05"/>
    <s v="Debit Card"/>
    <s v="CUST_00240"/>
    <n v="5"/>
    <n v="0"/>
    <n v="4512.21"/>
    <s v="No Discount"/>
  </r>
  <r>
    <s v="TXN_03276"/>
    <d v="2024-05-04T00:00:00"/>
    <x v="3"/>
    <s v="Saturday"/>
    <s v="STORE_003"/>
    <x v="1"/>
    <x v="2"/>
    <x v="2"/>
    <n v="503.11"/>
    <n v="2"/>
    <n v="1006.22"/>
    <n v="0"/>
    <n v="0"/>
    <n v="1006.22"/>
    <s v="Credit Card"/>
    <s v="CUST_00736"/>
    <n v="5"/>
    <n v="0"/>
    <n v="503.11"/>
    <s v="No Discount"/>
  </r>
  <r>
    <s v="TXN_03277"/>
    <d v="2024-06-15T00:00:00"/>
    <x v="10"/>
    <s v="Saturday"/>
    <s v="STORE_046"/>
    <x v="2"/>
    <x v="5"/>
    <x v="25"/>
    <n v="2912.78"/>
    <n v="6"/>
    <n v="17476.68"/>
    <n v="10"/>
    <n v="1747.67"/>
    <n v="15729.01"/>
    <s v="Wallet"/>
    <s v="CUST_00290"/>
    <n v="1"/>
    <n v="1747.67"/>
    <n v="2621.5016666666666"/>
    <s v="Medium"/>
  </r>
  <r>
    <s v="TXN_03278"/>
    <d v="2024-07-11T00:00:00"/>
    <x v="11"/>
    <s v="Thursday"/>
    <s v="STORE_021"/>
    <x v="1"/>
    <x v="1"/>
    <x v="3"/>
    <n v="460.89"/>
    <n v="2"/>
    <n v="921.78"/>
    <n v="0"/>
    <n v="0"/>
    <n v="921.78"/>
    <s v="Debit Card"/>
    <s v="CUST_00417"/>
    <n v="2"/>
    <n v="0"/>
    <n v="460.89"/>
    <s v="No Discount"/>
  </r>
  <r>
    <s v="TXN_03279"/>
    <d v="2024-05-23T00:00:00"/>
    <x v="3"/>
    <s v="Thursday"/>
    <s v="STORE_020"/>
    <x v="0"/>
    <x v="6"/>
    <x v="30"/>
    <n v="1330.53"/>
    <n v="10"/>
    <n v="13305.3"/>
    <n v="0"/>
    <n v="0"/>
    <n v="13305.3"/>
    <s v="Credit Card"/>
    <s v="CUST_00269"/>
    <n v="2"/>
    <n v="0"/>
    <n v="1330.53"/>
    <s v="No Discount"/>
  </r>
  <r>
    <s v="TXN_03280"/>
    <d v="2024-07-20T00:00:00"/>
    <x v="11"/>
    <s v="Saturday"/>
    <s v="STORE_045"/>
    <x v="0"/>
    <x v="4"/>
    <x v="19"/>
    <n v="180.9"/>
    <n v="4"/>
    <n v="723.6"/>
    <n v="10"/>
    <n v="72.36"/>
    <n v="651.24"/>
    <s v="Wallet"/>
    <s v="CUST_00914"/>
    <n v="4"/>
    <n v="72.360000000000014"/>
    <n v="162.81"/>
    <s v="Medium"/>
  </r>
  <r>
    <s v="TXN_03281"/>
    <d v="2024-07-05T00:00:00"/>
    <x v="11"/>
    <s v="Friday"/>
    <s v="STORE_019"/>
    <x v="0"/>
    <x v="1"/>
    <x v="1"/>
    <n v="296.08999999999997"/>
    <n v="2"/>
    <n v="592.17999999999995"/>
    <n v="0"/>
    <n v="0"/>
    <n v="592.17999999999995"/>
    <s v="UPI"/>
    <s v="CUST_00119"/>
    <n v="2"/>
    <n v="0"/>
    <n v="296.08999999999997"/>
    <s v="No Discount"/>
  </r>
  <r>
    <s v="TXN_03282"/>
    <d v="2024-02-28T00:00:00"/>
    <x v="1"/>
    <s v="Wednesday"/>
    <s v="STORE_033"/>
    <x v="2"/>
    <x v="7"/>
    <x v="38"/>
    <n v="331.1"/>
    <n v="3"/>
    <n v="993.3"/>
    <n v="10"/>
    <n v="99.33"/>
    <n v="893.97"/>
    <s v="Credit Card"/>
    <s v="CUST_00230"/>
    <n v="2"/>
    <n v="99.329999999999927"/>
    <n v="297.99"/>
    <s v="Medium"/>
  </r>
  <r>
    <s v="TXN_03283"/>
    <d v="2024-10-15T00:00:00"/>
    <x v="7"/>
    <s v="Tuesday"/>
    <s v="STORE_040"/>
    <x v="4"/>
    <x v="6"/>
    <x v="30"/>
    <n v="935"/>
    <n v="5"/>
    <n v="4675"/>
    <n v="10"/>
    <n v="467.5"/>
    <n v="4207.5"/>
    <s v="Credit Card"/>
    <s v="CUST_00974"/>
    <n v="2"/>
    <n v="467.5"/>
    <n v="841.5"/>
    <s v="Medium"/>
  </r>
  <r>
    <s v="TXN_03284"/>
    <d v="2024-04-12T00:00:00"/>
    <x v="4"/>
    <s v="Friday"/>
    <s v="STORE_025"/>
    <x v="3"/>
    <x v="6"/>
    <x v="26"/>
    <n v="1317.55"/>
    <n v="9"/>
    <n v="11857.95"/>
    <n v="15"/>
    <n v="1778.69"/>
    <n v="10079.26"/>
    <s v="Credit Card"/>
    <s v="CUST_00310"/>
    <n v="5"/>
    <n v="1778.6900000000005"/>
    <n v="1119.9177777777777"/>
    <s v="Medium"/>
  </r>
  <r>
    <s v="TXN_03285"/>
    <d v="2024-10-30T00:00:00"/>
    <x v="7"/>
    <s v="Wednesday"/>
    <s v="STORE_003"/>
    <x v="4"/>
    <x v="4"/>
    <x v="20"/>
    <n v="234.72"/>
    <n v="10"/>
    <n v="2347.1999999999998"/>
    <n v="0"/>
    <n v="0"/>
    <n v="2347.1999999999998"/>
    <s v="Wallet"/>
    <s v="CUST_00158"/>
    <n v="5"/>
    <n v="0"/>
    <n v="234.71999999999997"/>
    <s v="No Discount"/>
  </r>
  <r>
    <s v="TXN_03286"/>
    <d v="2024-10-06T00:00:00"/>
    <x v="7"/>
    <s v="Sunday"/>
    <s v="STORE_029"/>
    <x v="0"/>
    <x v="7"/>
    <x v="38"/>
    <n v="530.63"/>
    <n v="7"/>
    <n v="3714.41"/>
    <n v="10"/>
    <n v="371.44"/>
    <n v="3342.97"/>
    <s v="Debit Card"/>
    <s v="CUST_00240"/>
    <n v="1"/>
    <n v="371.44000000000005"/>
    <n v="477.56714285714281"/>
    <s v="Medium"/>
  </r>
  <r>
    <s v="TXN_03287"/>
    <d v="2024-04-02T00:00:00"/>
    <x v="4"/>
    <s v="Tuesday"/>
    <s v="STORE_006"/>
    <x v="2"/>
    <x v="0"/>
    <x v="4"/>
    <n v="591.24"/>
    <n v="5"/>
    <n v="2956.2"/>
    <n v="15"/>
    <n v="443.43"/>
    <n v="2512.77"/>
    <s v="Credit Card"/>
    <s v="CUST_00879"/>
    <n v="4"/>
    <n v="443.42999999999984"/>
    <n v="502.55399999999997"/>
    <s v="Medium"/>
  </r>
  <r>
    <s v="TXN_03288"/>
    <d v="2024-12-15T00:00:00"/>
    <x v="6"/>
    <s v="Sunday"/>
    <s v="STORE_049"/>
    <x v="3"/>
    <x v="3"/>
    <x v="16"/>
    <n v="2725.36"/>
    <n v="2"/>
    <n v="5450.72"/>
    <n v="10"/>
    <n v="545.07000000000005"/>
    <n v="4905.6499999999996"/>
    <s v="Credit Card"/>
    <s v="CUST_00298"/>
    <n v="5"/>
    <n v="545.07000000000062"/>
    <n v="2452.8249999999998"/>
    <s v="Medium"/>
  </r>
  <r>
    <s v="TXN_03289"/>
    <d v="2024-10-08T00:00:00"/>
    <x v="7"/>
    <s v="Tuesday"/>
    <s v="STORE_011"/>
    <x v="2"/>
    <x v="6"/>
    <x v="15"/>
    <n v="1719.71"/>
    <n v="1"/>
    <n v="1719.71"/>
    <n v="0"/>
    <n v="0"/>
    <n v="1719.71"/>
    <s v="Debit Card"/>
    <s v="CUST_00782"/>
    <n v="2"/>
    <n v="0"/>
    <n v="1719.71"/>
    <s v="No Discount"/>
  </r>
  <r>
    <s v="TXN_03290"/>
    <d v="2024-01-14T00:00:00"/>
    <x v="2"/>
    <s v="Sunday"/>
    <s v="STORE_002"/>
    <x v="3"/>
    <x v="3"/>
    <x v="22"/>
    <n v="2867.52"/>
    <n v="5"/>
    <n v="14337.6"/>
    <n v="10"/>
    <n v="1433.76"/>
    <n v="12903.84"/>
    <s v="Cash"/>
    <s v="CUST_00079"/>
    <n v="4"/>
    <n v="1433.7600000000002"/>
    <n v="2580.768"/>
    <s v="Medium"/>
  </r>
  <r>
    <s v="TXN_03291"/>
    <d v="2024-08-24T00:00:00"/>
    <x v="8"/>
    <s v="Saturday"/>
    <s v="STORE_030"/>
    <x v="1"/>
    <x v="2"/>
    <x v="7"/>
    <n v="432.32"/>
    <n v="7"/>
    <n v="3026.24"/>
    <n v="0"/>
    <n v="0"/>
    <n v="3026.24"/>
    <s v="Credit Card"/>
    <s v="CUST_00770"/>
    <n v="4"/>
    <n v="0"/>
    <n v="432.32"/>
    <s v="No Discount"/>
  </r>
  <r>
    <s v="TXN_03292"/>
    <d v="2024-12-28T00:00:00"/>
    <x v="6"/>
    <s v="Saturday"/>
    <s v="STORE_025"/>
    <x v="0"/>
    <x v="5"/>
    <x v="25"/>
    <n v="3829.94"/>
    <n v="8"/>
    <n v="30639.52"/>
    <n v="0"/>
    <n v="0"/>
    <n v="30639.52"/>
    <s v="Debit Card"/>
    <s v="CUST_00121"/>
    <n v="1"/>
    <n v="0"/>
    <n v="3829.94"/>
    <s v="No Discount"/>
  </r>
  <r>
    <s v="TXN_03293"/>
    <d v="2024-04-17T00:00:00"/>
    <x v="4"/>
    <s v="Wednesday"/>
    <s v="STORE_006"/>
    <x v="2"/>
    <x v="0"/>
    <x v="18"/>
    <n v="868.2"/>
    <n v="8"/>
    <n v="6945.6"/>
    <n v="15"/>
    <n v="1041.8399999999999"/>
    <n v="5903.76"/>
    <s v="Wallet"/>
    <s v="CUST_00324"/>
    <n v="1"/>
    <n v="1041.8400000000001"/>
    <n v="737.97"/>
    <s v="Medium"/>
  </r>
  <r>
    <s v="TXN_03294"/>
    <d v="2024-08-12T00:00:00"/>
    <x v="8"/>
    <s v="Monday"/>
    <s v="STORE_004"/>
    <x v="3"/>
    <x v="1"/>
    <x v="36"/>
    <n v="479.35"/>
    <n v="10"/>
    <n v="4793.5"/>
    <n v="10"/>
    <n v="479.35"/>
    <n v="4314.1499999999996"/>
    <s v="UPI"/>
    <s v="CUST_00409"/>
    <n v="2"/>
    <n v="479.35000000000036"/>
    <n v="431.41499999999996"/>
    <s v="Medium"/>
  </r>
  <r>
    <s v="TXN_03295"/>
    <d v="2024-05-29T00:00:00"/>
    <x v="3"/>
    <s v="Wednesday"/>
    <s v="STORE_039"/>
    <x v="3"/>
    <x v="1"/>
    <x v="36"/>
    <n v="56.15"/>
    <n v="10"/>
    <n v="561.5"/>
    <n v="10"/>
    <n v="56.15"/>
    <n v="505.35"/>
    <s v="Cash"/>
    <s v="CUST_00407"/>
    <n v="4"/>
    <n v="56.149999999999977"/>
    <n v="50.535000000000004"/>
    <s v="Medium"/>
  </r>
  <r>
    <s v="TXN_03296"/>
    <d v="2024-12-20T00:00:00"/>
    <x v="6"/>
    <s v="Friday"/>
    <s v="STORE_002"/>
    <x v="3"/>
    <x v="3"/>
    <x v="12"/>
    <n v="2963.08"/>
    <n v="4"/>
    <n v="11852.32"/>
    <n v="0"/>
    <n v="0"/>
    <n v="11852.32"/>
    <s v="UPI"/>
    <s v="CUST_00111"/>
    <n v="1"/>
    <n v="0"/>
    <n v="2963.08"/>
    <s v="No Discount"/>
  </r>
  <r>
    <s v="TXN_03297"/>
    <d v="2024-02-05T00:00:00"/>
    <x v="1"/>
    <s v="Monday"/>
    <s v="STORE_018"/>
    <x v="2"/>
    <x v="4"/>
    <x v="17"/>
    <n v="518.46"/>
    <n v="1"/>
    <n v="518.46"/>
    <n v="10"/>
    <n v="51.85"/>
    <n v="466.61"/>
    <s v="UPI"/>
    <s v="CUST_00573"/>
    <n v="1"/>
    <n v="51.850000000000023"/>
    <n v="466.61"/>
    <s v="Medium"/>
  </r>
  <r>
    <s v="TXN_03298"/>
    <d v="2024-07-28T00:00:00"/>
    <x v="11"/>
    <s v="Sunday"/>
    <s v="STORE_049"/>
    <x v="3"/>
    <x v="0"/>
    <x v="0"/>
    <n v="399.72"/>
    <n v="4"/>
    <n v="1598.88"/>
    <n v="0"/>
    <n v="0"/>
    <n v="1598.88"/>
    <s v="Debit Card"/>
    <s v="CUST_00346"/>
    <n v="1"/>
    <n v="0"/>
    <n v="399.72"/>
    <s v="No Discount"/>
  </r>
  <r>
    <s v="TXN_03299"/>
    <d v="2024-12-10T00:00:00"/>
    <x v="6"/>
    <s v="Tuesday"/>
    <s v="STORE_013"/>
    <x v="4"/>
    <x v="1"/>
    <x v="6"/>
    <n v="178.39"/>
    <n v="9"/>
    <n v="1605.51"/>
    <n v="15"/>
    <n v="240.83"/>
    <n v="1364.68"/>
    <s v="Wallet"/>
    <s v="CUST_00897"/>
    <n v="5"/>
    <n v="240.82999999999993"/>
    <n v="151.63111111111112"/>
    <s v="Medium"/>
  </r>
  <r>
    <s v="TXN_03300"/>
    <d v="2024-09-12T00:00:00"/>
    <x v="9"/>
    <s v="Thursday"/>
    <s v="STORE_032"/>
    <x v="0"/>
    <x v="5"/>
    <x v="11"/>
    <n v="2872.48"/>
    <n v="10"/>
    <n v="28724.799999999999"/>
    <n v="15"/>
    <n v="4308.72"/>
    <n v="24416.080000000002"/>
    <s v="Credit Card"/>
    <s v="CUST_00146"/>
    <n v="5"/>
    <n v="4308.7199999999975"/>
    <n v="2441.6080000000002"/>
    <s v="Medium"/>
  </r>
  <r>
    <s v="TXN_03301"/>
    <d v="2024-03-12T00:00:00"/>
    <x v="5"/>
    <s v="Tuesday"/>
    <s v="STORE_022"/>
    <x v="1"/>
    <x v="4"/>
    <x v="17"/>
    <n v="527.30999999999995"/>
    <n v="3"/>
    <n v="1581.93"/>
    <n v="15"/>
    <n v="237.29"/>
    <n v="1344.64"/>
    <s v="Cash"/>
    <s v="CUST_00365"/>
    <n v="5"/>
    <n v="237.28999999999996"/>
    <n v="448.21333333333337"/>
    <s v="Medium"/>
  </r>
  <r>
    <s v="TXN_03302"/>
    <d v="2024-11-20T00:00:00"/>
    <x v="0"/>
    <s v="Wednesday"/>
    <s v="STORE_014"/>
    <x v="1"/>
    <x v="4"/>
    <x v="8"/>
    <n v="245.21"/>
    <n v="2"/>
    <n v="490.42"/>
    <n v="10"/>
    <n v="49.04"/>
    <n v="441.38"/>
    <s v="UPI"/>
    <s v="CUST_00532"/>
    <n v="1"/>
    <n v="49.04000000000002"/>
    <n v="220.69"/>
    <s v="Medium"/>
  </r>
  <r>
    <s v="TXN_03303"/>
    <d v="2024-06-04T00:00:00"/>
    <x v="10"/>
    <s v="Tuesday"/>
    <s v="STORE_046"/>
    <x v="3"/>
    <x v="5"/>
    <x v="11"/>
    <n v="2713.46"/>
    <n v="9"/>
    <n v="24421.14"/>
    <n v="10"/>
    <n v="2442.11"/>
    <n v="21979.03"/>
    <s v="Debit Card"/>
    <s v="CUST_00201"/>
    <n v="5"/>
    <n v="2442.1100000000006"/>
    <n v="2442.1144444444444"/>
    <s v="Medium"/>
  </r>
  <r>
    <s v="TXN_03304"/>
    <d v="2024-05-03T00:00:00"/>
    <x v="3"/>
    <s v="Friday"/>
    <s v="STORE_002"/>
    <x v="2"/>
    <x v="0"/>
    <x v="27"/>
    <n v="872.95"/>
    <n v="4"/>
    <n v="3491.8"/>
    <n v="0"/>
    <n v="0"/>
    <n v="3491.8"/>
    <s v="Debit Card"/>
    <s v="CUST_00265"/>
    <n v="5"/>
    <n v="0"/>
    <n v="872.95"/>
    <s v="No Discount"/>
  </r>
  <r>
    <s v="TXN_03305"/>
    <d v="2024-05-09T00:00:00"/>
    <x v="3"/>
    <s v="Thursday"/>
    <s v="STORE_027"/>
    <x v="1"/>
    <x v="3"/>
    <x v="5"/>
    <n v="914.94"/>
    <n v="6"/>
    <n v="5489.64"/>
    <n v="10"/>
    <n v="548.96"/>
    <n v="4940.68"/>
    <s v="Cash"/>
    <s v="CUST_00530"/>
    <n v="4"/>
    <n v="548.96"/>
    <n v="823.44666666666672"/>
    <s v="Medium"/>
  </r>
  <r>
    <s v="TXN_03306"/>
    <d v="2024-12-03T00:00:00"/>
    <x v="6"/>
    <s v="Tuesday"/>
    <s v="STORE_032"/>
    <x v="2"/>
    <x v="0"/>
    <x v="4"/>
    <n v="954.98"/>
    <n v="5"/>
    <n v="4774.8999999999996"/>
    <n v="0"/>
    <n v="0"/>
    <n v="4774.8999999999996"/>
    <s v="UPI"/>
    <s v="CUST_00134"/>
    <n v="2"/>
    <n v="0"/>
    <n v="954.9799999999999"/>
    <s v="No Discount"/>
  </r>
  <r>
    <s v="TXN_03307"/>
    <d v="2024-03-19T00:00:00"/>
    <x v="5"/>
    <s v="Tuesday"/>
    <s v="STORE_037"/>
    <x v="3"/>
    <x v="6"/>
    <x v="33"/>
    <n v="841.98"/>
    <n v="8"/>
    <n v="6735.84"/>
    <n v="0"/>
    <n v="0"/>
    <n v="6735.84"/>
    <s v="Cash"/>
    <s v="CUST_00493"/>
    <n v="2"/>
    <n v="0"/>
    <n v="841.98"/>
    <s v="No Discount"/>
  </r>
  <r>
    <s v="TXN_03308"/>
    <d v="2024-08-04T00:00:00"/>
    <x v="8"/>
    <s v="Sunday"/>
    <s v="STORE_033"/>
    <x v="2"/>
    <x v="0"/>
    <x v="18"/>
    <n v="297.45999999999998"/>
    <n v="6"/>
    <n v="1784.76"/>
    <n v="10"/>
    <n v="178.48"/>
    <n v="1606.28"/>
    <s v="Cash"/>
    <s v="CUST_00114"/>
    <n v="1"/>
    <n v="178.48000000000002"/>
    <n v="267.71333333333331"/>
    <s v="Medium"/>
  </r>
  <r>
    <s v="TXN_03309"/>
    <d v="2024-07-12T00:00:00"/>
    <x v="11"/>
    <s v="Friday"/>
    <s v="STORE_008"/>
    <x v="1"/>
    <x v="2"/>
    <x v="39"/>
    <n v="659.48"/>
    <n v="6"/>
    <n v="3956.88"/>
    <n v="5"/>
    <n v="197.84"/>
    <n v="3759.04"/>
    <s v="Debit Card"/>
    <s v="CUST_00729"/>
    <n v="5"/>
    <n v="197.84000000000015"/>
    <n v="626.50666666666666"/>
    <s v="Low"/>
  </r>
  <r>
    <s v="TXN_03310"/>
    <d v="2024-02-07T00:00:00"/>
    <x v="1"/>
    <s v="Wednesday"/>
    <s v="STORE_008"/>
    <x v="2"/>
    <x v="3"/>
    <x v="5"/>
    <n v="2696.57"/>
    <n v="2"/>
    <n v="5393.14"/>
    <n v="5"/>
    <n v="269.66000000000003"/>
    <n v="5123.4799999999996"/>
    <s v="Wallet"/>
    <s v="CUST_00315"/>
    <n v="4"/>
    <n v="269.66000000000076"/>
    <n v="2561.7399999999998"/>
    <s v="Low"/>
  </r>
  <r>
    <s v="TXN_03311"/>
    <d v="2024-08-17T00:00:00"/>
    <x v="8"/>
    <s v="Saturday"/>
    <s v="STORE_039"/>
    <x v="0"/>
    <x v="0"/>
    <x v="18"/>
    <n v="887.8"/>
    <n v="7"/>
    <n v="6214.6"/>
    <n v="0"/>
    <n v="0"/>
    <n v="6214.6"/>
    <s v="Credit Card"/>
    <s v="CUST_00410"/>
    <n v="5"/>
    <n v="0"/>
    <n v="887.80000000000007"/>
    <s v="No Discount"/>
  </r>
  <r>
    <s v="TXN_03312"/>
    <d v="2024-11-02T00:00:00"/>
    <x v="0"/>
    <s v="Saturday"/>
    <s v="STORE_012"/>
    <x v="3"/>
    <x v="6"/>
    <x v="15"/>
    <n v="1012.54"/>
    <n v="5"/>
    <n v="5062.7"/>
    <n v="5"/>
    <n v="253.13"/>
    <n v="4809.57"/>
    <s v="Cash"/>
    <s v="CUST_00513"/>
    <n v="3"/>
    <n v="253.13000000000011"/>
    <n v="961.91399999999999"/>
    <s v="Low"/>
  </r>
  <r>
    <s v="TXN_03313"/>
    <d v="2024-09-02T00:00:00"/>
    <x v="9"/>
    <s v="Monday"/>
    <s v="STORE_029"/>
    <x v="2"/>
    <x v="3"/>
    <x v="5"/>
    <n v="1618.36"/>
    <n v="5"/>
    <n v="8091.8"/>
    <n v="20"/>
    <n v="1618.36"/>
    <n v="6473.44"/>
    <s v="Debit Card"/>
    <s v="CUST_00274"/>
    <n v="4"/>
    <n v="1618.3600000000006"/>
    <n v="1294.6879999999999"/>
    <s v="High"/>
  </r>
  <r>
    <s v="TXN_03314"/>
    <d v="2024-10-25T00:00:00"/>
    <x v="7"/>
    <s v="Friday"/>
    <s v="STORE_022"/>
    <x v="4"/>
    <x v="6"/>
    <x v="14"/>
    <n v="935.1"/>
    <n v="5"/>
    <n v="4675.5"/>
    <n v="15"/>
    <n v="701.32"/>
    <n v="3974.18"/>
    <s v="Cash"/>
    <s v="CUST_00363"/>
    <n v="3"/>
    <n v="701.32000000000016"/>
    <n v="794.83600000000001"/>
    <s v="Medium"/>
  </r>
  <r>
    <s v="TXN_03315"/>
    <d v="2024-07-24T00:00:00"/>
    <x v="11"/>
    <s v="Wednesday"/>
    <s v="STORE_039"/>
    <x v="3"/>
    <x v="0"/>
    <x v="4"/>
    <n v="222.93"/>
    <n v="4"/>
    <n v="891.72"/>
    <n v="0"/>
    <n v="0"/>
    <n v="891.72"/>
    <s v="Credit Card"/>
    <s v="CUST_00659"/>
    <n v="1"/>
    <n v="0"/>
    <n v="222.93"/>
    <s v="No Discount"/>
  </r>
  <r>
    <s v="TXN_03316"/>
    <d v="2024-09-30T00:00:00"/>
    <x v="9"/>
    <s v="Monday"/>
    <s v="STORE_038"/>
    <x v="3"/>
    <x v="5"/>
    <x v="11"/>
    <n v="2986.17"/>
    <n v="3"/>
    <n v="8958.51"/>
    <n v="0"/>
    <n v="0"/>
    <n v="8958.51"/>
    <s v="Wallet"/>
    <s v="CUST_00929"/>
    <n v="4"/>
    <n v="0"/>
    <n v="2986.17"/>
    <s v="No Discount"/>
  </r>
  <r>
    <s v="TXN_03317"/>
    <d v="2024-09-16T00:00:00"/>
    <x v="9"/>
    <s v="Monday"/>
    <s v="STORE_034"/>
    <x v="0"/>
    <x v="2"/>
    <x v="29"/>
    <n v="583.33000000000004"/>
    <n v="8"/>
    <n v="4666.6400000000003"/>
    <n v="15"/>
    <n v="700"/>
    <n v="3966.64"/>
    <s v="Debit Card"/>
    <s v="CUST_00548"/>
    <n v="4"/>
    <n v="700.00000000000045"/>
    <n v="495.83"/>
    <s v="Medium"/>
  </r>
  <r>
    <s v="TXN_03318"/>
    <d v="2024-12-20T00:00:00"/>
    <x v="6"/>
    <s v="Friday"/>
    <s v="STORE_038"/>
    <x v="0"/>
    <x v="4"/>
    <x v="8"/>
    <n v="574.04"/>
    <n v="6"/>
    <n v="3444.24"/>
    <n v="20"/>
    <n v="688.85"/>
    <n v="2755.39"/>
    <s v="UPI"/>
    <s v="CUST_00265"/>
    <n v="1"/>
    <n v="688.84999999999991"/>
    <n v="459.23166666666663"/>
    <s v="High"/>
  </r>
  <r>
    <s v="TXN_03319"/>
    <d v="2024-08-02T00:00:00"/>
    <x v="8"/>
    <s v="Friday"/>
    <s v="STORE_035"/>
    <x v="2"/>
    <x v="6"/>
    <x v="26"/>
    <n v="1360.38"/>
    <n v="7"/>
    <n v="9522.66"/>
    <n v="15"/>
    <n v="1428.4"/>
    <n v="8094.26"/>
    <s v="Cash"/>
    <s v="CUST_00072"/>
    <n v="1"/>
    <n v="1428.3999999999996"/>
    <n v="1156.3228571428572"/>
    <s v="Medium"/>
  </r>
  <r>
    <s v="TXN_03320"/>
    <d v="2024-10-05T00:00:00"/>
    <x v="7"/>
    <s v="Saturday"/>
    <s v="STORE_018"/>
    <x v="4"/>
    <x v="3"/>
    <x v="5"/>
    <n v="2449.88"/>
    <n v="5"/>
    <n v="12249.4"/>
    <n v="20"/>
    <n v="2449.88"/>
    <n v="9799.52"/>
    <s v="Credit Card"/>
    <s v="CUST_00644"/>
    <n v="2"/>
    <n v="2449.8799999999992"/>
    <n v="1959.904"/>
    <s v="High"/>
  </r>
  <r>
    <s v="TXN_03321"/>
    <d v="2024-01-19T00:00:00"/>
    <x v="2"/>
    <s v="Friday"/>
    <s v="STORE_001"/>
    <x v="3"/>
    <x v="2"/>
    <x v="7"/>
    <n v="290.41000000000003"/>
    <n v="8"/>
    <n v="2323.2800000000002"/>
    <n v="20"/>
    <n v="464.66"/>
    <n v="1858.62"/>
    <s v="UPI"/>
    <s v="CUST_00177"/>
    <n v="1"/>
    <n v="464.66000000000031"/>
    <n v="232.32749999999999"/>
    <s v="High"/>
  </r>
  <r>
    <s v="TXN_03322"/>
    <d v="2024-07-03T00:00:00"/>
    <x v="11"/>
    <s v="Wednesday"/>
    <s v="STORE_012"/>
    <x v="4"/>
    <x v="1"/>
    <x v="3"/>
    <n v="198.82"/>
    <n v="10"/>
    <n v="1988.2"/>
    <n v="0"/>
    <n v="0"/>
    <n v="1988.2"/>
    <s v="Credit Card"/>
    <s v="CUST_00978"/>
    <n v="3"/>
    <n v="0"/>
    <n v="198.82"/>
    <s v="No Discount"/>
  </r>
  <r>
    <s v="TXN_03323"/>
    <d v="2024-12-25T00:00:00"/>
    <x v="6"/>
    <s v="Wednesday"/>
    <s v="STORE_019"/>
    <x v="0"/>
    <x v="4"/>
    <x v="35"/>
    <n v="278.29000000000002"/>
    <n v="7"/>
    <n v="1948.03"/>
    <n v="5"/>
    <n v="97.4"/>
    <n v="1850.63"/>
    <s v="Wallet"/>
    <s v="CUST_00856"/>
    <n v="3"/>
    <n v="97.399999999999864"/>
    <n v="264.37571428571431"/>
    <s v="Low"/>
  </r>
  <r>
    <s v="TXN_03324"/>
    <d v="2024-10-01T00:00:00"/>
    <x v="7"/>
    <s v="Tuesday"/>
    <s v="STORE_031"/>
    <x v="1"/>
    <x v="7"/>
    <x v="37"/>
    <n v="1311.08"/>
    <n v="6"/>
    <n v="7866.48"/>
    <n v="20"/>
    <n v="1573.3"/>
    <n v="6293.18"/>
    <s v="UPI"/>
    <s v="CUST_00173"/>
    <n v="2"/>
    <n v="1573.2999999999993"/>
    <n v="1048.8633333333335"/>
    <s v="High"/>
  </r>
  <r>
    <s v="TXN_03325"/>
    <d v="2024-10-31T00:00:00"/>
    <x v="7"/>
    <s v="Thursday"/>
    <s v="STORE_018"/>
    <x v="1"/>
    <x v="6"/>
    <x v="30"/>
    <n v="668.37"/>
    <n v="2"/>
    <n v="1336.74"/>
    <n v="15"/>
    <n v="200.51"/>
    <n v="1136.23"/>
    <s v="UPI"/>
    <s v="CUST_00473"/>
    <n v="2"/>
    <n v="200.51"/>
    <n v="568.11500000000001"/>
    <s v="Medium"/>
  </r>
  <r>
    <s v="TXN_03326"/>
    <d v="2024-11-22T00:00:00"/>
    <x v="0"/>
    <s v="Friday"/>
    <s v="STORE_046"/>
    <x v="0"/>
    <x v="2"/>
    <x v="39"/>
    <n v="509.55"/>
    <n v="4"/>
    <n v="2038.2"/>
    <n v="0"/>
    <n v="0"/>
    <n v="2038.2"/>
    <s v="Credit Card"/>
    <s v="CUST_00565"/>
    <n v="4"/>
    <n v="0"/>
    <n v="509.55"/>
    <s v="No Discount"/>
  </r>
  <r>
    <s v="TXN_03327"/>
    <d v="2024-02-13T00:00:00"/>
    <x v="1"/>
    <s v="Tuesday"/>
    <s v="STORE_044"/>
    <x v="2"/>
    <x v="3"/>
    <x v="12"/>
    <n v="1383.18"/>
    <n v="9"/>
    <n v="12448.62"/>
    <n v="10"/>
    <n v="1244.8599999999999"/>
    <n v="11203.76"/>
    <s v="UPI"/>
    <s v="CUST_00055"/>
    <n v="1"/>
    <n v="1244.8600000000006"/>
    <n v="1244.8622222222223"/>
    <s v="Medium"/>
  </r>
  <r>
    <s v="TXN_03328"/>
    <d v="2024-02-25T00:00:00"/>
    <x v="1"/>
    <s v="Sunday"/>
    <s v="STORE_019"/>
    <x v="1"/>
    <x v="7"/>
    <x v="37"/>
    <n v="315.31"/>
    <n v="9"/>
    <n v="2837.79"/>
    <n v="0"/>
    <n v="0"/>
    <n v="2837.79"/>
    <s v="Debit Card"/>
    <s v="CUST_00460"/>
    <n v="5"/>
    <n v="0"/>
    <n v="315.31"/>
    <s v="No Discount"/>
  </r>
  <r>
    <s v="TXN_03329"/>
    <d v="2024-05-07T00:00:00"/>
    <x v="3"/>
    <s v="Tuesday"/>
    <s v="STORE_020"/>
    <x v="4"/>
    <x v="0"/>
    <x v="18"/>
    <n v="790.13"/>
    <n v="4"/>
    <n v="3160.52"/>
    <n v="0"/>
    <n v="0"/>
    <n v="3160.52"/>
    <s v="Cash"/>
    <s v="CUST_00289"/>
    <n v="5"/>
    <n v="0"/>
    <n v="790.13"/>
    <s v="No Discount"/>
  </r>
  <r>
    <s v="TXN_03330"/>
    <d v="2024-12-02T00:00:00"/>
    <x v="6"/>
    <s v="Monday"/>
    <s v="STORE_035"/>
    <x v="0"/>
    <x v="7"/>
    <x v="24"/>
    <n v="508.48"/>
    <n v="4"/>
    <n v="2033.92"/>
    <n v="0"/>
    <n v="0"/>
    <n v="2033.92"/>
    <s v="Cash"/>
    <s v="CUST_00656"/>
    <n v="2"/>
    <n v="0"/>
    <n v="508.48"/>
    <s v="No Discount"/>
  </r>
  <r>
    <s v="TXN_03331"/>
    <d v="2024-12-06T00:00:00"/>
    <x v="6"/>
    <s v="Friday"/>
    <s v="STORE_026"/>
    <x v="3"/>
    <x v="3"/>
    <x v="5"/>
    <n v="673.15"/>
    <n v="9"/>
    <n v="6058.35"/>
    <n v="20"/>
    <n v="1211.67"/>
    <n v="4846.68"/>
    <s v="UPI"/>
    <s v="CUST_00588"/>
    <n v="3"/>
    <n v="1211.67"/>
    <n v="538.52"/>
    <s v="High"/>
  </r>
  <r>
    <s v="TXN_03332"/>
    <d v="2024-06-30T00:00:00"/>
    <x v="10"/>
    <s v="Sunday"/>
    <s v="STORE_018"/>
    <x v="3"/>
    <x v="7"/>
    <x v="38"/>
    <n v="357.93"/>
    <n v="3"/>
    <n v="1073.79"/>
    <n v="5"/>
    <n v="53.69"/>
    <n v="1020.1"/>
    <s v="Cash"/>
    <s v="CUST_00974"/>
    <n v="4"/>
    <n v="53.689999999999941"/>
    <n v="340.03333333333336"/>
    <s v="Low"/>
  </r>
  <r>
    <s v="TXN_03333"/>
    <d v="2024-03-26T00:00:00"/>
    <x v="5"/>
    <s v="Tuesday"/>
    <s v="STORE_047"/>
    <x v="2"/>
    <x v="1"/>
    <x v="36"/>
    <n v="422.57"/>
    <n v="6"/>
    <n v="2535.42"/>
    <n v="10"/>
    <n v="253.54"/>
    <n v="2281.88"/>
    <s v="Wallet"/>
    <s v="CUST_00856"/>
    <n v="2"/>
    <n v="253.53999999999996"/>
    <n v="380.31333333333333"/>
    <s v="Medium"/>
  </r>
  <r>
    <s v="TXN_03334"/>
    <d v="2024-11-27T00:00:00"/>
    <x v="0"/>
    <s v="Wednesday"/>
    <s v="STORE_005"/>
    <x v="2"/>
    <x v="1"/>
    <x v="36"/>
    <n v="353.81"/>
    <n v="9"/>
    <n v="3184.29"/>
    <n v="20"/>
    <n v="636.86"/>
    <n v="2547.4299999999998"/>
    <s v="Wallet"/>
    <s v="CUST_00500"/>
    <n v="3"/>
    <n v="636.86000000000013"/>
    <n v="283.04777777777775"/>
    <s v="High"/>
  </r>
  <r>
    <s v="TXN_03335"/>
    <d v="2024-11-09T00:00:00"/>
    <x v="0"/>
    <s v="Saturday"/>
    <s v="STORE_017"/>
    <x v="1"/>
    <x v="7"/>
    <x v="28"/>
    <n v="1486.61"/>
    <n v="2"/>
    <n v="2973.22"/>
    <n v="0"/>
    <n v="0"/>
    <n v="2973.22"/>
    <s v="Cash"/>
    <s v="CUST_00391"/>
    <n v="4"/>
    <n v="0"/>
    <n v="1486.61"/>
    <s v="No Discount"/>
  </r>
  <r>
    <s v="TXN_03336"/>
    <d v="2024-01-23T00:00:00"/>
    <x v="2"/>
    <s v="Tuesday"/>
    <s v="STORE_030"/>
    <x v="1"/>
    <x v="7"/>
    <x v="28"/>
    <n v="1499.23"/>
    <n v="9"/>
    <n v="13493.07"/>
    <n v="0"/>
    <n v="0"/>
    <n v="13493.07"/>
    <s v="Credit Card"/>
    <s v="CUST_00820"/>
    <n v="5"/>
    <n v="0"/>
    <n v="1499.23"/>
    <s v="No Discount"/>
  </r>
  <r>
    <s v="TXN_03337"/>
    <d v="2024-10-15T00:00:00"/>
    <x v="7"/>
    <s v="Tuesday"/>
    <s v="STORE_047"/>
    <x v="4"/>
    <x v="2"/>
    <x v="29"/>
    <n v="612.02"/>
    <n v="5"/>
    <n v="3060.1"/>
    <n v="20"/>
    <n v="612.02"/>
    <n v="2448.08"/>
    <s v="UPI"/>
    <s v="CUST_00940"/>
    <n v="2"/>
    <n v="612.02"/>
    <n v="489.61599999999999"/>
    <s v="High"/>
  </r>
  <r>
    <s v="TXN_03338"/>
    <d v="2024-11-26T00:00:00"/>
    <x v="0"/>
    <s v="Tuesday"/>
    <s v="STORE_030"/>
    <x v="2"/>
    <x v="4"/>
    <x v="20"/>
    <n v="258.52999999999997"/>
    <n v="8"/>
    <n v="2068.2399999999998"/>
    <n v="0"/>
    <n v="0"/>
    <n v="2068.2399999999998"/>
    <s v="Wallet"/>
    <s v="CUST_00058"/>
    <n v="4"/>
    <n v="0"/>
    <n v="258.52999999999997"/>
    <s v="No Discount"/>
  </r>
  <r>
    <s v="TXN_03339"/>
    <d v="2024-12-12T00:00:00"/>
    <x v="6"/>
    <s v="Thursday"/>
    <s v="STORE_016"/>
    <x v="0"/>
    <x v="1"/>
    <x v="3"/>
    <n v="302.23"/>
    <n v="2"/>
    <n v="604.46"/>
    <n v="15"/>
    <n v="90.67"/>
    <n v="513.79"/>
    <s v="Debit Card"/>
    <s v="CUST_00343"/>
    <n v="3"/>
    <n v="90.670000000000073"/>
    <n v="256.89499999999998"/>
    <s v="Medium"/>
  </r>
  <r>
    <s v="TXN_03340"/>
    <d v="2024-11-27T00:00:00"/>
    <x v="0"/>
    <s v="Wednesday"/>
    <s v="STORE_011"/>
    <x v="0"/>
    <x v="7"/>
    <x v="38"/>
    <n v="403.86"/>
    <n v="9"/>
    <n v="3634.74"/>
    <n v="20"/>
    <n v="726.95"/>
    <n v="2907.79"/>
    <s v="Credit Card"/>
    <s v="CUST_00416"/>
    <n v="5"/>
    <n v="726.94999999999982"/>
    <n v="323.08777777777777"/>
    <s v="High"/>
  </r>
  <r>
    <s v="TXN_03341"/>
    <d v="2024-07-23T00:00:00"/>
    <x v="11"/>
    <s v="Tuesday"/>
    <s v="STORE_027"/>
    <x v="2"/>
    <x v="1"/>
    <x v="3"/>
    <n v="487.22"/>
    <n v="1"/>
    <n v="487.22"/>
    <n v="10"/>
    <n v="48.72"/>
    <n v="438.5"/>
    <s v="UPI"/>
    <s v="CUST_00152"/>
    <n v="4"/>
    <n v="48.720000000000027"/>
    <n v="438.5"/>
    <s v="Medium"/>
  </r>
  <r>
    <s v="TXN_03342"/>
    <d v="2024-06-18T00:00:00"/>
    <x v="10"/>
    <s v="Tuesday"/>
    <s v="STORE_042"/>
    <x v="1"/>
    <x v="0"/>
    <x v="32"/>
    <n v="928.45"/>
    <n v="4"/>
    <n v="3713.8"/>
    <n v="10"/>
    <n v="371.38"/>
    <n v="3342.42"/>
    <s v="Debit Card"/>
    <s v="CUST_00471"/>
    <n v="5"/>
    <n v="371.38000000000011"/>
    <n v="835.60500000000002"/>
    <s v="Medium"/>
  </r>
  <r>
    <s v="TXN_03343"/>
    <d v="2024-08-08T00:00:00"/>
    <x v="8"/>
    <s v="Thursday"/>
    <s v="STORE_001"/>
    <x v="0"/>
    <x v="7"/>
    <x v="37"/>
    <n v="668.93"/>
    <n v="9"/>
    <n v="6020.37"/>
    <n v="0"/>
    <n v="0"/>
    <n v="6020.37"/>
    <s v="Credit Card"/>
    <s v="CUST_00700"/>
    <n v="1"/>
    <n v="0"/>
    <n v="668.93"/>
    <s v="No Discount"/>
  </r>
  <r>
    <s v="TXN_03344"/>
    <d v="2024-02-24T00:00:00"/>
    <x v="1"/>
    <s v="Saturday"/>
    <s v="STORE_003"/>
    <x v="0"/>
    <x v="1"/>
    <x v="36"/>
    <n v="424.38"/>
    <n v="10"/>
    <n v="4243.8"/>
    <n v="20"/>
    <n v="848.76"/>
    <n v="3395.04"/>
    <s v="Credit Card"/>
    <s v="CUST_00500"/>
    <n v="4"/>
    <n v="848.76000000000022"/>
    <n v="339.50400000000002"/>
    <s v="High"/>
  </r>
  <r>
    <s v="TXN_03345"/>
    <d v="2024-01-06T00:00:00"/>
    <x v="2"/>
    <s v="Saturday"/>
    <s v="STORE_015"/>
    <x v="0"/>
    <x v="6"/>
    <x v="26"/>
    <n v="1447.27"/>
    <n v="7"/>
    <n v="10130.89"/>
    <n v="15"/>
    <n v="1519.63"/>
    <n v="8611.26"/>
    <s v="UPI"/>
    <s v="CUST_00038"/>
    <n v="5"/>
    <n v="1519.6299999999992"/>
    <n v="1230.18"/>
    <s v="Medium"/>
  </r>
  <r>
    <s v="TXN_03346"/>
    <d v="2024-02-20T00:00:00"/>
    <x v="1"/>
    <s v="Tuesday"/>
    <s v="STORE_018"/>
    <x v="4"/>
    <x v="1"/>
    <x v="36"/>
    <n v="306.79000000000002"/>
    <n v="9"/>
    <n v="2761.11"/>
    <n v="0"/>
    <n v="0"/>
    <n v="2761.11"/>
    <s v="Cash"/>
    <s v="CUST_00159"/>
    <n v="5"/>
    <n v="0"/>
    <n v="306.79000000000002"/>
    <s v="No Discount"/>
  </r>
  <r>
    <s v="TXN_03347"/>
    <d v="2024-05-12T00:00:00"/>
    <x v="3"/>
    <s v="Sunday"/>
    <s v="STORE_040"/>
    <x v="3"/>
    <x v="0"/>
    <x v="4"/>
    <n v="778.03"/>
    <n v="9"/>
    <n v="7002.27"/>
    <n v="5"/>
    <n v="350.11"/>
    <n v="6652.16"/>
    <s v="UPI"/>
    <s v="CUST_00356"/>
    <n v="2"/>
    <n v="350.11000000000058"/>
    <n v="739.12888888888892"/>
    <s v="Low"/>
  </r>
  <r>
    <s v="TXN_03348"/>
    <d v="2024-04-23T00:00:00"/>
    <x v="4"/>
    <s v="Tuesday"/>
    <s v="STORE_021"/>
    <x v="3"/>
    <x v="6"/>
    <x v="33"/>
    <n v="1697.67"/>
    <n v="5"/>
    <n v="8488.35"/>
    <n v="20"/>
    <n v="1697.67"/>
    <n v="6790.68"/>
    <s v="Cash"/>
    <s v="CUST_00137"/>
    <n v="4"/>
    <n v="1697.67"/>
    <n v="1358.136"/>
    <s v="High"/>
  </r>
  <r>
    <s v="TXN_03349"/>
    <d v="2024-09-18T00:00:00"/>
    <x v="9"/>
    <s v="Wednesday"/>
    <s v="STORE_011"/>
    <x v="4"/>
    <x v="0"/>
    <x v="4"/>
    <n v="516.13"/>
    <n v="5"/>
    <n v="2580.65"/>
    <n v="0"/>
    <n v="0"/>
    <n v="2580.65"/>
    <s v="Wallet"/>
    <s v="CUST_00106"/>
    <n v="5"/>
    <n v="0"/>
    <n v="516.13"/>
    <s v="No Discount"/>
  </r>
  <r>
    <s v="TXN_03350"/>
    <d v="2024-09-22T00:00:00"/>
    <x v="9"/>
    <s v="Sunday"/>
    <s v="STORE_003"/>
    <x v="0"/>
    <x v="1"/>
    <x v="3"/>
    <n v="172.15"/>
    <n v="8"/>
    <n v="1377.2"/>
    <n v="10"/>
    <n v="137.72"/>
    <n v="1239.48"/>
    <s v="Cash"/>
    <s v="CUST_00315"/>
    <n v="1"/>
    <n v="137.72000000000003"/>
    <n v="154.935"/>
    <s v="Medium"/>
  </r>
  <r>
    <s v="TXN_03351"/>
    <d v="2024-10-12T00:00:00"/>
    <x v="7"/>
    <s v="Saturday"/>
    <s v="STORE_026"/>
    <x v="4"/>
    <x v="4"/>
    <x v="20"/>
    <n v="489.66"/>
    <n v="1"/>
    <n v="489.66"/>
    <n v="0"/>
    <n v="0"/>
    <n v="489.66"/>
    <s v="UPI"/>
    <s v="CUST_00232"/>
    <n v="2"/>
    <n v="0"/>
    <n v="489.66"/>
    <s v="No Discount"/>
  </r>
  <r>
    <s v="TXN_03352"/>
    <d v="2024-10-24T00:00:00"/>
    <x v="7"/>
    <s v="Thursday"/>
    <s v="STORE_011"/>
    <x v="1"/>
    <x v="6"/>
    <x v="14"/>
    <n v="687.51"/>
    <n v="7"/>
    <n v="4812.57"/>
    <n v="15"/>
    <n v="721.89"/>
    <n v="4090.68"/>
    <s v="Cash"/>
    <s v="CUST_00976"/>
    <n v="3"/>
    <n v="721.88999999999987"/>
    <n v="584.38285714285712"/>
    <s v="Medium"/>
  </r>
  <r>
    <s v="TXN_03353"/>
    <d v="2024-12-18T00:00:00"/>
    <x v="6"/>
    <s v="Wednesday"/>
    <s v="STORE_049"/>
    <x v="1"/>
    <x v="1"/>
    <x v="31"/>
    <n v="158.68"/>
    <n v="10"/>
    <n v="1586.8"/>
    <n v="15"/>
    <n v="238.02"/>
    <n v="1348.78"/>
    <s v="Credit Card"/>
    <s v="CUST_00795"/>
    <n v="4"/>
    <n v="238.01999999999998"/>
    <n v="134.87799999999999"/>
    <s v="Medium"/>
  </r>
  <r>
    <s v="TXN_03354"/>
    <d v="2024-10-21T00:00:00"/>
    <x v="7"/>
    <s v="Monday"/>
    <s v="STORE_010"/>
    <x v="0"/>
    <x v="6"/>
    <x v="33"/>
    <n v="840.65"/>
    <n v="2"/>
    <n v="1681.3"/>
    <n v="5"/>
    <n v="84.06"/>
    <n v="1597.24"/>
    <s v="Wallet"/>
    <s v="CUST_00279"/>
    <n v="3"/>
    <n v="84.059999999999945"/>
    <n v="798.62"/>
    <s v="Low"/>
  </r>
  <r>
    <s v="TXN_03355"/>
    <d v="2024-04-23T00:00:00"/>
    <x v="4"/>
    <s v="Tuesday"/>
    <s v="STORE_046"/>
    <x v="4"/>
    <x v="1"/>
    <x v="1"/>
    <n v="385.08"/>
    <n v="6"/>
    <n v="2310.48"/>
    <n v="0"/>
    <n v="0"/>
    <n v="2310.48"/>
    <s v="Debit Card"/>
    <s v="CUST_00205"/>
    <n v="3"/>
    <n v="0"/>
    <n v="385.08"/>
    <s v="No Discount"/>
  </r>
  <r>
    <s v="TXN_03356"/>
    <d v="2024-08-16T00:00:00"/>
    <x v="8"/>
    <s v="Friday"/>
    <s v="STORE_026"/>
    <x v="3"/>
    <x v="1"/>
    <x v="3"/>
    <n v="317.10000000000002"/>
    <n v="1"/>
    <n v="317.10000000000002"/>
    <n v="0"/>
    <n v="0"/>
    <n v="317.10000000000002"/>
    <s v="Cash"/>
    <s v="CUST_00615"/>
    <n v="2"/>
    <n v="0"/>
    <n v="317.10000000000002"/>
    <s v="No Discount"/>
  </r>
  <r>
    <s v="TXN_03357"/>
    <d v="2024-07-10T00:00:00"/>
    <x v="11"/>
    <s v="Wednesday"/>
    <s v="STORE_009"/>
    <x v="0"/>
    <x v="3"/>
    <x v="12"/>
    <n v="580.80999999999995"/>
    <n v="7"/>
    <n v="4065.67"/>
    <n v="0"/>
    <n v="0"/>
    <n v="4065.67"/>
    <s v="Debit Card"/>
    <s v="CUST_00546"/>
    <n v="3"/>
    <n v="0"/>
    <n v="580.81000000000006"/>
    <s v="No Discount"/>
  </r>
  <r>
    <s v="TXN_03358"/>
    <d v="2024-07-19T00:00:00"/>
    <x v="11"/>
    <s v="Friday"/>
    <s v="STORE_015"/>
    <x v="3"/>
    <x v="4"/>
    <x v="19"/>
    <n v="221.7"/>
    <n v="9"/>
    <n v="1995.3"/>
    <n v="0"/>
    <n v="0"/>
    <n v="1995.3"/>
    <s v="UPI"/>
    <s v="CUST_00691"/>
    <n v="2"/>
    <n v="0"/>
    <n v="221.7"/>
    <s v="No Discount"/>
  </r>
  <r>
    <s v="TXN_03359"/>
    <d v="2024-08-25T00:00:00"/>
    <x v="8"/>
    <s v="Sunday"/>
    <s v="STORE_015"/>
    <x v="0"/>
    <x v="5"/>
    <x v="11"/>
    <n v="2348.0700000000002"/>
    <n v="10"/>
    <n v="23480.7"/>
    <n v="0"/>
    <n v="0"/>
    <n v="23480.7"/>
    <s v="Credit Card"/>
    <s v="CUST_00735"/>
    <n v="1"/>
    <n v="0"/>
    <n v="2348.0700000000002"/>
    <s v="No Discount"/>
  </r>
  <r>
    <s v="TXN_03360"/>
    <d v="2024-12-13T00:00:00"/>
    <x v="6"/>
    <s v="Friday"/>
    <s v="STORE_017"/>
    <x v="2"/>
    <x v="1"/>
    <x v="36"/>
    <n v="53.11"/>
    <n v="10"/>
    <n v="531.1"/>
    <n v="0"/>
    <n v="0"/>
    <n v="531.1"/>
    <s v="Debit Card"/>
    <s v="CUST_00210"/>
    <n v="2"/>
    <n v="0"/>
    <n v="53.11"/>
    <s v="No Discount"/>
  </r>
  <r>
    <s v="TXN_03361"/>
    <d v="2024-10-28T00:00:00"/>
    <x v="7"/>
    <s v="Monday"/>
    <s v="STORE_041"/>
    <x v="4"/>
    <x v="1"/>
    <x v="36"/>
    <n v="170.19"/>
    <n v="4"/>
    <n v="680.76"/>
    <n v="0"/>
    <n v="0"/>
    <n v="680.76"/>
    <s v="Debit Card"/>
    <s v="CUST_00909"/>
    <n v="1"/>
    <n v="0"/>
    <n v="170.19"/>
    <s v="No Discount"/>
  </r>
  <r>
    <s v="TXN_03362"/>
    <d v="2024-12-19T00:00:00"/>
    <x v="6"/>
    <s v="Thursday"/>
    <s v="STORE_024"/>
    <x v="3"/>
    <x v="3"/>
    <x v="16"/>
    <n v="986.61"/>
    <n v="7"/>
    <n v="6906.27"/>
    <n v="15"/>
    <n v="1035.94"/>
    <n v="5870.33"/>
    <s v="Credit Card"/>
    <s v="CUST_00913"/>
    <n v="2"/>
    <n v="1035.9400000000005"/>
    <n v="838.61857142857139"/>
    <s v="Medium"/>
  </r>
  <r>
    <s v="TXN_03363"/>
    <d v="2024-09-13T00:00:00"/>
    <x v="9"/>
    <s v="Friday"/>
    <s v="STORE_046"/>
    <x v="1"/>
    <x v="6"/>
    <x v="15"/>
    <n v="1197.1099999999999"/>
    <n v="8"/>
    <n v="9576.8799999999992"/>
    <n v="0"/>
    <n v="0"/>
    <n v="9576.8799999999992"/>
    <s v="Wallet"/>
    <s v="CUST_00771"/>
    <n v="5"/>
    <n v="0"/>
    <n v="1197.1099999999999"/>
    <s v="No Discount"/>
  </r>
  <r>
    <s v="TXN_03364"/>
    <d v="2024-03-18T00:00:00"/>
    <x v="5"/>
    <s v="Monday"/>
    <s v="STORE_002"/>
    <x v="3"/>
    <x v="7"/>
    <x v="37"/>
    <n v="1439.37"/>
    <n v="10"/>
    <n v="14393.7"/>
    <n v="15"/>
    <n v="2159.0500000000002"/>
    <n v="12234.65"/>
    <s v="UPI"/>
    <s v="CUST_00303"/>
    <n v="5"/>
    <n v="2159.0500000000011"/>
    <n v="1223.4649999999999"/>
    <s v="Medium"/>
  </r>
  <r>
    <s v="TXN_03365"/>
    <d v="2024-06-25T00:00:00"/>
    <x v="10"/>
    <s v="Tuesday"/>
    <s v="STORE_043"/>
    <x v="4"/>
    <x v="4"/>
    <x v="35"/>
    <n v="288.22000000000003"/>
    <n v="3"/>
    <n v="864.66"/>
    <n v="0"/>
    <n v="0"/>
    <n v="864.66"/>
    <s v="Cash"/>
    <s v="CUST_00811"/>
    <n v="4"/>
    <n v="0"/>
    <n v="288.21999999999997"/>
    <s v="No Discount"/>
  </r>
  <r>
    <s v="TXN_03366"/>
    <d v="2024-01-13T00:00:00"/>
    <x v="2"/>
    <s v="Saturday"/>
    <s v="STORE_021"/>
    <x v="0"/>
    <x v="3"/>
    <x v="5"/>
    <n v="1938.03"/>
    <n v="3"/>
    <n v="5814.09"/>
    <n v="5"/>
    <n v="290.7"/>
    <n v="5523.39"/>
    <s v="Cash"/>
    <s v="CUST_00731"/>
    <n v="1"/>
    <n v="290.69999999999982"/>
    <n v="1841.13"/>
    <s v="Low"/>
  </r>
  <r>
    <s v="TXN_03367"/>
    <d v="2024-09-04T00:00:00"/>
    <x v="9"/>
    <s v="Wednesday"/>
    <s v="STORE_024"/>
    <x v="4"/>
    <x v="5"/>
    <x v="9"/>
    <n v="1792.88"/>
    <n v="10"/>
    <n v="17928.8"/>
    <n v="5"/>
    <n v="896.44"/>
    <n v="17032.36"/>
    <s v="Wallet"/>
    <s v="CUST_00210"/>
    <n v="5"/>
    <n v="896.43999999999869"/>
    <n v="1703.2360000000001"/>
    <s v="Low"/>
  </r>
  <r>
    <s v="TXN_03368"/>
    <d v="2024-02-23T00:00:00"/>
    <x v="1"/>
    <s v="Friday"/>
    <s v="STORE_015"/>
    <x v="4"/>
    <x v="2"/>
    <x v="29"/>
    <n v="468.32"/>
    <n v="9"/>
    <n v="4214.88"/>
    <n v="0"/>
    <n v="0"/>
    <n v="4214.88"/>
    <s v="Wallet"/>
    <s v="CUST_00468"/>
    <n v="1"/>
    <n v="0"/>
    <n v="468.32"/>
    <s v="No Discount"/>
  </r>
  <r>
    <s v="TXN_03369"/>
    <d v="2024-05-31T00:00:00"/>
    <x v="3"/>
    <s v="Friday"/>
    <s v="STORE_016"/>
    <x v="0"/>
    <x v="1"/>
    <x v="3"/>
    <n v="438.13"/>
    <n v="4"/>
    <n v="1752.52"/>
    <n v="0"/>
    <n v="0"/>
    <n v="1752.52"/>
    <s v="Cash"/>
    <s v="CUST_00097"/>
    <n v="1"/>
    <n v="0"/>
    <n v="438.13"/>
    <s v="No Discount"/>
  </r>
  <r>
    <s v="TXN_03370"/>
    <d v="2024-07-31T00:00:00"/>
    <x v="11"/>
    <s v="Wednesday"/>
    <s v="STORE_044"/>
    <x v="2"/>
    <x v="4"/>
    <x v="17"/>
    <n v="520.91999999999996"/>
    <n v="7"/>
    <n v="3646.44"/>
    <n v="0"/>
    <n v="0"/>
    <n v="3646.44"/>
    <s v="Cash"/>
    <s v="CUST_00131"/>
    <n v="1"/>
    <n v="0"/>
    <n v="520.91999999999996"/>
    <s v="No Discount"/>
  </r>
  <r>
    <s v="TXN_03371"/>
    <d v="2024-02-13T00:00:00"/>
    <x v="1"/>
    <s v="Tuesday"/>
    <s v="STORE_041"/>
    <x v="2"/>
    <x v="4"/>
    <x v="8"/>
    <n v="328.26"/>
    <n v="7"/>
    <n v="2297.8200000000002"/>
    <n v="15"/>
    <n v="344.67"/>
    <n v="1953.15"/>
    <s v="Wallet"/>
    <s v="CUST_00413"/>
    <n v="4"/>
    <n v="344.67000000000007"/>
    <n v="279.0214285714286"/>
    <s v="Medium"/>
  </r>
  <r>
    <s v="TXN_03372"/>
    <d v="2024-02-29T00:00:00"/>
    <x v="1"/>
    <s v="Thursday"/>
    <s v="STORE_020"/>
    <x v="4"/>
    <x v="1"/>
    <x v="31"/>
    <n v="495.71"/>
    <n v="8"/>
    <n v="3965.68"/>
    <n v="5"/>
    <n v="198.28"/>
    <n v="3767.4"/>
    <s v="UPI"/>
    <s v="CUST_00591"/>
    <n v="1"/>
    <n v="198.27999999999975"/>
    <n v="470.92500000000001"/>
    <s v="Low"/>
  </r>
  <r>
    <s v="TXN_03373"/>
    <d v="2024-03-13T00:00:00"/>
    <x v="5"/>
    <s v="Wednesday"/>
    <s v="STORE_047"/>
    <x v="2"/>
    <x v="0"/>
    <x v="0"/>
    <n v="313.86"/>
    <n v="10"/>
    <n v="3138.6"/>
    <n v="0"/>
    <n v="0"/>
    <n v="3138.6"/>
    <s v="Wallet"/>
    <s v="CUST_00237"/>
    <n v="1"/>
    <n v="0"/>
    <n v="313.86"/>
    <s v="No Discount"/>
  </r>
  <r>
    <s v="TXN_03374"/>
    <d v="2024-06-27T00:00:00"/>
    <x v="10"/>
    <s v="Thursday"/>
    <s v="STORE_007"/>
    <x v="1"/>
    <x v="4"/>
    <x v="20"/>
    <n v="289.69"/>
    <n v="8"/>
    <n v="2317.52"/>
    <n v="5"/>
    <n v="115.88"/>
    <n v="2201.64"/>
    <s v="Debit Card"/>
    <s v="CUST_00361"/>
    <n v="2"/>
    <n v="115.88000000000011"/>
    <n v="275.20499999999998"/>
    <s v="Low"/>
  </r>
  <r>
    <s v="TXN_03375"/>
    <d v="2024-06-08T00:00:00"/>
    <x v="10"/>
    <s v="Saturday"/>
    <s v="STORE_044"/>
    <x v="3"/>
    <x v="0"/>
    <x v="0"/>
    <n v="926.04"/>
    <n v="8"/>
    <n v="7408.32"/>
    <n v="0"/>
    <n v="0"/>
    <n v="7408.32"/>
    <s v="Debit Card"/>
    <s v="CUST_00234"/>
    <n v="5"/>
    <n v="0"/>
    <n v="926.04"/>
    <s v="No Discount"/>
  </r>
  <r>
    <s v="TXN_03376"/>
    <d v="2024-06-24T00:00:00"/>
    <x v="10"/>
    <s v="Monday"/>
    <s v="STORE_036"/>
    <x v="4"/>
    <x v="2"/>
    <x v="7"/>
    <n v="335.77"/>
    <n v="10"/>
    <n v="3357.7"/>
    <n v="0"/>
    <n v="0"/>
    <n v="3357.7"/>
    <s v="Credit Card"/>
    <s v="CUST_00357"/>
    <n v="2"/>
    <n v="0"/>
    <n v="335.77"/>
    <s v="No Discount"/>
  </r>
  <r>
    <s v="TXN_03377"/>
    <d v="2024-08-21T00:00:00"/>
    <x v="8"/>
    <s v="Wednesday"/>
    <s v="STORE_005"/>
    <x v="3"/>
    <x v="4"/>
    <x v="35"/>
    <n v="336.64"/>
    <n v="7"/>
    <n v="2356.48"/>
    <n v="20"/>
    <n v="471.3"/>
    <n v="1885.18"/>
    <s v="Cash"/>
    <s v="CUST_00060"/>
    <n v="2"/>
    <n v="471.29999999999995"/>
    <n v="269.31142857142856"/>
    <s v="High"/>
  </r>
  <r>
    <s v="TXN_03378"/>
    <d v="2024-04-15T00:00:00"/>
    <x v="4"/>
    <s v="Monday"/>
    <s v="STORE_043"/>
    <x v="0"/>
    <x v="1"/>
    <x v="31"/>
    <n v="64.09"/>
    <n v="3"/>
    <n v="192.27"/>
    <n v="15"/>
    <n v="28.84"/>
    <n v="163.43"/>
    <s v="Credit Card"/>
    <s v="CUST_00754"/>
    <n v="1"/>
    <n v="28.840000000000003"/>
    <n v="54.476666666666667"/>
    <s v="Medium"/>
  </r>
  <r>
    <s v="TXN_03379"/>
    <d v="2024-09-23T00:00:00"/>
    <x v="9"/>
    <s v="Monday"/>
    <s v="STORE_048"/>
    <x v="3"/>
    <x v="1"/>
    <x v="31"/>
    <n v="221.08"/>
    <n v="7"/>
    <n v="1547.56"/>
    <n v="0"/>
    <n v="0"/>
    <n v="1547.56"/>
    <s v="Debit Card"/>
    <s v="CUST_00673"/>
    <n v="3"/>
    <n v="0"/>
    <n v="221.07999999999998"/>
    <s v="No Discount"/>
  </r>
  <r>
    <s v="TXN_03380"/>
    <d v="2024-09-04T00:00:00"/>
    <x v="9"/>
    <s v="Wednesday"/>
    <s v="STORE_033"/>
    <x v="3"/>
    <x v="1"/>
    <x v="31"/>
    <n v="373.92"/>
    <n v="3"/>
    <n v="1121.76"/>
    <n v="0"/>
    <n v="0"/>
    <n v="1121.76"/>
    <s v="Debit Card"/>
    <s v="CUST_00275"/>
    <n v="3"/>
    <n v="0"/>
    <n v="373.92"/>
    <s v="No Discount"/>
  </r>
  <r>
    <s v="TXN_03381"/>
    <d v="2024-06-27T00:00:00"/>
    <x v="10"/>
    <s v="Thursday"/>
    <s v="STORE_007"/>
    <x v="4"/>
    <x v="3"/>
    <x v="16"/>
    <n v="2943.13"/>
    <n v="7"/>
    <n v="20601.91"/>
    <n v="15"/>
    <n v="3090.29"/>
    <n v="17511.62"/>
    <s v="UPI"/>
    <s v="CUST_00127"/>
    <n v="1"/>
    <n v="3090.2900000000009"/>
    <n v="2501.66"/>
    <s v="Medium"/>
  </r>
  <r>
    <s v="TXN_03382"/>
    <d v="2024-08-31T00:00:00"/>
    <x v="8"/>
    <s v="Saturday"/>
    <s v="STORE_047"/>
    <x v="2"/>
    <x v="6"/>
    <x v="26"/>
    <n v="515.55999999999995"/>
    <n v="9"/>
    <n v="4640.04"/>
    <n v="10"/>
    <n v="464"/>
    <n v="4176.04"/>
    <s v="UPI"/>
    <s v="CUST_00766"/>
    <n v="4"/>
    <n v="464"/>
    <n v="464.00444444444446"/>
    <s v="Medium"/>
  </r>
  <r>
    <s v="TXN_03383"/>
    <d v="2024-02-19T00:00:00"/>
    <x v="1"/>
    <s v="Monday"/>
    <s v="STORE_049"/>
    <x v="3"/>
    <x v="1"/>
    <x v="31"/>
    <n v="489.27"/>
    <n v="3"/>
    <n v="1467.81"/>
    <n v="5"/>
    <n v="73.39"/>
    <n v="1394.42"/>
    <s v="Cash"/>
    <s v="CUST_00793"/>
    <n v="3"/>
    <n v="73.389999999999873"/>
    <n v="464.80666666666667"/>
    <s v="Low"/>
  </r>
  <r>
    <s v="TXN_03384"/>
    <d v="2024-08-12T00:00:00"/>
    <x v="8"/>
    <s v="Monday"/>
    <s v="STORE_031"/>
    <x v="3"/>
    <x v="3"/>
    <x v="5"/>
    <n v="1639.47"/>
    <n v="10"/>
    <n v="16394.7"/>
    <n v="0"/>
    <n v="0"/>
    <n v="16394.7"/>
    <s v="Cash"/>
    <s v="CUST_00815"/>
    <n v="1"/>
    <n v="0"/>
    <n v="1639.47"/>
    <s v="No Discount"/>
  </r>
  <r>
    <s v="TXN_03385"/>
    <d v="2024-12-22T00:00:00"/>
    <x v="6"/>
    <s v="Sunday"/>
    <s v="STORE_027"/>
    <x v="1"/>
    <x v="6"/>
    <x v="26"/>
    <n v="1506.34"/>
    <n v="10"/>
    <n v="15063.4"/>
    <n v="0"/>
    <n v="0"/>
    <n v="15063.4"/>
    <s v="UPI"/>
    <s v="CUST_00938"/>
    <n v="1"/>
    <n v="0"/>
    <n v="1506.34"/>
    <s v="No Discount"/>
  </r>
  <r>
    <s v="TXN_03386"/>
    <d v="2024-08-19T00:00:00"/>
    <x v="8"/>
    <s v="Monday"/>
    <s v="STORE_046"/>
    <x v="1"/>
    <x v="4"/>
    <x v="17"/>
    <n v="198.35"/>
    <n v="5"/>
    <n v="991.75"/>
    <n v="0"/>
    <n v="0"/>
    <n v="991.75"/>
    <s v="UPI"/>
    <s v="CUST_00429"/>
    <n v="2"/>
    <n v="0"/>
    <n v="198.35"/>
    <s v="No Discount"/>
  </r>
  <r>
    <s v="TXN_03387"/>
    <d v="2024-06-12T00:00:00"/>
    <x v="10"/>
    <s v="Wednesday"/>
    <s v="STORE_035"/>
    <x v="3"/>
    <x v="0"/>
    <x v="27"/>
    <n v="868.31"/>
    <n v="5"/>
    <n v="4341.55"/>
    <n v="5"/>
    <n v="217.08"/>
    <n v="4124.47"/>
    <s v="Debit Card"/>
    <s v="CUST_00787"/>
    <n v="2"/>
    <n v="217.07999999999993"/>
    <n v="824.89400000000001"/>
    <s v="Low"/>
  </r>
  <r>
    <s v="TXN_03388"/>
    <d v="2024-02-04T00:00:00"/>
    <x v="1"/>
    <s v="Sunday"/>
    <s v="STORE_028"/>
    <x v="1"/>
    <x v="6"/>
    <x v="15"/>
    <n v="696.15"/>
    <n v="10"/>
    <n v="6961.5"/>
    <n v="0"/>
    <n v="0"/>
    <n v="6961.5"/>
    <s v="Cash"/>
    <s v="CUST_00941"/>
    <n v="4"/>
    <n v="0"/>
    <n v="696.15"/>
    <s v="No Discount"/>
  </r>
  <r>
    <s v="TXN_03389"/>
    <d v="2024-06-02T00:00:00"/>
    <x v="10"/>
    <s v="Sunday"/>
    <s v="STORE_029"/>
    <x v="2"/>
    <x v="7"/>
    <x v="23"/>
    <n v="529.66"/>
    <n v="9"/>
    <n v="4766.9399999999996"/>
    <n v="20"/>
    <n v="953.39"/>
    <n v="3813.55"/>
    <s v="Cash"/>
    <s v="CUST_00608"/>
    <n v="4"/>
    <n v="953.38999999999942"/>
    <n v="423.72777777777782"/>
    <s v="High"/>
  </r>
  <r>
    <s v="TXN_03390"/>
    <d v="2024-01-23T00:00:00"/>
    <x v="2"/>
    <s v="Tuesday"/>
    <s v="STORE_026"/>
    <x v="4"/>
    <x v="3"/>
    <x v="5"/>
    <n v="965.63"/>
    <n v="5"/>
    <n v="4828.1499999999996"/>
    <n v="0"/>
    <n v="0"/>
    <n v="4828.1499999999996"/>
    <s v="Credit Card"/>
    <s v="CUST_00327"/>
    <n v="5"/>
    <n v="0"/>
    <n v="965.62999999999988"/>
    <s v="No Discount"/>
  </r>
  <r>
    <s v="TXN_03391"/>
    <d v="2024-12-29T00:00:00"/>
    <x v="6"/>
    <s v="Sunday"/>
    <s v="STORE_010"/>
    <x v="0"/>
    <x v="3"/>
    <x v="16"/>
    <n v="313.62"/>
    <n v="3"/>
    <n v="940.86"/>
    <n v="15"/>
    <n v="141.13"/>
    <n v="799.73"/>
    <s v="Cash"/>
    <s v="CUST_00047"/>
    <n v="1"/>
    <n v="141.13"/>
    <n v="266.57666666666665"/>
    <s v="Medium"/>
  </r>
  <r>
    <s v="TXN_03392"/>
    <d v="2024-02-28T00:00:00"/>
    <x v="1"/>
    <s v="Wednesday"/>
    <s v="STORE_015"/>
    <x v="1"/>
    <x v="0"/>
    <x v="32"/>
    <n v="514.63"/>
    <n v="10"/>
    <n v="5146.3"/>
    <n v="15"/>
    <n v="771.95"/>
    <n v="4374.3500000000004"/>
    <s v="Debit Card"/>
    <s v="CUST_00794"/>
    <n v="3"/>
    <n v="771.94999999999982"/>
    <n v="437.43500000000006"/>
    <s v="Medium"/>
  </r>
  <r>
    <s v="TXN_03393"/>
    <d v="2024-01-12T00:00:00"/>
    <x v="2"/>
    <s v="Friday"/>
    <s v="STORE_008"/>
    <x v="0"/>
    <x v="3"/>
    <x v="22"/>
    <n v="903.18"/>
    <n v="7"/>
    <n v="6322.26"/>
    <n v="10"/>
    <n v="632.23"/>
    <n v="5690.03"/>
    <s v="Cash"/>
    <s v="CUST_00840"/>
    <n v="2"/>
    <n v="632.23000000000047"/>
    <n v="812.86142857142852"/>
    <s v="Medium"/>
  </r>
  <r>
    <s v="TXN_03394"/>
    <d v="2024-06-24T00:00:00"/>
    <x v="10"/>
    <s v="Monday"/>
    <s v="STORE_001"/>
    <x v="4"/>
    <x v="7"/>
    <x v="24"/>
    <n v="766.65"/>
    <n v="4"/>
    <n v="3066.6"/>
    <n v="10"/>
    <n v="306.66000000000003"/>
    <n v="2759.94"/>
    <s v="UPI"/>
    <s v="CUST_00560"/>
    <n v="1"/>
    <n v="306.65999999999985"/>
    <n v="689.98500000000001"/>
    <s v="Medium"/>
  </r>
  <r>
    <s v="TXN_03395"/>
    <d v="2024-11-27T00:00:00"/>
    <x v="0"/>
    <s v="Wednesday"/>
    <s v="STORE_025"/>
    <x v="3"/>
    <x v="6"/>
    <x v="14"/>
    <n v="995.18"/>
    <n v="5"/>
    <n v="4975.8999999999996"/>
    <n v="5"/>
    <n v="248.79"/>
    <n v="4727.1099999999997"/>
    <s v="Wallet"/>
    <s v="CUST_00001"/>
    <n v="3"/>
    <n v="248.78999999999996"/>
    <n v="945.42199999999991"/>
    <s v="Low"/>
  </r>
  <r>
    <s v="TXN_03396"/>
    <d v="2024-02-25T00:00:00"/>
    <x v="1"/>
    <s v="Sunday"/>
    <s v="STORE_029"/>
    <x v="1"/>
    <x v="2"/>
    <x v="7"/>
    <n v="661.67"/>
    <n v="4"/>
    <n v="2646.68"/>
    <n v="5"/>
    <n v="132.33000000000001"/>
    <n v="2514.35"/>
    <s v="UPI"/>
    <s v="CUST_00471"/>
    <n v="3"/>
    <n v="132.32999999999993"/>
    <n v="628.58749999999998"/>
    <s v="Low"/>
  </r>
  <r>
    <s v="TXN_03397"/>
    <d v="2024-12-12T00:00:00"/>
    <x v="6"/>
    <s v="Thursday"/>
    <s v="STORE_012"/>
    <x v="2"/>
    <x v="0"/>
    <x v="27"/>
    <n v="298.02"/>
    <n v="2"/>
    <n v="596.04"/>
    <n v="5"/>
    <n v="29.8"/>
    <n v="566.24"/>
    <s v="Credit Card"/>
    <s v="CUST_00832"/>
    <n v="2"/>
    <n v="29.799999999999955"/>
    <n v="283.12"/>
    <s v="Low"/>
  </r>
  <r>
    <s v="TXN_03398"/>
    <d v="2024-03-25T00:00:00"/>
    <x v="5"/>
    <s v="Monday"/>
    <s v="STORE_045"/>
    <x v="1"/>
    <x v="4"/>
    <x v="8"/>
    <n v="593.26"/>
    <n v="4"/>
    <n v="2373.04"/>
    <n v="15"/>
    <n v="355.96"/>
    <n v="2017.08"/>
    <s v="Wallet"/>
    <s v="CUST_00360"/>
    <n v="4"/>
    <n v="355.96000000000004"/>
    <n v="504.27"/>
    <s v="Medium"/>
  </r>
  <r>
    <s v="TXN_03399"/>
    <d v="2024-05-04T00:00:00"/>
    <x v="3"/>
    <s v="Saturday"/>
    <s v="STORE_003"/>
    <x v="1"/>
    <x v="0"/>
    <x v="27"/>
    <n v="768.77"/>
    <n v="2"/>
    <n v="1537.54"/>
    <n v="15"/>
    <n v="230.63"/>
    <n v="1306.9100000000001"/>
    <s v="Wallet"/>
    <s v="CUST_00126"/>
    <n v="1"/>
    <n v="230.62999999999988"/>
    <n v="653.45500000000004"/>
    <s v="Medium"/>
  </r>
  <r>
    <s v="TXN_03400"/>
    <d v="2024-09-21T00:00:00"/>
    <x v="9"/>
    <s v="Saturday"/>
    <s v="STORE_035"/>
    <x v="3"/>
    <x v="4"/>
    <x v="17"/>
    <n v="420.98"/>
    <n v="4"/>
    <n v="1683.92"/>
    <n v="0"/>
    <n v="0"/>
    <n v="1683.92"/>
    <s v="Cash"/>
    <s v="CUST_00732"/>
    <n v="2"/>
    <n v="0"/>
    <n v="420.98"/>
    <s v="No Discount"/>
  </r>
  <r>
    <s v="TXN_03401"/>
    <d v="2024-03-30T00:00:00"/>
    <x v="5"/>
    <s v="Saturday"/>
    <s v="STORE_048"/>
    <x v="2"/>
    <x v="0"/>
    <x v="18"/>
    <n v="280.33"/>
    <n v="4"/>
    <n v="1121.32"/>
    <n v="10"/>
    <n v="112.13"/>
    <n v="1009.19"/>
    <s v="Cash"/>
    <s v="CUST_00785"/>
    <n v="3"/>
    <n v="112.12999999999988"/>
    <n v="252.29750000000001"/>
    <s v="Medium"/>
  </r>
  <r>
    <s v="TXN_03402"/>
    <d v="2024-10-09T00:00:00"/>
    <x v="7"/>
    <s v="Wednesday"/>
    <s v="STORE_007"/>
    <x v="2"/>
    <x v="6"/>
    <x v="14"/>
    <n v="1379.18"/>
    <n v="8"/>
    <n v="11033.44"/>
    <n v="0"/>
    <n v="0"/>
    <n v="11033.44"/>
    <s v="Wallet"/>
    <s v="CUST_00071"/>
    <n v="1"/>
    <n v="0"/>
    <n v="1379.18"/>
    <s v="No Discount"/>
  </r>
  <r>
    <s v="TXN_03403"/>
    <d v="2024-03-22T00:00:00"/>
    <x v="5"/>
    <s v="Friday"/>
    <s v="STORE_024"/>
    <x v="4"/>
    <x v="5"/>
    <x v="25"/>
    <n v="4242.59"/>
    <n v="8"/>
    <n v="33940.720000000001"/>
    <n v="0"/>
    <n v="0"/>
    <n v="33940.720000000001"/>
    <s v="Wallet"/>
    <s v="CUST_00057"/>
    <n v="1"/>
    <n v="0"/>
    <n v="4242.59"/>
    <s v="No Discount"/>
  </r>
  <r>
    <s v="TXN_03404"/>
    <d v="2024-06-18T00:00:00"/>
    <x v="10"/>
    <s v="Tuesday"/>
    <s v="STORE_013"/>
    <x v="3"/>
    <x v="0"/>
    <x v="18"/>
    <n v="678.19"/>
    <n v="10"/>
    <n v="6781.9"/>
    <n v="10"/>
    <n v="678.19"/>
    <n v="6103.71"/>
    <s v="Wallet"/>
    <s v="CUST_00641"/>
    <n v="1"/>
    <n v="678.1899999999996"/>
    <n v="610.37099999999998"/>
    <s v="Medium"/>
  </r>
  <r>
    <s v="TXN_03405"/>
    <d v="2024-10-13T00:00:00"/>
    <x v="7"/>
    <s v="Sunday"/>
    <s v="STORE_043"/>
    <x v="4"/>
    <x v="4"/>
    <x v="8"/>
    <n v="544.69000000000005"/>
    <n v="6"/>
    <n v="3268.14"/>
    <n v="0"/>
    <n v="0"/>
    <n v="3268.14"/>
    <s v="Wallet"/>
    <s v="CUST_00228"/>
    <n v="1"/>
    <n v="0"/>
    <n v="544.68999999999994"/>
    <s v="No Discount"/>
  </r>
  <r>
    <s v="TXN_03406"/>
    <d v="2024-08-06T00:00:00"/>
    <x v="8"/>
    <s v="Tuesday"/>
    <s v="STORE_031"/>
    <x v="2"/>
    <x v="0"/>
    <x v="27"/>
    <n v="550.41999999999996"/>
    <n v="9"/>
    <n v="4953.78"/>
    <n v="5"/>
    <n v="247.69"/>
    <n v="4706.09"/>
    <s v="UPI"/>
    <s v="CUST_00550"/>
    <n v="1"/>
    <n v="247.6899999999996"/>
    <n v="522.89888888888891"/>
    <s v="Low"/>
  </r>
  <r>
    <s v="TXN_03407"/>
    <d v="2024-08-24T00:00:00"/>
    <x v="8"/>
    <s v="Saturday"/>
    <s v="STORE_049"/>
    <x v="4"/>
    <x v="6"/>
    <x v="15"/>
    <n v="1415.48"/>
    <n v="3"/>
    <n v="4246.4399999999996"/>
    <n v="10"/>
    <n v="424.64"/>
    <n v="3821.8"/>
    <s v="Debit Card"/>
    <s v="CUST_00929"/>
    <n v="2"/>
    <n v="424.63999999999942"/>
    <n v="1273.9333333333334"/>
    <s v="Medium"/>
  </r>
  <r>
    <s v="TXN_03408"/>
    <d v="2024-04-28T00:00:00"/>
    <x v="4"/>
    <s v="Sunday"/>
    <s v="STORE_010"/>
    <x v="4"/>
    <x v="4"/>
    <x v="8"/>
    <n v="370.68"/>
    <n v="2"/>
    <n v="741.36"/>
    <n v="10"/>
    <n v="74.14"/>
    <n v="667.22"/>
    <s v="UPI"/>
    <s v="CUST_00226"/>
    <n v="1"/>
    <n v="74.139999999999986"/>
    <n v="333.61"/>
    <s v="Medium"/>
  </r>
  <r>
    <s v="TXN_03409"/>
    <d v="2024-07-26T00:00:00"/>
    <x v="11"/>
    <s v="Friday"/>
    <s v="STORE_011"/>
    <x v="0"/>
    <x v="3"/>
    <x v="12"/>
    <n v="407.83"/>
    <n v="4"/>
    <n v="1631.32"/>
    <n v="0"/>
    <n v="0"/>
    <n v="1631.32"/>
    <s v="Wallet"/>
    <s v="CUST_00044"/>
    <n v="3"/>
    <n v="0"/>
    <n v="407.83"/>
    <s v="No Discount"/>
  </r>
  <r>
    <s v="TXN_03410"/>
    <d v="2024-11-18T00:00:00"/>
    <x v="0"/>
    <s v="Monday"/>
    <s v="STORE_032"/>
    <x v="1"/>
    <x v="2"/>
    <x v="2"/>
    <n v="566.01"/>
    <n v="4"/>
    <n v="2264.04"/>
    <n v="5"/>
    <n v="113.2"/>
    <n v="2150.84"/>
    <s v="Credit Card"/>
    <s v="CUST_00535"/>
    <n v="4"/>
    <n v="113.19999999999982"/>
    <n v="537.71"/>
    <s v="Low"/>
  </r>
  <r>
    <s v="TXN_03411"/>
    <d v="2024-04-04T00:00:00"/>
    <x v="4"/>
    <s v="Thursday"/>
    <s v="STORE_025"/>
    <x v="3"/>
    <x v="4"/>
    <x v="19"/>
    <n v="219.52"/>
    <n v="8"/>
    <n v="1756.16"/>
    <n v="0"/>
    <n v="0"/>
    <n v="1756.16"/>
    <s v="Wallet"/>
    <s v="CUST_00109"/>
    <n v="1"/>
    <n v="0"/>
    <n v="219.52"/>
    <s v="No Discount"/>
  </r>
  <r>
    <s v="TXN_03412"/>
    <d v="2024-04-05T00:00:00"/>
    <x v="4"/>
    <s v="Friday"/>
    <s v="STORE_004"/>
    <x v="3"/>
    <x v="7"/>
    <x v="38"/>
    <n v="1386.14"/>
    <n v="3"/>
    <n v="4158.42"/>
    <n v="15"/>
    <n v="623.76"/>
    <n v="3534.66"/>
    <s v="Credit Card"/>
    <s v="CUST_00607"/>
    <n v="2"/>
    <n v="623.76000000000022"/>
    <n v="1178.22"/>
    <s v="Medium"/>
  </r>
  <r>
    <s v="TXN_03413"/>
    <d v="2024-11-23T00:00:00"/>
    <x v="0"/>
    <s v="Saturday"/>
    <s v="STORE_008"/>
    <x v="2"/>
    <x v="4"/>
    <x v="8"/>
    <n v="343.2"/>
    <n v="8"/>
    <n v="2745.6"/>
    <n v="15"/>
    <n v="411.84"/>
    <n v="2333.7600000000002"/>
    <s v="Credit Card"/>
    <s v="CUST_00568"/>
    <n v="2"/>
    <n v="411.83999999999969"/>
    <n v="291.72000000000003"/>
    <s v="Medium"/>
  </r>
  <r>
    <s v="TXN_03414"/>
    <d v="2024-12-02T00:00:00"/>
    <x v="6"/>
    <s v="Monday"/>
    <s v="STORE_043"/>
    <x v="0"/>
    <x v="0"/>
    <x v="18"/>
    <n v="865.17"/>
    <n v="2"/>
    <n v="1730.34"/>
    <n v="10"/>
    <n v="173.03"/>
    <n v="1557.31"/>
    <s v="Credit Card"/>
    <s v="CUST_00885"/>
    <n v="1"/>
    <n v="173.02999999999997"/>
    <n v="778.65499999999997"/>
    <s v="Medium"/>
  </r>
  <r>
    <s v="TXN_03415"/>
    <d v="2024-08-09T00:00:00"/>
    <x v="8"/>
    <s v="Friday"/>
    <s v="STORE_021"/>
    <x v="1"/>
    <x v="3"/>
    <x v="16"/>
    <n v="2562.52"/>
    <n v="4"/>
    <n v="10250.08"/>
    <n v="0"/>
    <n v="0"/>
    <n v="10250.08"/>
    <s v="Credit Card"/>
    <s v="CUST_00598"/>
    <n v="2"/>
    <n v="0"/>
    <n v="2562.52"/>
    <s v="No Discount"/>
  </r>
  <r>
    <s v="TXN_03416"/>
    <d v="2024-07-21T00:00:00"/>
    <x v="11"/>
    <s v="Sunday"/>
    <s v="STORE_015"/>
    <x v="2"/>
    <x v="1"/>
    <x v="3"/>
    <n v="374.29"/>
    <n v="3"/>
    <n v="1122.8699999999999"/>
    <n v="0"/>
    <n v="0"/>
    <n v="1122.8699999999999"/>
    <s v="UPI"/>
    <s v="CUST_00810"/>
    <n v="2"/>
    <n v="0"/>
    <n v="374.28999999999996"/>
    <s v="No Discount"/>
  </r>
  <r>
    <s v="TXN_03417"/>
    <d v="2024-01-15T00:00:00"/>
    <x v="2"/>
    <s v="Monday"/>
    <s v="STORE_007"/>
    <x v="2"/>
    <x v="2"/>
    <x v="39"/>
    <n v="520.02"/>
    <n v="9"/>
    <n v="4680.18"/>
    <n v="15"/>
    <n v="702.03"/>
    <n v="3978.15"/>
    <s v="Wallet"/>
    <s v="CUST_00903"/>
    <n v="5"/>
    <n v="702.0300000000002"/>
    <n v="442.01666666666665"/>
    <s v="Medium"/>
  </r>
  <r>
    <s v="TXN_03418"/>
    <d v="2024-11-10T00:00:00"/>
    <x v="0"/>
    <s v="Sunday"/>
    <s v="STORE_019"/>
    <x v="1"/>
    <x v="0"/>
    <x v="18"/>
    <n v="656.58"/>
    <n v="7"/>
    <n v="4596.0600000000004"/>
    <n v="20"/>
    <n v="919.21"/>
    <n v="3676.85"/>
    <s v="Wallet"/>
    <s v="CUST_00032"/>
    <n v="1"/>
    <n v="919.21000000000049"/>
    <n v="525.26428571428573"/>
    <s v="High"/>
  </r>
  <r>
    <s v="TXN_03419"/>
    <d v="2024-04-11T00:00:00"/>
    <x v="4"/>
    <s v="Thursday"/>
    <s v="STORE_028"/>
    <x v="2"/>
    <x v="4"/>
    <x v="20"/>
    <n v="190.07"/>
    <n v="3"/>
    <n v="570.21"/>
    <n v="20"/>
    <n v="114.04"/>
    <n v="456.17"/>
    <s v="Credit Card"/>
    <s v="CUST_00532"/>
    <n v="2"/>
    <n v="114.04000000000002"/>
    <n v="152.05666666666667"/>
    <s v="High"/>
  </r>
  <r>
    <s v="TXN_03420"/>
    <d v="2024-08-18T00:00:00"/>
    <x v="8"/>
    <s v="Sunday"/>
    <s v="STORE_017"/>
    <x v="1"/>
    <x v="7"/>
    <x v="37"/>
    <n v="1243.23"/>
    <n v="2"/>
    <n v="2486.46"/>
    <n v="15"/>
    <n v="372.97"/>
    <n v="2113.4899999999998"/>
    <s v="Wallet"/>
    <s v="CUST_00766"/>
    <n v="1"/>
    <n v="372.97000000000025"/>
    <n v="1056.7449999999999"/>
    <s v="Medium"/>
  </r>
  <r>
    <s v="TXN_03421"/>
    <d v="2024-10-30T00:00:00"/>
    <x v="7"/>
    <s v="Wednesday"/>
    <s v="STORE_007"/>
    <x v="1"/>
    <x v="0"/>
    <x v="18"/>
    <n v="901.15"/>
    <n v="2"/>
    <n v="1802.3"/>
    <n v="15"/>
    <n v="270.33999999999997"/>
    <n v="1531.96"/>
    <s v="Wallet"/>
    <s v="CUST_00040"/>
    <n v="4"/>
    <n v="270.33999999999992"/>
    <n v="765.98"/>
    <s v="Medium"/>
  </r>
  <r>
    <s v="TXN_03422"/>
    <d v="2024-08-07T00:00:00"/>
    <x v="8"/>
    <s v="Wednesday"/>
    <s v="STORE_023"/>
    <x v="2"/>
    <x v="3"/>
    <x v="22"/>
    <n v="1389.59"/>
    <n v="6"/>
    <n v="8337.5400000000009"/>
    <n v="0"/>
    <n v="0"/>
    <n v="8337.5400000000009"/>
    <s v="Cash"/>
    <s v="CUST_00840"/>
    <n v="5"/>
    <n v="0"/>
    <n v="1389.5900000000001"/>
    <s v="No Discount"/>
  </r>
  <r>
    <s v="TXN_03423"/>
    <d v="2024-07-18T00:00:00"/>
    <x v="11"/>
    <s v="Thursday"/>
    <s v="STORE_027"/>
    <x v="0"/>
    <x v="0"/>
    <x v="18"/>
    <n v="672.5"/>
    <n v="6"/>
    <n v="4035"/>
    <n v="20"/>
    <n v="807"/>
    <n v="3228"/>
    <s v="Wallet"/>
    <s v="CUST_00709"/>
    <n v="1"/>
    <n v="807"/>
    <n v="538"/>
    <s v="High"/>
  </r>
  <r>
    <s v="TXN_03424"/>
    <d v="2024-01-03T00:00:00"/>
    <x v="2"/>
    <s v="Wednesday"/>
    <s v="STORE_044"/>
    <x v="4"/>
    <x v="1"/>
    <x v="6"/>
    <n v="203.22"/>
    <n v="7"/>
    <n v="1422.54"/>
    <n v="10"/>
    <n v="142.25"/>
    <n v="1280.29"/>
    <s v="Wallet"/>
    <s v="CUST_00653"/>
    <n v="2"/>
    <n v="142.25"/>
    <n v="182.89857142857142"/>
    <s v="Medium"/>
  </r>
  <r>
    <s v="TXN_03425"/>
    <d v="2024-12-26T00:00:00"/>
    <x v="6"/>
    <s v="Thursday"/>
    <s v="STORE_018"/>
    <x v="2"/>
    <x v="4"/>
    <x v="17"/>
    <n v="444.24"/>
    <n v="8"/>
    <n v="3553.92"/>
    <n v="0"/>
    <n v="0"/>
    <n v="3553.92"/>
    <s v="Debit Card"/>
    <s v="CUST_00313"/>
    <n v="5"/>
    <n v="0"/>
    <n v="444.24"/>
    <s v="No Discount"/>
  </r>
  <r>
    <s v="TXN_03426"/>
    <d v="2024-04-19T00:00:00"/>
    <x v="4"/>
    <s v="Friday"/>
    <s v="STORE_042"/>
    <x v="3"/>
    <x v="5"/>
    <x v="10"/>
    <n v="3631.7"/>
    <n v="5"/>
    <n v="18158.5"/>
    <n v="10"/>
    <n v="1815.85"/>
    <n v="16342.65"/>
    <s v="Cash"/>
    <s v="CUST_00930"/>
    <n v="4"/>
    <n v="1815.8500000000004"/>
    <n v="3268.5299999999997"/>
    <s v="Medium"/>
  </r>
  <r>
    <s v="TXN_03427"/>
    <d v="2024-04-15T00:00:00"/>
    <x v="4"/>
    <s v="Monday"/>
    <s v="STORE_030"/>
    <x v="3"/>
    <x v="0"/>
    <x v="0"/>
    <n v="452.96"/>
    <n v="4"/>
    <n v="1811.84"/>
    <n v="15"/>
    <n v="271.77999999999997"/>
    <n v="1540.06"/>
    <s v="Wallet"/>
    <s v="CUST_00771"/>
    <n v="3"/>
    <n v="271.77999999999997"/>
    <n v="385.01499999999999"/>
    <s v="Medium"/>
  </r>
  <r>
    <s v="TXN_03428"/>
    <d v="2024-05-22T00:00:00"/>
    <x v="3"/>
    <s v="Wednesday"/>
    <s v="STORE_003"/>
    <x v="2"/>
    <x v="0"/>
    <x v="27"/>
    <n v="268.45999999999998"/>
    <n v="10"/>
    <n v="2684.6"/>
    <n v="20"/>
    <n v="536.91999999999996"/>
    <n v="2147.6799999999998"/>
    <s v="Cash"/>
    <s v="CUST_00401"/>
    <n v="2"/>
    <n v="536.92000000000007"/>
    <n v="214.76799999999997"/>
    <s v="High"/>
  </r>
  <r>
    <s v="TXN_03429"/>
    <d v="2024-12-26T00:00:00"/>
    <x v="6"/>
    <s v="Thursday"/>
    <s v="STORE_044"/>
    <x v="3"/>
    <x v="2"/>
    <x v="13"/>
    <n v="197.29"/>
    <n v="7"/>
    <n v="1381.03"/>
    <n v="0"/>
    <n v="0"/>
    <n v="1381.03"/>
    <s v="UPI"/>
    <s v="CUST_00912"/>
    <n v="3"/>
    <n v="0"/>
    <n v="197.29"/>
    <s v="No Discount"/>
  </r>
  <r>
    <s v="TXN_03430"/>
    <d v="2024-02-02T00:00:00"/>
    <x v="1"/>
    <s v="Friday"/>
    <s v="STORE_039"/>
    <x v="3"/>
    <x v="4"/>
    <x v="17"/>
    <n v="557.99"/>
    <n v="3"/>
    <n v="1673.97"/>
    <n v="20"/>
    <n v="334.79"/>
    <n v="1339.18"/>
    <s v="UPI"/>
    <s v="CUST_00981"/>
    <n v="2"/>
    <n v="334.78999999999996"/>
    <n v="446.39333333333337"/>
    <s v="High"/>
  </r>
  <r>
    <s v="TXN_03431"/>
    <d v="2024-10-22T00:00:00"/>
    <x v="7"/>
    <s v="Tuesday"/>
    <s v="STORE_026"/>
    <x v="3"/>
    <x v="0"/>
    <x v="18"/>
    <n v="296.77"/>
    <n v="7"/>
    <n v="2077.39"/>
    <n v="5"/>
    <n v="103.87"/>
    <n v="1973.52"/>
    <s v="Debit Card"/>
    <s v="CUST_00009"/>
    <n v="5"/>
    <n v="103.86999999999989"/>
    <n v="281.93142857142857"/>
    <s v="Low"/>
  </r>
  <r>
    <s v="TXN_03432"/>
    <d v="2024-02-22T00:00:00"/>
    <x v="1"/>
    <s v="Thursday"/>
    <s v="STORE_039"/>
    <x v="3"/>
    <x v="3"/>
    <x v="22"/>
    <n v="1870.94"/>
    <n v="3"/>
    <n v="5612.82"/>
    <n v="0"/>
    <n v="0"/>
    <n v="5612.82"/>
    <s v="UPI"/>
    <s v="CUST_00495"/>
    <n v="5"/>
    <n v="0"/>
    <n v="1870.9399999999998"/>
    <s v="No Discount"/>
  </r>
  <r>
    <s v="TXN_03433"/>
    <d v="2024-10-01T00:00:00"/>
    <x v="7"/>
    <s v="Tuesday"/>
    <s v="STORE_044"/>
    <x v="1"/>
    <x v="6"/>
    <x v="30"/>
    <n v="1093.75"/>
    <n v="7"/>
    <n v="7656.25"/>
    <n v="0"/>
    <n v="0"/>
    <n v="7656.25"/>
    <s v="UPI"/>
    <s v="CUST_00046"/>
    <n v="4"/>
    <n v="0"/>
    <n v="1093.75"/>
    <s v="No Discount"/>
  </r>
  <r>
    <s v="TXN_03434"/>
    <d v="2024-04-05T00:00:00"/>
    <x v="4"/>
    <s v="Friday"/>
    <s v="STORE_046"/>
    <x v="0"/>
    <x v="5"/>
    <x v="34"/>
    <n v="4587.38"/>
    <n v="8"/>
    <n v="36699.040000000001"/>
    <n v="0"/>
    <n v="0"/>
    <n v="36699.040000000001"/>
    <s v="Debit Card"/>
    <s v="CUST_00331"/>
    <n v="1"/>
    <n v="0"/>
    <n v="4587.38"/>
    <s v="No Discount"/>
  </r>
  <r>
    <s v="TXN_03435"/>
    <d v="2024-07-06T00:00:00"/>
    <x v="11"/>
    <s v="Saturday"/>
    <s v="STORE_048"/>
    <x v="3"/>
    <x v="5"/>
    <x v="25"/>
    <n v="1717.25"/>
    <n v="4"/>
    <n v="6869"/>
    <n v="0"/>
    <n v="0"/>
    <n v="6869"/>
    <s v="Debit Card"/>
    <s v="CUST_00852"/>
    <n v="3"/>
    <n v="0"/>
    <n v="1717.25"/>
    <s v="No Discount"/>
  </r>
  <r>
    <s v="TXN_03436"/>
    <d v="2024-06-15T00:00:00"/>
    <x v="10"/>
    <s v="Saturday"/>
    <s v="STORE_039"/>
    <x v="3"/>
    <x v="6"/>
    <x v="30"/>
    <n v="1281.5"/>
    <n v="9"/>
    <n v="11533.5"/>
    <n v="20"/>
    <n v="2306.6999999999998"/>
    <n v="9226.7999999999993"/>
    <s v="Wallet"/>
    <s v="CUST_00900"/>
    <n v="3"/>
    <n v="2306.7000000000007"/>
    <n v="1025.1999999999998"/>
    <s v="High"/>
  </r>
  <r>
    <s v="TXN_03437"/>
    <d v="2024-04-10T00:00:00"/>
    <x v="4"/>
    <s v="Wednesday"/>
    <s v="STORE_050"/>
    <x v="0"/>
    <x v="7"/>
    <x v="37"/>
    <n v="515.70000000000005"/>
    <n v="6"/>
    <n v="3094.2"/>
    <n v="20"/>
    <n v="618.84"/>
    <n v="2475.36"/>
    <s v="Credit Card"/>
    <s v="CUST_00009"/>
    <n v="3"/>
    <n v="618.83999999999969"/>
    <n v="412.56"/>
    <s v="High"/>
  </r>
  <r>
    <s v="TXN_03438"/>
    <d v="2024-08-22T00:00:00"/>
    <x v="8"/>
    <s v="Thursday"/>
    <s v="STORE_018"/>
    <x v="1"/>
    <x v="4"/>
    <x v="20"/>
    <n v="298.70999999999998"/>
    <n v="2"/>
    <n v="597.41999999999996"/>
    <n v="0"/>
    <n v="0"/>
    <n v="597.41999999999996"/>
    <s v="Credit Card"/>
    <s v="CUST_00941"/>
    <n v="5"/>
    <n v="0"/>
    <n v="298.70999999999998"/>
    <s v="No Discount"/>
  </r>
  <r>
    <s v="TXN_03439"/>
    <d v="2024-02-28T00:00:00"/>
    <x v="1"/>
    <s v="Wednesday"/>
    <s v="STORE_016"/>
    <x v="0"/>
    <x v="0"/>
    <x v="18"/>
    <n v="463.51"/>
    <n v="10"/>
    <n v="4635.1000000000004"/>
    <n v="0"/>
    <n v="0"/>
    <n v="4635.1000000000004"/>
    <s v="Cash"/>
    <s v="CUST_00130"/>
    <n v="2"/>
    <n v="0"/>
    <n v="463.51000000000005"/>
    <s v="No Discount"/>
  </r>
  <r>
    <s v="TXN_03440"/>
    <d v="2024-05-14T00:00:00"/>
    <x v="3"/>
    <s v="Tuesday"/>
    <s v="STORE_048"/>
    <x v="0"/>
    <x v="7"/>
    <x v="28"/>
    <n v="1025.44"/>
    <n v="3"/>
    <n v="3076.32"/>
    <n v="10"/>
    <n v="307.63"/>
    <n v="2768.69"/>
    <s v="Cash"/>
    <s v="CUST_00743"/>
    <n v="3"/>
    <n v="307.63000000000011"/>
    <n v="922.89666666666665"/>
    <s v="Medium"/>
  </r>
  <r>
    <s v="TXN_03441"/>
    <d v="2024-12-09T00:00:00"/>
    <x v="6"/>
    <s v="Monday"/>
    <s v="STORE_032"/>
    <x v="4"/>
    <x v="7"/>
    <x v="24"/>
    <n v="1390.53"/>
    <n v="2"/>
    <n v="2781.06"/>
    <n v="0"/>
    <n v="0"/>
    <n v="2781.06"/>
    <s v="Credit Card"/>
    <s v="CUST_00228"/>
    <n v="5"/>
    <n v="0"/>
    <n v="1390.53"/>
    <s v="No Discount"/>
  </r>
  <r>
    <s v="TXN_03442"/>
    <d v="2024-09-07T00:00:00"/>
    <x v="9"/>
    <s v="Saturday"/>
    <s v="STORE_049"/>
    <x v="4"/>
    <x v="2"/>
    <x v="29"/>
    <n v="576.64"/>
    <n v="8"/>
    <n v="4613.12"/>
    <n v="20"/>
    <n v="922.62"/>
    <n v="3690.5"/>
    <s v="UPI"/>
    <s v="CUST_00155"/>
    <n v="5"/>
    <n v="922.61999999999989"/>
    <n v="461.3125"/>
    <s v="High"/>
  </r>
  <r>
    <s v="TXN_03443"/>
    <d v="2024-09-27T00:00:00"/>
    <x v="9"/>
    <s v="Friday"/>
    <s v="STORE_010"/>
    <x v="0"/>
    <x v="2"/>
    <x v="2"/>
    <n v="629.42999999999995"/>
    <n v="2"/>
    <n v="1258.8599999999999"/>
    <n v="0"/>
    <n v="0"/>
    <n v="1258.8599999999999"/>
    <s v="UPI"/>
    <s v="CUST_00095"/>
    <n v="5"/>
    <n v="0"/>
    <n v="629.42999999999995"/>
    <s v="No Discount"/>
  </r>
  <r>
    <s v="TXN_03444"/>
    <d v="2024-11-23T00:00:00"/>
    <x v="0"/>
    <s v="Saturday"/>
    <s v="STORE_033"/>
    <x v="2"/>
    <x v="3"/>
    <x v="5"/>
    <n v="1943.58"/>
    <n v="10"/>
    <n v="19435.8"/>
    <n v="20"/>
    <n v="3887.16"/>
    <n v="15548.64"/>
    <s v="Wallet"/>
    <s v="CUST_00669"/>
    <n v="1"/>
    <n v="3887.16"/>
    <n v="1554.864"/>
    <s v="High"/>
  </r>
  <r>
    <s v="TXN_03445"/>
    <d v="2024-06-09T00:00:00"/>
    <x v="10"/>
    <s v="Sunday"/>
    <s v="STORE_011"/>
    <x v="3"/>
    <x v="6"/>
    <x v="30"/>
    <n v="1706.03"/>
    <n v="10"/>
    <n v="17060.3"/>
    <n v="5"/>
    <n v="853.01"/>
    <n v="16207.29"/>
    <s v="Debit Card"/>
    <s v="CUST_00353"/>
    <n v="3"/>
    <n v="853.0099999999984"/>
    <n v="1620.729"/>
    <s v="Low"/>
  </r>
  <r>
    <s v="TXN_03446"/>
    <d v="2024-11-01T00:00:00"/>
    <x v="0"/>
    <s v="Friday"/>
    <s v="STORE_024"/>
    <x v="4"/>
    <x v="1"/>
    <x v="3"/>
    <n v="397.56"/>
    <n v="7"/>
    <n v="2782.92"/>
    <n v="20"/>
    <n v="556.58000000000004"/>
    <n v="2226.34"/>
    <s v="Debit Card"/>
    <s v="CUST_00485"/>
    <n v="3"/>
    <n v="556.57999999999993"/>
    <n v="318.04857142857145"/>
    <s v="High"/>
  </r>
  <r>
    <s v="TXN_03447"/>
    <d v="2024-07-17T00:00:00"/>
    <x v="11"/>
    <s v="Wednesday"/>
    <s v="STORE_014"/>
    <x v="1"/>
    <x v="1"/>
    <x v="6"/>
    <n v="399.34"/>
    <n v="6"/>
    <n v="2396.04"/>
    <n v="20"/>
    <n v="479.21"/>
    <n v="1916.83"/>
    <s v="Debit Card"/>
    <s v="CUST_00515"/>
    <n v="4"/>
    <n v="479.21000000000004"/>
    <n v="319.47166666666664"/>
    <s v="High"/>
  </r>
  <r>
    <s v="TXN_03448"/>
    <d v="2024-11-08T00:00:00"/>
    <x v="0"/>
    <s v="Friday"/>
    <s v="STORE_020"/>
    <x v="1"/>
    <x v="5"/>
    <x v="11"/>
    <n v="3995.94"/>
    <n v="8"/>
    <n v="31967.52"/>
    <n v="20"/>
    <n v="6393.5"/>
    <n v="25574.02"/>
    <s v="Debit Card"/>
    <s v="CUST_00766"/>
    <n v="3"/>
    <n v="6393.5"/>
    <n v="3196.7525000000001"/>
    <s v="High"/>
  </r>
  <r>
    <s v="TXN_03449"/>
    <d v="2024-07-19T00:00:00"/>
    <x v="11"/>
    <s v="Friday"/>
    <s v="STORE_030"/>
    <x v="4"/>
    <x v="5"/>
    <x v="11"/>
    <n v="3557.58"/>
    <n v="4"/>
    <n v="14230.32"/>
    <n v="0"/>
    <n v="0"/>
    <n v="14230.32"/>
    <s v="Credit Card"/>
    <s v="CUST_00696"/>
    <n v="1"/>
    <n v="0"/>
    <n v="3557.58"/>
    <s v="No Discount"/>
  </r>
  <r>
    <s v="TXN_03450"/>
    <d v="2024-10-27T00:00:00"/>
    <x v="7"/>
    <s v="Sunday"/>
    <s v="STORE_024"/>
    <x v="0"/>
    <x v="5"/>
    <x v="10"/>
    <n v="1100.97"/>
    <n v="1"/>
    <n v="1100.97"/>
    <n v="0"/>
    <n v="0"/>
    <n v="1100.97"/>
    <s v="Cash"/>
    <s v="CUST_00568"/>
    <n v="3"/>
    <n v="0"/>
    <n v="1100.97"/>
    <s v="No Discount"/>
  </r>
  <r>
    <s v="TXN_03451"/>
    <d v="2024-02-28T00:00:00"/>
    <x v="1"/>
    <s v="Wednesday"/>
    <s v="STORE_026"/>
    <x v="3"/>
    <x v="5"/>
    <x v="10"/>
    <n v="4848.7299999999996"/>
    <n v="3"/>
    <n v="14546.19"/>
    <n v="0"/>
    <n v="0"/>
    <n v="14546.19"/>
    <s v="Cash"/>
    <s v="CUST_00446"/>
    <n v="4"/>
    <n v="0"/>
    <n v="4848.7300000000005"/>
    <s v="No Discount"/>
  </r>
  <r>
    <s v="TXN_03452"/>
    <d v="2024-06-27T00:00:00"/>
    <x v="10"/>
    <s v="Thursday"/>
    <s v="STORE_032"/>
    <x v="1"/>
    <x v="0"/>
    <x v="4"/>
    <n v="766.87"/>
    <n v="9"/>
    <n v="6901.83"/>
    <n v="0"/>
    <n v="0"/>
    <n v="6901.83"/>
    <s v="Wallet"/>
    <s v="CUST_00329"/>
    <n v="5"/>
    <n v="0"/>
    <n v="766.87"/>
    <s v="No Discount"/>
  </r>
  <r>
    <s v="TXN_03453"/>
    <d v="2024-06-29T00:00:00"/>
    <x v="10"/>
    <s v="Saturday"/>
    <s v="STORE_014"/>
    <x v="2"/>
    <x v="1"/>
    <x v="36"/>
    <n v="375.33"/>
    <n v="3"/>
    <n v="1125.99"/>
    <n v="0"/>
    <n v="0"/>
    <n v="1125.99"/>
    <s v="UPI"/>
    <s v="CUST_00701"/>
    <n v="3"/>
    <n v="0"/>
    <n v="375.33"/>
    <s v="No Discount"/>
  </r>
  <r>
    <s v="TXN_03454"/>
    <d v="2024-08-22T00:00:00"/>
    <x v="8"/>
    <s v="Thursday"/>
    <s v="STORE_050"/>
    <x v="0"/>
    <x v="3"/>
    <x v="5"/>
    <n v="1755.25"/>
    <n v="10"/>
    <n v="17552.5"/>
    <n v="0"/>
    <n v="0"/>
    <n v="17552.5"/>
    <s v="Credit Card"/>
    <s v="CUST_00406"/>
    <n v="3"/>
    <n v="0"/>
    <n v="1755.25"/>
    <s v="No Discount"/>
  </r>
  <r>
    <s v="TXN_03455"/>
    <d v="2024-11-12T00:00:00"/>
    <x v="0"/>
    <s v="Tuesday"/>
    <s v="STORE_017"/>
    <x v="1"/>
    <x v="5"/>
    <x v="34"/>
    <n v="3626.67"/>
    <n v="1"/>
    <n v="3626.67"/>
    <n v="5"/>
    <n v="181.33"/>
    <n v="3445.34"/>
    <s v="Cash"/>
    <s v="CUST_00226"/>
    <n v="1"/>
    <n v="181.32999999999993"/>
    <n v="3445.34"/>
    <s v="Low"/>
  </r>
  <r>
    <s v="TXN_03456"/>
    <d v="2024-03-29T00:00:00"/>
    <x v="5"/>
    <s v="Friday"/>
    <s v="STORE_023"/>
    <x v="0"/>
    <x v="6"/>
    <x v="30"/>
    <n v="522.84"/>
    <n v="7"/>
    <n v="3659.88"/>
    <n v="0"/>
    <n v="0"/>
    <n v="3659.88"/>
    <s v="Cash"/>
    <s v="CUST_00606"/>
    <n v="3"/>
    <n v="0"/>
    <n v="522.84"/>
    <s v="No Discount"/>
  </r>
  <r>
    <s v="TXN_03457"/>
    <d v="2024-12-10T00:00:00"/>
    <x v="6"/>
    <s v="Tuesday"/>
    <s v="STORE_014"/>
    <x v="2"/>
    <x v="0"/>
    <x v="32"/>
    <n v="482.02"/>
    <n v="8"/>
    <n v="3856.16"/>
    <n v="0"/>
    <n v="0"/>
    <n v="3856.16"/>
    <s v="Cash"/>
    <s v="CUST_00610"/>
    <n v="2"/>
    <n v="0"/>
    <n v="482.02"/>
    <s v="No Discount"/>
  </r>
  <r>
    <s v="TXN_03458"/>
    <d v="2024-12-27T00:00:00"/>
    <x v="6"/>
    <s v="Friday"/>
    <s v="STORE_018"/>
    <x v="4"/>
    <x v="1"/>
    <x v="36"/>
    <n v="414.85"/>
    <n v="6"/>
    <n v="2489.1"/>
    <n v="0"/>
    <n v="0"/>
    <n v="2489.1"/>
    <s v="Debit Card"/>
    <s v="CUST_00956"/>
    <n v="2"/>
    <n v="0"/>
    <n v="414.84999999999997"/>
    <s v="No Discount"/>
  </r>
  <r>
    <s v="TXN_03459"/>
    <d v="2024-06-01T00:00:00"/>
    <x v="10"/>
    <s v="Saturday"/>
    <s v="STORE_002"/>
    <x v="2"/>
    <x v="1"/>
    <x v="31"/>
    <n v="330"/>
    <n v="10"/>
    <n v="3300"/>
    <n v="5"/>
    <n v="165"/>
    <n v="3135"/>
    <s v="Credit Card"/>
    <s v="CUST_00765"/>
    <n v="1"/>
    <n v="165"/>
    <n v="313.5"/>
    <s v="Low"/>
  </r>
  <r>
    <s v="TXN_03460"/>
    <d v="2024-11-10T00:00:00"/>
    <x v="0"/>
    <s v="Sunday"/>
    <s v="STORE_024"/>
    <x v="4"/>
    <x v="3"/>
    <x v="22"/>
    <n v="833.6"/>
    <n v="5"/>
    <n v="4168"/>
    <n v="10"/>
    <n v="416.8"/>
    <n v="3751.2"/>
    <s v="Wallet"/>
    <s v="CUST_00718"/>
    <n v="4"/>
    <n v="416.80000000000018"/>
    <n v="750.24"/>
    <s v="Medium"/>
  </r>
  <r>
    <s v="TXN_03461"/>
    <d v="2024-10-29T00:00:00"/>
    <x v="7"/>
    <s v="Tuesday"/>
    <s v="STORE_033"/>
    <x v="2"/>
    <x v="4"/>
    <x v="17"/>
    <n v="472.62"/>
    <n v="2"/>
    <n v="945.24"/>
    <n v="15"/>
    <n v="141.79"/>
    <n v="803.45"/>
    <s v="Wallet"/>
    <s v="CUST_00858"/>
    <n v="5"/>
    <n v="141.78999999999996"/>
    <n v="401.72500000000002"/>
    <s v="Medium"/>
  </r>
  <r>
    <s v="TXN_03462"/>
    <d v="2024-02-13T00:00:00"/>
    <x v="1"/>
    <s v="Tuesday"/>
    <s v="STORE_038"/>
    <x v="0"/>
    <x v="1"/>
    <x v="3"/>
    <n v="231.56"/>
    <n v="3"/>
    <n v="694.68"/>
    <n v="0"/>
    <n v="0"/>
    <n v="694.68"/>
    <s v="Cash"/>
    <s v="CUST_00512"/>
    <n v="5"/>
    <n v="0"/>
    <n v="231.55999999999997"/>
    <s v="No Discount"/>
  </r>
  <r>
    <s v="TXN_03463"/>
    <d v="2024-12-10T00:00:00"/>
    <x v="6"/>
    <s v="Tuesday"/>
    <s v="STORE_019"/>
    <x v="4"/>
    <x v="2"/>
    <x v="29"/>
    <n v="419.44"/>
    <n v="4"/>
    <n v="1677.76"/>
    <n v="10"/>
    <n v="167.78"/>
    <n v="1509.98"/>
    <s v="Debit Card"/>
    <s v="CUST_00889"/>
    <n v="4"/>
    <n v="167.77999999999997"/>
    <n v="377.495"/>
    <s v="Medium"/>
  </r>
  <r>
    <s v="TXN_03464"/>
    <d v="2024-03-09T00:00:00"/>
    <x v="5"/>
    <s v="Saturday"/>
    <s v="STORE_039"/>
    <x v="1"/>
    <x v="6"/>
    <x v="14"/>
    <n v="821.58"/>
    <n v="3"/>
    <n v="2464.7399999999998"/>
    <n v="0"/>
    <n v="0"/>
    <n v="2464.7399999999998"/>
    <s v="Debit Card"/>
    <s v="CUST_00271"/>
    <n v="2"/>
    <n v="0"/>
    <n v="821.57999999999993"/>
    <s v="No Discount"/>
  </r>
  <r>
    <s v="TXN_03465"/>
    <d v="2024-06-09T00:00:00"/>
    <x v="10"/>
    <s v="Sunday"/>
    <s v="STORE_047"/>
    <x v="4"/>
    <x v="6"/>
    <x v="33"/>
    <n v="520.66999999999996"/>
    <n v="8"/>
    <n v="4165.3599999999997"/>
    <n v="0"/>
    <n v="0"/>
    <n v="4165.3599999999997"/>
    <s v="Credit Card"/>
    <s v="CUST_00224"/>
    <n v="3"/>
    <n v="0"/>
    <n v="520.66999999999996"/>
    <s v="No Discount"/>
  </r>
  <r>
    <s v="TXN_03466"/>
    <d v="2024-03-01T00:00:00"/>
    <x v="5"/>
    <s v="Friday"/>
    <s v="STORE_001"/>
    <x v="3"/>
    <x v="0"/>
    <x v="27"/>
    <n v="570.66"/>
    <n v="8"/>
    <n v="4565.28"/>
    <n v="5"/>
    <n v="228.26"/>
    <n v="4337.0200000000004"/>
    <s v="UPI"/>
    <s v="CUST_00019"/>
    <n v="3"/>
    <n v="228.25999999999931"/>
    <n v="542.12750000000005"/>
    <s v="Low"/>
  </r>
  <r>
    <s v="TXN_03467"/>
    <d v="2024-05-02T00:00:00"/>
    <x v="3"/>
    <s v="Thursday"/>
    <s v="STORE_044"/>
    <x v="3"/>
    <x v="3"/>
    <x v="5"/>
    <n v="1277.99"/>
    <n v="6"/>
    <n v="7667.94"/>
    <n v="5"/>
    <n v="383.4"/>
    <n v="7284.54"/>
    <s v="Credit Card"/>
    <s v="CUST_00387"/>
    <n v="1"/>
    <n v="383.39999999999964"/>
    <n v="1214.0899999999999"/>
    <s v="Low"/>
  </r>
  <r>
    <s v="TXN_03468"/>
    <d v="2024-06-05T00:00:00"/>
    <x v="10"/>
    <s v="Wednesday"/>
    <s v="STORE_012"/>
    <x v="4"/>
    <x v="5"/>
    <x v="11"/>
    <n v="4419.2299999999996"/>
    <n v="9"/>
    <n v="39773.07"/>
    <n v="20"/>
    <n v="7954.61"/>
    <n v="31818.46"/>
    <s v="Debit Card"/>
    <s v="CUST_00131"/>
    <n v="1"/>
    <n v="7954.6100000000006"/>
    <n v="3535.3844444444444"/>
    <s v="High"/>
  </r>
  <r>
    <s v="TXN_03469"/>
    <d v="2024-02-29T00:00:00"/>
    <x v="1"/>
    <s v="Thursday"/>
    <s v="STORE_035"/>
    <x v="0"/>
    <x v="7"/>
    <x v="23"/>
    <n v="1294.79"/>
    <n v="4"/>
    <n v="5179.16"/>
    <n v="20"/>
    <n v="1035.83"/>
    <n v="4143.33"/>
    <s v="Wallet"/>
    <s v="CUST_00493"/>
    <n v="4"/>
    <n v="1035.83"/>
    <n v="1035.8325"/>
    <s v="High"/>
  </r>
  <r>
    <s v="TXN_03470"/>
    <d v="2024-04-03T00:00:00"/>
    <x v="4"/>
    <s v="Wednesday"/>
    <s v="STORE_014"/>
    <x v="0"/>
    <x v="2"/>
    <x v="13"/>
    <n v="193.56"/>
    <n v="5"/>
    <n v="967.8"/>
    <n v="15"/>
    <n v="145.16999999999999"/>
    <n v="822.63"/>
    <s v="Debit Card"/>
    <s v="CUST_00871"/>
    <n v="5"/>
    <n v="145.16999999999996"/>
    <n v="164.52600000000001"/>
    <s v="Medium"/>
  </r>
  <r>
    <s v="TXN_03471"/>
    <d v="2024-07-10T00:00:00"/>
    <x v="11"/>
    <s v="Wednesday"/>
    <s v="STORE_037"/>
    <x v="0"/>
    <x v="6"/>
    <x v="15"/>
    <n v="1582.88"/>
    <n v="6"/>
    <n v="9497.2800000000007"/>
    <n v="15"/>
    <n v="1424.59"/>
    <n v="8072.69"/>
    <s v="Wallet"/>
    <s v="CUST_00679"/>
    <n v="4"/>
    <n v="1424.5900000000011"/>
    <n v="1345.4483333333333"/>
    <s v="Medium"/>
  </r>
  <r>
    <s v="TXN_03472"/>
    <d v="2024-12-21T00:00:00"/>
    <x v="6"/>
    <s v="Saturday"/>
    <s v="STORE_023"/>
    <x v="0"/>
    <x v="6"/>
    <x v="33"/>
    <n v="1101.33"/>
    <n v="7"/>
    <n v="7709.31"/>
    <n v="0"/>
    <n v="0"/>
    <n v="7709.31"/>
    <s v="Cash"/>
    <s v="CUST_00097"/>
    <n v="5"/>
    <n v="0"/>
    <n v="1101.3300000000002"/>
    <s v="No Discount"/>
  </r>
  <r>
    <s v="TXN_03473"/>
    <d v="2024-03-13T00:00:00"/>
    <x v="5"/>
    <s v="Wednesday"/>
    <s v="STORE_047"/>
    <x v="1"/>
    <x v="5"/>
    <x v="11"/>
    <n v="2009.5"/>
    <n v="5"/>
    <n v="10047.5"/>
    <n v="0"/>
    <n v="0"/>
    <n v="10047.5"/>
    <s v="Cash"/>
    <s v="CUST_00593"/>
    <n v="5"/>
    <n v="0"/>
    <n v="2009.5"/>
    <s v="No Discount"/>
  </r>
  <r>
    <s v="TXN_03474"/>
    <d v="2024-09-18T00:00:00"/>
    <x v="9"/>
    <s v="Wednesday"/>
    <s v="STORE_007"/>
    <x v="0"/>
    <x v="7"/>
    <x v="28"/>
    <n v="1459.9"/>
    <n v="5"/>
    <n v="7299.5"/>
    <n v="20"/>
    <n v="1459.9"/>
    <n v="5839.6"/>
    <s v="UPI"/>
    <s v="CUST_00991"/>
    <n v="3"/>
    <n v="1459.8999999999996"/>
    <n v="1167.92"/>
    <s v="High"/>
  </r>
  <r>
    <s v="TXN_03475"/>
    <d v="2024-07-17T00:00:00"/>
    <x v="11"/>
    <s v="Wednesday"/>
    <s v="STORE_036"/>
    <x v="2"/>
    <x v="2"/>
    <x v="29"/>
    <n v="182.85"/>
    <n v="7"/>
    <n v="1279.95"/>
    <n v="15"/>
    <n v="191.99"/>
    <n v="1087.96"/>
    <s v="Debit Card"/>
    <s v="CUST_00486"/>
    <n v="4"/>
    <n v="191.99"/>
    <n v="155.42285714285714"/>
    <s v="Medium"/>
  </r>
  <r>
    <s v="TXN_03476"/>
    <d v="2024-08-02T00:00:00"/>
    <x v="8"/>
    <s v="Friday"/>
    <s v="STORE_041"/>
    <x v="4"/>
    <x v="6"/>
    <x v="15"/>
    <n v="1338.67"/>
    <n v="4"/>
    <n v="5354.68"/>
    <n v="20"/>
    <n v="1070.94"/>
    <n v="4283.74"/>
    <s v="UPI"/>
    <s v="CUST_00098"/>
    <n v="3"/>
    <n v="1070.9400000000005"/>
    <n v="1070.9349999999999"/>
    <s v="High"/>
  </r>
  <r>
    <s v="TXN_03477"/>
    <d v="2024-11-01T00:00:00"/>
    <x v="0"/>
    <s v="Friday"/>
    <s v="STORE_041"/>
    <x v="1"/>
    <x v="7"/>
    <x v="37"/>
    <n v="1171.93"/>
    <n v="10"/>
    <n v="11719.3"/>
    <n v="0"/>
    <n v="0"/>
    <n v="11719.3"/>
    <s v="Cash"/>
    <s v="CUST_00587"/>
    <n v="5"/>
    <n v="0"/>
    <n v="1171.9299999999998"/>
    <s v="No Discount"/>
  </r>
  <r>
    <s v="TXN_03478"/>
    <d v="2024-03-11T00:00:00"/>
    <x v="5"/>
    <s v="Monday"/>
    <s v="STORE_007"/>
    <x v="0"/>
    <x v="2"/>
    <x v="29"/>
    <n v="151.28"/>
    <n v="4"/>
    <n v="605.12"/>
    <n v="5"/>
    <n v="30.26"/>
    <n v="574.86"/>
    <s v="Wallet"/>
    <s v="CUST_00782"/>
    <n v="2"/>
    <n v="30.259999999999991"/>
    <n v="143.715"/>
    <s v="Low"/>
  </r>
  <r>
    <s v="TXN_03479"/>
    <d v="2024-10-21T00:00:00"/>
    <x v="7"/>
    <s v="Monday"/>
    <s v="STORE_012"/>
    <x v="3"/>
    <x v="0"/>
    <x v="0"/>
    <n v="927.67"/>
    <n v="7"/>
    <n v="6493.69"/>
    <n v="0"/>
    <n v="0"/>
    <n v="6493.69"/>
    <s v="Wallet"/>
    <s v="CUST_00410"/>
    <n v="4"/>
    <n v="0"/>
    <n v="927.67"/>
    <s v="No Discount"/>
  </r>
  <r>
    <s v="TXN_03480"/>
    <d v="2024-07-15T00:00:00"/>
    <x v="11"/>
    <s v="Monday"/>
    <s v="STORE_014"/>
    <x v="1"/>
    <x v="1"/>
    <x v="1"/>
    <n v="283.85000000000002"/>
    <n v="8"/>
    <n v="2270.8000000000002"/>
    <n v="5"/>
    <n v="113.54"/>
    <n v="2157.2600000000002"/>
    <s v="Cash"/>
    <s v="CUST_00808"/>
    <n v="5"/>
    <n v="113.53999999999996"/>
    <n v="269.65750000000003"/>
    <s v="Low"/>
  </r>
  <r>
    <s v="TXN_03481"/>
    <d v="2024-08-04T00:00:00"/>
    <x v="8"/>
    <s v="Sunday"/>
    <s v="STORE_039"/>
    <x v="2"/>
    <x v="0"/>
    <x v="18"/>
    <n v="366.89"/>
    <n v="5"/>
    <n v="1834.45"/>
    <n v="0"/>
    <n v="0"/>
    <n v="1834.45"/>
    <s v="UPI"/>
    <s v="CUST_00599"/>
    <n v="3"/>
    <n v="0"/>
    <n v="366.89"/>
    <s v="No Discount"/>
  </r>
  <r>
    <s v="TXN_03482"/>
    <d v="2024-04-05T00:00:00"/>
    <x v="4"/>
    <s v="Friday"/>
    <s v="STORE_020"/>
    <x v="0"/>
    <x v="4"/>
    <x v="20"/>
    <n v="498.49"/>
    <n v="9"/>
    <n v="4486.41"/>
    <n v="0"/>
    <n v="0"/>
    <n v="4486.41"/>
    <s v="Wallet"/>
    <s v="CUST_00443"/>
    <n v="5"/>
    <n v="0"/>
    <n v="498.49"/>
    <s v="No Discount"/>
  </r>
  <r>
    <s v="TXN_03483"/>
    <d v="2024-09-06T00:00:00"/>
    <x v="9"/>
    <s v="Friday"/>
    <s v="STORE_026"/>
    <x v="2"/>
    <x v="1"/>
    <x v="31"/>
    <n v="136.38999999999999"/>
    <n v="10"/>
    <n v="1363.9"/>
    <n v="10"/>
    <n v="136.38999999999999"/>
    <n v="1227.51"/>
    <s v="Credit Card"/>
    <s v="CUST_00373"/>
    <n v="4"/>
    <n v="136.3900000000001"/>
    <n v="122.751"/>
    <s v="Medium"/>
  </r>
  <r>
    <s v="TXN_03484"/>
    <d v="2024-11-21T00:00:00"/>
    <x v="0"/>
    <s v="Thursday"/>
    <s v="STORE_022"/>
    <x v="1"/>
    <x v="6"/>
    <x v="30"/>
    <n v="640.97"/>
    <n v="2"/>
    <n v="1281.94"/>
    <n v="0"/>
    <n v="0"/>
    <n v="1281.94"/>
    <s v="Wallet"/>
    <s v="CUST_00539"/>
    <n v="1"/>
    <n v="0"/>
    <n v="640.97"/>
    <s v="No Discount"/>
  </r>
  <r>
    <s v="TXN_03485"/>
    <d v="2024-10-02T00:00:00"/>
    <x v="7"/>
    <s v="Wednesday"/>
    <s v="STORE_040"/>
    <x v="0"/>
    <x v="6"/>
    <x v="15"/>
    <n v="924.59"/>
    <n v="4"/>
    <n v="3698.36"/>
    <n v="5"/>
    <n v="184.92"/>
    <n v="3513.44"/>
    <s v="Cash"/>
    <s v="CUST_00777"/>
    <n v="4"/>
    <n v="184.92000000000007"/>
    <n v="878.36"/>
    <s v="Low"/>
  </r>
  <r>
    <s v="TXN_03486"/>
    <d v="2024-12-21T00:00:00"/>
    <x v="6"/>
    <s v="Saturday"/>
    <s v="STORE_047"/>
    <x v="4"/>
    <x v="7"/>
    <x v="24"/>
    <n v="1491.39"/>
    <n v="10"/>
    <n v="14913.9"/>
    <n v="0"/>
    <n v="0"/>
    <n v="14913.9"/>
    <s v="Credit Card"/>
    <s v="CUST_00974"/>
    <n v="1"/>
    <n v="0"/>
    <n v="1491.3899999999999"/>
    <s v="No Discount"/>
  </r>
  <r>
    <s v="TXN_03487"/>
    <d v="2024-11-26T00:00:00"/>
    <x v="0"/>
    <s v="Tuesday"/>
    <s v="STORE_046"/>
    <x v="4"/>
    <x v="0"/>
    <x v="18"/>
    <n v="840.18"/>
    <n v="7"/>
    <n v="5881.26"/>
    <n v="20"/>
    <n v="1176.25"/>
    <n v="4705.01"/>
    <s v="Cash"/>
    <s v="CUST_00019"/>
    <n v="4"/>
    <n v="1176.25"/>
    <n v="672.14428571428573"/>
    <s v="High"/>
  </r>
  <r>
    <s v="TXN_03488"/>
    <d v="2024-03-29T00:00:00"/>
    <x v="5"/>
    <s v="Friday"/>
    <s v="STORE_034"/>
    <x v="2"/>
    <x v="2"/>
    <x v="7"/>
    <n v="499.48"/>
    <n v="2"/>
    <n v="998.96"/>
    <n v="0"/>
    <n v="0"/>
    <n v="998.96"/>
    <s v="UPI"/>
    <s v="CUST_00391"/>
    <n v="2"/>
    <n v="0"/>
    <n v="499.48"/>
    <s v="No Discount"/>
  </r>
  <r>
    <s v="TXN_03489"/>
    <d v="2024-10-11T00:00:00"/>
    <x v="7"/>
    <s v="Friday"/>
    <s v="STORE_029"/>
    <x v="0"/>
    <x v="1"/>
    <x v="3"/>
    <n v="472.37"/>
    <n v="7"/>
    <n v="3306.59"/>
    <n v="5"/>
    <n v="165.33"/>
    <n v="3141.26"/>
    <s v="Debit Card"/>
    <s v="CUST_00038"/>
    <n v="4"/>
    <n v="165.32999999999993"/>
    <n v="448.75142857142862"/>
    <s v="Low"/>
  </r>
  <r>
    <s v="TXN_03490"/>
    <d v="2024-03-26T00:00:00"/>
    <x v="5"/>
    <s v="Tuesday"/>
    <s v="STORE_012"/>
    <x v="3"/>
    <x v="0"/>
    <x v="18"/>
    <n v="236.04"/>
    <n v="3"/>
    <n v="708.12"/>
    <n v="20"/>
    <n v="141.62"/>
    <n v="566.5"/>
    <s v="Debit Card"/>
    <s v="CUST_00313"/>
    <n v="4"/>
    <n v="141.62"/>
    <n v="188.83333333333334"/>
    <s v="High"/>
  </r>
  <r>
    <s v="TXN_03491"/>
    <d v="2024-09-07T00:00:00"/>
    <x v="9"/>
    <s v="Saturday"/>
    <s v="STORE_037"/>
    <x v="3"/>
    <x v="3"/>
    <x v="12"/>
    <n v="359.98"/>
    <n v="9"/>
    <n v="3239.82"/>
    <n v="20"/>
    <n v="647.96"/>
    <n v="2591.86"/>
    <s v="UPI"/>
    <s v="CUST_00163"/>
    <n v="5"/>
    <n v="647.96"/>
    <n v="287.98444444444448"/>
    <s v="High"/>
  </r>
  <r>
    <s v="TXN_03492"/>
    <d v="2024-05-27T00:00:00"/>
    <x v="3"/>
    <s v="Monday"/>
    <s v="STORE_044"/>
    <x v="3"/>
    <x v="2"/>
    <x v="39"/>
    <n v="534.30999999999995"/>
    <n v="8"/>
    <n v="4274.4799999999996"/>
    <n v="0"/>
    <n v="0"/>
    <n v="4274.4799999999996"/>
    <s v="Cash"/>
    <s v="CUST_00633"/>
    <n v="3"/>
    <n v="0"/>
    <n v="534.30999999999995"/>
    <s v="No Discount"/>
  </r>
  <r>
    <s v="TXN_03493"/>
    <d v="2024-03-12T00:00:00"/>
    <x v="5"/>
    <s v="Tuesday"/>
    <s v="STORE_008"/>
    <x v="1"/>
    <x v="3"/>
    <x v="12"/>
    <n v="2351.02"/>
    <n v="8"/>
    <n v="18808.16"/>
    <n v="5"/>
    <n v="940.41"/>
    <n v="17867.75"/>
    <s v="Credit Card"/>
    <s v="CUST_00316"/>
    <n v="1"/>
    <n v="940.40999999999985"/>
    <n v="2233.46875"/>
    <s v="Low"/>
  </r>
  <r>
    <s v="TXN_03494"/>
    <d v="2024-04-05T00:00:00"/>
    <x v="4"/>
    <s v="Friday"/>
    <s v="STORE_001"/>
    <x v="4"/>
    <x v="7"/>
    <x v="37"/>
    <n v="1111.1099999999999"/>
    <n v="4"/>
    <n v="4444.4399999999996"/>
    <n v="15"/>
    <n v="666.67"/>
    <n v="3777.77"/>
    <s v="Debit Card"/>
    <s v="CUST_00435"/>
    <n v="4"/>
    <n v="666.66999999999962"/>
    <n v="944.4425"/>
    <s v="Medium"/>
  </r>
  <r>
    <s v="TXN_03495"/>
    <d v="2024-06-10T00:00:00"/>
    <x v="10"/>
    <s v="Monday"/>
    <s v="STORE_049"/>
    <x v="2"/>
    <x v="4"/>
    <x v="19"/>
    <n v="378.77"/>
    <n v="9"/>
    <n v="3408.93"/>
    <n v="20"/>
    <n v="681.79"/>
    <n v="2727.14"/>
    <s v="Wallet"/>
    <s v="CUST_00036"/>
    <n v="4"/>
    <n v="681.79"/>
    <n v="303.01555555555552"/>
    <s v="High"/>
  </r>
  <r>
    <s v="TXN_03496"/>
    <d v="2024-08-18T00:00:00"/>
    <x v="8"/>
    <s v="Sunday"/>
    <s v="STORE_038"/>
    <x v="1"/>
    <x v="4"/>
    <x v="17"/>
    <n v="363.43"/>
    <n v="6"/>
    <n v="2180.58"/>
    <n v="10"/>
    <n v="218.06"/>
    <n v="1962.52"/>
    <s v="UPI"/>
    <s v="CUST_00850"/>
    <n v="4"/>
    <n v="218.05999999999995"/>
    <n v="327.08666666666664"/>
    <s v="Medium"/>
  </r>
  <r>
    <s v="TXN_03497"/>
    <d v="2024-11-13T00:00:00"/>
    <x v="0"/>
    <s v="Wednesday"/>
    <s v="STORE_004"/>
    <x v="0"/>
    <x v="3"/>
    <x v="12"/>
    <n v="2980.01"/>
    <n v="7"/>
    <n v="20860.07"/>
    <n v="0"/>
    <n v="0"/>
    <n v="20860.07"/>
    <s v="Cash"/>
    <s v="CUST_00392"/>
    <n v="4"/>
    <n v="0"/>
    <n v="2980.0099999999998"/>
    <s v="No Discount"/>
  </r>
  <r>
    <s v="TXN_03498"/>
    <d v="2024-01-28T00:00:00"/>
    <x v="2"/>
    <s v="Sunday"/>
    <s v="STORE_039"/>
    <x v="3"/>
    <x v="3"/>
    <x v="12"/>
    <n v="1572.01"/>
    <n v="8"/>
    <n v="12576.08"/>
    <n v="15"/>
    <n v="1886.41"/>
    <n v="10689.67"/>
    <s v="UPI"/>
    <s v="CUST_00828"/>
    <n v="3"/>
    <n v="1886.4099999999999"/>
    <n v="1336.20875"/>
    <s v="Medium"/>
  </r>
  <r>
    <s v="TXN_03499"/>
    <d v="2024-07-02T00:00:00"/>
    <x v="11"/>
    <s v="Tuesday"/>
    <s v="STORE_038"/>
    <x v="1"/>
    <x v="2"/>
    <x v="39"/>
    <n v="462.77"/>
    <n v="7"/>
    <n v="3239.39"/>
    <n v="5"/>
    <n v="161.97"/>
    <n v="3077.42"/>
    <s v="Wallet"/>
    <s v="CUST_00996"/>
    <n v="3"/>
    <n v="161.9699999999998"/>
    <n v="439.63142857142856"/>
    <s v="Low"/>
  </r>
  <r>
    <s v="TXN_03500"/>
    <d v="2024-01-05T00:00:00"/>
    <x v="2"/>
    <s v="Friday"/>
    <s v="STORE_021"/>
    <x v="2"/>
    <x v="1"/>
    <x v="36"/>
    <n v="206.99"/>
    <n v="4"/>
    <n v="827.96"/>
    <n v="0"/>
    <n v="0"/>
    <n v="827.96"/>
    <s v="UPI"/>
    <s v="CUST_00735"/>
    <n v="3"/>
    <n v="0"/>
    <n v="206.99"/>
    <s v="No Discount"/>
  </r>
  <r>
    <s v="TXN_03501"/>
    <d v="2024-09-05T00:00:00"/>
    <x v="9"/>
    <s v="Thursday"/>
    <s v="STORE_011"/>
    <x v="4"/>
    <x v="5"/>
    <x v="25"/>
    <n v="1094.07"/>
    <n v="6"/>
    <n v="6564.42"/>
    <n v="0"/>
    <n v="0"/>
    <n v="6564.42"/>
    <s v="UPI"/>
    <s v="CUST_00663"/>
    <n v="4"/>
    <n v="0"/>
    <n v="1094.07"/>
    <s v="No Discount"/>
  </r>
  <r>
    <s v="TXN_03502"/>
    <d v="2024-03-10T00:00:00"/>
    <x v="5"/>
    <s v="Sunday"/>
    <s v="STORE_015"/>
    <x v="4"/>
    <x v="6"/>
    <x v="26"/>
    <n v="1587.46"/>
    <n v="9"/>
    <n v="14287.14"/>
    <n v="10"/>
    <n v="1428.71"/>
    <n v="12858.43"/>
    <s v="UPI"/>
    <s v="CUST_00265"/>
    <n v="3"/>
    <n v="1428.7099999999991"/>
    <n v="1428.7144444444446"/>
    <s v="Medium"/>
  </r>
  <r>
    <s v="TXN_03503"/>
    <d v="2024-04-09T00:00:00"/>
    <x v="4"/>
    <s v="Tuesday"/>
    <s v="STORE_050"/>
    <x v="3"/>
    <x v="4"/>
    <x v="8"/>
    <n v="256.66000000000003"/>
    <n v="6"/>
    <n v="1539.96"/>
    <n v="0"/>
    <n v="0"/>
    <n v="1539.96"/>
    <s v="Wallet"/>
    <s v="CUST_00538"/>
    <n v="1"/>
    <n v="0"/>
    <n v="256.66000000000003"/>
    <s v="No Discount"/>
  </r>
  <r>
    <s v="TXN_03504"/>
    <d v="2024-07-15T00:00:00"/>
    <x v="11"/>
    <s v="Monday"/>
    <s v="STORE_026"/>
    <x v="4"/>
    <x v="6"/>
    <x v="15"/>
    <n v="844.36"/>
    <n v="4"/>
    <n v="3377.44"/>
    <n v="0"/>
    <n v="0"/>
    <n v="3377.44"/>
    <s v="Wallet"/>
    <s v="CUST_00194"/>
    <n v="3"/>
    <n v="0"/>
    <n v="844.36"/>
    <s v="No Discount"/>
  </r>
  <r>
    <s v="TXN_03505"/>
    <d v="2024-10-14T00:00:00"/>
    <x v="7"/>
    <s v="Monday"/>
    <s v="STORE_048"/>
    <x v="4"/>
    <x v="5"/>
    <x v="10"/>
    <n v="1483.46"/>
    <n v="7"/>
    <n v="10384.219999999999"/>
    <n v="10"/>
    <n v="1038.42"/>
    <n v="9345.7999999999993"/>
    <s v="UPI"/>
    <s v="CUST_00044"/>
    <n v="3"/>
    <n v="1038.42"/>
    <n v="1335.1142857142856"/>
    <s v="Medium"/>
  </r>
  <r>
    <s v="TXN_03506"/>
    <d v="2024-09-15T00:00:00"/>
    <x v="9"/>
    <s v="Sunday"/>
    <s v="STORE_006"/>
    <x v="1"/>
    <x v="2"/>
    <x v="2"/>
    <n v="432.3"/>
    <n v="8"/>
    <n v="3458.4"/>
    <n v="0"/>
    <n v="0"/>
    <n v="3458.4"/>
    <s v="Credit Card"/>
    <s v="CUST_00002"/>
    <n v="3"/>
    <n v="0"/>
    <n v="432.3"/>
    <s v="No Discount"/>
  </r>
  <r>
    <s v="TXN_03507"/>
    <d v="2024-11-30T00:00:00"/>
    <x v="0"/>
    <s v="Saturday"/>
    <s v="STORE_007"/>
    <x v="2"/>
    <x v="0"/>
    <x v="0"/>
    <n v="341.34"/>
    <n v="5"/>
    <n v="1706.7"/>
    <n v="20"/>
    <n v="341.34"/>
    <n v="1365.36"/>
    <s v="Credit Card"/>
    <s v="CUST_00822"/>
    <n v="3"/>
    <n v="341.34000000000015"/>
    <n v="273.072"/>
    <s v="High"/>
  </r>
  <r>
    <s v="TXN_03508"/>
    <d v="2024-09-10T00:00:00"/>
    <x v="9"/>
    <s v="Tuesday"/>
    <s v="STORE_041"/>
    <x v="4"/>
    <x v="5"/>
    <x v="9"/>
    <n v="2443.86"/>
    <n v="4"/>
    <n v="9775.44"/>
    <n v="20"/>
    <n v="1955.09"/>
    <n v="7820.35"/>
    <s v="Wallet"/>
    <s v="CUST_00443"/>
    <n v="4"/>
    <n v="1955.0900000000001"/>
    <n v="1955.0875000000001"/>
    <s v="High"/>
  </r>
  <r>
    <s v="TXN_03509"/>
    <d v="2024-07-28T00:00:00"/>
    <x v="11"/>
    <s v="Sunday"/>
    <s v="STORE_018"/>
    <x v="3"/>
    <x v="3"/>
    <x v="12"/>
    <n v="2694.39"/>
    <n v="7"/>
    <n v="18860.73"/>
    <n v="5"/>
    <n v="943.04"/>
    <n v="17917.689999999999"/>
    <s v="Cash"/>
    <s v="CUST_00885"/>
    <n v="4"/>
    <n v="943.04000000000087"/>
    <n v="2559.6699999999996"/>
    <s v="Low"/>
  </r>
  <r>
    <s v="TXN_03510"/>
    <d v="2024-12-16T00:00:00"/>
    <x v="6"/>
    <s v="Monday"/>
    <s v="STORE_040"/>
    <x v="3"/>
    <x v="0"/>
    <x v="18"/>
    <n v="398.11"/>
    <n v="3"/>
    <n v="1194.33"/>
    <n v="5"/>
    <n v="59.72"/>
    <n v="1134.6099999999999"/>
    <s v="Debit Card"/>
    <s v="CUST_00271"/>
    <n v="5"/>
    <n v="59.720000000000027"/>
    <n v="378.20333333333332"/>
    <s v="Low"/>
  </r>
  <r>
    <s v="TXN_03511"/>
    <d v="2024-09-08T00:00:00"/>
    <x v="9"/>
    <s v="Sunday"/>
    <s v="STORE_005"/>
    <x v="2"/>
    <x v="7"/>
    <x v="24"/>
    <n v="1013.56"/>
    <n v="1"/>
    <n v="1013.56"/>
    <n v="15"/>
    <n v="152.03"/>
    <n v="861.53"/>
    <s v="Wallet"/>
    <s v="CUST_00899"/>
    <n v="3"/>
    <n v="152.02999999999997"/>
    <n v="861.53"/>
    <s v="Medium"/>
  </r>
  <r>
    <s v="TXN_03512"/>
    <d v="2024-07-31T00:00:00"/>
    <x v="11"/>
    <s v="Wednesday"/>
    <s v="STORE_035"/>
    <x v="2"/>
    <x v="7"/>
    <x v="28"/>
    <n v="514.85"/>
    <n v="8"/>
    <n v="4118.8"/>
    <n v="5"/>
    <n v="205.94"/>
    <n v="3912.86"/>
    <s v="Credit Card"/>
    <s v="CUST_00699"/>
    <n v="4"/>
    <n v="205.94000000000005"/>
    <n v="489.10750000000002"/>
    <s v="Low"/>
  </r>
  <r>
    <s v="TXN_03513"/>
    <d v="2024-12-29T00:00:00"/>
    <x v="6"/>
    <s v="Sunday"/>
    <s v="STORE_031"/>
    <x v="4"/>
    <x v="4"/>
    <x v="8"/>
    <n v="326.27999999999997"/>
    <n v="9"/>
    <n v="2936.52"/>
    <n v="0"/>
    <n v="0"/>
    <n v="2936.52"/>
    <s v="Wallet"/>
    <s v="CUST_00650"/>
    <n v="4"/>
    <n v="0"/>
    <n v="326.27999999999997"/>
    <s v="No Discount"/>
  </r>
  <r>
    <s v="TXN_03514"/>
    <d v="2024-08-15T00:00:00"/>
    <x v="8"/>
    <s v="Thursday"/>
    <s v="STORE_006"/>
    <x v="1"/>
    <x v="1"/>
    <x v="31"/>
    <n v="283.27"/>
    <n v="4"/>
    <n v="1133.08"/>
    <n v="20"/>
    <n v="226.62"/>
    <n v="906.46"/>
    <s v="Credit Card"/>
    <s v="CUST_00258"/>
    <n v="4"/>
    <n v="226.61999999999989"/>
    <n v="226.61500000000001"/>
    <s v="High"/>
  </r>
  <r>
    <s v="TXN_03515"/>
    <d v="2024-09-07T00:00:00"/>
    <x v="9"/>
    <s v="Saturday"/>
    <s v="STORE_038"/>
    <x v="0"/>
    <x v="3"/>
    <x v="22"/>
    <n v="1452.12"/>
    <n v="6"/>
    <n v="8712.7199999999993"/>
    <n v="0"/>
    <n v="0"/>
    <n v="8712.7199999999993"/>
    <s v="UPI"/>
    <s v="CUST_00876"/>
    <n v="5"/>
    <n v="0"/>
    <n v="1452.12"/>
    <s v="No Discount"/>
  </r>
  <r>
    <s v="TXN_03516"/>
    <d v="2024-03-26T00:00:00"/>
    <x v="5"/>
    <s v="Tuesday"/>
    <s v="STORE_003"/>
    <x v="0"/>
    <x v="4"/>
    <x v="8"/>
    <n v="575.63"/>
    <n v="6"/>
    <n v="3453.78"/>
    <n v="15"/>
    <n v="518.07000000000005"/>
    <n v="2935.71"/>
    <s v="Debit Card"/>
    <s v="CUST_00779"/>
    <n v="4"/>
    <n v="518.07000000000016"/>
    <n v="489.28500000000003"/>
    <s v="Medium"/>
  </r>
  <r>
    <s v="TXN_03517"/>
    <d v="2024-02-12T00:00:00"/>
    <x v="1"/>
    <s v="Monday"/>
    <s v="STORE_049"/>
    <x v="3"/>
    <x v="1"/>
    <x v="36"/>
    <n v="376.79"/>
    <n v="9"/>
    <n v="3391.11"/>
    <n v="5"/>
    <n v="169.56"/>
    <n v="3221.55"/>
    <s v="Cash"/>
    <s v="CUST_00062"/>
    <n v="4"/>
    <n v="169.55999999999995"/>
    <n v="357.95000000000005"/>
    <s v="Low"/>
  </r>
  <r>
    <s v="TXN_03518"/>
    <d v="2024-10-16T00:00:00"/>
    <x v="7"/>
    <s v="Wednesday"/>
    <s v="STORE_039"/>
    <x v="0"/>
    <x v="1"/>
    <x v="36"/>
    <n v="336.43"/>
    <n v="9"/>
    <n v="3027.87"/>
    <n v="15"/>
    <n v="454.18"/>
    <n v="2573.69"/>
    <s v="Credit Card"/>
    <s v="CUST_00245"/>
    <n v="2"/>
    <n v="454.17999999999984"/>
    <n v="285.96555555555557"/>
    <s v="Medium"/>
  </r>
  <r>
    <s v="TXN_03519"/>
    <d v="2024-01-16T00:00:00"/>
    <x v="2"/>
    <s v="Tuesday"/>
    <s v="STORE_032"/>
    <x v="3"/>
    <x v="0"/>
    <x v="18"/>
    <n v="890.16"/>
    <n v="10"/>
    <n v="8901.6"/>
    <n v="0"/>
    <n v="0"/>
    <n v="8901.6"/>
    <s v="Debit Card"/>
    <s v="CUST_00260"/>
    <n v="2"/>
    <n v="0"/>
    <n v="890.16000000000008"/>
    <s v="No Discount"/>
  </r>
  <r>
    <s v="TXN_03520"/>
    <d v="2024-04-22T00:00:00"/>
    <x v="4"/>
    <s v="Monday"/>
    <s v="STORE_016"/>
    <x v="3"/>
    <x v="4"/>
    <x v="17"/>
    <n v="440.07"/>
    <n v="9"/>
    <n v="3960.63"/>
    <n v="0"/>
    <n v="0"/>
    <n v="3960.63"/>
    <s v="Credit Card"/>
    <s v="CUST_00422"/>
    <n v="2"/>
    <n v="0"/>
    <n v="440.07"/>
    <s v="No Discount"/>
  </r>
  <r>
    <s v="TXN_03521"/>
    <d v="2024-05-29T00:00:00"/>
    <x v="3"/>
    <s v="Wednesday"/>
    <s v="STORE_038"/>
    <x v="2"/>
    <x v="1"/>
    <x v="36"/>
    <n v="200.51"/>
    <n v="9"/>
    <n v="1804.59"/>
    <n v="20"/>
    <n v="360.92"/>
    <n v="1443.67"/>
    <s v="Credit Card"/>
    <s v="CUST_00777"/>
    <n v="4"/>
    <n v="360.91999999999985"/>
    <n v="160.4077777777778"/>
    <s v="High"/>
  </r>
  <r>
    <s v="TXN_03522"/>
    <d v="2024-01-17T00:00:00"/>
    <x v="2"/>
    <s v="Wednesday"/>
    <s v="STORE_018"/>
    <x v="2"/>
    <x v="6"/>
    <x v="33"/>
    <n v="1767.53"/>
    <n v="6"/>
    <n v="10605.18"/>
    <n v="0"/>
    <n v="0"/>
    <n v="10605.18"/>
    <s v="Credit Card"/>
    <s v="CUST_00508"/>
    <n v="4"/>
    <n v="0"/>
    <n v="1767.53"/>
    <s v="No Discount"/>
  </r>
  <r>
    <s v="TXN_03523"/>
    <d v="2024-05-20T00:00:00"/>
    <x v="3"/>
    <s v="Monday"/>
    <s v="STORE_034"/>
    <x v="1"/>
    <x v="6"/>
    <x v="33"/>
    <n v="1291.57"/>
    <n v="9"/>
    <n v="11624.13"/>
    <n v="15"/>
    <n v="1743.62"/>
    <n v="9880.51"/>
    <s v="Cash"/>
    <s v="CUST_00525"/>
    <n v="4"/>
    <n v="1743.619999999999"/>
    <n v="1097.8344444444444"/>
    <s v="Medium"/>
  </r>
  <r>
    <s v="TXN_03524"/>
    <d v="2024-04-25T00:00:00"/>
    <x v="4"/>
    <s v="Thursday"/>
    <s v="STORE_014"/>
    <x v="3"/>
    <x v="3"/>
    <x v="21"/>
    <n v="838.39"/>
    <n v="9"/>
    <n v="7545.51"/>
    <n v="20"/>
    <n v="1509.1"/>
    <n v="6036.41"/>
    <s v="Cash"/>
    <s v="CUST_00953"/>
    <n v="4"/>
    <n v="1509.1000000000004"/>
    <n v="670.71222222222218"/>
    <s v="High"/>
  </r>
  <r>
    <s v="TXN_03525"/>
    <d v="2024-10-02T00:00:00"/>
    <x v="7"/>
    <s v="Wednesday"/>
    <s v="STORE_040"/>
    <x v="0"/>
    <x v="4"/>
    <x v="35"/>
    <n v="460.54"/>
    <n v="1"/>
    <n v="460.54"/>
    <n v="20"/>
    <n v="92.11"/>
    <n v="368.43"/>
    <s v="Cash"/>
    <s v="CUST_00491"/>
    <n v="3"/>
    <n v="92.110000000000014"/>
    <n v="368.43"/>
    <s v="High"/>
  </r>
  <r>
    <s v="TXN_03526"/>
    <d v="2024-05-27T00:00:00"/>
    <x v="3"/>
    <s v="Monday"/>
    <s v="STORE_036"/>
    <x v="4"/>
    <x v="5"/>
    <x v="10"/>
    <n v="1231.02"/>
    <n v="1"/>
    <n v="1231.02"/>
    <n v="0"/>
    <n v="0"/>
    <n v="1231.02"/>
    <s v="Credit Card"/>
    <s v="CUST_00251"/>
    <n v="4"/>
    <n v="0"/>
    <n v="1231.02"/>
    <s v="No Discount"/>
  </r>
  <r>
    <s v="TXN_03527"/>
    <d v="2024-03-27T00:00:00"/>
    <x v="5"/>
    <s v="Wednesday"/>
    <s v="STORE_021"/>
    <x v="4"/>
    <x v="0"/>
    <x v="32"/>
    <n v="396.56"/>
    <n v="2"/>
    <n v="793.12"/>
    <n v="5"/>
    <n v="39.659999999999997"/>
    <n v="753.46"/>
    <s v="UPI"/>
    <s v="CUST_00515"/>
    <n v="5"/>
    <n v="39.659999999999968"/>
    <n v="376.73"/>
    <s v="Low"/>
  </r>
  <r>
    <s v="TXN_03528"/>
    <d v="2024-08-22T00:00:00"/>
    <x v="8"/>
    <s v="Thursday"/>
    <s v="STORE_021"/>
    <x v="4"/>
    <x v="2"/>
    <x v="39"/>
    <n v="795.69"/>
    <n v="1"/>
    <n v="795.69"/>
    <n v="10"/>
    <n v="79.569999999999993"/>
    <n v="716.12"/>
    <s v="Wallet"/>
    <s v="CUST_00221"/>
    <n v="5"/>
    <n v="79.57000000000005"/>
    <n v="716.12"/>
    <s v="Medium"/>
  </r>
  <r>
    <s v="TXN_03529"/>
    <d v="2024-10-16T00:00:00"/>
    <x v="7"/>
    <s v="Wednesday"/>
    <s v="STORE_001"/>
    <x v="1"/>
    <x v="6"/>
    <x v="14"/>
    <n v="1993.77"/>
    <n v="1"/>
    <n v="1993.77"/>
    <n v="5"/>
    <n v="99.69"/>
    <n v="1894.08"/>
    <s v="Cash"/>
    <s v="CUST_00159"/>
    <n v="4"/>
    <n v="99.690000000000055"/>
    <n v="1894.08"/>
    <s v="Low"/>
  </r>
  <r>
    <s v="TXN_03530"/>
    <d v="2024-09-10T00:00:00"/>
    <x v="9"/>
    <s v="Tuesday"/>
    <s v="STORE_014"/>
    <x v="2"/>
    <x v="0"/>
    <x v="27"/>
    <n v="700"/>
    <n v="1"/>
    <n v="700"/>
    <n v="0"/>
    <n v="0"/>
    <n v="700"/>
    <s v="Cash"/>
    <s v="CUST_00921"/>
    <n v="2"/>
    <n v="0"/>
    <n v="700"/>
    <s v="No Discount"/>
  </r>
  <r>
    <s v="TXN_03531"/>
    <d v="2024-10-08T00:00:00"/>
    <x v="7"/>
    <s v="Tuesday"/>
    <s v="STORE_015"/>
    <x v="2"/>
    <x v="5"/>
    <x v="10"/>
    <n v="4790.32"/>
    <n v="10"/>
    <n v="47903.199999999997"/>
    <n v="5"/>
    <n v="2395.16"/>
    <n v="45508.04"/>
    <s v="UPI"/>
    <s v="CUST_00983"/>
    <n v="2"/>
    <n v="2395.1599999999962"/>
    <n v="4550.8040000000001"/>
    <s v="Low"/>
  </r>
  <r>
    <s v="TXN_03532"/>
    <d v="2024-09-18T00:00:00"/>
    <x v="9"/>
    <s v="Wednesday"/>
    <s v="STORE_016"/>
    <x v="2"/>
    <x v="5"/>
    <x v="11"/>
    <n v="2432.87"/>
    <n v="7"/>
    <n v="17030.09"/>
    <n v="0"/>
    <n v="0"/>
    <n v="17030.09"/>
    <s v="Cash"/>
    <s v="CUST_00451"/>
    <n v="1"/>
    <n v="0"/>
    <n v="2432.87"/>
    <s v="No Discount"/>
  </r>
  <r>
    <s v="TXN_03533"/>
    <d v="2024-02-27T00:00:00"/>
    <x v="1"/>
    <s v="Tuesday"/>
    <s v="STORE_014"/>
    <x v="0"/>
    <x v="7"/>
    <x v="24"/>
    <n v="630.21"/>
    <n v="1"/>
    <n v="630.21"/>
    <n v="20"/>
    <n v="126.04"/>
    <n v="504.17"/>
    <s v="Debit Card"/>
    <s v="CUST_00027"/>
    <n v="4"/>
    <n v="126.04000000000002"/>
    <n v="504.17"/>
    <s v="High"/>
  </r>
  <r>
    <s v="TXN_03534"/>
    <d v="2024-10-20T00:00:00"/>
    <x v="7"/>
    <s v="Sunday"/>
    <s v="STORE_036"/>
    <x v="1"/>
    <x v="7"/>
    <x v="38"/>
    <n v="1339.66"/>
    <n v="10"/>
    <n v="13396.6"/>
    <n v="0"/>
    <n v="0"/>
    <n v="13396.6"/>
    <s v="Debit Card"/>
    <s v="CUST_00005"/>
    <n v="1"/>
    <n v="0"/>
    <n v="1339.66"/>
    <s v="No Discount"/>
  </r>
  <r>
    <s v="TXN_03535"/>
    <d v="2024-02-28T00:00:00"/>
    <x v="1"/>
    <s v="Wednesday"/>
    <s v="STORE_045"/>
    <x v="2"/>
    <x v="6"/>
    <x v="15"/>
    <n v="692.03"/>
    <n v="2"/>
    <n v="1384.06"/>
    <n v="15"/>
    <n v="207.61"/>
    <n v="1176.45"/>
    <s v="Wallet"/>
    <s v="CUST_00777"/>
    <n v="2"/>
    <n v="207.6099999999999"/>
    <n v="588.22500000000002"/>
    <s v="Medium"/>
  </r>
  <r>
    <s v="TXN_03536"/>
    <d v="2024-05-17T00:00:00"/>
    <x v="3"/>
    <s v="Friday"/>
    <s v="STORE_045"/>
    <x v="2"/>
    <x v="0"/>
    <x v="27"/>
    <n v="301.05"/>
    <n v="1"/>
    <n v="301.05"/>
    <n v="0"/>
    <n v="0"/>
    <n v="301.05"/>
    <s v="Wallet"/>
    <s v="CUST_00581"/>
    <n v="1"/>
    <n v="0"/>
    <n v="301.05"/>
    <s v="No Discount"/>
  </r>
  <r>
    <s v="TXN_03537"/>
    <d v="2024-10-05T00:00:00"/>
    <x v="7"/>
    <s v="Saturday"/>
    <s v="STORE_046"/>
    <x v="3"/>
    <x v="3"/>
    <x v="21"/>
    <n v="2746.72"/>
    <n v="6"/>
    <n v="16480.32"/>
    <n v="0"/>
    <n v="0"/>
    <n v="16480.32"/>
    <s v="Wallet"/>
    <s v="CUST_00223"/>
    <n v="3"/>
    <n v="0"/>
    <n v="2746.72"/>
    <s v="No Discount"/>
  </r>
  <r>
    <s v="TXN_03538"/>
    <d v="2024-07-06T00:00:00"/>
    <x v="11"/>
    <s v="Saturday"/>
    <s v="STORE_038"/>
    <x v="4"/>
    <x v="4"/>
    <x v="19"/>
    <n v="490.42"/>
    <n v="8"/>
    <n v="3923.36"/>
    <n v="10"/>
    <n v="392.34"/>
    <n v="3531.02"/>
    <s v="UPI"/>
    <s v="CUST_00964"/>
    <n v="2"/>
    <n v="392.34000000000015"/>
    <n v="441.3775"/>
    <s v="Medium"/>
  </r>
  <r>
    <s v="TXN_03539"/>
    <d v="2024-10-04T00:00:00"/>
    <x v="7"/>
    <s v="Friday"/>
    <s v="STORE_034"/>
    <x v="2"/>
    <x v="5"/>
    <x v="25"/>
    <n v="4324.1099999999997"/>
    <n v="6"/>
    <n v="25944.66"/>
    <n v="15"/>
    <n v="3891.7"/>
    <n v="22052.959999999999"/>
    <s v="Cash"/>
    <s v="CUST_00384"/>
    <n v="2"/>
    <n v="3891.7000000000007"/>
    <n v="3675.4933333333333"/>
    <s v="Medium"/>
  </r>
  <r>
    <s v="TXN_03540"/>
    <d v="2024-01-22T00:00:00"/>
    <x v="2"/>
    <s v="Monday"/>
    <s v="STORE_009"/>
    <x v="3"/>
    <x v="7"/>
    <x v="23"/>
    <n v="488.18"/>
    <n v="3"/>
    <n v="1464.54"/>
    <n v="20"/>
    <n v="292.91000000000003"/>
    <n v="1171.6300000000001"/>
    <s v="Debit Card"/>
    <s v="CUST_00955"/>
    <n v="5"/>
    <n v="292.90999999999985"/>
    <n v="390.54333333333335"/>
    <s v="High"/>
  </r>
  <r>
    <s v="TXN_03541"/>
    <d v="2024-08-13T00:00:00"/>
    <x v="8"/>
    <s v="Tuesday"/>
    <s v="STORE_024"/>
    <x v="1"/>
    <x v="2"/>
    <x v="29"/>
    <n v="510.82"/>
    <n v="2"/>
    <n v="1021.64"/>
    <n v="10"/>
    <n v="102.16"/>
    <n v="919.48"/>
    <s v="Cash"/>
    <s v="CUST_00663"/>
    <n v="2"/>
    <n v="102.15999999999997"/>
    <n v="459.74"/>
    <s v="Medium"/>
  </r>
  <r>
    <s v="TXN_03542"/>
    <d v="2024-10-06T00:00:00"/>
    <x v="7"/>
    <s v="Sunday"/>
    <s v="STORE_022"/>
    <x v="4"/>
    <x v="1"/>
    <x v="1"/>
    <n v="398.3"/>
    <n v="9"/>
    <n v="3584.7"/>
    <n v="15"/>
    <n v="537.70000000000005"/>
    <n v="3047"/>
    <s v="Credit Card"/>
    <s v="CUST_00043"/>
    <n v="3"/>
    <n v="537.69999999999982"/>
    <n v="338.55555555555554"/>
    <s v="Medium"/>
  </r>
  <r>
    <s v="TXN_03543"/>
    <d v="2024-04-21T00:00:00"/>
    <x v="4"/>
    <s v="Sunday"/>
    <s v="STORE_022"/>
    <x v="1"/>
    <x v="3"/>
    <x v="21"/>
    <n v="2823.21"/>
    <n v="2"/>
    <n v="5646.42"/>
    <n v="10"/>
    <n v="564.64"/>
    <n v="5081.78"/>
    <s v="UPI"/>
    <s v="CUST_00269"/>
    <n v="5"/>
    <n v="564.64000000000033"/>
    <n v="2540.89"/>
    <s v="Medium"/>
  </r>
  <r>
    <s v="TXN_03544"/>
    <d v="2024-08-05T00:00:00"/>
    <x v="8"/>
    <s v="Monday"/>
    <s v="STORE_036"/>
    <x v="1"/>
    <x v="1"/>
    <x v="1"/>
    <n v="96.49"/>
    <n v="6"/>
    <n v="578.94000000000005"/>
    <n v="0"/>
    <n v="0"/>
    <n v="578.94000000000005"/>
    <s v="Cash"/>
    <s v="CUST_00600"/>
    <n v="5"/>
    <n v="0"/>
    <n v="96.490000000000009"/>
    <s v="No Discount"/>
  </r>
  <r>
    <s v="TXN_03545"/>
    <d v="2024-02-22T00:00:00"/>
    <x v="1"/>
    <s v="Thursday"/>
    <s v="STORE_019"/>
    <x v="3"/>
    <x v="7"/>
    <x v="24"/>
    <n v="1184.51"/>
    <n v="9"/>
    <n v="10660.59"/>
    <n v="10"/>
    <n v="1066.06"/>
    <n v="9594.5300000000007"/>
    <s v="Debit Card"/>
    <s v="CUST_00729"/>
    <n v="3"/>
    <n v="1066.0599999999995"/>
    <n v="1066.058888888889"/>
    <s v="Medium"/>
  </r>
  <r>
    <s v="TXN_03546"/>
    <d v="2024-11-30T00:00:00"/>
    <x v="0"/>
    <s v="Saturday"/>
    <s v="STORE_039"/>
    <x v="1"/>
    <x v="2"/>
    <x v="2"/>
    <n v="266.13"/>
    <n v="6"/>
    <n v="1596.78"/>
    <n v="0"/>
    <n v="0"/>
    <n v="1596.78"/>
    <s v="UPI"/>
    <s v="CUST_00355"/>
    <n v="4"/>
    <n v="0"/>
    <n v="266.13"/>
    <s v="No Discount"/>
  </r>
  <r>
    <s v="TXN_03547"/>
    <d v="2024-05-06T00:00:00"/>
    <x v="3"/>
    <s v="Monday"/>
    <s v="STORE_033"/>
    <x v="2"/>
    <x v="4"/>
    <x v="17"/>
    <n v="464"/>
    <n v="4"/>
    <n v="1856"/>
    <n v="0"/>
    <n v="0"/>
    <n v="1856"/>
    <s v="Cash"/>
    <s v="CUST_00880"/>
    <n v="5"/>
    <n v="0"/>
    <n v="464"/>
    <s v="No Discount"/>
  </r>
  <r>
    <s v="TXN_03548"/>
    <d v="2024-06-01T00:00:00"/>
    <x v="10"/>
    <s v="Saturday"/>
    <s v="STORE_029"/>
    <x v="1"/>
    <x v="6"/>
    <x v="26"/>
    <n v="1634.95"/>
    <n v="3"/>
    <n v="4904.8500000000004"/>
    <n v="15"/>
    <n v="735.73"/>
    <n v="4169.12"/>
    <s v="Debit Card"/>
    <s v="CUST_00308"/>
    <n v="4"/>
    <n v="735.73000000000047"/>
    <n v="1389.7066666666667"/>
    <s v="Medium"/>
  </r>
  <r>
    <s v="TXN_03549"/>
    <d v="2024-01-17T00:00:00"/>
    <x v="2"/>
    <s v="Wednesday"/>
    <s v="STORE_012"/>
    <x v="1"/>
    <x v="1"/>
    <x v="1"/>
    <n v="332.41"/>
    <n v="8"/>
    <n v="2659.28"/>
    <n v="0"/>
    <n v="0"/>
    <n v="2659.28"/>
    <s v="Cash"/>
    <s v="CUST_00291"/>
    <n v="5"/>
    <n v="0"/>
    <n v="332.41"/>
    <s v="No Discount"/>
  </r>
  <r>
    <s v="TXN_03550"/>
    <d v="2024-08-18T00:00:00"/>
    <x v="8"/>
    <s v="Sunday"/>
    <s v="STORE_016"/>
    <x v="3"/>
    <x v="7"/>
    <x v="38"/>
    <n v="560.19000000000005"/>
    <n v="8"/>
    <n v="4481.5200000000004"/>
    <n v="0"/>
    <n v="0"/>
    <n v="4481.5200000000004"/>
    <s v="Cash"/>
    <s v="CUST_00611"/>
    <n v="5"/>
    <n v="0"/>
    <n v="560.19000000000005"/>
    <s v="No Discount"/>
  </r>
  <r>
    <s v="TXN_03551"/>
    <d v="2024-05-14T00:00:00"/>
    <x v="3"/>
    <s v="Tuesday"/>
    <s v="STORE_024"/>
    <x v="4"/>
    <x v="1"/>
    <x v="3"/>
    <n v="67.34"/>
    <n v="8"/>
    <n v="538.72"/>
    <n v="0"/>
    <n v="0"/>
    <n v="538.72"/>
    <s v="Cash"/>
    <s v="CUST_00292"/>
    <n v="3"/>
    <n v="0"/>
    <n v="67.34"/>
    <s v="No Discount"/>
  </r>
  <r>
    <s v="TXN_03552"/>
    <d v="2024-06-27T00:00:00"/>
    <x v="10"/>
    <s v="Thursday"/>
    <s v="STORE_028"/>
    <x v="3"/>
    <x v="2"/>
    <x v="7"/>
    <n v="581.59"/>
    <n v="7"/>
    <n v="4071.13"/>
    <n v="5"/>
    <n v="203.56"/>
    <n v="3867.57"/>
    <s v="Cash"/>
    <s v="CUST_00136"/>
    <n v="1"/>
    <n v="203.55999999999995"/>
    <n v="552.51"/>
    <s v="Low"/>
  </r>
  <r>
    <s v="TXN_03553"/>
    <d v="2024-02-14T00:00:00"/>
    <x v="1"/>
    <s v="Wednesday"/>
    <s v="STORE_010"/>
    <x v="1"/>
    <x v="3"/>
    <x v="16"/>
    <n v="1154.57"/>
    <n v="7"/>
    <n v="8081.99"/>
    <n v="15"/>
    <n v="1212.3"/>
    <n v="6869.69"/>
    <s v="UPI"/>
    <s v="CUST_00373"/>
    <n v="1"/>
    <n v="1212.3000000000002"/>
    <n v="981.38428571428562"/>
    <s v="Medium"/>
  </r>
  <r>
    <s v="TXN_03554"/>
    <d v="2024-08-12T00:00:00"/>
    <x v="8"/>
    <s v="Monday"/>
    <s v="STORE_029"/>
    <x v="1"/>
    <x v="3"/>
    <x v="22"/>
    <n v="2724.59"/>
    <n v="3"/>
    <n v="8173.77"/>
    <n v="20"/>
    <n v="1634.75"/>
    <n v="6539.02"/>
    <s v="UPI"/>
    <s v="CUST_00640"/>
    <n v="4"/>
    <n v="1634.75"/>
    <n v="2179.6733333333336"/>
    <s v="High"/>
  </r>
  <r>
    <s v="TXN_03555"/>
    <d v="2024-03-01T00:00:00"/>
    <x v="5"/>
    <s v="Friday"/>
    <s v="STORE_010"/>
    <x v="3"/>
    <x v="6"/>
    <x v="33"/>
    <n v="951.69"/>
    <n v="3"/>
    <n v="2855.07"/>
    <n v="20"/>
    <n v="571.01"/>
    <n v="2284.06"/>
    <s v="Debit Card"/>
    <s v="CUST_00407"/>
    <n v="4"/>
    <n v="571.01000000000022"/>
    <n v="761.35333333333335"/>
    <s v="High"/>
  </r>
  <r>
    <s v="TXN_03556"/>
    <d v="2024-05-01T00:00:00"/>
    <x v="3"/>
    <s v="Wednesday"/>
    <s v="STORE_045"/>
    <x v="0"/>
    <x v="4"/>
    <x v="20"/>
    <n v="512.37"/>
    <n v="5"/>
    <n v="2561.85"/>
    <n v="20"/>
    <n v="512.37"/>
    <n v="2049.48"/>
    <s v="Cash"/>
    <s v="CUST_00283"/>
    <n v="1"/>
    <n v="512.36999999999989"/>
    <n v="409.89600000000002"/>
    <s v="High"/>
  </r>
  <r>
    <s v="TXN_03557"/>
    <d v="2024-04-17T00:00:00"/>
    <x v="4"/>
    <s v="Wednesday"/>
    <s v="STORE_024"/>
    <x v="1"/>
    <x v="7"/>
    <x v="37"/>
    <n v="1387.68"/>
    <n v="1"/>
    <n v="1387.68"/>
    <n v="0"/>
    <n v="0"/>
    <n v="1387.68"/>
    <s v="Cash"/>
    <s v="CUST_00570"/>
    <n v="3"/>
    <n v="0"/>
    <n v="1387.68"/>
    <s v="No Discount"/>
  </r>
  <r>
    <s v="TXN_03558"/>
    <d v="2024-10-28T00:00:00"/>
    <x v="7"/>
    <s v="Monday"/>
    <s v="STORE_012"/>
    <x v="2"/>
    <x v="3"/>
    <x v="22"/>
    <n v="1188.94"/>
    <n v="10"/>
    <n v="11889.4"/>
    <n v="0"/>
    <n v="0"/>
    <n v="11889.4"/>
    <s v="Cash"/>
    <s v="CUST_00435"/>
    <n v="4"/>
    <n v="0"/>
    <n v="1188.94"/>
    <s v="No Discount"/>
  </r>
  <r>
    <s v="TXN_03559"/>
    <d v="2024-12-18T00:00:00"/>
    <x v="6"/>
    <s v="Wednesday"/>
    <s v="STORE_033"/>
    <x v="2"/>
    <x v="3"/>
    <x v="12"/>
    <n v="1244.43"/>
    <n v="8"/>
    <n v="9955.44"/>
    <n v="15"/>
    <n v="1493.32"/>
    <n v="8462.1200000000008"/>
    <s v="UPI"/>
    <s v="CUST_00574"/>
    <n v="4"/>
    <n v="1493.3199999999997"/>
    <n v="1057.7650000000001"/>
    <s v="Medium"/>
  </r>
  <r>
    <s v="TXN_03560"/>
    <d v="2024-06-28T00:00:00"/>
    <x v="10"/>
    <s v="Friday"/>
    <s v="STORE_027"/>
    <x v="2"/>
    <x v="4"/>
    <x v="8"/>
    <n v="285.68"/>
    <n v="10"/>
    <n v="2856.8"/>
    <n v="0"/>
    <n v="0"/>
    <n v="2856.8"/>
    <s v="Credit Card"/>
    <s v="CUST_00301"/>
    <n v="5"/>
    <n v="0"/>
    <n v="285.68"/>
    <s v="No Discount"/>
  </r>
  <r>
    <s v="TXN_03561"/>
    <d v="2024-12-29T00:00:00"/>
    <x v="6"/>
    <s v="Sunday"/>
    <s v="STORE_021"/>
    <x v="0"/>
    <x v="3"/>
    <x v="21"/>
    <n v="1526.22"/>
    <n v="6"/>
    <n v="9157.32"/>
    <n v="0"/>
    <n v="0"/>
    <n v="9157.32"/>
    <s v="UPI"/>
    <s v="CUST_00096"/>
    <n v="5"/>
    <n v="0"/>
    <n v="1526.22"/>
    <s v="No Discount"/>
  </r>
  <r>
    <s v="TXN_03562"/>
    <d v="2024-11-08T00:00:00"/>
    <x v="0"/>
    <s v="Friday"/>
    <s v="STORE_050"/>
    <x v="4"/>
    <x v="1"/>
    <x v="3"/>
    <n v="154.18"/>
    <n v="7"/>
    <n v="1079.26"/>
    <n v="10"/>
    <n v="107.93"/>
    <n v="971.33"/>
    <s v="UPI"/>
    <s v="CUST_00699"/>
    <n v="1"/>
    <n v="107.92999999999995"/>
    <n v="138.76142857142858"/>
    <s v="Medium"/>
  </r>
  <r>
    <s v="TXN_03563"/>
    <d v="2024-11-19T00:00:00"/>
    <x v="0"/>
    <s v="Tuesday"/>
    <s v="STORE_034"/>
    <x v="4"/>
    <x v="3"/>
    <x v="21"/>
    <n v="2071.04"/>
    <n v="7"/>
    <n v="14497.28"/>
    <n v="0"/>
    <n v="0"/>
    <n v="14497.28"/>
    <s v="Wallet"/>
    <s v="CUST_00560"/>
    <n v="5"/>
    <n v="0"/>
    <n v="2071.04"/>
    <s v="No Discount"/>
  </r>
  <r>
    <s v="TXN_03564"/>
    <d v="2024-08-07T00:00:00"/>
    <x v="8"/>
    <s v="Wednesday"/>
    <s v="STORE_013"/>
    <x v="4"/>
    <x v="4"/>
    <x v="8"/>
    <n v="590.78"/>
    <n v="1"/>
    <n v="590.78"/>
    <n v="0"/>
    <n v="0"/>
    <n v="590.78"/>
    <s v="Cash"/>
    <s v="CUST_00081"/>
    <n v="5"/>
    <n v="0"/>
    <n v="590.78"/>
    <s v="No Discount"/>
  </r>
  <r>
    <s v="TXN_03565"/>
    <d v="2024-03-25T00:00:00"/>
    <x v="5"/>
    <s v="Monday"/>
    <s v="STORE_026"/>
    <x v="1"/>
    <x v="7"/>
    <x v="28"/>
    <n v="743.31"/>
    <n v="4"/>
    <n v="2973.24"/>
    <n v="0"/>
    <n v="0"/>
    <n v="2973.24"/>
    <s v="Credit Card"/>
    <s v="CUST_00050"/>
    <n v="2"/>
    <n v="0"/>
    <n v="743.31"/>
    <s v="No Discount"/>
  </r>
  <r>
    <s v="TXN_03566"/>
    <d v="2024-11-11T00:00:00"/>
    <x v="0"/>
    <s v="Monday"/>
    <s v="STORE_028"/>
    <x v="0"/>
    <x v="6"/>
    <x v="26"/>
    <n v="1562.24"/>
    <n v="4"/>
    <n v="6248.96"/>
    <n v="15"/>
    <n v="937.34"/>
    <n v="5311.62"/>
    <s v="Debit Card"/>
    <s v="CUST_00512"/>
    <n v="5"/>
    <n v="937.34000000000015"/>
    <n v="1327.905"/>
    <s v="Medium"/>
  </r>
  <r>
    <s v="TXN_03567"/>
    <d v="2024-03-12T00:00:00"/>
    <x v="5"/>
    <s v="Tuesday"/>
    <s v="STORE_034"/>
    <x v="0"/>
    <x v="6"/>
    <x v="14"/>
    <n v="1864.47"/>
    <n v="4"/>
    <n v="7457.88"/>
    <n v="10"/>
    <n v="745.79"/>
    <n v="6712.09"/>
    <s v="Wallet"/>
    <s v="CUST_00967"/>
    <n v="4"/>
    <n v="745.79"/>
    <n v="1678.0225"/>
    <s v="Medium"/>
  </r>
  <r>
    <s v="TXN_03568"/>
    <d v="2024-04-15T00:00:00"/>
    <x v="4"/>
    <s v="Monday"/>
    <s v="STORE_029"/>
    <x v="4"/>
    <x v="7"/>
    <x v="23"/>
    <n v="938.75"/>
    <n v="4"/>
    <n v="3755"/>
    <n v="10"/>
    <n v="375.5"/>
    <n v="3379.5"/>
    <s v="Cash"/>
    <s v="CUST_00102"/>
    <n v="3"/>
    <n v="375.5"/>
    <n v="844.875"/>
    <s v="Medium"/>
  </r>
  <r>
    <s v="TXN_03569"/>
    <d v="2024-04-15T00:00:00"/>
    <x v="4"/>
    <s v="Monday"/>
    <s v="STORE_048"/>
    <x v="2"/>
    <x v="0"/>
    <x v="4"/>
    <n v="545.82000000000005"/>
    <n v="4"/>
    <n v="2183.2800000000002"/>
    <n v="15"/>
    <n v="327.49"/>
    <n v="1855.79"/>
    <s v="Cash"/>
    <s v="CUST_00557"/>
    <n v="2"/>
    <n v="327.49000000000024"/>
    <n v="463.94749999999999"/>
    <s v="Medium"/>
  </r>
  <r>
    <s v="TXN_03570"/>
    <d v="2024-01-31T00:00:00"/>
    <x v="2"/>
    <s v="Wednesday"/>
    <s v="STORE_048"/>
    <x v="3"/>
    <x v="3"/>
    <x v="22"/>
    <n v="1635.01"/>
    <n v="2"/>
    <n v="3270.02"/>
    <n v="0"/>
    <n v="0"/>
    <n v="3270.02"/>
    <s v="Cash"/>
    <s v="CUST_00446"/>
    <n v="2"/>
    <n v="0"/>
    <n v="1635.01"/>
    <s v="No Discount"/>
  </r>
  <r>
    <s v="TXN_03571"/>
    <d v="2024-10-18T00:00:00"/>
    <x v="7"/>
    <s v="Friday"/>
    <s v="STORE_017"/>
    <x v="3"/>
    <x v="2"/>
    <x v="13"/>
    <n v="294.67"/>
    <n v="7"/>
    <n v="2062.69"/>
    <n v="0"/>
    <n v="0"/>
    <n v="2062.69"/>
    <s v="Cash"/>
    <s v="CUST_00664"/>
    <n v="1"/>
    <n v="0"/>
    <n v="294.67"/>
    <s v="No Discount"/>
  </r>
  <r>
    <s v="TXN_03572"/>
    <d v="2024-06-28T00:00:00"/>
    <x v="10"/>
    <s v="Friday"/>
    <s v="STORE_016"/>
    <x v="3"/>
    <x v="3"/>
    <x v="12"/>
    <n v="2332.5500000000002"/>
    <n v="10"/>
    <n v="23325.5"/>
    <n v="20"/>
    <n v="4665.1000000000004"/>
    <n v="18660.400000000001"/>
    <s v="UPI"/>
    <s v="CUST_00609"/>
    <n v="4"/>
    <n v="4665.0999999999985"/>
    <n v="1866.0400000000002"/>
    <s v="High"/>
  </r>
  <r>
    <s v="TXN_03573"/>
    <d v="2024-09-29T00:00:00"/>
    <x v="9"/>
    <s v="Sunday"/>
    <s v="STORE_018"/>
    <x v="4"/>
    <x v="4"/>
    <x v="17"/>
    <n v="191.82"/>
    <n v="9"/>
    <n v="1726.38"/>
    <n v="5"/>
    <n v="86.32"/>
    <n v="1640.06"/>
    <s v="UPI"/>
    <s v="CUST_00581"/>
    <n v="3"/>
    <n v="86.320000000000164"/>
    <n v="182.22888888888889"/>
    <s v="Low"/>
  </r>
  <r>
    <s v="TXN_03574"/>
    <d v="2024-05-23T00:00:00"/>
    <x v="3"/>
    <s v="Thursday"/>
    <s v="STORE_017"/>
    <x v="3"/>
    <x v="5"/>
    <x v="25"/>
    <n v="2552.6799999999998"/>
    <n v="8"/>
    <n v="20421.439999999999"/>
    <n v="15"/>
    <n v="3063.22"/>
    <n v="17358.22"/>
    <s v="Credit Card"/>
    <s v="CUST_00836"/>
    <n v="3"/>
    <n v="3063.2199999999975"/>
    <n v="2169.7775000000001"/>
    <s v="Medium"/>
  </r>
  <r>
    <s v="TXN_03575"/>
    <d v="2024-11-01T00:00:00"/>
    <x v="0"/>
    <s v="Friday"/>
    <s v="STORE_022"/>
    <x v="3"/>
    <x v="3"/>
    <x v="16"/>
    <n v="1926.49"/>
    <n v="6"/>
    <n v="11558.94"/>
    <n v="0"/>
    <n v="0"/>
    <n v="11558.94"/>
    <s v="Credit Card"/>
    <s v="CUST_00414"/>
    <n v="3"/>
    <n v="0"/>
    <n v="1926.49"/>
    <s v="No Discount"/>
  </r>
  <r>
    <s v="TXN_03576"/>
    <d v="2024-10-02T00:00:00"/>
    <x v="7"/>
    <s v="Wednesday"/>
    <s v="STORE_038"/>
    <x v="2"/>
    <x v="2"/>
    <x v="29"/>
    <n v="237.19"/>
    <n v="5"/>
    <n v="1185.95"/>
    <n v="0"/>
    <n v="0"/>
    <n v="1185.95"/>
    <s v="Debit Card"/>
    <s v="CUST_00868"/>
    <n v="4"/>
    <n v="0"/>
    <n v="237.19"/>
    <s v="No Discount"/>
  </r>
  <r>
    <s v="TXN_03577"/>
    <d v="2024-03-27T00:00:00"/>
    <x v="5"/>
    <s v="Wednesday"/>
    <s v="STORE_043"/>
    <x v="4"/>
    <x v="0"/>
    <x v="32"/>
    <n v="812.54"/>
    <n v="10"/>
    <n v="8125.4"/>
    <n v="5"/>
    <n v="406.27"/>
    <n v="7719.13"/>
    <s v="UPI"/>
    <s v="CUST_00066"/>
    <n v="4"/>
    <n v="406.26999999999953"/>
    <n v="771.91300000000001"/>
    <s v="Low"/>
  </r>
  <r>
    <s v="TXN_03578"/>
    <d v="2024-06-14T00:00:00"/>
    <x v="10"/>
    <s v="Friday"/>
    <s v="STORE_043"/>
    <x v="0"/>
    <x v="7"/>
    <x v="23"/>
    <n v="518.47"/>
    <n v="3"/>
    <n v="1555.41"/>
    <n v="10"/>
    <n v="155.54"/>
    <n v="1399.87"/>
    <s v="Debit Card"/>
    <s v="CUST_00273"/>
    <n v="2"/>
    <n v="155.54000000000019"/>
    <n v="466.62333333333328"/>
    <s v="Medium"/>
  </r>
  <r>
    <s v="TXN_03579"/>
    <d v="2024-12-26T00:00:00"/>
    <x v="6"/>
    <s v="Thursday"/>
    <s v="STORE_014"/>
    <x v="0"/>
    <x v="0"/>
    <x v="27"/>
    <n v="592.52"/>
    <n v="3"/>
    <n v="1777.56"/>
    <n v="0"/>
    <n v="0"/>
    <n v="1777.56"/>
    <s v="Debit Card"/>
    <s v="CUST_00498"/>
    <n v="4"/>
    <n v="0"/>
    <n v="592.52"/>
    <s v="No Discount"/>
  </r>
  <r>
    <s v="TXN_03580"/>
    <d v="2024-05-29T00:00:00"/>
    <x v="3"/>
    <s v="Wednesday"/>
    <s v="STORE_032"/>
    <x v="1"/>
    <x v="2"/>
    <x v="2"/>
    <n v="786.87"/>
    <n v="2"/>
    <n v="1573.74"/>
    <n v="0"/>
    <n v="0"/>
    <n v="1573.74"/>
    <s v="Wallet"/>
    <s v="CUST_00724"/>
    <n v="4"/>
    <n v="0"/>
    <n v="786.87"/>
    <s v="No Discount"/>
  </r>
  <r>
    <s v="TXN_03581"/>
    <d v="2024-05-28T00:00:00"/>
    <x v="3"/>
    <s v="Tuesday"/>
    <s v="STORE_038"/>
    <x v="3"/>
    <x v="4"/>
    <x v="19"/>
    <n v="375.65"/>
    <n v="1"/>
    <n v="375.65"/>
    <n v="0"/>
    <n v="0"/>
    <n v="375.65"/>
    <s v="Cash"/>
    <s v="CUST_00703"/>
    <n v="3"/>
    <n v="0"/>
    <n v="375.65"/>
    <s v="No Discount"/>
  </r>
  <r>
    <s v="TXN_03582"/>
    <d v="2024-10-20T00:00:00"/>
    <x v="7"/>
    <s v="Sunday"/>
    <s v="STORE_025"/>
    <x v="4"/>
    <x v="4"/>
    <x v="19"/>
    <n v="448.17"/>
    <n v="6"/>
    <n v="2689.02"/>
    <n v="20"/>
    <n v="537.79999999999995"/>
    <n v="2151.2199999999998"/>
    <s v="UPI"/>
    <s v="CUST_00694"/>
    <n v="5"/>
    <n v="537.80000000000018"/>
    <n v="358.53666666666663"/>
    <s v="High"/>
  </r>
  <r>
    <s v="TXN_03583"/>
    <d v="2024-05-16T00:00:00"/>
    <x v="3"/>
    <s v="Thursday"/>
    <s v="STORE_041"/>
    <x v="3"/>
    <x v="6"/>
    <x v="30"/>
    <n v="1830.04"/>
    <n v="6"/>
    <n v="10980.24"/>
    <n v="0"/>
    <n v="0"/>
    <n v="10980.24"/>
    <s v="Debit Card"/>
    <s v="CUST_00668"/>
    <n v="4"/>
    <n v="0"/>
    <n v="1830.04"/>
    <s v="No Discount"/>
  </r>
  <r>
    <s v="TXN_03584"/>
    <d v="2024-09-20T00:00:00"/>
    <x v="9"/>
    <s v="Friday"/>
    <s v="STORE_015"/>
    <x v="0"/>
    <x v="0"/>
    <x v="32"/>
    <n v="711.32"/>
    <n v="10"/>
    <n v="7113.2"/>
    <n v="0"/>
    <n v="0"/>
    <n v="7113.2"/>
    <s v="Debit Card"/>
    <s v="CUST_00479"/>
    <n v="4"/>
    <n v="0"/>
    <n v="711.31999999999994"/>
    <s v="No Discount"/>
  </r>
  <r>
    <s v="TXN_03585"/>
    <d v="2024-12-13T00:00:00"/>
    <x v="6"/>
    <s v="Friday"/>
    <s v="STORE_017"/>
    <x v="1"/>
    <x v="6"/>
    <x v="15"/>
    <n v="1116.6300000000001"/>
    <n v="5"/>
    <n v="5583.15"/>
    <n v="5"/>
    <n v="279.16000000000003"/>
    <n v="5303.99"/>
    <s v="Cash"/>
    <s v="CUST_00182"/>
    <n v="2"/>
    <n v="279.15999999999985"/>
    <n v="1060.798"/>
    <s v="Low"/>
  </r>
  <r>
    <s v="TXN_03586"/>
    <d v="2024-02-18T00:00:00"/>
    <x v="1"/>
    <s v="Sunday"/>
    <s v="STORE_029"/>
    <x v="1"/>
    <x v="6"/>
    <x v="30"/>
    <n v="937.76"/>
    <n v="2"/>
    <n v="1875.52"/>
    <n v="15"/>
    <n v="281.33"/>
    <n v="1594.19"/>
    <s v="Wallet"/>
    <s v="CUST_00467"/>
    <n v="4"/>
    <n v="281.32999999999993"/>
    <n v="797.09500000000003"/>
    <s v="Medium"/>
  </r>
  <r>
    <s v="TXN_03587"/>
    <d v="2024-03-10T00:00:00"/>
    <x v="5"/>
    <s v="Sunday"/>
    <s v="STORE_006"/>
    <x v="4"/>
    <x v="7"/>
    <x v="24"/>
    <n v="464.75"/>
    <n v="4"/>
    <n v="1859"/>
    <n v="0"/>
    <n v="0"/>
    <n v="1859"/>
    <s v="Credit Card"/>
    <s v="CUST_00995"/>
    <n v="5"/>
    <n v="0"/>
    <n v="464.75"/>
    <s v="No Discount"/>
  </r>
  <r>
    <s v="TXN_03588"/>
    <d v="2024-07-29T00:00:00"/>
    <x v="11"/>
    <s v="Monday"/>
    <s v="STORE_015"/>
    <x v="1"/>
    <x v="4"/>
    <x v="8"/>
    <n v="512.01"/>
    <n v="7"/>
    <n v="3584.07"/>
    <n v="0"/>
    <n v="0"/>
    <n v="3584.07"/>
    <s v="Credit Card"/>
    <s v="CUST_00901"/>
    <n v="2"/>
    <n v="0"/>
    <n v="512.01"/>
    <s v="No Discount"/>
  </r>
  <r>
    <s v="TXN_03589"/>
    <d v="2024-01-31T00:00:00"/>
    <x v="2"/>
    <s v="Wednesday"/>
    <s v="STORE_046"/>
    <x v="4"/>
    <x v="4"/>
    <x v="8"/>
    <n v="394.54"/>
    <n v="5"/>
    <n v="1972.7"/>
    <n v="0"/>
    <n v="0"/>
    <n v="1972.7"/>
    <s v="Debit Card"/>
    <s v="CUST_00513"/>
    <n v="2"/>
    <n v="0"/>
    <n v="394.54"/>
    <s v="No Discount"/>
  </r>
  <r>
    <s v="TXN_03590"/>
    <d v="2024-05-21T00:00:00"/>
    <x v="3"/>
    <s v="Tuesday"/>
    <s v="STORE_045"/>
    <x v="2"/>
    <x v="1"/>
    <x v="1"/>
    <n v="234.84"/>
    <n v="4"/>
    <n v="939.36"/>
    <n v="0"/>
    <n v="0"/>
    <n v="939.36"/>
    <s v="UPI"/>
    <s v="CUST_00799"/>
    <n v="5"/>
    <n v="0"/>
    <n v="234.84"/>
    <s v="No Discount"/>
  </r>
  <r>
    <s v="TXN_03591"/>
    <d v="2024-12-01T00:00:00"/>
    <x v="6"/>
    <s v="Sunday"/>
    <s v="STORE_003"/>
    <x v="4"/>
    <x v="2"/>
    <x v="29"/>
    <n v="245.05"/>
    <n v="9"/>
    <n v="2205.4499999999998"/>
    <n v="0"/>
    <n v="0"/>
    <n v="2205.4499999999998"/>
    <s v="Credit Card"/>
    <s v="CUST_00631"/>
    <n v="4"/>
    <n v="0"/>
    <n v="245.04999999999998"/>
    <s v="No Discount"/>
  </r>
  <r>
    <s v="TXN_03592"/>
    <d v="2024-03-05T00:00:00"/>
    <x v="5"/>
    <s v="Tuesday"/>
    <s v="STORE_006"/>
    <x v="4"/>
    <x v="7"/>
    <x v="37"/>
    <n v="351.86"/>
    <n v="6"/>
    <n v="2111.16"/>
    <n v="0"/>
    <n v="0"/>
    <n v="2111.16"/>
    <s v="Debit Card"/>
    <s v="CUST_00274"/>
    <n v="5"/>
    <n v="0"/>
    <n v="351.85999999999996"/>
    <s v="No Discount"/>
  </r>
  <r>
    <s v="TXN_03593"/>
    <d v="2024-12-25T00:00:00"/>
    <x v="6"/>
    <s v="Wednesday"/>
    <s v="STORE_040"/>
    <x v="4"/>
    <x v="4"/>
    <x v="19"/>
    <n v="555.08000000000004"/>
    <n v="5"/>
    <n v="2775.4"/>
    <n v="10"/>
    <n v="277.54000000000002"/>
    <n v="2497.86"/>
    <s v="UPI"/>
    <s v="CUST_00022"/>
    <n v="3"/>
    <n v="277.53999999999996"/>
    <n v="499.572"/>
    <s v="Medium"/>
  </r>
  <r>
    <s v="TXN_03594"/>
    <d v="2024-03-08T00:00:00"/>
    <x v="5"/>
    <s v="Friday"/>
    <s v="STORE_028"/>
    <x v="2"/>
    <x v="4"/>
    <x v="20"/>
    <n v="362.89"/>
    <n v="3"/>
    <n v="1088.67"/>
    <n v="0"/>
    <n v="0"/>
    <n v="1088.67"/>
    <s v="Wallet"/>
    <s v="CUST_00981"/>
    <n v="5"/>
    <n v="0"/>
    <n v="362.89000000000004"/>
    <s v="No Discount"/>
  </r>
  <r>
    <s v="TXN_03595"/>
    <d v="2024-05-07T00:00:00"/>
    <x v="3"/>
    <s v="Tuesday"/>
    <s v="STORE_020"/>
    <x v="2"/>
    <x v="7"/>
    <x v="24"/>
    <n v="558.67999999999995"/>
    <n v="9"/>
    <n v="5028.12"/>
    <n v="20"/>
    <n v="1005.62"/>
    <n v="4022.5"/>
    <s v="Debit Card"/>
    <s v="CUST_00643"/>
    <n v="1"/>
    <n v="1005.6199999999999"/>
    <n v="446.94444444444446"/>
    <s v="High"/>
  </r>
  <r>
    <s v="TXN_03596"/>
    <d v="2024-03-15T00:00:00"/>
    <x v="5"/>
    <s v="Friday"/>
    <s v="STORE_028"/>
    <x v="2"/>
    <x v="1"/>
    <x v="1"/>
    <n v="379.21"/>
    <n v="6"/>
    <n v="2275.2600000000002"/>
    <n v="0"/>
    <n v="0"/>
    <n v="2275.2600000000002"/>
    <s v="Debit Card"/>
    <s v="CUST_00012"/>
    <n v="1"/>
    <n v="0"/>
    <n v="379.21000000000004"/>
    <s v="No Discount"/>
  </r>
  <r>
    <s v="TXN_03597"/>
    <d v="2024-12-30T00:00:00"/>
    <x v="6"/>
    <s v="Monday"/>
    <s v="STORE_022"/>
    <x v="0"/>
    <x v="5"/>
    <x v="11"/>
    <n v="1434.94"/>
    <n v="9"/>
    <n v="12914.46"/>
    <n v="10"/>
    <n v="1291.45"/>
    <n v="11623.01"/>
    <s v="UPI"/>
    <s v="CUST_00843"/>
    <n v="3"/>
    <n v="1291.4499999999989"/>
    <n v="1291.4455555555555"/>
    <s v="Medium"/>
  </r>
  <r>
    <s v="TXN_03598"/>
    <d v="2024-06-13T00:00:00"/>
    <x v="10"/>
    <s v="Thursday"/>
    <s v="STORE_019"/>
    <x v="0"/>
    <x v="1"/>
    <x v="36"/>
    <n v="177.13"/>
    <n v="8"/>
    <n v="1417.04"/>
    <n v="0"/>
    <n v="0"/>
    <n v="1417.04"/>
    <s v="Debit Card"/>
    <s v="CUST_00085"/>
    <n v="1"/>
    <n v="0"/>
    <n v="177.13"/>
    <s v="No Discount"/>
  </r>
  <r>
    <s v="TXN_03599"/>
    <d v="2024-05-06T00:00:00"/>
    <x v="3"/>
    <s v="Monday"/>
    <s v="STORE_027"/>
    <x v="1"/>
    <x v="5"/>
    <x v="9"/>
    <n v="2128.02"/>
    <n v="2"/>
    <n v="4256.04"/>
    <n v="0"/>
    <n v="0"/>
    <n v="4256.04"/>
    <s v="UPI"/>
    <s v="CUST_00408"/>
    <n v="4"/>
    <n v="0"/>
    <n v="2128.02"/>
    <s v="No Discount"/>
  </r>
  <r>
    <s v="TXN_03600"/>
    <d v="2024-12-12T00:00:00"/>
    <x v="6"/>
    <s v="Thursday"/>
    <s v="STORE_022"/>
    <x v="4"/>
    <x v="6"/>
    <x v="14"/>
    <n v="832.5"/>
    <n v="7"/>
    <n v="5827.5"/>
    <n v="0"/>
    <n v="0"/>
    <n v="5827.5"/>
    <s v="UPI"/>
    <s v="CUST_00023"/>
    <n v="3"/>
    <n v="0"/>
    <n v="832.5"/>
    <s v="No Discount"/>
  </r>
  <r>
    <s v="TXN_03601"/>
    <d v="2024-07-20T00:00:00"/>
    <x v="11"/>
    <s v="Saturday"/>
    <s v="STORE_027"/>
    <x v="3"/>
    <x v="0"/>
    <x v="0"/>
    <n v="400.44"/>
    <n v="6"/>
    <n v="2402.64"/>
    <n v="0"/>
    <n v="0"/>
    <n v="2402.64"/>
    <s v="Cash"/>
    <s v="CUST_00963"/>
    <n v="2"/>
    <n v="0"/>
    <n v="400.44"/>
    <s v="No Discount"/>
  </r>
  <r>
    <s v="TXN_03602"/>
    <d v="2024-09-07T00:00:00"/>
    <x v="9"/>
    <s v="Saturday"/>
    <s v="STORE_010"/>
    <x v="3"/>
    <x v="5"/>
    <x v="34"/>
    <n v="3697.81"/>
    <n v="7"/>
    <n v="25884.67"/>
    <n v="15"/>
    <n v="3882.7"/>
    <n v="22001.97"/>
    <s v="UPI"/>
    <s v="CUST_00742"/>
    <n v="1"/>
    <n v="3882.6999999999971"/>
    <n v="3143.1385714285716"/>
    <s v="Medium"/>
  </r>
  <r>
    <s v="TXN_03603"/>
    <d v="2024-03-13T00:00:00"/>
    <x v="5"/>
    <s v="Wednesday"/>
    <s v="STORE_032"/>
    <x v="2"/>
    <x v="4"/>
    <x v="8"/>
    <n v="153.47"/>
    <n v="6"/>
    <n v="920.82"/>
    <n v="15"/>
    <n v="138.12"/>
    <n v="782.7"/>
    <s v="UPI"/>
    <s v="CUST_00437"/>
    <n v="5"/>
    <n v="138.12"/>
    <n v="130.45000000000002"/>
    <s v="Medium"/>
  </r>
  <r>
    <s v="TXN_03604"/>
    <d v="2024-10-22T00:00:00"/>
    <x v="7"/>
    <s v="Tuesday"/>
    <s v="STORE_006"/>
    <x v="4"/>
    <x v="6"/>
    <x v="15"/>
    <n v="1193.54"/>
    <n v="2"/>
    <n v="2387.08"/>
    <n v="20"/>
    <n v="477.42"/>
    <n v="1909.66"/>
    <s v="Credit Card"/>
    <s v="CUST_00094"/>
    <n v="2"/>
    <n v="477.41999999999985"/>
    <n v="954.83"/>
    <s v="High"/>
  </r>
  <r>
    <s v="TXN_03605"/>
    <d v="2024-11-19T00:00:00"/>
    <x v="0"/>
    <s v="Tuesday"/>
    <s v="STORE_024"/>
    <x v="0"/>
    <x v="0"/>
    <x v="4"/>
    <n v="895.6"/>
    <n v="10"/>
    <n v="8956"/>
    <n v="0"/>
    <n v="0"/>
    <n v="8956"/>
    <s v="Debit Card"/>
    <s v="CUST_00589"/>
    <n v="2"/>
    <n v="0"/>
    <n v="895.6"/>
    <s v="No Discount"/>
  </r>
  <r>
    <s v="TXN_03606"/>
    <d v="2024-05-17T00:00:00"/>
    <x v="3"/>
    <s v="Friday"/>
    <s v="STORE_047"/>
    <x v="4"/>
    <x v="3"/>
    <x v="12"/>
    <n v="246.75"/>
    <n v="6"/>
    <n v="1480.5"/>
    <n v="0"/>
    <n v="0"/>
    <n v="1480.5"/>
    <s v="Wallet"/>
    <s v="CUST_00718"/>
    <n v="3"/>
    <n v="0"/>
    <n v="246.75"/>
    <s v="No Discount"/>
  </r>
  <r>
    <s v="TXN_03607"/>
    <d v="2024-11-17T00:00:00"/>
    <x v="0"/>
    <s v="Sunday"/>
    <s v="STORE_029"/>
    <x v="4"/>
    <x v="4"/>
    <x v="8"/>
    <n v="541.89"/>
    <n v="7"/>
    <n v="3793.23"/>
    <n v="0"/>
    <n v="0"/>
    <n v="3793.23"/>
    <s v="UPI"/>
    <s v="CUST_00304"/>
    <n v="1"/>
    <n v="0"/>
    <n v="541.89"/>
    <s v="No Discount"/>
  </r>
  <r>
    <s v="TXN_03608"/>
    <d v="2024-07-31T00:00:00"/>
    <x v="11"/>
    <s v="Wednesday"/>
    <s v="STORE_018"/>
    <x v="0"/>
    <x v="3"/>
    <x v="12"/>
    <n v="2609.92"/>
    <n v="9"/>
    <n v="23489.279999999999"/>
    <n v="0"/>
    <n v="0"/>
    <n v="23489.279999999999"/>
    <s v="Credit Card"/>
    <s v="CUST_00406"/>
    <n v="2"/>
    <n v="0"/>
    <n v="2609.92"/>
    <s v="No Discount"/>
  </r>
  <r>
    <s v="TXN_03609"/>
    <d v="2024-07-11T00:00:00"/>
    <x v="11"/>
    <s v="Thursday"/>
    <s v="STORE_037"/>
    <x v="2"/>
    <x v="2"/>
    <x v="13"/>
    <n v="624.91"/>
    <n v="6"/>
    <n v="3749.46"/>
    <n v="15"/>
    <n v="562.41999999999996"/>
    <n v="3187.04"/>
    <s v="Cash"/>
    <s v="CUST_00147"/>
    <n v="1"/>
    <n v="562.42000000000007"/>
    <n v="531.17333333333329"/>
    <s v="Medium"/>
  </r>
  <r>
    <s v="TXN_03610"/>
    <d v="2024-08-19T00:00:00"/>
    <x v="8"/>
    <s v="Monday"/>
    <s v="STORE_033"/>
    <x v="2"/>
    <x v="6"/>
    <x v="15"/>
    <n v="603.24"/>
    <n v="2"/>
    <n v="1206.48"/>
    <n v="0"/>
    <n v="0"/>
    <n v="1206.48"/>
    <s v="Cash"/>
    <s v="CUST_00798"/>
    <n v="5"/>
    <n v="0"/>
    <n v="603.24"/>
    <s v="No Discount"/>
  </r>
  <r>
    <s v="TXN_03611"/>
    <d v="2024-02-08T00:00:00"/>
    <x v="1"/>
    <s v="Thursday"/>
    <s v="STORE_050"/>
    <x v="1"/>
    <x v="4"/>
    <x v="8"/>
    <n v="172.46"/>
    <n v="4"/>
    <n v="689.84"/>
    <n v="0"/>
    <n v="0"/>
    <n v="689.84"/>
    <s v="Cash"/>
    <s v="CUST_00741"/>
    <n v="4"/>
    <n v="0"/>
    <n v="172.46"/>
    <s v="No Discount"/>
  </r>
  <r>
    <s v="TXN_03612"/>
    <d v="2024-11-20T00:00:00"/>
    <x v="0"/>
    <s v="Wednesday"/>
    <s v="STORE_021"/>
    <x v="3"/>
    <x v="3"/>
    <x v="12"/>
    <n v="2945.46"/>
    <n v="4"/>
    <n v="11781.84"/>
    <n v="20"/>
    <n v="2356.37"/>
    <n v="9425.4699999999993"/>
    <s v="Debit Card"/>
    <s v="CUST_00726"/>
    <n v="1"/>
    <n v="2356.3700000000008"/>
    <n v="2356.3674999999998"/>
    <s v="High"/>
  </r>
  <r>
    <s v="TXN_03613"/>
    <d v="2024-02-17T00:00:00"/>
    <x v="1"/>
    <s v="Saturday"/>
    <s v="STORE_019"/>
    <x v="2"/>
    <x v="4"/>
    <x v="35"/>
    <n v="237.08"/>
    <n v="1"/>
    <n v="237.08"/>
    <n v="0"/>
    <n v="0"/>
    <n v="237.08"/>
    <s v="Wallet"/>
    <s v="CUST_00416"/>
    <n v="5"/>
    <n v="0"/>
    <n v="237.08"/>
    <s v="No Discount"/>
  </r>
  <r>
    <s v="TXN_03614"/>
    <d v="2024-07-25T00:00:00"/>
    <x v="11"/>
    <s v="Thursday"/>
    <s v="STORE_030"/>
    <x v="2"/>
    <x v="2"/>
    <x v="29"/>
    <n v="415.59"/>
    <n v="8"/>
    <n v="3324.72"/>
    <n v="0"/>
    <n v="0"/>
    <n v="3324.72"/>
    <s v="Debit Card"/>
    <s v="CUST_00849"/>
    <n v="1"/>
    <n v="0"/>
    <n v="415.59"/>
    <s v="No Discount"/>
  </r>
  <r>
    <s v="TXN_03615"/>
    <d v="2024-09-20T00:00:00"/>
    <x v="9"/>
    <s v="Friday"/>
    <s v="STORE_036"/>
    <x v="0"/>
    <x v="2"/>
    <x v="13"/>
    <n v="143.04"/>
    <n v="3"/>
    <n v="429.12"/>
    <n v="0"/>
    <n v="0"/>
    <n v="429.12"/>
    <s v="Wallet"/>
    <s v="CUST_00884"/>
    <n v="2"/>
    <n v="0"/>
    <n v="143.04"/>
    <s v="No Discount"/>
  </r>
  <r>
    <s v="TXN_03616"/>
    <d v="2024-05-22T00:00:00"/>
    <x v="3"/>
    <s v="Wednesday"/>
    <s v="STORE_025"/>
    <x v="4"/>
    <x v="3"/>
    <x v="16"/>
    <n v="2285.58"/>
    <n v="2"/>
    <n v="4571.16"/>
    <n v="5"/>
    <n v="228.56"/>
    <n v="4342.6000000000004"/>
    <s v="Wallet"/>
    <s v="CUST_00112"/>
    <n v="3"/>
    <n v="228.55999999999949"/>
    <n v="2171.3000000000002"/>
    <s v="Low"/>
  </r>
  <r>
    <s v="TXN_03617"/>
    <d v="2024-12-21T00:00:00"/>
    <x v="6"/>
    <s v="Saturday"/>
    <s v="STORE_007"/>
    <x v="3"/>
    <x v="1"/>
    <x v="1"/>
    <n v="322.31"/>
    <n v="6"/>
    <n v="1933.86"/>
    <n v="0"/>
    <n v="0"/>
    <n v="1933.86"/>
    <s v="Cash"/>
    <s v="CUST_00975"/>
    <n v="5"/>
    <n v="0"/>
    <n v="322.31"/>
    <s v="No Discount"/>
  </r>
  <r>
    <s v="TXN_03618"/>
    <d v="2024-07-07T00:00:00"/>
    <x v="11"/>
    <s v="Sunday"/>
    <s v="STORE_038"/>
    <x v="2"/>
    <x v="3"/>
    <x v="16"/>
    <n v="869.14"/>
    <n v="2"/>
    <n v="1738.28"/>
    <n v="0"/>
    <n v="0"/>
    <n v="1738.28"/>
    <s v="Cash"/>
    <s v="CUST_00794"/>
    <n v="3"/>
    <n v="0"/>
    <n v="869.14"/>
    <s v="No Discount"/>
  </r>
  <r>
    <s v="TXN_03619"/>
    <d v="2024-08-20T00:00:00"/>
    <x v="8"/>
    <s v="Tuesday"/>
    <s v="STORE_038"/>
    <x v="0"/>
    <x v="0"/>
    <x v="27"/>
    <n v="815.26"/>
    <n v="4"/>
    <n v="3261.04"/>
    <n v="0"/>
    <n v="0"/>
    <n v="3261.04"/>
    <s v="Credit Card"/>
    <s v="CUST_00911"/>
    <n v="4"/>
    <n v="0"/>
    <n v="815.26"/>
    <s v="No Discount"/>
  </r>
  <r>
    <s v="TXN_03620"/>
    <d v="2024-09-06T00:00:00"/>
    <x v="9"/>
    <s v="Friday"/>
    <s v="STORE_047"/>
    <x v="1"/>
    <x v="0"/>
    <x v="32"/>
    <n v="714.87"/>
    <n v="1"/>
    <n v="714.87"/>
    <n v="10"/>
    <n v="71.489999999999995"/>
    <n v="643.38"/>
    <s v="Wallet"/>
    <s v="CUST_00045"/>
    <n v="3"/>
    <n v="71.490000000000009"/>
    <n v="643.38"/>
    <s v="Medium"/>
  </r>
  <r>
    <s v="TXN_03621"/>
    <d v="2024-06-16T00:00:00"/>
    <x v="10"/>
    <s v="Sunday"/>
    <s v="STORE_048"/>
    <x v="1"/>
    <x v="0"/>
    <x v="32"/>
    <n v="763.37"/>
    <n v="5"/>
    <n v="3816.85"/>
    <n v="20"/>
    <n v="763.37"/>
    <n v="3053.48"/>
    <s v="Cash"/>
    <s v="CUST_00585"/>
    <n v="2"/>
    <n v="763.36999999999989"/>
    <n v="610.69600000000003"/>
    <s v="High"/>
  </r>
  <r>
    <s v="TXN_03622"/>
    <d v="2024-10-24T00:00:00"/>
    <x v="7"/>
    <s v="Thursday"/>
    <s v="STORE_001"/>
    <x v="4"/>
    <x v="3"/>
    <x v="22"/>
    <n v="1507.84"/>
    <n v="8"/>
    <n v="12062.72"/>
    <n v="20"/>
    <n v="2412.54"/>
    <n v="9650.18"/>
    <s v="UPI"/>
    <s v="CUST_00268"/>
    <n v="3"/>
    <n v="2412.5399999999991"/>
    <n v="1206.2725"/>
    <s v="High"/>
  </r>
  <r>
    <s v="TXN_03623"/>
    <d v="2024-01-02T00:00:00"/>
    <x v="2"/>
    <s v="Tuesday"/>
    <s v="STORE_010"/>
    <x v="0"/>
    <x v="0"/>
    <x v="0"/>
    <n v="895.48"/>
    <n v="8"/>
    <n v="7163.84"/>
    <n v="10"/>
    <n v="716.38"/>
    <n v="6447.46"/>
    <s v="Cash"/>
    <s v="CUST_00461"/>
    <n v="4"/>
    <n v="716.38000000000011"/>
    <n v="805.9325"/>
    <s v="Medium"/>
  </r>
  <r>
    <s v="TXN_03624"/>
    <d v="2024-02-17T00:00:00"/>
    <x v="1"/>
    <s v="Saturday"/>
    <s v="STORE_041"/>
    <x v="3"/>
    <x v="7"/>
    <x v="23"/>
    <n v="1093.97"/>
    <n v="3"/>
    <n v="3281.91"/>
    <n v="5"/>
    <n v="164.1"/>
    <n v="3117.81"/>
    <s v="Credit Card"/>
    <s v="CUST_00807"/>
    <n v="2"/>
    <n v="164.09999999999991"/>
    <n v="1039.27"/>
    <s v="Low"/>
  </r>
  <r>
    <s v="TXN_03625"/>
    <d v="2024-08-22T00:00:00"/>
    <x v="8"/>
    <s v="Thursday"/>
    <s v="STORE_002"/>
    <x v="4"/>
    <x v="7"/>
    <x v="28"/>
    <n v="973.34"/>
    <n v="9"/>
    <n v="8760.06"/>
    <n v="20"/>
    <n v="1752.01"/>
    <n v="7008.05"/>
    <s v="Credit Card"/>
    <s v="CUST_00908"/>
    <n v="1"/>
    <n v="1752.0099999999993"/>
    <n v="778.67222222222222"/>
    <s v="High"/>
  </r>
  <r>
    <s v="TXN_03626"/>
    <d v="2024-11-21T00:00:00"/>
    <x v="0"/>
    <s v="Thursday"/>
    <s v="STORE_018"/>
    <x v="4"/>
    <x v="3"/>
    <x v="5"/>
    <n v="2547.62"/>
    <n v="10"/>
    <n v="25476.2"/>
    <n v="15"/>
    <n v="3821.43"/>
    <n v="21654.77"/>
    <s v="Credit Card"/>
    <s v="CUST_00004"/>
    <n v="5"/>
    <n v="3821.4300000000003"/>
    <n v="2165.4769999999999"/>
    <s v="Medium"/>
  </r>
  <r>
    <s v="TXN_03627"/>
    <d v="2024-12-06T00:00:00"/>
    <x v="6"/>
    <s v="Friday"/>
    <s v="STORE_043"/>
    <x v="0"/>
    <x v="7"/>
    <x v="37"/>
    <n v="358.75"/>
    <n v="4"/>
    <n v="1435"/>
    <n v="0"/>
    <n v="0"/>
    <n v="1435"/>
    <s v="UPI"/>
    <s v="CUST_00541"/>
    <n v="4"/>
    <n v="0"/>
    <n v="358.75"/>
    <s v="No Discount"/>
  </r>
  <r>
    <s v="TXN_03628"/>
    <d v="2024-12-23T00:00:00"/>
    <x v="6"/>
    <s v="Monday"/>
    <s v="STORE_032"/>
    <x v="2"/>
    <x v="6"/>
    <x v="15"/>
    <n v="1893.6"/>
    <n v="9"/>
    <n v="17042.400000000001"/>
    <n v="5"/>
    <n v="852.12"/>
    <n v="16190.28"/>
    <s v="UPI"/>
    <s v="CUST_00087"/>
    <n v="4"/>
    <n v="852.1200000000008"/>
    <n v="1798.92"/>
    <s v="Low"/>
  </r>
  <r>
    <s v="TXN_03629"/>
    <d v="2024-07-02T00:00:00"/>
    <x v="11"/>
    <s v="Tuesday"/>
    <s v="STORE_007"/>
    <x v="4"/>
    <x v="2"/>
    <x v="7"/>
    <n v="424.9"/>
    <n v="7"/>
    <n v="2974.3"/>
    <n v="10"/>
    <n v="297.43"/>
    <n v="2676.87"/>
    <s v="Debit Card"/>
    <s v="CUST_00344"/>
    <n v="1"/>
    <n v="297.43000000000029"/>
    <n v="382.40999999999997"/>
    <s v="Medium"/>
  </r>
  <r>
    <s v="TXN_03630"/>
    <d v="2024-02-02T00:00:00"/>
    <x v="1"/>
    <s v="Friday"/>
    <s v="STORE_029"/>
    <x v="0"/>
    <x v="0"/>
    <x v="27"/>
    <n v="927.01"/>
    <n v="5"/>
    <n v="4635.05"/>
    <n v="5"/>
    <n v="231.75"/>
    <n v="4403.3"/>
    <s v="Credit Card"/>
    <s v="CUST_00651"/>
    <n v="4"/>
    <n v="231.75"/>
    <n v="880.66000000000008"/>
    <s v="Low"/>
  </r>
  <r>
    <s v="TXN_03631"/>
    <d v="2024-09-30T00:00:00"/>
    <x v="9"/>
    <s v="Monday"/>
    <s v="STORE_011"/>
    <x v="0"/>
    <x v="4"/>
    <x v="17"/>
    <n v="312.91000000000003"/>
    <n v="10"/>
    <n v="3129.1"/>
    <n v="15"/>
    <n v="469.36"/>
    <n v="2659.74"/>
    <s v="Credit Card"/>
    <s v="CUST_00038"/>
    <n v="5"/>
    <n v="469.36000000000013"/>
    <n v="265.97399999999999"/>
    <s v="Medium"/>
  </r>
  <r>
    <s v="TXN_03632"/>
    <d v="2024-07-22T00:00:00"/>
    <x v="11"/>
    <s v="Monday"/>
    <s v="STORE_048"/>
    <x v="3"/>
    <x v="4"/>
    <x v="8"/>
    <n v="586.91999999999996"/>
    <n v="6"/>
    <n v="3521.52"/>
    <n v="5"/>
    <n v="176.08"/>
    <n v="3345.44"/>
    <s v="Debit Card"/>
    <s v="CUST_00817"/>
    <n v="5"/>
    <n v="176.07999999999993"/>
    <n v="557.57333333333338"/>
    <s v="Low"/>
  </r>
  <r>
    <s v="TXN_03633"/>
    <d v="2024-04-21T00:00:00"/>
    <x v="4"/>
    <s v="Sunday"/>
    <s v="STORE_004"/>
    <x v="3"/>
    <x v="2"/>
    <x v="7"/>
    <n v="647.71"/>
    <n v="10"/>
    <n v="6477.1"/>
    <n v="0"/>
    <n v="0"/>
    <n v="6477.1"/>
    <s v="Cash"/>
    <s v="CUST_00366"/>
    <n v="1"/>
    <n v="0"/>
    <n v="647.71"/>
    <s v="No Discount"/>
  </r>
  <r>
    <s v="TXN_03634"/>
    <d v="2024-08-07T00:00:00"/>
    <x v="8"/>
    <s v="Wednesday"/>
    <s v="STORE_041"/>
    <x v="3"/>
    <x v="7"/>
    <x v="37"/>
    <n v="860.37"/>
    <n v="5"/>
    <n v="4301.8500000000004"/>
    <n v="20"/>
    <n v="860.37"/>
    <n v="3441.48"/>
    <s v="Wallet"/>
    <s v="CUST_00194"/>
    <n v="4"/>
    <n v="860.37000000000035"/>
    <n v="688.29600000000005"/>
    <s v="High"/>
  </r>
  <r>
    <s v="TXN_03635"/>
    <d v="2024-04-18T00:00:00"/>
    <x v="4"/>
    <s v="Thursday"/>
    <s v="STORE_047"/>
    <x v="3"/>
    <x v="4"/>
    <x v="17"/>
    <n v="204.29"/>
    <n v="3"/>
    <n v="612.87"/>
    <n v="15"/>
    <n v="91.93"/>
    <n v="520.94000000000005"/>
    <s v="Credit Card"/>
    <s v="CUST_00269"/>
    <n v="4"/>
    <n v="91.92999999999995"/>
    <n v="173.64666666666668"/>
    <s v="Medium"/>
  </r>
  <r>
    <s v="TXN_03636"/>
    <d v="2024-09-10T00:00:00"/>
    <x v="9"/>
    <s v="Tuesday"/>
    <s v="STORE_040"/>
    <x v="1"/>
    <x v="1"/>
    <x v="6"/>
    <n v="274.61"/>
    <n v="10"/>
    <n v="2746.1"/>
    <n v="0"/>
    <n v="0"/>
    <n v="2746.1"/>
    <s v="Cash"/>
    <s v="CUST_00671"/>
    <n v="5"/>
    <n v="0"/>
    <n v="274.61"/>
    <s v="No Discount"/>
  </r>
  <r>
    <s v="TXN_03637"/>
    <d v="2024-05-17T00:00:00"/>
    <x v="3"/>
    <s v="Friday"/>
    <s v="STORE_038"/>
    <x v="3"/>
    <x v="2"/>
    <x v="29"/>
    <n v="475.93"/>
    <n v="6"/>
    <n v="2855.58"/>
    <n v="5"/>
    <n v="142.78"/>
    <n v="2712.8"/>
    <s v="Wallet"/>
    <s v="CUST_00770"/>
    <n v="5"/>
    <n v="142.77999999999975"/>
    <n v="452.13333333333338"/>
    <s v="Low"/>
  </r>
  <r>
    <s v="TXN_03638"/>
    <d v="2024-06-14T00:00:00"/>
    <x v="10"/>
    <s v="Friday"/>
    <s v="STORE_013"/>
    <x v="2"/>
    <x v="7"/>
    <x v="38"/>
    <n v="720.8"/>
    <n v="1"/>
    <n v="720.8"/>
    <n v="20"/>
    <n v="144.16"/>
    <n v="576.64"/>
    <s v="Credit Card"/>
    <s v="CUST_00714"/>
    <n v="5"/>
    <n v="144.15999999999997"/>
    <n v="576.64"/>
    <s v="High"/>
  </r>
  <r>
    <s v="TXN_03639"/>
    <d v="2024-05-25T00:00:00"/>
    <x v="3"/>
    <s v="Saturday"/>
    <s v="STORE_032"/>
    <x v="2"/>
    <x v="0"/>
    <x v="32"/>
    <n v="540.63"/>
    <n v="10"/>
    <n v="5406.3"/>
    <n v="0"/>
    <n v="0"/>
    <n v="5406.3"/>
    <s v="Debit Card"/>
    <s v="CUST_00592"/>
    <n v="4"/>
    <n v="0"/>
    <n v="540.63"/>
    <s v="No Discount"/>
  </r>
  <r>
    <s v="TXN_03640"/>
    <d v="2024-06-21T00:00:00"/>
    <x v="10"/>
    <s v="Friday"/>
    <s v="STORE_024"/>
    <x v="0"/>
    <x v="7"/>
    <x v="23"/>
    <n v="804.27"/>
    <n v="10"/>
    <n v="8042.7"/>
    <n v="10"/>
    <n v="804.27"/>
    <n v="7238.43"/>
    <s v="Debit Card"/>
    <s v="CUST_00695"/>
    <n v="2"/>
    <n v="804.26999999999953"/>
    <n v="723.84300000000007"/>
    <s v="Medium"/>
  </r>
  <r>
    <s v="TXN_03641"/>
    <d v="2024-10-07T00:00:00"/>
    <x v="7"/>
    <s v="Monday"/>
    <s v="STORE_036"/>
    <x v="0"/>
    <x v="6"/>
    <x v="14"/>
    <n v="1440.67"/>
    <n v="4"/>
    <n v="5762.68"/>
    <n v="20"/>
    <n v="1152.54"/>
    <n v="4610.1400000000003"/>
    <s v="Wallet"/>
    <s v="CUST_00041"/>
    <n v="4"/>
    <n v="1152.54"/>
    <n v="1152.5350000000001"/>
    <s v="High"/>
  </r>
  <r>
    <s v="TXN_03642"/>
    <d v="2024-10-22T00:00:00"/>
    <x v="7"/>
    <s v="Tuesday"/>
    <s v="STORE_015"/>
    <x v="0"/>
    <x v="4"/>
    <x v="19"/>
    <n v="388.67"/>
    <n v="9"/>
    <n v="3498.03"/>
    <n v="20"/>
    <n v="699.61"/>
    <n v="2798.42"/>
    <s v="UPI"/>
    <s v="CUST_00338"/>
    <n v="3"/>
    <n v="699.61000000000013"/>
    <n v="310.93555555555554"/>
    <s v="High"/>
  </r>
  <r>
    <s v="TXN_03643"/>
    <d v="2024-03-07T00:00:00"/>
    <x v="5"/>
    <s v="Thursday"/>
    <s v="STORE_044"/>
    <x v="1"/>
    <x v="4"/>
    <x v="20"/>
    <n v="340.59"/>
    <n v="3"/>
    <n v="1021.77"/>
    <n v="0"/>
    <n v="0"/>
    <n v="1021.77"/>
    <s v="Debit Card"/>
    <s v="CUST_00795"/>
    <n v="5"/>
    <n v="0"/>
    <n v="340.59"/>
    <s v="No Discount"/>
  </r>
  <r>
    <s v="TXN_03644"/>
    <d v="2024-10-16T00:00:00"/>
    <x v="7"/>
    <s v="Wednesday"/>
    <s v="STORE_011"/>
    <x v="3"/>
    <x v="1"/>
    <x v="6"/>
    <n v="266.02"/>
    <n v="2"/>
    <n v="532.04"/>
    <n v="0"/>
    <n v="0"/>
    <n v="532.04"/>
    <s v="Debit Card"/>
    <s v="CUST_00606"/>
    <n v="5"/>
    <n v="0"/>
    <n v="266.02"/>
    <s v="No Discount"/>
  </r>
  <r>
    <s v="TXN_03645"/>
    <d v="2024-09-05T00:00:00"/>
    <x v="9"/>
    <s v="Thursday"/>
    <s v="STORE_011"/>
    <x v="0"/>
    <x v="3"/>
    <x v="22"/>
    <n v="2288.8200000000002"/>
    <n v="2"/>
    <n v="4577.6400000000003"/>
    <n v="5"/>
    <n v="228.88"/>
    <n v="4348.76"/>
    <s v="Debit Card"/>
    <s v="CUST_00141"/>
    <n v="5"/>
    <n v="228.88000000000011"/>
    <n v="2174.38"/>
    <s v="Low"/>
  </r>
  <r>
    <s v="TXN_03646"/>
    <d v="2024-06-24T00:00:00"/>
    <x v="10"/>
    <s v="Monday"/>
    <s v="STORE_001"/>
    <x v="0"/>
    <x v="3"/>
    <x v="21"/>
    <n v="1433.39"/>
    <n v="8"/>
    <n v="11467.12"/>
    <n v="10"/>
    <n v="1146.71"/>
    <n v="10320.41"/>
    <s v="UPI"/>
    <s v="CUST_00582"/>
    <n v="3"/>
    <n v="1146.7100000000009"/>
    <n v="1290.05125"/>
    <s v="Medium"/>
  </r>
  <r>
    <s v="TXN_03647"/>
    <d v="2024-12-15T00:00:00"/>
    <x v="6"/>
    <s v="Sunday"/>
    <s v="STORE_045"/>
    <x v="3"/>
    <x v="2"/>
    <x v="13"/>
    <n v="361.47"/>
    <n v="1"/>
    <n v="361.47"/>
    <n v="0"/>
    <n v="0"/>
    <n v="361.47"/>
    <s v="Cash"/>
    <s v="CUST_00743"/>
    <n v="4"/>
    <n v="0"/>
    <n v="361.47"/>
    <s v="No Discount"/>
  </r>
  <r>
    <s v="TXN_03648"/>
    <d v="2024-01-25T00:00:00"/>
    <x v="2"/>
    <s v="Thursday"/>
    <s v="STORE_043"/>
    <x v="1"/>
    <x v="1"/>
    <x v="3"/>
    <n v="85.49"/>
    <n v="5"/>
    <n v="427.45"/>
    <n v="0"/>
    <n v="0"/>
    <n v="427.45"/>
    <s v="Credit Card"/>
    <s v="CUST_00217"/>
    <n v="2"/>
    <n v="0"/>
    <n v="85.49"/>
    <s v="No Discount"/>
  </r>
  <r>
    <s v="TXN_03649"/>
    <d v="2024-01-24T00:00:00"/>
    <x v="2"/>
    <s v="Wednesday"/>
    <s v="STORE_045"/>
    <x v="1"/>
    <x v="2"/>
    <x v="39"/>
    <n v="244.48"/>
    <n v="4"/>
    <n v="977.92"/>
    <n v="10"/>
    <n v="97.79"/>
    <n v="880.13"/>
    <s v="Credit Card"/>
    <s v="CUST_00507"/>
    <n v="1"/>
    <n v="97.789999999999964"/>
    <n v="220.0325"/>
    <s v="Medium"/>
  </r>
  <r>
    <s v="TXN_03650"/>
    <d v="2024-02-20T00:00:00"/>
    <x v="1"/>
    <s v="Tuesday"/>
    <s v="STORE_040"/>
    <x v="1"/>
    <x v="4"/>
    <x v="8"/>
    <n v="535.66999999999996"/>
    <n v="3"/>
    <n v="1607.01"/>
    <n v="5"/>
    <n v="80.349999999999994"/>
    <n v="1526.66"/>
    <s v="Debit Card"/>
    <s v="CUST_00528"/>
    <n v="1"/>
    <n v="80.349999999999909"/>
    <n v="508.88666666666671"/>
    <s v="Low"/>
  </r>
  <r>
    <s v="TXN_03651"/>
    <d v="2024-11-16T00:00:00"/>
    <x v="0"/>
    <s v="Saturday"/>
    <s v="STORE_012"/>
    <x v="4"/>
    <x v="6"/>
    <x v="14"/>
    <n v="1070.8"/>
    <n v="6"/>
    <n v="6424.8"/>
    <n v="5"/>
    <n v="321.24"/>
    <n v="6103.56"/>
    <s v="Cash"/>
    <s v="CUST_00263"/>
    <n v="4"/>
    <n v="321.23999999999978"/>
    <n v="1017.2600000000001"/>
    <s v="Low"/>
  </r>
  <r>
    <s v="TXN_03652"/>
    <d v="2024-08-23T00:00:00"/>
    <x v="8"/>
    <s v="Friday"/>
    <s v="STORE_001"/>
    <x v="4"/>
    <x v="3"/>
    <x v="12"/>
    <n v="1814.53"/>
    <n v="7"/>
    <n v="12701.71"/>
    <n v="10"/>
    <n v="1270.17"/>
    <n v="11431.54"/>
    <s v="UPI"/>
    <s v="CUST_00550"/>
    <n v="4"/>
    <n v="1270.1699999999983"/>
    <n v="1633.0771428571429"/>
    <s v="Medium"/>
  </r>
  <r>
    <s v="TXN_03653"/>
    <d v="2024-01-09T00:00:00"/>
    <x v="2"/>
    <s v="Tuesday"/>
    <s v="STORE_050"/>
    <x v="4"/>
    <x v="4"/>
    <x v="35"/>
    <n v="157.46"/>
    <n v="10"/>
    <n v="1574.6"/>
    <n v="20"/>
    <n v="314.92"/>
    <n v="1259.68"/>
    <s v="Cash"/>
    <s v="CUST_00659"/>
    <n v="2"/>
    <n v="314.91999999999985"/>
    <n v="125.968"/>
    <s v="High"/>
  </r>
  <r>
    <s v="TXN_03654"/>
    <d v="2024-03-04T00:00:00"/>
    <x v="5"/>
    <s v="Monday"/>
    <s v="STORE_020"/>
    <x v="0"/>
    <x v="2"/>
    <x v="39"/>
    <n v="661.31"/>
    <n v="1"/>
    <n v="661.31"/>
    <n v="20"/>
    <n v="132.26"/>
    <n v="529.04999999999995"/>
    <s v="Credit Card"/>
    <s v="CUST_00879"/>
    <n v="1"/>
    <n v="132.26"/>
    <n v="529.04999999999995"/>
    <s v="High"/>
  </r>
  <r>
    <s v="TXN_03655"/>
    <d v="2024-03-21T00:00:00"/>
    <x v="5"/>
    <s v="Thursday"/>
    <s v="STORE_038"/>
    <x v="0"/>
    <x v="1"/>
    <x v="3"/>
    <n v="263.27"/>
    <n v="10"/>
    <n v="2632.7"/>
    <n v="0"/>
    <n v="0"/>
    <n v="2632.7"/>
    <s v="Cash"/>
    <s v="CUST_00118"/>
    <n v="3"/>
    <n v="0"/>
    <n v="263.27"/>
    <s v="No Discount"/>
  </r>
  <r>
    <s v="TXN_03656"/>
    <d v="2024-08-13T00:00:00"/>
    <x v="8"/>
    <s v="Tuesday"/>
    <s v="STORE_027"/>
    <x v="4"/>
    <x v="6"/>
    <x v="30"/>
    <n v="1776.2"/>
    <n v="2"/>
    <n v="3552.4"/>
    <n v="10"/>
    <n v="355.24"/>
    <n v="3197.16"/>
    <s v="Wallet"/>
    <s v="CUST_00916"/>
    <n v="5"/>
    <n v="355.24000000000024"/>
    <n v="1598.58"/>
    <s v="Medium"/>
  </r>
  <r>
    <s v="TXN_03657"/>
    <d v="2024-08-21T00:00:00"/>
    <x v="8"/>
    <s v="Wednesday"/>
    <s v="STORE_021"/>
    <x v="0"/>
    <x v="7"/>
    <x v="38"/>
    <n v="1451.26"/>
    <n v="10"/>
    <n v="14512.6"/>
    <n v="0"/>
    <n v="0"/>
    <n v="14512.6"/>
    <s v="Cash"/>
    <s v="CUST_00542"/>
    <n v="4"/>
    <n v="0"/>
    <n v="1451.26"/>
    <s v="No Discount"/>
  </r>
  <r>
    <s v="TXN_03658"/>
    <d v="2024-01-01T00:00:00"/>
    <x v="2"/>
    <s v="Monday"/>
    <s v="STORE_046"/>
    <x v="3"/>
    <x v="2"/>
    <x v="7"/>
    <n v="721.42"/>
    <n v="2"/>
    <n v="1442.84"/>
    <n v="0"/>
    <n v="0"/>
    <n v="1442.84"/>
    <s v="Credit Card"/>
    <s v="CUST_00039"/>
    <n v="3"/>
    <n v="0"/>
    <n v="721.42"/>
    <s v="No Discount"/>
  </r>
  <r>
    <s v="TXN_03659"/>
    <d v="2024-08-07T00:00:00"/>
    <x v="8"/>
    <s v="Wednesday"/>
    <s v="STORE_019"/>
    <x v="0"/>
    <x v="3"/>
    <x v="22"/>
    <n v="1482.56"/>
    <n v="7"/>
    <n v="10377.92"/>
    <n v="0"/>
    <n v="0"/>
    <n v="10377.92"/>
    <s v="Credit Card"/>
    <s v="CUST_00394"/>
    <n v="4"/>
    <n v="0"/>
    <n v="1482.56"/>
    <s v="No Discount"/>
  </r>
  <r>
    <s v="TXN_03660"/>
    <d v="2024-04-13T00:00:00"/>
    <x v="4"/>
    <s v="Saturday"/>
    <s v="STORE_011"/>
    <x v="2"/>
    <x v="5"/>
    <x v="25"/>
    <n v="4328.68"/>
    <n v="6"/>
    <n v="25972.080000000002"/>
    <n v="0"/>
    <n v="0"/>
    <n v="25972.080000000002"/>
    <s v="Cash"/>
    <s v="CUST_00934"/>
    <n v="4"/>
    <n v="0"/>
    <n v="4328.68"/>
    <s v="No Discount"/>
  </r>
  <r>
    <s v="TXN_03661"/>
    <d v="2024-12-18T00:00:00"/>
    <x v="6"/>
    <s v="Wednesday"/>
    <s v="STORE_040"/>
    <x v="0"/>
    <x v="5"/>
    <x v="34"/>
    <n v="4322.12"/>
    <n v="6"/>
    <n v="25932.720000000001"/>
    <n v="15"/>
    <n v="3889.91"/>
    <n v="22042.81"/>
    <s v="Cash"/>
    <s v="CUST_00148"/>
    <n v="4"/>
    <n v="3889.91"/>
    <n v="3673.8016666666667"/>
    <s v="Medium"/>
  </r>
  <r>
    <s v="TXN_03662"/>
    <d v="2024-03-08T00:00:00"/>
    <x v="5"/>
    <s v="Friday"/>
    <s v="STORE_016"/>
    <x v="1"/>
    <x v="3"/>
    <x v="16"/>
    <n v="996.57"/>
    <n v="8"/>
    <n v="7972.56"/>
    <n v="20"/>
    <n v="1594.51"/>
    <n v="6378.05"/>
    <s v="Credit Card"/>
    <s v="CUST_00235"/>
    <n v="4"/>
    <n v="1594.5100000000002"/>
    <n v="797.25625000000002"/>
    <s v="High"/>
  </r>
  <r>
    <s v="TXN_03663"/>
    <d v="2024-11-28T00:00:00"/>
    <x v="0"/>
    <s v="Thursday"/>
    <s v="STORE_017"/>
    <x v="3"/>
    <x v="2"/>
    <x v="13"/>
    <n v="368.12"/>
    <n v="1"/>
    <n v="368.12"/>
    <n v="20"/>
    <n v="73.62"/>
    <n v="294.5"/>
    <s v="Wallet"/>
    <s v="CUST_00702"/>
    <n v="3"/>
    <n v="73.62"/>
    <n v="294.5"/>
    <s v="High"/>
  </r>
  <r>
    <s v="TXN_03664"/>
    <d v="2024-06-03T00:00:00"/>
    <x v="10"/>
    <s v="Monday"/>
    <s v="STORE_004"/>
    <x v="3"/>
    <x v="6"/>
    <x v="30"/>
    <n v="1125.68"/>
    <n v="4"/>
    <n v="4502.72"/>
    <n v="10"/>
    <n v="450.27"/>
    <n v="4052.45"/>
    <s v="Wallet"/>
    <s v="CUST_00592"/>
    <n v="1"/>
    <n v="450.27000000000044"/>
    <n v="1013.1125"/>
    <s v="Medium"/>
  </r>
  <r>
    <s v="TXN_03665"/>
    <d v="2024-03-22T00:00:00"/>
    <x v="5"/>
    <s v="Friday"/>
    <s v="STORE_041"/>
    <x v="2"/>
    <x v="4"/>
    <x v="8"/>
    <n v="326.02999999999997"/>
    <n v="6"/>
    <n v="1956.18"/>
    <n v="0"/>
    <n v="0"/>
    <n v="1956.18"/>
    <s v="Credit Card"/>
    <s v="CUST_00758"/>
    <n v="3"/>
    <n v="0"/>
    <n v="326.03000000000003"/>
    <s v="No Discount"/>
  </r>
  <r>
    <s v="TXN_03666"/>
    <d v="2024-05-20T00:00:00"/>
    <x v="3"/>
    <s v="Monday"/>
    <s v="STORE_022"/>
    <x v="3"/>
    <x v="5"/>
    <x v="34"/>
    <n v="4650.5200000000004"/>
    <n v="3"/>
    <n v="13951.56"/>
    <n v="0"/>
    <n v="0"/>
    <n v="13951.56"/>
    <s v="Credit Card"/>
    <s v="CUST_00069"/>
    <n v="4"/>
    <n v="0"/>
    <n v="4650.5199999999995"/>
    <s v="No Discount"/>
  </r>
  <r>
    <s v="TXN_03667"/>
    <d v="2024-02-17T00:00:00"/>
    <x v="1"/>
    <s v="Saturday"/>
    <s v="STORE_043"/>
    <x v="2"/>
    <x v="0"/>
    <x v="27"/>
    <n v="233.28"/>
    <n v="10"/>
    <n v="2332.8000000000002"/>
    <n v="0"/>
    <n v="0"/>
    <n v="2332.8000000000002"/>
    <s v="UPI"/>
    <s v="CUST_00542"/>
    <n v="3"/>
    <n v="0"/>
    <n v="233.28000000000003"/>
    <s v="No Discount"/>
  </r>
  <r>
    <s v="TXN_03668"/>
    <d v="2024-12-01T00:00:00"/>
    <x v="6"/>
    <s v="Sunday"/>
    <s v="STORE_026"/>
    <x v="1"/>
    <x v="4"/>
    <x v="35"/>
    <n v="204.83"/>
    <n v="4"/>
    <n v="819.32"/>
    <n v="15"/>
    <n v="122.9"/>
    <n v="696.42"/>
    <s v="Debit Card"/>
    <s v="CUST_00749"/>
    <n v="4"/>
    <n v="122.90000000000009"/>
    <n v="174.10499999999999"/>
    <s v="Medium"/>
  </r>
  <r>
    <s v="TXN_03669"/>
    <d v="2024-07-03T00:00:00"/>
    <x v="11"/>
    <s v="Wednesday"/>
    <s v="STORE_028"/>
    <x v="1"/>
    <x v="6"/>
    <x v="14"/>
    <n v="1276.83"/>
    <n v="10"/>
    <n v="12768.3"/>
    <n v="20"/>
    <n v="2553.66"/>
    <n v="10214.64"/>
    <s v="Credit Card"/>
    <s v="CUST_00566"/>
    <n v="3"/>
    <n v="2553.66"/>
    <n v="1021.4639999999999"/>
    <s v="High"/>
  </r>
  <r>
    <s v="TXN_03670"/>
    <d v="2024-05-08T00:00:00"/>
    <x v="3"/>
    <s v="Wednesday"/>
    <s v="STORE_036"/>
    <x v="0"/>
    <x v="7"/>
    <x v="37"/>
    <n v="1076.1600000000001"/>
    <n v="2"/>
    <n v="2152.3200000000002"/>
    <n v="15"/>
    <n v="322.85000000000002"/>
    <n v="1829.47"/>
    <s v="Cash"/>
    <s v="CUST_00580"/>
    <n v="4"/>
    <n v="322.85000000000014"/>
    <n v="914.73500000000001"/>
    <s v="Medium"/>
  </r>
  <r>
    <s v="TXN_03671"/>
    <d v="2024-02-12T00:00:00"/>
    <x v="1"/>
    <s v="Monday"/>
    <s v="STORE_006"/>
    <x v="4"/>
    <x v="6"/>
    <x v="15"/>
    <n v="766.52"/>
    <n v="5"/>
    <n v="3832.6"/>
    <n v="10"/>
    <n v="383.26"/>
    <n v="3449.34"/>
    <s v="Debit Card"/>
    <s v="CUST_00884"/>
    <n v="2"/>
    <n v="383.25999999999976"/>
    <n v="689.86800000000005"/>
    <s v="Medium"/>
  </r>
  <r>
    <s v="TXN_03672"/>
    <d v="2024-07-09T00:00:00"/>
    <x v="11"/>
    <s v="Tuesday"/>
    <s v="STORE_018"/>
    <x v="4"/>
    <x v="7"/>
    <x v="28"/>
    <n v="1080.49"/>
    <n v="3"/>
    <n v="3241.47"/>
    <n v="10"/>
    <n v="324.14999999999998"/>
    <n v="2917.32"/>
    <s v="Wallet"/>
    <s v="CUST_00116"/>
    <n v="5"/>
    <n v="324.14999999999964"/>
    <n v="972.44"/>
    <s v="Medium"/>
  </r>
  <r>
    <s v="TXN_03673"/>
    <d v="2024-12-06T00:00:00"/>
    <x v="6"/>
    <s v="Friday"/>
    <s v="STORE_045"/>
    <x v="3"/>
    <x v="2"/>
    <x v="2"/>
    <n v="298.97000000000003"/>
    <n v="2"/>
    <n v="597.94000000000005"/>
    <n v="0"/>
    <n v="0"/>
    <n v="597.94000000000005"/>
    <s v="Wallet"/>
    <s v="CUST_00923"/>
    <n v="3"/>
    <n v="0"/>
    <n v="298.97000000000003"/>
    <s v="No Discount"/>
  </r>
  <r>
    <s v="TXN_03674"/>
    <d v="2024-11-28T00:00:00"/>
    <x v="0"/>
    <s v="Thursday"/>
    <s v="STORE_001"/>
    <x v="2"/>
    <x v="3"/>
    <x v="16"/>
    <n v="538.79"/>
    <n v="3"/>
    <n v="1616.37"/>
    <n v="5"/>
    <n v="80.819999999999993"/>
    <n v="1535.55"/>
    <s v="Cash"/>
    <s v="CUST_00849"/>
    <n v="2"/>
    <n v="80.819999999999936"/>
    <n v="511.84999999999997"/>
    <s v="Low"/>
  </r>
  <r>
    <s v="TXN_03675"/>
    <d v="2024-03-25T00:00:00"/>
    <x v="5"/>
    <s v="Monday"/>
    <s v="STORE_040"/>
    <x v="4"/>
    <x v="5"/>
    <x v="34"/>
    <n v="1432.29"/>
    <n v="5"/>
    <n v="7161.45"/>
    <n v="0"/>
    <n v="0"/>
    <n v="7161.45"/>
    <s v="Debit Card"/>
    <s v="CUST_00663"/>
    <n v="1"/>
    <n v="0"/>
    <n v="1432.29"/>
    <s v="No Discount"/>
  </r>
  <r>
    <s v="TXN_03676"/>
    <d v="2024-01-27T00:00:00"/>
    <x v="2"/>
    <s v="Saturday"/>
    <s v="STORE_026"/>
    <x v="1"/>
    <x v="2"/>
    <x v="39"/>
    <n v="405.09"/>
    <n v="9"/>
    <n v="3645.81"/>
    <n v="10"/>
    <n v="364.58"/>
    <n v="3281.23"/>
    <s v="Wallet"/>
    <s v="CUST_00640"/>
    <n v="4"/>
    <n v="364.57999999999993"/>
    <n v="364.58111111111111"/>
    <s v="Medium"/>
  </r>
  <r>
    <s v="TXN_03677"/>
    <d v="2024-07-21T00:00:00"/>
    <x v="11"/>
    <s v="Sunday"/>
    <s v="STORE_039"/>
    <x v="2"/>
    <x v="2"/>
    <x v="7"/>
    <n v="151.87"/>
    <n v="9"/>
    <n v="1366.83"/>
    <n v="0"/>
    <n v="0"/>
    <n v="1366.83"/>
    <s v="UPI"/>
    <s v="CUST_00254"/>
    <n v="2"/>
    <n v="0"/>
    <n v="151.87"/>
    <s v="No Discount"/>
  </r>
  <r>
    <s v="TXN_03678"/>
    <d v="2024-11-16T00:00:00"/>
    <x v="0"/>
    <s v="Saturday"/>
    <s v="STORE_020"/>
    <x v="1"/>
    <x v="0"/>
    <x v="4"/>
    <n v="909.53"/>
    <n v="6"/>
    <n v="5457.18"/>
    <n v="10"/>
    <n v="545.72"/>
    <n v="4911.46"/>
    <s v="Credit Card"/>
    <s v="CUST_00711"/>
    <n v="4"/>
    <n v="545.72000000000025"/>
    <n v="818.57666666666671"/>
    <s v="Medium"/>
  </r>
  <r>
    <s v="TXN_03679"/>
    <d v="2024-06-05T00:00:00"/>
    <x v="10"/>
    <s v="Wednesday"/>
    <s v="STORE_042"/>
    <x v="2"/>
    <x v="7"/>
    <x v="24"/>
    <n v="529.66999999999996"/>
    <n v="3"/>
    <n v="1589.01"/>
    <n v="15"/>
    <n v="238.35"/>
    <n v="1350.66"/>
    <s v="Credit Card"/>
    <s v="CUST_00914"/>
    <n v="5"/>
    <n v="238.34999999999991"/>
    <n v="450.22"/>
    <s v="Medium"/>
  </r>
  <r>
    <s v="TXN_03680"/>
    <d v="2024-12-24T00:00:00"/>
    <x v="6"/>
    <s v="Tuesday"/>
    <s v="STORE_007"/>
    <x v="1"/>
    <x v="7"/>
    <x v="28"/>
    <n v="528.83000000000004"/>
    <n v="9"/>
    <n v="4759.47"/>
    <n v="0"/>
    <n v="0"/>
    <n v="4759.47"/>
    <s v="Debit Card"/>
    <s v="CUST_00413"/>
    <n v="2"/>
    <n v="0"/>
    <n v="528.83000000000004"/>
    <s v="No Discount"/>
  </r>
  <r>
    <s v="TXN_03681"/>
    <d v="2024-04-29T00:00:00"/>
    <x v="4"/>
    <s v="Monday"/>
    <s v="STORE_010"/>
    <x v="1"/>
    <x v="5"/>
    <x v="11"/>
    <n v="2159.2800000000002"/>
    <n v="9"/>
    <n v="19433.52"/>
    <n v="0"/>
    <n v="0"/>
    <n v="19433.52"/>
    <s v="Credit Card"/>
    <s v="CUST_00405"/>
    <n v="2"/>
    <n v="0"/>
    <n v="2159.2800000000002"/>
    <s v="No Discount"/>
  </r>
  <r>
    <s v="TXN_03682"/>
    <d v="2024-08-07T00:00:00"/>
    <x v="8"/>
    <s v="Wednesday"/>
    <s v="STORE_001"/>
    <x v="0"/>
    <x v="5"/>
    <x v="9"/>
    <n v="2906.45"/>
    <n v="2"/>
    <n v="5812.9"/>
    <n v="15"/>
    <n v="871.93"/>
    <n v="4940.97"/>
    <s v="Debit Card"/>
    <s v="CUST_00321"/>
    <n v="2"/>
    <n v="871.92999999999938"/>
    <n v="2470.4850000000001"/>
    <s v="Medium"/>
  </r>
  <r>
    <s v="TXN_03683"/>
    <d v="2024-12-01T00:00:00"/>
    <x v="6"/>
    <s v="Sunday"/>
    <s v="STORE_029"/>
    <x v="3"/>
    <x v="3"/>
    <x v="22"/>
    <n v="644.99"/>
    <n v="9"/>
    <n v="5804.91"/>
    <n v="5"/>
    <n v="290.25"/>
    <n v="5514.66"/>
    <s v="UPI"/>
    <s v="CUST_00395"/>
    <n v="1"/>
    <n v="290.25"/>
    <n v="612.74"/>
    <s v="Low"/>
  </r>
  <r>
    <s v="TXN_03684"/>
    <d v="2024-02-16T00:00:00"/>
    <x v="1"/>
    <s v="Friday"/>
    <s v="STORE_049"/>
    <x v="4"/>
    <x v="6"/>
    <x v="15"/>
    <n v="1659.14"/>
    <n v="10"/>
    <n v="16591.400000000001"/>
    <n v="15"/>
    <n v="2488.71"/>
    <n v="14102.69"/>
    <s v="Debit Card"/>
    <s v="CUST_00506"/>
    <n v="5"/>
    <n v="2488.7100000000009"/>
    <n v="1410.269"/>
    <s v="Medium"/>
  </r>
  <r>
    <s v="TXN_03685"/>
    <d v="2024-12-26T00:00:00"/>
    <x v="6"/>
    <s v="Thursday"/>
    <s v="STORE_032"/>
    <x v="0"/>
    <x v="0"/>
    <x v="4"/>
    <n v="927.96"/>
    <n v="5"/>
    <n v="4639.8"/>
    <n v="0"/>
    <n v="0"/>
    <n v="4639.8"/>
    <s v="Wallet"/>
    <s v="CUST_00077"/>
    <n v="4"/>
    <n v="0"/>
    <n v="927.96"/>
    <s v="No Discount"/>
  </r>
  <r>
    <s v="TXN_03686"/>
    <d v="2024-02-18T00:00:00"/>
    <x v="1"/>
    <s v="Sunday"/>
    <s v="STORE_002"/>
    <x v="0"/>
    <x v="6"/>
    <x v="33"/>
    <n v="1475.43"/>
    <n v="3"/>
    <n v="4426.29"/>
    <n v="20"/>
    <n v="885.26"/>
    <n v="3541.03"/>
    <s v="Cash"/>
    <s v="CUST_00853"/>
    <n v="1"/>
    <n v="885.25999999999976"/>
    <n v="1180.3433333333335"/>
    <s v="High"/>
  </r>
  <r>
    <s v="TXN_03687"/>
    <d v="2024-01-01T00:00:00"/>
    <x v="2"/>
    <s v="Monday"/>
    <s v="STORE_045"/>
    <x v="4"/>
    <x v="3"/>
    <x v="21"/>
    <n v="2670.92"/>
    <n v="6"/>
    <n v="16025.52"/>
    <n v="20"/>
    <n v="3205.1"/>
    <n v="12820.42"/>
    <s v="Credit Card"/>
    <s v="CUST_00732"/>
    <n v="1"/>
    <n v="3205.1000000000004"/>
    <n v="2136.7366666666667"/>
    <s v="High"/>
  </r>
  <r>
    <s v="TXN_03688"/>
    <d v="2024-04-19T00:00:00"/>
    <x v="4"/>
    <s v="Friday"/>
    <s v="STORE_018"/>
    <x v="0"/>
    <x v="1"/>
    <x v="31"/>
    <n v="177.65"/>
    <n v="8"/>
    <n v="1421.2"/>
    <n v="20"/>
    <n v="284.24"/>
    <n v="1136.96"/>
    <s v="Debit Card"/>
    <s v="CUST_00443"/>
    <n v="3"/>
    <n v="284.24"/>
    <n v="142.12"/>
    <s v="High"/>
  </r>
  <r>
    <s v="TXN_03689"/>
    <d v="2024-09-01T00:00:00"/>
    <x v="9"/>
    <s v="Sunday"/>
    <s v="STORE_043"/>
    <x v="0"/>
    <x v="4"/>
    <x v="35"/>
    <n v="548.41"/>
    <n v="7"/>
    <n v="3838.87"/>
    <n v="15"/>
    <n v="575.83000000000004"/>
    <n v="3263.04"/>
    <s v="Wallet"/>
    <s v="CUST_00608"/>
    <n v="5"/>
    <n v="575.82999999999993"/>
    <n v="466.14857142857142"/>
    <s v="Medium"/>
  </r>
  <r>
    <s v="TXN_03690"/>
    <d v="2024-02-09T00:00:00"/>
    <x v="1"/>
    <s v="Friday"/>
    <s v="STORE_036"/>
    <x v="1"/>
    <x v="5"/>
    <x v="9"/>
    <n v="4992.3599999999997"/>
    <n v="7"/>
    <n v="34946.519999999997"/>
    <n v="20"/>
    <n v="6989.3"/>
    <n v="27957.22"/>
    <s v="Debit Card"/>
    <s v="CUST_00717"/>
    <n v="5"/>
    <n v="6989.2999999999956"/>
    <n v="3993.8885714285716"/>
    <s v="High"/>
  </r>
  <r>
    <s v="TXN_03691"/>
    <d v="2024-03-08T00:00:00"/>
    <x v="5"/>
    <s v="Friday"/>
    <s v="STORE_033"/>
    <x v="4"/>
    <x v="5"/>
    <x v="11"/>
    <n v="3222.2"/>
    <n v="2"/>
    <n v="6444.4"/>
    <n v="20"/>
    <n v="1288.8800000000001"/>
    <n v="5155.5200000000004"/>
    <s v="Wallet"/>
    <s v="CUST_00196"/>
    <n v="2"/>
    <n v="1288.8799999999992"/>
    <n v="2577.7600000000002"/>
    <s v="High"/>
  </r>
  <r>
    <s v="TXN_03692"/>
    <d v="2024-10-30T00:00:00"/>
    <x v="7"/>
    <s v="Wednesday"/>
    <s v="STORE_042"/>
    <x v="3"/>
    <x v="0"/>
    <x v="0"/>
    <n v="976.2"/>
    <n v="3"/>
    <n v="2928.6"/>
    <n v="20"/>
    <n v="585.72"/>
    <n v="2342.88"/>
    <s v="UPI"/>
    <s v="CUST_00529"/>
    <n v="5"/>
    <n v="585.7199999999998"/>
    <n v="780.96"/>
    <s v="High"/>
  </r>
  <r>
    <s v="TXN_03693"/>
    <d v="2024-04-25T00:00:00"/>
    <x v="4"/>
    <s v="Thursday"/>
    <s v="STORE_023"/>
    <x v="3"/>
    <x v="6"/>
    <x v="33"/>
    <n v="1826.96"/>
    <n v="1"/>
    <n v="1826.96"/>
    <n v="0"/>
    <n v="0"/>
    <n v="1826.96"/>
    <s v="Debit Card"/>
    <s v="CUST_00792"/>
    <n v="2"/>
    <n v="0"/>
    <n v="1826.96"/>
    <s v="No Discount"/>
  </r>
  <r>
    <s v="TXN_03694"/>
    <d v="2024-09-22T00:00:00"/>
    <x v="9"/>
    <s v="Sunday"/>
    <s v="STORE_005"/>
    <x v="2"/>
    <x v="3"/>
    <x v="21"/>
    <n v="1658.98"/>
    <n v="10"/>
    <n v="16589.8"/>
    <n v="0"/>
    <n v="0"/>
    <n v="16589.8"/>
    <s v="Wallet"/>
    <s v="CUST_00743"/>
    <n v="2"/>
    <n v="0"/>
    <n v="1658.98"/>
    <s v="No Discount"/>
  </r>
  <r>
    <s v="TXN_03695"/>
    <d v="2024-12-14T00:00:00"/>
    <x v="6"/>
    <s v="Saturday"/>
    <s v="STORE_016"/>
    <x v="1"/>
    <x v="0"/>
    <x v="27"/>
    <n v="674.54"/>
    <n v="2"/>
    <n v="1349.08"/>
    <n v="15"/>
    <n v="202.36"/>
    <n v="1146.72"/>
    <s v="Debit Card"/>
    <s v="CUST_00725"/>
    <n v="3"/>
    <n v="202.3599999999999"/>
    <n v="573.36"/>
    <s v="Medium"/>
  </r>
  <r>
    <s v="TXN_03696"/>
    <d v="2024-08-15T00:00:00"/>
    <x v="8"/>
    <s v="Thursday"/>
    <s v="STORE_031"/>
    <x v="1"/>
    <x v="1"/>
    <x v="36"/>
    <n v="205.78"/>
    <n v="8"/>
    <n v="1646.24"/>
    <n v="20"/>
    <n v="329.25"/>
    <n v="1316.99"/>
    <s v="Credit Card"/>
    <s v="CUST_00007"/>
    <n v="4"/>
    <n v="329.25"/>
    <n v="164.62375"/>
    <s v="High"/>
  </r>
  <r>
    <s v="TXN_03697"/>
    <d v="2024-01-05T00:00:00"/>
    <x v="2"/>
    <s v="Friday"/>
    <s v="STORE_013"/>
    <x v="1"/>
    <x v="2"/>
    <x v="7"/>
    <n v="297.79000000000002"/>
    <n v="10"/>
    <n v="2977.9"/>
    <n v="10"/>
    <n v="297.79000000000002"/>
    <n v="2680.11"/>
    <s v="Wallet"/>
    <s v="CUST_00468"/>
    <n v="4"/>
    <n v="297.78999999999996"/>
    <n v="268.01100000000002"/>
    <s v="Medium"/>
  </r>
  <r>
    <s v="TXN_03698"/>
    <d v="2024-01-05T00:00:00"/>
    <x v="2"/>
    <s v="Friday"/>
    <s v="STORE_035"/>
    <x v="2"/>
    <x v="0"/>
    <x v="27"/>
    <n v="532.91999999999996"/>
    <n v="7"/>
    <n v="3730.44"/>
    <n v="0"/>
    <n v="0"/>
    <n v="3730.44"/>
    <s v="Credit Card"/>
    <s v="CUST_00832"/>
    <n v="2"/>
    <n v="0"/>
    <n v="532.91999999999996"/>
    <s v="No Discount"/>
  </r>
  <r>
    <s v="TXN_03699"/>
    <d v="2024-12-22T00:00:00"/>
    <x v="6"/>
    <s v="Sunday"/>
    <s v="STORE_018"/>
    <x v="1"/>
    <x v="4"/>
    <x v="17"/>
    <n v="311.27999999999997"/>
    <n v="10"/>
    <n v="3112.8"/>
    <n v="20"/>
    <n v="622.55999999999995"/>
    <n v="2490.2399999999998"/>
    <s v="Cash"/>
    <s v="CUST_00285"/>
    <n v="5"/>
    <n v="622.5600000000004"/>
    <n v="249.02399999999997"/>
    <s v="High"/>
  </r>
  <r>
    <s v="TXN_03700"/>
    <d v="2024-06-24T00:00:00"/>
    <x v="10"/>
    <s v="Monday"/>
    <s v="STORE_013"/>
    <x v="0"/>
    <x v="5"/>
    <x v="11"/>
    <n v="4600.8999999999996"/>
    <n v="10"/>
    <n v="46009"/>
    <n v="0"/>
    <n v="0"/>
    <n v="46009"/>
    <s v="Cash"/>
    <s v="CUST_00725"/>
    <n v="1"/>
    <n v="0"/>
    <n v="4600.8999999999996"/>
    <s v="No Discount"/>
  </r>
  <r>
    <s v="TXN_03701"/>
    <d v="2024-03-02T00:00:00"/>
    <x v="5"/>
    <s v="Saturday"/>
    <s v="STORE_027"/>
    <x v="0"/>
    <x v="6"/>
    <x v="15"/>
    <n v="1418.5"/>
    <n v="6"/>
    <n v="8511"/>
    <n v="0"/>
    <n v="0"/>
    <n v="8511"/>
    <s v="Credit Card"/>
    <s v="CUST_00676"/>
    <n v="5"/>
    <n v="0"/>
    <n v="1418.5"/>
    <s v="No Discount"/>
  </r>
  <r>
    <s v="TXN_03702"/>
    <d v="2024-08-04T00:00:00"/>
    <x v="8"/>
    <s v="Sunday"/>
    <s v="STORE_032"/>
    <x v="1"/>
    <x v="4"/>
    <x v="8"/>
    <n v="564.32000000000005"/>
    <n v="2"/>
    <n v="1128.6400000000001"/>
    <n v="0"/>
    <n v="0"/>
    <n v="1128.6400000000001"/>
    <s v="Wallet"/>
    <s v="CUST_00351"/>
    <n v="4"/>
    <n v="0"/>
    <n v="564.32000000000005"/>
    <s v="No Discount"/>
  </r>
  <r>
    <s v="TXN_03703"/>
    <d v="2024-12-21T00:00:00"/>
    <x v="6"/>
    <s v="Saturday"/>
    <s v="STORE_047"/>
    <x v="4"/>
    <x v="7"/>
    <x v="38"/>
    <n v="1472.79"/>
    <n v="7"/>
    <n v="10309.530000000001"/>
    <n v="0"/>
    <n v="0"/>
    <n v="10309.530000000001"/>
    <s v="UPI"/>
    <s v="CUST_00011"/>
    <n v="3"/>
    <n v="0"/>
    <n v="1472.7900000000002"/>
    <s v="No Discount"/>
  </r>
  <r>
    <s v="TXN_03704"/>
    <d v="2024-03-08T00:00:00"/>
    <x v="5"/>
    <s v="Friday"/>
    <s v="STORE_010"/>
    <x v="0"/>
    <x v="4"/>
    <x v="8"/>
    <n v="263.31"/>
    <n v="8"/>
    <n v="2106.48"/>
    <n v="0"/>
    <n v="0"/>
    <n v="2106.48"/>
    <s v="UPI"/>
    <s v="CUST_00268"/>
    <n v="2"/>
    <n v="0"/>
    <n v="263.31"/>
    <s v="No Discount"/>
  </r>
  <r>
    <s v="TXN_03705"/>
    <d v="2024-09-01T00:00:00"/>
    <x v="9"/>
    <s v="Sunday"/>
    <s v="STORE_003"/>
    <x v="0"/>
    <x v="5"/>
    <x v="9"/>
    <n v="4464.6899999999996"/>
    <n v="8"/>
    <n v="35717.519999999997"/>
    <n v="20"/>
    <n v="7143.5"/>
    <n v="28574.02"/>
    <s v="Wallet"/>
    <s v="CUST_00905"/>
    <n v="4"/>
    <n v="7143.4999999999964"/>
    <n v="3571.7525000000001"/>
    <s v="High"/>
  </r>
  <r>
    <s v="TXN_03706"/>
    <d v="2024-02-06T00:00:00"/>
    <x v="1"/>
    <s v="Tuesday"/>
    <s v="STORE_006"/>
    <x v="3"/>
    <x v="5"/>
    <x v="11"/>
    <n v="3533.2"/>
    <n v="9"/>
    <n v="31798.799999999999"/>
    <n v="0"/>
    <n v="0"/>
    <n v="31798.799999999999"/>
    <s v="Debit Card"/>
    <s v="CUST_00065"/>
    <n v="5"/>
    <n v="0"/>
    <n v="3533.2"/>
    <s v="No Discount"/>
  </r>
  <r>
    <s v="TXN_03707"/>
    <d v="2024-04-27T00:00:00"/>
    <x v="4"/>
    <s v="Saturday"/>
    <s v="STORE_009"/>
    <x v="2"/>
    <x v="3"/>
    <x v="22"/>
    <n v="2844.7"/>
    <n v="5"/>
    <n v="14223.5"/>
    <n v="15"/>
    <n v="2133.5300000000002"/>
    <n v="12089.97"/>
    <s v="UPI"/>
    <s v="CUST_00073"/>
    <n v="3"/>
    <n v="2133.5300000000007"/>
    <n v="2417.9939999999997"/>
    <s v="Medium"/>
  </r>
  <r>
    <s v="TXN_03708"/>
    <d v="2024-07-15T00:00:00"/>
    <x v="11"/>
    <s v="Monday"/>
    <s v="STORE_014"/>
    <x v="2"/>
    <x v="5"/>
    <x v="9"/>
    <n v="3996.82"/>
    <n v="10"/>
    <n v="39968.199999999997"/>
    <n v="5"/>
    <n v="1998.41"/>
    <n v="37969.79"/>
    <s v="Debit Card"/>
    <s v="CUST_00090"/>
    <n v="4"/>
    <n v="1998.4099999999962"/>
    <n v="3796.9790000000003"/>
    <s v="Low"/>
  </r>
  <r>
    <s v="TXN_03709"/>
    <d v="2024-02-15T00:00:00"/>
    <x v="1"/>
    <s v="Thursday"/>
    <s v="STORE_035"/>
    <x v="4"/>
    <x v="2"/>
    <x v="7"/>
    <n v="688.88"/>
    <n v="4"/>
    <n v="2755.52"/>
    <n v="0"/>
    <n v="0"/>
    <n v="2755.52"/>
    <s v="Credit Card"/>
    <s v="CUST_00413"/>
    <n v="1"/>
    <n v="0"/>
    <n v="688.88"/>
    <s v="No Discount"/>
  </r>
  <r>
    <s v="TXN_03710"/>
    <d v="2024-02-22T00:00:00"/>
    <x v="1"/>
    <s v="Thursday"/>
    <s v="STORE_017"/>
    <x v="2"/>
    <x v="5"/>
    <x v="11"/>
    <n v="1215.3499999999999"/>
    <n v="7"/>
    <n v="8507.4500000000007"/>
    <n v="15"/>
    <n v="1276.1199999999999"/>
    <n v="7231.33"/>
    <s v="Cash"/>
    <s v="CUST_00028"/>
    <n v="5"/>
    <n v="1276.1200000000008"/>
    <n v="1033.0471428571429"/>
    <s v="Medium"/>
  </r>
  <r>
    <s v="TXN_03711"/>
    <d v="2024-02-22T00:00:00"/>
    <x v="1"/>
    <s v="Thursday"/>
    <s v="STORE_036"/>
    <x v="1"/>
    <x v="3"/>
    <x v="16"/>
    <n v="467.47"/>
    <n v="1"/>
    <n v="467.47"/>
    <n v="0"/>
    <n v="0"/>
    <n v="467.47"/>
    <s v="UPI"/>
    <s v="CUST_00733"/>
    <n v="3"/>
    <n v="0"/>
    <n v="467.47"/>
    <s v="No Discount"/>
  </r>
  <r>
    <s v="TXN_03712"/>
    <d v="2024-06-09T00:00:00"/>
    <x v="10"/>
    <s v="Sunday"/>
    <s v="STORE_020"/>
    <x v="2"/>
    <x v="7"/>
    <x v="28"/>
    <n v="1401.23"/>
    <n v="3"/>
    <n v="4203.6899999999996"/>
    <n v="0"/>
    <n v="0"/>
    <n v="4203.6899999999996"/>
    <s v="Wallet"/>
    <s v="CUST_00724"/>
    <n v="2"/>
    <n v="0"/>
    <n v="1401.2299999999998"/>
    <s v="No Discount"/>
  </r>
  <r>
    <s v="TXN_03713"/>
    <d v="2024-07-07T00:00:00"/>
    <x v="11"/>
    <s v="Sunday"/>
    <s v="STORE_017"/>
    <x v="3"/>
    <x v="2"/>
    <x v="2"/>
    <n v="480.78"/>
    <n v="8"/>
    <n v="3846.24"/>
    <n v="0"/>
    <n v="0"/>
    <n v="3846.24"/>
    <s v="Debit Card"/>
    <s v="CUST_00065"/>
    <n v="5"/>
    <n v="0"/>
    <n v="480.78"/>
    <s v="No Discount"/>
  </r>
  <r>
    <s v="TXN_03714"/>
    <d v="2024-06-02T00:00:00"/>
    <x v="10"/>
    <s v="Sunday"/>
    <s v="STORE_049"/>
    <x v="2"/>
    <x v="0"/>
    <x v="27"/>
    <n v="576.47"/>
    <n v="8"/>
    <n v="4611.76"/>
    <n v="15"/>
    <n v="691.76"/>
    <n v="3920"/>
    <s v="Debit Card"/>
    <s v="CUST_00289"/>
    <n v="2"/>
    <n v="691.76000000000022"/>
    <n v="490"/>
    <s v="Medium"/>
  </r>
  <r>
    <s v="TXN_03715"/>
    <d v="2024-03-11T00:00:00"/>
    <x v="5"/>
    <s v="Monday"/>
    <s v="STORE_042"/>
    <x v="1"/>
    <x v="1"/>
    <x v="36"/>
    <n v="144.33000000000001"/>
    <n v="3"/>
    <n v="432.99"/>
    <n v="0"/>
    <n v="0"/>
    <n v="432.99"/>
    <s v="Cash"/>
    <s v="CUST_00681"/>
    <n v="2"/>
    <n v="0"/>
    <n v="144.33000000000001"/>
    <s v="No Discount"/>
  </r>
  <r>
    <s v="TXN_03716"/>
    <d v="2024-07-14T00:00:00"/>
    <x v="11"/>
    <s v="Sunday"/>
    <s v="STORE_007"/>
    <x v="2"/>
    <x v="1"/>
    <x v="6"/>
    <n v="145.87"/>
    <n v="4"/>
    <n v="583.48"/>
    <n v="0"/>
    <n v="0"/>
    <n v="583.48"/>
    <s v="Cash"/>
    <s v="CUST_00422"/>
    <n v="2"/>
    <n v="0"/>
    <n v="145.87"/>
    <s v="No Discount"/>
  </r>
  <r>
    <s v="TXN_03717"/>
    <d v="2024-03-09T00:00:00"/>
    <x v="5"/>
    <s v="Saturday"/>
    <s v="STORE_005"/>
    <x v="2"/>
    <x v="4"/>
    <x v="8"/>
    <n v="541.85"/>
    <n v="1"/>
    <n v="541.85"/>
    <n v="0"/>
    <n v="0"/>
    <n v="541.85"/>
    <s v="UPI"/>
    <s v="CUST_00645"/>
    <n v="1"/>
    <n v="0"/>
    <n v="541.85"/>
    <s v="No Discount"/>
  </r>
  <r>
    <s v="TXN_03718"/>
    <d v="2024-11-24T00:00:00"/>
    <x v="0"/>
    <s v="Sunday"/>
    <s v="STORE_048"/>
    <x v="3"/>
    <x v="2"/>
    <x v="2"/>
    <n v="239.49"/>
    <n v="4"/>
    <n v="957.96"/>
    <n v="0"/>
    <n v="0"/>
    <n v="957.96"/>
    <s v="Cash"/>
    <s v="CUST_00585"/>
    <n v="3"/>
    <n v="0"/>
    <n v="239.49"/>
    <s v="No Discount"/>
  </r>
  <r>
    <s v="TXN_03719"/>
    <d v="2024-12-12T00:00:00"/>
    <x v="6"/>
    <s v="Thursday"/>
    <s v="STORE_044"/>
    <x v="0"/>
    <x v="2"/>
    <x v="29"/>
    <n v="133.13"/>
    <n v="8"/>
    <n v="1065.04"/>
    <n v="20"/>
    <n v="213.01"/>
    <n v="852.03"/>
    <s v="Debit Card"/>
    <s v="CUST_00612"/>
    <n v="2"/>
    <n v="213.01"/>
    <n v="106.50375"/>
    <s v="High"/>
  </r>
  <r>
    <s v="TXN_03720"/>
    <d v="2024-03-14T00:00:00"/>
    <x v="5"/>
    <s v="Thursday"/>
    <s v="STORE_025"/>
    <x v="2"/>
    <x v="4"/>
    <x v="19"/>
    <n v="489.76"/>
    <n v="8"/>
    <n v="3918.08"/>
    <n v="0"/>
    <n v="0"/>
    <n v="3918.08"/>
    <s v="Credit Card"/>
    <s v="CUST_00728"/>
    <n v="4"/>
    <n v="0"/>
    <n v="489.76"/>
    <s v="No Discount"/>
  </r>
  <r>
    <s v="TXN_03721"/>
    <d v="2024-02-05T00:00:00"/>
    <x v="1"/>
    <s v="Monday"/>
    <s v="STORE_048"/>
    <x v="3"/>
    <x v="1"/>
    <x v="3"/>
    <n v="457.8"/>
    <n v="8"/>
    <n v="3662.4"/>
    <n v="5"/>
    <n v="183.12"/>
    <n v="3479.28"/>
    <s v="UPI"/>
    <s v="CUST_00940"/>
    <n v="4"/>
    <n v="183.11999999999989"/>
    <n v="434.91"/>
    <s v="Low"/>
  </r>
  <r>
    <s v="TXN_03722"/>
    <d v="2024-09-28T00:00:00"/>
    <x v="9"/>
    <s v="Saturday"/>
    <s v="STORE_014"/>
    <x v="4"/>
    <x v="4"/>
    <x v="8"/>
    <n v="247.98"/>
    <n v="8"/>
    <n v="1983.84"/>
    <n v="5"/>
    <n v="99.19"/>
    <n v="1884.65"/>
    <s v="Credit Card"/>
    <s v="CUST_00550"/>
    <n v="2"/>
    <n v="99.189999999999827"/>
    <n v="235.58125000000001"/>
    <s v="Low"/>
  </r>
  <r>
    <s v="TXN_03723"/>
    <d v="2024-10-15T00:00:00"/>
    <x v="7"/>
    <s v="Tuesday"/>
    <s v="STORE_003"/>
    <x v="1"/>
    <x v="7"/>
    <x v="23"/>
    <n v="1465.15"/>
    <n v="4"/>
    <n v="5860.6"/>
    <n v="10"/>
    <n v="586.05999999999995"/>
    <n v="5274.54"/>
    <s v="UPI"/>
    <s v="CUST_00519"/>
    <n v="2"/>
    <n v="586.0600000000004"/>
    <n v="1318.635"/>
    <s v="Medium"/>
  </r>
  <r>
    <s v="TXN_03724"/>
    <d v="2024-01-05T00:00:00"/>
    <x v="2"/>
    <s v="Friday"/>
    <s v="STORE_021"/>
    <x v="1"/>
    <x v="1"/>
    <x v="31"/>
    <n v="67.48"/>
    <n v="6"/>
    <n v="404.88"/>
    <n v="0"/>
    <n v="0"/>
    <n v="404.88"/>
    <s v="Wallet"/>
    <s v="CUST_00758"/>
    <n v="3"/>
    <n v="0"/>
    <n v="67.48"/>
    <s v="No Discount"/>
  </r>
  <r>
    <s v="TXN_03725"/>
    <d v="2024-11-08T00:00:00"/>
    <x v="0"/>
    <s v="Friday"/>
    <s v="STORE_018"/>
    <x v="2"/>
    <x v="0"/>
    <x v="27"/>
    <n v="846.79"/>
    <n v="2"/>
    <n v="1693.58"/>
    <n v="15"/>
    <n v="254.04"/>
    <n v="1439.54"/>
    <s v="UPI"/>
    <s v="CUST_00552"/>
    <n v="2"/>
    <n v="254.03999999999996"/>
    <n v="719.77"/>
    <s v="Medium"/>
  </r>
  <r>
    <s v="TXN_03726"/>
    <d v="2024-11-28T00:00:00"/>
    <x v="0"/>
    <s v="Thursday"/>
    <s v="STORE_047"/>
    <x v="2"/>
    <x v="6"/>
    <x v="33"/>
    <n v="1942.76"/>
    <n v="10"/>
    <n v="19427.599999999999"/>
    <n v="15"/>
    <n v="2914.14"/>
    <n v="16513.46"/>
    <s v="UPI"/>
    <s v="CUST_00254"/>
    <n v="3"/>
    <n v="2914.1399999999994"/>
    <n v="1651.346"/>
    <s v="Medium"/>
  </r>
  <r>
    <s v="TXN_03727"/>
    <d v="2024-03-25T00:00:00"/>
    <x v="5"/>
    <s v="Monday"/>
    <s v="STORE_013"/>
    <x v="4"/>
    <x v="7"/>
    <x v="24"/>
    <n v="1351.65"/>
    <n v="6"/>
    <n v="8109.9"/>
    <n v="10"/>
    <n v="810.99"/>
    <n v="7298.91"/>
    <s v="Cash"/>
    <s v="CUST_00109"/>
    <n v="5"/>
    <n v="810.98999999999978"/>
    <n v="1216.4849999999999"/>
    <s v="Medium"/>
  </r>
  <r>
    <s v="TXN_03728"/>
    <d v="2024-08-13T00:00:00"/>
    <x v="8"/>
    <s v="Tuesday"/>
    <s v="STORE_020"/>
    <x v="4"/>
    <x v="4"/>
    <x v="20"/>
    <n v="447.75"/>
    <n v="3"/>
    <n v="1343.25"/>
    <n v="0"/>
    <n v="0"/>
    <n v="1343.25"/>
    <s v="Cash"/>
    <s v="CUST_00196"/>
    <n v="3"/>
    <n v="0"/>
    <n v="447.75"/>
    <s v="No Discount"/>
  </r>
  <r>
    <s v="TXN_03729"/>
    <d v="2024-06-28T00:00:00"/>
    <x v="10"/>
    <s v="Friday"/>
    <s v="STORE_017"/>
    <x v="2"/>
    <x v="3"/>
    <x v="16"/>
    <n v="711.56"/>
    <n v="2"/>
    <n v="1423.12"/>
    <n v="15"/>
    <n v="213.47"/>
    <n v="1209.6500000000001"/>
    <s v="Wallet"/>
    <s v="CUST_00966"/>
    <n v="3"/>
    <n v="213.4699999999998"/>
    <n v="604.82500000000005"/>
    <s v="Medium"/>
  </r>
  <r>
    <s v="TXN_03730"/>
    <d v="2024-04-19T00:00:00"/>
    <x v="4"/>
    <s v="Friday"/>
    <s v="STORE_004"/>
    <x v="3"/>
    <x v="0"/>
    <x v="0"/>
    <n v="613.25"/>
    <n v="7"/>
    <n v="4292.75"/>
    <n v="5"/>
    <n v="214.64"/>
    <n v="4078.11"/>
    <s v="Credit Card"/>
    <s v="CUST_00987"/>
    <n v="2"/>
    <n v="214.63999999999987"/>
    <n v="582.58714285714291"/>
    <s v="Low"/>
  </r>
  <r>
    <s v="TXN_03731"/>
    <d v="2024-11-17T00:00:00"/>
    <x v="0"/>
    <s v="Sunday"/>
    <s v="STORE_004"/>
    <x v="1"/>
    <x v="7"/>
    <x v="24"/>
    <n v="536.66"/>
    <n v="9"/>
    <n v="4829.9399999999996"/>
    <n v="15"/>
    <n v="724.49"/>
    <n v="4105.45"/>
    <s v="Cash"/>
    <s v="CUST_00368"/>
    <n v="2"/>
    <n v="724.48999999999978"/>
    <n v="456.1611111111111"/>
    <s v="Medium"/>
  </r>
  <r>
    <s v="TXN_03732"/>
    <d v="2024-03-18T00:00:00"/>
    <x v="5"/>
    <s v="Monday"/>
    <s v="STORE_029"/>
    <x v="4"/>
    <x v="4"/>
    <x v="35"/>
    <n v="490.09"/>
    <n v="6"/>
    <n v="2940.54"/>
    <n v="0"/>
    <n v="0"/>
    <n v="2940.54"/>
    <s v="Cash"/>
    <s v="CUST_00726"/>
    <n v="1"/>
    <n v="0"/>
    <n v="490.09"/>
    <s v="No Discount"/>
  </r>
  <r>
    <s v="TXN_03733"/>
    <d v="2024-07-29T00:00:00"/>
    <x v="11"/>
    <s v="Monday"/>
    <s v="STORE_038"/>
    <x v="0"/>
    <x v="0"/>
    <x v="4"/>
    <n v="574.39"/>
    <n v="9"/>
    <n v="5169.51"/>
    <n v="20"/>
    <n v="1033.9000000000001"/>
    <n v="4135.6099999999997"/>
    <s v="Wallet"/>
    <s v="CUST_00660"/>
    <n v="5"/>
    <n v="1033.9000000000005"/>
    <n v="459.51222222222219"/>
    <s v="High"/>
  </r>
  <r>
    <s v="TXN_03734"/>
    <d v="2024-11-11T00:00:00"/>
    <x v="0"/>
    <s v="Monday"/>
    <s v="STORE_050"/>
    <x v="0"/>
    <x v="5"/>
    <x v="34"/>
    <n v="4049.14"/>
    <n v="1"/>
    <n v="4049.14"/>
    <n v="15"/>
    <n v="607.37"/>
    <n v="3441.77"/>
    <s v="Credit Card"/>
    <s v="CUST_00696"/>
    <n v="4"/>
    <n v="607.36999999999989"/>
    <n v="3441.77"/>
    <s v="Medium"/>
  </r>
  <r>
    <s v="TXN_03735"/>
    <d v="2024-12-17T00:00:00"/>
    <x v="6"/>
    <s v="Tuesday"/>
    <s v="STORE_008"/>
    <x v="0"/>
    <x v="6"/>
    <x v="15"/>
    <n v="532.5"/>
    <n v="10"/>
    <n v="5325"/>
    <n v="0"/>
    <n v="0"/>
    <n v="5325"/>
    <s v="UPI"/>
    <s v="CUST_00303"/>
    <n v="1"/>
    <n v="0"/>
    <n v="532.5"/>
    <s v="No Discount"/>
  </r>
  <r>
    <s v="TXN_03736"/>
    <d v="2024-08-14T00:00:00"/>
    <x v="8"/>
    <s v="Wednesday"/>
    <s v="STORE_045"/>
    <x v="2"/>
    <x v="0"/>
    <x v="18"/>
    <n v="750.47"/>
    <n v="6"/>
    <n v="4502.82"/>
    <n v="15"/>
    <n v="675.42"/>
    <n v="3827.4"/>
    <s v="UPI"/>
    <s v="CUST_00914"/>
    <n v="5"/>
    <n v="675.41999999999962"/>
    <n v="637.9"/>
    <s v="Medium"/>
  </r>
  <r>
    <s v="TXN_03737"/>
    <d v="2024-04-21T00:00:00"/>
    <x v="4"/>
    <s v="Sunday"/>
    <s v="STORE_028"/>
    <x v="3"/>
    <x v="2"/>
    <x v="2"/>
    <n v="759.83"/>
    <n v="1"/>
    <n v="759.83"/>
    <n v="15"/>
    <n v="113.97"/>
    <n v="645.86"/>
    <s v="Cash"/>
    <s v="CUST_00496"/>
    <n v="5"/>
    <n v="113.97000000000003"/>
    <n v="645.86"/>
    <s v="Medium"/>
  </r>
  <r>
    <s v="TXN_03738"/>
    <d v="2024-02-14T00:00:00"/>
    <x v="1"/>
    <s v="Wednesday"/>
    <s v="STORE_050"/>
    <x v="1"/>
    <x v="7"/>
    <x v="23"/>
    <n v="802.13"/>
    <n v="5"/>
    <n v="4010.65"/>
    <n v="0"/>
    <n v="0"/>
    <n v="4010.65"/>
    <s v="UPI"/>
    <s v="CUST_00308"/>
    <n v="2"/>
    <n v="0"/>
    <n v="802.13"/>
    <s v="No Discount"/>
  </r>
  <r>
    <s v="TXN_03739"/>
    <d v="2024-02-21T00:00:00"/>
    <x v="1"/>
    <s v="Wednesday"/>
    <s v="STORE_006"/>
    <x v="2"/>
    <x v="1"/>
    <x v="36"/>
    <n v="363.07"/>
    <n v="10"/>
    <n v="3630.7"/>
    <n v="10"/>
    <n v="363.07"/>
    <n v="3267.63"/>
    <s v="UPI"/>
    <s v="CUST_00825"/>
    <n v="4"/>
    <n v="363.06999999999971"/>
    <n v="326.76300000000003"/>
    <s v="Medium"/>
  </r>
  <r>
    <s v="TXN_03740"/>
    <d v="2024-03-12T00:00:00"/>
    <x v="5"/>
    <s v="Tuesday"/>
    <s v="STORE_016"/>
    <x v="0"/>
    <x v="6"/>
    <x v="30"/>
    <n v="1253.1199999999999"/>
    <n v="8"/>
    <n v="10024.959999999999"/>
    <n v="20"/>
    <n v="2004.99"/>
    <n v="8019.97"/>
    <s v="Credit Card"/>
    <s v="CUST_00335"/>
    <n v="2"/>
    <n v="2004.9899999999989"/>
    <n v="1002.49625"/>
    <s v="High"/>
  </r>
  <r>
    <s v="TXN_03741"/>
    <d v="2024-03-04T00:00:00"/>
    <x v="5"/>
    <s v="Monday"/>
    <s v="STORE_016"/>
    <x v="0"/>
    <x v="1"/>
    <x v="36"/>
    <n v="361.82"/>
    <n v="5"/>
    <n v="1809.1"/>
    <n v="0"/>
    <n v="0"/>
    <n v="1809.1"/>
    <s v="Credit Card"/>
    <s v="CUST_00316"/>
    <n v="4"/>
    <n v="0"/>
    <n v="361.82"/>
    <s v="No Discount"/>
  </r>
  <r>
    <s v="TXN_03742"/>
    <d v="2024-10-28T00:00:00"/>
    <x v="7"/>
    <s v="Monday"/>
    <s v="STORE_039"/>
    <x v="2"/>
    <x v="0"/>
    <x v="4"/>
    <n v="818.14"/>
    <n v="10"/>
    <n v="8181.4"/>
    <n v="10"/>
    <n v="818.14"/>
    <n v="7363.26"/>
    <s v="UPI"/>
    <s v="CUST_00773"/>
    <n v="3"/>
    <n v="818.13999999999942"/>
    <n v="736.32600000000002"/>
    <s v="Medium"/>
  </r>
  <r>
    <s v="TXN_03743"/>
    <d v="2024-07-15T00:00:00"/>
    <x v="11"/>
    <s v="Monday"/>
    <s v="STORE_029"/>
    <x v="4"/>
    <x v="3"/>
    <x v="21"/>
    <n v="930.19"/>
    <n v="4"/>
    <n v="3720.76"/>
    <n v="10"/>
    <n v="372.08"/>
    <n v="3348.68"/>
    <s v="Credit Card"/>
    <s v="CUST_00610"/>
    <n v="4"/>
    <n v="372.08000000000038"/>
    <n v="837.17"/>
    <s v="Medium"/>
  </r>
  <r>
    <s v="TXN_03744"/>
    <d v="2024-06-28T00:00:00"/>
    <x v="10"/>
    <s v="Friday"/>
    <s v="STORE_002"/>
    <x v="1"/>
    <x v="5"/>
    <x v="25"/>
    <n v="2615.77"/>
    <n v="10"/>
    <n v="26157.7"/>
    <n v="0"/>
    <n v="0"/>
    <n v="26157.7"/>
    <s v="Cash"/>
    <s v="CUST_00876"/>
    <n v="4"/>
    <n v="0"/>
    <n v="2615.77"/>
    <s v="No Discount"/>
  </r>
  <r>
    <s v="TXN_03745"/>
    <d v="2024-08-07T00:00:00"/>
    <x v="8"/>
    <s v="Wednesday"/>
    <s v="STORE_028"/>
    <x v="1"/>
    <x v="7"/>
    <x v="28"/>
    <n v="1414.91"/>
    <n v="4"/>
    <n v="5659.64"/>
    <n v="0"/>
    <n v="0"/>
    <n v="5659.64"/>
    <s v="Credit Card"/>
    <s v="CUST_00251"/>
    <n v="5"/>
    <n v="0"/>
    <n v="1414.91"/>
    <s v="No Discount"/>
  </r>
  <r>
    <s v="TXN_03746"/>
    <d v="2024-06-10T00:00:00"/>
    <x v="10"/>
    <s v="Monday"/>
    <s v="STORE_007"/>
    <x v="4"/>
    <x v="5"/>
    <x v="11"/>
    <n v="1334.95"/>
    <n v="5"/>
    <n v="6674.75"/>
    <n v="0"/>
    <n v="0"/>
    <n v="6674.75"/>
    <s v="UPI"/>
    <s v="CUST_00807"/>
    <n v="3"/>
    <n v="0"/>
    <n v="1334.95"/>
    <s v="No Discount"/>
  </r>
  <r>
    <s v="TXN_03747"/>
    <d v="2024-03-12T00:00:00"/>
    <x v="5"/>
    <s v="Tuesday"/>
    <s v="STORE_002"/>
    <x v="0"/>
    <x v="7"/>
    <x v="38"/>
    <n v="856.46"/>
    <n v="10"/>
    <n v="8564.6"/>
    <n v="0"/>
    <n v="0"/>
    <n v="8564.6"/>
    <s v="UPI"/>
    <s v="CUST_00278"/>
    <n v="1"/>
    <n v="0"/>
    <n v="856.46"/>
    <s v="No Discount"/>
  </r>
  <r>
    <s v="TXN_03748"/>
    <d v="2024-05-06T00:00:00"/>
    <x v="3"/>
    <s v="Monday"/>
    <s v="STORE_019"/>
    <x v="2"/>
    <x v="3"/>
    <x v="5"/>
    <n v="958.27"/>
    <n v="3"/>
    <n v="2874.81"/>
    <n v="0"/>
    <n v="0"/>
    <n v="2874.81"/>
    <s v="UPI"/>
    <s v="CUST_00996"/>
    <n v="4"/>
    <n v="0"/>
    <n v="958.27"/>
    <s v="No Discount"/>
  </r>
  <r>
    <s v="TXN_03749"/>
    <d v="2024-05-21T00:00:00"/>
    <x v="3"/>
    <s v="Tuesday"/>
    <s v="STORE_008"/>
    <x v="2"/>
    <x v="4"/>
    <x v="20"/>
    <n v="320.97000000000003"/>
    <n v="6"/>
    <n v="1925.82"/>
    <n v="0"/>
    <n v="0"/>
    <n v="1925.82"/>
    <s v="Debit Card"/>
    <s v="CUST_00842"/>
    <n v="2"/>
    <n v="0"/>
    <n v="320.96999999999997"/>
    <s v="No Discount"/>
  </r>
  <r>
    <s v="TXN_03750"/>
    <d v="2024-11-26T00:00:00"/>
    <x v="0"/>
    <s v="Tuesday"/>
    <s v="STORE_041"/>
    <x v="0"/>
    <x v="4"/>
    <x v="35"/>
    <n v="199.15"/>
    <n v="2"/>
    <n v="398.3"/>
    <n v="0"/>
    <n v="0"/>
    <n v="398.3"/>
    <s v="Wallet"/>
    <s v="CUST_00029"/>
    <n v="1"/>
    <n v="0"/>
    <n v="199.15"/>
    <s v="No Discount"/>
  </r>
  <r>
    <s v="TXN_03751"/>
    <d v="2024-02-13T00:00:00"/>
    <x v="1"/>
    <s v="Tuesday"/>
    <s v="STORE_014"/>
    <x v="2"/>
    <x v="0"/>
    <x v="18"/>
    <n v="591.04"/>
    <n v="4"/>
    <n v="2364.16"/>
    <n v="15"/>
    <n v="354.62"/>
    <n v="2009.54"/>
    <s v="UPI"/>
    <s v="CUST_00803"/>
    <n v="5"/>
    <n v="354.61999999999989"/>
    <n v="502.38499999999999"/>
    <s v="Medium"/>
  </r>
  <r>
    <s v="TXN_03752"/>
    <d v="2024-05-07T00:00:00"/>
    <x v="3"/>
    <s v="Tuesday"/>
    <s v="STORE_011"/>
    <x v="3"/>
    <x v="6"/>
    <x v="15"/>
    <n v="1806.71"/>
    <n v="3"/>
    <n v="5420.13"/>
    <n v="0"/>
    <n v="0"/>
    <n v="5420.13"/>
    <s v="Cash"/>
    <s v="CUST_00803"/>
    <n v="3"/>
    <n v="0"/>
    <n v="1806.71"/>
    <s v="No Discount"/>
  </r>
  <r>
    <s v="TXN_03753"/>
    <d v="2024-10-10T00:00:00"/>
    <x v="7"/>
    <s v="Thursday"/>
    <s v="STORE_017"/>
    <x v="0"/>
    <x v="1"/>
    <x v="31"/>
    <n v="386.72"/>
    <n v="6"/>
    <n v="2320.3200000000002"/>
    <n v="20"/>
    <n v="464.06"/>
    <n v="1856.26"/>
    <s v="Debit Card"/>
    <s v="CUST_00324"/>
    <n v="5"/>
    <n v="464.06000000000017"/>
    <n v="309.37666666666667"/>
    <s v="High"/>
  </r>
  <r>
    <s v="TXN_03754"/>
    <d v="2024-11-03T00:00:00"/>
    <x v="0"/>
    <s v="Sunday"/>
    <s v="STORE_037"/>
    <x v="4"/>
    <x v="0"/>
    <x v="18"/>
    <n v="298.95"/>
    <n v="7"/>
    <n v="2092.65"/>
    <n v="0"/>
    <n v="0"/>
    <n v="2092.65"/>
    <s v="Cash"/>
    <s v="CUST_00319"/>
    <n v="5"/>
    <n v="0"/>
    <n v="298.95"/>
    <s v="No Discount"/>
  </r>
  <r>
    <s v="TXN_03755"/>
    <d v="2024-11-03T00:00:00"/>
    <x v="0"/>
    <s v="Sunday"/>
    <s v="STORE_021"/>
    <x v="0"/>
    <x v="2"/>
    <x v="29"/>
    <n v="389.16"/>
    <n v="2"/>
    <n v="778.32"/>
    <n v="10"/>
    <n v="77.83"/>
    <n v="700.49"/>
    <s v="Cash"/>
    <s v="CUST_00450"/>
    <n v="3"/>
    <n v="77.830000000000041"/>
    <n v="350.245"/>
    <s v="Medium"/>
  </r>
  <r>
    <s v="TXN_03756"/>
    <d v="2024-11-07T00:00:00"/>
    <x v="0"/>
    <s v="Thursday"/>
    <s v="STORE_024"/>
    <x v="2"/>
    <x v="4"/>
    <x v="17"/>
    <n v="587.04999999999995"/>
    <n v="7"/>
    <n v="4109.3500000000004"/>
    <n v="10"/>
    <n v="410.94"/>
    <n v="3698.41"/>
    <s v="Debit Card"/>
    <s v="CUST_00547"/>
    <n v="5"/>
    <n v="410.94000000000051"/>
    <n v="528.34428571428566"/>
    <s v="Medium"/>
  </r>
  <r>
    <s v="TXN_03757"/>
    <d v="2024-05-25T00:00:00"/>
    <x v="3"/>
    <s v="Saturday"/>
    <s v="STORE_012"/>
    <x v="0"/>
    <x v="7"/>
    <x v="24"/>
    <n v="1321.82"/>
    <n v="10"/>
    <n v="13218.2"/>
    <n v="20"/>
    <n v="2643.64"/>
    <n v="10574.56"/>
    <s v="Cash"/>
    <s v="CUST_00137"/>
    <n v="1"/>
    <n v="2643.6400000000012"/>
    <n v="1057.4559999999999"/>
    <s v="High"/>
  </r>
  <r>
    <s v="TXN_03758"/>
    <d v="2024-12-19T00:00:00"/>
    <x v="6"/>
    <s v="Thursday"/>
    <s v="STORE_004"/>
    <x v="0"/>
    <x v="3"/>
    <x v="22"/>
    <n v="1754.45"/>
    <n v="10"/>
    <n v="17544.5"/>
    <n v="0"/>
    <n v="0"/>
    <n v="17544.5"/>
    <s v="Cash"/>
    <s v="CUST_00972"/>
    <n v="5"/>
    <n v="0"/>
    <n v="1754.45"/>
    <s v="No Discount"/>
  </r>
  <r>
    <s v="TXN_03759"/>
    <d v="2024-01-14T00:00:00"/>
    <x v="2"/>
    <s v="Sunday"/>
    <s v="STORE_021"/>
    <x v="2"/>
    <x v="4"/>
    <x v="20"/>
    <n v="378.59"/>
    <n v="1"/>
    <n v="378.59"/>
    <n v="0"/>
    <n v="0"/>
    <n v="378.59"/>
    <s v="Credit Card"/>
    <s v="CUST_00894"/>
    <n v="4"/>
    <n v="0"/>
    <n v="378.59"/>
    <s v="No Discount"/>
  </r>
  <r>
    <s v="TXN_03760"/>
    <d v="2024-12-03T00:00:00"/>
    <x v="6"/>
    <s v="Tuesday"/>
    <s v="STORE_017"/>
    <x v="1"/>
    <x v="1"/>
    <x v="3"/>
    <n v="89.61"/>
    <n v="8"/>
    <n v="716.88"/>
    <n v="20"/>
    <n v="143.38"/>
    <n v="573.5"/>
    <s v="Debit Card"/>
    <s v="CUST_00934"/>
    <n v="3"/>
    <n v="143.38"/>
    <n v="71.6875"/>
    <s v="High"/>
  </r>
  <r>
    <s v="TXN_03761"/>
    <d v="2024-06-03T00:00:00"/>
    <x v="10"/>
    <s v="Monday"/>
    <s v="STORE_017"/>
    <x v="1"/>
    <x v="5"/>
    <x v="25"/>
    <n v="1723.34"/>
    <n v="8"/>
    <n v="13786.72"/>
    <n v="5"/>
    <n v="689.34"/>
    <n v="13097.38"/>
    <s v="UPI"/>
    <s v="CUST_00798"/>
    <n v="4"/>
    <n v="689.34000000000015"/>
    <n v="1637.1724999999999"/>
    <s v="Low"/>
  </r>
  <r>
    <s v="TXN_03762"/>
    <d v="2024-04-15T00:00:00"/>
    <x v="4"/>
    <s v="Monday"/>
    <s v="STORE_028"/>
    <x v="1"/>
    <x v="2"/>
    <x v="7"/>
    <n v="373.36"/>
    <n v="10"/>
    <n v="3733.6"/>
    <n v="0"/>
    <n v="0"/>
    <n v="3733.6"/>
    <s v="Credit Card"/>
    <s v="CUST_00827"/>
    <n v="3"/>
    <n v="0"/>
    <n v="373.36"/>
    <s v="No Discount"/>
  </r>
  <r>
    <s v="TXN_03763"/>
    <d v="2024-09-22T00:00:00"/>
    <x v="9"/>
    <s v="Sunday"/>
    <s v="STORE_009"/>
    <x v="3"/>
    <x v="6"/>
    <x v="30"/>
    <n v="1152.1400000000001"/>
    <n v="7"/>
    <n v="8064.98"/>
    <n v="10"/>
    <n v="806.5"/>
    <n v="7258.48"/>
    <s v="Wallet"/>
    <s v="CUST_00305"/>
    <n v="5"/>
    <n v="806.5"/>
    <n v="1036.9257142857143"/>
    <s v="Medium"/>
  </r>
  <r>
    <s v="TXN_03764"/>
    <d v="2024-11-06T00:00:00"/>
    <x v="0"/>
    <s v="Wednesday"/>
    <s v="STORE_032"/>
    <x v="3"/>
    <x v="0"/>
    <x v="0"/>
    <n v="968.23"/>
    <n v="8"/>
    <n v="7745.84"/>
    <n v="0"/>
    <n v="0"/>
    <n v="7745.84"/>
    <s v="Cash"/>
    <s v="CUST_00608"/>
    <n v="2"/>
    <n v="0"/>
    <n v="968.23"/>
    <s v="No Discount"/>
  </r>
  <r>
    <s v="TXN_03765"/>
    <d v="2024-09-17T00:00:00"/>
    <x v="9"/>
    <s v="Tuesday"/>
    <s v="STORE_038"/>
    <x v="2"/>
    <x v="3"/>
    <x v="16"/>
    <n v="1184.58"/>
    <n v="5"/>
    <n v="5922.9"/>
    <n v="15"/>
    <n v="888.43"/>
    <n v="5034.47"/>
    <s v="UPI"/>
    <s v="CUST_00144"/>
    <n v="1"/>
    <n v="888.42999999999938"/>
    <n v="1006.894"/>
    <s v="Medium"/>
  </r>
  <r>
    <s v="TXN_03766"/>
    <d v="2024-04-06T00:00:00"/>
    <x v="4"/>
    <s v="Saturday"/>
    <s v="STORE_024"/>
    <x v="1"/>
    <x v="7"/>
    <x v="28"/>
    <n v="1363.14"/>
    <n v="5"/>
    <n v="6815.7"/>
    <n v="0"/>
    <n v="0"/>
    <n v="6815.7"/>
    <s v="UPI"/>
    <s v="CUST_00830"/>
    <n v="2"/>
    <n v="0"/>
    <n v="1363.1399999999999"/>
    <s v="No Discount"/>
  </r>
  <r>
    <s v="TXN_03767"/>
    <d v="2024-07-19T00:00:00"/>
    <x v="11"/>
    <s v="Friday"/>
    <s v="STORE_037"/>
    <x v="4"/>
    <x v="4"/>
    <x v="20"/>
    <n v="421.37"/>
    <n v="1"/>
    <n v="421.37"/>
    <n v="0"/>
    <n v="0"/>
    <n v="421.37"/>
    <s v="UPI"/>
    <s v="CUST_00875"/>
    <n v="1"/>
    <n v="0"/>
    <n v="421.37"/>
    <s v="No Discount"/>
  </r>
  <r>
    <s v="TXN_03768"/>
    <d v="2024-05-31T00:00:00"/>
    <x v="3"/>
    <s v="Friday"/>
    <s v="STORE_037"/>
    <x v="0"/>
    <x v="3"/>
    <x v="12"/>
    <n v="2558.7399999999998"/>
    <n v="5"/>
    <n v="12793.7"/>
    <n v="5"/>
    <n v="639.69000000000005"/>
    <n v="12154.01"/>
    <s v="Credit Card"/>
    <s v="CUST_00407"/>
    <n v="4"/>
    <n v="639.69000000000051"/>
    <n v="2430.8020000000001"/>
    <s v="Low"/>
  </r>
  <r>
    <s v="TXN_03769"/>
    <d v="2024-11-26T00:00:00"/>
    <x v="0"/>
    <s v="Tuesday"/>
    <s v="STORE_013"/>
    <x v="2"/>
    <x v="5"/>
    <x v="25"/>
    <n v="3673.72"/>
    <n v="2"/>
    <n v="7347.44"/>
    <n v="15"/>
    <n v="1102.1199999999999"/>
    <n v="6245.32"/>
    <s v="UPI"/>
    <s v="CUST_00703"/>
    <n v="3"/>
    <n v="1102.1199999999999"/>
    <n v="3122.66"/>
    <s v="Medium"/>
  </r>
  <r>
    <s v="TXN_03770"/>
    <d v="2024-01-28T00:00:00"/>
    <x v="2"/>
    <s v="Sunday"/>
    <s v="STORE_020"/>
    <x v="0"/>
    <x v="0"/>
    <x v="18"/>
    <n v="374.09"/>
    <n v="6"/>
    <n v="2244.54"/>
    <n v="0"/>
    <n v="0"/>
    <n v="2244.54"/>
    <s v="Debit Card"/>
    <s v="CUST_00691"/>
    <n v="5"/>
    <n v="0"/>
    <n v="374.09"/>
    <s v="No Discount"/>
  </r>
  <r>
    <s v="TXN_03771"/>
    <d v="2024-05-02T00:00:00"/>
    <x v="3"/>
    <s v="Thursday"/>
    <s v="STORE_010"/>
    <x v="0"/>
    <x v="2"/>
    <x v="39"/>
    <n v="756.48"/>
    <n v="8"/>
    <n v="6051.84"/>
    <n v="10"/>
    <n v="605.17999999999995"/>
    <n v="5446.66"/>
    <s v="Wallet"/>
    <s v="CUST_00438"/>
    <n v="3"/>
    <n v="605.18000000000029"/>
    <n v="680.83249999999998"/>
    <s v="Medium"/>
  </r>
  <r>
    <s v="TXN_03772"/>
    <d v="2024-09-10T00:00:00"/>
    <x v="9"/>
    <s v="Tuesday"/>
    <s v="STORE_022"/>
    <x v="1"/>
    <x v="7"/>
    <x v="37"/>
    <n v="1009.84"/>
    <n v="5"/>
    <n v="5049.2"/>
    <n v="10"/>
    <n v="504.92"/>
    <n v="4544.28"/>
    <s v="UPI"/>
    <s v="CUST_00620"/>
    <n v="3"/>
    <n v="504.92000000000007"/>
    <n v="908.85599999999999"/>
    <s v="Medium"/>
  </r>
  <r>
    <s v="TXN_03773"/>
    <d v="2024-07-16T00:00:00"/>
    <x v="11"/>
    <s v="Tuesday"/>
    <s v="STORE_012"/>
    <x v="3"/>
    <x v="4"/>
    <x v="17"/>
    <n v="309.32"/>
    <n v="8"/>
    <n v="2474.56"/>
    <n v="15"/>
    <n v="371.18"/>
    <n v="2103.38"/>
    <s v="Wallet"/>
    <s v="CUST_00743"/>
    <n v="1"/>
    <n v="371.17999999999984"/>
    <n v="262.92250000000001"/>
    <s v="Medium"/>
  </r>
  <r>
    <s v="TXN_03774"/>
    <d v="2024-02-27T00:00:00"/>
    <x v="1"/>
    <s v="Tuesday"/>
    <s v="STORE_047"/>
    <x v="2"/>
    <x v="3"/>
    <x v="21"/>
    <n v="1580.43"/>
    <n v="5"/>
    <n v="7902.15"/>
    <n v="15"/>
    <n v="1185.32"/>
    <n v="6716.83"/>
    <s v="Debit Card"/>
    <s v="CUST_00542"/>
    <n v="4"/>
    <n v="1185.3199999999997"/>
    <n v="1343.366"/>
    <s v="Medium"/>
  </r>
  <r>
    <s v="TXN_03775"/>
    <d v="2024-05-03T00:00:00"/>
    <x v="3"/>
    <s v="Friday"/>
    <s v="STORE_039"/>
    <x v="0"/>
    <x v="3"/>
    <x v="12"/>
    <n v="2580.02"/>
    <n v="5"/>
    <n v="12900.1"/>
    <n v="0"/>
    <n v="0"/>
    <n v="12900.1"/>
    <s v="Debit Card"/>
    <s v="CUST_00404"/>
    <n v="2"/>
    <n v="0"/>
    <n v="2580.02"/>
    <s v="No Discount"/>
  </r>
  <r>
    <s v="TXN_03776"/>
    <d v="2024-09-12T00:00:00"/>
    <x v="9"/>
    <s v="Thursday"/>
    <s v="STORE_050"/>
    <x v="1"/>
    <x v="5"/>
    <x v="9"/>
    <n v="2549.85"/>
    <n v="8"/>
    <n v="20398.8"/>
    <n v="5"/>
    <n v="1019.94"/>
    <n v="19378.86"/>
    <s v="Cash"/>
    <s v="CUST_00042"/>
    <n v="1"/>
    <n v="1019.9399999999987"/>
    <n v="2422.3575000000001"/>
    <s v="Low"/>
  </r>
  <r>
    <s v="TXN_03777"/>
    <d v="2024-11-22T00:00:00"/>
    <x v="0"/>
    <s v="Friday"/>
    <s v="STORE_036"/>
    <x v="3"/>
    <x v="2"/>
    <x v="13"/>
    <n v="335.45"/>
    <n v="6"/>
    <n v="2012.7"/>
    <n v="0"/>
    <n v="0"/>
    <n v="2012.7"/>
    <s v="Credit Card"/>
    <s v="CUST_00237"/>
    <n v="2"/>
    <n v="0"/>
    <n v="335.45"/>
    <s v="No Discount"/>
  </r>
  <r>
    <s v="TXN_03778"/>
    <d v="2024-10-31T00:00:00"/>
    <x v="7"/>
    <s v="Thursday"/>
    <s v="STORE_035"/>
    <x v="4"/>
    <x v="7"/>
    <x v="28"/>
    <n v="1457.79"/>
    <n v="6"/>
    <n v="8746.74"/>
    <n v="0"/>
    <n v="0"/>
    <n v="8746.74"/>
    <s v="Debit Card"/>
    <s v="CUST_00166"/>
    <n v="2"/>
    <n v="0"/>
    <n v="1457.79"/>
    <s v="No Discount"/>
  </r>
  <r>
    <s v="TXN_03779"/>
    <d v="2024-02-06T00:00:00"/>
    <x v="1"/>
    <s v="Tuesday"/>
    <s v="STORE_023"/>
    <x v="0"/>
    <x v="6"/>
    <x v="33"/>
    <n v="1662.42"/>
    <n v="5"/>
    <n v="8312.1"/>
    <n v="15"/>
    <n v="1246.82"/>
    <n v="7065.28"/>
    <s v="Cash"/>
    <s v="CUST_00813"/>
    <n v="5"/>
    <n v="1246.8200000000006"/>
    <n v="1413.056"/>
    <s v="Medium"/>
  </r>
  <r>
    <s v="TXN_03780"/>
    <d v="2024-09-27T00:00:00"/>
    <x v="9"/>
    <s v="Friday"/>
    <s v="STORE_012"/>
    <x v="0"/>
    <x v="5"/>
    <x v="9"/>
    <n v="4119.37"/>
    <n v="7"/>
    <n v="28835.59"/>
    <n v="5"/>
    <n v="1441.78"/>
    <n v="27393.81"/>
    <s v="UPI"/>
    <s v="CUST_00640"/>
    <n v="3"/>
    <n v="1441.7799999999988"/>
    <n v="3913.4014285714288"/>
    <s v="Low"/>
  </r>
  <r>
    <s v="TXN_03781"/>
    <d v="2024-01-07T00:00:00"/>
    <x v="2"/>
    <s v="Sunday"/>
    <s v="STORE_013"/>
    <x v="0"/>
    <x v="3"/>
    <x v="22"/>
    <n v="2157.79"/>
    <n v="4"/>
    <n v="8631.16"/>
    <n v="20"/>
    <n v="1726.23"/>
    <n v="6904.93"/>
    <s v="Debit Card"/>
    <s v="CUST_00733"/>
    <n v="4"/>
    <n v="1726.2299999999996"/>
    <n v="1726.2325000000001"/>
    <s v="High"/>
  </r>
  <r>
    <s v="TXN_03782"/>
    <d v="2024-07-03T00:00:00"/>
    <x v="11"/>
    <s v="Wednesday"/>
    <s v="STORE_006"/>
    <x v="1"/>
    <x v="1"/>
    <x v="3"/>
    <n v="483.53"/>
    <n v="10"/>
    <n v="4835.3"/>
    <n v="5"/>
    <n v="241.77"/>
    <n v="4593.53"/>
    <s v="Wallet"/>
    <s v="CUST_00123"/>
    <n v="2"/>
    <n v="241.77000000000044"/>
    <n v="459.35299999999995"/>
    <s v="Low"/>
  </r>
  <r>
    <s v="TXN_03783"/>
    <d v="2024-06-11T00:00:00"/>
    <x v="10"/>
    <s v="Tuesday"/>
    <s v="STORE_005"/>
    <x v="1"/>
    <x v="6"/>
    <x v="30"/>
    <n v="706.93"/>
    <n v="1"/>
    <n v="706.93"/>
    <n v="5"/>
    <n v="35.35"/>
    <n v="671.58"/>
    <s v="UPI"/>
    <s v="CUST_00199"/>
    <n v="2"/>
    <n v="35.349999999999909"/>
    <n v="671.58"/>
    <s v="Low"/>
  </r>
  <r>
    <s v="TXN_03784"/>
    <d v="2024-03-08T00:00:00"/>
    <x v="5"/>
    <s v="Friday"/>
    <s v="STORE_014"/>
    <x v="3"/>
    <x v="2"/>
    <x v="7"/>
    <n v="369.76"/>
    <n v="10"/>
    <n v="3697.6"/>
    <n v="15"/>
    <n v="554.64"/>
    <n v="3142.96"/>
    <s v="UPI"/>
    <s v="CUST_00070"/>
    <n v="3"/>
    <n v="554.63999999999987"/>
    <n v="314.29599999999999"/>
    <s v="Medium"/>
  </r>
  <r>
    <s v="TXN_03785"/>
    <d v="2024-07-17T00:00:00"/>
    <x v="11"/>
    <s v="Wednesday"/>
    <s v="STORE_001"/>
    <x v="4"/>
    <x v="4"/>
    <x v="35"/>
    <n v="364.38"/>
    <n v="2"/>
    <n v="728.76"/>
    <n v="0"/>
    <n v="0"/>
    <n v="728.76"/>
    <s v="Cash"/>
    <s v="CUST_00582"/>
    <n v="2"/>
    <n v="0"/>
    <n v="364.38"/>
    <s v="No Discount"/>
  </r>
  <r>
    <s v="TXN_03786"/>
    <d v="2024-10-18T00:00:00"/>
    <x v="7"/>
    <s v="Friday"/>
    <s v="STORE_004"/>
    <x v="3"/>
    <x v="3"/>
    <x v="21"/>
    <n v="1757.12"/>
    <n v="4"/>
    <n v="7028.48"/>
    <n v="0"/>
    <n v="0"/>
    <n v="7028.48"/>
    <s v="Wallet"/>
    <s v="CUST_00638"/>
    <n v="3"/>
    <n v="0"/>
    <n v="1757.12"/>
    <s v="No Discount"/>
  </r>
  <r>
    <s v="TXN_03787"/>
    <d v="2024-08-03T00:00:00"/>
    <x v="8"/>
    <s v="Saturday"/>
    <s v="STORE_031"/>
    <x v="0"/>
    <x v="3"/>
    <x v="12"/>
    <n v="1507.8"/>
    <n v="4"/>
    <n v="6031.2"/>
    <n v="0"/>
    <n v="0"/>
    <n v="6031.2"/>
    <s v="Debit Card"/>
    <s v="CUST_00911"/>
    <n v="5"/>
    <n v="0"/>
    <n v="1507.8"/>
    <s v="No Discount"/>
  </r>
  <r>
    <s v="TXN_03788"/>
    <d v="2024-07-06T00:00:00"/>
    <x v="11"/>
    <s v="Saturday"/>
    <s v="STORE_044"/>
    <x v="3"/>
    <x v="2"/>
    <x v="2"/>
    <n v="619.45000000000005"/>
    <n v="9"/>
    <n v="5575.05"/>
    <n v="0"/>
    <n v="0"/>
    <n v="5575.05"/>
    <s v="Credit Card"/>
    <s v="CUST_00686"/>
    <n v="2"/>
    <n v="0"/>
    <n v="619.45000000000005"/>
    <s v="No Discount"/>
  </r>
  <r>
    <s v="TXN_03789"/>
    <d v="2024-10-06T00:00:00"/>
    <x v="7"/>
    <s v="Sunday"/>
    <s v="STORE_035"/>
    <x v="2"/>
    <x v="4"/>
    <x v="17"/>
    <n v="437.51"/>
    <n v="1"/>
    <n v="437.51"/>
    <n v="10"/>
    <n v="43.75"/>
    <n v="393.76"/>
    <s v="Debit Card"/>
    <s v="CUST_00001"/>
    <n v="4"/>
    <n v="43.75"/>
    <n v="393.76"/>
    <s v="Medium"/>
  </r>
  <r>
    <s v="TXN_03790"/>
    <d v="2024-12-15T00:00:00"/>
    <x v="6"/>
    <s v="Sunday"/>
    <s v="STORE_011"/>
    <x v="2"/>
    <x v="6"/>
    <x v="33"/>
    <n v="726.11"/>
    <n v="1"/>
    <n v="726.11"/>
    <n v="10"/>
    <n v="72.61"/>
    <n v="653.5"/>
    <s v="UPI"/>
    <s v="CUST_00535"/>
    <n v="1"/>
    <n v="72.610000000000014"/>
    <n v="653.5"/>
    <s v="Medium"/>
  </r>
  <r>
    <s v="TXN_03791"/>
    <d v="2024-03-29T00:00:00"/>
    <x v="5"/>
    <s v="Friday"/>
    <s v="STORE_027"/>
    <x v="2"/>
    <x v="2"/>
    <x v="39"/>
    <n v="225.99"/>
    <n v="10"/>
    <n v="2259.9"/>
    <n v="15"/>
    <n v="338.99"/>
    <n v="1920.91"/>
    <s v="Cash"/>
    <s v="CUST_00135"/>
    <n v="5"/>
    <n v="338.99"/>
    <n v="192.09100000000001"/>
    <s v="Medium"/>
  </r>
  <r>
    <s v="TXN_03792"/>
    <d v="2024-08-29T00:00:00"/>
    <x v="8"/>
    <s v="Thursday"/>
    <s v="STORE_034"/>
    <x v="3"/>
    <x v="3"/>
    <x v="12"/>
    <n v="411.08"/>
    <n v="6"/>
    <n v="2466.48"/>
    <n v="20"/>
    <n v="493.3"/>
    <n v="1973.18"/>
    <s v="Wallet"/>
    <s v="CUST_00969"/>
    <n v="5"/>
    <n v="493.29999999999995"/>
    <n v="328.86333333333334"/>
    <s v="High"/>
  </r>
  <r>
    <s v="TXN_03793"/>
    <d v="2024-02-07T00:00:00"/>
    <x v="1"/>
    <s v="Wednesday"/>
    <s v="STORE_013"/>
    <x v="0"/>
    <x v="4"/>
    <x v="8"/>
    <n v="357.11"/>
    <n v="8"/>
    <n v="2856.88"/>
    <n v="20"/>
    <n v="571.38"/>
    <n v="2285.5"/>
    <s v="Wallet"/>
    <s v="CUST_00202"/>
    <n v="1"/>
    <n v="571.38000000000011"/>
    <n v="285.6875"/>
    <s v="High"/>
  </r>
  <r>
    <s v="TXN_03794"/>
    <d v="2024-01-09T00:00:00"/>
    <x v="2"/>
    <s v="Tuesday"/>
    <s v="STORE_039"/>
    <x v="1"/>
    <x v="6"/>
    <x v="26"/>
    <n v="1288.6600000000001"/>
    <n v="1"/>
    <n v="1288.6600000000001"/>
    <n v="20"/>
    <n v="257.73"/>
    <n v="1030.93"/>
    <s v="UPI"/>
    <s v="CUST_00962"/>
    <n v="1"/>
    <n v="257.73"/>
    <n v="1030.93"/>
    <s v="High"/>
  </r>
  <r>
    <s v="TXN_03795"/>
    <d v="2024-10-27T00:00:00"/>
    <x v="7"/>
    <s v="Sunday"/>
    <s v="STORE_015"/>
    <x v="2"/>
    <x v="7"/>
    <x v="37"/>
    <n v="703.46"/>
    <n v="3"/>
    <n v="2110.38"/>
    <n v="20"/>
    <n v="422.08"/>
    <n v="1688.3"/>
    <s v="Cash"/>
    <s v="CUST_00049"/>
    <n v="1"/>
    <n v="422.08000000000015"/>
    <n v="562.76666666666665"/>
    <s v="High"/>
  </r>
  <r>
    <s v="TXN_03796"/>
    <d v="2024-02-04T00:00:00"/>
    <x v="1"/>
    <s v="Sunday"/>
    <s v="STORE_045"/>
    <x v="3"/>
    <x v="1"/>
    <x v="3"/>
    <n v="331.37"/>
    <n v="7"/>
    <n v="2319.59"/>
    <n v="5"/>
    <n v="115.98"/>
    <n v="2203.61"/>
    <s v="Cash"/>
    <s v="CUST_00333"/>
    <n v="5"/>
    <n v="115.98000000000002"/>
    <n v="314.80142857142857"/>
    <s v="Low"/>
  </r>
  <r>
    <s v="TXN_03797"/>
    <d v="2024-01-08T00:00:00"/>
    <x v="2"/>
    <s v="Monday"/>
    <s v="STORE_049"/>
    <x v="2"/>
    <x v="4"/>
    <x v="17"/>
    <n v="302.14"/>
    <n v="1"/>
    <n v="302.14"/>
    <n v="10"/>
    <n v="30.21"/>
    <n v="271.93"/>
    <s v="Cash"/>
    <s v="CUST_00311"/>
    <n v="5"/>
    <n v="30.20999999999998"/>
    <n v="271.93"/>
    <s v="Medium"/>
  </r>
  <r>
    <s v="TXN_03798"/>
    <d v="2024-05-14T00:00:00"/>
    <x v="3"/>
    <s v="Tuesday"/>
    <s v="STORE_027"/>
    <x v="4"/>
    <x v="4"/>
    <x v="8"/>
    <n v="283.5"/>
    <n v="8"/>
    <n v="2268"/>
    <n v="0"/>
    <n v="0"/>
    <n v="2268"/>
    <s v="Debit Card"/>
    <s v="CUST_00299"/>
    <n v="4"/>
    <n v="0"/>
    <n v="283.5"/>
    <s v="No Discount"/>
  </r>
  <r>
    <s v="TXN_03799"/>
    <d v="2024-04-20T00:00:00"/>
    <x v="4"/>
    <s v="Saturday"/>
    <s v="STORE_035"/>
    <x v="2"/>
    <x v="0"/>
    <x v="0"/>
    <n v="556.25"/>
    <n v="9"/>
    <n v="5006.25"/>
    <n v="5"/>
    <n v="250.31"/>
    <n v="4755.9399999999996"/>
    <s v="Cash"/>
    <s v="CUST_00295"/>
    <n v="1"/>
    <n v="250.3100000000004"/>
    <n v="528.43777777777768"/>
    <s v="Low"/>
  </r>
  <r>
    <s v="TXN_03800"/>
    <d v="2024-01-21T00:00:00"/>
    <x v="2"/>
    <s v="Sunday"/>
    <s v="STORE_049"/>
    <x v="1"/>
    <x v="5"/>
    <x v="34"/>
    <n v="2233.86"/>
    <n v="4"/>
    <n v="8935.44"/>
    <n v="15"/>
    <n v="1340.32"/>
    <n v="7595.12"/>
    <s v="Wallet"/>
    <s v="CUST_00936"/>
    <n v="3"/>
    <n v="1340.3200000000006"/>
    <n v="1898.78"/>
    <s v="Medium"/>
  </r>
  <r>
    <s v="TXN_03801"/>
    <d v="2024-01-31T00:00:00"/>
    <x v="2"/>
    <s v="Wednesday"/>
    <s v="STORE_017"/>
    <x v="0"/>
    <x v="6"/>
    <x v="15"/>
    <n v="1860"/>
    <n v="3"/>
    <n v="5580"/>
    <n v="0"/>
    <n v="0"/>
    <n v="5580"/>
    <s v="UPI"/>
    <s v="CUST_00952"/>
    <n v="4"/>
    <n v="0"/>
    <n v="1860"/>
    <s v="No Discount"/>
  </r>
  <r>
    <s v="TXN_03802"/>
    <d v="2024-07-22T00:00:00"/>
    <x v="11"/>
    <s v="Monday"/>
    <s v="STORE_046"/>
    <x v="3"/>
    <x v="2"/>
    <x v="7"/>
    <n v="708.87"/>
    <n v="10"/>
    <n v="7088.7"/>
    <n v="0"/>
    <n v="0"/>
    <n v="7088.7"/>
    <s v="Credit Card"/>
    <s v="CUST_00460"/>
    <n v="4"/>
    <n v="0"/>
    <n v="708.87"/>
    <s v="No Discount"/>
  </r>
  <r>
    <s v="TXN_03803"/>
    <d v="2024-09-16T00:00:00"/>
    <x v="9"/>
    <s v="Monday"/>
    <s v="STORE_033"/>
    <x v="1"/>
    <x v="2"/>
    <x v="2"/>
    <n v="409.13"/>
    <n v="9"/>
    <n v="3682.17"/>
    <n v="15"/>
    <n v="552.33000000000004"/>
    <n v="3129.84"/>
    <s v="UPI"/>
    <s v="CUST_00546"/>
    <n v="5"/>
    <n v="552.32999999999993"/>
    <n v="347.76"/>
    <s v="Medium"/>
  </r>
  <r>
    <s v="TXN_03804"/>
    <d v="2024-05-26T00:00:00"/>
    <x v="3"/>
    <s v="Sunday"/>
    <s v="STORE_026"/>
    <x v="3"/>
    <x v="4"/>
    <x v="19"/>
    <n v="271.83"/>
    <n v="2"/>
    <n v="543.66"/>
    <n v="20"/>
    <n v="108.73"/>
    <n v="434.93"/>
    <s v="Credit Card"/>
    <s v="CUST_00469"/>
    <n v="1"/>
    <n v="108.72999999999996"/>
    <n v="217.465"/>
    <s v="High"/>
  </r>
  <r>
    <s v="TXN_03805"/>
    <d v="2024-11-17T00:00:00"/>
    <x v="0"/>
    <s v="Sunday"/>
    <s v="STORE_016"/>
    <x v="4"/>
    <x v="5"/>
    <x v="9"/>
    <n v="2158.79"/>
    <n v="2"/>
    <n v="4317.58"/>
    <n v="10"/>
    <n v="431.76"/>
    <n v="3885.82"/>
    <s v="UPI"/>
    <s v="CUST_00461"/>
    <n v="5"/>
    <n v="431.75999999999976"/>
    <n v="1942.91"/>
    <s v="Medium"/>
  </r>
  <r>
    <s v="TXN_03806"/>
    <d v="2024-12-30T00:00:00"/>
    <x v="6"/>
    <s v="Monday"/>
    <s v="STORE_037"/>
    <x v="0"/>
    <x v="4"/>
    <x v="20"/>
    <n v="354.53"/>
    <n v="1"/>
    <n v="354.53"/>
    <n v="0"/>
    <n v="0"/>
    <n v="354.53"/>
    <s v="Debit Card"/>
    <s v="CUST_00900"/>
    <n v="3"/>
    <n v="0"/>
    <n v="354.53"/>
    <s v="No Discount"/>
  </r>
  <r>
    <s v="TXN_03807"/>
    <d v="2024-09-13T00:00:00"/>
    <x v="9"/>
    <s v="Friday"/>
    <s v="STORE_010"/>
    <x v="1"/>
    <x v="7"/>
    <x v="37"/>
    <n v="1188.6400000000001"/>
    <n v="6"/>
    <n v="7131.84"/>
    <n v="15"/>
    <n v="1069.78"/>
    <n v="6062.06"/>
    <s v="Wallet"/>
    <s v="CUST_00253"/>
    <n v="5"/>
    <n v="1069.7799999999997"/>
    <n v="1010.3433333333334"/>
    <s v="Medium"/>
  </r>
  <r>
    <s v="TXN_03808"/>
    <d v="2024-07-31T00:00:00"/>
    <x v="11"/>
    <s v="Wednesday"/>
    <s v="STORE_031"/>
    <x v="4"/>
    <x v="1"/>
    <x v="3"/>
    <n v="56.57"/>
    <n v="8"/>
    <n v="452.56"/>
    <n v="0"/>
    <n v="0"/>
    <n v="452.56"/>
    <s v="Cash"/>
    <s v="CUST_00206"/>
    <n v="1"/>
    <n v="0"/>
    <n v="56.57"/>
    <s v="No Discount"/>
  </r>
  <r>
    <s v="TXN_03809"/>
    <d v="2024-08-04T00:00:00"/>
    <x v="8"/>
    <s v="Sunday"/>
    <s v="STORE_026"/>
    <x v="4"/>
    <x v="0"/>
    <x v="32"/>
    <n v="254.62"/>
    <n v="9"/>
    <n v="2291.58"/>
    <n v="20"/>
    <n v="458.32"/>
    <n v="1833.26"/>
    <s v="UPI"/>
    <s v="CUST_00183"/>
    <n v="3"/>
    <n v="458.31999999999994"/>
    <n v="203.69555555555556"/>
    <s v="High"/>
  </r>
  <r>
    <s v="TXN_03810"/>
    <d v="2024-12-25T00:00:00"/>
    <x v="6"/>
    <s v="Wednesday"/>
    <s v="STORE_031"/>
    <x v="0"/>
    <x v="0"/>
    <x v="27"/>
    <n v="311.64999999999998"/>
    <n v="1"/>
    <n v="311.64999999999998"/>
    <n v="20"/>
    <n v="62.33"/>
    <n v="249.32"/>
    <s v="Debit Card"/>
    <s v="CUST_00988"/>
    <n v="2"/>
    <n v="62.329999999999984"/>
    <n v="249.32"/>
    <s v="High"/>
  </r>
  <r>
    <s v="TXN_03811"/>
    <d v="2024-07-24T00:00:00"/>
    <x v="11"/>
    <s v="Wednesday"/>
    <s v="STORE_005"/>
    <x v="0"/>
    <x v="4"/>
    <x v="19"/>
    <n v="203.01"/>
    <n v="6"/>
    <n v="1218.06"/>
    <n v="5"/>
    <n v="60.9"/>
    <n v="1157.1600000000001"/>
    <s v="UPI"/>
    <s v="CUST_00874"/>
    <n v="2"/>
    <n v="60.899999999999864"/>
    <n v="192.86"/>
    <s v="Low"/>
  </r>
  <r>
    <s v="TXN_03812"/>
    <d v="2024-02-12T00:00:00"/>
    <x v="1"/>
    <s v="Monday"/>
    <s v="STORE_023"/>
    <x v="4"/>
    <x v="3"/>
    <x v="21"/>
    <n v="275.22000000000003"/>
    <n v="6"/>
    <n v="1651.32"/>
    <n v="5"/>
    <n v="82.57"/>
    <n v="1568.75"/>
    <s v="Wallet"/>
    <s v="CUST_00118"/>
    <n v="5"/>
    <n v="82.569999999999936"/>
    <n v="261.45833333333331"/>
    <s v="Low"/>
  </r>
  <r>
    <s v="TXN_03813"/>
    <d v="2024-11-23T00:00:00"/>
    <x v="0"/>
    <s v="Saturday"/>
    <s v="STORE_025"/>
    <x v="2"/>
    <x v="4"/>
    <x v="20"/>
    <n v="213.84"/>
    <n v="5"/>
    <n v="1069.2"/>
    <n v="0"/>
    <n v="0"/>
    <n v="1069.2"/>
    <s v="Cash"/>
    <s v="CUST_00008"/>
    <n v="4"/>
    <n v="0"/>
    <n v="213.84"/>
    <s v="No Discount"/>
  </r>
  <r>
    <s v="TXN_03814"/>
    <d v="2024-10-01T00:00:00"/>
    <x v="7"/>
    <s v="Tuesday"/>
    <s v="STORE_003"/>
    <x v="0"/>
    <x v="6"/>
    <x v="15"/>
    <n v="1875.31"/>
    <n v="9"/>
    <n v="16877.79"/>
    <n v="0"/>
    <n v="0"/>
    <n v="16877.79"/>
    <s v="UPI"/>
    <s v="CUST_00032"/>
    <n v="5"/>
    <n v="0"/>
    <n v="1875.3100000000002"/>
    <s v="No Discount"/>
  </r>
  <r>
    <s v="TXN_03815"/>
    <d v="2024-10-02T00:00:00"/>
    <x v="7"/>
    <s v="Wednesday"/>
    <s v="STORE_042"/>
    <x v="0"/>
    <x v="3"/>
    <x v="22"/>
    <n v="404.89"/>
    <n v="4"/>
    <n v="1619.56"/>
    <n v="20"/>
    <n v="323.91000000000003"/>
    <n v="1295.6500000000001"/>
    <s v="UPI"/>
    <s v="CUST_00129"/>
    <n v="3"/>
    <n v="323.90999999999985"/>
    <n v="323.91250000000002"/>
    <s v="High"/>
  </r>
  <r>
    <s v="TXN_03816"/>
    <d v="2024-11-11T00:00:00"/>
    <x v="0"/>
    <s v="Monday"/>
    <s v="STORE_029"/>
    <x v="3"/>
    <x v="4"/>
    <x v="19"/>
    <n v="479.52"/>
    <n v="9"/>
    <n v="4315.68"/>
    <n v="0"/>
    <n v="0"/>
    <n v="4315.68"/>
    <s v="Wallet"/>
    <s v="CUST_00836"/>
    <n v="5"/>
    <n v="0"/>
    <n v="479.52000000000004"/>
    <s v="No Discount"/>
  </r>
  <r>
    <s v="TXN_03817"/>
    <d v="2024-03-19T00:00:00"/>
    <x v="5"/>
    <s v="Tuesday"/>
    <s v="STORE_018"/>
    <x v="3"/>
    <x v="6"/>
    <x v="33"/>
    <n v="1701.9"/>
    <n v="7"/>
    <n v="11913.3"/>
    <n v="0"/>
    <n v="0"/>
    <n v="11913.3"/>
    <s v="Credit Card"/>
    <s v="CUST_00102"/>
    <n v="4"/>
    <n v="0"/>
    <n v="1701.8999999999999"/>
    <s v="No Discount"/>
  </r>
  <r>
    <s v="TXN_03818"/>
    <d v="2024-05-22T00:00:00"/>
    <x v="3"/>
    <s v="Wednesday"/>
    <s v="STORE_047"/>
    <x v="4"/>
    <x v="2"/>
    <x v="29"/>
    <n v="273.26"/>
    <n v="8"/>
    <n v="2186.08"/>
    <n v="0"/>
    <n v="0"/>
    <n v="2186.08"/>
    <s v="Credit Card"/>
    <s v="CUST_00082"/>
    <n v="3"/>
    <n v="0"/>
    <n v="273.26"/>
    <s v="No Discount"/>
  </r>
  <r>
    <s v="TXN_03819"/>
    <d v="2024-02-12T00:00:00"/>
    <x v="1"/>
    <s v="Monday"/>
    <s v="STORE_029"/>
    <x v="2"/>
    <x v="1"/>
    <x v="6"/>
    <n v="451.28"/>
    <n v="5"/>
    <n v="2256.4"/>
    <n v="0"/>
    <n v="0"/>
    <n v="2256.4"/>
    <s v="UPI"/>
    <s v="CUST_00677"/>
    <n v="5"/>
    <n v="0"/>
    <n v="451.28000000000003"/>
    <s v="No Discount"/>
  </r>
  <r>
    <s v="TXN_03820"/>
    <d v="2024-06-07T00:00:00"/>
    <x v="10"/>
    <s v="Friday"/>
    <s v="STORE_023"/>
    <x v="3"/>
    <x v="0"/>
    <x v="0"/>
    <n v="602.99"/>
    <n v="8"/>
    <n v="4823.92"/>
    <n v="5"/>
    <n v="241.2"/>
    <n v="4582.72"/>
    <s v="Debit Card"/>
    <s v="CUST_00725"/>
    <n v="1"/>
    <n v="241.19999999999982"/>
    <n v="572.84"/>
    <s v="Low"/>
  </r>
  <r>
    <s v="TXN_03821"/>
    <d v="2024-02-10T00:00:00"/>
    <x v="1"/>
    <s v="Saturday"/>
    <s v="STORE_028"/>
    <x v="3"/>
    <x v="1"/>
    <x v="6"/>
    <n v="424.6"/>
    <n v="6"/>
    <n v="2547.6"/>
    <n v="0"/>
    <n v="0"/>
    <n v="2547.6"/>
    <s v="Cash"/>
    <s v="CUST_00125"/>
    <n v="5"/>
    <n v="0"/>
    <n v="424.59999999999997"/>
    <s v="No Discount"/>
  </r>
  <r>
    <s v="TXN_03822"/>
    <d v="2024-09-18T00:00:00"/>
    <x v="9"/>
    <s v="Wednesday"/>
    <s v="STORE_011"/>
    <x v="3"/>
    <x v="5"/>
    <x v="25"/>
    <n v="4041.25"/>
    <n v="8"/>
    <n v="32330"/>
    <n v="0"/>
    <n v="0"/>
    <n v="32330"/>
    <s v="Credit Card"/>
    <s v="CUST_00519"/>
    <n v="3"/>
    <n v="0"/>
    <n v="4041.25"/>
    <s v="No Discount"/>
  </r>
  <r>
    <s v="TXN_03823"/>
    <d v="2024-04-14T00:00:00"/>
    <x v="4"/>
    <s v="Sunday"/>
    <s v="STORE_033"/>
    <x v="3"/>
    <x v="4"/>
    <x v="20"/>
    <n v="432.5"/>
    <n v="5"/>
    <n v="2162.5"/>
    <n v="0"/>
    <n v="0"/>
    <n v="2162.5"/>
    <s v="Wallet"/>
    <s v="CUST_00178"/>
    <n v="5"/>
    <n v="0"/>
    <n v="432.5"/>
    <s v="No Discount"/>
  </r>
  <r>
    <s v="TXN_03824"/>
    <d v="2024-03-20T00:00:00"/>
    <x v="5"/>
    <s v="Wednesday"/>
    <s v="STORE_009"/>
    <x v="0"/>
    <x v="0"/>
    <x v="0"/>
    <n v="767.04"/>
    <n v="10"/>
    <n v="7670.4"/>
    <n v="0"/>
    <n v="0"/>
    <n v="7670.4"/>
    <s v="Credit Card"/>
    <s v="CUST_00731"/>
    <n v="2"/>
    <n v="0"/>
    <n v="767.04"/>
    <s v="No Discount"/>
  </r>
  <r>
    <s v="TXN_03825"/>
    <d v="2024-10-01T00:00:00"/>
    <x v="7"/>
    <s v="Tuesday"/>
    <s v="STORE_021"/>
    <x v="4"/>
    <x v="3"/>
    <x v="16"/>
    <n v="2634.65"/>
    <n v="9"/>
    <n v="23711.85"/>
    <n v="20"/>
    <n v="4742.37"/>
    <n v="18969.48"/>
    <s v="Debit Card"/>
    <s v="CUST_00805"/>
    <n v="1"/>
    <n v="4742.369999999999"/>
    <n v="2107.7199999999998"/>
    <s v="High"/>
  </r>
  <r>
    <s v="TXN_03826"/>
    <d v="2024-06-16T00:00:00"/>
    <x v="10"/>
    <s v="Sunday"/>
    <s v="STORE_019"/>
    <x v="1"/>
    <x v="6"/>
    <x v="30"/>
    <n v="1191.54"/>
    <n v="2"/>
    <n v="2383.08"/>
    <n v="0"/>
    <n v="0"/>
    <n v="2383.08"/>
    <s v="Debit Card"/>
    <s v="CUST_00971"/>
    <n v="1"/>
    <n v="0"/>
    <n v="1191.54"/>
    <s v="No Discount"/>
  </r>
  <r>
    <s v="TXN_03827"/>
    <d v="2024-07-19T00:00:00"/>
    <x v="11"/>
    <s v="Friday"/>
    <s v="STORE_008"/>
    <x v="3"/>
    <x v="2"/>
    <x v="39"/>
    <n v="393.94"/>
    <n v="8"/>
    <n v="3151.52"/>
    <n v="0"/>
    <n v="0"/>
    <n v="3151.52"/>
    <s v="Cash"/>
    <s v="CUST_00666"/>
    <n v="3"/>
    <n v="0"/>
    <n v="393.94"/>
    <s v="No Discount"/>
  </r>
  <r>
    <s v="TXN_03828"/>
    <d v="2024-10-27T00:00:00"/>
    <x v="7"/>
    <s v="Sunday"/>
    <s v="STORE_015"/>
    <x v="4"/>
    <x v="0"/>
    <x v="4"/>
    <n v="205.65"/>
    <n v="6"/>
    <n v="1233.9000000000001"/>
    <n v="5"/>
    <n v="61.7"/>
    <n v="1172.2"/>
    <s v="Wallet"/>
    <s v="CUST_00087"/>
    <n v="5"/>
    <n v="61.700000000000045"/>
    <n v="195.36666666666667"/>
    <s v="Low"/>
  </r>
  <r>
    <s v="TXN_03829"/>
    <d v="2024-11-20T00:00:00"/>
    <x v="0"/>
    <s v="Wednesday"/>
    <s v="STORE_032"/>
    <x v="3"/>
    <x v="7"/>
    <x v="37"/>
    <n v="1122.75"/>
    <n v="5"/>
    <n v="5613.75"/>
    <n v="0"/>
    <n v="0"/>
    <n v="5613.75"/>
    <s v="UPI"/>
    <s v="CUST_00770"/>
    <n v="4"/>
    <n v="0"/>
    <n v="1122.75"/>
    <s v="No Discount"/>
  </r>
  <r>
    <s v="TXN_03830"/>
    <d v="2024-11-28T00:00:00"/>
    <x v="0"/>
    <s v="Thursday"/>
    <s v="STORE_031"/>
    <x v="3"/>
    <x v="0"/>
    <x v="32"/>
    <n v="853.14"/>
    <n v="7"/>
    <n v="5971.98"/>
    <n v="5"/>
    <n v="298.60000000000002"/>
    <n v="5673.38"/>
    <s v="UPI"/>
    <s v="CUST_00048"/>
    <n v="3"/>
    <n v="298.59999999999945"/>
    <n v="810.48285714285714"/>
    <s v="Low"/>
  </r>
  <r>
    <s v="TXN_03831"/>
    <d v="2024-12-14T00:00:00"/>
    <x v="6"/>
    <s v="Saturday"/>
    <s v="STORE_028"/>
    <x v="1"/>
    <x v="4"/>
    <x v="20"/>
    <n v="153.79"/>
    <n v="6"/>
    <n v="922.74"/>
    <n v="20"/>
    <n v="184.55"/>
    <n v="738.19"/>
    <s v="Debit Card"/>
    <s v="CUST_00338"/>
    <n v="5"/>
    <n v="184.54999999999995"/>
    <n v="123.03166666666668"/>
    <s v="High"/>
  </r>
  <r>
    <s v="TXN_03832"/>
    <d v="2024-11-25T00:00:00"/>
    <x v="0"/>
    <s v="Monday"/>
    <s v="STORE_040"/>
    <x v="4"/>
    <x v="4"/>
    <x v="20"/>
    <n v="181.77"/>
    <n v="6"/>
    <n v="1090.6199999999999"/>
    <n v="0"/>
    <n v="0"/>
    <n v="1090.6199999999999"/>
    <s v="Cash"/>
    <s v="CUST_00532"/>
    <n v="5"/>
    <n v="0"/>
    <n v="181.76999999999998"/>
    <s v="No Discount"/>
  </r>
  <r>
    <s v="TXN_03833"/>
    <d v="2024-02-03T00:00:00"/>
    <x v="1"/>
    <s v="Saturday"/>
    <s v="STORE_030"/>
    <x v="1"/>
    <x v="1"/>
    <x v="3"/>
    <n v="110.46"/>
    <n v="9"/>
    <n v="994.14"/>
    <n v="10"/>
    <n v="99.41"/>
    <n v="894.73"/>
    <s v="UPI"/>
    <s v="CUST_00307"/>
    <n v="2"/>
    <n v="99.409999999999968"/>
    <n v="99.414444444444442"/>
    <s v="Medium"/>
  </r>
  <r>
    <s v="TXN_03834"/>
    <d v="2024-06-07T00:00:00"/>
    <x v="10"/>
    <s v="Friday"/>
    <s v="STORE_045"/>
    <x v="2"/>
    <x v="2"/>
    <x v="29"/>
    <n v="216.63"/>
    <n v="7"/>
    <n v="1516.41"/>
    <n v="0"/>
    <n v="0"/>
    <n v="1516.41"/>
    <s v="Wallet"/>
    <s v="CUST_00425"/>
    <n v="3"/>
    <n v="0"/>
    <n v="216.63000000000002"/>
    <s v="No Discount"/>
  </r>
  <r>
    <s v="TXN_03835"/>
    <d v="2024-12-23T00:00:00"/>
    <x v="6"/>
    <s v="Monday"/>
    <s v="STORE_028"/>
    <x v="1"/>
    <x v="5"/>
    <x v="10"/>
    <n v="4307.4799999999996"/>
    <n v="8"/>
    <n v="34459.839999999997"/>
    <n v="20"/>
    <n v="6891.97"/>
    <n v="27567.87"/>
    <s v="Debit Card"/>
    <s v="CUST_00036"/>
    <n v="5"/>
    <n v="6891.9699999999975"/>
    <n v="3445.9837499999999"/>
    <s v="High"/>
  </r>
  <r>
    <s v="TXN_03836"/>
    <d v="2024-08-11T00:00:00"/>
    <x v="8"/>
    <s v="Sunday"/>
    <s v="STORE_013"/>
    <x v="4"/>
    <x v="6"/>
    <x v="33"/>
    <n v="1700.61"/>
    <n v="3"/>
    <n v="5101.83"/>
    <n v="0"/>
    <n v="0"/>
    <n v="5101.83"/>
    <s v="UPI"/>
    <s v="CUST_00039"/>
    <n v="4"/>
    <n v="0"/>
    <n v="1700.61"/>
    <s v="No Discount"/>
  </r>
  <r>
    <s v="TXN_03837"/>
    <d v="2024-05-02T00:00:00"/>
    <x v="3"/>
    <s v="Thursday"/>
    <s v="STORE_013"/>
    <x v="2"/>
    <x v="3"/>
    <x v="12"/>
    <n v="2440.2800000000002"/>
    <n v="2"/>
    <n v="4880.5600000000004"/>
    <n v="0"/>
    <n v="0"/>
    <n v="4880.5600000000004"/>
    <s v="Debit Card"/>
    <s v="CUST_00558"/>
    <n v="1"/>
    <n v="0"/>
    <n v="2440.2800000000002"/>
    <s v="No Discount"/>
  </r>
  <r>
    <s v="TXN_03838"/>
    <d v="2024-01-30T00:00:00"/>
    <x v="2"/>
    <s v="Tuesday"/>
    <s v="STORE_007"/>
    <x v="2"/>
    <x v="3"/>
    <x v="16"/>
    <n v="2498.13"/>
    <n v="4"/>
    <n v="9992.52"/>
    <n v="0"/>
    <n v="0"/>
    <n v="9992.52"/>
    <s v="Credit Card"/>
    <s v="CUST_00821"/>
    <n v="1"/>
    <n v="0"/>
    <n v="2498.13"/>
    <s v="No Discount"/>
  </r>
  <r>
    <s v="TXN_03839"/>
    <d v="2024-05-05T00:00:00"/>
    <x v="3"/>
    <s v="Sunday"/>
    <s v="STORE_022"/>
    <x v="4"/>
    <x v="2"/>
    <x v="2"/>
    <n v="380.34"/>
    <n v="5"/>
    <n v="1901.7"/>
    <n v="10"/>
    <n v="190.17"/>
    <n v="1711.53"/>
    <s v="Wallet"/>
    <s v="CUST_00511"/>
    <n v="3"/>
    <n v="190.17000000000007"/>
    <n v="342.30599999999998"/>
    <s v="Medium"/>
  </r>
  <r>
    <s v="TXN_03840"/>
    <d v="2024-02-14T00:00:00"/>
    <x v="1"/>
    <s v="Wednesday"/>
    <s v="STORE_026"/>
    <x v="2"/>
    <x v="4"/>
    <x v="35"/>
    <n v="210.04"/>
    <n v="5"/>
    <n v="1050.2"/>
    <n v="0"/>
    <n v="0"/>
    <n v="1050.2"/>
    <s v="Debit Card"/>
    <s v="CUST_00352"/>
    <n v="5"/>
    <n v="0"/>
    <n v="210.04000000000002"/>
    <s v="No Discount"/>
  </r>
  <r>
    <s v="TXN_03841"/>
    <d v="2024-08-10T00:00:00"/>
    <x v="8"/>
    <s v="Saturday"/>
    <s v="STORE_030"/>
    <x v="4"/>
    <x v="7"/>
    <x v="24"/>
    <n v="531.42999999999995"/>
    <n v="10"/>
    <n v="5314.3"/>
    <n v="5"/>
    <n v="265.72000000000003"/>
    <n v="5048.58"/>
    <s v="Cash"/>
    <s v="CUST_00217"/>
    <n v="3"/>
    <n v="265.72000000000025"/>
    <n v="504.858"/>
    <s v="Low"/>
  </r>
  <r>
    <s v="TXN_03842"/>
    <d v="2024-02-29T00:00:00"/>
    <x v="1"/>
    <s v="Thursday"/>
    <s v="STORE_030"/>
    <x v="2"/>
    <x v="4"/>
    <x v="8"/>
    <n v="571.86"/>
    <n v="10"/>
    <n v="5718.6"/>
    <n v="10"/>
    <n v="571.86"/>
    <n v="5146.74"/>
    <s v="Debit Card"/>
    <s v="CUST_00673"/>
    <n v="5"/>
    <n v="571.86000000000058"/>
    <n v="514.67399999999998"/>
    <s v="Medium"/>
  </r>
  <r>
    <s v="TXN_03843"/>
    <d v="2024-08-20T00:00:00"/>
    <x v="8"/>
    <s v="Tuesday"/>
    <s v="STORE_016"/>
    <x v="0"/>
    <x v="3"/>
    <x v="22"/>
    <n v="1177.47"/>
    <n v="7"/>
    <n v="8242.2900000000009"/>
    <n v="5"/>
    <n v="412.11"/>
    <n v="7830.18"/>
    <s v="Wallet"/>
    <s v="CUST_00828"/>
    <n v="4"/>
    <n v="412.11000000000058"/>
    <n v="1118.5971428571429"/>
    <s v="Low"/>
  </r>
  <r>
    <s v="TXN_03844"/>
    <d v="2024-11-09T00:00:00"/>
    <x v="0"/>
    <s v="Saturday"/>
    <s v="STORE_010"/>
    <x v="1"/>
    <x v="4"/>
    <x v="17"/>
    <n v="346.81"/>
    <n v="5"/>
    <n v="1734.05"/>
    <n v="0"/>
    <n v="0"/>
    <n v="1734.05"/>
    <s v="UPI"/>
    <s v="CUST_00968"/>
    <n v="5"/>
    <n v="0"/>
    <n v="346.81"/>
    <s v="No Discount"/>
  </r>
  <r>
    <s v="TXN_03845"/>
    <d v="2024-11-07T00:00:00"/>
    <x v="0"/>
    <s v="Thursday"/>
    <s v="STORE_050"/>
    <x v="3"/>
    <x v="0"/>
    <x v="18"/>
    <n v="754"/>
    <n v="10"/>
    <n v="7540"/>
    <n v="10"/>
    <n v="754"/>
    <n v="6786"/>
    <s v="Wallet"/>
    <s v="CUST_00133"/>
    <n v="1"/>
    <n v="754"/>
    <n v="678.6"/>
    <s v="Medium"/>
  </r>
  <r>
    <s v="TXN_03846"/>
    <d v="2024-01-29T00:00:00"/>
    <x v="2"/>
    <s v="Monday"/>
    <s v="STORE_046"/>
    <x v="0"/>
    <x v="2"/>
    <x v="13"/>
    <n v="753.99"/>
    <n v="5"/>
    <n v="3769.95"/>
    <n v="15"/>
    <n v="565.49"/>
    <n v="3204.46"/>
    <s v="UPI"/>
    <s v="CUST_00607"/>
    <n v="4"/>
    <n v="565.48999999999978"/>
    <n v="640.89200000000005"/>
    <s v="Medium"/>
  </r>
  <r>
    <s v="TXN_03847"/>
    <d v="2024-06-07T00:00:00"/>
    <x v="10"/>
    <s v="Friday"/>
    <s v="STORE_034"/>
    <x v="1"/>
    <x v="3"/>
    <x v="5"/>
    <n v="2444.7800000000002"/>
    <n v="9"/>
    <n v="22003.02"/>
    <n v="0"/>
    <n v="0"/>
    <n v="22003.02"/>
    <s v="Debit Card"/>
    <s v="CUST_00857"/>
    <n v="4"/>
    <n v="0"/>
    <n v="2444.7800000000002"/>
    <s v="No Discount"/>
  </r>
  <r>
    <s v="TXN_03848"/>
    <d v="2024-12-07T00:00:00"/>
    <x v="6"/>
    <s v="Saturday"/>
    <s v="STORE_037"/>
    <x v="4"/>
    <x v="7"/>
    <x v="37"/>
    <n v="1459.32"/>
    <n v="8"/>
    <n v="11674.56"/>
    <n v="0"/>
    <n v="0"/>
    <n v="11674.56"/>
    <s v="UPI"/>
    <s v="CUST_00908"/>
    <n v="4"/>
    <n v="0"/>
    <n v="1459.32"/>
    <s v="No Discount"/>
  </r>
  <r>
    <s v="TXN_03849"/>
    <d v="2024-12-02T00:00:00"/>
    <x v="6"/>
    <s v="Monday"/>
    <s v="STORE_039"/>
    <x v="2"/>
    <x v="6"/>
    <x v="30"/>
    <n v="1718.98"/>
    <n v="1"/>
    <n v="1718.98"/>
    <n v="0"/>
    <n v="0"/>
    <n v="1718.98"/>
    <s v="UPI"/>
    <s v="CUST_00696"/>
    <n v="1"/>
    <n v="0"/>
    <n v="1718.98"/>
    <s v="No Discount"/>
  </r>
  <r>
    <s v="TXN_03850"/>
    <d v="2024-03-30T00:00:00"/>
    <x v="5"/>
    <s v="Saturday"/>
    <s v="STORE_007"/>
    <x v="0"/>
    <x v="4"/>
    <x v="20"/>
    <n v="526.51"/>
    <n v="4"/>
    <n v="2106.04"/>
    <n v="10"/>
    <n v="210.6"/>
    <n v="1895.44"/>
    <s v="UPI"/>
    <s v="CUST_00128"/>
    <n v="2"/>
    <n v="210.59999999999991"/>
    <n v="473.86"/>
    <s v="Medium"/>
  </r>
  <r>
    <s v="TXN_03851"/>
    <d v="2024-03-02T00:00:00"/>
    <x v="5"/>
    <s v="Saturday"/>
    <s v="STORE_020"/>
    <x v="1"/>
    <x v="4"/>
    <x v="8"/>
    <n v="407.46"/>
    <n v="5"/>
    <n v="2037.3"/>
    <n v="0"/>
    <n v="0"/>
    <n v="2037.3"/>
    <s v="UPI"/>
    <s v="CUST_00428"/>
    <n v="2"/>
    <n v="0"/>
    <n v="407.46"/>
    <s v="No Discount"/>
  </r>
  <r>
    <s v="TXN_03852"/>
    <d v="2024-01-07T00:00:00"/>
    <x v="2"/>
    <s v="Sunday"/>
    <s v="STORE_014"/>
    <x v="0"/>
    <x v="5"/>
    <x v="11"/>
    <n v="1142.6099999999999"/>
    <n v="7"/>
    <n v="7998.27"/>
    <n v="0"/>
    <n v="0"/>
    <n v="7998.27"/>
    <s v="UPI"/>
    <s v="CUST_00617"/>
    <n v="4"/>
    <n v="0"/>
    <n v="1142.6100000000001"/>
    <s v="No Discount"/>
  </r>
  <r>
    <s v="TXN_03853"/>
    <d v="2024-12-28T00:00:00"/>
    <x v="6"/>
    <s v="Saturday"/>
    <s v="STORE_025"/>
    <x v="0"/>
    <x v="3"/>
    <x v="22"/>
    <n v="302.11"/>
    <n v="3"/>
    <n v="906.33"/>
    <n v="0"/>
    <n v="0"/>
    <n v="906.33"/>
    <s v="Debit Card"/>
    <s v="CUST_00331"/>
    <n v="2"/>
    <n v="0"/>
    <n v="302.11"/>
    <s v="No Discount"/>
  </r>
  <r>
    <s v="TXN_03854"/>
    <d v="2024-03-11T00:00:00"/>
    <x v="5"/>
    <s v="Monday"/>
    <s v="STORE_042"/>
    <x v="3"/>
    <x v="3"/>
    <x v="16"/>
    <n v="455.76"/>
    <n v="5"/>
    <n v="2278.8000000000002"/>
    <n v="0"/>
    <n v="0"/>
    <n v="2278.8000000000002"/>
    <s v="Debit Card"/>
    <s v="CUST_00322"/>
    <n v="1"/>
    <n v="0"/>
    <n v="455.76000000000005"/>
    <s v="No Discount"/>
  </r>
  <r>
    <s v="TXN_03855"/>
    <d v="2024-12-25T00:00:00"/>
    <x v="6"/>
    <s v="Wednesday"/>
    <s v="STORE_004"/>
    <x v="0"/>
    <x v="4"/>
    <x v="17"/>
    <n v="490.52"/>
    <n v="5"/>
    <n v="2452.6"/>
    <n v="0"/>
    <n v="0"/>
    <n v="2452.6"/>
    <s v="Cash"/>
    <s v="CUST_00906"/>
    <n v="2"/>
    <n v="0"/>
    <n v="490.52"/>
    <s v="No Discount"/>
  </r>
  <r>
    <s v="TXN_03856"/>
    <d v="2024-01-06T00:00:00"/>
    <x v="2"/>
    <s v="Saturday"/>
    <s v="STORE_024"/>
    <x v="2"/>
    <x v="2"/>
    <x v="7"/>
    <n v="308.27"/>
    <n v="6"/>
    <n v="1849.62"/>
    <n v="0"/>
    <n v="0"/>
    <n v="1849.62"/>
    <s v="UPI"/>
    <s v="CUST_00779"/>
    <n v="3"/>
    <n v="0"/>
    <n v="308.27"/>
    <s v="No Discount"/>
  </r>
  <r>
    <s v="TXN_03857"/>
    <d v="2024-03-24T00:00:00"/>
    <x v="5"/>
    <s v="Sunday"/>
    <s v="STORE_039"/>
    <x v="3"/>
    <x v="3"/>
    <x v="12"/>
    <n v="2836.65"/>
    <n v="9"/>
    <n v="25529.85"/>
    <n v="0"/>
    <n v="0"/>
    <n v="25529.85"/>
    <s v="Wallet"/>
    <s v="CUST_00026"/>
    <n v="5"/>
    <n v="0"/>
    <n v="2836.6499999999996"/>
    <s v="No Discount"/>
  </r>
  <r>
    <s v="TXN_03858"/>
    <d v="2024-09-11T00:00:00"/>
    <x v="9"/>
    <s v="Wednesday"/>
    <s v="STORE_002"/>
    <x v="4"/>
    <x v="5"/>
    <x v="25"/>
    <n v="2079.3200000000002"/>
    <n v="5"/>
    <n v="10396.6"/>
    <n v="20"/>
    <n v="2079.3200000000002"/>
    <n v="8317.2800000000007"/>
    <s v="Debit Card"/>
    <s v="CUST_00013"/>
    <n v="1"/>
    <n v="2079.3199999999997"/>
    <n v="1663.4560000000001"/>
    <s v="High"/>
  </r>
  <r>
    <s v="TXN_03859"/>
    <d v="2024-06-26T00:00:00"/>
    <x v="10"/>
    <s v="Wednesday"/>
    <s v="STORE_045"/>
    <x v="0"/>
    <x v="1"/>
    <x v="1"/>
    <n v="93.29"/>
    <n v="9"/>
    <n v="839.61"/>
    <n v="0"/>
    <n v="0"/>
    <n v="839.61"/>
    <s v="Debit Card"/>
    <s v="CUST_00962"/>
    <n v="3"/>
    <n v="0"/>
    <n v="93.29"/>
    <s v="No Discount"/>
  </r>
  <r>
    <s v="TXN_03860"/>
    <d v="2024-09-24T00:00:00"/>
    <x v="9"/>
    <s v="Tuesday"/>
    <s v="STORE_022"/>
    <x v="1"/>
    <x v="5"/>
    <x v="9"/>
    <n v="2898.86"/>
    <n v="4"/>
    <n v="11595.44"/>
    <n v="5"/>
    <n v="579.77"/>
    <n v="11015.67"/>
    <s v="UPI"/>
    <s v="CUST_00452"/>
    <n v="3"/>
    <n v="579.77000000000044"/>
    <n v="2753.9175"/>
    <s v="Low"/>
  </r>
  <r>
    <s v="TXN_03861"/>
    <d v="2024-09-21T00:00:00"/>
    <x v="9"/>
    <s v="Saturday"/>
    <s v="STORE_022"/>
    <x v="1"/>
    <x v="0"/>
    <x v="18"/>
    <n v="550.05999999999995"/>
    <n v="8"/>
    <n v="4400.4799999999996"/>
    <n v="0"/>
    <n v="0"/>
    <n v="4400.4799999999996"/>
    <s v="UPI"/>
    <s v="CUST_00318"/>
    <n v="2"/>
    <n v="0"/>
    <n v="550.05999999999995"/>
    <s v="No Discount"/>
  </r>
  <r>
    <s v="TXN_03862"/>
    <d v="2024-05-12T00:00:00"/>
    <x v="3"/>
    <s v="Sunday"/>
    <s v="STORE_028"/>
    <x v="2"/>
    <x v="7"/>
    <x v="24"/>
    <n v="861.78"/>
    <n v="2"/>
    <n v="1723.56"/>
    <n v="0"/>
    <n v="0"/>
    <n v="1723.56"/>
    <s v="UPI"/>
    <s v="CUST_00348"/>
    <n v="4"/>
    <n v="0"/>
    <n v="861.78"/>
    <s v="No Discount"/>
  </r>
  <r>
    <s v="TXN_03863"/>
    <d v="2024-03-26T00:00:00"/>
    <x v="5"/>
    <s v="Tuesday"/>
    <s v="STORE_018"/>
    <x v="0"/>
    <x v="3"/>
    <x v="16"/>
    <n v="808.04"/>
    <n v="10"/>
    <n v="8080.4"/>
    <n v="15"/>
    <n v="1212.06"/>
    <n v="6868.34"/>
    <s v="Debit Card"/>
    <s v="CUST_00474"/>
    <n v="5"/>
    <n v="1212.0599999999995"/>
    <n v="686.83400000000006"/>
    <s v="Medium"/>
  </r>
  <r>
    <s v="TXN_03864"/>
    <d v="2024-07-09T00:00:00"/>
    <x v="11"/>
    <s v="Tuesday"/>
    <s v="STORE_017"/>
    <x v="0"/>
    <x v="6"/>
    <x v="14"/>
    <n v="1942.58"/>
    <n v="6"/>
    <n v="11655.48"/>
    <n v="0"/>
    <n v="0"/>
    <n v="11655.48"/>
    <s v="Credit Card"/>
    <s v="CUST_00652"/>
    <n v="2"/>
    <n v="0"/>
    <n v="1942.58"/>
    <s v="No Discount"/>
  </r>
  <r>
    <s v="TXN_03865"/>
    <d v="2024-03-05T00:00:00"/>
    <x v="5"/>
    <s v="Tuesday"/>
    <s v="STORE_040"/>
    <x v="1"/>
    <x v="3"/>
    <x v="16"/>
    <n v="341.51"/>
    <n v="3"/>
    <n v="1024.53"/>
    <n v="5"/>
    <n v="51.23"/>
    <n v="973.3"/>
    <s v="Wallet"/>
    <s v="CUST_00517"/>
    <n v="5"/>
    <n v="51.230000000000018"/>
    <n v="324.43333333333334"/>
    <s v="Low"/>
  </r>
  <r>
    <s v="TXN_03866"/>
    <d v="2024-05-17T00:00:00"/>
    <x v="3"/>
    <s v="Friday"/>
    <s v="STORE_005"/>
    <x v="0"/>
    <x v="5"/>
    <x v="25"/>
    <n v="4249.42"/>
    <n v="8"/>
    <n v="33995.360000000001"/>
    <n v="0"/>
    <n v="0"/>
    <n v="33995.360000000001"/>
    <s v="Debit Card"/>
    <s v="CUST_00618"/>
    <n v="5"/>
    <n v="0"/>
    <n v="4249.42"/>
    <s v="No Discount"/>
  </r>
  <r>
    <s v="TXN_03867"/>
    <d v="2024-03-01T00:00:00"/>
    <x v="5"/>
    <s v="Friday"/>
    <s v="STORE_010"/>
    <x v="3"/>
    <x v="6"/>
    <x v="14"/>
    <n v="1174.8800000000001"/>
    <n v="2"/>
    <n v="2349.7600000000002"/>
    <n v="15"/>
    <n v="352.46"/>
    <n v="1997.3"/>
    <s v="Wallet"/>
    <s v="CUST_00355"/>
    <n v="1"/>
    <n v="352.46000000000026"/>
    <n v="998.65"/>
    <s v="Medium"/>
  </r>
  <r>
    <s v="TXN_03868"/>
    <d v="2024-01-16T00:00:00"/>
    <x v="2"/>
    <s v="Tuesday"/>
    <s v="STORE_019"/>
    <x v="0"/>
    <x v="3"/>
    <x v="16"/>
    <n v="2151.09"/>
    <n v="6"/>
    <n v="12906.54"/>
    <n v="0"/>
    <n v="0"/>
    <n v="12906.54"/>
    <s v="UPI"/>
    <s v="CUST_00087"/>
    <n v="1"/>
    <n v="0"/>
    <n v="2151.09"/>
    <s v="No Discount"/>
  </r>
  <r>
    <s v="TXN_03869"/>
    <d v="2024-06-20T00:00:00"/>
    <x v="10"/>
    <s v="Thursday"/>
    <s v="STORE_042"/>
    <x v="1"/>
    <x v="7"/>
    <x v="37"/>
    <n v="1428.49"/>
    <n v="3"/>
    <n v="4285.47"/>
    <n v="0"/>
    <n v="0"/>
    <n v="4285.47"/>
    <s v="Credit Card"/>
    <s v="CUST_00613"/>
    <n v="4"/>
    <n v="0"/>
    <n v="1428.49"/>
    <s v="No Discount"/>
  </r>
  <r>
    <s v="TXN_03870"/>
    <d v="2024-08-07T00:00:00"/>
    <x v="8"/>
    <s v="Wednesday"/>
    <s v="STORE_026"/>
    <x v="1"/>
    <x v="7"/>
    <x v="28"/>
    <n v="304.63"/>
    <n v="5"/>
    <n v="1523.15"/>
    <n v="20"/>
    <n v="304.63"/>
    <n v="1218.52"/>
    <s v="Cash"/>
    <s v="CUST_00898"/>
    <n v="2"/>
    <n v="304.63000000000011"/>
    <n v="243.70400000000001"/>
    <s v="High"/>
  </r>
  <r>
    <s v="TXN_03871"/>
    <d v="2024-05-19T00:00:00"/>
    <x v="3"/>
    <s v="Sunday"/>
    <s v="STORE_027"/>
    <x v="4"/>
    <x v="3"/>
    <x v="5"/>
    <n v="947.73"/>
    <n v="5"/>
    <n v="4738.6499999999996"/>
    <n v="0"/>
    <n v="0"/>
    <n v="4738.6499999999996"/>
    <s v="Debit Card"/>
    <s v="CUST_00096"/>
    <n v="5"/>
    <n v="0"/>
    <n v="947.7299999999999"/>
    <s v="No Discount"/>
  </r>
  <r>
    <s v="TXN_03872"/>
    <d v="2024-09-25T00:00:00"/>
    <x v="9"/>
    <s v="Wednesday"/>
    <s v="STORE_041"/>
    <x v="0"/>
    <x v="2"/>
    <x v="29"/>
    <n v="209.42"/>
    <n v="1"/>
    <n v="209.42"/>
    <n v="15"/>
    <n v="31.41"/>
    <n v="178.01"/>
    <s v="Credit Card"/>
    <s v="CUST_00170"/>
    <n v="4"/>
    <n v="31.409999999999997"/>
    <n v="178.01"/>
    <s v="Medium"/>
  </r>
  <r>
    <s v="TXN_03873"/>
    <d v="2024-02-02T00:00:00"/>
    <x v="1"/>
    <s v="Friday"/>
    <s v="STORE_033"/>
    <x v="2"/>
    <x v="1"/>
    <x v="1"/>
    <n v="373.01"/>
    <n v="4"/>
    <n v="1492.04"/>
    <n v="0"/>
    <n v="0"/>
    <n v="1492.04"/>
    <s v="Debit Card"/>
    <s v="CUST_00868"/>
    <n v="4"/>
    <n v="0"/>
    <n v="373.01"/>
    <s v="No Discount"/>
  </r>
  <r>
    <s v="TXN_03874"/>
    <d v="2024-05-14T00:00:00"/>
    <x v="3"/>
    <s v="Tuesday"/>
    <s v="STORE_014"/>
    <x v="0"/>
    <x v="1"/>
    <x v="3"/>
    <n v="193.82"/>
    <n v="8"/>
    <n v="1550.56"/>
    <n v="0"/>
    <n v="0"/>
    <n v="1550.56"/>
    <s v="Credit Card"/>
    <s v="CUST_00554"/>
    <n v="5"/>
    <n v="0"/>
    <n v="193.82"/>
    <s v="No Discount"/>
  </r>
  <r>
    <s v="TXN_03875"/>
    <d v="2024-12-30T00:00:00"/>
    <x v="6"/>
    <s v="Monday"/>
    <s v="STORE_043"/>
    <x v="3"/>
    <x v="4"/>
    <x v="20"/>
    <n v="167.77"/>
    <n v="1"/>
    <n v="167.77"/>
    <n v="10"/>
    <n v="16.78"/>
    <n v="150.99"/>
    <s v="Credit Card"/>
    <s v="CUST_00217"/>
    <n v="1"/>
    <n v="16.78"/>
    <n v="150.99"/>
    <s v="Medium"/>
  </r>
  <r>
    <s v="TXN_03876"/>
    <d v="2024-10-22T00:00:00"/>
    <x v="7"/>
    <s v="Tuesday"/>
    <s v="STORE_022"/>
    <x v="1"/>
    <x v="5"/>
    <x v="25"/>
    <n v="3057.92"/>
    <n v="7"/>
    <n v="21405.439999999999"/>
    <n v="15"/>
    <n v="3210.82"/>
    <n v="18194.62"/>
    <s v="UPI"/>
    <s v="CUST_00413"/>
    <n v="4"/>
    <n v="3210.8199999999997"/>
    <n v="2599.2314285714283"/>
    <s v="Medium"/>
  </r>
  <r>
    <s v="TXN_03877"/>
    <d v="2024-11-17T00:00:00"/>
    <x v="0"/>
    <s v="Sunday"/>
    <s v="STORE_030"/>
    <x v="2"/>
    <x v="4"/>
    <x v="17"/>
    <n v="335.93"/>
    <n v="8"/>
    <n v="2687.44"/>
    <n v="0"/>
    <n v="0"/>
    <n v="2687.44"/>
    <s v="Wallet"/>
    <s v="CUST_00248"/>
    <n v="3"/>
    <n v="0"/>
    <n v="335.93"/>
    <s v="No Discount"/>
  </r>
  <r>
    <s v="TXN_03878"/>
    <d v="2024-02-09T00:00:00"/>
    <x v="1"/>
    <s v="Friday"/>
    <s v="STORE_025"/>
    <x v="1"/>
    <x v="2"/>
    <x v="39"/>
    <n v="662.4"/>
    <n v="4"/>
    <n v="2649.6"/>
    <n v="0"/>
    <n v="0"/>
    <n v="2649.6"/>
    <s v="Debit Card"/>
    <s v="CUST_00665"/>
    <n v="3"/>
    <n v="0"/>
    <n v="662.4"/>
    <s v="No Discount"/>
  </r>
  <r>
    <s v="TXN_03879"/>
    <d v="2024-09-11T00:00:00"/>
    <x v="9"/>
    <s v="Wednesday"/>
    <s v="STORE_048"/>
    <x v="0"/>
    <x v="0"/>
    <x v="27"/>
    <n v="428.04"/>
    <n v="2"/>
    <n v="856.08"/>
    <n v="0"/>
    <n v="0"/>
    <n v="856.08"/>
    <s v="Cash"/>
    <s v="CUST_00341"/>
    <n v="4"/>
    <n v="0"/>
    <n v="428.04"/>
    <s v="No Discount"/>
  </r>
  <r>
    <s v="TXN_03880"/>
    <d v="2024-08-21T00:00:00"/>
    <x v="8"/>
    <s v="Wednesday"/>
    <s v="STORE_024"/>
    <x v="2"/>
    <x v="7"/>
    <x v="37"/>
    <n v="675.13"/>
    <n v="4"/>
    <n v="2700.52"/>
    <n v="0"/>
    <n v="0"/>
    <n v="2700.52"/>
    <s v="Credit Card"/>
    <s v="CUST_00807"/>
    <n v="5"/>
    <n v="0"/>
    <n v="675.13"/>
    <s v="No Discount"/>
  </r>
  <r>
    <s v="TXN_03881"/>
    <d v="2024-09-18T00:00:00"/>
    <x v="9"/>
    <s v="Wednesday"/>
    <s v="STORE_038"/>
    <x v="3"/>
    <x v="1"/>
    <x v="1"/>
    <n v="306"/>
    <n v="7"/>
    <n v="2142"/>
    <n v="0"/>
    <n v="0"/>
    <n v="2142"/>
    <s v="Wallet"/>
    <s v="CUST_00336"/>
    <n v="3"/>
    <n v="0"/>
    <n v="306"/>
    <s v="No Discount"/>
  </r>
  <r>
    <s v="TXN_03882"/>
    <d v="2024-07-03T00:00:00"/>
    <x v="11"/>
    <s v="Wednesday"/>
    <s v="STORE_048"/>
    <x v="1"/>
    <x v="0"/>
    <x v="18"/>
    <n v="233.42"/>
    <n v="4"/>
    <n v="933.68"/>
    <n v="15"/>
    <n v="140.05000000000001"/>
    <n v="793.63"/>
    <s v="Debit Card"/>
    <s v="CUST_00158"/>
    <n v="4"/>
    <n v="140.04999999999995"/>
    <n v="198.4075"/>
    <s v="Medium"/>
  </r>
  <r>
    <s v="TXN_03883"/>
    <d v="2024-01-29T00:00:00"/>
    <x v="2"/>
    <s v="Monday"/>
    <s v="STORE_006"/>
    <x v="2"/>
    <x v="5"/>
    <x v="10"/>
    <n v="4372.03"/>
    <n v="5"/>
    <n v="21860.15"/>
    <n v="10"/>
    <n v="2186.02"/>
    <n v="19674.13"/>
    <s v="Cash"/>
    <s v="CUST_00578"/>
    <n v="2"/>
    <n v="2186.0200000000004"/>
    <n v="3934.826"/>
    <s v="Medium"/>
  </r>
  <r>
    <s v="TXN_03884"/>
    <d v="2024-09-12T00:00:00"/>
    <x v="9"/>
    <s v="Thursday"/>
    <s v="STORE_022"/>
    <x v="1"/>
    <x v="5"/>
    <x v="11"/>
    <n v="4883.05"/>
    <n v="3"/>
    <n v="14649.15"/>
    <n v="0"/>
    <n v="0"/>
    <n v="14649.15"/>
    <s v="Credit Card"/>
    <s v="CUST_00492"/>
    <n v="3"/>
    <n v="0"/>
    <n v="4883.05"/>
    <s v="No Discount"/>
  </r>
  <r>
    <s v="TXN_03885"/>
    <d v="2024-10-17T00:00:00"/>
    <x v="7"/>
    <s v="Thursday"/>
    <s v="STORE_027"/>
    <x v="2"/>
    <x v="4"/>
    <x v="20"/>
    <n v="353.92"/>
    <n v="3"/>
    <n v="1061.76"/>
    <n v="0"/>
    <n v="0"/>
    <n v="1061.76"/>
    <s v="UPI"/>
    <s v="CUST_00280"/>
    <n v="4"/>
    <n v="0"/>
    <n v="353.92"/>
    <s v="No Discount"/>
  </r>
  <r>
    <s v="TXN_03886"/>
    <d v="2024-03-26T00:00:00"/>
    <x v="5"/>
    <s v="Tuesday"/>
    <s v="STORE_012"/>
    <x v="4"/>
    <x v="7"/>
    <x v="24"/>
    <n v="472.71"/>
    <n v="7"/>
    <n v="3308.97"/>
    <n v="0"/>
    <n v="0"/>
    <n v="3308.97"/>
    <s v="Debit Card"/>
    <s v="CUST_00867"/>
    <n v="1"/>
    <n v="0"/>
    <n v="472.71"/>
    <s v="No Discount"/>
  </r>
  <r>
    <s v="TXN_03887"/>
    <d v="2024-07-07T00:00:00"/>
    <x v="11"/>
    <s v="Sunday"/>
    <s v="STORE_012"/>
    <x v="4"/>
    <x v="1"/>
    <x v="36"/>
    <n v="295.31"/>
    <n v="4"/>
    <n v="1181.24"/>
    <n v="20"/>
    <n v="236.25"/>
    <n v="944.99"/>
    <s v="UPI"/>
    <s v="CUST_00573"/>
    <n v="2"/>
    <n v="236.25"/>
    <n v="236.2475"/>
    <s v="High"/>
  </r>
  <r>
    <s v="TXN_03888"/>
    <d v="2024-03-21T00:00:00"/>
    <x v="5"/>
    <s v="Thursday"/>
    <s v="STORE_043"/>
    <x v="0"/>
    <x v="5"/>
    <x v="34"/>
    <n v="1064.56"/>
    <n v="4"/>
    <n v="4258.24"/>
    <n v="0"/>
    <n v="0"/>
    <n v="4258.24"/>
    <s v="Debit Card"/>
    <s v="CUST_00621"/>
    <n v="3"/>
    <n v="0"/>
    <n v="1064.56"/>
    <s v="No Discount"/>
  </r>
  <r>
    <s v="TXN_03889"/>
    <d v="2024-05-10T00:00:00"/>
    <x v="3"/>
    <s v="Friday"/>
    <s v="STORE_037"/>
    <x v="3"/>
    <x v="5"/>
    <x v="11"/>
    <n v="3429.42"/>
    <n v="6"/>
    <n v="20576.52"/>
    <n v="0"/>
    <n v="0"/>
    <n v="20576.52"/>
    <s v="Credit Card"/>
    <s v="CUST_00920"/>
    <n v="3"/>
    <n v="0"/>
    <n v="3429.42"/>
    <s v="No Discount"/>
  </r>
  <r>
    <s v="TXN_03890"/>
    <d v="2024-02-22T00:00:00"/>
    <x v="1"/>
    <s v="Thursday"/>
    <s v="STORE_022"/>
    <x v="0"/>
    <x v="5"/>
    <x v="10"/>
    <n v="2041.2"/>
    <n v="8"/>
    <n v="16329.6"/>
    <n v="20"/>
    <n v="3265.92"/>
    <n v="13063.68"/>
    <s v="UPI"/>
    <s v="CUST_00618"/>
    <n v="5"/>
    <n v="3265.92"/>
    <n v="1632.96"/>
    <s v="High"/>
  </r>
  <r>
    <s v="TXN_03891"/>
    <d v="2024-10-20T00:00:00"/>
    <x v="7"/>
    <s v="Sunday"/>
    <s v="STORE_026"/>
    <x v="3"/>
    <x v="6"/>
    <x v="26"/>
    <n v="1201.76"/>
    <n v="4"/>
    <n v="4807.04"/>
    <n v="15"/>
    <n v="721.06"/>
    <n v="4085.98"/>
    <s v="Cash"/>
    <s v="CUST_00704"/>
    <n v="4"/>
    <n v="721.06"/>
    <n v="1021.495"/>
    <s v="Medium"/>
  </r>
  <r>
    <s v="TXN_03892"/>
    <d v="2024-12-11T00:00:00"/>
    <x v="6"/>
    <s v="Wednesday"/>
    <s v="STORE_020"/>
    <x v="3"/>
    <x v="6"/>
    <x v="30"/>
    <n v="1926.33"/>
    <n v="8"/>
    <n v="15410.64"/>
    <n v="10"/>
    <n v="1541.06"/>
    <n v="13869.58"/>
    <s v="Debit Card"/>
    <s v="CUST_00442"/>
    <n v="3"/>
    <n v="1541.0599999999995"/>
    <n v="1733.6975"/>
    <s v="Medium"/>
  </r>
  <r>
    <s v="TXN_03893"/>
    <d v="2024-02-29T00:00:00"/>
    <x v="1"/>
    <s v="Thursday"/>
    <s v="STORE_044"/>
    <x v="4"/>
    <x v="0"/>
    <x v="4"/>
    <n v="686.05"/>
    <n v="9"/>
    <n v="6174.45"/>
    <n v="0"/>
    <n v="0"/>
    <n v="6174.45"/>
    <s v="UPI"/>
    <s v="CUST_00649"/>
    <n v="1"/>
    <n v="0"/>
    <n v="686.05"/>
    <s v="No Discount"/>
  </r>
  <r>
    <s v="TXN_03894"/>
    <d v="2024-04-26T00:00:00"/>
    <x v="4"/>
    <s v="Friday"/>
    <s v="STORE_034"/>
    <x v="1"/>
    <x v="2"/>
    <x v="29"/>
    <n v="462.63"/>
    <n v="9"/>
    <n v="4163.67"/>
    <n v="0"/>
    <n v="0"/>
    <n v="4163.67"/>
    <s v="Cash"/>
    <s v="CUST_00344"/>
    <n v="1"/>
    <n v="0"/>
    <n v="462.63"/>
    <s v="No Discount"/>
  </r>
  <r>
    <s v="TXN_03895"/>
    <d v="2024-09-17T00:00:00"/>
    <x v="9"/>
    <s v="Tuesday"/>
    <s v="STORE_012"/>
    <x v="3"/>
    <x v="5"/>
    <x v="25"/>
    <n v="4148.5200000000004"/>
    <n v="7"/>
    <n v="29039.64"/>
    <n v="0"/>
    <n v="0"/>
    <n v="29039.64"/>
    <s v="Wallet"/>
    <s v="CUST_00390"/>
    <n v="4"/>
    <n v="0"/>
    <n v="4148.5199999999995"/>
    <s v="No Discount"/>
  </r>
  <r>
    <s v="TXN_03896"/>
    <d v="2024-01-02T00:00:00"/>
    <x v="2"/>
    <s v="Tuesday"/>
    <s v="STORE_032"/>
    <x v="0"/>
    <x v="5"/>
    <x v="11"/>
    <n v="4228.78"/>
    <n v="3"/>
    <n v="12686.34"/>
    <n v="0"/>
    <n v="0"/>
    <n v="12686.34"/>
    <s v="UPI"/>
    <s v="CUST_00648"/>
    <n v="2"/>
    <n v="0"/>
    <n v="4228.78"/>
    <s v="No Discount"/>
  </r>
  <r>
    <s v="TXN_03897"/>
    <d v="2024-01-23T00:00:00"/>
    <x v="2"/>
    <s v="Tuesday"/>
    <s v="STORE_004"/>
    <x v="1"/>
    <x v="2"/>
    <x v="13"/>
    <n v="745.27"/>
    <n v="10"/>
    <n v="7452.7"/>
    <n v="15"/>
    <n v="1117.9000000000001"/>
    <n v="6334.8"/>
    <s v="Debit Card"/>
    <s v="CUST_00479"/>
    <n v="4"/>
    <n v="1117.8999999999996"/>
    <n v="633.48"/>
    <s v="Medium"/>
  </r>
  <r>
    <s v="TXN_03898"/>
    <d v="2024-01-07T00:00:00"/>
    <x v="2"/>
    <s v="Sunday"/>
    <s v="STORE_027"/>
    <x v="3"/>
    <x v="5"/>
    <x v="11"/>
    <n v="4123.83"/>
    <n v="4"/>
    <n v="16495.32"/>
    <n v="0"/>
    <n v="0"/>
    <n v="16495.32"/>
    <s v="Cash"/>
    <s v="CUST_00108"/>
    <n v="4"/>
    <n v="0"/>
    <n v="4123.83"/>
    <s v="No Discount"/>
  </r>
  <r>
    <s v="TXN_03899"/>
    <d v="2024-05-05T00:00:00"/>
    <x v="3"/>
    <s v="Sunday"/>
    <s v="STORE_035"/>
    <x v="2"/>
    <x v="6"/>
    <x v="15"/>
    <n v="650.20000000000005"/>
    <n v="5"/>
    <n v="3251"/>
    <n v="10"/>
    <n v="325.10000000000002"/>
    <n v="2925.9"/>
    <s v="UPI"/>
    <s v="CUST_00388"/>
    <n v="1"/>
    <n v="325.09999999999991"/>
    <n v="585.18000000000006"/>
    <s v="Medium"/>
  </r>
  <r>
    <s v="TXN_03900"/>
    <d v="2024-01-24T00:00:00"/>
    <x v="2"/>
    <s v="Wednesday"/>
    <s v="STORE_031"/>
    <x v="4"/>
    <x v="0"/>
    <x v="0"/>
    <n v="601.72"/>
    <n v="9"/>
    <n v="5415.48"/>
    <n v="5"/>
    <n v="270.77"/>
    <n v="5144.71"/>
    <s v="Wallet"/>
    <s v="CUST_00991"/>
    <n v="5"/>
    <n v="270.76999999999953"/>
    <n v="571.6344444444444"/>
    <s v="Low"/>
  </r>
  <r>
    <s v="TXN_03901"/>
    <d v="2024-08-29T00:00:00"/>
    <x v="8"/>
    <s v="Thursday"/>
    <s v="STORE_044"/>
    <x v="4"/>
    <x v="5"/>
    <x v="25"/>
    <n v="4887.45"/>
    <n v="10"/>
    <n v="48874.5"/>
    <n v="0"/>
    <n v="0"/>
    <n v="48874.5"/>
    <s v="Credit Card"/>
    <s v="CUST_00369"/>
    <n v="2"/>
    <n v="0"/>
    <n v="4887.45"/>
    <s v="No Discount"/>
  </r>
  <r>
    <s v="TXN_03902"/>
    <d v="2024-07-05T00:00:00"/>
    <x v="11"/>
    <s v="Friday"/>
    <s v="STORE_006"/>
    <x v="0"/>
    <x v="7"/>
    <x v="23"/>
    <n v="1448.49"/>
    <n v="10"/>
    <n v="14484.9"/>
    <n v="15"/>
    <n v="2172.73"/>
    <n v="12312.17"/>
    <s v="Cash"/>
    <s v="CUST_00684"/>
    <n v="4"/>
    <n v="2172.7299999999996"/>
    <n v="1231.2170000000001"/>
    <s v="Medium"/>
  </r>
  <r>
    <s v="TXN_03903"/>
    <d v="2024-07-15T00:00:00"/>
    <x v="11"/>
    <s v="Monday"/>
    <s v="STORE_007"/>
    <x v="4"/>
    <x v="2"/>
    <x v="39"/>
    <n v="132.93"/>
    <n v="9"/>
    <n v="1196.3699999999999"/>
    <n v="10"/>
    <n v="119.64"/>
    <n v="1076.73"/>
    <s v="Debit Card"/>
    <s v="CUST_00254"/>
    <n v="2"/>
    <n v="119.63999999999987"/>
    <n v="119.63666666666667"/>
    <s v="Medium"/>
  </r>
  <r>
    <s v="TXN_03904"/>
    <d v="2024-03-17T00:00:00"/>
    <x v="5"/>
    <s v="Sunday"/>
    <s v="STORE_038"/>
    <x v="2"/>
    <x v="6"/>
    <x v="30"/>
    <n v="1092.56"/>
    <n v="4"/>
    <n v="4370.24"/>
    <n v="0"/>
    <n v="0"/>
    <n v="4370.24"/>
    <s v="UPI"/>
    <s v="CUST_00824"/>
    <n v="4"/>
    <n v="0"/>
    <n v="1092.56"/>
    <s v="No Discount"/>
  </r>
  <r>
    <s v="TXN_03905"/>
    <d v="2024-04-01T00:00:00"/>
    <x v="4"/>
    <s v="Monday"/>
    <s v="STORE_036"/>
    <x v="2"/>
    <x v="5"/>
    <x v="11"/>
    <n v="2975.84"/>
    <n v="8"/>
    <n v="23806.720000000001"/>
    <n v="10"/>
    <n v="2380.67"/>
    <n v="21426.05"/>
    <s v="Debit Card"/>
    <s v="CUST_00094"/>
    <n v="5"/>
    <n v="2380.6700000000019"/>
    <n v="2678.2562499999999"/>
    <s v="Medium"/>
  </r>
  <r>
    <s v="TXN_03906"/>
    <d v="2024-01-19T00:00:00"/>
    <x v="2"/>
    <s v="Friday"/>
    <s v="STORE_007"/>
    <x v="4"/>
    <x v="5"/>
    <x v="11"/>
    <n v="4721.5200000000004"/>
    <n v="1"/>
    <n v="4721.5200000000004"/>
    <n v="0"/>
    <n v="0"/>
    <n v="4721.5200000000004"/>
    <s v="UPI"/>
    <s v="CUST_00783"/>
    <n v="2"/>
    <n v="0"/>
    <n v="4721.5200000000004"/>
    <s v="No Discount"/>
  </r>
  <r>
    <s v="TXN_03907"/>
    <d v="2024-10-10T00:00:00"/>
    <x v="7"/>
    <s v="Thursday"/>
    <s v="STORE_024"/>
    <x v="0"/>
    <x v="4"/>
    <x v="20"/>
    <n v="163.99"/>
    <n v="3"/>
    <n v="491.97"/>
    <n v="0"/>
    <n v="0"/>
    <n v="491.97"/>
    <s v="Wallet"/>
    <s v="CUST_00222"/>
    <n v="1"/>
    <n v="0"/>
    <n v="163.99"/>
    <s v="No Discount"/>
  </r>
  <r>
    <s v="TXN_03908"/>
    <d v="2024-12-31T00:00:00"/>
    <x v="6"/>
    <s v="Tuesday"/>
    <s v="STORE_019"/>
    <x v="2"/>
    <x v="7"/>
    <x v="38"/>
    <n v="590.84"/>
    <n v="7"/>
    <n v="4135.88"/>
    <n v="15"/>
    <n v="620.38"/>
    <n v="3515.5"/>
    <s v="Debit Card"/>
    <s v="CUST_00608"/>
    <n v="1"/>
    <n v="620.38000000000011"/>
    <n v="502.21428571428572"/>
    <s v="Medium"/>
  </r>
  <r>
    <s v="TXN_03909"/>
    <d v="2024-12-01T00:00:00"/>
    <x v="6"/>
    <s v="Sunday"/>
    <s v="STORE_036"/>
    <x v="4"/>
    <x v="5"/>
    <x v="34"/>
    <n v="1671.85"/>
    <n v="1"/>
    <n v="1671.85"/>
    <n v="0"/>
    <n v="0"/>
    <n v="1671.85"/>
    <s v="Debit Card"/>
    <s v="CUST_00938"/>
    <n v="1"/>
    <n v="0"/>
    <n v="1671.85"/>
    <s v="No Discount"/>
  </r>
  <r>
    <s v="TXN_03910"/>
    <d v="2024-08-02T00:00:00"/>
    <x v="8"/>
    <s v="Friday"/>
    <s v="STORE_039"/>
    <x v="2"/>
    <x v="0"/>
    <x v="4"/>
    <n v="349.84"/>
    <n v="2"/>
    <n v="699.68"/>
    <n v="0"/>
    <n v="0"/>
    <n v="699.68"/>
    <s v="Wallet"/>
    <s v="CUST_00920"/>
    <n v="3"/>
    <n v="0"/>
    <n v="349.84"/>
    <s v="No Discount"/>
  </r>
  <r>
    <s v="TXN_03911"/>
    <d v="2024-04-24T00:00:00"/>
    <x v="4"/>
    <s v="Wednesday"/>
    <s v="STORE_037"/>
    <x v="2"/>
    <x v="3"/>
    <x v="21"/>
    <n v="2056.64"/>
    <n v="8"/>
    <n v="16453.12"/>
    <n v="5"/>
    <n v="822.66"/>
    <n v="15630.46"/>
    <s v="Cash"/>
    <s v="CUST_00008"/>
    <n v="4"/>
    <n v="822.65999999999985"/>
    <n v="1953.8074999999999"/>
    <s v="Low"/>
  </r>
  <r>
    <s v="TXN_03912"/>
    <d v="2024-06-13T00:00:00"/>
    <x v="10"/>
    <s v="Thursday"/>
    <s v="STORE_014"/>
    <x v="0"/>
    <x v="6"/>
    <x v="30"/>
    <n v="1484.24"/>
    <n v="2"/>
    <n v="2968.48"/>
    <n v="5"/>
    <n v="148.41999999999999"/>
    <n v="2820.06"/>
    <s v="UPI"/>
    <s v="CUST_00962"/>
    <n v="3"/>
    <n v="148.42000000000007"/>
    <n v="1410.03"/>
    <s v="Low"/>
  </r>
  <r>
    <s v="TXN_03913"/>
    <d v="2024-05-07T00:00:00"/>
    <x v="3"/>
    <s v="Tuesday"/>
    <s v="STORE_008"/>
    <x v="1"/>
    <x v="2"/>
    <x v="39"/>
    <n v="470.72"/>
    <n v="5"/>
    <n v="2353.6"/>
    <n v="0"/>
    <n v="0"/>
    <n v="2353.6"/>
    <s v="Wallet"/>
    <s v="CUST_00936"/>
    <n v="4"/>
    <n v="0"/>
    <n v="470.71999999999997"/>
    <s v="No Discount"/>
  </r>
  <r>
    <s v="TXN_03914"/>
    <d v="2024-08-01T00:00:00"/>
    <x v="8"/>
    <s v="Thursday"/>
    <s v="STORE_008"/>
    <x v="2"/>
    <x v="7"/>
    <x v="24"/>
    <n v="641.61"/>
    <n v="8"/>
    <n v="5132.88"/>
    <n v="0"/>
    <n v="0"/>
    <n v="5132.88"/>
    <s v="UPI"/>
    <s v="CUST_00477"/>
    <n v="5"/>
    <n v="0"/>
    <n v="641.61"/>
    <s v="No Discount"/>
  </r>
  <r>
    <s v="TXN_03915"/>
    <d v="2024-06-12T00:00:00"/>
    <x v="10"/>
    <s v="Wednesday"/>
    <s v="STORE_012"/>
    <x v="2"/>
    <x v="6"/>
    <x v="26"/>
    <n v="1178.29"/>
    <n v="3"/>
    <n v="3534.87"/>
    <n v="5"/>
    <n v="176.74"/>
    <n v="3358.13"/>
    <s v="Debit Card"/>
    <s v="CUST_00865"/>
    <n v="5"/>
    <n v="176.73999999999978"/>
    <n v="1119.3766666666668"/>
    <s v="Low"/>
  </r>
  <r>
    <s v="TXN_03916"/>
    <d v="2024-05-18T00:00:00"/>
    <x v="3"/>
    <s v="Saturday"/>
    <s v="STORE_035"/>
    <x v="0"/>
    <x v="2"/>
    <x v="2"/>
    <n v="132.61000000000001"/>
    <n v="4"/>
    <n v="530.44000000000005"/>
    <n v="15"/>
    <n v="79.569999999999993"/>
    <n v="450.87"/>
    <s v="Wallet"/>
    <s v="CUST_00290"/>
    <n v="1"/>
    <n v="79.57000000000005"/>
    <n v="112.7175"/>
    <s v="Medium"/>
  </r>
  <r>
    <s v="TXN_03917"/>
    <d v="2024-02-09T00:00:00"/>
    <x v="1"/>
    <s v="Friday"/>
    <s v="STORE_002"/>
    <x v="1"/>
    <x v="7"/>
    <x v="38"/>
    <n v="1304.8499999999999"/>
    <n v="3"/>
    <n v="3914.55"/>
    <n v="0"/>
    <n v="0"/>
    <n v="3914.55"/>
    <s v="UPI"/>
    <s v="CUST_00882"/>
    <n v="1"/>
    <n v="0"/>
    <n v="1304.8500000000001"/>
    <s v="No Discount"/>
  </r>
  <r>
    <s v="TXN_03918"/>
    <d v="2024-10-19T00:00:00"/>
    <x v="7"/>
    <s v="Saturday"/>
    <s v="STORE_044"/>
    <x v="1"/>
    <x v="3"/>
    <x v="12"/>
    <n v="942.84"/>
    <n v="2"/>
    <n v="1885.68"/>
    <n v="10"/>
    <n v="188.57"/>
    <n v="1697.11"/>
    <s v="Debit Card"/>
    <s v="CUST_00192"/>
    <n v="2"/>
    <n v="188.57000000000016"/>
    <n v="848.55499999999995"/>
    <s v="Medium"/>
  </r>
  <r>
    <s v="TXN_03919"/>
    <d v="2024-07-09T00:00:00"/>
    <x v="11"/>
    <s v="Tuesday"/>
    <s v="STORE_006"/>
    <x v="0"/>
    <x v="1"/>
    <x v="1"/>
    <n v="122.08"/>
    <n v="3"/>
    <n v="366.24"/>
    <n v="15"/>
    <n v="54.94"/>
    <n v="311.3"/>
    <s v="Credit Card"/>
    <s v="CUST_00115"/>
    <n v="2"/>
    <n v="54.94"/>
    <n v="103.76666666666667"/>
    <s v="Medium"/>
  </r>
  <r>
    <s v="TXN_03920"/>
    <d v="2024-03-02T00:00:00"/>
    <x v="5"/>
    <s v="Saturday"/>
    <s v="STORE_034"/>
    <x v="0"/>
    <x v="7"/>
    <x v="37"/>
    <n v="860.79"/>
    <n v="6"/>
    <n v="5164.74"/>
    <n v="15"/>
    <n v="774.71"/>
    <n v="4390.03"/>
    <s v="Cash"/>
    <s v="CUST_00172"/>
    <n v="2"/>
    <n v="774.71"/>
    <n v="731.67166666666662"/>
    <s v="Medium"/>
  </r>
  <r>
    <s v="TXN_03921"/>
    <d v="2024-09-14T00:00:00"/>
    <x v="9"/>
    <s v="Saturday"/>
    <s v="STORE_029"/>
    <x v="4"/>
    <x v="0"/>
    <x v="4"/>
    <n v="743.71"/>
    <n v="2"/>
    <n v="1487.42"/>
    <n v="15"/>
    <n v="223.11"/>
    <n v="1264.31"/>
    <s v="Credit Card"/>
    <s v="CUST_00114"/>
    <n v="4"/>
    <n v="223.11000000000013"/>
    <n v="632.15499999999997"/>
    <s v="Medium"/>
  </r>
  <r>
    <s v="TXN_03922"/>
    <d v="2024-12-10T00:00:00"/>
    <x v="6"/>
    <s v="Tuesday"/>
    <s v="STORE_048"/>
    <x v="0"/>
    <x v="7"/>
    <x v="37"/>
    <n v="1484.66"/>
    <n v="8"/>
    <n v="11877.28"/>
    <n v="20"/>
    <n v="2375.46"/>
    <n v="9501.82"/>
    <s v="Wallet"/>
    <s v="CUST_00976"/>
    <n v="4"/>
    <n v="2375.4600000000009"/>
    <n v="1187.7275"/>
    <s v="High"/>
  </r>
  <r>
    <s v="TXN_03923"/>
    <d v="2024-01-27T00:00:00"/>
    <x v="2"/>
    <s v="Saturday"/>
    <s v="STORE_017"/>
    <x v="0"/>
    <x v="6"/>
    <x v="14"/>
    <n v="979.79"/>
    <n v="6"/>
    <n v="5878.74"/>
    <n v="0"/>
    <n v="0"/>
    <n v="5878.74"/>
    <s v="Wallet"/>
    <s v="CUST_00443"/>
    <n v="4"/>
    <n v="0"/>
    <n v="979.79"/>
    <s v="No Discount"/>
  </r>
  <r>
    <s v="TXN_03924"/>
    <d v="2024-04-01T00:00:00"/>
    <x v="4"/>
    <s v="Monday"/>
    <s v="STORE_037"/>
    <x v="1"/>
    <x v="1"/>
    <x v="31"/>
    <n v="400.87"/>
    <n v="3"/>
    <n v="1202.6099999999999"/>
    <n v="0"/>
    <n v="0"/>
    <n v="1202.6099999999999"/>
    <s v="Credit Card"/>
    <s v="CUST_00086"/>
    <n v="5"/>
    <n v="0"/>
    <n v="400.86999999999995"/>
    <s v="No Discount"/>
  </r>
  <r>
    <s v="TXN_03925"/>
    <d v="2024-04-24T00:00:00"/>
    <x v="4"/>
    <s v="Wednesday"/>
    <s v="STORE_013"/>
    <x v="2"/>
    <x v="1"/>
    <x v="6"/>
    <n v="143.91999999999999"/>
    <n v="1"/>
    <n v="143.91999999999999"/>
    <n v="0"/>
    <n v="0"/>
    <n v="143.91999999999999"/>
    <s v="Credit Card"/>
    <s v="CUST_00623"/>
    <n v="3"/>
    <n v="0"/>
    <n v="143.91999999999999"/>
    <s v="No Discount"/>
  </r>
  <r>
    <s v="TXN_03926"/>
    <d v="2024-09-21T00:00:00"/>
    <x v="9"/>
    <s v="Saturday"/>
    <s v="STORE_021"/>
    <x v="2"/>
    <x v="2"/>
    <x v="2"/>
    <n v="142.44999999999999"/>
    <n v="6"/>
    <n v="854.7"/>
    <n v="0"/>
    <n v="0"/>
    <n v="854.7"/>
    <s v="UPI"/>
    <s v="CUST_00541"/>
    <n v="3"/>
    <n v="0"/>
    <n v="142.45000000000002"/>
    <s v="No Discount"/>
  </r>
  <r>
    <s v="TXN_03927"/>
    <d v="2024-01-24T00:00:00"/>
    <x v="2"/>
    <s v="Wednesday"/>
    <s v="STORE_029"/>
    <x v="2"/>
    <x v="2"/>
    <x v="7"/>
    <n v="323.94"/>
    <n v="9"/>
    <n v="2915.46"/>
    <n v="0"/>
    <n v="0"/>
    <n v="2915.46"/>
    <s v="UPI"/>
    <s v="CUST_00239"/>
    <n v="4"/>
    <n v="0"/>
    <n v="323.94"/>
    <s v="No Discount"/>
  </r>
  <r>
    <s v="TXN_03928"/>
    <d v="2024-07-24T00:00:00"/>
    <x v="11"/>
    <s v="Wednesday"/>
    <s v="STORE_047"/>
    <x v="2"/>
    <x v="1"/>
    <x v="3"/>
    <n v="162.72999999999999"/>
    <n v="8"/>
    <n v="1301.8399999999999"/>
    <n v="10"/>
    <n v="130.18"/>
    <n v="1171.6600000000001"/>
    <s v="UPI"/>
    <s v="CUST_00573"/>
    <n v="1"/>
    <n v="130.17999999999984"/>
    <n v="146.45750000000001"/>
    <s v="Medium"/>
  </r>
  <r>
    <s v="TXN_03929"/>
    <d v="2024-02-05T00:00:00"/>
    <x v="1"/>
    <s v="Monday"/>
    <s v="STORE_022"/>
    <x v="4"/>
    <x v="3"/>
    <x v="21"/>
    <n v="2021.15"/>
    <n v="7"/>
    <n v="14148.05"/>
    <n v="0"/>
    <n v="0"/>
    <n v="14148.05"/>
    <s v="Cash"/>
    <s v="CUST_00238"/>
    <n v="1"/>
    <n v="0"/>
    <n v="2021.1499999999999"/>
    <s v="No Discount"/>
  </r>
  <r>
    <s v="TXN_03930"/>
    <d v="2024-08-26T00:00:00"/>
    <x v="8"/>
    <s v="Monday"/>
    <s v="STORE_029"/>
    <x v="0"/>
    <x v="4"/>
    <x v="35"/>
    <n v="473.05"/>
    <n v="1"/>
    <n v="473.05"/>
    <n v="0"/>
    <n v="0"/>
    <n v="473.05"/>
    <s v="UPI"/>
    <s v="CUST_00466"/>
    <n v="2"/>
    <n v="0"/>
    <n v="473.05"/>
    <s v="No Discount"/>
  </r>
  <r>
    <s v="TXN_03931"/>
    <d v="2024-05-24T00:00:00"/>
    <x v="3"/>
    <s v="Friday"/>
    <s v="STORE_002"/>
    <x v="2"/>
    <x v="1"/>
    <x v="31"/>
    <n v="468.43"/>
    <n v="3"/>
    <n v="1405.29"/>
    <n v="10"/>
    <n v="140.53"/>
    <n v="1264.76"/>
    <s v="Debit Card"/>
    <s v="CUST_00868"/>
    <n v="5"/>
    <n v="140.52999999999997"/>
    <n v="421.58666666666664"/>
    <s v="Medium"/>
  </r>
  <r>
    <s v="TXN_03932"/>
    <d v="2024-06-08T00:00:00"/>
    <x v="10"/>
    <s v="Saturday"/>
    <s v="STORE_013"/>
    <x v="1"/>
    <x v="3"/>
    <x v="12"/>
    <n v="230.47"/>
    <n v="2"/>
    <n v="460.94"/>
    <n v="0"/>
    <n v="0"/>
    <n v="460.94"/>
    <s v="Debit Card"/>
    <s v="CUST_00029"/>
    <n v="1"/>
    <n v="0"/>
    <n v="230.47"/>
    <s v="No Discount"/>
  </r>
  <r>
    <s v="TXN_03933"/>
    <d v="2024-06-16T00:00:00"/>
    <x v="10"/>
    <s v="Sunday"/>
    <s v="STORE_039"/>
    <x v="2"/>
    <x v="0"/>
    <x v="0"/>
    <n v="879.87"/>
    <n v="9"/>
    <n v="7918.83"/>
    <n v="0"/>
    <n v="0"/>
    <n v="7918.83"/>
    <s v="Credit Card"/>
    <s v="CUST_00373"/>
    <n v="5"/>
    <n v="0"/>
    <n v="879.87"/>
    <s v="No Discount"/>
  </r>
  <r>
    <s v="TXN_03934"/>
    <d v="2024-02-14T00:00:00"/>
    <x v="1"/>
    <s v="Wednesday"/>
    <s v="STORE_044"/>
    <x v="3"/>
    <x v="6"/>
    <x v="14"/>
    <n v="954.27"/>
    <n v="7"/>
    <n v="6679.89"/>
    <n v="0"/>
    <n v="0"/>
    <n v="6679.89"/>
    <s v="Credit Card"/>
    <s v="CUST_00654"/>
    <n v="1"/>
    <n v="0"/>
    <n v="954.2700000000001"/>
    <s v="No Discount"/>
  </r>
  <r>
    <s v="TXN_03935"/>
    <d v="2024-10-10T00:00:00"/>
    <x v="7"/>
    <s v="Thursday"/>
    <s v="STORE_018"/>
    <x v="4"/>
    <x v="2"/>
    <x v="13"/>
    <n v="661.38"/>
    <n v="2"/>
    <n v="1322.76"/>
    <n v="5"/>
    <n v="66.14"/>
    <n v="1256.6199999999999"/>
    <s v="Credit Card"/>
    <s v="CUST_00361"/>
    <n v="4"/>
    <n v="66.1400000000001"/>
    <n v="628.30999999999995"/>
    <s v="Low"/>
  </r>
  <r>
    <s v="TXN_03936"/>
    <d v="2024-08-21T00:00:00"/>
    <x v="8"/>
    <s v="Wednesday"/>
    <s v="STORE_041"/>
    <x v="2"/>
    <x v="1"/>
    <x v="3"/>
    <n v="246.03"/>
    <n v="9"/>
    <n v="2214.27"/>
    <n v="10"/>
    <n v="221.43"/>
    <n v="1992.84"/>
    <s v="UPI"/>
    <s v="CUST_00168"/>
    <n v="2"/>
    <n v="221.43000000000006"/>
    <n v="221.42666666666665"/>
    <s v="Medium"/>
  </r>
  <r>
    <s v="TXN_03937"/>
    <d v="2024-01-05T00:00:00"/>
    <x v="2"/>
    <s v="Friday"/>
    <s v="STORE_035"/>
    <x v="2"/>
    <x v="2"/>
    <x v="2"/>
    <n v="413.48"/>
    <n v="10"/>
    <n v="4134.8"/>
    <n v="0"/>
    <n v="0"/>
    <n v="4134.8"/>
    <s v="Cash"/>
    <s v="CUST_00963"/>
    <n v="3"/>
    <n v="0"/>
    <n v="413.48"/>
    <s v="No Discount"/>
  </r>
  <r>
    <s v="TXN_03938"/>
    <d v="2024-07-07T00:00:00"/>
    <x v="11"/>
    <s v="Sunday"/>
    <s v="STORE_008"/>
    <x v="2"/>
    <x v="3"/>
    <x v="16"/>
    <n v="2951.46"/>
    <n v="9"/>
    <n v="26563.14"/>
    <n v="0"/>
    <n v="0"/>
    <n v="26563.14"/>
    <s v="Wallet"/>
    <s v="CUST_00772"/>
    <n v="1"/>
    <n v="0"/>
    <n v="2951.46"/>
    <s v="No Discount"/>
  </r>
  <r>
    <s v="TXN_03939"/>
    <d v="2024-04-12T00:00:00"/>
    <x v="4"/>
    <s v="Friday"/>
    <s v="STORE_029"/>
    <x v="3"/>
    <x v="2"/>
    <x v="39"/>
    <n v="589.09"/>
    <n v="8"/>
    <n v="4712.72"/>
    <n v="20"/>
    <n v="942.54"/>
    <n v="3770.18"/>
    <s v="UPI"/>
    <s v="CUST_00924"/>
    <n v="4"/>
    <n v="942.54000000000042"/>
    <n v="471.27249999999998"/>
    <s v="High"/>
  </r>
  <r>
    <s v="TXN_03940"/>
    <d v="2024-05-29T00:00:00"/>
    <x v="3"/>
    <s v="Wednesday"/>
    <s v="STORE_048"/>
    <x v="2"/>
    <x v="7"/>
    <x v="23"/>
    <n v="1332.61"/>
    <n v="3"/>
    <n v="3997.83"/>
    <n v="0"/>
    <n v="0"/>
    <n v="3997.83"/>
    <s v="Wallet"/>
    <s v="CUST_00099"/>
    <n v="4"/>
    <n v="0"/>
    <n v="1332.61"/>
    <s v="No Discount"/>
  </r>
  <r>
    <s v="TXN_03941"/>
    <d v="2024-10-15T00:00:00"/>
    <x v="7"/>
    <s v="Tuesday"/>
    <s v="STORE_022"/>
    <x v="2"/>
    <x v="1"/>
    <x v="36"/>
    <n v="305.70999999999998"/>
    <n v="2"/>
    <n v="611.41999999999996"/>
    <n v="5"/>
    <n v="30.57"/>
    <n v="580.85"/>
    <s v="UPI"/>
    <s v="CUST_00955"/>
    <n v="3"/>
    <n v="30.569999999999936"/>
    <n v="290.42500000000001"/>
    <s v="Low"/>
  </r>
  <r>
    <s v="TXN_03942"/>
    <d v="2024-06-04T00:00:00"/>
    <x v="10"/>
    <s v="Tuesday"/>
    <s v="STORE_036"/>
    <x v="2"/>
    <x v="1"/>
    <x v="1"/>
    <n v="391.27"/>
    <n v="1"/>
    <n v="391.27"/>
    <n v="0"/>
    <n v="0"/>
    <n v="391.27"/>
    <s v="Debit Card"/>
    <s v="CUST_00258"/>
    <n v="2"/>
    <n v="0"/>
    <n v="391.27"/>
    <s v="No Discount"/>
  </r>
  <r>
    <s v="TXN_03943"/>
    <d v="2024-11-14T00:00:00"/>
    <x v="0"/>
    <s v="Thursday"/>
    <s v="STORE_030"/>
    <x v="0"/>
    <x v="4"/>
    <x v="20"/>
    <n v="287.39999999999998"/>
    <n v="9"/>
    <n v="2586.6"/>
    <n v="20"/>
    <n v="517.32000000000005"/>
    <n v="2069.2800000000002"/>
    <s v="Debit Card"/>
    <s v="CUST_00331"/>
    <n v="4"/>
    <n v="517.31999999999971"/>
    <n v="229.92000000000002"/>
    <s v="High"/>
  </r>
  <r>
    <s v="TXN_03944"/>
    <d v="2024-05-04T00:00:00"/>
    <x v="3"/>
    <s v="Saturday"/>
    <s v="STORE_035"/>
    <x v="1"/>
    <x v="3"/>
    <x v="12"/>
    <n v="366.09"/>
    <n v="6"/>
    <n v="2196.54"/>
    <n v="15"/>
    <n v="329.48"/>
    <n v="1867.06"/>
    <s v="Wallet"/>
    <s v="CUST_00537"/>
    <n v="2"/>
    <n v="329.48"/>
    <n v="311.17666666666668"/>
    <s v="Medium"/>
  </r>
  <r>
    <s v="TXN_03945"/>
    <d v="2024-08-25T00:00:00"/>
    <x v="8"/>
    <s v="Sunday"/>
    <s v="STORE_011"/>
    <x v="4"/>
    <x v="1"/>
    <x v="31"/>
    <n v="212.34"/>
    <n v="9"/>
    <n v="1911.06"/>
    <n v="5"/>
    <n v="95.55"/>
    <n v="1815.51"/>
    <s v="Debit Card"/>
    <s v="CUST_00623"/>
    <n v="4"/>
    <n v="95.549999999999955"/>
    <n v="201.72333333333333"/>
    <s v="Low"/>
  </r>
  <r>
    <s v="TXN_03946"/>
    <d v="2024-07-07T00:00:00"/>
    <x v="11"/>
    <s v="Sunday"/>
    <s v="STORE_011"/>
    <x v="1"/>
    <x v="3"/>
    <x v="12"/>
    <n v="1960.14"/>
    <n v="6"/>
    <n v="11760.84"/>
    <n v="15"/>
    <n v="1764.13"/>
    <n v="9996.7099999999991"/>
    <s v="UPI"/>
    <s v="CUST_00031"/>
    <n v="1"/>
    <n v="1764.130000000001"/>
    <n v="1666.1183333333331"/>
    <s v="Medium"/>
  </r>
  <r>
    <s v="TXN_03947"/>
    <d v="2024-10-29T00:00:00"/>
    <x v="7"/>
    <s v="Tuesday"/>
    <s v="STORE_020"/>
    <x v="3"/>
    <x v="3"/>
    <x v="16"/>
    <n v="1608.48"/>
    <n v="7"/>
    <n v="11259.36"/>
    <n v="0"/>
    <n v="0"/>
    <n v="11259.36"/>
    <s v="Wallet"/>
    <s v="CUST_00294"/>
    <n v="5"/>
    <n v="0"/>
    <n v="1608.48"/>
    <s v="No Discount"/>
  </r>
  <r>
    <s v="TXN_03948"/>
    <d v="2024-09-09T00:00:00"/>
    <x v="9"/>
    <s v="Monday"/>
    <s v="STORE_015"/>
    <x v="1"/>
    <x v="2"/>
    <x v="39"/>
    <n v="194.72"/>
    <n v="8"/>
    <n v="1557.76"/>
    <n v="0"/>
    <n v="0"/>
    <n v="1557.76"/>
    <s v="Wallet"/>
    <s v="CUST_00741"/>
    <n v="5"/>
    <n v="0"/>
    <n v="194.72"/>
    <s v="No Discount"/>
  </r>
  <r>
    <s v="TXN_03949"/>
    <d v="2024-04-10T00:00:00"/>
    <x v="4"/>
    <s v="Wednesday"/>
    <s v="STORE_047"/>
    <x v="4"/>
    <x v="0"/>
    <x v="32"/>
    <n v="304.7"/>
    <n v="4"/>
    <n v="1218.8"/>
    <n v="10"/>
    <n v="121.88"/>
    <n v="1096.92"/>
    <s v="Credit Card"/>
    <s v="CUST_00427"/>
    <n v="5"/>
    <n v="121.87999999999988"/>
    <n v="274.23"/>
    <s v="Medium"/>
  </r>
  <r>
    <s v="TXN_03950"/>
    <d v="2024-10-06T00:00:00"/>
    <x v="7"/>
    <s v="Sunday"/>
    <s v="STORE_015"/>
    <x v="0"/>
    <x v="1"/>
    <x v="1"/>
    <n v="124.71"/>
    <n v="3"/>
    <n v="374.13"/>
    <n v="5"/>
    <n v="18.71"/>
    <n v="355.42"/>
    <s v="Debit Card"/>
    <s v="CUST_00878"/>
    <n v="3"/>
    <n v="18.70999999999998"/>
    <n v="118.47333333333334"/>
    <s v="Low"/>
  </r>
  <r>
    <s v="TXN_03951"/>
    <d v="2024-05-05T00:00:00"/>
    <x v="3"/>
    <s v="Sunday"/>
    <s v="STORE_028"/>
    <x v="0"/>
    <x v="2"/>
    <x v="2"/>
    <n v="757.35"/>
    <n v="3"/>
    <n v="2272.0500000000002"/>
    <n v="0"/>
    <n v="0"/>
    <n v="2272.0500000000002"/>
    <s v="Credit Card"/>
    <s v="CUST_00252"/>
    <n v="4"/>
    <n v="0"/>
    <n v="757.35"/>
    <s v="No Discount"/>
  </r>
  <r>
    <s v="TXN_03952"/>
    <d v="2024-03-18T00:00:00"/>
    <x v="5"/>
    <s v="Monday"/>
    <s v="STORE_045"/>
    <x v="0"/>
    <x v="2"/>
    <x v="2"/>
    <n v="181.68"/>
    <n v="3"/>
    <n v="545.04"/>
    <n v="0"/>
    <n v="0"/>
    <n v="545.04"/>
    <s v="Cash"/>
    <s v="CUST_00262"/>
    <n v="4"/>
    <n v="0"/>
    <n v="181.67999999999998"/>
    <s v="No Discount"/>
  </r>
  <r>
    <s v="TXN_03953"/>
    <d v="2024-01-04T00:00:00"/>
    <x v="2"/>
    <s v="Thursday"/>
    <s v="STORE_034"/>
    <x v="4"/>
    <x v="4"/>
    <x v="20"/>
    <n v="587.53"/>
    <n v="7"/>
    <n v="4112.71"/>
    <n v="0"/>
    <n v="0"/>
    <n v="4112.71"/>
    <s v="UPI"/>
    <s v="CUST_00430"/>
    <n v="2"/>
    <n v="0"/>
    <n v="587.53"/>
    <s v="No Discount"/>
  </r>
  <r>
    <s v="TXN_03954"/>
    <d v="2024-07-28T00:00:00"/>
    <x v="11"/>
    <s v="Sunday"/>
    <s v="STORE_018"/>
    <x v="1"/>
    <x v="5"/>
    <x v="11"/>
    <n v="1779.83"/>
    <n v="8"/>
    <n v="14238.64"/>
    <n v="0"/>
    <n v="0"/>
    <n v="14238.64"/>
    <s v="Cash"/>
    <s v="CUST_00372"/>
    <n v="3"/>
    <n v="0"/>
    <n v="1779.83"/>
    <s v="No Discount"/>
  </r>
  <r>
    <s v="TXN_03955"/>
    <d v="2024-01-13T00:00:00"/>
    <x v="2"/>
    <s v="Saturday"/>
    <s v="STORE_007"/>
    <x v="3"/>
    <x v="7"/>
    <x v="24"/>
    <n v="544.05999999999995"/>
    <n v="5"/>
    <n v="2720.3"/>
    <n v="0"/>
    <n v="0"/>
    <n v="2720.3"/>
    <s v="Credit Card"/>
    <s v="CUST_00348"/>
    <n v="1"/>
    <n v="0"/>
    <n v="544.06000000000006"/>
    <s v="No Discount"/>
  </r>
  <r>
    <s v="TXN_03956"/>
    <d v="2024-04-29T00:00:00"/>
    <x v="4"/>
    <s v="Monday"/>
    <s v="STORE_011"/>
    <x v="2"/>
    <x v="2"/>
    <x v="7"/>
    <n v="285.48"/>
    <n v="10"/>
    <n v="2854.8"/>
    <n v="0"/>
    <n v="0"/>
    <n v="2854.8"/>
    <s v="UPI"/>
    <s v="CUST_00647"/>
    <n v="3"/>
    <n v="0"/>
    <n v="285.48"/>
    <s v="No Discount"/>
  </r>
  <r>
    <s v="TXN_03957"/>
    <d v="2024-10-04T00:00:00"/>
    <x v="7"/>
    <s v="Friday"/>
    <s v="STORE_008"/>
    <x v="1"/>
    <x v="2"/>
    <x v="29"/>
    <n v="699.41"/>
    <n v="5"/>
    <n v="3497.05"/>
    <n v="5"/>
    <n v="174.85"/>
    <n v="3322.2"/>
    <s v="Debit Card"/>
    <s v="CUST_00077"/>
    <n v="5"/>
    <n v="174.85000000000036"/>
    <n v="664.43999999999994"/>
    <s v="Low"/>
  </r>
  <r>
    <s v="TXN_03958"/>
    <d v="2024-06-26T00:00:00"/>
    <x v="10"/>
    <s v="Wednesday"/>
    <s v="STORE_012"/>
    <x v="1"/>
    <x v="5"/>
    <x v="10"/>
    <n v="1444.97"/>
    <n v="7"/>
    <n v="10114.790000000001"/>
    <n v="0"/>
    <n v="0"/>
    <n v="10114.790000000001"/>
    <s v="UPI"/>
    <s v="CUST_00677"/>
    <n v="5"/>
    <n v="0"/>
    <n v="1444.97"/>
    <s v="No Discount"/>
  </r>
  <r>
    <s v="TXN_03959"/>
    <d v="2024-11-21T00:00:00"/>
    <x v="0"/>
    <s v="Thursday"/>
    <s v="STORE_017"/>
    <x v="3"/>
    <x v="0"/>
    <x v="32"/>
    <n v="342.43"/>
    <n v="10"/>
    <n v="3424.3"/>
    <n v="10"/>
    <n v="342.43"/>
    <n v="3081.87"/>
    <s v="UPI"/>
    <s v="CUST_00746"/>
    <n v="2"/>
    <n v="342.43000000000029"/>
    <n v="308.18700000000001"/>
    <s v="Medium"/>
  </r>
  <r>
    <s v="TXN_03960"/>
    <d v="2024-12-21T00:00:00"/>
    <x v="6"/>
    <s v="Saturday"/>
    <s v="STORE_024"/>
    <x v="4"/>
    <x v="3"/>
    <x v="22"/>
    <n v="800.34"/>
    <n v="10"/>
    <n v="8003.4"/>
    <n v="10"/>
    <n v="800.34"/>
    <n v="7203.06"/>
    <s v="Wallet"/>
    <s v="CUST_00832"/>
    <n v="4"/>
    <n v="800.33999999999924"/>
    <n v="720.30600000000004"/>
    <s v="Medium"/>
  </r>
  <r>
    <s v="TXN_03961"/>
    <d v="2024-01-05T00:00:00"/>
    <x v="2"/>
    <s v="Friday"/>
    <s v="STORE_008"/>
    <x v="1"/>
    <x v="7"/>
    <x v="24"/>
    <n v="587.84"/>
    <n v="1"/>
    <n v="587.84"/>
    <n v="0"/>
    <n v="0"/>
    <n v="587.84"/>
    <s v="UPI"/>
    <s v="CUST_00378"/>
    <n v="3"/>
    <n v="0"/>
    <n v="587.84"/>
    <s v="No Discount"/>
  </r>
  <r>
    <s v="TXN_03962"/>
    <d v="2024-06-20T00:00:00"/>
    <x v="10"/>
    <s v="Thursday"/>
    <s v="STORE_044"/>
    <x v="0"/>
    <x v="7"/>
    <x v="23"/>
    <n v="564.29"/>
    <n v="5"/>
    <n v="2821.45"/>
    <n v="5"/>
    <n v="141.07"/>
    <n v="2680.38"/>
    <s v="Wallet"/>
    <s v="CUST_00050"/>
    <n v="2"/>
    <n v="141.06999999999971"/>
    <n v="536.07600000000002"/>
    <s v="Low"/>
  </r>
  <r>
    <s v="TXN_03963"/>
    <d v="2024-01-01T00:00:00"/>
    <x v="2"/>
    <s v="Monday"/>
    <s v="STORE_048"/>
    <x v="0"/>
    <x v="4"/>
    <x v="19"/>
    <n v="515.75"/>
    <n v="9"/>
    <n v="4641.75"/>
    <n v="0"/>
    <n v="0"/>
    <n v="4641.75"/>
    <s v="Cash"/>
    <s v="CUST_00079"/>
    <n v="3"/>
    <n v="0"/>
    <n v="515.75"/>
    <s v="No Discount"/>
  </r>
  <r>
    <s v="TXN_03964"/>
    <d v="2024-12-02T00:00:00"/>
    <x v="6"/>
    <s v="Monday"/>
    <s v="STORE_048"/>
    <x v="3"/>
    <x v="6"/>
    <x v="26"/>
    <n v="637.69000000000005"/>
    <n v="5"/>
    <n v="3188.45"/>
    <n v="5"/>
    <n v="159.41999999999999"/>
    <n v="3029.03"/>
    <s v="Cash"/>
    <s v="CUST_00548"/>
    <n v="2"/>
    <n v="159.41999999999962"/>
    <n v="605.80600000000004"/>
    <s v="Low"/>
  </r>
  <r>
    <s v="TXN_03965"/>
    <d v="2024-07-11T00:00:00"/>
    <x v="11"/>
    <s v="Thursday"/>
    <s v="STORE_041"/>
    <x v="3"/>
    <x v="0"/>
    <x v="0"/>
    <n v="446.83"/>
    <n v="1"/>
    <n v="446.83"/>
    <n v="20"/>
    <n v="89.37"/>
    <n v="357.46"/>
    <s v="Credit Card"/>
    <s v="CUST_00014"/>
    <n v="3"/>
    <n v="89.37"/>
    <n v="357.46"/>
    <s v="High"/>
  </r>
  <r>
    <s v="TXN_03966"/>
    <d v="2024-06-06T00:00:00"/>
    <x v="10"/>
    <s v="Thursday"/>
    <s v="STORE_025"/>
    <x v="4"/>
    <x v="0"/>
    <x v="4"/>
    <n v="789.11"/>
    <n v="10"/>
    <n v="7891.1"/>
    <n v="5"/>
    <n v="394.56"/>
    <n v="7496.54"/>
    <s v="Credit Card"/>
    <s v="CUST_00642"/>
    <n v="1"/>
    <n v="394.5600000000004"/>
    <n v="749.654"/>
    <s v="Low"/>
  </r>
  <r>
    <s v="TXN_03967"/>
    <d v="2024-02-23T00:00:00"/>
    <x v="1"/>
    <s v="Friday"/>
    <s v="STORE_005"/>
    <x v="4"/>
    <x v="0"/>
    <x v="0"/>
    <n v="799.96"/>
    <n v="5"/>
    <n v="3999.8"/>
    <n v="10"/>
    <n v="399.98"/>
    <n v="3599.82"/>
    <s v="Credit Card"/>
    <s v="CUST_00935"/>
    <n v="2"/>
    <n v="399.98"/>
    <n v="719.96400000000006"/>
    <s v="Medium"/>
  </r>
  <r>
    <s v="TXN_03968"/>
    <d v="2024-04-15T00:00:00"/>
    <x v="4"/>
    <s v="Monday"/>
    <s v="STORE_028"/>
    <x v="2"/>
    <x v="1"/>
    <x v="3"/>
    <n v="480.09"/>
    <n v="1"/>
    <n v="480.09"/>
    <n v="5"/>
    <n v="24"/>
    <n v="456.09"/>
    <s v="Cash"/>
    <s v="CUST_00870"/>
    <n v="1"/>
    <n v="24"/>
    <n v="456.09"/>
    <s v="Low"/>
  </r>
  <r>
    <s v="TXN_03969"/>
    <d v="2024-09-28T00:00:00"/>
    <x v="9"/>
    <s v="Saturday"/>
    <s v="STORE_011"/>
    <x v="1"/>
    <x v="2"/>
    <x v="13"/>
    <n v="158.47"/>
    <n v="10"/>
    <n v="1584.7"/>
    <n v="0"/>
    <n v="0"/>
    <n v="1584.7"/>
    <s v="Credit Card"/>
    <s v="CUST_00003"/>
    <n v="1"/>
    <n v="0"/>
    <n v="158.47"/>
    <s v="No Discount"/>
  </r>
  <r>
    <s v="TXN_03970"/>
    <d v="2024-05-01T00:00:00"/>
    <x v="3"/>
    <s v="Wednesday"/>
    <s v="STORE_012"/>
    <x v="3"/>
    <x v="5"/>
    <x v="11"/>
    <n v="1325.59"/>
    <n v="1"/>
    <n v="1325.59"/>
    <n v="0"/>
    <n v="0"/>
    <n v="1325.59"/>
    <s v="Cash"/>
    <s v="CUST_00170"/>
    <n v="1"/>
    <n v="0"/>
    <n v="1325.59"/>
    <s v="No Discount"/>
  </r>
  <r>
    <s v="TXN_03971"/>
    <d v="2024-08-02T00:00:00"/>
    <x v="8"/>
    <s v="Friday"/>
    <s v="STORE_036"/>
    <x v="3"/>
    <x v="0"/>
    <x v="27"/>
    <n v="969.54"/>
    <n v="3"/>
    <n v="2908.62"/>
    <n v="0"/>
    <n v="0"/>
    <n v="2908.62"/>
    <s v="Debit Card"/>
    <s v="CUST_00910"/>
    <n v="1"/>
    <n v="0"/>
    <n v="969.54"/>
    <s v="No Discount"/>
  </r>
  <r>
    <s v="TXN_03972"/>
    <d v="2024-09-08T00:00:00"/>
    <x v="9"/>
    <s v="Sunday"/>
    <s v="STORE_024"/>
    <x v="2"/>
    <x v="7"/>
    <x v="24"/>
    <n v="1197.04"/>
    <n v="10"/>
    <n v="11970.4"/>
    <n v="10"/>
    <n v="1197.04"/>
    <n v="10773.36"/>
    <s v="Cash"/>
    <s v="CUST_00871"/>
    <n v="2"/>
    <n v="1197.0399999999991"/>
    <n v="1077.336"/>
    <s v="Medium"/>
  </r>
  <r>
    <s v="TXN_03973"/>
    <d v="2024-01-31T00:00:00"/>
    <x v="2"/>
    <s v="Wednesday"/>
    <s v="STORE_033"/>
    <x v="1"/>
    <x v="1"/>
    <x v="3"/>
    <n v="227.76"/>
    <n v="7"/>
    <n v="1594.32"/>
    <n v="10"/>
    <n v="159.43"/>
    <n v="1434.89"/>
    <s v="Wallet"/>
    <s v="CUST_00168"/>
    <n v="4"/>
    <n v="159.42999999999984"/>
    <n v="204.98428571428573"/>
    <s v="Medium"/>
  </r>
  <r>
    <s v="TXN_03974"/>
    <d v="2024-03-13T00:00:00"/>
    <x v="5"/>
    <s v="Wednesday"/>
    <s v="STORE_009"/>
    <x v="1"/>
    <x v="6"/>
    <x v="30"/>
    <n v="1471"/>
    <n v="5"/>
    <n v="7355"/>
    <n v="0"/>
    <n v="0"/>
    <n v="7355"/>
    <s v="Cash"/>
    <s v="CUST_00402"/>
    <n v="3"/>
    <n v="0"/>
    <n v="1471"/>
    <s v="No Discount"/>
  </r>
  <r>
    <s v="TXN_03975"/>
    <d v="2024-12-30T00:00:00"/>
    <x v="6"/>
    <s v="Monday"/>
    <s v="STORE_028"/>
    <x v="2"/>
    <x v="6"/>
    <x v="33"/>
    <n v="834.26"/>
    <n v="8"/>
    <n v="6674.08"/>
    <n v="0"/>
    <n v="0"/>
    <n v="6674.08"/>
    <s v="Debit Card"/>
    <s v="CUST_00736"/>
    <n v="5"/>
    <n v="0"/>
    <n v="834.26"/>
    <s v="No Discount"/>
  </r>
  <r>
    <s v="TXN_03976"/>
    <d v="2024-05-23T00:00:00"/>
    <x v="3"/>
    <s v="Thursday"/>
    <s v="STORE_046"/>
    <x v="4"/>
    <x v="4"/>
    <x v="17"/>
    <n v="315.7"/>
    <n v="9"/>
    <n v="2841.3"/>
    <n v="15"/>
    <n v="426.19"/>
    <n v="2415.11"/>
    <s v="Cash"/>
    <s v="CUST_00280"/>
    <n v="5"/>
    <n v="426.19000000000005"/>
    <n v="268.34555555555556"/>
    <s v="Medium"/>
  </r>
  <r>
    <s v="TXN_03977"/>
    <d v="2024-02-17T00:00:00"/>
    <x v="1"/>
    <s v="Saturday"/>
    <s v="STORE_033"/>
    <x v="0"/>
    <x v="1"/>
    <x v="6"/>
    <n v="346.86"/>
    <n v="7"/>
    <n v="2428.02"/>
    <n v="0"/>
    <n v="0"/>
    <n v="2428.02"/>
    <s v="UPI"/>
    <s v="CUST_00608"/>
    <n v="5"/>
    <n v="0"/>
    <n v="346.86"/>
    <s v="No Discount"/>
  </r>
  <r>
    <s v="TXN_03978"/>
    <d v="2024-01-23T00:00:00"/>
    <x v="2"/>
    <s v="Tuesday"/>
    <s v="STORE_043"/>
    <x v="4"/>
    <x v="3"/>
    <x v="21"/>
    <n v="1152.04"/>
    <n v="8"/>
    <n v="9216.32"/>
    <n v="5"/>
    <n v="460.82"/>
    <n v="8755.5"/>
    <s v="Wallet"/>
    <s v="CUST_00657"/>
    <n v="4"/>
    <n v="460.81999999999971"/>
    <n v="1094.4375"/>
    <s v="Low"/>
  </r>
  <r>
    <s v="TXN_03979"/>
    <d v="2024-04-28T00:00:00"/>
    <x v="4"/>
    <s v="Sunday"/>
    <s v="STORE_003"/>
    <x v="1"/>
    <x v="3"/>
    <x v="5"/>
    <n v="1442.02"/>
    <n v="1"/>
    <n v="1442.02"/>
    <n v="5"/>
    <n v="72.099999999999994"/>
    <n v="1369.92"/>
    <s v="Cash"/>
    <s v="CUST_00601"/>
    <n v="1"/>
    <n v="72.099999999999909"/>
    <n v="1369.92"/>
    <s v="Low"/>
  </r>
  <r>
    <s v="TXN_03980"/>
    <d v="2024-09-23T00:00:00"/>
    <x v="9"/>
    <s v="Monday"/>
    <s v="STORE_050"/>
    <x v="1"/>
    <x v="3"/>
    <x v="16"/>
    <n v="963.26"/>
    <n v="9"/>
    <n v="8669.34"/>
    <n v="0"/>
    <n v="0"/>
    <n v="8669.34"/>
    <s v="Cash"/>
    <s v="CUST_00837"/>
    <n v="1"/>
    <n v="0"/>
    <n v="963.26"/>
    <s v="No Discount"/>
  </r>
  <r>
    <s v="TXN_03981"/>
    <d v="2024-07-30T00:00:00"/>
    <x v="11"/>
    <s v="Tuesday"/>
    <s v="STORE_009"/>
    <x v="4"/>
    <x v="3"/>
    <x v="16"/>
    <n v="355.89"/>
    <n v="4"/>
    <n v="1423.56"/>
    <n v="0"/>
    <n v="0"/>
    <n v="1423.56"/>
    <s v="UPI"/>
    <s v="CUST_00365"/>
    <n v="1"/>
    <n v="0"/>
    <n v="355.89"/>
    <s v="No Discount"/>
  </r>
  <r>
    <s v="TXN_03982"/>
    <d v="2024-12-24T00:00:00"/>
    <x v="6"/>
    <s v="Tuesday"/>
    <s v="STORE_027"/>
    <x v="0"/>
    <x v="0"/>
    <x v="27"/>
    <n v="706.18"/>
    <n v="7"/>
    <n v="4943.26"/>
    <n v="5"/>
    <n v="247.16"/>
    <n v="4696.1000000000004"/>
    <s v="Credit Card"/>
    <s v="CUST_00366"/>
    <n v="5"/>
    <n v="247.15999999999985"/>
    <n v="670.87142857142862"/>
    <s v="Low"/>
  </r>
  <r>
    <s v="TXN_03983"/>
    <d v="2024-07-09T00:00:00"/>
    <x v="11"/>
    <s v="Tuesday"/>
    <s v="STORE_006"/>
    <x v="0"/>
    <x v="2"/>
    <x v="13"/>
    <n v="735.04"/>
    <n v="7"/>
    <n v="5145.28"/>
    <n v="0"/>
    <n v="0"/>
    <n v="5145.28"/>
    <s v="UPI"/>
    <s v="CUST_00090"/>
    <n v="3"/>
    <n v="0"/>
    <n v="735.04"/>
    <s v="No Discount"/>
  </r>
  <r>
    <s v="TXN_03984"/>
    <d v="2024-08-22T00:00:00"/>
    <x v="8"/>
    <s v="Thursday"/>
    <s v="STORE_025"/>
    <x v="1"/>
    <x v="6"/>
    <x v="30"/>
    <n v="1250.6099999999999"/>
    <n v="3"/>
    <n v="3751.83"/>
    <n v="5"/>
    <n v="187.59"/>
    <n v="3564.24"/>
    <s v="Debit Card"/>
    <s v="CUST_00859"/>
    <n v="2"/>
    <n v="187.59000000000015"/>
    <n v="1188.08"/>
    <s v="Low"/>
  </r>
  <r>
    <s v="TXN_03985"/>
    <d v="2024-02-13T00:00:00"/>
    <x v="1"/>
    <s v="Tuesday"/>
    <s v="STORE_038"/>
    <x v="1"/>
    <x v="2"/>
    <x v="2"/>
    <n v="468.48"/>
    <n v="3"/>
    <n v="1405.44"/>
    <n v="20"/>
    <n v="281.08999999999997"/>
    <n v="1124.3499999999999"/>
    <s v="Cash"/>
    <s v="CUST_00063"/>
    <n v="3"/>
    <n v="281.09000000000015"/>
    <n v="374.7833333333333"/>
    <s v="High"/>
  </r>
  <r>
    <s v="TXN_03986"/>
    <d v="2024-10-24T00:00:00"/>
    <x v="7"/>
    <s v="Thursday"/>
    <s v="STORE_022"/>
    <x v="0"/>
    <x v="4"/>
    <x v="17"/>
    <n v="434.94"/>
    <n v="6"/>
    <n v="2609.64"/>
    <n v="5"/>
    <n v="130.47999999999999"/>
    <n v="2479.16"/>
    <s v="Cash"/>
    <s v="CUST_00821"/>
    <n v="2"/>
    <n v="130.48000000000002"/>
    <n v="413.19333333333333"/>
    <s v="Low"/>
  </r>
  <r>
    <s v="TXN_03987"/>
    <d v="2024-02-18T00:00:00"/>
    <x v="1"/>
    <s v="Sunday"/>
    <s v="STORE_003"/>
    <x v="3"/>
    <x v="2"/>
    <x v="29"/>
    <n v="429.44"/>
    <n v="8"/>
    <n v="3435.52"/>
    <n v="20"/>
    <n v="687.1"/>
    <n v="2748.42"/>
    <s v="Wallet"/>
    <s v="CUST_00741"/>
    <n v="3"/>
    <n v="687.09999999999991"/>
    <n v="343.55250000000001"/>
    <s v="High"/>
  </r>
  <r>
    <s v="TXN_03988"/>
    <d v="2024-09-15T00:00:00"/>
    <x v="9"/>
    <s v="Sunday"/>
    <s v="STORE_017"/>
    <x v="4"/>
    <x v="0"/>
    <x v="32"/>
    <n v="818.75"/>
    <n v="6"/>
    <n v="4912.5"/>
    <n v="5"/>
    <n v="245.62"/>
    <n v="4666.88"/>
    <s v="Debit Card"/>
    <s v="CUST_00832"/>
    <n v="4"/>
    <n v="245.61999999999989"/>
    <n v="777.81333333333339"/>
    <s v="Low"/>
  </r>
  <r>
    <s v="TXN_03989"/>
    <d v="2024-03-09T00:00:00"/>
    <x v="5"/>
    <s v="Saturday"/>
    <s v="STORE_019"/>
    <x v="3"/>
    <x v="4"/>
    <x v="20"/>
    <n v="298.62"/>
    <n v="3"/>
    <n v="895.86"/>
    <n v="0"/>
    <n v="0"/>
    <n v="895.86"/>
    <s v="Cash"/>
    <s v="CUST_00469"/>
    <n v="5"/>
    <n v="0"/>
    <n v="298.62"/>
    <s v="No Discount"/>
  </r>
  <r>
    <s v="TXN_03990"/>
    <d v="2024-11-22T00:00:00"/>
    <x v="0"/>
    <s v="Friday"/>
    <s v="STORE_031"/>
    <x v="4"/>
    <x v="6"/>
    <x v="30"/>
    <n v="1489.51"/>
    <n v="6"/>
    <n v="8937.06"/>
    <n v="20"/>
    <n v="1787.41"/>
    <n v="7149.65"/>
    <s v="Debit Card"/>
    <s v="CUST_00770"/>
    <n v="2"/>
    <n v="1787.4099999999999"/>
    <n v="1191.6083333333333"/>
    <s v="High"/>
  </r>
  <r>
    <s v="TXN_03991"/>
    <d v="2024-07-20T00:00:00"/>
    <x v="11"/>
    <s v="Saturday"/>
    <s v="STORE_040"/>
    <x v="3"/>
    <x v="5"/>
    <x v="10"/>
    <n v="2095"/>
    <n v="7"/>
    <n v="14665"/>
    <n v="0"/>
    <n v="0"/>
    <n v="14665"/>
    <s v="Debit Card"/>
    <s v="CUST_00509"/>
    <n v="2"/>
    <n v="0"/>
    <n v="2095"/>
    <s v="No Discount"/>
  </r>
  <r>
    <s v="TXN_03992"/>
    <d v="2024-02-08T00:00:00"/>
    <x v="1"/>
    <s v="Thursday"/>
    <s v="STORE_004"/>
    <x v="0"/>
    <x v="2"/>
    <x v="7"/>
    <n v="765.15"/>
    <n v="10"/>
    <n v="7651.5"/>
    <n v="10"/>
    <n v="765.15"/>
    <n v="6886.35"/>
    <s v="Credit Card"/>
    <s v="CUST_00681"/>
    <n v="2"/>
    <n v="765.14999999999964"/>
    <n v="688.63499999999999"/>
    <s v="Medium"/>
  </r>
  <r>
    <s v="TXN_03993"/>
    <d v="2024-10-30T00:00:00"/>
    <x v="7"/>
    <s v="Wednesday"/>
    <s v="STORE_049"/>
    <x v="2"/>
    <x v="4"/>
    <x v="35"/>
    <n v="167.12"/>
    <n v="1"/>
    <n v="167.12"/>
    <n v="0"/>
    <n v="0"/>
    <n v="167.12"/>
    <s v="Wallet"/>
    <s v="CUST_00351"/>
    <n v="3"/>
    <n v="0"/>
    <n v="167.12"/>
    <s v="No Discount"/>
  </r>
  <r>
    <s v="TXN_03994"/>
    <d v="2024-10-17T00:00:00"/>
    <x v="7"/>
    <s v="Thursday"/>
    <s v="STORE_021"/>
    <x v="0"/>
    <x v="7"/>
    <x v="38"/>
    <n v="639.44000000000005"/>
    <n v="7"/>
    <n v="4476.08"/>
    <n v="10"/>
    <n v="447.61"/>
    <n v="4028.47"/>
    <s v="Cash"/>
    <s v="CUST_00858"/>
    <n v="4"/>
    <n v="447.61000000000013"/>
    <n v="575.49571428571426"/>
    <s v="Medium"/>
  </r>
  <r>
    <s v="TXN_03995"/>
    <d v="2024-02-01T00:00:00"/>
    <x v="1"/>
    <s v="Thursday"/>
    <s v="STORE_025"/>
    <x v="0"/>
    <x v="4"/>
    <x v="8"/>
    <n v="468.22"/>
    <n v="4"/>
    <n v="1872.88"/>
    <n v="15"/>
    <n v="280.93"/>
    <n v="1591.95"/>
    <s v="Wallet"/>
    <s v="CUST_00342"/>
    <n v="4"/>
    <n v="280.93000000000006"/>
    <n v="397.98750000000001"/>
    <s v="Medium"/>
  </r>
  <r>
    <s v="TXN_03996"/>
    <d v="2024-08-10T00:00:00"/>
    <x v="8"/>
    <s v="Saturday"/>
    <s v="STORE_048"/>
    <x v="0"/>
    <x v="5"/>
    <x v="10"/>
    <n v="2137.2800000000002"/>
    <n v="2"/>
    <n v="4274.5600000000004"/>
    <n v="0"/>
    <n v="0"/>
    <n v="4274.5600000000004"/>
    <s v="Debit Card"/>
    <s v="CUST_00023"/>
    <n v="4"/>
    <n v="0"/>
    <n v="2137.2800000000002"/>
    <s v="No Discount"/>
  </r>
  <r>
    <s v="TXN_03997"/>
    <d v="2024-12-05T00:00:00"/>
    <x v="6"/>
    <s v="Thursday"/>
    <s v="STORE_014"/>
    <x v="1"/>
    <x v="2"/>
    <x v="2"/>
    <n v="457.79"/>
    <n v="3"/>
    <n v="1373.37"/>
    <n v="0"/>
    <n v="0"/>
    <n v="1373.37"/>
    <s v="UPI"/>
    <s v="CUST_00907"/>
    <n v="2"/>
    <n v="0"/>
    <n v="457.78999999999996"/>
    <s v="No Discount"/>
  </r>
  <r>
    <s v="TXN_03998"/>
    <d v="2024-03-07T00:00:00"/>
    <x v="5"/>
    <s v="Thursday"/>
    <s v="STORE_013"/>
    <x v="3"/>
    <x v="0"/>
    <x v="18"/>
    <n v="255.16"/>
    <n v="10"/>
    <n v="2551.6"/>
    <n v="5"/>
    <n v="127.58"/>
    <n v="2424.02"/>
    <s v="Wallet"/>
    <s v="CUST_00148"/>
    <n v="4"/>
    <n v="127.57999999999993"/>
    <n v="242.40199999999999"/>
    <s v="Low"/>
  </r>
  <r>
    <s v="TXN_03999"/>
    <d v="2024-05-01T00:00:00"/>
    <x v="3"/>
    <s v="Wednesday"/>
    <s v="STORE_045"/>
    <x v="4"/>
    <x v="5"/>
    <x v="9"/>
    <n v="4607.74"/>
    <n v="10"/>
    <n v="46077.4"/>
    <n v="20"/>
    <n v="9215.48"/>
    <n v="36861.919999999998"/>
    <s v="Debit Card"/>
    <s v="CUST_00043"/>
    <n v="2"/>
    <n v="9215.4800000000032"/>
    <n v="3686.192"/>
    <s v="High"/>
  </r>
  <r>
    <s v="TXN_04000"/>
    <d v="2024-05-29T00:00:00"/>
    <x v="3"/>
    <s v="Wednesday"/>
    <s v="STORE_025"/>
    <x v="2"/>
    <x v="2"/>
    <x v="2"/>
    <n v="598.33000000000004"/>
    <n v="10"/>
    <n v="5983.3"/>
    <n v="0"/>
    <n v="0"/>
    <n v="5983.3"/>
    <s v="UPI"/>
    <s v="CUST_00252"/>
    <n v="1"/>
    <n v="0"/>
    <n v="598.33000000000004"/>
    <s v="No Discount"/>
  </r>
  <r>
    <s v="TXN_04001"/>
    <d v="2024-05-13T00:00:00"/>
    <x v="3"/>
    <s v="Monday"/>
    <s v="STORE_034"/>
    <x v="1"/>
    <x v="3"/>
    <x v="12"/>
    <n v="371.23"/>
    <n v="6"/>
    <n v="2227.38"/>
    <n v="0"/>
    <n v="0"/>
    <n v="2227.38"/>
    <s v="Cash"/>
    <s v="CUST_00256"/>
    <n v="1"/>
    <n v="0"/>
    <n v="371.23"/>
    <s v="No Discount"/>
  </r>
  <r>
    <s v="TXN_04002"/>
    <d v="2024-06-10T00:00:00"/>
    <x v="10"/>
    <s v="Monday"/>
    <s v="STORE_013"/>
    <x v="2"/>
    <x v="0"/>
    <x v="4"/>
    <n v="243.38"/>
    <n v="3"/>
    <n v="730.14"/>
    <n v="15"/>
    <n v="109.52"/>
    <n v="620.62"/>
    <s v="Credit Card"/>
    <s v="CUST_00228"/>
    <n v="5"/>
    <n v="109.51999999999998"/>
    <n v="206.87333333333333"/>
    <s v="Medium"/>
  </r>
  <r>
    <s v="TXN_04003"/>
    <d v="2024-07-20T00:00:00"/>
    <x v="11"/>
    <s v="Saturday"/>
    <s v="STORE_038"/>
    <x v="0"/>
    <x v="1"/>
    <x v="3"/>
    <n v="293.13"/>
    <n v="3"/>
    <n v="879.39"/>
    <n v="15"/>
    <n v="131.91"/>
    <n v="747.48"/>
    <s v="Credit Card"/>
    <s v="CUST_00953"/>
    <n v="1"/>
    <n v="131.90999999999997"/>
    <n v="249.16"/>
    <s v="Medium"/>
  </r>
  <r>
    <s v="TXN_04004"/>
    <d v="2024-12-24T00:00:00"/>
    <x v="6"/>
    <s v="Tuesday"/>
    <s v="STORE_030"/>
    <x v="0"/>
    <x v="0"/>
    <x v="4"/>
    <n v="779.89"/>
    <n v="7"/>
    <n v="5459.23"/>
    <n v="5"/>
    <n v="272.95999999999998"/>
    <n v="5186.2700000000004"/>
    <s v="UPI"/>
    <s v="CUST_00874"/>
    <n v="4"/>
    <n v="272.95999999999913"/>
    <n v="740.89571428571435"/>
    <s v="Low"/>
  </r>
  <r>
    <s v="TXN_04005"/>
    <d v="2024-06-16T00:00:00"/>
    <x v="10"/>
    <s v="Sunday"/>
    <s v="STORE_023"/>
    <x v="1"/>
    <x v="0"/>
    <x v="32"/>
    <n v="812.2"/>
    <n v="8"/>
    <n v="6497.6"/>
    <n v="5"/>
    <n v="324.88"/>
    <n v="6172.72"/>
    <s v="Cash"/>
    <s v="CUST_00339"/>
    <n v="3"/>
    <n v="324.88000000000011"/>
    <n v="771.59"/>
    <s v="Low"/>
  </r>
  <r>
    <s v="TXN_04006"/>
    <d v="2024-06-11T00:00:00"/>
    <x v="10"/>
    <s v="Tuesday"/>
    <s v="STORE_045"/>
    <x v="1"/>
    <x v="6"/>
    <x v="14"/>
    <n v="875.29"/>
    <n v="9"/>
    <n v="7877.61"/>
    <n v="0"/>
    <n v="0"/>
    <n v="7877.61"/>
    <s v="Wallet"/>
    <s v="CUST_00207"/>
    <n v="3"/>
    <n v="0"/>
    <n v="875.29"/>
    <s v="No Discount"/>
  </r>
  <r>
    <s v="TXN_04007"/>
    <d v="2024-08-19T00:00:00"/>
    <x v="8"/>
    <s v="Monday"/>
    <s v="STORE_014"/>
    <x v="4"/>
    <x v="4"/>
    <x v="8"/>
    <n v="198.55"/>
    <n v="1"/>
    <n v="198.55"/>
    <n v="0"/>
    <n v="0"/>
    <n v="198.55"/>
    <s v="UPI"/>
    <s v="CUST_00323"/>
    <n v="5"/>
    <n v="0"/>
    <n v="198.55"/>
    <s v="No Discount"/>
  </r>
  <r>
    <s v="TXN_04008"/>
    <d v="2024-05-19T00:00:00"/>
    <x v="3"/>
    <s v="Sunday"/>
    <s v="STORE_013"/>
    <x v="0"/>
    <x v="4"/>
    <x v="20"/>
    <n v="255.77"/>
    <n v="1"/>
    <n v="255.77"/>
    <n v="10"/>
    <n v="25.58"/>
    <n v="230.19"/>
    <s v="Wallet"/>
    <s v="CUST_00194"/>
    <n v="2"/>
    <n v="25.580000000000013"/>
    <n v="230.19"/>
    <s v="Medium"/>
  </r>
  <r>
    <s v="TXN_04009"/>
    <d v="2024-04-29T00:00:00"/>
    <x v="4"/>
    <s v="Monday"/>
    <s v="STORE_022"/>
    <x v="2"/>
    <x v="7"/>
    <x v="38"/>
    <n v="738.27"/>
    <n v="2"/>
    <n v="1476.54"/>
    <n v="0"/>
    <n v="0"/>
    <n v="1476.54"/>
    <s v="Wallet"/>
    <s v="CUST_00476"/>
    <n v="3"/>
    <n v="0"/>
    <n v="738.27"/>
    <s v="No Discount"/>
  </r>
  <r>
    <s v="TXN_04010"/>
    <d v="2024-02-08T00:00:00"/>
    <x v="1"/>
    <s v="Thursday"/>
    <s v="STORE_001"/>
    <x v="3"/>
    <x v="6"/>
    <x v="14"/>
    <n v="1064.77"/>
    <n v="1"/>
    <n v="1064.77"/>
    <n v="5"/>
    <n v="53.24"/>
    <n v="1011.53"/>
    <s v="Debit Card"/>
    <s v="CUST_00451"/>
    <n v="4"/>
    <n v="53.240000000000009"/>
    <n v="1011.53"/>
    <s v="Low"/>
  </r>
  <r>
    <s v="TXN_04011"/>
    <d v="2024-04-13T00:00:00"/>
    <x v="4"/>
    <s v="Saturday"/>
    <s v="STORE_033"/>
    <x v="3"/>
    <x v="2"/>
    <x v="2"/>
    <n v="323.88"/>
    <n v="2"/>
    <n v="647.76"/>
    <n v="15"/>
    <n v="97.16"/>
    <n v="550.6"/>
    <s v="Cash"/>
    <s v="CUST_00448"/>
    <n v="3"/>
    <n v="97.159999999999968"/>
    <n v="275.3"/>
    <s v="Medium"/>
  </r>
  <r>
    <s v="TXN_04012"/>
    <d v="2024-03-10T00:00:00"/>
    <x v="5"/>
    <s v="Sunday"/>
    <s v="STORE_048"/>
    <x v="1"/>
    <x v="5"/>
    <x v="34"/>
    <n v="4730.18"/>
    <n v="7"/>
    <n v="33111.26"/>
    <n v="0"/>
    <n v="0"/>
    <n v="33111.26"/>
    <s v="Wallet"/>
    <s v="CUST_00677"/>
    <n v="2"/>
    <n v="0"/>
    <n v="4730.18"/>
    <s v="No Discount"/>
  </r>
  <r>
    <s v="TXN_04013"/>
    <d v="2024-10-26T00:00:00"/>
    <x v="7"/>
    <s v="Saturday"/>
    <s v="STORE_012"/>
    <x v="4"/>
    <x v="5"/>
    <x v="9"/>
    <n v="3789.05"/>
    <n v="10"/>
    <n v="37890.5"/>
    <n v="5"/>
    <n v="1894.53"/>
    <n v="35995.97"/>
    <s v="Debit Card"/>
    <s v="CUST_00289"/>
    <n v="1"/>
    <n v="1894.5299999999988"/>
    <n v="3599.5970000000002"/>
    <s v="Low"/>
  </r>
  <r>
    <s v="TXN_04014"/>
    <d v="2024-02-25T00:00:00"/>
    <x v="1"/>
    <s v="Sunday"/>
    <s v="STORE_043"/>
    <x v="2"/>
    <x v="6"/>
    <x v="33"/>
    <n v="1350.18"/>
    <n v="8"/>
    <n v="10801.44"/>
    <n v="0"/>
    <n v="0"/>
    <n v="10801.44"/>
    <s v="Cash"/>
    <s v="CUST_00162"/>
    <n v="2"/>
    <n v="0"/>
    <n v="1350.18"/>
    <s v="No Discount"/>
  </r>
  <r>
    <s v="TXN_04015"/>
    <d v="2024-03-20T00:00:00"/>
    <x v="5"/>
    <s v="Wednesday"/>
    <s v="STORE_011"/>
    <x v="1"/>
    <x v="3"/>
    <x v="22"/>
    <n v="1620.29"/>
    <n v="4"/>
    <n v="6481.16"/>
    <n v="5"/>
    <n v="324.06"/>
    <n v="6157.1"/>
    <s v="UPI"/>
    <s v="CUST_00560"/>
    <n v="1"/>
    <n v="324.05999999999949"/>
    <n v="1539.2750000000001"/>
    <s v="Low"/>
  </r>
  <r>
    <s v="TXN_04016"/>
    <d v="2024-02-24T00:00:00"/>
    <x v="1"/>
    <s v="Saturday"/>
    <s v="STORE_043"/>
    <x v="4"/>
    <x v="5"/>
    <x v="10"/>
    <n v="2057.87"/>
    <n v="9"/>
    <n v="18520.830000000002"/>
    <n v="10"/>
    <n v="1852.08"/>
    <n v="16668.75"/>
    <s v="Credit Card"/>
    <s v="CUST_00977"/>
    <n v="5"/>
    <n v="1852.0800000000017"/>
    <n v="1852.0833333333333"/>
    <s v="Medium"/>
  </r>
  <r>
    <s v="TXN_04017"/>
    <d v="2024-03-25T00:00:00"/>
    <x v="5"/>
    <s v="Monday"/>
    <s v="STORE_038"/>
    <x v="2"/>
    <x v="2"/>
    <x v="7"/>
    <n v="350.77"/>
    <n v="2"/>
    <n v="701.54"/>
    <n v="5"/>
    <n v="35.08"/>
    <n v="666.46"/>
    <s v="Cash"/>
    <s v="CUST_00768"/>
    <n v="5"/>
    <n v="35.079999999999927"/>
    <n v="333.23"/>
    <s v="Low"/>
  </r>
  <r>
    <s v="TXN_04018"/>
    <d v="2024-08-18T00:00:00"/>
    <x v="8"/>
    <s v="Sunday"/>
    <s v="STORE_028"/>
    <x v="1"/>
    <x v="2"/>
    <x v="39"/>
    <n v="685.35"/>
    <n v="7"/>
    <n v="4797.45"/>
    <n v="15"/>
    <n v="719.62"/>
    <n v="4077.83"/>
    <s v="Cash"/>
    <s v="CUST_00786"/>
    <n v="3"/>
    <n v="719.61999999999989"/>
    <n v="582.54714285714283"/>
    <s v="Medium"/>
  </r>
  <r>
    <s v="TXN_04019"/>
    <d v="2024-08-26T00:00:00"/>
    <x v="8"/>
    <s v="Monday"/>
    <s v="STORE_005"/>
    <x v="1"/>
    <x v="4"/>
    <x v="20"/>
    <n v="257.22000000000003"/>
    <n v="10"/>
    <n v="2572.1999999999998"/>
    <n v="0"/>
    <n v="0"/>
    <n v="2572.1999999999998"/>
    <s v="Credit Card"/>
    <s v="CUST_00174"/>
    <n v="3"/>
    <n v="0"/>
    <n v="257.21999999999997"/>
    <s v="No Discount"/>
  </r>
  <r>
    <s v="TXN_04020"/>
    <d v="2024-06-09T00:00:00"/>
    <x v="10"/>
    <s v="Sunday"/>
    <s v="STORE_024"/>
    <x v="1"/>
    <x v="2"/>
    <x v="29"/>
    <n v="784.81"/>
    <n v="9"/>
    <n v="7063.29"/>
    <n v="5"/>
    <n v="353.16"/>
    <n v="6710.13"/>
    <s v="UPI"/>
    <s v="CUST_00262"/>
    <n v="5"/>
    <n v="353.15999999999985"/>
    <n v="745.57"/>
    <s v="Low"/>
  </r>
  <r>
    <s v="TXN_04021"/>
    <d v="2024-07-27T00:00:00"/>
    <x v="11"/>
    <s v="Saturday"/>
    <s v="STORE_039"/>
    <x v="1"/>
    <x v="1"/>
    <x v="36"/>
    <n v="404.36"/>
    <n v="9"/>
    <n v="3639.24"/>
    <n v="10"/>
    <n v="363.92"/>
    <n v="3275.32"/>
    <s v="UPI"/>
    <s v="CUST_00783"/>
    <n v="4"/>
    <n v="363.91999999999962"/>
    <n v="363.92444444444448"/>
    <s v="Medium"/>
  </r>
  <r>
    <s v="TXN_04022"/>
    <d v="2024-03-02T00:00:00"/>
    <x v="5"/>
    <s v="Saturday"/>
    <s v="STORE_048"/>
    <x v="4"/>
    <x v="6"/>
    <x v="30"/>
    <n v="1839.94"/>
    <n v="5"/>
    <n v="9199.7000000000007"/>
    <n v="5"/>
    <n v="459.99"/>
    <n v="8739.7099999999991"/>
    <s v="UPI"/>
    <s v="CUST_00696"/>
    <n v="1"/>
    <n v="459.9900000000016"/>
    <n v="1747.9419999999998"/>
    <s v="Low"/>
  </r>
  <r>
    <s v="TXN_04023"/>
    <d v="2024-10-01T00:00:00"/>
    <x v="7"/>
    <s v="Tuesday"/>
    <s v="STORE_045"/>
    <x v="2"/>
    <x v="3"/>
    <x v="5"/>
    <n v="1572.26"/>
    <n v="6"/>
    <n v="9433.56"/>
    <n v="0"/>
    <n v="0"/>
    <n v="9433.56"/>
    <s v="Debit Card"/>
    <s v="CUST_00059"/>
    <n v="5"/>
    <n v="0"/>
    <n v="1572.26"/>
    <s v="No Discount"/>
  </r>
  <r>
    <s v="TXN_04024"/>
    <d v="2024-07-02T00:00:00"/>
    <x v="11"/>
    <s v="Tuesday"/>
    <s v="STORE_018"/>
    <x v="3"/>
    <x v="2"/>
    <x v="2"/>
    <n v="423"/>
    <n v="1"/>
    <n v="423"/>
    <n v="20"/>
    <n v="84.6"/>
    <n v="338.4"/>
    <s v="UPI"/>
    <s v="CUST_00044"/>
    <n v="2"/>
    <n v="84.600000000000023"/>
    <n v="338.4"/>
    <s v="High"/>
  </r>
  <r>
    <s v="TXN_04025"/>
    <d v="2024-04-16T00:00:00"/>
    <x v="4"/>
    <s v="Tuesday"/>
    <s v="STORE_048"/>
    <x v="3"/>
    <x v="3"/>
    <x v="21"/>
    <n v="1358.1"/>
    <n v="4"/>
    <n v="5432.4"/>
    <n v="15"/>
    <n v="814.86"/>
    <n v="4617.54"/>
    <s v="Cash"/>
    <s v="CUST_00602"/>
    <n v="1"/>
    <n v="814.85999999999967"/>
    <n v="1154.385"/>
    <s v="Medium"/>
  </r>
  <r>
    <s v="TXN_04026"/>
    <d v="2024-08-19T00:00:00"/>
    <x v="8"/>
    <s v="Monday"/>
    <s v="STORE_012"/>
    <x v="3"/>
    <x v="5"/>
    <x v="34"/>
    <n v="2541.36"/>
    <n v="5"/>
    <n v="12706.8"/>
    <n v="0"/>
    <n v="0"/>
    <n v="12706.8"/>
    <s v="UPI"/>
    <s v="CUST_00354"/>
    <n v="3"/>
    <n v="0"/>
    <n v="2541.3599999999997"/>
    <s v="No Discount"/>
  </r>
  <r>
    <s v="TXN_04027"/>
    <d v="2024-06-06T00:00:00"/>
    <x v="10"/>
    <s v="Thursday"/>
    <s v="STORE_049"/>
    <x v="3"/>
    <x v="2"/>
    <x v="29"/>
    <n v="602.29"/>
    <n v="4"/>
    <n v="2409.16"/>
    <n v="20"/>
    <n v="481.83"/>
    <n v="1927.33"/>
    <s v="Debit Card"/>
    <s v="CUST_00502"/>
    <n v="5"/>
    <n v="481.82999999999993"/>
    <n v="481.83249999999998"/>
    <s v="High"/>
  </r>
  <r>
    <s v="TXN_04028"/>
    <d v="2024-08-25T00:00:00"/>
    <x v="8"/>
    <s v="Sunday"/>
    <s v="STORE_033"/>
    <x v="2"/>
    <x v="4"/>
    <x v="8"/>
    <n v="581.76"/>
    <n v="1"/>
    <n v="581.76"/>
    <n v="5"/>
    <n v="29.09"/>
    <n v="552.66999999999996"/>
    <s v="UPI"/>
    <s v="CUST_00356"/>
    <n v="5"/>
    <n v="29.090000000000032"/>
    <n v="552.66999999999996"/>
    <s v="Low"/>
  </r>
  <r>
    <s v="TXN_04029"/>
    <d v="2024-05-15T00:00:00"/>
    <x v="3"/>
    <s v="Wednesday"/>
    <s v="STORE_006"/>
    <x v="3"/>
    <x v="4"/>
    <x v="19"/>
    <n v="199.42"/>
    <n v="6"/>
    <n v="1196.52"/>
    <n v="0"/>
    <n v="0"/>
    <n v="1196.52"/>
    <s v="UPI"/>
    <s v="CUST_00425"/>
    <n v="4"/>
    <n v="0"/>
    <n v="199.42"/>
    <s v="No Discount"/>
  </r>
  <r>
    <s v="TXN_04030"/>
    <d v="2024-03-02T00:00:00"/>
    <x v="5"/>
    <s v="Saturday"/>
    <s v="STORE_017"/>
    <x v="3"/>
    <x v="2"/>
    <x v="2"/>
    <n v="495.97"/>
    <n v="7"/>
    <n v="3471.79"/>
    <n v="15"/>
    <n v="520.77"/>
    <n v="2951.02"/>
    <s v="Debit Card"/>
    <s v="CUST_00655"/>
    <n v="4"/>
    <n v="520.77"/>
    <n v="421.57428571428574"/>
    <s v="Medium"/>
  </r>
  <r>
    <s v="TXN_04031"/>
    <d v="2024-02-16T00:00:00"/>
    <x v="1"/>
    <s v="Friday"/>
    <s v="STORE_008"/>
    <x v="2"/>
    <x v="6"/>
    <x v="15"/>
    <n v="1353.01"/>
    <n v="6"/>
    <n v="8118.06"/>
    <n v="0"/>
    <n v="0"/>
    <n v="8118.06"/>
    <s v="Credit Card"/>
    <s v="CUST_00225"/>
    <n v="4"/>
    <n v="0"/>
    <n v="1353.01"/>
    <s v="No Discount"/>
  </r>
  <r>
    <s v="TXN_04032"/>
    <d v="2024-03-21T00:00:00"/>
    <x v="5"/>
    <s v="Thursday"/>
    <s v="STORE_024"/>
    <x v="2"/>
    <x v="3"/>
    <x v="16"/>
    <n v="1135.82"/>
    <n v="4"/>
    <n v="4543.28"/>
    <n v="0"/>
    <n v="0"/>
    <n v="4543.28"/>
    <s v="Debit Card"/>
    <s v="CUST_00524"/>
    <n v="3"/>
    <n v="0"/>
    <n v="1135.82"/>
    <s v="No Discount"/>
  </r>
  <r>
    <s v="TXN_04033"/>
    <d v="2024-12-17T00:00:00"/>
    <x v="6"/>
    <s v="Tuesday"/>
    <s v="STORE_006"/>
    <x v="0"/>
    <x v="5"/>
    <x v="25"/>
    <n v="2579.71"/>
    <n v="7"/>
    <n v="18057.97"/>
    <n v="0"/>
    <n v="0"/>
    <n v="18057.97"/>
    <s v="Wallet"/>
    <s v="CUST_00657"/>
    <n v="2"/>
    <n v="0"/>
    <n v="2579.71"/>
    <s v="No Discount"/>
  </r>
  <r>
    <s v="TXN_04034"/>
    <d v="2024-06-04T00:00:00"/>
    <x v="10"/>
    <s v="Tuesday"/>
    <s v="STORE_032"/>
    <x v="4"/>
    <x v="0"/>
    <x v="27"/>
    <n v="560.84"/>
    <n v="5"/>
    <n v="2804.2"/>
    <n v="10"/>
    <n v="280.42"/>
    <n v="2523.7800000000002"/>
    <s v="UPI"/>
    <s v="CUST_00312"/>
    <n v="5"/>
    <n v="280.41999999999962"/>
    <n v="504.75600000000003"/>
    <s v="Medium"/>
  </r>
  <r>
    <s v="TXN_04035"/>
    <d v="2024-12-26T00:00:00"/>
    <x v="6"/>
    <s v="Thursday"/>
    <s v="STORE_048"/>
    <x v="0"/>
    <x v="1"/>
    <x v="3"/>
    <n v="389.15"/>
    <n v="9"/>
    <n v="3502.35"/>
    <n v="15"/>
    <n v="525.35"/>
    <n v="2977"/>
    <s v="Wallet"/>
    <s v="CUST_00088"/>
    <n v="4"/>
    <n v="525.34999999999991"/>
    <n v="330.77777777777777"/>
    <s v="Medium"/>
  </r>
  <r>
    <s v="TXN_04036"/>
    <d v="2024-12-22T00:00:00"/>
    <x v="6"/>
    <s v="Sunday"/>
    <s v="STORE_046"/>
    <x v="0"/>
    <x v="0"/>
    <x v="0"/>
    <n v="246.76"/>
    <n v="3"/>
    <n v="740.28"/>
    <n v="5"/>
    <n v="37.01"/>
    <n v="703.27"/>
    <s v="Credit Card"/>
    <s v="CUST_00399"/>
    <n v="3"/>
    <n v="37.009999999999991"/>
    <n v="234.42333333333332"/>
    <s v="Low"/>
  </r>
  <r>
    <s v="TXN_04037"/>
    <d v="2024-11-04T00:00:00"/>
    <x v="0"/>
    <s v="Monday"/>
    <s v="STORE_017"/>
    <x v="0"/>
    <x v="5"/>
    <x v="11"/>
    <n v="4047.67"/>
    <n v="10"/>
    <n v="40476.699999999997"/>
    <n v="15"/>
    <n v="6071.5"/>
    <n v="34405.199999999997"/>
    <s v="Credit Card"/>
    <s v="CUST_00241"/>
    <n v="4"/>
    <n v="6071.5"/>
    <n v="3440.5199999999995"/>
    <s v="Medium"/>
  </r>
  <r>
    <s v="TXN_04038"/>
    <d v="2024-01-21T00:00:00"/>
    <x v="2"/>
    <s v="Sunday"/>
    <s v="STORE_008"/>
    <x v="3"/>
    <x v="6"/>
    <x v="30"/>
    <n v="701.21"/>
    <n v="5"/>
    <n v="3506.05"/>
    <n v="5"/>
    <n v="175.3"/>
    <n v="3330.75"/>
    <s v="Wallet"/>
    <s v="CUST_00400"/>
    <n v="1"/>
    <n v="175.30000000000018"/>
    <n v="666.15"/>
    <s v="Low"/>
  </r>
  <r>
    <s v="TXN_04039"/>
    <d v="2024-04-20T00:00:00"/>
    <x v="4"/>
    <s v="Saturday"/>
    <s v="STORE_016"/>
    <x v="3"/>
    <x v="3"/>
    <x v="21"/>
    <n v="2308.81"/>
    <n v="2"/>
    <n v="4617.62"/>
    <n v="10"/>
    <n v="461.76"/>
    <n v="4155.8599999999997"/>
    <s v="Wallet"/>
    <s v="CUST_00699"/>
    <n v="4"/>
    <n v="461.76000000000022"/>
    <n v="2077.9299999999998"/>
    <s v="Medium"/>
  </r>
  <r>
    <s v="TXN_04040"/>
    <d v="2024-06-16T00:00:00"/>
    <x v="10"/>
    <s v="Sunday"/>
    <s v="STORE_027"/>
    <x v="0"/>
    <x v="6"/>
    <x v="26"/>
    <n v="1044.23"/>
    <n v="6"/>
    <n v="6265.38"/>
    <n v="0"/>
    <n v="0"/>
    <n v="6265.38"/>
    <s v="UPI"/>
    <s v="CUST_00178"/>
    <n v="1"/>
    <n v="0"/>
    <n v="1044.23"/>
    <s v="No Discount"/>
  </r>
  <r>
    <s v="TXN_04041"/>
    <d v="2024-03-16T00:00:00"/>
    <x v="5"/>
    <s v="Saturday"/>
    <s v="STORE_042"/>
    <x v="1"/>
    <x v="3"/>
    <x v="21"/>
    <n v="1357.04"/>
    <n v="6"/>
    <n v="8142.24"/>
    <n v="5"/>
    <n v="407.11"/>
    <n v="7735.13"/>
    <s v="UPI"/>
    <s v="CUST_00503"/>
    <n v="2"/>
    <n v="407.10999999999967"/>
    <n v="1289.1883333333333"/>
    <s v="Low"/>
  </r>
  <r>
    <s v="TXN_04042"/>
    <d v="2024-02-16T00:00:00"/>
    <x v="1"/>
    <s v="Friday"/>
    <s v="STORE_020"/>
    <x v="2"/>
    <x v="1"/>
    <x v="6"/>
    <n v="226.22"/>
    <n v="5"/>
    <n v="1131.0999999999999"/>
    <n v="0"/>
    <n v="0"/>
    <n v="1131.0999999999999"/>
    <s v="Wallet"/>
    <s v="CUST_00002"/>
    <n v="5"/>
    <n v="0"/>
    <n v="226.21999999999997"/>
    <s v="No Discount"/>
  </r>
  <r>
    <s v="TXN_04043"/>
    <d v="2024-12-30T00:00:00"/>
    <x v="6"/>
    <s v="Monday"/>
    <s v="STORE_014"/>
    <x v="2"/>
    <x v="2"/>
    <x v="2"/>
    <n v="686.67"/>
    <n v="1"/>
    <n v="686.67"/>
    <n v="0"/>
    <n v="0"/>
    <n v="686.67"/>
    <s v="Debit Card"/>
    <s v="CUST_00224"/>
    <n v="4"/>
    <n v="0"/>
    <n v="686.67"/>
    <s v="No Discount"/>
  </r>
  <r>
    <s v="TXN_04044"/>
    <d v="2024-05-07T00:00:00"/>
    <x v="3"/>
    <s v="Tuesday"/>
    <s v="STORE_045"/>
    <x v="3"/>
    <x v="5"/>
    <x v="25"/>
    <n v="4067.96"/>
    <n v="3"/>
    <n v="12203.88"/>
    <n v="15"/>
    <n v="1830.58"/>
    <n v="10373.299999999999"/>
    <s v="UPI"/>
    <s v="CUST_00212"/>
    <n v="3"/>
    <n v="1830.58"/>
    <n v="3457.7666666666664"/>
    <s v="Medium"/>
  </r>
  <r>
    <s v="TXN_04045"/>
    <d v="2024-07-01T00:00:00"/>
    <x v="11"/>
    <s v="Monday"/>
    <s v="STORE_006"/>
    <x v="2"/>
    <x v="4"/>
    <x v="20"/>
    <n v="457.58"/>
    <n v="4"/>
    <n v="1830.32"/>
    <n v="20"/>
    <n v="366.06"/>
    <n v="1464.26"/>
    <s v="Cash"/>
    <s v="CUST_00571"/>
    <n v="4"/>
    <n v="366.05999999999995"/>
    <n v="366.065"/>
    <s v="High"/>
  </r>
  <r>
    <s v="TXN_04046"/>
    <d v="2024-07-21T00:00:00"/>
    <x v="11"/>
    <s v="Sunday"/>
    <s v="STORE_022"/>
    <x v="4"/>
    <x v="5"/>
    <x v="34"/>
    <n v="4861.37"/>
    <n v="9"/>
    <n v="43752.33"/>
    <n v="0"/>
    <n v="0"/>
    <n v="43752.33"/>
    <s v="UPI"/>
    <s v="CUST_00683"/>
    <n v="5"/>
    <n v="0"/>
    <n v="4861.37"/>
    <s v="No Discount"/>
  </r>
  <r>
    <s v="TXN_04047"/>
    <d v="2024-09-19T00:00:00"/>
    <x v="9"/>
    <s v="Thursday"/>
    <s v="STORE_046"/>
    <x v="2"/>
    <x v="0"/>
    <x v="0"/>
    <n v="729.05"/>
    <n v="9"/>
    <n v="6561.45"/>
    <n v="0"/>
    <n v="0"/>
    <n v="6561.45"/>
    <s v="Debit Card"/>
    <s v="CUST_00097"/>
    <n v="1"/>
    <n v="0"/>
    <n v="729.05"/>
    <s v="No Discount"/>
  </r>
  <r>
    <s v="TXN_04048"/>
    <d v="2024-01-26T00:00:00"/>
    <x v="2"/>
    <s v="Friday"/>
    <s v="STORE_014"/>
    <x v="3"/>
    <x v="5"/>
    <x v="10"/>
    <n v="4048.43"/>
    <n v="8"/>
    <n v="32387.439999999999"/>
    <n v="5"/>
    <n v="1619.37"/>
    <n v="30768.07"/>
    <s v="Wallet"/>
    <s v="CUST_00435"/>
    <n v="1"/>
    <n v="1619.369999999999"/>
    <n v="3846.00875"/>
    <s v="Low"/>
  </r>
  <r>
    <s v="TXN_04049"/>
    <d v="2024-12-12T00:00:00"/>
    <x v="6"/>
    <s v="Thursday"/>
    <s v="STORE_033"/>
    <x v="2"/>
    <x v="0"/>
    <x v="4"/>
    <n v="382.83"/>
    <n v="10"/>
    <n v="3828.3"/>
    <n v="0"/>
    <n v="0"/>
    <n v="3828.3"/>
    <s v="UPI"/>
    <s v="CUST_00666"/>
    <n v="2"/>
    <n v="0"/>
    <n v="382.83000000000004"/>
    <s v="No Discount"/>
  </r>
  <r>
    <s v="TXN_04050"/>
    <d v="2024-06-02T00:00:00"/>
    <x v="10"/>
    <s v="Sunday"/>
    <s v="STORE_022"/>
    <x v="2"/>
    <x v="3"/>
    <x v="12"/>
    <n v="1359.61"/>
    <n v="6"/>
    <n v="8157.66"/>
    <n v="10"/>
    <n v="815.77"/>
    <n v="7341.89"/>
    <s v="Wallet"/>
    <s v="CUST_00198"/>
    <n v="3"/>
    <n v="815.76999999999953"/>
    <n v="1223.6483333333333"/>
    <s v="Medium"/>
  </r>
  <r>
    <s v="TXN_04051"/>
    <d v="2024-05-13T00:00:00"/>
    <x v="3"/>
    <s v="Monday"/>
    <s v="STORE_002"/>
    <x v="0"/>
    <x v="3"/>
    <x v="5"/>
    <n v="1911.11"/>
    <n v="3"/>
    <n v="5733.33"/>
    <n v="15"/>
    <n v="860"/>
    <n v="4873.33"/>
    <s v="Wallet"/>
    <s v="CUST_00503"/>
    <n v="3"/>
    <n v="860"/>
    <n v="1624.4433333333334"/>
    <s v="Medium"/>
  </r>
  <r>
    <s v="TXN_04052"/>
    <d v="2024-03-30T00:00:00"/>
    <x v="5"/>
    <s v="Saturday"/>
    <s v="STORE_010"/>
    <x v="1"/>
    <x v="4"/>
    <x v="20"/>
    <n v="305.27"/>
    <n v="4"/>
    <n v="1221.08"/>
    <n v="15"/>
    <n v="183.16"/>
    <n v="1037.92"/>
    <s v="Credit Card"/>
    <s v="CUST_00758"/>
    <n v="2"/>
    <n v="183.15999999999985"/>
    <n v="259.48"/>
    <s v="Medium"/>
  </r>
  <r>
    <s v="TXN_04053"/>
    <d v="2024-01-16T00:00:00"/>
    <x v="2"/>
    <s v="Tuesday"/>
    <s v="STORE_029"/>
    <x v="2"/>
    <x v="4"/>
    <x v="20"/>
    <n v="530.44000000000005"/>
    <n v="8"/>
    <n v="4243.5200000000004"/>
    <n v="15"/>
    <n v="636.53"/>
    <n v="3606.99"/>
    <s v="Cash"/>
    <s v="CUST_00597"/>
    <n v="4"/>
    <n v="636.53000000000065"/>
    <n v="450.87374999999997"/>
    <s v="Medium"/>
  </r>
  <r>
    <s v="TXN_04054"/>
    <d v="2024-07-26T00:00:00"/>
    <x v="11"/>
    <s v="Friday"/>
    <s v="STORE_033"/>
    <x v="3"/>
    <x v="4"/>
    <x v="8"/>
    <n v="515.98"/>
    <n v="4"/>
    <n v="2063.92"/>
    <n v="0"/>
    <n v="0"/>
    <n v="2063.92"/>
    <s v="Cash"/>
    <s v="CUST_00569"/>
    <n v="4"/>
    <n v="0"/>
    <n v="515.98"/>
    <s v="No Discount"/>
  </r>
  <r>
    <s v="TXN_04055"/>
    <d v="2024-08-19T00:00:00"/>
    <x v="8"/>
    <s v="Monday"/>
    <s v="STORE_010"/>
    <x v="1"/>
    <x v="6"/>
    <x v="33"/>
    <n v="1684.53"/>
    <n v="3"/>
    <n v="5053.59"/>
    <n v="15"/>
    <n v="758.04"/>
    <n v="4295.55"/>
    <s v="UPI"/>
    <s v="CUST_00870"/>
    <n v="3"/>
    <n v="758.04"/>
    <n v="1431.8500000000001"/>
    <s v="Medium"/>
  </r>
  <r>
    <s v="TXN_04056"/>
    <d v="2024-10-11T00:00:00"/>
    <x v="7"/>
    <s v="Friday"/>
    <s v="STORE_033"/>
    <x v="0"/>
    <x v="2"/>
    <x v="7"/>
    <n v="522.54"/>
    <n v="9"/>
    <n v="4702.8599999999997"/>
    <n v="0"/>
    <n v="0"/>
    <n v="4702.8599999999997"/>
    <s v="Debit Card"/>
    <s v="CUST_00520"/>
    <n v="5"/>
    <n v="0"/>
    <n v="522.54"/>
    <s v="No Discount"/>
  </r>
  <r>
    <s v="TXN_04057"/>
    <d v="2024-10-08T00:00:00"/>
    <x v="7"/>
    <s v="Tuesday"/>
    <s v="STORE_038"/>
    <x v="3"/>
    <x v="5"/>
    <x v="34"/>
    <n v="4627.74"/>
    <n v="2"/>
    <n v="9255.48"/>
    <n v="0"/>
    <n v="0"/>
    <n v="9255.48"/>
    <s v="Credit Card"/>
    <s v="CUST_00453"/>
    <n v="3"/>
    <n v="0"/>
    <n v="4627.74"/>
    <s v="No Discount"/>
  </r>
  <r>
    <s v="TXN_04058"/>
    <d v="2024-05-07T00:00:00"/>
    <x v="3"/>
    <s v="Tuesday"/>
    <s v="STORE_027"/>
    <x v="1"/>
    <x v="1"/>
    <x v="1"/>
    <n v="170.71"/>
    <n v="2"/>
    <n v="341.42"/>
    <n v="0"/>
    <n v="0"/>
    <n v="341.42"/>
    <s v="UPI"/>
    <s v="CUST_00452"/>
    <n v="1"/>
    <n v="0"/>
    <n v="170.71"/>
    <s v="No Discount"/>
  </r>
  <r>
    <s v="TXN_04059"/>
    <d v="2024-02-18T00:00:00"/>
    <x v="1"/>
    <s v="Sunday"/>
    <s v="STORE_037"/>
    <x v="1"/>
    <x v="0"/>
    <x v="32"/>
    <n v="310.13"/>
    <n v="3"/>
    <n v="930.39"/>
    <n v="0"/>
    <n v="0"/>
    <n v="930.39"/>
    <s v="UPI"/>
    <s v="CUST_00673"/>
    <n v="1"/>
    <n v="0"/>
    <n v="310.13"/>
    <s v="No Discount"/>
  </r>
  <r>
    <s v="TXN_04060"/>
    <d v="2024-08-24T00:00:00"/>
    <x v="8"/>
    <s v="Saturday"/>
    <s v="STORE_020"/>
    <x v="4"/>
    <x v="2"/>
    <x v="7"/>
    <n v="566.49"/>
    <n v="1"/>
    <n v="566.49"/>
    <n v="20"/>
    <n v="113.3"/>
    <n v="453.19"/>
    <s v="Debit Card"/>
    <s v="CUST_00877"/>
    <n v="5"/>
    <n v="113.30000000000001"/>
    <n v="453.19"/>
    <s v="High"/>
  </r>
  <r>
    <s v="TXN_04061"/>
    <d v="2024-02-22T00:00:00"/>
    <x v="1"/>
    <s v="Thursday"/>
    <s v="STORE_030"/>
    <x v="3"/>
    <x v="2"/>
    <x v="7"/>
    <n v="645.09"/>
    <n v="4"/>
    <n v="2580.36"/>
    <n v="15"/>
    <n v="387.05"/>
    <n v="2193.31"/>
    <s v="Cash"/>
    <s v="CUST_00854"/>
    <n v="3"/>
    <n v="387.05000000000018"/>
    <n v="548.32749999999999"/>
    <s v="Medium"/>
  </r>
  <r>
    <s v="TXN_04062"/>
    <d v="2024-03-12T00:00:00"/>
    <x v="5"/>
    <s v="Tuesday"/>
    <s v="STORE_022"/>
    <x v="1"/>
    <x v="0"/>
    <x v="4"/>
    <n v="261.45999999999998"/>
    <n v="4"/>
    <n v="1045.8399999999999"/>
    <n v="10"/>
    <n v="104.58"/>
    <n v="941.26"/>
    <s v="Wallet"/>
    <s v="CUST_00017"/>
    <n v="4"/>
    <n v="104.57999999999993"/>
    <n v="235.315"/>
    <s v="Medium"/>
  </r>
  <r>
    <s v="TXN_04063"/>
    <d v="2024-03-03T00:00:00"/>
    <x v="5"/>
    <s v="Sunday"/>
    <s v="STORE_048"/>
    <x v="3"/>
    <x v="6"/>
    <x v="26"/>
    <n v="1776.22"/>
    <n v="6"/>
    <n v="10657.32"/>
    <n v="10"/>
    <n v="1065.73"/>
    <n v="9591.59"/>
    <s v="Cash"/>
    <s v="CUST_00528"/>
    <n v="4"/>
    <n v="1065.7299999999996"/>
    <n v="1598.5983333333334"/>
    <s v="Medium"/>
  </r>
  <r>
    <s v="TXN_04064"/>
    <d v="2024-01-07T00:00:00"/>
    <x v="2"/>
    <s v="Sunday"/>
    <s v="STORE_049"/>
    <x v="0"/>
    <x v="3"/>
    <x v="12"/>
    <n v="2849.05"/>
    <n v="10"/>
    <n v="28490.5"/>
    <n v="15"/>
    <n v="4273.57"/>
    <n v="24216.93"/>
    <s v="Cash"/>
    <s v="CUST_00393"/>
    <n v="5"/>
    <n v="4273.57"/>
    <n v="2421.6930000000002"/>
    <s v="Medium"/>
  </r>
  <r>
    <s v="TXN_04065"/>
    <d v="2024-02-01T00:00:00"/>
    <x v="1"/>
    <s v="Thursday"/>
    <s v="STORE_002"/>
    <x v="3"/>
    <x v="6"/>
    <x v="30"/>
    <n v="1368.76"/>
    <n v="5"/>
    <n v="6843.8"/>
    <n v="0"/>
    <n v="0"/>
    <n v="6843.8"/>
    <s v="Debit Card"/>
    <s v="CUST_00393"/>
    <n v="4"/>
    <n v="0"/>
    <n v="1368.76"/>
    <s v="No Discount"/>
  </r>
  <r>
    <s v="TXN_04066"/>
    <d v="2024-04-23T00:00:00"/>
    <x v="4"/>
    <s v="Tuesday"/>
    <s v="STORE_032"/>
    <x v="4"/>
    <x v="7"/>
    <x v="23"/>
    <n v="1230"/>
    <n v="4"/>
    <n v="4920"/>
    <n v="5"/>
    <n v="246"/>
    <n v="4674"/>
    <s v="Credit Card"/>
    <s v="CUST_00043"/>
    <n v="5"/>
    <n v="246"/>
    <n v="1168.5"/>
    <s v="Low"/>
  </r>
  <r>
    <s v="TXN_04067"/>
    <d v="2024-03-07T00:00:00"/>
    <x v="5"/>
    <s v="Thursday"/>
    <s v="STORE_036"/>
    <x v="4"/>
    <x v="1"/>
    <x v="31"/>
    <n v="50.32"/>
    <n v="3"/>
    <n v="150.96"/>
    <n v="0"/>
    <n v="0"/>
    <n v="150.96"/>
    <s v="Debit Card"/>
    <s v="CUST_00103"/>
    <n v="2"/>
    <n v="0"/>
    <n v="50.32"/>
    <s v="No Discount"/>
  </r>
  <r>
    <s v="TXN_04068"/>
    <d v="2024-04-11T00:00:00"/>
    <x v="4"/>
    <s v="Thursday"/>
    <s v="STORE_031"/>
    <x v="3"/>
    <x v="7"/>
    <x v="38"/>
    <n v="313.69"/>
    <n v="10"/>
    <n v="3136.9"/>
    <n v="10"/>
    <n v="313.69"/>
    <n v="2823.21"/>
    <s v="UPI"/>
    <s v="CUST_00226"/>
    <n v="4"/>
    <n v="313.69000000000005"/>
    <n v="282.32100000000003"/>
    <s v="Medium"/>
  </r>
  <r>
    <s v="TXN_04069"/>
    <d v="2024-07-24T00:00:00"/>
    <x v="11"/>
    <s v="Wednesday"/>
    <s v="STORE_019"/>
    <x v="1"/>
    <x v="1"/>
    <x v="31"/>
    <n v="474.92"/>
    <n v="4"/>
    <n v="1899.68"/>
    <n v="15"/>
    <n v="284.95"/>
    <n v="1614.73"/>
    <s v="UPI"/>
    <s v="CUST_00516"/>
    <n v="2"/>
    <n v="284.95000000000005"/>
    <n v="403.6825"/>
    <s v="Medium"/>
  </r>
  <r>
    <s v="TXN_04070"/>
    <d v="2024-07-09T00:00:00"/>
    <x v="11"/>
    <s v="Tuesday"/>
    <s v="STORE_038"/>
    <x v="2"/>
    <x v="3"/>
    <x v="5"/>
    <n v="1212.47"/>
    <n v="8"/>
    <n v="9699.76"/>
    <n v="0"/>
    <n v="0"/>
    <n v="9699.76"/>
    <s v="UPI"/>
    <s v="CUST_00356"/>
    <n v="1"/>
    <n v="0"/>
    <n v="1212.47"/>
    <s v="No Discount"/>
  </r>
  <r>
    <s v="TXN_04071"/>
    <d v="2024-12-17T00:00:00"/>
    <x v="6"/>
    <s v="Tuesday"/>
    <s v="STORE_027"/>
    <x v="3"/>
    <x v="0"/>
    <x v="32"/>
    <n v="592.30999999999995"/>
    <n v="5"/>
    <n v="2961.55"/>
    <n v="20"/>
    <n v="592.30999999999995"/>
    <n v="2369.2399999999998"/>
    <s v="Debit Card"/>
    <s v="CUST_00490"/>
    <n v="5"/>
    <n v="592.3100000000004"/>
    <n v="473.84799999999996"/>
    <s v="High"/>
  </r>
  <r>
    <s v="TXN_04072"/>
    <d v="2024-11-18T00:00:00"/>
    <x v="0"/>
    <s v="Monday"/>
    <s v="STORE_005"/>
    <x v="3"/>
    <x v="6"/>
    <x v="15"/>
    <n v="890.96"/>
    <n v="8"/>
    <n v="7127.68"/>
    <n v="0"/>
    <n v="0"/>
    <n v="7127.68"/>
    <s v="Wallet"/>
    <s v="CUST_00258"/>
    <n v="2"/>
    <n v="0"/>
    <n v="890.96"/>
    <s v="No Discount"/>
  </r>
  <r>
    <s v="TXN_04073"/>
    <d v="2024-11-26T00:00:00"/>
    <x v="0"/>
    <s v="Tuesday"/>
    <s v="STORE_042"/>
    <x v="4"/>
    <x v="6"/>
    <x v="26"/>
    <n v="1919.41"/>
    <n v="6"/>
    <n v="11516.46"/>
    <n v="0"/>
    <n v="0"/>
    <n v="11516.46"/>
    <s v="UPI"/>
    <s v="CUST_00508"/>
    <n v="5"/>
    <n v="0"/>
    <n v="1919.4099999999999"/>
    <s v="No Discount"/>
  </r>
  <r>
    <s v="TXN_04074"/>
    <d v="2024-02-13T00:00:00"/>
    <x v="1"/>
    <s v="Tuesday"/>
    <s v="STORE_008"/>
    <x v="2"/>
    <x v="3"/>
    <x v="21"/>
    <n v="2314.15"/>
    <n v="9"/>
    <n v="20827.349999999999"/>
    <n v="10"/>
    <n v="2082.7399999999998"/>
    <n v="18744.61"/>
    <s v="UPI"/>
    <s v="CUST_00871"/>
    <n v="5"/>
    <n v="2082.739999999998"/>
    <n v="2082.7344444444443"/>
    <s v="Medium"/>
  </r>
  <r>
    <s v="TXN_04075"/>
    <d v="2024-10-25T00:00:00"/>
    <x v="7"/>
    <s v="Friday"/>
    <s v="STORE_028"/>
    <x v="3"/>
    <x v="5"/>
    <x v="25"/>
    <n v="1849.38"/>
    <n v="2"/>
    <n v="3698.76"/>
    <n v="0"/>
    <n v="0"/>
    <n v="3698.76"/>
    <s v="Wallet"/>
    <s v="CUST_00131"/>
    <n v="2"/>
    <n v="0"/>
    <n v="1849.38"/>
    <s v="No Discount"/>
  </r>
  <r>
    <s v="TXN_04076"/>
    <d v="2024-10-27T00:00:00"/>
    <x v="7"/>
    <s v="Sunday"/>
    <s v="STORE_021"/>
    <x v="4"/>
    <x v="4"/>
    <x v="35"/>
    <n v="593"/>
    <n v="9"/>
    <n v="5337"/>
    <n v="0"/>
    <n v="0"/>
    <n v="5337"/>
    <s v="Credit Card"/>
    <s v="CUST_00053"/>
    <n v="5"/>
    <n v="0"/>
    <n v="593"/>
    <s v="No Discount"/>
  </r>
  <r>
    <s v="TXN_04077"/>
    <d v="2024-05-12T00:00:00"/>
    <x v="3"/>
    <s v="Sunday"/>
    <s v="STORE_039"/>
    <x v="3"/>
    <x v="2"/>
    <x v="2"/>
    <n v="694.59"/>
    <n v="5"/>
    <n v="3472.95"/>
    <n v="5"/>
    <n v="173.65"/>
    <n v="3299.3"/>
    <s v="Credit Card"/>
    <s v="CUST_00788"/>
    <n v="3"/>
    <n v="173.64999999999964"/>
    <n v="659.86"/>
    <s v="Low"/>
  </r>
  <r>
    <s v="TXN_04078"/>
    <d v="2024-02-08T00:00:00"/>
    <x v="1"/>
    <s v="Thursday"/>
    <s v="STORE_029"/>
    <x v="0"/>
    <x v="6"/>
    <x v="30"/>
    <n v="538.36"/>
    <n v="10"/>
    <n v="5383.6"/>
    <n v="15"/>
    <n v="807.54"/>
    <n v="4576.0600000000004"/>
    <s v="Credit Card"/>
    <s v="CUST_00532"/>
    <n v="1"/>
    <n v="807.54"/>
    <n v="457.60600000000005"/>
    <s v="Medium"/>
  </r>
  <r>
    <s v="TXN_04079"/>
    <d v="2024-01-12T00:00:00"/>
    <x v="2"/>
    <s v="Friday"/>
    <s v="STORE_019"/>
    <x v="0"/>
    <x v="4"/>
    <x v="35"/>
    <n v="326.62"/>
    <n v="4"/>
    <n v="1306.48"/>
    <n v="15"/>
    <n v="195.97"/>
    <n v="1110.51"/>
    <s v="Cash"/>
    <s v="CUST_00865"/>
    <n v="4"/>
    <n v="195.97000000000003"/>
    <n v="277.6275"/>
    <s v="Medium"/>
  </r>
  <r>
    <s v="TXN_04080"/>
    <d v="2024-02-03T00:00:00"/>
    <x v="1"/>
    <s v="Saturday"/>
    <s v="STORE_039"/>
    <x v="1"/>
    <x v="0"/>
    <x v="27"/>
    <n v="385.58"/>
    <n v="10"/>
    <n v="3855.8"/>
    <n v="15"/>
    <n v="578.37"/>
    <n v="3277.43"/>
    <s v="Credit Card"/>
    <s v="CUST_00108"/>
    <n v="5"/>
    <n v="578.37000000000035"/>
    <n v="327.74299999999999"/>
    <s v="Medium"/>
  </r>
  <r>
    <s v="TXN_04081"/>
    <d v="2024-04-11T00:00:00"/>
    <x v="4"/>
    <s v="Thursday"/>
    <s v="STORE_005"/>
    <x v="4"/>
    <x v="3"/>
    <x v="21"/>
    <n v="1808.26"/>
    <n v="6"/>
    <n v="10849.56"/>
    <n v="10"/>
    <n v="1084.96"/>
    <n v="9764.6"/>
    <s v="UPI"/>
    <s v="CUST_00225"/>
    <n v="4"/>
    <n v="1084.9599999999991"/>
    <n v="1627.4333333333334"/>
    <s v="Medium"/>
  </r>
  <r>
    <s v="TXN_04082"/>
    <d v="2024-11-26T00:00:00"/>
    <x v="0"/>
    <s v="Tuesday"/>
    <s v="STORE_043"/>
    <x v="4"/>
    <x v="5"/>
    <x v="34"/>
    <n v="1804.51"/>
    <n v="1"/>
    <n v="1804.51"/>
    <n v="0"/>
    <n v="0"/>
    <n v="1804.51"/>
    <s v="Cash"/>
    <s v="CUST_00653"/>
    <n v="2"/>
    <n v="0"/>
    <n v="1804.51"/>
    <s v="No Discount"/>
  </r>
  <r>
    <s v="TXN_04083"/>
    <d v="2024-08-15T00:00:00"/>
    <x v="8"/>
    <s v="Thursday"/>
    <s v="STORE_042"/>
    <x v="2"/>
    <x v="2"/>
    <x v="29"/>
    <n v="350.92"/>
    <n v="2"/>
    <n v="701.84"/>
    <n v="0"/>
    <n v="0"/>
    <n v="701.84"/>
    <s v="Credit Card"/>
    <s v="CUST_00202"/>
    <n v="5"/>
    <n v="0"/>
    <n v="350.92"/>
    <s v="No Discount"/>
  </r>
  <r>
    <s v="TXN_04084"/>
    <d v="2024-03-06T00:00:00"/>
    <x v="5"/>
    <s v="Wednesday"/>
    <s v="STORE_043"/>
    <x v="4"/>
    <x v="4"/>
    <x v="17"/>
    <n v="285.10000000000002"/>
    <n v="1"/>
    <n v="285.10000000000002"/>
    <n v="10"/>
    <n v="28.51"/>
    <n v="256.58999999999997"/>
    <s v="Cash"/>
    <s v="CUST_00290"/>
    <n v="2"/>
    <n v="28.510000000000048"/>
    <n v="256.58999999999997"/>
    <s v="Medium"/>
  </r>
  <r>
    <s v="TXN_04085"/>
    <d v="2024-02-17T00:00:00"/>
    <x v="1"/>
    <s v="Saturday"/>
    <s v="STORE_003"/>
    <x v="0"/>
    <x v="7"/>
    <x v="38"/>
    <n v="676.22"/>
    <n v="8"/>
    <n v="5409.76"/>
    <n v="10"/>
    <n v="540.98"/>
    <n v="4868.78"/>
    <s v="Wallet"/>
    <s v="CUST_00779"/>
    <n v="5"/>
    <n v="540.98000000000047"/>
    <n v="608.59749999999997"/>
    <s v="Medium"/>
  </r>
  <r>
    <s v="TXN_04086"/>
    <d v="2024-06-18T00:00:00"/>
    <x v="10"/>
    <s v="Tuesday"/>
    <s v="STORE_025"/>
    <x v="3"/>
    <x v="5"/>
    <x v="11"/>
    <n v="3231.29"/>
    <n v="8"/>
    <n v="25850.32"/>
    <n v="15"/>
    <n v="3877.55"/>
    <n v="21972.77"/>
    <s v="UPI"/>
    <s v="CUST_00038"/>
    <n v="4"/>
    <n v="3877.5499999999993"/>
    <n v="2746.5962500000001"/>
    <s v="Medium"/>
  </r>
  <r>
    <s v="TXN_04087"/>
    <d v="2024-03-03T00:00:00"/>
    <x v="5"/>
    <s v="Sunday"/>
    <s v="STORE_013"/>
    <x v="1"/>
    <x v="0"/>
    <x v="0"/>
    <n v="873.23"/>
    <n v="9"/>
    <n v="7859.07"/>
    <n v="10"/>
    <n v="785.91"/>
    <n v="7073.16"/>
    <s v="Cash"/>
    <s v="CUST_00018"/>
    <n v="1"/>
    <n v="785.90999999999985"/>
    <n v="785.90666666666664"/>
    <s v="Medium"/>
  </r>
  <r>
    <s v="TXN_04088"/>
    <d v="2024-01-22T00:00:00"/>
    <x v="2"/>
    <s v="Monday"/>
    <s v="STORE_030"/>
    <x v="1"/>
    <x v="3"/>
    <x v="16"/>
    <n v="1913.3"/>
    <n v="8"/>
    <n v="15306.4"/>
    <n v="10"/>
    <n v="1530.64"/>
    <n v="13775.76"/>
    <s v="Debit Card"/>
    <s v="CUST_00298"/>
    <n v="5"/>
    <n v="1530.6399999999994"/>
    <n v="1721.97"/>
    <s v="Medium"/>
  </r>
  <r>
    <s v="TXN_04089"/>
    <d v="2024-08-24T00:00:00"/>
    <x v="8"/>
    <s v="Saturday"/>
    <s v="STORE_011"/>
    <x v="4"/>
    <x v="3"/>
    <x v="21"/>
    <n v="1678.53"/>
    <n v="9"/>
    <n v="15106.77"/>
    <n v="0"/>
    <n v="0"/>
    <n v="15106.77"/>
    <s v="UPI"/>
    <s v="CUST_00681"/>
    <n v="2"/>
    <n v="0"/>
    <n v="1678.53"/>
    <s v="No Discount"/>
  </r>
  <r>
    <s v="TXN_04090"/>
    <d v="2024-01-26T00:00:00"/>
    <x v="2"/>
    <s v="Friday"/>
    <s v="STORE_025"/>
    <x v="3"/>
    <x v="3"/>
    <x v="16"/>
    <n v="2643.27"/>
    <n v="8"/>
    <n v="21146.16"/>
    <n v="15"/>
    <n v="3171.92"/>
    <n v="17974.240000000002"/>
    <s v="Credit Card"/>
    <s v="CUST_00249"/>
    <n v="2"/>
    <n v="3171.9199999999983"/>
    <n v="2246.7800000000002"/>
    <s v="Medium"/>
  </r>
  <r>
    <s v="TXN_04091"/>
    <d v="2024-03-27T00:00:00"/>
    <x v="5"/>
    <s v="Wednesday"/>
    <s v="STORE_036"/>
    <x v="1"/>
    <x v="5"/>
    <x v="34"/>
    <n v="2887.69"/>
    <n v="6"/>
    <n v="17326.14"/>
    <n v="0"/>
    <n v="0"/>
    <n v="17326.14"/>
    <s v="Wallet"/>
    <s v="CUST_00121"/>
    <n v="1"/>
    <n v="0"/>
    <n v="2887.69"/>
    <s v="No Discount"/>
  </r>
  <r>
    <s v="TXN_04092"/>
    <d v="2024-10-20T00:00:00"/>
    <x v="7"/>
    <s v="Sunday"/>
    <s v="STORE_027"/>
    <x v="2"/>
    <x v="3"/>
    <x v="12"/>
    <n v="2509.73"/>
    <n v="2"/>
    <n v="5019.46"/>
    <n v="0"/>
    <n v="0"/>
    <n v="5019.46"/>
    <s v="UPI"/>
    <s v="CUST_00350"/>
    <n v="5"/>
    <n v="0"/>
    <n v="2509.73"/>
    <s v="No Discount"/>
  </r>
  <r>
    <s v="TXN_04093"/>
    <d v="2024-08-09T00:00:00"/>
    <x v="8"/>
    <s v="Friday"/>
    <s v="STORE_009"/>
    <x v="4"/>
    <x v="1"/>
    <x v="1"/>
    <n v="232.7"/>
    <n v="8"/>
    <n v="1861.6"/>
    <n v="5"/>
    <n v="93.08"/>
    <n v="1768.52"/>
    <s v="Credit Card"/>
    <s v="CUST_00566"/>
    <n v="5"/>
    <n v="93.079999999999927"/>
    <n v="221.065"/>
    <s v="Low"/>
  </r>
  <r>
    <s v="TXN_04094"/>
    <d v="2024-07-21T00:00:00"/>
    <x v="11"/>
    <s v="Sunday"/>
    <s v="STORE_021"/>
    <x v="3"/>
    <x v="5"/>
    <x v="34"/>
    <n v="4498.29"/>
    <n v="1"/>
    <n v="4498.29"/>
    <n v="0"/>
    <n v="0"/>
    <n v="4498.29"/>
    <s v="Wallet"/>
    <s v="CUST_00277"/>
    <n v="4"/>
    <n v="0"/>
    <n v="4498.29"/>
    <s v="No Discount"/>
  </r>
  <r>
    <s v="TXN_04095"/>
    <d v="2024-09-11T00:00:00"/>
    <x v="9"/>
    <s v="Wednesday"/>
    <s v="STORE_027"/>
    <x v="2"/>
    <x v="6"/>
    <x v="15"/>
    <n v="1255.22"/>
    <n v="3"/>
    <n v="3765.66"/>
    <n v="0"/>
    <n v="0"/>
    <n v="3765.66"/>
    <s v="Credit Card"/>
    <s v="CUST_00388"/>
    <n v="2"/>
    <n v="0"/>
    <n v="1255.22"/>
    <s v="No Discount"/>
  </r>
  <r>
    <s v="TXN_04096"/>
    <d v="2024-01-16T00:00:00"/>
    <x v="2"/>
    <s v="Tuesday"/>
    <s v="STORE_049"/>
    <x v="4"/>
    <x v="1"/>
    <x v="1"/>
    <n v="288.44"/>
    <n v="2"/>
    <n v="576.88"/>
    <n v="10"/>
    <n v="57.69"/>
    <n v="519.19000000000005"/>
    <s v="Debit Card"/>
    <s v="CUST_00484"/>
    <n v="3"/>
    <n v="57.689999999999941"/>
    <n v="259.59500000000003"/>
    <s v="Medium"/>
  </r>
  <r>
    <s v="TXN_04097"/>
    <d v="2024-07-14T00:00:00"/>
    <x v="11"/>
    <s v="Sunday"/>
    <s v="STORE_019"/>
    <x v="4"/>
    <x v="5"/>
    <x v="9"/>
    <n v="2294.52"/>
    <n v="8"/>
    <n v="18356.16"/>
    <n v="0"/>
    <n v="0"/>
    <n v="18356.16"/>
    <s v="Debit Card"/>
    <s v="CUST_00862"/>
    <n v="4"/>
    <n v="0"/>
    <n v="2294.52"/>
    <s v="No Discount"/>
  </r>
  <r>
    <s v="TXN_04098"/>
    <d v="2024-12-15T00:00:00"/>
    <x v="6"/>
    <s v="Sunday"/>
    <s v="STORE_015"/>
    <x v="3"/>
    <x v="0"/>
    <x v="4"/>
    <n v="958.42"/>
    <n v="6"/>
    <n v="5750.52"/>
    <n v="0"/>
    <n v="0"/>
    <n v="5750.52"/>
    <s v="Cash"/>
    <s v="CUST_00365"/>
    <n v="3"/>
    <n v="0"/>
    <n v="958.42000000000007"/>
    <s v="No Discount"/>
  </r>
  <r>
    <s v="TXN_04099"/>
    <d v="2024-08-06T00:00:00"/>
    <x v="8"/>
    <s v="Tuesday"/>
    <s v="STORE_035"/>
    <x v="0"/>
    <x v="5"/>
    <x v="25"/>
    <n v="2773.61"/>
    <n v="5"/>
    <n v="13868.05"/>
    <n v="20"/>
    <n v="2773.61"/>
    <n v="11094.44"/>
    <s v="Cash"/>
    <s v="CUST_00877"/>
    <n v="5"/>
    <n v="2773.6099999999988"/>
    <n v="2218.8879999999999"/>
    <s v="High"/>
  </r>
  <r>
    <s v="TXN_04100"/>
    <d v="2024-03-29T00:00:00"/>
    <x v="5"/>
    <s v="Friday"/>
    <s v="STORE_034"/>
    <x v="1"/>
    <x v="4"/>
    <x v="20"/>
    <n v="474.14"/>
    <n v="10"/>
    <n v="4741.3999999999996"/>
    <n v="10"/>
    <n v="474.14"/>
    <n v="4267.26"/>
    <s v="Credit Card"/>
    <s v="CUST_00972"/>
    <n v="1"/>
    <n v="474.13999999999942"/>
    <n v="426.726"/>
    <s v="Medium"/>
  </r>
  <r>
    <s v="TXN_04101"/>
    <d v="2024-06-30T00:00:00"/>
    <x v="10"/>
    <s v="Sunday"/>
    <s v="STORE_016"/>
    <x v="0"/>
    <x v="7"/>
    <x v="28"/>
    <n v="1282.72"/>
    <n v="6"/>
    <n v="7696.32"/>
    <n v="15"/>
    <n v="1154.45"/>
    <n v="6541.87"/>
    <s v="UPI"/>
    <s v="CUST_00557"/>
    <n v="4"/>
    <n v="1154.4499999999998"/>
    <n v="1090.3116666666667"/>
    <s v="Medium"/>
  </r>
  <r>
    <s v="TXN_04102"/>
    <d v="2024-04-19T00:00:00"/>
    <x v="4"/>
    <s v="Friday"/>
    <s v="STORE_003"/>
    <x v="1"/>
    <x v="4"/>
    <x v="8"/>
    <n v="293.89999999999998"/>
    <n v="7"/>
    <n v="2057.3000000000002"/>
    <n v="0"/>
    <n v="0"/>
    <n v="2057.3000000000002"/>
    <s v="UPI"/>
    <s v="CUST_00062"/>
    <n v="4"/>
    <n v="0"/>
    <n v="293.90000000000003"/>
    <s v="No Discount"/>
  </r>
  <r>
    <s v="TXN_04103"/>
    <d v="2024-04-05T00:00:00"/>
    <x v="4"/>
    <s v="Friday"/>
    <s v="STORE_048"/>
    <x v="0"/>
    <x v="0"/>
    <x v="27"/>
    <n v="207.4"/>
    <n v="10"/>
    <n v="2074"/>
    <n v="10"/>
    <n v="207.4"/>
    <n v="1866.6"/>
    <s v="Debit Card"/>
    <s v="CUST_00070"/>
    <n v="5"/>
    <n v="207.40000000000009"/>
    <n v="186.66"/>
    <s v="Medium"/>
  </r>
  <r>
    <s v="TXN_04104"/>
    <d v="2024-05-20T00:00:00"/>
    <x v="3"/>
    <s v="Monday"/>
    <s v="STORE_033"/>
    <x v="3"/>
    <x v="3"/>
    <x v="22"/>
    <n v="1414.97"/>
    <n v="1"/>
    <n v="1414.97"/>
    <n v="0"/>
    <n v="0"/>
    <n v="1414.97"/>
    <s v="UPI"/>
    <s v="CUST_00053"/>
    <n v="3"/>
    <n v="0"/>
    <n v="1414.97"/>
    <s v="No Discount"/>
  </r>
  <r>
    <s v="TXN_04105"/>
    <d v="2024-05-23T00:00:00"/>
    <x v="3"/>
    <s v="Thursday"/>
    <s v="STORE_014"/>
    <x v="4"/>
    <x v="3"/>
    <x v="22"/>
    <n v="2290.35"/>
    <n v="6"/>
    <n v="13742.1"/>
    <n v="5"/>
    <n v="687.11"/>
    <n v="13054.99"/>
    <s v="Debit Card"/>
    <s v="CUST_00592"/>
    <n v="2"/>
    <n v="687.11000000000058"/>
    <n v="2175.8316666666665"/>
    <s v="Low"/>
  </r>
  <r>
    <s v="TXN_04106"/>
    <d v="2024-08-16T00:00:00"/>
    <x v="8"/>
    <s v="Friday"/>
    <s v="STORE_029"/>
    <x v="2"/>
    <x v="5"/>
    <x v="11"/>
    <n v="2202.61"/>
    <n v="6"/>
    <n v="13215.66"/>
    <n v="0"/>
    <n v="0"/>
    <n v="13215.66"/>
    <s v="Cash"/>
    <s v="CUST_00348"/>
    <n v="3"/>
    <n v="0"/>
    <n v="2202.61"/>
    <s v="No Discount"/>
  </r>
  <r>
    <s v="TXN_04107"/>
    <d v="2024-03-17T00:00:00"/>
    <x v="5"/>
    <s v="Sunday"/>
    <s v="STORE_041"/>
    <x v="0"/>
    <x v="7"/>
    <x v="24"/>
    <n v="1336.29"/>
    <n v="6"/>
    <n v="8017.74"/>
    <n v="15"/>
    <n v="1202.6600000000001"/>
    <n v="6815.08"/>
    <s v="UPI"/>
    <s v="CUST_00413"/>
    <n v="5"/>
    <n v="1202.6599999999999"/>
    <n v="1135.8466666666666"/>
    <s v="Medium"/>
  </r>
  <r>
    <s v="TXN_04108"/>
    <d v="2024-01-18T00:00:00"/>
    <x v="2"/>
    <s v="Thursday"/>
    <s v="STORE_044"/>
    <x v="0"/>
    <x v="3"/>
    <x v="16"/>
    <n v="1722.96"/>
    <n v="4"/>
    <n v="6891.84"/>
    <n v="20"/>
    <n v="1378.37"/>
    <n v="5513.47"/>
    <s v="Debit Card"/>
    <s v="CUST_00476"/>
    <n v="3"/>
    <n v="1378.37"/>
    <n v="1378.3675000000001"/>
    <s v="High"/>
  </r>
  <r>
    <s v="TXN_04109"/>
    <d v="2024-11-10T00:00:00"/>
    <x v="0"/>
    <s v="Sunday"/>
    <s v="STORE_046"/>
    <x v="4"/>
    <x v="7"/>
    <x v="37"/>
    <n v="432.12"/>
    <n v="9"/>
    <n v="3889.08"/>
    <n v="15"/>
    <n v="583.36"/>
    <n v="3305.72"/>
    <s v="UPI"/>
    <s v="CUST_00932"/>
    <n v="2"/>
    <n v="583.36000000000013"/>
    <n v="367.30222222222221"/>
    <s v="Medium"/>
  </r>
  <r>
    <s v="TXN_04110"/>
    <d v="2024-11-13T00:00:00"/>
    <x v="0"/>
    <s v="Wednesday"/>
    <s v="STORE_014"/>
    <x v="3"/>
    <x v="0"/>
    <x v="27"/>
    <n v="948.42"/>
    <n v="5"/>
    <n v="4742.1000000000004"/>
    <n v="5"/>
    <n v="237.11"/>
    <n v="4504.99"/>
    <s v="UPI"/>
    <s v="CUST_00026"/>
    <n v="2"/>
    <n v="237.11000000000058"/>
    <n v="900.99799999999993"/>
    <s v="Low"/>
  </r>
  <r>
    <s v="TXN_04111"/>
    <d v="2024-11-11T00:00:00"/>
    <x v="0"/>
    <s v="Monday"/>
    <s v="STORE_049"/>
    <x v="0"/>
    <x v="3"/>
    <x v="16"/>
    <n v="1164.72"/>
    <n v="5"/>
    <n v="5823.6"/>
    <n v="5"/>
    <n v="291.18"/>
    <n v="5532.42"/>
    <s v="Wallet"/>
    <s v="CUST_00424"/>
    <n v="4"/>
    <n v="291.18000000000029"/>
    <n v="1106.4839999999999"/>
    <s v="Low"/>
  </r>
  <r>
    <s v="TXN_04112"/>
    <d v="2024-05-05T00:00:00"/>
    <x v="3"/>
    <s v="Sunday"/>
    <s v="STORE_012"/>
    <x v="4"/>
    <x v="7"/>
    <x v="23"/>
    <n v="1489.05"/>
    <n v="4"/>
    <n v="5956.2"/>
    <n v="0"/>
    <n v="0"/>
    <n v="5956.2"/>
    <s v="Wallet"/>
    <s v="CUST_00975"/>
    <n v="2"/>
    <n v="0"/>
    <n v="1489.05"/>
    <s v="No Discount"/>
  </r>
  <r>
    <s v="TXN_04113"/>
    <d v="2024-11-27T00:00:00"/>
    <x v="0"/>
    <s v="Wednesday"/>
    <s v="STORE_033"/>
    <x v="2"/>
    <x v="2"/>
    <x v="2"/>
    <n v="640.33000000000004"/>
    <n v="3"/>
    <n v="1920.99"/>
    <n v="15"/>
    <n v="288.14999999999998"/>
    <n v="1632.84"/>
    <s v="Debit Card"/>
    <s v="CUST_00888"/>
    <n v="2"/>
    <n v="288.15000000000009"/>
    <n v="544.28"/>
    <s v="Medium"/>
  </r>
  <r>
    <s v="TXN_04114"/>
    <d v="2024-05-31T00:00:00"/>
    <x v="3"/>
    <s v="Friday"/>
    <s v="STORE_024"/>
    <x v="1"/>
    <x v="0"/>
    <x v="0"/>
    <n v="478.81"/>
    <n v="10"/>
    <n v="4788.1000000000004"/>
    <n v="0"/>
    <n v="0"/>
    <n v="4788.1000000000004"/>
    <s v="Credit Card"/>
    <s v="CUST_00350"/>
    <n v="5"/>
    <n v="0"/>
    <n v="478.81000000000006"/>
    <s v="No Discount"/>
  </r>
  <r>
    <s v="TXN_04115"/>
    <d v="2024-09-12T00:00:00"/>
    <x v="9"/>
    <s v="Thursday"/>
    <s v="STORE_035"/>
    <x v="4"/>
    <x v="4"/>
    <x v="35"/>
    <n v="178.99"/>
    <n v="9"/>
    <n v="1610.91"/>
    <n v="10"/>
    <n v="161.09"/>
    <n v="1449.82"/>
    <s v="Debit Card"/>
    <s v="CUST_00910"/>
    <n v="3"/>
    <n v="161.09000000000015"/>
    <n v="161.0911111111111"/>
    <s v="Medium"/>
  </r>
  <r>
    <s v="TXN_04116"/>
    <d v="2024-07-29T00:00:00"/>
    <x v="11"/>
    <s v="Monday"/>
    <s v="STORE_026"/>
    <x v="0"/>
    <x v="3"/>
    <x v="21"/>
    <n v="931.58"/>
    <n v="1"/>
    <n v="931.58"/>
    <n v="0"/>
    <n v="0"/>
    <n v="931.58"/>
    <s v="Debit Card"/>
    <s v="CUST_00029"/>
    <n v="3"/>
    <n v="0"/>
    <n v="931.58"/>
    <s v="No Discount"/>
  </r>
  <r>
    <s v="TXN_04117"/>
    <d v="2024-10-08T00:00:00"/>
    <x v="7"/>
    <s v="Tuesday"/>
    <s v="STORE_043"/>
    <x v="1"/>
    <x v="3"/>
    <x v="12"/>
    <n v="1614.24"/>
    <n v="7"/>
    <n v="11299.68"/>
    <n v="5"/>
    <n v="564.98"/>
    <n v="10734.7"/>
    <s v="Debit Card"/>
    <s v="CUST_00892"/>
    <n v="3"/>
    <n v="564.97999999999956"/>
    <n v="1533.5285714285715"/>
    <s v="Low"/>
  </r>
  <r>
    <s v="TXN_04118"/>
    <d v="2024-09-02T00:00:00"/>
    <x v="9"/>
    <s v="Monday"/>
    <s v="STORE_024"/>
    <x v="3"/>
    <x v="6"/>
    <x v="15"/>
    <n v="1975.78"/>
    <n v="10"/>
    <n v="19757.8"/>
    <n v="20"/>
    <n v="3951.56"/>
    <n v="15806.24"/>
    <s v="Wallet"/>
    <s v="CUST_00103"/>
    <n v="4"/>
    <n v="3951.5599999999995"/>
    <n v="1580.624"/>
    <s v="High"/>
  </r>
  <r>
    <s v="TXN_04119"/>
    <d v="2024-02-01T00:00:00"/>
    <x v="1"/>
    <s v="Thursday"/>
    <s v="STORE_013"/>
    <x v="0"/>
    <x v="0"/>
    <x v="27"/>
    <n v="667.37"/>
    <n v="7"/>
    <n v="4671.59"/>
    <n v="15"/>
    <n v="700.74"/>
    <n v="3970.85"/>
    <s v="Debit Card"/>
    <s v="CUST_00799"/>
    <n v="1"/>
    <n v="700.74000000000024"/>
    <n v="567.26428571428573"/>
    <s v="Medium"/>
  </r>
  <r>
    <s v="TXN_04120"/>
    <d v="2024-02-14T00:00:00"/>
    <x v="1"/>
    <s v="Wednesday"/>
    <s v="STORE_035"/>
    <x v="1"/>
    <x v="4"/>
    <x v="8"/>
    <n v="386.03"/>
    <n v="3"/>
    <n v="1158.0899999999999"/>
    <n v="20"/>
    <n v="231.62"/>
    <n v="926.47"/>
    <s v="Wallet"/>
    <s v="CUST_00396"/>
    <n v="4"/>
    <n v="231.61999999999989"/>
    <n v="308.82333333333332"/>
    <s v="High"/>
  </r>
  <r>
    <s v="TXN_04121"/>
    <d v="2024-05-23T00:00:00"/>
    <x v="3"/>
    <s v="Thursday"/>
    <s v="STORE_012"/>
    <x v="0"/>
    <x v="2"/>
    <x v="29"/>
    <n v="308.64"/>
    <n v="7"/>
    <n v="2160.48"/>
    <n v="0"/>
    <n v="0"/>
    <n v="2160.48"/>
    <s v="Wallet"/>
    <s v="CUST_00021"/>
    <n v="5"/>
    <n v="0"/>
    <n v="308.64"/>
    <s v="No Discount"/>
  </r>
  <r>
    <s v="TXN_04122"/>
    <d v="2024-07-15T00:00:00"/>
    <x v="11"/>
    <s v="Monday"/>
    <s v="STORE_026"/>
    <x v="3"/>
    <x v="5"/>
    <x v="25"/>
    <n v="3177.5"/>
    <n v="3"/>
    <n v="9532.5"/>
    <n v="10"/>
    <n v="953.25"/>
    <n v="8579.25"/>
    <s v="Wallet"/>
    <s v="CUST_00956"/>
    <n v="3"/>
    <n v="953.25"/>
    <n v="2859.75"/>
    <s v="Medium"/>
  </r>
  <r>
    <s v="TXN_04123"/>
    <d v="2024-03-11T00:00:00"/>
    <x v="5"/>
    <s v="Monday"/>
    <s v="STORE_036"/>
    <x v="1"/>
    <x v="3"/>
    <x v="5"/>
    <n v="786.14"/>
    <n v="7"/>
    <n v="5502.98"/>
    <n v="0"/>
    <n v="0"/>
    <n v="5502.98"/>
    <s v="Debit Card"/>
    <s v="CUST_00397"/>
    <n v="1"/>
    <n v="0"/>
    <n v="786.14"/>
    <s v="No Discount"/>
  </r>
  <r>
    <s v="TXN_04124"/>
    <d v="2024-08-02T00:00:00"/>
    <x v="8"/>
    <s v="Friday"/>
    <s v="STORE_016"/>
    <x v="0"/>
    <x v="6"/>
    <x v="30"/>
    <n v="1203.6300000000001"/>
    <n v="7"/>
    <n v="8425.41"/>
    <n v="0"/>
    <n v="0"/>
    <n v="8425.41"/>
    <s v="Wallet"/>
    <s v="CUST_00718"/>
    <n v="1"/>
    <n v="0"/>
    <n v="1203.6299999999999"/>
    <s v="No Discount"/>
  </r>
  <r>
    <s v="TXN_04125"/>
    <d v="2024-04-12T00:00:00"/>
    <x v="4"/>
    <s v="Friday"/>
    <s v="STORE_019"/>
    <x v="4"/>
    <x v="0"/>
    <x v="32"/>
    <n v="686.93"/>
    <n v="9"/>
    <n v="6182.37"/>
    <n v="20"/>
    <n v="1236.47"/>
    <n v="4945.8999999999996"/>
    <s v="Cash"/>
    <s v="CUST_00083"/>
    <n v="4"/>
    <n v="1236.4700000000003"/>
    <n v="549.54444444444437"/>
    <s v="High"/>
  </r>
  <r>
    <s v="TXN_04126"/>
    <d v="2024-11-25T00:00:00"/>
    <x v="0"/>
    <s v="Monday"/>
    <s v="STORE_015"/>
    <x v="2"/>
    <x v="7"/>
    <x v="37"/>
    <n v="1268.42"/>
    <n v="4"/>
    <n v="5073.68"/>
    <n v="0"/>
    <n v="0"/>
    <n v="5073.68"/>
    <s v="Debit Card"/>
    <s v="CUST_00063"/>
    <n v="1"/>
    <n v="0"/>
    <n v="1268.42"/>
    <s v="No Discount"/>
  </r>
  <r>
    <s v="TXN_04127"/>
    <d v="2024-09-26T00:00:00"/>
    <x v="9"/>
    <s v="Thursday"/>
    <s v="STORE_034"/>
    <x v="1"/>
    <x v="7"/>
    <x v="37"/>
    <n v="794.46"/>
    <n v="7"/>
    <n v="5561.22"/>
    <n v="5"/>
    <n v="278.06"/>
    <n v="5283.16"/>
    <s v="Debit Card"/>
    <s v="CUST_00372"/>
    <n v="2"/>
    <n v="278.0600000000004"/>
    <n v="754.73714285714289"/>
    <s v="Low"/>
  </r>
  <r>
    <s v="TXN_04128"/>
    <d v="2024-05-07T00:00:00"/>
    <x v="3"/>
    <s v="Tuesday"/>
    <s v="STORE_040"/>
    <x v="3"/>
    <x v="4"/>
    <x v="35"/>
    <n v="182.57"/>
    <n v="1"/>
    <n v="182.57"/>
    <n v="10"/>
    <n v="18.260000000000002"/>
    <n v="164.31"/>
    <s v="Cash"/>
    <s v="CUST_00156"/>
    <n v="4"/>
    <n v="18.259999999999991"/>
    <n v="164.31"/>
    <s v="Medium"/>
  </r>
  <r>
    <s v="TXN_04129"/>
    <d v="2024-11-18T00:00:00"/>
    <x v="0"/>
    <s v="Monday"/>
    <s v="STORE_020"/>
    <x v="4"/>
    <x v="5"/>
    <x v="10"/>
    <n v="2407.98"/>
    <n v="2"/>
    <n v="4815.96"/>
    <n v="15"/>
    <n v="722.39"/>
    <n v="4093.57"/>
    <s v="Credit Card"/>
    <s v="CUST_00438"/>
    <n v="5"/>
    <n v="722.38999999999987"/>
    <n v="2046.7850000000001"/>
    <s v="Medium"/>
  </r>
  <r>
    <s v="TXN_04130"/>
    <d v="2024-10-05T00:00:00"/>
    <x v="7"/>
    <s v="Saturday"/>
    <s v="STORE_012"/>
    <x v="3"/>
    <x v="7"/>
    <x v="28"/>
    <n v="759.18"/>
    <n v="7"/>
    <n v="5314.26"/>
    <n v="15"/>
    <n v="797.14"/>
    <n v="4517.12"/>
    <s v="Credit Card"/>
    <s v="CUST_00913"/>
    <n v="1"/>
    <n v="797.14000000000033"/>
    <n v="645.30285714285708"/>
    <s v="Medium"/>
  </r>
  <r>
    <s v="TXN_04131"/>
    <d v="2024-01-10T00:00:00"/>
    <x v="2"/>
    <s v="Wednesday"/>
    <s v="STORE_017"/>
    <x v="4"/>
    <x v="6"/>
    <x v="15"/>
    <n v="1128.26"/>
    <n v="1"/>
    <n v="1128.26"/>
    <n v="15"/>
    <n v="169.24"/>
    <n v="959.02"/>
    <s v="Credit Card"/>
    <s v="CUST_00676"/>
    <n v="4"/>
    <n v="169.24"/>
    <n v="959.02"/>
    <s v="Medium"/>
  </r>
  <r>
    <s v="TXN_04132"/>
    <d v="2024-07-14T00:00:00"/>
    <x v="11"/>
    <s v="Sunday"/>
    <s v="STORE_020"/>
    <x v="1"/>
    <x v="4"/>
    <x v="20"/>
    <n v="380"/>
    <n v="10"/>
    <n v="3800"/>
    <n v="0"/>
    <n v="0"/>
    <n v="3800"/>
    <s v="UPI"/>
    <s v="CUST_00075"/>
    <n v="2"/>
    <n v="0"/>
    <n v="380"/>
    <s v="No Discount"/>
  </r>
  <r>
    <s v="TXN_04133"/>
    <d v="2024-12-31T00:00:00"/>
    <x v="6"/>
    <s v="Tuesday"/>
    <s v="STORE_021"/>
    <x v="3"/>
    <x v="6"/>
    <x v="33"/>
    <n v="1083.29"/>
    <n v="8"/>
    <n v="8666.32"/>
    <n v="10"/>
    <n v="866.63"/>
    <n v="7799.69"/>
    <s v="Wallet"/>
    <s v="CUST_00895"/>
    <n v="3"/>
    <n v="866.63000000000011"/>
    <n v="974.96124999999995"/>
    <s v="Medium"/>
  </r>
  <r>
    <s v="TXN_04134"/>
    <d v="2024-07-02T00:00:00"/>
    <x v="11"/>
    <s v="Tuesday"/>
    <s v="STORE_044"/>
    <x v="1"/>
    <x v="3"/>
    <x v="12"/>
    <n v="2745.7"/>
    <n v="7"/>
    <n v="19219.900000000001"/>
    <n v="0"/>
    <n v="0"/>
    <n v="19219.900000000001"/>
    <s v="Credit Card"/>
    <s v="CUST_00157"/>
    <n v="2"/>
    <n v="0"/>
    <n v="2745.7000000000003"/>
    <s v="No Discount"/>
  </r>
  <r>
    <s v="TXN_04135"/>
    <d v="2024-09-02T00:00:00"/>
    <x v="9"/>
    <s v="Monday"/>
    <s v="STORE_030"/>
    <x v="2"/>
    <x v="3"/>
    <x v="16"/>
    <n v="1802.26"/>
    <n v="6"/>
    <n v="10813.56"/>
    <n v="0"/>
    <n v="0"/>
    <n v="10813.56"/>
    <s v="Cash"/>
    <s v="CUST_00820"/>
    <n v="1"/>
    <n v="0"/>
    <n v="1802.26"/>
    <s v="No Discount"/>
  </r>
  <r>
    <s v="TXN_04136"/>
    <d v="2024-10-05T00:00:00"/>
    <x v="7"/>
    <s v="Saturday"/>
    <s v="STORE_002"/>
    <x v="0"/>
    <x v="7"/>
    <x v="28"/>
    <n v="1124.42"/>
    <n v="3"/>
    <n v="3373.26"/>
    <n v="10"/>
    <n v="337.33"/>
    <n v="3035.93"/>
    <s v="Wallet"/>
    <s v="CUST_00250"/>
    <n v="3"/>
    <n v="337.33000000000038"/>
    <n v="1011.9766666666666"/>
    <s v="Medium"/>
  </r>
  <r>
    <s v="TXN_04137"/>
    <d v="2024-09-05T00:00:00"/>
    <x v="9"/>
    <s v="Thursday"/>
    <s v="STORE_029"/>
    <x v="2"/>
    <x v="6"/>
    <x v="15"/>
    <n v="1458.04"/>
    <n v="1"/>
    <n v="1458.04"/>
    <n v="20"/>
    <n v="291.61"/>
    <n v="1166.43"/>
    <s v="UPI"/>
    <s v="CUST_00259"/>
    <n v="4"/>
    <n v="291.6099999999999"/>
    <n v="1166.43"/>
    <s v="High"/>
  </r>
  <r>
    <s v="TXN_04138"/>
    <d v="2024-06-25T00:00:00"/>
    <x v="10"/>
    <s v="Tuesday"/>
    <s v="STORE_049"/>
    <x v="2"/>
    <x v="4"/>
    <x v="20"/>
    <n v="568.54"/>
    <n v="4"/>
    <n v="2274.16"/>
    <n v="20"/>
    <n v="454.83"/>
    <n v="1819.33"/>
    <s v="Credit Card"/>
    <s v="CUST_00261"/>
    <n v="4"/>
    <n v="454.82999999999993"/>
    <n v="454.83249999999998"/>
    <s v="High"/>
  </r>
  <r>
    <s v="TXN_04139"/>
    <d v="2024-10-16T00:00:00"/>
    <x v="7"/>
    <s v="Wednesday"/>
    <s v="STORE_037"/>
    <x v="4"/>
    <x v="1"/>
    <x v="3"/>
    <n v="392.16"/>
    <n v="6"/>
    <n v="2352.96"/>
    <n v="0"/>
    <n v="0"/>
    <n v="2352.96"/>
    <s v="Credit Card"/>
    <s v="CUST_00712"/>
    <n v="2"/>
    <n v="0"/>
    <n v="392.16"/>
    <s v="No Discount"/>
  </r>
  <r>
    <s v="TXN_04140"/>
    <d v="2024-09-14T00:00:00"/>
    <x v="9"/>
    <s v="Saturday"/>
    <s v="STORE_012"/>
    <x v="4"/>
    <x v="5"/>
    <x v="25"/>
    <n v="4014.97"/>
    <n v="10"/>
    <n v="40149.699999999997"/>
    <n v="0"/>
    <n v="0"/>
    <n v="40149.699999999997"/>
    <s v="Debit Card"/>
    <s v="CUST_00982"/>
    <n v="1"/>
    <n v="0"/>
    <n v="4014.97"/>
    <s v="No Discount"/>
  </r>
  <r>
    <s v="TXN_04141"/>
    <d v="2024-06-13T00:00:00"/>
    <x v="10"/>
    <s v="Thursday"/>
    <s v="STORE_044"/>
    <x v="1"/>
    <x v="7"/>
    <x v="24"/>
    <n v="1243.3699999999999"/>
    <n v="3"/>
    <n v="3730.11"/>
    <n v="0"/>
    <n v="0"/>
    <n v="3730.11"/>
    <s v="Wallet"/>
    <s v="CUST_00143"/>
    <n v="5"/>
    <n v="0"/>
    <n v="1243.3700000000001"/>
    <s v="No Discount"/>
  </r>
  <r>
    <s v="TXN_04142"/>
    <d v="2024-07-17T00:00:00"/>
    <x v="11"/>
    <s v="Wednesday"/>
    <s v="STORE_027"/>
    <x v="4"/>
    <x v="7"/>
    <x v="37"/>
    <n v="1347.53"/>
    <n v="9"/>
    <n v="12127.77"/>
    <n v="0"/>
    <n v="0"/>
    <n v="12127.77"/>
    <s v="Credit Card"/>
    <s v="CUST_00441"/>
    <n v="2"/>
    <n v="0"/>
    <n v="1347.53"/>
    <s v="No Discount"/>
  </r>
  <r>
    <s v="TXN_04143"/>
    <d v="2024-05-18T00:00:00"/>
    <x v="3"/>
    <s v="Saturday"/>
    <s v="STORE_048"/>
    <x v="0"/>
    <x v="5"/>
    <x v="25"/>
    <n v="4859.4399999999996"/>
    <n v="6"/>
    <n v="29156.639999999999"/>
    <n v="20"/>
    <n v="5831.33"/>
    <n v="23325.31"/>
    <s v="Credit Card"/>
    <s v="CUST_00730"/>
    <n v="4"/>
    <n v="5831.3299999999981"/>
    <n v="3887.5516666666667"/>
    <s v="High"/>
  </r>
  <r>
    <s v="TXN_04144"/>
    <d v="2024-04-02T00:00:00"/>
    <x v="4"/>
    <s v="Tuesday"/>
    <s v="STORE_019"/>
    <x v="0"/>
    <x v="5"/>
    <x v="25"/>
    <n v="3999.34"/>
    <n v="10"/>
    <n v="39993.4"/>
    <n v="0"/>
    <n v="0"/>
    <n v="39993.4"/>
    <s v="Debit Card"/>
    <s v="CUST_00056"/>
    <n v="5"/>
    <n v="0"/>
    <n v="3999.34"/>
    <s v="No Discount"/>
  </r>
  <r>
    <s v="TXN_04145"/>
    <d v="2024-01-14T00:00:00"/>
    <x v="2"/>
    <s v="Sunday"/>
    <s v="STORE_026"/>
    <x v="0"/>
    <x v="3"/>
    <x v="12"/>
    <n v="1223.05"/>
    <n v="3"/>
    <n v="3669.15"/>
    <n v="5"/>
    <n v="183.46"/>
    <n v="3485.69"/>
    <s v="Cash"/>
    <s v="CUST_00808"/>
    <n v="5"/>
    <n v="183.46000000000004"/>
    <n v="1161.8966666666668"/>
    <s v="Low"/>
  </r>
  <r>
    <s v="TXN_04146"/>
    <d v="2024-06-12T00:00:00"/>
    <x v="10"/>
    <s v="Wednesday"/>
    <s v="STORE_031"/>
    <x v="3"/>
    <x v="3"/>
    <x v="16"/>
    <n v="844.99"/>
    <n v="5"/>
    <n v="4224.95"/>
    <n v="0"/>
    <n v="0"/>
    <n v="4224.95"/>
    <s v="Credit Card"/>
    <s v="CUST_00364"/>
    <n v="2"/>
    <n v="0"/>
    <n v="844.99"/>
    <s v="No Discount"/>
  </r>
  <r>
    <s v="TXN_04147"/>
    <d v="2024-11-01T00:00:00"/>
    <x v="0"/>
    <s v="Friday"/>
    <s v="STORE_049"/>
    <x v="1"/>
    <x v="2"/>
    <x v="29"/>
    <n v="517.29"/>
    <n v="10"/>
    <n v="5172.8999999999996"/>
    <n v="0"/>
    <n v="0"/>
    <n v="5172.8999999999996"/>
    <s v="Debit Card"/>
    <s v="CUST_00756"/>
    <n v="5"/>
    <n v="0"/>
    <n v="517.29"/>
    <s v="No Discount"/>
  </r>
  <r>
    <s v="TXN_04148"/>
    <d v="2024-04-22T00:00:00"/>
    <x v="4"/>
    <s v="Monday"/>
    <s v="STORE_007"/>
    <x v="1"/>
    <x v="6"/>
    <x v="14"/>
    <n v="837.15"/>
    <n v="1"/>
    <n v="837.15"/>
    <n v="10"/>
    <n v="83.72"/>
    <n v="753.43"/>
    <s v="UPI"/>
    <s v="CUST_00570"/>
    <n v="3"/>
    <n v="83.720000000000027"/>
    <n v="753.43"/>
    <s v="Medium"/>
  </r>
  <r>
    <s v="TXN_04149"/>
    <d v="2024-01-16T00:00:00"/>
    <x v="2"/>
    <s v="Tuesday"/>
    <s v="STORE_021"/>
    <x v="2"/>
    <x v="0"/>
    <x v="0"/>
    <n v="863.59"/>
    <n v="10"/>
    <n v="8635.9"/>
    <n v="15"/>
    <n v="1295.3800000000001"/>
    <n v="7340.52"/>
    <s v="Credit Card"/>
    <s v="CUST_00341"/>
    <n v="5"/>
    <n v="1295.3799999999992"/>
    <n v="734.05200000000002"/>
    <s v="Medium"/>
  </r>
  <r>
    <s v="TXN_04150"/>
    <d v="2024-05-23T00:00:00"/>
    <x v="3"/>
    <s v="Thursday"/>
    <s v="STORE_022"/>
    <x v="4"/>
    <x v="6"/>
    <x v="15"/>
    <n v="1906.03"/>
    <n v="9"/>
    <n v="17154.27"/>
    <n v="20"/>
    <n v="3430.85"/>
    <n v="13723.42"/>
    <s v="UPI"/>
    <s v="CUST_00029"/>
    <n v="1"/>
    <n v="3430.8500000000004"/>
    <n v="1524.8244444444445"/>
    <s v="High"/>
  </r>
  <r>
    <s v="TXN_04151"/>
    <d v="2024-01-30T00:00:00"/>
    <x v="2"/>
    <s v="Tuesday"/>
    <s v="STORE_007"/>
    <x v="2"/>
    <x v="4"/>
    <x v="8"/>
    <n v="400.69"/>
    <n v="4"/>
    <n v="1602.76"/>
    <n v="5"/>
    <n v="80.14"/>
    <n v="1522.62"/>
    <s v="UPI"/>
    <s v="CUST_00630"/>
    <n v="2"/>
    <n v="80.1400000000001"/>
    <n v="380.65499999999997"/>
    <s v="Low"/>
  </r>
  <r>
    <s v="TXN_04152"/>
    <d v="2024-08-29T00:00:00"/>
    <x v="8"/>
    <s v="Thursday"/>
    <s v="STORE_037"/>
    <x v="2"/>
    <x v="6"/>
    <x v="33"/>
    <n v="879.7"/>
    <n v="5"/>
    <n v="4398.5"/>
    <n v="5"/>
    <n v="219.93"/>
    <n v="4178.57"/>
    <s v="Wallet"/>
    <s v="CUST_00709"/>
    <n v="2"/>
    <n v="219.93000000000029"/>
    <n v="835.71399999999994"/>
    <s v="Low"/>
  </r>
  <r>
    <s v="TXN_04153"/>
    <d v="2024-09-28T00:00:00"/>
    <x v="9"/>
    <s v="Saturday"/>
    <s v="STORE_013"/>
    <x v="1"/>
    <x v="7"/>
    <x v="37"/>
    <n v="449.85"/>
    <n v="5"/>
    <n v="2249.25"/>
    <n v="20"/>
    <n v="449.85"/>
    <n v="1799.4"/>
    <s v="Credit Card"/>
    <s v="CUST_00366"/>
    <n v="1"/>
    <n v="449.84999999999991"/>
    <n v="359.88"/>
    <s v="High"/>
  </r>
  <r>
    <s v="TXN_04154"/>
    <d v="2024-07-02T00:00:00"/>
    <x v="11"/>
    <s v="Tuesday"/>
    <s v="STORE_026"/>
    <x v="1"/>
    <x v="0"/>
    <x v="27"/>
    <n v="743.68"/>
    <n v="9"/>
    <n v="6693.12"/>
    <n v="15"/>
    <n v="1003.97"/>
    <n v="5689.15"/>
    <s v="Cash"/>
    <s v="CUST_00691"/>
    <n v="5"/>
    <n v="1003.9700000000003"/>
    <n v="632.12777777777774"/>
    <s v="Medium"/>
  </r>
  <r>
    <s v="TXN_04155"/>
    <d v="2024-10-26T00:00:00"/>
    <x v="7"/>
    <s v="Saturday"/>
    <s v="STORE_025"/>
    <x v="2"/>
    <x v="1"/>
    <x v="31"/>
    <n v="265.49"/>
    <n v="5"/>
    <n v="1327.45"/>
    <n v="10"/>
    <n v="132.75"/>
    <n v="1194.7"/>
    <s v="UPI"/>
    <s v="CUST_00454"/>
    <n v="4"/>
    <n v="132.75"/>
    <n v="238.94"/>
    <s v="Medium"/>
  </r>
  <r>
    <s v="TXN_04156"/>
    <d v="2024-04-29T00:00:00"/>
    <x v="4"/>
    <s v="Monday"/>
    <s v="STORE_017"/>
    <x v="2"/>
    <x v="5"/>
    <x v="11"/>
    <n v="2575.0300000000002"/>
    <n v="1"/>
    <n v="2575.0300000000002"/>
    <n v="20"/>
    <n v="515.01"/>
    <n v="2060.02"/>
    <s v="Cash"/>
    <s v="CUST_00152"/>
    <n v="4"/>
    <n v="515.01000000000022"/>
    <n v="2060.02"/>
    <s v="High"/>
  </r>
  <r>
    <s v="TXN_04157"/>
    <d v="2024-03-22T00:00:00"/>
    <x v="5"/>
    <s v="Friday"/>
    <s v="STORE_039"/>
    <x v="0"/>
    <x v="6"/>
    <x v="26"/>
    <n v="658.44"/>
    <n v="1"/>
    <n v="658.44"/>
    <n v="0"/>
    <n v="0"/>
    <n v="658.44"/>
    <s v="UPI"/>
    <s v="CUST_00514"/>
    <n v="5"/>
    <n v="0"/>
    <n v="658.44"/>
    <s v="No Discount"/>
  </r>
  <r>
    <s v="TXN_04158"/>
    <d v="2024-02-21T00:00:00"/>
    <x v="1"/>
    <s v="Wednesday"/>
    <s v="STORE_041"/>
    <x v="1"/>
    <x v="5"/>
    <x v="25"/>
    <n v="4360.78"/>
    <n v="3"/>
    <n v="13082.34"/>
    <n v="20"/>
    <n v="2616.4699999999998"/>
    <n v="10465.870000000001"/>
    <s v="Wallet"/>
    <s v="CUST_00005"/>
    <n v="5"/>
    <n v="2616.4699999999993"/>
    <n v="3488.6233333333334"/>
    <s v="High"/>
  </r>
  <r>
    <s v="TXN_04159"/>
    <d v="2024-05-06T00:00:00"/>
    <x v="3"/>
    <s v="Monday"/>
    <s v="STORE_009"/>
    <x v="3"/>
    <x v="2"/>
    <x v="29"/>
    <n v="506.6"/>
    <n v="6"/>
    <n v="3039.6"/>
    <n v="0"/>
    <n v="0"/>
    <n v="3039.6"/>
    <s v="UPI"/>
    <s v="CUST_00623"/>
    <n v="1"/>
    <n v="0"/>
    <n v="506.59999999999997"/>
    <s v="No Discount"/>
  </r>
  <r>
    <s v="TXN_04160"/>
    <d v="2024-12-02T00:00:00"/>
    <x v="6"/>
    <s v="Monday"/>
    <s v="STORE_036"/>
    <x v="1"/>
    <x v="4"/>
    <x v="19"/>
    <n v="588.41999999999996"/>
    <n v="6"/>
    <n v="3530.52"/>
    <n v="0"/>
    <n v="0"/>
    <n v="3530.52"/>
    <s v="UPI"/>
    <s v="CUST_00970"/>
    <n v="4"/>
    <n v="0"/>
    <n v="588.41999999999996"/>
    <s v="No Discount"/>
  </r>
  <r>
    <s v="TXN_04161"/>
    <d v="2024-05-03T00:00:00"/>
    <x v="3"/>
    <s v="Friday"/>
    <s v="STORE_031"/>
    <x v="4"/>
    <x v="6"/>
    <x v="14"/>
    <n v="1499.66"/>
    <n v="2"/>
    <n v="2999.32"/>
    <n v="5"/>
    <n v="149.97"/>
    <n v="2849.35"/>
    <s v="Debit Card"/>
    <s v="CUST_00072"/>
    <n v="4"/>
    <n v="149.97000000000025"/>
    <n v="1424.675"/>
    <s v="Low"/>
  </r>
  <r>
    <s v="TXN_04162"/>
    <d v="2024-05-16T00:00:00"/>
    <x v="3"/>
    <s v="Thursday"/>
    <s v="STORE_016"/>
    <x v="3"/>
    <x v="1"/>
    <x v="6"/>
    <n v="117.26"/>
    <n v="9"/>
    <n v="1055.3399999999999"/>
    <n v="0"/>
    <n v="0"/>
    <n v="1055.3399999999999"/>
    <s v="Debit Card"/>
    <s v="CUST_00395"/>
    <n v="3"/>
    <n v="0"/>
    <n v="117.25999999999999"/>
    <s v="No Discount"/>
  </r>
  <r>
    <s v="TXN_04163"/>
    <d v="2024-09-30T00:00:00"/>
    <x v="9"/>
    <s v="Monday"/>
    <s v="STORE_001"/>
    <x v="0"/>
    <x v="2"/>
    <x v="29"/>
    <n v="526.87"/>
    <n v="9"/>
    <n v="4741.83"/>
    <n v="0"/>
    <n v="0"/>
    <n v="4741.83"/>
    <s v="Wallet"/>
    <s v="CUST_00980"/>
    <n v="2"/>
    <n v="0"/>
    <n v="526.87"/>
    <s v="No Discount"/>
  </r>
  <r>
    <s v="TXN_04164"/>
    <d v="2024-01-29T00:00:00"/>
    <x v="2"/>
    <s v="Monday"/>
    <s v="STORE_034"/>
    <x v="4"/>
    <x v="4"/>
    <x v="20"/>
    <n v="419.74"/>
    <n v="3"/>
    <n v="1259.22"/>
    <n v="15"/>
    <n v="188.88"/>
    <n v="1070.3399999999999"/>
    <s v="UPI"/>
    <s v="CUST_00355"/>
    <n v="1"/>
    <n v="188.88000000000011"/>
    <n v="356.78"/>
    <s v="Medium"/>
  </r>
  <r>
    <s v="TXN_04165"/>
    <d v="2024-04-22T00:00:00"/>
    <x v="4"/>
    <s v="Monday"/>
    <s v="STORE_019"/>
    <x v="2"/>
    <x v="3"/>
    <x v="12"/>
    <n v="1880.25"/>
    <n v="9"/>
    <n v="16922.25"/>
    <n v="20"/>
    <n v="3384.45"/>
    <n v="13537.8"/>
    <s v="UPI"/>
    <s v="CUST_00096"/>
    <n v="2"/>
    <n v="3384.4500000000007"/>
    <n v="1504.1999999999998"/>
    <s v="High"/>
  </r>
  <r>
    <s v="TXN_04166"/>
    <d v="2024-10-21T00:00:00"/>
    <x v="7"/>
    <s v="Monday"/>
    <s v="STORE_022"/>
    <x v="1"/>
    <x v="7"/>
    <x v="24"/>
    <n v="1043.28"/>
    <n v="10"/>
    <n v="10432.799999999999"/>
    <n v="5"/>
    <n v="521.64"/>
    <n v="9911.16"/>
    <s v="Cash"/>
    <s v="CUST_00745"/>
    <n v="4"/>
    <n v="521.63999999999942"/>
    <n v="991.11599999999999"/>
    <s v="Low"/>
  </r>
  <r>
    <s v="TXN_04167"/>
    <d v="2024-07-17T00:00:00"/>
    <x v="11"/>
    <s v="Wednesday"/>
    <s v="STORE_018"/>
    <x v="4"/>
    <x v="1"/>
    <x v="31"/>
    <n v="352.38"/>
    <n v="8"/>
    <n v="2819.04"/>
    <n v="20"/>
    <n v="563.80999999999995"/>
    <n v="2255.23"/>
    <s v="UPI"/>
    <s v="CUST_00976"/>
    <n v="1"/>
    <n v="563.80999999999995"/>
    <n v="281.90375"/>
    <s v="High"/>
  </r>
  <r>
    <s v="TXN_04168"/>
    <d v="2024-06-30T00:00:00"/>
    <x v="10"/>
    <s v="Sunday"/>
    <s v="STORE_020"/>
    <x v="1"/>
    <x v="6"/>
    <x v="26"/>
    <n v="1974.4"/>
    <n v="8"/>
    <n v="15795.2"/>
    <n v="10"/>
    <n v="1579.52"/>
    <n v="14215.68"/>
    <s v="Credit Card"/>
    <s v="CUST_00843"/>
    <n v="5"/>
    <n v="1579.5200000000004"/>
    <n v="1776.96"/>
    <s v="Medium"/>
  </r>
  <r>
    <s v="TXN_04169"/>
    <d v="2024-03-29T00:00:00"/>
    <x v="5"/>
    <s v="Friday"/>
    <s v="STORE_007"/>
    <x v="2"/>
    <x v="0"/>
    <x v="32"/>
    <n v="659.97"/>
    <n v="8"/>
    <n v="5279.76"/>
    <n v="0"/>
    <n v="0"/>
    <n v="5279.76"/>
    <s v="Wallet"/>
    <s v="CUST_00680"/>
    <n v="4"/>
    <n v="0"/>
    <n v="659.97"/>
    <s v="No Discount"/>
  </r>
  <r>
    <s v="TXN_04170"/>
    <d v="2024-03-31T00:00:00"/>
    <x v="5"/>
    <s v="Sunday"/>
    <s v="STORE_047"/>
    <x v="4"/>
    <x v="3"/>
    <x v="22"/>
    <n v="259.45999999999998"/>
    <n v="8"/>
    <n v="2075.6799999999998"/>
    <n v="0"/>
    <n v="0"/>
    <n v="2075.6799999999998"/>
    <s v="UPI"/>
    <s v="CUST_00099"/>
    <n v="5"/>
    <n v="0"/>
    <n v="259.45999999999998"/>
    <s v="No Discount"/>
  </r>
  <r>
    <s v="TXN_04171"/>
    <d v="2024-05-01T00:00:00"/>
    <x v="3"/>
    <s v="Wednesday"/>
    <s v="STORE_021"/>
    <x v="3"/>
    <x v="6"/>
    <x v="26"/>
    <n v="1797.86"/>
    <n v="1"/>
    <n v="1797.86"/>
    <n v="0"/>
    <n v="0"/>
    <n v="1797.86"/>
    <s v="Credit Card"/>
    <s v="CUST_00640"/>
    <n v="4"/>
    <n v="0"/>
    <n v="1797.86"/>
    <s v="No Discount"/>
  </r>
  <r>
    <s v="TXN_04172"/>
    <d v="2024-10-30T00:00:00"/>
    <x v="7"/>
    <s v="Wednesday"/>
    <s v="STORE_043"/>
    <x v="4"/>
    <x v="2"/>
    <x v="29"/>
    <n v="122.19"/>
    <n v="3"/>
    <n v="366.57"/>
    <n v="20"/>
    <n v="73.31"/>
    <n v="293.26"/>
    <s v="Credit Card"/>
    <s v="CUST_00468"/>
    <n v="5"/>
    <n v="73.31"/>
    <n v="97.75333333333333"/>
    <s v="High"/>
  </r>
  <r>
    <s v="TXN_04173"/>
    <d v="2024-06-11T00:00:00"/>
    <x v="10"/>
    <s v="Tuesday"/>
    <s v="STORE_025"/>
    <x v="1"/>
    <x v="1"/>
    <x v="36"/>
    <n v="354.84"/>
    <n v="7"/>
    <n v="2483.88"/>
    <n v="10"/>
    <n v="248.39"/>
    <n v="2235.4899999999998"/>
    <s v="Wallet"/>
    <s v="CUST_00519"/>
    <n v="1"/>
    <n v="248.39000000000033"/>
    <n v="319.35571428571427"/>
    <s v="Medium"/>
  </r>
  <r>
    <s v="TXN_04174"/>
    <d v="2024-12-23T00:00:00"/>
    <x v="6"/>
    <s v="Monday"/>
    <s v="STORE_003"/>
    <x v="1"/>
    <x v="1"/>
    <x v="31"/>
    <n v="154.22"/>
    <n v="4"/>
    <n v="616.88"/>
    <n v="0"/>
    <n v="0"/>
    <n v="616.88"/>
    <s v="Credit Card"/>
    <s v="CUST_00551"/>
    <n v="1"/>
    <n v="0"/>
    <n v="154.22"/>
    <s v="No Discount"/>
  </r>
  <r>
    <s v="TXN_04175"/>
    <d v="2024-07-02T00:00:00"/>
    <x v="11"/>
    <s v="Tuesday"/>
    <s v="STORE_025"/>
    <x v="1"/>
    <x v="4"/>
    <x v="19"/>
    <n v="598.53"/>
    <n v="7"/>
    <n v="4189.71"/>
    <n v="5"/>
    <n v="209.49"/>
    <n v="3980.22"/>
    <s v="Credit Card"/>
    <s v="CUST_00829"/>
    <n v="2"/>
    <n v="209.49000000000024"/>
    <n v="568.60285714285715"/>
    <s v="Low"/>
  </r>
  <r>
    <s v="TXN_04176"/>
    <d v="2024-10-29T00:00:00"/>
    <x v="7"/>
    <s v="Tuesday"/>
    <s v="STORE_008"/>
    <x v="0"/>
    <x v="1"/>
    <x v="31"/>
    <n v="297.14999999999998"/>
    <n v="2"/>
    <n v="594.29999999999995"/>
    <n v="10"/>
    <n v="59.43"/>
    <n v="534.87"/>
    <s v="Debit Card"/>
    <s v="CUST_00870"/>
    <n v="5"/>
    <n v="59.42999999999995"/>
    <n v="267.435"/>
    <s v="Medium"/>
  </r>
  <r>
    <s v="TXN_04177"/>
    <d v="2024-01-15T00:00:00"/>
    <x v="2"/>
    <s v="Monday"/>
    <s v="STORE_017"/>
    <x v="4"/>
    <x v="1"/>
    <x v="3"/>
    <n v="330.71"/>
    <n v="9"/>
    <n v="2976.39"/>
    <n v="10"/>
    <n v="297.64"/>
    <n v="2678.75"/>
    <s v="Cash"/>
    <s v="CUST_00979"/>
    <n v="2"/>
    <n v="297.63999999999987"/>
    <n v="297.63888888888891"/>
    <s v="Medium"/>
  </r>
  <r>
    <s v="TXN_04178"/>
    <d v="2024-12-26T00:00:00"/>
    <x v="6"/>
    <s v="Thursday"/>
    <s v="STORE_007"/>
    <x v="1"/>
    <x v="7"/>
    <x v="23"/>
    <n v="1355.02"/>
    <n v="1"/>
    <n v="1355.02"/>
    <n v="15"/>
    <n v="203.25"/>
    <n v="1151.77"/>
    <s v="Wallet"/>
    <s v="CUST_00694"/>
    <n v="3"/>
    <n v="203.25"/>
    <n v="1151.77"/>
    <s v="Medium"/>
  </r>
  <r>
    <s v="TXN_04179"/>
    <d v="2024-12-24T00:00:00"/>
    <x v="6"/>
    <s v="Tuesday"/>
    <s v="STORE_030"/>
    <x v="3"/>
    <x v="4"/>
    <x v="35"/>
    <n v="236.99"/>
    <n v="4"/>
    <n v="947.96"/>
    <n v="0"/>
    <n v="0"/>
    <n v="947.96"/>
    <s v="Cash"/>
    <s v="CUST_00209"/>
    <n v="2"/>
    <n v="0"/>
    <n v="236.99"/>
    <s v="No Discount"/>
  </r>
  <r>
    <s v="TXN_04180"/>
    <d v="2024-06-29T00:00:00"/>
    <x v="10"/>
    <s v="Saturday"/>
    <s v="STORE_032"/>
    <x v="2"/>
    <x v="7"/>
    <x v="23"/>
    <n v="685.04"/>
    <n v="10"/>
    <n v="6850.4"/>
    <n v="5"/>
    <n v="342.52"/>
    <n v="6507.88"/>
    <s v="UPI"/>
    <s v="CUST_00446"/>
    <n v="1"/>
    <n v="342.51999999999953"/>
    <n v="650.78800000000001"/>
    <s v="Low"/>
  </r>
  <r>
    <s v="TXN_04181"/>
    <d v="2024-10-17T00:00:00"/>
    <x v="7"/>
    <s v="Thursday"/>
    <s v="STORE_001"/>
    <x v="2"/>
    <x v="2"/>
    <x v="39"/>
    <n v="483.21"/>
    <n v="2"/>
    <n v="966.42"/>
    <n v="0"/>
    <n v="0"/>
    <n v="966.42"/>
    <s v="Cash"/>
    <s v="CUST_00765"/>
    <n v="1"/>
    <n v="0"/>
    <n v="483.21"/>
    <s v="No Discount"/>
  </r>
  <r>
    <s v="TXN_04182"/>
    <d v="2024-10-15T00:00:00"/>
    <x v="7"/>
    <s v="Tuesday"/>
    <s v="STORE_016"/>
    <x v="2"/>
    <x v="2"/>
    <x v="2"/>
    <n v="649.04"/>
    <n v="6"/>
    <n v="3894.24"/>
    <n v="5"/>
    <n v="194.71"/>
    <n v="3699.53"/>
    <s v="Credit Card"/>
    <s v="CUST_00053"/>
    <n v="2"/>
    <n v="194.70999999999958"/>
    <n v="616.58833333333337"/>
    <s v="Low"/>
  </r>
  <r>
    <s v="TXN_04183"/>
    <d v="2024-03-13T00:00:00"/>
    <x v="5"/>
    <s v="Wednesday"/>
    <s v="STORE_011"/>
    <x v="4"/>
    <x v="0"/>
    <x v="32"/>
    <n v="975.19"/>
    <n v="1"/>
    <n v="975.19"/>
    <n v="5"/>
    <n v="48.76"/>
    <n v="926.43"/>
    <s v="Wallet"/>
    <s v="CUST_00421"/>
    <n v="4"/>
    <n v="48.760000000000105"/>
    <n v="926.43"/>
    <s v="Low"/>
  </r>
  <r>
    <s v="TXN_04184"/>
    <d v="2024-10-15T00:00:00"/>
    <x v="7"/>
    <s v="Tuesday"/>
    <s v="STORE_010"/>
    <x v="3"/>
    <x v="5"/>
    <x v="11"/>
    <n v="3931.91"/>
    <n v="9"/>
    <n v="35387.19"/>
    <n v="15"/>
    <n v="5308.08"/>
    <n v="30079.11"/>
    <s v="Cash"/>
    <s v="CUST_00947"/>
    <n v="3"/>
    <n v="5308.0800000000017"/>
    <n v="3342.1233333333334"/>
    <s v="Medium"/>
  </r>
  <r>
    <s v="TXN_04185"/>
    <d v="2024-04-06T00:00:00"/>
    <x v="4"/>
    <s v="Saturday"/>
    <s v="STORE_048"/>
    <x v="4"/>
    <x v="3"/>
    <x v="22"/>
    <n v="924.14"/>
    <n v="10"/>
    <n v="9241.4"/>
    <n v="15"/>
    <n v="1386.21"/>
    <n v="7855.19"/>
    <s v="UPI"/>
    <s v="CUST_00153"/>
    <n v="5"/>
    <n v="1386.21"/>
    <n v="785.51900000000001"/>
    <s v="Medium"/>
  </r>
  <r>
    <s v="TXN_04186"/>
    <d v="2024-09-09T00:00:00"/>
    <x v="9"/>
    <s v="Monday"/>
    <s v="STORE_027"/>
    <x v="1"/>
    <x v="4"/>
    <x v="8"/>
    <n v="508.63"/>
    <n v="10"/>
    <n v="5086.3"/>
    <n v="5"/>
    <n v="254.32"/>
    <n v="4831.9799999999996"/>
    <s v="Debit Card"/>
    <s v="CUST_00283"/>
    <n v="4"/>
    <n v="254.32000000000062"/>
    <n v="483.19799999999998"/>
    <s v="Low"/>
  </r>
  <r>
    <s v="TXN_04187"/>
    <d v="2024-10-04T00:00:00"/>
    <x v="7"/>
    <s v="Friday"/>
    <s v="STORE_043"/>
    <x v="3"/>
    <x v="1"/>
    <x v="6"/>
    <n v="278.93"/>
    <n v="8"/>
    <n v="2231.44"/>
    <n v="20"/>
    <n v="446.29"/>
    <n v="1785.15"/>
    <s v="Wallet"/>
    <s v="CUST_00932"/>
    <n v="2"/>
    <n v="446.28999999999996"/>
    <n v="223.14375000000001"/>
    <s v="High"/>
  </r>
  <r>
    <s v="TXN_04188"/>
    <d v="2024-06-07T00:00:00"/>
    <x v="10"/>
    <s v="Friday"/>
    <s v="STORE_023"/>
    <x v="4"/>
    <x v="7"/>
    <x v="28"/>
    <n v="1307.4100000000001"/>
    <n v="6"/>
    <n v="7844.46"/>
    <n v="0"/>
    <n v="0"/>
    <n v="7844.46"/>
    <s v="Wallet"/>
    <s v="CUST_00057"/>
    <n v="2"/>
    <n v="0"/>
    <n v="1307.4100000000001"/>
    <s v="No Discount"/>
  </r>
  <r>
    <s v="TXN_04189"/>
    <d v="2024-03-30T00:00:00"/>
    <x v="5"/>
    <s v="Saturday"/>
    <s v="STORE_001"/>
    <x v="2"/>
    <x v="0"/>
    <x v="4"/>
    <n v="567.66999999999996"/>
    <n v="9"/>
    <n v="5109.03"/>
    <n v="0"/>
    <n v="0"/>
    <n v="5109.03"/>
    <s v="Debit Card"/>
    <s v="CUST_00487"/>
    <n v="4"/>
    <n v="0"/>
    <n v="567.66999999999996"/>
    <s v="No Discount"/>
  </r>
  <r>
    <s v="TXN_04190"/>
    <d v="2024-09-08T00:00:00"/>
    <x v="9"/>
    <s v="Sunday"/>
    <s v="STORE_025"/>
    <x v="2"/>
    <x v="2"/>
    <x v="29"/>
    <n v="590.45000000000005"/>
    <n v="5"/>
    <n v="2952.25"/>
    <n v="0"/>
    <n v="0"/>
    <n v="2952.25"/>
    <s v="Debit Card"/>
    <s v="CUST_00048"/>
    <n v="3"/>
    <n v="0"/>
    <n v="590.45000000000005"/>
    <s v="No Discount"/>
  </r>
  <r>
    <s v="TXN_04191"/>
    <d v="2024-01-20T00:00:00"/>
    <x v="2"/>
    <s v="Saturday"/>
    <s v="STORE_030"/>
    <x v="1"/>
    <x v="2"/>
    <x v="2"/>
    <n v="240.68"/>
    <n v="2"/>
    <n v="481.36"/>
    <n v="5"/>
    <n v="24.07"/>
    <n v="457.29"/>
    <s v="UPI"/>
    <s v="CUST_00152"/>
    <n v="4"/>
    <n v="24.069999999999993"/>
    <n v="228.64500000000001"/>
    <s v="Low"/>
  </r>
  <r>
    <s v="TXN_04192"/>
    <d v="2024-02-16T00:00:00"/>
    <x v="1"/>
    <s v="Friday"/>
    <s v="STORE_007"/>
    <x v="3"/>
    <x v="1"/>
    <x v="36"/>
    <n v="247.02"/>
    <n v="3"/>
    <n v="741.06"/>
    <n v="5"/>
    <n v="37.049999999999997"/>
    <n v="704.01"/>
    <s v="Wallet"/>
    <s v="CUST_00441"/>
    <n v="4"/>
    <n v="37.049999999999955"/>
    <n v="234.67"/>
    <s v="Low"/>
  </r>
  <r>
    <s v="TXN_04193"/>
    <d v="2024-01-29T00:00:00"/>
    <x v="2"/>
    <s v="Monday"/>
    <s v="STORE_037"/>
    <x v="4"/>
    <x v="3"/>
    <x v="22"/>
    <n v="225.96"/>
    <n v="5"/>
    <n v="1129.8"/>
    <n v="0"/>
    <n v="0"/>
    <n v="1129.8"/>
    <s v="UPI"/>
    <s v="CUST_00939"/>
    <n v="2"/>
    <n v="0"/>
    <n v="225.95999999999998"/>
    <s v="No Discount"/>
  </r>
  <r>
    <s v="TXN_04194"/>
    <d v="2024-04-29T00:00:00"/>
    <x v="4"/>
    <s v="Monday"/>
    <s v="STORE_047"/>
    <x v="3"/>
    <x v="6"/>
    <x v="15"/>
    <n v="815.99"/>
    <n v="9"/>
    <n v="7343.91"/>
    <n v="15"/>
    <n v="1101.5899999999999"/>
    <n v="6242.32"/>
    <s v="Credit Card"/>
    <s v="CUST_00473"/>
    <n v="4"/>
    <n v="1101.5900000000001"/>
    <n v="693.5911111111111"/>
    <s v="Medium"/>
  </r>
  <r>
    <s v="TXN_04195"/>
    <d v="2024-11-04T00:00:00"/>
    <x v="0"/>
    <s v="Monday"/>
    <s v="STORE_010"/>
    <x v="1"/>
    <x v="0"/>
    <x v="0"/>
    <n v="946.34"/>
    <n v="3"/>
    <n v="2839.02"/>
    <n v="20"/>
    <n v="567.79999999999995"/>
    <n v="2271.2199999999998"/>
    <s v="UPI"/>
    <s v="CUST_00320"/>
    <n v="1"/>
    <n v="567.80000000000018"/>
    <n v="757.07333333333327"/>
    <s v="High"/>
  </r>
  <r>
    <s v="TXN_04196"/>
    <d v="2024-04-22T00:00:00"/>
    <x v="4"/>
    <s v="Monday"/>
    <s v="STORE_033"/>
    <x v="1"/>
    <x v="3"/>
    <x v="21"/>
    <n v="1309.55"/>
    <n v="4"/>
    <n v="5238.2"/>
    <n v="10"/>
    <n v="523.82000000000005"/>
    <n v="4714.38"/>
    <s v="Credit Card"/>
    <s v="CUST_00432"/>
    <n v="3"/>
    <n v="523.81999999999971"/>
    <n v="1178.595"/>
    <s v="Medium"/>
  </r>
  <r>
    <s v="TXN_04197"/>
    <d v="2024-01-11T00:00:00"/>
    <x v="2"/>
    <s v="Thursday"/>
    <s v="STORE_030"/>
    <x v="4"/>
    <x v="2"/>
    <x v="13"/>
    <n v="188.28"/>
    <n v="7"/>
    <n v="1317.96"/>
    <n v="0"/>
    <n v="0"/>
    <n v="1317.96"/>
    <s v="Cash"/>
    <s v="CUST_00162"/>
    <n v="4"/>
    <n v="0"/>
    <n v="188.28"/>
    <s v="No Discount"/>
  </r>
  <r>
    <s v="TXN_04198"/>
    <d v="2024-09-26T00:00:00"/>
    <x v="9"/>
    <s v="Thursday"/>
    <s v="STORE_046"/>
    <x v="1"/>
    <x v="6"/>
    <x v="14"/>
    <n v="1153.76"/>
    <n v="1"/>
    <n v="1153.76"/>
    <n v="5"/>
    <n v="57.69"/>
    <n v="1096.07"/>
    <s v="Credit Card"/>
    <s v="CUST_00034"/>
    <n v="3"/>
    <n v="57.690000000000055"/>
    <n v="1096.07"/>
    <s v="Low"/>
  </r>
  <r>
    <s v="TXN_04199"/>
    <d v="2024-09-01T00:00:00"/>
    <x v="9"/>
    <s v="Sunday"/>
    <s v="STORE_031"/>
    <x v="0"/>
    <x v="5"/>
    <x v="9"/>
    <n v="4641.1499999999996"/>
    <n v="4"/>
    <n v="18564.599999999999"/>
    <n v="0"/>
    <n v="0"/>
    <n v="18564.599999999999"/>
    <s v="Credit Card"/>
    <s v="CUST_00096"/>
    <n v="5"/>
    <n v="0"/>
    <n v="4641.1499999999996"/>
    <s v="No Discount"/>
  </r>
  <r>
    <s v="TXN_04200"/>
    <d v="2024-01-01T00:00:00"/>
    <x v="2"/>
    <s v="Monday"/>
    <s v="STORE_029"/>
    <x v="3"/>
    <x v="5"/>
    <x v="11"/>
    <n v="4171.8500000000004"/>
    <n v="1"/>
    <n v="4171.8500000000004"/>
    <n v="20"/>
    <n v="834.37"/>
    <n v="3337.48"/>
    <s v="UPI"/>
    <s v="CUST_00416"/>
    <n v="4"/>
    <n v="834.37000000000035"/>
    <n v="3337.48"/>
    <s v="High"/>
  </r>
  <r>
    <s v="TXN_04201"/>
    <d v="2024-06-18T00:00:00"/>
    <x v="10"/>
    <s v="Tuesday"/>
    <s v="STORE_011"/>
    <x v="2"/>
    <x v="4"/>
    <x v="35"/>
    <n v="445.19"/>
    <n v="6"/>
    <n v="2671.14"/>
    <n v="0"/>
    <n v="0"/>
    <n v="2671.14"/>
    <s v="Debit Card"/>
    <s v="CUST_00709"/>
    <n v="3"/>
    <n v="0"/>
    <n v="445.19"/>
    <s v="No Discount"/>
  </r>
  <r>
    <s v="TXN_04202"/>
    <d v="2024-11-10T00:00:00"/>
    <x v="0"/>
    <s v="Sunday"/>
    <s v="STORE_048"/>
    <x v="3"/>
    <x v="0"/>
    <x v="27"/>
    <n v="422.03"/>
    <n v="6"/>
    <n v="2532.1799999999998"/>
    <n v="0"/>
    <n v="0"/>
    <n v="2532.1799999999998"/>
    <s v="Debit Card"/>
    <s v="CUST_00936"/>
    <n v="5"/>
    <n v="0"/>
    <n v="422.03"/>
    <s v="No Discount"/>
  </r>
  <r>
    <s v="TXN_04203"/>
    <d v="2024-04-13T00:00:00"/>
    <x v="4"/>
    <s v="Saturday"/>
    <s v="STORE_016"/>
    <x v="4"/>
    <x v="7"/>
    <x v="37"/>
    <n v="960.18"/>
    <n v="1"/>
    <n v="960.18"/>
    <n v="0"/>
    <n v="0"/>
    <n v="960.18"/>
    <s v="Wallet"/>
    <s v="CUST_00033"/>
    <n v="1"/>
    <n v="0"/>
    <n v="960.18"/>
    <s v="No Discount"/>
  </r>
  <r>
    <s v="TXN_04204"/>
    <d v="2024-03-07T00:00:00"/>
    <x v="5"/>
    <s v="Thursday"/>
    <s v="STORE_036"/>
    <x v="4"/>
    <x v="4"/>
    <x v="19"/>
    <n v="250.96"/>
    <n v="2"/>
    <n v="501.92"/>
    <n v="0"/>
    <n v="0"/>
    <n v="501.92"/>
    <s v="UPI"/>
    <s v="CUST_00395"/>
    <n v="4"/>
    <n v="0"/>
    <n v="250.96"/>
    <s v="No Discount"/>
  </r>
  <r>
    <s v="TXN_04205"/>
    <d v="2024-06-23T00:00:00"/>
    <x v="10"/>
    <s v="Sunday"/>
    <s v="STORE_021"/>
    <x v="2"/>
    <x v="2"/>
    <x v="39"/>
    <n v="332.57"/>
    <n v="6"/>
    <n v="1995.42"/>
    <n v="0"/>
    <n v="0"/>
    <n v="1995.42"/>
    <s v="UPI"/>
    <s v="CUST_00031"/>
    <n v="1"/>
    <n v="0"/>
    <n v="332.57"/>
    <s v="No Discount"/>
  </r>
  <r>
    <s v="TXN_04206"/>
    <d v="2024-03-31T00:00:00"/>
    <x v="5"/>
    <s v="Sunday"/>
    <s v="STORE_001"/>
    <x v="1"/>
    <x v="1"/>
    <x v="36"/>
    <n v="496.81"/>
    <n v="6"/>
    <n v="2980.86"/>
    <n v="15"/>
    <n v="447.13"/>
    <n v="2533.73"/>
    <s v="Cash"/>
    <s v="CUST_00988"/>
    <n v="4"/>
    <n v="447.13000000000011"/>
    <n v="422.28833333333336"/>
    <s v="Medium"/>
  </r>
  <r>
    <s v="TXN_04207"/>
    <d v="2024-06-14T00:00:00"/>
    <x v="10"/>
    <s v="Friday"/>
    <s v="STORE_032"/>
    <x v="1"/>
    <x v="5"/>
    <x v="10"/>
    <n v="4785.0600000000004"/>
    <n v="1"/>
    <n v="4785.0600000000004"/>
    <n v="10"/>
    <n v="478.51"/>
    <n v="4306.55"/>
    <s v="UPI"/>
    <s v="CUST_00297"/>
    <n v="5"/>
    <n v="478.51000000000022"/>
    <n v="4306.55"/>
    <s v="Medium"/>
  </r>
  <r>
    <s v="TXN_04208"/>
    <d v="2024-01-31T00:00:00"/>
    <x v="2"/>
    <s v="Wednesday"/>
    <s v="STORE_045"/>
    <x v="4"/>
    <x v="7"/>
    <x v="38"/>
    <n v="1226.93"/>
    <n v="6"/>
    <n v="7361.58"/>
    <n v="15"/>
    <n v="1104.24"/>
    <n v="6257.34"/>
    <s v="Wallet"/>
    <s v="CUST_00604"/>
    <n v="5"/>
    <n v="1104.2399999999998"/>
    <n v="1042.8900000000001"/>
    <s v="Medium"/>
  </r>
  <r>
    <s v="TXN_04209"/>
    <d v="2024-01-12T00:00:00"/>
    <x v="2"/>
    <s v="Friday"/>
    <s v="STORE_010"/>
    <x v="3"/>
    <x v="0"/>
    <x v="0"/>
    <n v="946.22"/>
    <n v="6"/>
    <n v="5677.32"/>
    <n v="10"/>
    <n v="567.73"/>
    <n v="5109.59"/>
    <s v="UPI"/>
    <s v="CUST_00253"/>
    <n v="5"/>
    <n v="567.72999999999956"/>
    <n v="851.59833333333336"/>
    <s v="Medium"/>
  </r>
  <r>
    <s v="TXN_04210"/>
    <d v="2024-03-16T00:00:00"/>
    <x v="5"/>
    <s v="Saturday"/>
    <s v="STORE_043"/>
    <x v="1"/>
    <x v="4"/>
    <x v="19"/>
    <n v="161.22999999999999"/>
    <n v="7"/>
    <n v="1128.6099999999999"/>
    <n v="15"/>
    <n v="169.29"/>
    <n v="959.32"/>
    <s v="Debit Card"/>
    <s v="CUST_00065"/>
    <n v="3"/>
    <n v="169.28999999999985"/>
    <n v="137.0457142857143"/>
    <s v="Medium"/>
  </r>
  <r>
    <s v="TXN_04211"/>
    <d v="2024-10-27T00:00:00"/>
    <x v="7"/>
    <s v="Sunday"/>
    <s v="STORE_005"/>
    <x v="4"/>
    <x v="4"/>
    <x v="8"/>
    <n v="367.16"/>
    <n v="10"/>
    <n v="3671.6"/>
    <n v="20"/>
    <n v="734.32"/>
    <n v="2937.28"/>
    <s v="UPI"/>
    <s v="CUST_00206"/>
    <n v="3"/>
    <n v="734.31999999999971"/>
    <n v="293.72800000000001"/>
    <s v="High"/>
  </r>
  <r>
    <s v="TXN_04212"/>
    <d v="2024-12-26T00:00:00"/>
    <x v="6"/>
    <s v="Thursday"/>
    <s v="STORE_030"/>
    <x v="0"/>
    <x v="1"/>
    <x v="3"/>
    <n v="162.71"/>
    <n v="6"/>
    <n v="976.26"/>
    <n v="0"/>
    <n v="0"/>
    <n v="976.26"/>
    <s v="Credit Card"/>
    <s v="CUST_00274"/>
    <n v="2"/>
    <n v="0"/>
    <n v="162.71"/>
    <s v="No Discount"/>
  </r>
  <r>
    <s v="TXN_04213"/>
    <d v="2024-03-13T00:00:00"/>
    <x v="5"/>
    <s v="Wednesday"/>
    <s v="STORE_032"/>
    <x v="3"/>
    <x v="2"/>
    <x v="39"/>
    <n v="470.97"/>
    <n v="1"/>
    <n v="470.97"/>
    <n v="15"/>
    <n v="70.650000000000006"/>
    <n v="400.32"/>
    <s v="Credit Card"/>
    <s v="CUST_00705"/>
    <n v="5"/>
    <n v="70.650000000000034"/>
    <n v="400.32"/>
    <s v="Medium"/>
  </r>
  <r>
    <s v="TXN_04214"/>
    <d v="2024-02-26T00:00:00"/>
    <x v="1"/>
    <s v="Monday"/>
    <s v="STORE_018"/>
    <x v="3"/>
    <x v="5"/>
    <x v="34"/>
    <n v="1789.44"/>
    <n v="5"/>
    <n v="8947.2000000000007"/>
    <n v="5"/>
    <n v="447.36"/>
    <n v="8499.84"/>
    <s v="Credit Card"/>
    <s v="CUST_00079"/>
    <n v="4"/>
    <n v="447.36000000000058"/>
    <n v="1699.9680000000001"/>
    <s v="Low"/>
  </r>
  <r>
    <s v="TXN_04215"/>
    <d v="2024-09-26T00:00:00"/>
    <x v="9"/>
    <s v="Thursday"/>
    <s v="STORE_010"/>
    <x v="0"/>
    <x v="4"/>
    <x v="20"/>
    <n v="572.33000000000004"/>
    <n v="7"/>
    <n v="4006.31"/>
    <n v="20"/>
    <n v="801.26"/>
    <n v="3205.05"/>
    <s v="Cash"/>
    <s v="CUST_00131"/>
    <n v="2"/>
    <n v="801.25999999999976"/>
    <n v="457.86428571428576"/>
    <s v="High"/>
  </r>
  <r>
    <s v="TXN_04216"/>
    <d v="2024-07-05T00:00:00"/>
    <x v="11"/>
    <s v="Friday"/>
    <s v="STORE_018"/>
    <x v="4"/>
    <x v="2"/>
    <x v="13"/>
    <n v="127.39"/>
    <n v="9"/>
    <n v="1146.51"/>
    <n v="0"/>
    <n v="0"/>
    <n v="1146.51"/>
    <s v="Credit Card"/>
    <s v="CUST_00708"/>
    <n v="1"/>
    <n v="0"/>
    <n v="127.39"/>
    <s v="No Discount"/>
  </r>
  <r>
    <s v="TXN_04217"/>
    <d v="2024-02-07T00:00:00"/>
    <x v="1"/>
    <s v="Wednesday"/>
    <s v="STORE_035"/>
    <x v="1"/>
    <x v="7"/>
    <x v="38"/>
    <n v="999.43"/>
    <n v="8"/>
    <n v="7995.44"/>
    <n v="0"/>
    <n v="0"/>
    <n v="7995.44"/>
    <s v="Wallet"/>
    <s v="CUST_00045"/>
    <n v="5"/>
    <n v="0"/>
    <n v="999.43"/>
    <s v="No Discount"/>
  </r>
  <r>
    <s v="TXN_04218"/>
    <d v="2024-07-10T00:00:00"/>
    <x v="11"/>
    <s v="Wednesday"/>
    <s v="STORE_026"/>
    <x v="4"/>
    <x v="2"/>
    <x v="29"/>
    <n v="413.21"/>
    <n v="5"/>
    <n v="2066.0500000000002"/>
    <n v="10"/>
    <n v="206.61"/>
    <n v="1859.44"/>
    <s v="Credit Card"/>
    <s v="CUST_00113"/>
    <n v="2"/>
    <n v="206.61000000000013"/>
    <n v="371.88800000000003"/>
    <s v="Medium"/>
  </r>
  <r>
    <s v="TXN_04219"/>
    <d v="2024-12-26T00:00:00"/>
    <x v="6"/>
    <s v="Thursday"/>
    <s v="STORE_033"/>
    <x v="4"/>
    <x v="1"/>
    <x v="3"/>
    <n v="162.38"/>
    <n v="1"/>
    <n v="162.38"/>
    <n v="10"/>
    <n v="16.239999999999998"/>
    <n v="146.13999999999999"/>
    <s v="Credit Card"/>
    <s v="CUST_00826"/>
    <n v="3"/>
    <n v="16.240000000000009"/>
    <n v="146.13999999999999"/>
    <s v="Medium"/>
  </r>
  <r>
    <s v="TXN_04220"/>
    <d v="2024-12-05T00:00:00"/>
    <x v="6"/>
    <s v="Thursday"/>
    <s v="STORE_018"/>
    <x v="2"/>
    <x v="6"/>
    <x v="15"/>
    <n v="1779.15"/>
    <n v="9"/>
    <n v="16012.35"/>
    <n v="0"/>
    <n v="0"/>
    <n v="16012.35"/>
    <s v="Wallet"/>
    <s v="CUST_00198"/>
    <n v="1"/>
    <n v="0"/>
    <n v="1779.15"/>
    <s v="No Discount"/>
  </r>
  <r>
    <s v="TXN_04221"/>
    <d v="2024-07-21T00:00:00"/>
    <x v="11"/>
    <s v="Sunday"/>
    <s v="STORE_048"/>
    <x v="2"/>
    <x v="3"/>
    <x v="22"/>
    <n v="2194.7199999999998"/>
    <n v="1"/>
    <n v="2194.7199999999998"/>
    <n v="0"/>
    <n v="0"/>
    <n v="2194.7199999999998"/>
    <s v="Credit Card"/>
    <s v="CUST_00712"/>
    <n v="5"/>
    <n v="0"/>
    <n v="2194.7199999999998"/>
    <s v="No Discount"/>
  </r>
  <r>
    <s v="TXN_04222"/>
    <d v="2024-10-27T00:00:00"/>
    <x v="7"/>
    <s v="Sunday"/>
    <s v="STORE_038"/>
    <x v="4"/>
    <x v="6"/>
    <x v="15"/>
    <n v="1064.98"/>
    <n v="4"/>
    <n v="4259.92"/>
    <n v="0"/>
    <n v="0"/>
    <n v="4259.92"/>
    <s v="Wallet"/>
    <s v="CUST_00039"/>
    <n v="4"/>
    <n v="0"/>
    <n v="1064.98"/>
    <s v="No Discount"/>
  </r>
  <r>
    <s v="TXN_04223"/>
    <d v="2024-02-21T00:00:00"/>
    <x v="1"/>
    <s v="Wednesday"/>
    <s v="STORE_037"/>
    <x v="1"/>
    <x v="5"/>
    <x v="34"/>
    <n v="4111.57"/>
    <n v="2"/>
    <n v="8223.14"/>
    <n v="0"/>
    <n v="0"/>
    <n v="8223.14"/>
    <s v="UPI"/>
    <s v="CUST_00429"/>
    <n v="4"/>
    <n v="0"/>
    <n v="4111.57"/>
    <s v="No Discount"/>
  </r>
  <r>
    <s v="TXN_04224"/>
    <d v="2024-06-21T00:00:00"/>
    <x v="10"/>
    <s v="Friday"/>
    <s v="STORE_029"/>
    <x v="3"/>
    <x v="6"/>
    <x v="14"/>
    <n v="1941.2"/>
    <n v="2"/>
    <n v="3882.4"/>
    <n v="0"/>
    <n v="0"/>
    <n v="3882.4"/>
    <s v="Cash"/>
    <s v="CUST_00795"/>
    <n v="4"/>
    <n v="0"/>
    <n v="1941.2"/>
    <s v="No Discount"/>
  </r>
  <r>
    <s v="TXN_04225"/>
    <d v="2024-06-03T00:00:00"/>
    <x v="10"/>
    <s v="Monday"/>
    <s v="STORE_034"/>
    <x v="0"/>
    <x v="2"/>
    <x v="29"/>
    <n v="454"/>
    <n v="3"/>
    <n v="1362"/>
    <n v="15"/>
    <n v="204.3"/>
    <n v="1157.7"/>
    <s v="Cash"/>
    <s v="CUST_00407"/>
    <n v="5"/>
    <n v="204.29999999999995"/>
    <n v="385.90000000000003"/>
    <s v="Medium"/>
  </r>
  <r>
    <s v="TXN_04226"/>
    <d v="2024-06-14T00:00:00"/>
    <x v="10"/>
    <s v="Friday"/>
    <s v="STORE_017"/>
    <x v="4"/>
    <x v="5"/>
    <x v="34"/>
    <n v="2828.15"/>
    <n v="5"/>
    <n v="14140.75"/>
    <n v="10"/>
    <n v="1414.08"/>
    <n v="12726.67"/>
    <s v="Wallet"/>
    <s v="CUST_00924"/>
    <n v="5"/>
    <n v="1414.08"/>
    <n v="2545.3339999999998"/>
    <s v="Medium"/>
  </r>
  <r>
    <s v="TXN_04227"/>
    <d v="2024-03-10T00:00:00"/>
    <x v="5"/>
    <s v="Sunday"/>
    <s v="STORE_010"/>
    <x v="2"/>
    <x v="4"/>
    <x v="17"/>
    <n v="183.68"/>
    <n v="3"/>
    <n v="551.04"/>
    <n v="5"/>
    <n v="27.55"/>
    <n v="523.49"/>
    <s v="Credit Card"/>
    <s v="CUST_00251"/>
    <n v="5"/>
    <n v="27.549999999999955"/>
    <n v="174.49666666666667"/>
    <s v="Low"/>
  </r>
  <r>
    <s v="TXN_04228"/>
    <d v="2024-03-21T00:00:00"/>
    <x v="5"/>
    <s v="Thursday"/>
    <s v="STORE_027"/>
    <x v="1"/>
    <x v="3"/>
    <x v="21"/>
    <n v="2227.1799999999998"/>
    <n v="5"/>
    <n v="11135.9"/>
    <n v="15"/>
    <n v="1670.38"/>
    <n v="9465.52"/>
    <s v="UPI"/>
    <s v="CUST_00508"/>
    <n v="3"/>
    <n v="1670.3799999999992"/>
    <n v="1893.104"/>
    <s v="Medium"/>
  </r>
  <r>
    <s v="TXN_04229"/>
    <d v="2024-08-11T00:00:00"/>
    <x v="8"/>
    <s v="Sunday"/>
    <s v="STORE_014"/>
    <x v="2"/>
    <x v="7"/>
    <x v="37"/>
    <n v="768.89"/>
    <n v="8"/>
    <n v="6151.12"/>
    <n v="20"/>
    <n v="1230.22"/>
    <n v="4920.8999999999996"/>
    <s v="Wallet"/>
    <s v="CUST_00293"/>
    <n v="1"/>
    <n v="1230.2200000000003"/>
    <n v="615.11249999999995"/>
    <s v="High"/>
  </r>
  <r>
    <s v="TXN_04230"/>
    <d v="2024-11-23T00:00:00"/>
    <x v="0"/>
    <s v="Saturday"/>
    <s v="STORE_042"/>
    <x v="2"/>
    <x v="4"/>
    <x v="8"/>
    <n v="286.44"/>
    <n v="9"/>
    <n v="2577.96"/>
    <n v="10"/>
    <n v="257.8"/>
    <n v="2320.16"/>
    <s v="UPI"/>
    <s v="CUST_00408"/>
    <n v="3"/>
    <n v="257.80000000000018"/>
    <n v="257.79555555555555"/>
    <s v="Medium"/>
  </r>
  <r>
    <s v="TXN_04231"/>
    <d v="2024-09-06T00:00:00"/>
    <x v="9"/>
    <s v="Friday"/>
    <s v="STORE_013"/>
    <x v="0"/>
    <x v="2"/>
    <x v="39"/>
    <n v="127.63"/>
    <n v="7"/>
    <n v="893.41"/>
    <n v="0"/>
    <n v="0"/>
    <n v="893.41"/>
    <s v="Wallet"/>
    <s v="CUST_00788"/>
    <n v="3"/>
    <n v="0"/>
    <n v="127.63"/>
    <s v="No Discount"/>
  </r>
  <r>
    <s v="TXN_04232"/>
    <d v="2024-11-28T00:00:00"/>
    <x v="0"/>
    <s v="Thursday"/>
    <s v="STORE_025"/>
    <x v="1"/>
    <x v="5"/>
    <x v="11"/>
    <n v="1091.8699999999999"/>
    <n v="3"/>
    <n v="3275.61"/>
    <n v="0"/>
    <n v="0"/>
    <n v="3275.61"/>
    <s v="Wallet"/>
    <s v="CUST_00097"/>
    <n v="4"/>
    <n v="0"/>
    <n v="1091.8700000000001"/>
    <s v="No Discount"/>
  </r>
  <r>
    <s v="TXN_04233"/>
    <d v="2024-06-11T00:00:00"/>
    <x v="10"/>
    <s v="Tuesday"/>
    <s v="STORE_050"/>
    <x v="1"/>
    <x v="5"/>
    <x v="9"/>
    <n v="1394.95"/>
    <n v="4"/>
    <n v="5579.8"/>
    <n v="15"/>
    <n v="836.97"/>
    <n v="4742.83"/>
    <s v="Wallet"/>
    <s v="CUST_00502"/>
    <n v="3"/>
    <n v="836.97000000000025"/>
    <n v="1185.7075"/>
    <s v="Medium"/>
  </r>
  <r>
    <s v="TXN_04234"/>
    <d v="2024-03-30T00:00:00"/>
    <x v="5"/>
    <s v="Saturday"/>
    <s v="STORE_033"/>
    <x v="0"/>
    <x v="2"/>
    <x v="39"/>
    <n v="480.86"/>
    <n v="2"/>
    <n v="961.72"/>
    <n v="10"/>
    <n v="96.17"/>
    <n v="865.55"/>
    <s v="Credit Card"/>
    <s v="CUST_00591"/>
    <n v="3"/>
    <n v="96.170000000000073"/>
    <n v="432.77499999999998"/>
    <s v="Medium"/>
  </r>
  <r>
    <s v="TXN_04235"/>
    <d v="2024-12-28T00:00:00"/>
    <x v="6"/>
    <s v="Saturday"/>
    <s v="STORE_018"/>
    <x v="1"/>
    <x v="3"/>
    <x v="22"/>
    <n v="2676.63"/>
    <n v="1"/>
    <n v="2676.63"/>
    <n v="10"/>
    <n v="267.66000000000003"/>
    <n v="2408.9699999999998"/>
    <s v="Debit Card"/>
    <s v="CUST_00861"/>
    <n v="3"/>
    <n v="267.66000000000031"/>
    <n v="2408.9699999999998"/>
    <s v="Medium"/>
  </r>
  <r>
    <s v="TXN_04236"/>
    <d v="2024-10-14T00:00:00"/>
    <x v="7"/>
    <s v="Monday"/>
    <s v="STORE_008"/>
    <x v="4"/>
    <x v="5"/>
    <x v="9"/>
    <n v="3059.83"/>
    <n v="6"/>
    <n v="18358.98"/>
    <n v="10"/>
    <n v="1835.9"/>
    <n v="16523.080000000002"/>
    <s v="Wallet"/>
    <s v="CUST_00177"/>
    <n v="5"/>
    <n v="1835.8999999999978"/>
    <n v="2753.8466666666668"/>
    <s v="Medium"/>
  </r>
  <r>
    <s v="TXN_04237"/>
    <d v="2024-12-21T00:00:00"/>
    <x v="6"/>
    <s v="Saturday"/>
    <s v="STORE_012"/>
    <x v="1"/>
    <x v="6"/>
    <x v="33"/>
    <n v="1417.87"/>
    <n v="6"/>
    <n v="8507.2199999999993"/>
    <n v="5"/>
    <n v="425.36"/>
    <n v="8081.86"/>
    <s v="Wallet"/>
    <s v="CUST_00681"/>
    <n v="2"/>
    <n v="425.35999999999967"/>
    <n v="1346.9766666666667"/>
    <s v="Low"/>
  </r>
  <r>
    <s v="TXN_04238"/>
    <d v="2024-11-10T00:00:00"/>
    <x v="0"/>
    <s v="Sunday"/>
    <s v="STORE_016"/>
    <x v="3"/>
    <x v="0"/>
    <x v="0"/>
    <n v="961.5"/>
    <n v="7"/>
    <n v="6730.5"/>
    <n v="15"/>
    <n v="1009.57"/>
    <n v="5720.93"/>
    <s v="Debit Card"/>
    <s v="CUST_00552"/>
    <n v="2"/>
    <n v="1009.5699999999997"/>
    <n v="817.27571428571434"/>
    <s v="Medium"/>
  </r>
  <r>
    <s v="TXN_04239"/>
    <d v="2024-07-01T00:00:00"/>
    <x v="11"/>
    <s v="Monday"/>
    <s v="STORE_008"/>
    <x v="4"/>
    <x v="3"/>
    <x v="21"/>
    <n v="2457.36"/>
    <n v="8"/>
    <n v="19658.88"/>
    <n v="0"/>
    <n v="0"/>
    <n v="19658.88"/>
    <s v="Debit Card"/>
    <s v="CUST_00211"/>
    <n v="3"/>
    <n v="0"/>
    <n v="2457.36"/>
    <s v="No Discount"/>
  </r>
  <r>
    <s v="TXN_04240"/>
    <d v="2024-04-24T00:00:00"/>
    <x v="4"/>
    <s v="Wednesday"/>
    <s v="STORE_011"/>
    <x v="0"/>
    <x v="4"/>
    <x v="35"/>
    <n v="435.65"/>
    <n v="8"/>
    <n v="3485.2"/>
    <n v="20"/>
    <n v="697.04"/>
    <n v="2788.16"/>
    <s v="Wallet"/>
    <s v="CUST_00916"/>
    <n v="1"/>
    <n v="697.04"/>
    <n v="348.52"/>
    <s v="High"/>
  </r>
  <r>
    <s v="TXN_04241"/>
    <d v="2024-12-06T00:00:00"/>
    <x v="6"/>
    <s v="Friday"/>
    <s v="STORE_009"/>
    <x v="4"/>
    <x v="6"/>
    <x v="30"/>
    <n v="1791.34"/>
    <n v="8"/>
    <n v="14330.72"/>
    <n v="0"/>
    <n v="0"/>
    <n v="14330.72"/>
    <s v="Credit Card"/>
    <s v="CUST_00304"/>
    <n v="4"/>
    <n v="0"/>
    <n v="1791.34"/>
    <s v="No Discount"/>
  </r>
  <r>
    <s v="TXN_04242"/>
    <d v="2024-10-28T00:00:00"/>
    <x v="7"/>
    <s v="Monday"/>
    <s v="STORE_018"/>
    <x v="3"/>
    <x v="4"/>
    <x v="8"/>
    <n v="210.08"/>
    <n v="7"/>
    <n v="1470.56"/>
    <n v="15"/>
    <n v="220.58"/>
    <n v="1249.98"/>
    <s v="Wallet"/>
    <s v="CUST_00229"/>
    <n v="3"/>
    <n v="220.57999999999993"/>
    <n v="178.56857142857143"/>
    <s v="Medium"/>
  </r>
  <r>
    <s v="TXN_04243"/>
    <d v="2024-03-30T00:00:00"/>
    <x v="5"/>
    <s v="Saturday"/>
    <s v="STORE_005"/>
    <x v="2"/>
    <x v="4"/>
    <x v="20"/>
    <n v="274.91000000000003"/>
    <n v="5"/>
    <n v="1374.55"/>
    <n v="15"/>
    <n v="206.18"/>
    <n v="1168.3699999999999"/>
    <s v="Debit Card"/>
    <s v="CUST_00761"/>
    <n v="5"/>
    <n v="206.18000000000006"/>
    <n v="233.67399999999998"/>
    <s v="Medium"/>
  </r>
  <r>
    <s v="TXN_04244"/>
    <d v="2024-07-12T00:00:00"/>
    <x v="11"/>
    <s v="Friday"/>
    <s v="STORE_043"/>
    <x v="3"/>
    <x v="3"/>
    <x v="12"/>
    <n v="2859.39"/>
    <n v="2"/>
    <n v="5718.78"/>
    <n v="20"/>
    <n v="1143.76"/>
    <n v="4575.0200000000004"/>
    <s v="Wallet"/>
    <s v="CUST_00990"/>
    <n v="4"/>
    <n v="1143.7599999999993"/>
    <n v="2287.5100000000002"/>
    <s v="High"/>
  </r>
  <r>
    <s v="TXN_04245"/>
    <d v="2024-06-06T00:00:00"/>
    <x v="10"/>
    <s v="Thursday"/>
    <s v="STORE_031"/>
    <x v="3"/>
    <x v="1"/>
    <x v="3"/>
    <n v="336.72"/>
    <n v="7"/>
    <n v="2357.04"/>
    <n v="5"/>
    <n v="117.85"/>
    <n v="2239.19"/>
    <s v="UPI"/>
    <s v="CUST_00662"/>
    <n v="3"/>
    <n v="117.84999999999991"/>
    <n v="319.88428571428574"/>
    <s v="Low"/>
  </r>
  <r>
    <s v="TXN_04246"/>
    <d v="2024-12-18T00:00:00"/>
    <x v="6"/>
    <s v="Wednesday"/>
    <s v="STORE_001"/>
    <x v="4"/>
    <x v="5"/>
    <x v="34"/>
    <n v="3849.72"/>
    <n v="2"/>
    <n v="7699.44"/>
    <n v="0"/>
    <n v="0"/>
    <n v="7699.44"/>
    <s v="Credit Card"/>
    <s v="CUST_00236"/>
    <n v="3"/>
    <n v="0"/>
    <n v="3849.72"/>
    <s v="No Discount"/>
  </r>
  <r>
    <s v="TXN_04247"/>
    <d v="2024-05-30T00:00:00"/>
    <x v="3"/>
    <s v="Thursday"/>
    <s v="STORE_006"/>
    <x v="4"/>
    <x v="2"/>
    <x v="29"/>
    <n v="619.17999999999995"/>
    <n v="9"/>
    <n v="5572.62"/>
    <n v="0"/>
    <n v="0"/>
    <n v="5572.62"/>
    <s v="UPI"/>
    <s v="CUST_00458"/>
    <n v="1"/>
    <n v="0"/>
    <n v="619.17999999999995"/>
    <s v="No Discount"/>
  </r>
  <r>
    <s v="TXN_04248"/>
    <d v="2024-03-06T00:00:00"/>
    <x v="5"/>
    <s v="Wednesday"/>
    <s v="STORE_048"/>
    <x v="1"/>
    <x v="1"/>
    <x v="1"/>
    <n v="403.63"/>
    <n v="6"/>
    <n v="2421.7800000000002"/>
    <n v="15"/>
    <n v="363.27"/>
    <n v="2058.5100000000002"/>
    <s v="Debit Card"/>
    <s v="CUST_00146"/>
    <n v="2"/>
    <n v="363.27"/>
    <n v="343.08500000000004"/>
    <s v="Medium"/>
  </r>
  <r>
    <s v="TXN_04249"/>
    <d v="2024-03-31T00:00:00"/>
    <x v="5"/>
    <s v="Sunday"/>
    <s v="STORE_017"/>
    <x v="0"/>
    <x v="5"/>
    <x v="25"/>
    <n v="1846.97"/>
    <n v="4"/>
    <n v="7387.88"/>
    <n v="10"/>
    <n v="738.79"/>
    <n v="6649.09"/>
    <s v="Debit Card"/>
    <s v="CUST_00369"/>
    <n v="2"/>
    <n v="738.79"/>
    <n v="1662.2725"/>
    <s v="Medium"/>
  </r>
  <r>
    <s v="TXN_04250"/>
    <d v="2024-01-01T00:00:00"/>
    <x v="2"/>
    <s v="Monday"/>
    <s v="STORE_024"/>
    <x v="3"/>
    <x v="1"/>
    <x v="1"/>
    <n v="252.96"/>
    <n v="3"/>
    <n v="758.88"/>
    <n v="5"/>
    <n v="37.94"/>
    <n v="720.94"/>
    <s v="UPI"/>
    <s v="CUST_00691"/>
    <n v="3"/>
    <n v="37.939999999999941"/>
    <n v="240.31333333333336"/>
    <s v="Low"/>
  </r>
  <r>
    <s v="TXN_04251"/>
    <d v="2024-12-25T00:00:00"/>
    <x v="6"/>
    <s v="Wednesday"/>
    <s v="STORE_023"/>
    <x v="0"/>
    <x v="4"/>
    <x v="8"/>
    <n v="224.18"/>
    <n v="2"/>
    <n v="448.36"/>
    <n v="15"/>
    <n v="67.25"/>
    <n v="381.11"/>
    <s v="Wallet"/>
    <s v="CUST_00096"/>
    <n v="5"/>
    <n v="67.25"/>
    <n v="190.55500000000001"/>
    <s v="Medium"/>
  </r>
  <r>
    <s v="TXN_04252"/>
    <d v="2024-10-20T00:00:00"/>
    <x v="7"/>
    <s v="Sunday"/>
    <s v="STORE_013"/>
    <x v="4"/>
    <x v="7"/>
    <x v="24"/>
    <n v="931.6"/>
    <n v="7"/>
    <n v="6521.2"/>
    <n v="0"/>
    <n v="0"/>
    <n v="6521.2"/>
    <s v="Debit Card"/>
    <s v="CUST_00236"/>
    <n v="4"/>
    <n v="0"/>
    <n v="931.6"/>
    <s v="No Discount"/>
  </r>
  <r>
    <s v="TXN_04253"/>
    <d v="2024-07-19T00:00:00"/>
    <x v="11"/>
    <s v="Friday"/>
    <s v="STORE_002"/>
    <x v="1"/>
    <x v="0"/>
    <x v="27"/>
    <n v="591.35"/>
    <n v="9"/>
    <n v="5322.15"/>
    <n v="20"/>
    <n v="1064.43"/>
    <n v="4257.72"/>
    <s v="Cash"/>
    <s v="CUST_00474"/>
    <n v="2"/>
    <n v="1064.4299999999994"/>
    <n v="473.08000000000004"/>
    <s v="High"/>
  </r>
  <r>
    <s v="TXN_04254"/>
    <d v="2024-10-17T00:00:00"/>
    <x v="7"/>
    <s v="Thursday"/>
    <s v="STORE_020"/>
    <x v="3"/>
    <x v="4"/>
    <x v="17"/>
    <n v="497.34"/>
    <n v="4"/>
    <n v="1989.36"/>
    <n v="0"/>
    <n v="0"/>
    <n v="1989.36"/>
    <s v="Wallet"/>
    <s v="CUST_00771"/>
    <n v="5"/>
    <n v="0"/>
    <n v="497.34"/>
    <s v="No Discount"/>
  </r>
  <r>
    <s v="TXN_04255"/>
    <d v="2024-01-17T00:00:00"/>
    <x v="2"/>
    <s v="Wednesday"/>
    <s v="STORE_012"/>
    <x v="4"/>
    <x v="1"/>
    <x v="36"/>
    <n v="446.21"/>
    <n v="10"/>
    <n v="4462.1000000000004"/>
    <n v="15"/>
    <n v="669.32"/>
    <n v="3792.78"/>
    <s v="Debit Card"/>
    <s v="CUST_00349"/>
    <n v="5"/>
    <n v="669.32000000000016"/>
    <n v="379.27800000000002"/>
    <s v="Medium"/>
  </r>
  <r>
    <s v="TXN_04256"/>
    <d v="2024-04-03T00:00:00"/>
    <x v="4"/>
    <s v="Wednesday"/>
    <s v="STORE_027"/>
    <x v="2"/>
    <x v="3"/>
    <x v="12"/>
    <n v="2006.6"/>
    <n v="1"/>
    <n v="2006.6"/>
    <n v="0"/>
    <n v="0"/>
    <n v="2006.6"/>
    <s v="Cash"/>
    <s v="CUST_00873"/>
    <n v="3"/>
    <n v="0"/>
    <n v="2006.6"/>
    <s v="No Discount"/>
  </r>
  <r>
    <s v="TXN_04257"/>
    <d v="2024-11-04T00:00:00"/>
    <x v="0"/>
    <s v="Monday"/>
    <s v="STORE_034"/>
    <x v="2"/>
    <x v="0"/>
    <x v="4"/>
    <n v="673.64"/>
    <n v="5"/>
    <n v="3368.2"/>
    <n v="5"/>
    <n v="168.41"/>
    <n v="3199.79"/>
    <s v="UPI"/>
    <s v="CUST_00533"/>
    <n v="4"/>
    <n v="168.40999999999985"/>
    <n v="639.95799999999997"/>
    <s v="Low"/>
  </r>
  <r>
    <s v="TXN_04258"/>
    <d v="2024-06-11T00:00:00"/>
    <x v="10"/>
    <s v="Tuesday"/>
    <s v="STORE_021"/>
    <x v="4"/>
    <x v="0"/>
    <x v="0"/>
    <n v="774.06"/>
    <n v="2"/>
    <n v="1548.12"/>
    <n v="20"/>
    <n v="309.62"/>
    <n v="1238.5"/>
    <s v="Debit Card"/>
    <s v="CUST_00736"/>
    <n v="5"/>
    <n v="309.61999999999989"/>
    <n v="619.25"/>
    <s v="High"/>
  </r>
  <r>
    <s v="TXN_04259"/>
    <d v="2024-11-09T00:00:00"/>
    <x v="0"/>
    <s v="Saturday"/>
    <s v="STORE_046"/>
    <x v="4"/>
    <x v="2"/>
    <x v="39"/>
    <n v="784.7"/>
    <n v="10"/>
    <n v="7847"/>
    <n v="0"/>
    <n v="0"/>
    <n v="7847"/>
    <s v="Credit Card"/>
    <s v="CUST_00344"/>
    <n v="1"/>
    <n v="0"/>
    <n v="784.7"/>
    <s v="No Discount"/>
  </r>
  <r>
    <s v="TXN_04260"/>
    <d v="2024-04-23T00:00:00"/>
    <x v="4"/>
    <s v="Tuesday"/>
    <s v="STORE_040"/>
    <x v="1"/>
    <x v="1"/>
    <x v="31"/>
    <n v="153.35"/>
    <n v="6"/>
    <n v="920.1"/>
    <n v="15"/>
    <n v="138.01"/>
    <n v="782.09"/>
    <s v="Credit Card"/>
    <s v="CUST_00472"/>
    <n v="1"/>
    <n v="138.01"/>
    <n v="130.34833333333333"/>
    <s v="Medium"/>
  </r>
  <r>
    <s v="TXN_04261"/>
    <d v="2024-11-23T00:00:00"/>
    <x v="0"/>
    <s v="Saturday"/>
    <s v="STORE_033"/>
    <x v="4"/>
    <x v="3"/>
    <x v="5"/>
    <n v="1564.76"/>
    <n v="7"/>
    <n v="10953.32"/>
    <n v="0"/>
    <n v="0"/>
    <n v="10953.32"/>
    <s v="UPI"/>
    <s v="CUST_00389"/>
    <n v="2"/>
    <n v="0"/>
    <n v="1564.76"/>
    <s v="No Discount"/>
  </r>
  <r>
    <s v="TXN_04262"/>
    <d v="2024-10-16T00:00:00"/>
    <x v="7"/>
    <s v="Wednesday"/>
    <s v="STORE_037"/>
    <x v="2"/>
    <x v="4"/>
    <x v="35"/>
    <n v="494.61"/>
    <n v="10"/>
    <n v="4946.1000000000004"/>
    <n v="10"/>
    <n v="494.61"/>
    <n v="4451.49"/>
    <s v="UPI"/>
    <s v="CUST_00725"/>
    <n v="4"/>
    <n v="494.61000000000058"/>
    <n v="445.149"/>
    <s v="Medium"/>
  </r>
  <r>
    <s v="TXN_04263"/>
    <d v="2024-02-23T00:00:00"/>
    <x v="1"/>
    <s v="Friday"/>
    <s v="STORE_003"/>
    <x v="4"/>
    <x v="1"/>
    <x v="3"/>
    <n v="332.17"/>
    <n v="3"/>
    <n v="996.51"/>
    <n v="20"/>
    <n v="199.3"/>
    <n v="797.21"/>
    <s v="Debit Card"/>
    <s v="CUST_00736"/>
    <n v="1"/>
    <n v="199.29999999999995"/>
    <n v="265.73666666666668"/>
    <s v="High"/>
  </r>
  <r>
    <s v="TXN_04264"/>
    <d v="2024-09-11T00:00:00"/>
    <x v="9"/>
    <s v="Wednesday"/>
    <s v="STORE_033"/>
    <x v="3"/>
    <x v="7"/>
    <x v="28"/>
    <n v="1246.79"/>
    <n v="2"/>
    <n v="2493.58"/>
    <n v="15"/>
    <n v="374.04"/>
    <n v="2119.54"/>
    <s v="Cash"/>
    <s v="CUST_00684"/>
    <n v="2"/>
    <n v="374.03999999999996"/>
    <n v="1059.77"/>
    <s v="Medium"/>
  </r>
  <r>
    <s v="TXN_04265"/>
    <d v="2024-03-13T00:00:00"/>
    <x v="5"/>
    <s v="Wednesday"/>
    <s v="STORE_032"/>
    <x v="1"/>
    <x v="0"/>
    <x v="27"/>
    <n v="246.17"/>
    <n v="3"/>
    <n v="738.51"/>
    <n v="0"/>
    <n v="0"/>
    <n v="738.51"/>
    <s v="Credit Card"/>
    <s v="CUST_00601"/>
    <n v="3"/>
    <n v="0"/>
    <n v="246.17"/>
    <s v="No Discount"/>
  </r>
  <r>
    <s v="TXN_04266"/>
    <d v="2024-06-18T00:00:00"/>
    <x v="10"/>
    <s v="Tuesday"/>
    <s v="STORE_045"/>
    <x v="3"/>
    <x v="4"/>
    <x v="8"/>
    <n v="264.01"/>
    <n v="10"/>
    <n v="2640.1"/>
    <n v="20"/>
    <n v="528.02"/>
    <n v="2112.08"/>
    <s v="Credit Card"/>
    <s v="CUST_00456"/>
    <n v="5"/>
    <n v="528.02"/>
    <n v="211.208"/>
    <s v="High"/>
  </r>
  <r>
    <s v="TXN_04267"/>
    <d v="2024-02-09T00:00:00"/>
    <x v="1"/>
    <s v="Friday"/>
    <s v="STORE_033"/>
    <x v="3"/>
    <x v="7"/>
    <x v="28"/>
    <n v="1096.56"/>
    <n v="1"/>
    <n v="1096.56"/>
    <n v="0"/>
    <n v="0"/>
    <n v="1096.56"/>
    <s v="Cash"/>
    <s v="CUST_00922"/>
    <n v="3"/>
    <n v="0"/>
    <n v="1096.56"/>
    <s v="No Discount"/>
  </r>
  <r>
    <s v="TXN_04268"/>
    <d v="2024-05-01T00:00:00"/>
    <x v="3"/>
    <s v="Wednesday"/>
    <s v="STORE_026"/>
    <x v="3"/>
    <x v="5"/>
    <x v="25"/>
    <n v="1626.51"/>
    <n v="3"/>
    <n v="4879.53"/>
    <n v="5"/>
    <n v="243.98"/>
    <n v="4635.55"/>
    <s v="Cash"/>
    <s v="CUST_00358"/>
    <n v="5"/>
    <n v="243.97999999999956"/>
    <n v="1545.1833333333334"/>
    <s v="Low"/>
  </r>
  <r>
    <s v="TXN_04269"/>
    <d v="2024-06-26T00:00:00"/>
    <x v="10"/>
    <s v="Wednesday"/>
    <s v="STORE_008"/>
    <x v="3"/>
    <x v="5"/>
    <x v="10"/>
    <n v="2189.64"/>
    <n v="9"/>
    <n v="19706.759999999998"/>
    <n v="0"/>
    <n v="0"/>
    <n v="19706.759999999998"/>
    <s v="Credit Card"/>
    <s v="CUST_00128"/>
    <n v="3"/>
    <n v="0"/>
    <n v="2189.64"/>
    <s v="No Discount"/>
  </r>
  <r>
    <s v="TXN_04270"/>
    <d v="2024-06-12T00:00:00"/>
    <x v="10"/>
    <s v="Wednesday"/>
    <s v="STORE_014"/>
    <x v="0"/>
    <x v="1"/>
    <x v="31"/>
    <n v="384.32"/>
    <n v="2"/>
    <n v="768.64"/>
    <n v="0"/>
    <n v="0"/>
    <n v="768.64"/>
    <s v="Debit Card"/>
    <s v="CUST_00336"/>
    <n v="3"/>
    <n v="0"/>
    <n v="384.32"/>
    <s v="No Discount"/>
  </r>
  <r>
    <s v="TXN_04271"/>
    <d v="2024-03-26T00:00:00"/>
    <x v="5"/>
    <s v="Tuesday"/>
    <s v="STORE_029"/>
    <x v="0"/>
    <x v="3"/>
    <x v="5"/>
    <n v="1497.23"/>
    <n v="8"/>
    <n v="11977.84"/>
    <n v="15"/>
    <n v="1796.68"/>
    <n v="10181.16"/>
    <s v="UPI"/>
    <s v="CUST_00257"/>
    <n v="4"/>
    <n v="1796.6800000000003"/>
    <n v="1272.645"/>
    <s v="Medium"/>
  </r>
  <r>
    <s v="TXN_04272"/>
    <d v="2024-11-21T00:00:00"/>
    <x v="0"/>
    <s v="Thursday"/>
    <s v="STORE_004"/>
    <x v="0"/>
    <x v="5"/>
    <x v="9"/>
    <n v="4196.66"/>
    <n v="6"/>
    <n v="25179.96"/>
    <n v="10"/>
    <n v="2518"/>
    <n v="22661.96"/>
    <s v="UPI"/>
    <s v="CUST_00682"/>
    <n v="3"/>
    <n v="2518"/>
    <n v="3776.9933333333333"/>
    <s v="Medium"/>
  </r>
  <r>
    <s v="TXN_04273"/>
    <d v="2024-02-15T00:00:00"/>
    <x v="1"/>
    <s v="Thursday"/>
    <s v="STORE_017"/>
    <x v="2"/>
    <x v="7"/>
    <x v="28"/>
    <n v="659.47"/>
    <n v="10"/>
    <n v="6594.7"/>
    <n v="5"/>
    <n v="329.74"/>
    <n v="6264.96"/>
    <s v="Wallet"/>
    <s v="CUST_00482"/>
    <n v="1"/>
    <n v="329.73999999999978"/>
    <n v="626.49599999999998"/>
    <s v="Low"/>
  </r>
  <r>
    <s v="TXN_04274"/>
    <d v="2024-12-28T00:00:00"/>
    <x v="6"/>
    <s v="Saturday"/>
    <s v="STORE_027"/>
    <x v="2"/>
    <x v="1"/>
    <x v="36"/>
    <n v="333.3"/>
    <n v="3"/>
    <n v="999.9"/>
    <n v="20"/>
    <n v="199.98"/>
    <n v="799.92"/>
    <s v="Wallet"/>
    <s v="CUST_00963"/>
    <n v="1"/>
    <n v="199.98000000000002"/>
    <n v="266.64"/>
    <s v="High"/>
  </r>
  <r>
    <s v="TXN_04275"/>
    <d v="2024-12-09T00:00:00"/>
    <x v="6"/>
    <s v="Monday"/>
    <s v="STORE_049"/>
    <x v="3"/>
    <x v="6"/>
    <x v="33"/>
    <n v="1763.55"/>
    <n v="7"/>
    <n v="12344.85"/>
    <n v="5"/>
    <n v="617.24"/>
    <n v="11727.61"/>
    <s v="UPI"/>
    <s v="CUST_00853"/>
    <n v="5"/>
    <n v="617.23999999999978"/>
    <n v="1675.3728571428571"/>
    <s v="Low"/>
  </r>
  <r>
    <s v="TXN_04276"/>
    <d v="2024-11-23T00:00:00"/>
    <x v="0"/>
    <s v="Saturday"/>
    <s v="STORE_019"/>
    <x v="0"/>
    <x v="2"/>
    <x v="13"/>
    <n v="206.09"/>
    <n v="2"/>
    <n v="412.18"/>
    <n v="5"/>
    <n v="20.61"/>
    <n v="391.57"/>
    <s v="Credit Card"/>
    <s v="CUST_00378"/>
    <n v="2"/>
    <n v="20.610000000000014"/>
    <n v="195.785"/>
    <s v="Low"/>
  </r>
  <r>
    <s v="TXN_04277"/>
    <d v="2024-06-20T00:00:00"/>
    <x v="10"/>
    <s v="Thursday"/>
    <s v="STORE_010"/>
    <x v="1"/>
    <x v="0"/>
    <x v="4"/>
    <n v="600.36"/>
    <n v="4"/>
    <n v="2401.44"/>
    <n v="20"/>
    <n v="480.29"/>
    <n v="1921.15"/>
    <s v="Credit Card"/>
    <s v="CUST_00776"/>
    <n v="2"/>
    <n v="480.28999999999996"/>
    <n v="480.28750000000002"/>
    <s v="High"/>
  </r>
  <r>
    <s v="TXN_04278"/>
    <d v="2024-08-16T00:00:00"/>
    <x v="8"/>
    <s v="Friday"/>
    <s v="STORE_021"/>
    <x v="4"/>
    <x v="3"/>
    <x v="5"/>
    <n v="2804.66"/>
    <n v="10"/>
    <n v="28046.6"/>
    <n v="0"/>
    <n v="0"/>
    <n v="28046.6"/>
    <s v="Debit Card"/>
    <s v="CUST_00457"/>
    <n v="3"/>
    <n v="0"/>
    <n v="2804.66"/>
    <s v="No Discount"/>
  </r>
  <r>
    <s v="TXN_04279"/>
    <d v="2024-01-06T00:00:00"/>
    <x v="2"/>
    <s v="Saturday"/>
    <s v="STORE_048"/>
    <x v="2"/>
    <x v="0"/>
    <x v="4"/>
    <n v="365.5"/>
    <n v="1"/>
    <n v="365.5"/>
    <n v="5"/>
    <n v="18.28"/>
    <n v="347.22"/>
    <s v="Wallet"/>
    <s v="CUST_00678"/>
    <n v="1"/>
    <n v="18.279999999999973"/>
    <n v="347.22"/>
    <s v="Low"/>
  </r>
  <r>
    <s v="TXN_04280"/>
    <d v="2024-05-15T00:00:00"/>
    <x v="3"/>
    <s v="Wednesday"/>
    <s v="STORE_030"/>
    <x v="3"/>
    <x v="1"/>
    <x v="31"/>
    <n v="285.17"/>
    <n v="4"/>
    <n v="1140.68"/>
    <n v="15"/>
    <n v="171.1"/>
    <n v="969.58"/>
    <s v="Wallet"/>
    <s v="CUST_00275"/>
    <n v="3"/>
    <n v="171.10000000000002"/>
    <n v="242.39500000000001"/>
    <s v="Medium"/>
  </r>
  <r>
    <s v="TXN_04281"/>
    <d v="2024-04-17T00:00:00"/>
    <x v="4"/>
    <s v="Wednesday"/>
    <s v="STORE_045"/>
    <x v="4"/>
    <x v="0"/>
    <x v="18"/>
    <n v="346.73"/>
    <n v="7"/>
    <n v="2427.11"/>
    <n v="0"/>
    <n v="0"/>
    <n v="2427.11"/>
    <s v="Cash"/>
    <s v="CUST_00210"/>
    <n v="5"/>
    <n v="0"/>
    <n v="346.73"/>
    <s v="No Discount"/>
  </r>
  <r>
    <s v="TXN_04282"/>
    <d v="2024-05-07T00:00:00"/>
    <x v="3"/>
    <s v="Tuesday"/>
    <s v="STORE_022"/>
    <x v="3"/>
    <x v="0"/>
    <x v="0"/>
    <n v="285.85000000000002"/>
    <n v="10"/>
    <n v="2858.5"/>
    <n v="5"/>
    <n v="142.93"/>
    <n v="2715.57"/>
    <s v="Debit Card"/>
    <s v="CUST_00715"/>
    <n v="4"/>
    <n v="142.92999999999984"/>
    <n v="271.55700000000002"/>
    <s v="Low"/>
  </r>
  <r>
    <s v="TXN_04283"/>
    <d v="2024-12-20T00:00:00"/>
    <x v="6"/>
    <s v="Friday"/>
    <s v="STORE_041"/>
    <x v="4"/>
    <x v="2"/>
    <x v="39"/>
    <n v="256.08"/>
    <n v="1"/>
    <n v="256.08"/>
    <n v="10"/>
    <n v="25.61"/>
    <n v="230.47"/>
    <s v="Cash"/>
    <s v="CUST_00857"/>
    <n v="1"/>
    <n v="25.609999999999985"/>
    <n v="230.47"/>
    <s v="Medium"/>
  </r>
  <r>
    <s v="TXN_04284"/>
    <d v="2024-02-04T00:00:00"/>
    <x v="1"/>
    <s v="Sunday"/>
    <s v="STORE_042"/>
    <x v="3"/>
    <x v="4"/>
    <x v="19"/>
    <n v="549.9"/>
    <n v="7"/>
    <n v="3849.3"/>
    <n v="0"/>
    <n v="0"/>
    <n v="3849.3"/>
    <s v="Credit Card"/>
    <s v="CUST_00206"/>
    <n v="1"/>
    <n v="0"/>
    <n v="549.9"/>
    <s v="No Discount"/>
  </r>
  <r>
    <s v="TXN_04285"/>
    <d v="2024-06-28T00:00:00"/>
    <x v="10"/>
    <s v="Friday"/>
    <s v="STORE_044"/>
    <x v="2"/>
    <x v="0"/>
    <x v="0"/>
    <n v="768.81"/>
    <n v="2"/>
    <n v="1537.62"/>
    <n v="20"/>
    <n v="307.52"/>
    <n v="1230.0999999999999"/>
    <s v="Credit Card"/>
    <s v="CUST_00399"/>
    <n v="3"/>
    <n v="307.52"/>
    <n v="615.04999999999995"/>
    <s v="High"/>
  </r>
  <r>
    <s v="TXN_04286"/>
    <d v="2024-05-11T00:00:00"/>
    <x v="3"/>
    <s v="Saturday"/>
    <s v="STORE_033"/>
    <x v="2"/>
    <x v="2"/>
    <x v="2"/>
    <n v="411.73"/>
    <n v="8"/>
    <n v="3293.84"/>
    <n v="20"/>
    <n v="658.77"/>
    <n v="2635.07"/>
    <s v="Credit Card"/>
    <s v="CUST_00093"/>
    <n v="3"/>
    <n v="658.77"/>
    <n v="329.38375000000002"/>
    <s v="High"/>
  </r>
  <r>
    <s v="TXN_04287"/>
    <d v="2024-02-25T00:00:00"/>
    <x v="1"/>
    <s v="Sunday"/>
    <s v="STORE_039"/>
    <x v="3"/>
    <x v="3"/>
    <x v="22"/>
    <n v="2342.41"/>
    <n v="4"/>
    <n v="9369.64"/>
    <n v="20"/>
    <n v="1873.93"/>
    <n v="7495.71"/>
    <s v="UPI"/>
    <s v="CUST_00374"/>
    <n v="2"/>
    <n v="1873.9299999999994"/>
    <n v="1873.9275"/>
    <s v="High"/>
  </r>
  <r>
    <s v="TXN_04288"/>
    <d v="2024-01-01T00:00:00"/>
    <x v="2"/>
    <s v="Monday"/>
    <s v="STORE_038"/>
    <x v="4"/>
    <x v="5"/>
    <x v="9"/>
    <n v="4687.6499999999996"/>
    <n v="3"/>
    <n v="14062.95"/>
    <n v="20"/>
    <n v="2812.59"/>
    <n v="11250.36"/>
    <s v="Wallet"/>
    <s v="CUST_00402"/>
    <n v="3"/>
    <n v="2812.59"/>
    <n v="3750.1200000000003"/>
    <s v="High"/>
  </r>
  <r>
    <s v="TXN_04289"/>
    <d v="2024-01-25T00:00:00"/>
    <x v="2"/>
    <s v="Thursday"/>
    <s v="STORE_034"/>
    <x v="4"/>
    <x v="1"/>
    <x v="1"/>
    <n v="260.97000000000003"/>
    <n v="1"/>
    <n v="260.97000000000003"/>
    <n v="0"/>
    <n v="0"/>
    <n v="260.97000000000003"/>
    <s v="Cash"/>
    <s v="CUST_00599"/>
    <n v="3"/>
    <n v="0"/>
    <n v="260.97000000000003"/>
    <s v="No Discount"/>
  </r>
  <r>
    <s v="TXN_04290"/>
    <d v="2024-07-16T00:00:00"/>
    <x v="11"/>
    <s v="Tuesday"/>
    <s v="STORE_025"/>
    <x v="4"/>
    <x v="6"/>
    <x v="33"/>
    <n v="633.76"/>
    <n v="3"/>
    <n v="1901.28"/>
    <n v="15"/>
    <n v="285.19"/>
    <n v="1616.09"/>
    <s v="Wallet"/>
    <s v="CUST_00784"/>
    <n v="5"/>
    <n v="285.19000000000005"/>
    <n v="538.6966666666666"/>
    <s v="Medium"/>
  </r>
  <r>
    <s v="TXN_04291"/>
    <d v="2024-08-12T00:00:00"/>
    <x v="8"/>
    <s v="Monday"/>
    <s v="STORE_004"/>
    <x v="0"/>
    <x v="7"/>
    <x v="24"/>
    <n v="650.92999999999995"/>
    <n v="9"/>
    <n v="5858.37"/>
    <n v="0"/>
    <n v="0"/>
    <n v="5858.37"/>
    <s v="UPI"/>
    <s v="CUST_00588"/>
    <n v="1"/>
    <n v="0"/>
    <n v="650.92999999999995"/>
    <s v="No Discount"/>
  </r>
  <r>
    <s v="TXN_04292"/>
    <d v="2024-08-02T00:00:00"/>
    <x v="8"/>
    <s v="Friday"/>
    <s v="STORE_033"/>
    <x v="4"/>
    <x v="3"/>
    <x v="12"/>
    <n v="2372.6"/>
    <n v="2"/>
    <n v="4745.2"/>
    <n v="0"/>
    <n v="0"/>
    <n v="4745.2"/>
    <s v="Debit Card"/>
    <s v="CUST_00200"/>
    <n v="4"/>
    <n v="0"/>
    <n v="2372.6"/>
    <s v="No Discount"/>
  </r>
  <r>
    <s v="TXN_04293"/>
    <d v="2024-03-26T00:00:00"/>
    <x v="5"/>
    <s v="Tuesday"/>
    <s v="STORE_049"/>
    <x v="4"/>
    <x v="1"/>
    <x v="6"/>
    <n v="239.31"/>
    <n v="3"/>
    <n v="717.93"/>
    <n v="0"/>
    <n v="0"/>
    <n v="717.93"/>
    <s v="Debit Card"/>
    <s v="CUST_00865"/>
    <n v="4"/>
    <n v="0"/>
    <n v="239.30999999999997"/>
    <s v="No Discount"/>
  </r>
  <r>
    <s v="TXN_04294"/>
    <d v="2024-07-30T00:00:00"/>
    <x v="11"/>
    <s v="Tuesday"/>
    <s v="STORE_005"/>
    <x v="4"/>
    <x v="2"/>
    <x v="2"/>
    <n v="351.79"/>
    <n v="8"/>
    <n v="2814.32"/>
    <n v="0"/>
    <n v="0"/>
    <n v="2814.32"/>
    <s v="Debit Card"/>
    <s v="CUST_00273"/>
    <n v="5"/>
    <n v="0"/>
    <n v="351.79"/>
    <s v="No Discount"/>
  </r>
  <r>
    <s v="TXN_04295"/>
    <d v="2024-09-09T00:00:00"/>
    <x v="9"/>
    <s v="Monday"/>
    <s v="STORE_031"/>
    <x v="3"/>
    <x v="5"/>
    <x v="25"/>
    <n v="1252.5"/>
    <n v="10"/>
    <n v="12525"/>
    <n v="0"/>
    <n v="0"/>
    <n v="12525"/>
    <s v="UPI"/>
    <s v="CUST_00683"/>
    <n v="1"/>
    <n v="0"/>
    <n v="1252.5"/>
    <s v="No Discount"/>
  </r>
  <r>
    <s v="TXN_04296"/>
    <d v="2024-07-12T00:00:00"/>
    <x v="11"/>
    <s v="Friday"/>
    <s v="STORE_024"/>
    <x v="0"/>
    <x v="4"/>
    <x v="35"/>
    <n v="401.09"/>
    <n v="3"/>
    <n v="1203.27"/>
    <n v="0"/>
    <n v="0"/>
    <n v="1203.27"/>
    <s v="Debit Card"/>
    <s v="CUST_00708"/>
    <n v="3"/>
    <n v="0"/>
    <n v="401.09"/>
    <s v="No Discount"/>
  </r>
  <r>
    <s v="TXN_04297"/>
    <d v="2024-06-28T00:00:00"/>
    <x v="10"/>
    <s v="Friday"/>
    <s v="STORE_001"/>
    <x v="0"/>
    <x v="4"/>
    <x v="17"/>
    <n v="370.61"/>
    <n v="1"/>
    <n v="370.61"/>
    <n v="20"/>
    <n v="74.12"/>
    <n v="296.49"/>
    <s v="UPI"/>
    <s v="CUST_00787"/>
    <n v="2"/>
    <n v="74.12"/>
    <n v="296.49"/>
    <s v="High"/>
  </r>
  <r>
    <s v="TXN_04298"/>
    <d v="2024-10-06T00:00:00"/>
    <x v="7"/>
    <s v="Sunday"/>
    <s v="STORE_023"/>
    <x v="0"/>
    <x v="5"/>
    <x v="10"/>
    <n v="4113.01"/>
    <n v="3"/>
    <n v="12339.03"/>
    <n v="10"/>
    <n v="1233.9000000000001"/>
    <n v="11105.13"/>
    <s v="Debit Card"/>
    <s v="CUST_00557"/>
    <n v="2"/>
    <n v="1233.9000000000015"/>
    <n v="3701.7099999999996"/>
    <s v="Medium"/>
  </r>
  <r>
    <s v="TXN_04299"/>
    <d v="2024-07-11T00:00:00"/>
    <x v="11"/>
    <s v="Thursday"/>
    <s v="STORE_039"/>
    <x v="3"/>
    <x v="1"/>
    <x v="3"/>
    <n v="325.61"/>
    <n v="2"/>
    <n v="651.22"/>
    <n v="0"/>
    <n v="0"/>
    <n v="651.22"/>
    <s v="Debit Card"/>
    <s v="CUST_00308"/>
    <n v="3"/>
    <n v="0"/>
    <n v="325.61"/>
    <s v="No Discount"/>
  </r>
  <r>
    <s v="TXN_04300"/>
    <d v="2024-02-21T00:00:00"/>
    <x v="1"/>
    <s v="Wednesday"/>
    <s v="STORE_027"/>
    <x v="1"/>
    <x v="1"/>
    <x v="31"/>
    <n v="234.74"/>
    <n v="5"/>
    <n v="1173.7"/>
    <n v="20"/>
    <n v="234.74"/>
    <n v="938.96"/>
    <s v="UPI"/>
    <s v="CUST_00693"/>
    <n v="3"/>
    <n v="234.74"/>
    <n v="187.792"/>
    <s v="High"/>
  </r>
  <r>
    <s v="TXN_04301"/>
    <d v="2024-09-02T00:00:00"/>
    <x v="9"/>
    <s v="Monday"/>
    <s v="STORE_049"/>
    <x v="2"/>
    <x v="4"/>
    <x v="35"/>
    <n v="165.22"/>
    <n v="3"/>
    <n v="495.66"/>
    <n v="10"/>
    <n v="49.57"/>
    <n v="446.09"/>
    <s v="Debit Card"/>
    <s v="CUST_00946"/>
    <n v="1"/>
    <n v="49.57000000000005"/>
    <n v="148.69666666666666"/>
    <s v="Medium"/>
  </r>
  <r>
    <s v="TXN_04302"/>
    <d v="2024-10-22T00:00:00"/>
    <x v="7"/>
    <s v="Tuesday"/>
    <s v="STORE_035"/>
    <x v="3"/>
    <x v="7"/>
    <x v="23"/>
    <n v="1439.03"/>
    <n v="1"/>
    <n v="1439.03"/>
    <n v="10"/>
    <n v="143.9"/>
    <n v="1295.1300000000001"/>
    <s v="Wallet"/>
    <s v="CUST_00324"/>
    <n v="1"/>
    <n v="143.89999999999986"/>
    <n v="1295.1300000000001"/>
    <s v="Medium"/>
  </r>
  <r>
    <s v="TXN_04303"/>
    <d v="2024-11-29T00:00:00"/>
    <x v="0"/>
    <s v="Friday"/>
    <s v="STORE_035"/>
    <x v="2"/>
    <x v="0"/>
    <x v="32"/>
    <n v="855.06"/>
    <n v="6"/>
    <n v="5130.3599999999997"/>
    <n v="20"/>
    <n v="1026.07"/>
    <n v="4104.29"/>
    <s v="Credit Card"/>
    <s v="CUST_00667"/>
    <n v="3"/>
    <n v="1026.0699999999997"/>
    <n v="684.04833333333329"/>
    <s v="High"/>
  </r>
  <r>
    <s v="TXN_04304"/>
    <d v="2024-12-17T00:00:00"/>
    <x v="6"/>
    <s v="Tuesday"/>
    <s v="STORE_044"/>
    <x v="3"/>
    <x v="6"/>
    <x v="15"/>
    <n v="1294.67"/>
    <n v="2"/>
    <n v="2589.34"/>
    <n v="0"/>
    <n v="0"/>
    <n v="2589.34"/>
    <s v="Wallet"/>
    <s v="CUST_00499"/>
    <n v="5"/>
    <n v="0"/>
    <n v="1294.67"/>
    <s v="No Discount"/>
  </r>
  <r>
    <s v="TXN_04305"/>
    <d v="2024-04-25T00:00:00"/>
    <x v="4"/>
    <s v="Thursday"/>
    <s v="STORE_029"/>
    <x v="4"/>
    <x v="1"/>
    <x v="6"/>
    <n v="164.14"/>
    <n v="7"/>
    <n v="1148.98"/>
    <n v="0"/>
    <n v="0"/>
    <n v="1148.98"/>
    <s v="Wallet"/>
    <s v="CUST_00831"/>
    <n v="2"/>
    <n v="0"/>
    <n v="164.14000000000001"/>
    <s v="No Discount"/>
  </r>
  <r>
    <s v="TXN_04306"/>
    <d v="2024-03-24T00:00:00"/>
    <x v="5"/>
    <s v="Sunday"/>
    <s v="STORE_049"/>
    <x v="1"/>
    <x v="0"/>
    <x v="4"/>
    <n v="355.09"/>
    <n v="7"/>
    <n v="2485.63"/>
    <n v="20"/>
    <n v="497.13"/>
    <n v="1988.5"/>
    <s v="Cash"/>
    <s v="CUST_00249"/>
    <n v="4"/>
    <n v="497.13000000000011"/>
    <n v="284.07142857142856"/>
    <s v="High"/>
  </r>
  <r>
    <s v="TXN_04307"/>
    <d v="2024-08-19T00:00:00"/>
    <x v="8"/>
    <s v="Monday"/>
    <s v="STORE_027"/>
    <x v="0"/>
    <x v="3"/>
    <x v="12"/>
    <n v="1040.98"/>
    <n v="8"/>
    <n v="8327.84"/>
    <n v="5"/>
    <n v="416.39"/>
    <n v="7911.45"/>
    <s v="Cash"/>
    <s v="CUST_00204"/>
    <n v="5"/>
    <n v="416.39000000000033"/>
    <n v="988.93124999999998"/>
    <s v="Low"/>
  </r>
  <r>
    <s v="TXN_04308"/>
    <d v="2024-02-07T00:00:00"/>
    <x v="1"/>
    <s v="Wednesday"/>
    <s v="STORE_033"/>
    <x v="2"/>
    <x v="1"/>
    <x v="3"/>
    <n v="452.37"/>
    <n v="3"/>
    <n v="1357.11"/>
    <n v="0"/>
    <n v="0"/>
    <n v="1357.11"/>
    <s v="UPI"/>
    <s v="CUST_00631"/>
    <n v="2"/>
    <n v="0"/>
    <n v="452.36999999999995"/>
    <s v="No Discount"/>
  </r>
  <r>
    <s v="TXN_04309"/>
    <d v="2024-01-18T00:00:00"/>
    <x v="2"/>
    <s v="Thursday"/>
    <s v="STORE_036"/>
    <x v="3"/>
    <x v="7"/>
    <x v="24"/>
    <n v="300.62"/>
    <n v="4"/>
    <n v="1202.48"/>
    <n v="5"/>
    <n v="60.12"/>
    <n v="1142.3599999999999"/>
    <s v="Cash"/>
    <s v="CUST_00251"/>
    <n v="2"/>
    <n v="60.120000000000118"/>
    <n v="285.58999999999997"/>
    <s v="Low"/>
  </r>
  <r>
    <s v="TXN_04310"/>
    <d v="2024-05-30T00:00:00"/>
    <x v="3"/>
    <s v="Thursday"/>
    <s v="STORE_001"/>
    <x v="1"/>
    <x v="2"/>
    <x v="39"/>
    <n v="135.19999999999999"/>
    <n v="3"/>
    <n v="405.6"/>
    <n v="0"/>
    <n v="0"/>
    <n v="405.6"/>
    <s v="Wallet"/>
    <s v="CUST_00931"/>
    <n v="3"/>
    <n v="0"/>
    <n v="135.20000000000002"/>
    <s v="No Discount"/>
  </r>
  <r>
    <s v="TXN_04311"/>
    <d v="2024-01-11T00:00:00"/>
    <x v="2"/>
    <s v="Thursday"/>
    <s v="STORE_042"/>
    <x v="4"/>
    <x v="6"/>
    <x v="15"/>
    <n v="1209.8599999999999"/>
    <n v="7"/>
    <n v="8469.02"/>
    <n v="0"/>
    <n v="0"/>
    <n v="8469.02"/>
    <s v="Wallet"/>
    <s v="CUST_00438"/>
    <n v="4"/>
    <n v="0"/>
    <n v="1209.8600000000001"/>
    <s v="No Discount"/>
  </r>
  <r>
    <s v="TXN_04312"/>
    <d v="2024-06-12T00:00:00"/>
    <x v="10"/>
    <s v="Wednesday"/>
    <s v="STORE_016"/>
    <x v="3"/>
    <x v="5"/>
    <x v="10"/>
    <n v="1304.1400000000001"/>
    <n v="6"/>
    <n v="7824.84"/>
    <n v="10"/>
    <n v="782.48"/>
    <n v="7042.36"/>
    <s v="UPI"/>
    <s v="CUST_00387"/>
    <n v="4"/>
    <n v="782.48000000000047"/>
    <n v="1173.7266666666667"/>
    <s v="Medium"/>
  </r>
  <r>
    <s v="TXN_04313"/>
    <d v="2024-05-13T00:00:00"/>
    <x v="3"/>
    <s v="Monday"/>
    <s v="STORE_036"/>
    <x v="2"/>
    <x v="6"/>
    <x v="26"/>
    <n v="1298.95"/>
    <n v="6"/>
    <n v="7793.7"/>
    <n v="10"/>
    <n v="779.37"/>
    <n v="7014.33"/>
    <s v="Credit Card"/>
    <s v="CUST_00450"/>
    <n v="5"/>
    <n v="779.36999999999989"/>
    <n v="1169.0550000000001"/>
    <s v="Medium"/>
  </r>
  <r>
    <s v="TXN_04314"/>
    <d v="2024-02-23T00:00:00"/>
    <x v="1"/>
    <s v="Friday"/>
    <s v="STORE_014"/>
    <x v="4"/>
    <x v="2"/>
    <x v="13"/>
    <n v="783.89"/>
    <n v="4"/>
    <n v="3135.56"/>
    <n v="5"/>
    <n v="156.78"/>
    <n v="2978.78"/>
    <s v="UPI"/>
    <s v="CUST_00452"/>
    <n v="3"/>
    <n v="156.77999999999975"/>
    <n v="744.69500000000005"/>
    <s v="Low"/>
  </r>
  <r>
    <s v="TXN_04315"/>
    <d v="2024-02-07T00:00:00"/>
    <x v="1"/>
    <s v="Wednesday"/>
    <s v="STORE_042"/>
    <x v="1"/>
    <x v="4"/>
    <x v="17"/>
    <n v="352.68"/>
    <n v="5"/>
    <n v="1763.4"/>
    <n v="10"/>
    <n v="176.34"/>
    <n v="1587.06"/>
    <s v="Wallet"/>
    <s v="CUST_00464"/>
    <n v="3"/>
    <n v="176.34000000000015"/>
    <n v="317.41199999999998"/>
    <s v="Medium"/>
  </r>
  <r>
    <s v="TXN_04316"/>
    <d v="2024-06-24T00:00:00"/>
    <x v="10"/>
    <s v="Monday"/>
    <s v="STORE_017"/>
    <x v="4"/>
    <x v="7"/>
    <x v="38"/>
    <n v="435.88"/>
    <n v="10"/>
    <n v="4358.8"/>
    <n v="10"/>
    <n v="435.88"/>
    <n v="3922.92"/>
    <s v="Cash"/>
    <s v="CUST_00956"/>
    <n v="3"/>
    <n v="435.88000000000011"/>
    <n v="392.29200000000003"/>
    <s v="Medium"/>
  </r>
  <r>
    <s v="TXN_04317"/>
    <d v="2024-03-28T00:00:00"/>
    <x v="5"/>
    <s v="Thursday"/>
    <s v="STORE_012"/>
    <x v="1"/>
    <x v="0"/>
    <x v="18"/>
    <n v="935.06"/>
    <n v="4"/>
    <n v="3740.24"/>
    <n v="20"/>
    <n v="748.05"/>
    <n v="2992.19"/>
    <s v="Wallet"/>
    <s v="CUST_00491"/>
    <n v="3"/>
    <n v="748.04999999999973"/>
    <n v="748.04750000000001"/>
    <s v="High"/>
  </r>
  <r>
    <s v="TXN_04318"/>
    <d v="2024-07-11T00:00:00"/>
    <x v="11"/>
    <s v="Thursday"/>
    <s v="STORE_006"/>
    <x v="0"/>
    <x v="2"/>
    <x v="13"/>
    <n v="433.71"/>
    <n v="5"/>
    <n v="2168.5500000000002"/>
    <n v="0"/>
    <n v="0"/>
    <n v="2168.5500000000002"/>
    <s v="UPI"/>
    <s v="CUST_00228"/>
    <n v="2"/>
    <n v="0"/>
    <n v="433.71000000000004"/>
    <s v="No Discount"/>
  </r>
  <r>
    <s v="TXN_04319"/>
    <d v="2024-03-23T00:00:00"/>
    <x v="5"/>
    <s v="Saturday"/>
    <s v="STORE_006"/>
    <x v="4"/>
    <x v="2"/>
    <x v="7"/>
    <n v="418.57"/>
    <n v="6"/>
    <n v="2511.42"/>
    <n v="5"/>
    <n v="125.57"/>
    <n v="2385.85"/>
    <s v="Credit Card"/>
    <s v="CUST_00775"/>
    <n v="5"/>
    <n v="125.57000000000016"/>
    <n v="397.64166666666665"/>
    <s v="Low"/>
  </r>
  <r>
    <s v="TXN_04320"/>
    <d v="2024-02-08T00:00:00"/>
    <x v="1"/>
    <s v="Thursday"/>
    <s v="STORE_009"/>
    <x v="0"/>
    <x v="1"/>
    <x v="6"/>
    <n v="217.99"/>
    <n v="10"/>
    <n v="2179.9"/>
    <n v="20"/>
    <n v="435.98"/>
    <n v="1743.92"/>
    <s v="Wallet"/>
    <s v="CUST_00834"/>
    <n v="2"/>
    <n v="435.98"/>
    <n v="174.392"/>
    <s v="High"/>
  </r>
  <r>
    <s v="TXN_04321"/>
    <d v="2024-10-07T00:00:00"/>
    <x v="7"/>
    <s v="Monday"/>
    <s v="STORE_019"/>
    <x v="1"/>
    <x v="6"/>
    <x v="30"/>
    <n v="1877.22"/>
    <n v="6"/>
    <n v="11263.32"/>
    <n v="10"/>
    <n v="1126.33"/>
    <n v="10136.99"/>
    <s v="Credit Card"/>
    <s v="CUST_00758"/>
    <n v="3"/>
    <n v="1126.33"/>
    <n v="1689.4983333333332"/>
    <s v="Medium"/>
  </r>
  <r>
    <s v="TXN_04322"/>
    <d v="2024-02-17T00:00:00"/>
    <x v="1"/>
    <s v="Saturday"/>
    <s v="STORE_003"/>
    <x v="1"/>
    <x v="7"/>
    <x v="37"/>
    <n v="576.14"/>
    <n v="6"/>
    <n v="3456.84"/>
    <n v="10"/>
    <n v="345.68"/>
    <n v="3111.16"/>
    <s v="Cash"/>
    <s v="CUST_00747"/>
    <n v="3"/>
    <n v="345.68000000000029"/>
    <n v="518.52666666666664"/>
    <s v="Medium"/>
  </r>
  <r>
    <s v="TXN_04323"/>
    <d v="2024-06-22T00:00:00"/>
    <x v="10"/>
    <s v="Saturday"/>
    <s v="STORE_009"/>
    <x v="3"/>
    <x v="7"/>
    <x v="23"/>
    <n v="568.94000000000005"/>
    <n v="5"/>
    <n v="2844.7"/>
    <n v="0"/>
    <n v="0"/>
    <n v="2844.7"/>
    <s v="Cash"/>
    <s v="CUST_00106"/>
    <n v="4"/>
    <n v="0"/>
    <n v="568.93999999999994"/>
    <s v="No Discount"/>
  </r>
  <r>
    <s v="TXN_04324"/>
    <d v="2024-10-31T00:00:00"/>
    <x v="7"/>
    <s v="Thursday"/>
    <s v="STORE_016"/>
    <x v="0"/>
    <x v="5"/>
    <x v="11"/>
    <n v="3440.27"/>
    <n v="4"/>
    <n v="13761.08"/>
    <n v="0"/>
    <n v="0"/>
    <n v="13761.08"/>
    <s v="UPI"/>
    <s v="CUST_00381"/>
    <n v="3"/>
    <n v="0"/>
    <n v="3440.27"/>
    <s v="No Discount"/>
  </r>
  <r>
    <s v="TXN_04325"/>
    <d v="2024-11-10T00:00:00"/>
    <x v="0"/>
    <s v="Sunday"/>
    <s v="STORE_002"/>
    <x v="4"/>
    <x v="3"/>
    <x v="22"/>
    <n v="1915.09"/>
    <n v="8"/>
    <n v="15320.72"/>
    <n v="0"/>
    <n v="0"/>
    <n v="15320.72"/>
    <s v="Wallet"/>
    <s v="CUST_00406"/>
    <n v="5"/>
    <n v="0"/>
    <n v="1915.09"/>
    <s v="No Discount"/>
  </r>
  <r>
    <s v="TXN_04326"/>
    <d v="2024-09-04T00:00:00"/>
    <x v="9"/>
    <s v="Wednesday"/>
    <s v="STORE_034"/>
    <x v="3"/>
    <x v="5"/>
    <x v="10"/>
    <n v="1743.62"/>
    <n v="2"/>
    <n v="3487.24"/>
    <n v="10"/>
    <n v="348.72"/>
    <n v="3138.52"/>
    <s v="UPI"/>
    <s v="CUST_00574"/>
    <n v="1"/>
    <n v="348.7199999999998"/>
    <n v="1569.26"/>
    <s v="Medium"/>
  </r>
  <r>
    <s v="TXN_04327"/>
    <d v="2024-12-26T00:00:00"/>
    <x v="6"/>
    <s v="Thursday"/>
    <s v="STORE_050"/>
    <x v="3"/>
    <x v="1"/>
    <x v="6"/>
    <n v="334.8"/>
    <n v="9"/>
    <n v="3013.2"/>
    <n v="15"/>
    <n v="451.98"/>
    <n v="2561.2199999999998"/>
    <s v="Wallet"/>
    <s v="CUST_00195"/>
    <n v="2"/>
    <n v="451.98"/>
    <n v="284.58"/>
    <s v="Medium"/>
  </r>
  <r>
    <s v="TXN_04328"/>
    <d v="2024-01-16T00:00:00"/>
    <x v="2"/>
    <s v="Tuesday"/>
    <s v="STORE_038"/>
    <x v="4"/>
    <x v="1"/>
    <x v="1"/>
    <n v="161.4"/>
    <n v="10"/>
    <n v="1614"/>
    <n v="5"/>
    <n v="80.7"/>
    <n v="1533.3"/>
    <s v="UPI"/>
    <s v="CUST_00743"/>
    <n v="2"/>
    <n v="80.700000000000045"/>
    <n v="153.32999999999998"/>
    <s v="Low"/>
  </r>
  <r>
    <s v="TXN_04329"/>
    <d v="2024-08-08T00:00:00"/>
    <x v="8"/>
    <s v="Thursday"/>
    <s v="STORE_043"/>
    <x v="4"/>
    <x v="3"/>
    <x v="5"/>
    <n v="2567.52"/>
    <n v="7"/>
    <n v="17972.64"/>
    <n v="0"/>
    <n v="0"/>
    <n v="17972.64"/>
    <s v="Wallet"/>
    <s v="CUST_00511"/>
    <n v="4"/>
    <n v="0"/>
    <n v="2567.52"/>
    <s v="No Discount"/>
  </r>
  <r>
    <s v="TXN_04330"/>
    <d v="2024-11-30T00:00:00"/>
    <x v="0"/>
    <s v="Saturday"/>
    <s v="STORE_024"/>
    <x v="2"/>
    <x v="4"/>
    <x v="35"/>
    <n v="589.24"/>
    <n v="1"/>
    <n v="589.24"/>
    <n v="15"/>
    <n v="88.39"/>
    <n v="500.85"/>
    <s v="Cash"/>
    <s v="CUST_00455"/>
    <n v="3"/>
    <n v="88.389999999999986"/>
    <n v="500.85"/>
    <s v="Medium"/>
  </r>
  <r>
    <s v="TXN_04331"/>
    <d v="2024-03-25T00:00:00"/>
    <x v="5"/>
    <s v="Monday"/>
    <s v="STORE_002"/>
    <x v="3"/>
    <x v="5"/>
    <x v="10"/>
    <n v="2598.92"/>
    <n v="10"/>
    <n v="25989.200000000001"/>
    <n v="15"/>
    <n v="3898.38"/>
    <n v="22090.82"/>
    <s v="Credit Card"/>
    <s v="CUST_00627"/>
    <n v="1"/>
    <n v="3898.380000000001"/>
    <n v="2209.0819999999999"/>
    <s v="Medium"/>
  </r>
  <r>
    <s v="TXN_04332"/>
    <d v="2024-11-06T00:00:00"/>
    <x v="0"/>
    <s v="Wednesday"/>
    <s v="STORE_029"/>
    <x v="4"/>
    <x v="3"/>
    <x v="12"/>
    <n v="2131.2600000000002"/>
    <n v="3"/>
    <n v="6393.78"/>
    <n v="5"/>
    <n v="319.69"/>
    <n v="6074.09"/>
    <s v="Cash"/>
    <s v="CUST_00163"/>
    <n v="2"/>
    <n v="319.6899999999996"/>
    <n v="2024.6966666666667"/>
    <s v="Low"/>
  </r>
  <r>
    <s v="TXN_04333"/>
    <d v="2024-08-10T00:00:00"/>
    <x v="8"/>
    <s v="Saturday"/>
    <s v="STORE_043"/>
    <x v="2"/>
    <x v="4"/>
    <x v="35"/>
    <n v="323.61"/>
    <n v="1"/>
    <n v="323.61"/>
    <n v="0"/>
    <n v="0"/>
    <n v="323.61"/>
    <s v="Wallet"/>
    <s v="CUST_00756"/>
    <n v="3"/>
    <n v="0"/>
    <n v="323.61"/>
    <s v="No Discount"/>
  </r>
  <r>
    <s v="TXN_04334"/>
    <d v="2024-03-21T00:00:00"/>
    <x v="5"/>
    <s v="Thursday"/>
    <s v="STORE_014"/>
    <x v="4"/>
    <x v="4"/>
    <x v="19"/>
    <n v="374.94"/>
    <n v="2"/>
    <n v="749.88"/>
    <n v="5"/>
    <n v="37.49"/>
    <n v="712.39"/>
    <s v="UPI"/>
    <s v="CUST_00565"/>
    <n v="3"/>
    <n v="37.490000000000009"/>
    <n v="356.19499999999999"/>
    <s v="Low"/>
  </r>
  <r>
    <s v="TXN_04335"/>
    <d v="2024-01-28T00:00:00"/>
    <x v="2"/>
    <s v="Sunday"/>
    <s v="STORE_036"/>
    <x v="3"/>
    <x v="1"/>
    <x v="31"/>
    <n v="175.08"/>
    <n v="6"/>
    <n v="1050.48"/>
    <n v="10"/>
    <n v="105.05"/>
    <n v="945.43"/>
    <s v="Credit Card"/>
    <s v="CUST_00687"/>
    <n v="5"/>
    <n v="105.05000000000007"/>
    <n v="157.57166666666666"/>
    <s v="Medium"/>
  </r>
  <r>
    <s v="TXN_04336"/>
    <d v="2024-02-21T00:00:00"/>
    <x v="1"/>
    <s v="Wednesday"/>
    <s v="STORE_046"/>
    <x v="1"/>
    <x v="6"/>
    <x v="26"/>
    <n v="1506.88"/>
    <n v="5"/>
    <n v="7534.4"/>
    <n v="0"/>
    <n v="0"/>
    <n v="7534.4"/>
    <s v="UPI"/>
    <s v="CUST_00784"/>
    <n v="3"/>
    <n v="0"/>
    <n v="1506.8799999999999"/>
    <s v="No Discount"/>
  </r>
  <r>
    <s v="TXN_04337"/>
    <d v="2024-06-18T00:00:00"/>
    <x v="10"/>
    <s v="Tuesday"/>
    <s v="STORE_040"/>
    <x v="3"/>
    <x v="3"/>
    <x v="16"/>
    <n v="2457.96"/>
    <n v="6"/>
    <n v="14747.76"/>
    <n v="0"/>
    <n v="0"/>
    <n v="14747.76"/>
    <s v="UPI"/>
    <s v="CUST_00146"/>
    <n v="3"/>
    <n v="0"/>
    <n v="2457.96"/>
    <s v="No Discount"/>
  </r>
  <r>
    <s v="TXN_04338"/>
    <d v="2024-04-15T00:00:00"/>
    <x v="4"/>
    <s v="Monday"/>
    <s v="STORE_048"/>
    <x v="2"/>
    <x v="0"/>
    <x v="27"/>
    <n v="373.54"/>
    <n v="10"/>
    <n v="3735.4"/>
    <n v="0"/>
    <n v="0"/>
    <n v="3735.4"/>
    <s v="Credit Card"/>
    <s v="CUST_00358"/>
    <n v="4"/>
    <n v="0"/>
    <n v="373.54"/>
    <s v="No Discount"/>
  </r>
  <r>
    <s v="TXN_04339"/>
    <d v="2024-04-07T00:00:00"/>
    <x v="4"/>
    <s v="Sunday"/>
    <s v="STORE_012"/>
    <x v="2"/>
    <x v="7"/>
    <x v="38"/>
    <n v="1322.47"/>
    <n v="7"/>
    <n v="9257.2900000000009"/>
    <n v="10"/>
    <n v="925.73"/>
    <n v="8331.56"/>
    <s v="UPI"/>
    <s v="CUST_00799"/>
    <n v="4"/>
    <n v="925.73000000000138"/>
    <n v="1190.222857142857"/>
    <s v="Medium"/>
  </r>
  <r>
    <s v="TXN_04340"/>
    <d v="2024-07-28T00:00:00"/>
    <x v="11"/>
    <s v="Sunday"/>
    <s v="STORE_029"/>
    <x v="2"/>
    <x v="5"/>
    <x v="10"/>
    <n v="1427.03"/>
    <n v="7"/>
    <n v="9989.2099999999991"/>
    <n v="10"/>
    <n v="998.92"/>
    <n v="8990.2900000000009"/>
    <s v="Debit Card"/>
    <s v="CUST_00848"/>
    <n v="5"/>
    <n v="998.91999999999825"/>
    <n v="1284.3271428571429"/>
    <s v="Medium"/>
  </r>
  <r>
    <s v="TXN_04341"/>
    <d v="2024-12-22T00:00:00"/>
    <x v="6"/>
    <s v="Sunday"/>
    <s v="STORE_037"/>
    <x v="4"/>
    <x v="5"/>
    <x v="9"/>
    <n v="4460.21"/>
    <n v="9"/>
    <n v="40141.89"/>
    <n v="0"/>
    <n v="0"/>
    <n v="40141.89"/>
    <s v="Debit Card"/>
    <s v="CUST_00790"/>
    <n v="4"/>
    <n v="0"/>
    <n v="4460.21"/>
    <s v="No Discount"/>
  </r>
  <r>
    <s v="TXN_04342"/>
    <d v="2024-10-10T00:00:00"/>
    <x v="7"/>
    <s v="Thursday"/>
    <s v="STORE_015"/>
    <x v="3"/>
    <x v="5"/>
    <x v="34"/>
    <n v="2155.14"/>
    <n v="10"/>
    <n v="21551.4"/>
    <n v="0"/>
    <n v="0"/>
    <n v="21551.4"/>
    <s v="Cash"/>
    <s v="CUST_00106"/>
    <n v="1"/>
    <n v="0"/>
    <n v="2155.1400000000003"/>
    <s v="No Discount"/>
  </r>
  <r>
    <s v="TXN_04343"/>
    <d v="2024-10-03T00:00:00"/>
    <x v="7"/>
    <s v="Thursday"/>
    <s v="STORE_003"/>
    <x v="4"/>
    <x v="1"/>
    <x v="31"/>
    <n v="51.14"/>
    <n v="7"/>
    <n v="357.98"/>
    <n v="15"/>
    <n v="53.7"/>
    <n v="304.27999999999997"/>
    <s v="Debit Card"/>
    <s v="CUST_00381"/>
    <n v="5"/>
    <n v="53.700000000000045"/>
    <n v="43.468571428571423"/>
    <s v="Medium"/>
  </r>
  <r>
    <s v="TXN_04344"/>
    <d v="2024-05-15T00:00:00"/>
    <x v="3"/>
    <s v="Wednesday"/>
    <s v="STORE_028"/>
    <x v="4"/>
    <x v="3"/>
    <x v="21"/>
    <n v="1342.39"/>
    <n v="5"/>
    <n v="6711.95"/>
    <n v="15"/>
    <n v="1006.79"/>
    <n v="5705.16"/>
    <s v="Wallet"/>
    <s v="CUST_00952"/>
    <n v="2"/>
    <n v="1006.79"/>
    <n v="1141.0319999999999"/>
    <s v="Medium"/>
  </r>
  <r>
    <s v="TXN_04345"/>
    <d v="2024-12-04T00:00:00"/>
    <x v="6"/>
    <s v="Wednesday"/>
    <s v="STORE_022"/>
    <x v="3"/>
    <x v="7"/>
    <x v="37"/>
    <n v="831.65"/>
    <n v="4"/>
    <n v="3326.6"/>
    <n v="10"/>
    <n v="332.66"/>
    <n v="2993.94"/>
    <s v="UPI"/>
    <s v="CUST_00048"/>
    <n v="4"/>
    <n v="332.65999999999985"/>
    <n v="748.48500000000001"/>
    <s v="Medium"/>
  </r>
  <r>
    <s v="TXN_04346"/>
    <d v="2024-05-24T00:00:00"/>
    <x v="3"/>
    <s v="Friday"/>
    <s v="STORE_016"/>
    <x v="1"/>
    <x v="0"/>
    <x v="4"/>
    <n v="584.6"/>
    <n v="6"/>
    <n v="3507.6"/>
    <n v="10"/>
    <n v="350.76"/>
    <n v="3156.84"/>
    <s v="Cash"/>
    <s v="CUST_00298"/>
    <n v="4"/>
    <n v="350.75999999999976"/>
    <n v="526.14"/>
    <s v="Medium"/>
  </r>
  <r>
    <s v="TXN_04347"/>
    <d v="2024-06-01T00:00:00"/>
    <x v="10"/>
    <s v="Saturday"/>
    <s v="STORE_001"/>
    <x v="1"/>
    <x v="7"/>
    <x v="28"/>
    <n v="682.14"/>
    <n v="8"/>
    <n v="5457.12"/>
    <n v="5"/>
    <n v="272.86"/>
    <n v="5184.26"/>
    <s v="Debit Card"/>
    <s v="CUST_00041"/>
    <n v="3"/>
    <n v="272.85999999999967"/>
    <n v="648.03250000000003"/>
    <s v="Low"/>
  </r>
  <r>
    <s v="TXN_04348"/>
    <d v="2024-05-01T00:00:00"/>
    <x v="3"/>
    <s v="Wednesday"/>
    <s v="STORE_036"/>
    <x v="2"/>
    <x v="5"/>
    <x v="25"/>
    <n v="3753.78"/>
    <n v="9"/>
    <n v="33784.019999999997"/>
    <n v="15"/>
    <n v="5067.6000000000004"/>
    <n v="28716.42"/>
    <s v="Wallet"/>
    <s v="CUST_00027"/>
    <n v="5"/>
    <n v="5067.5999999999985"/>
    <n v="3190.7133333333331"/>
    <s v="Medium"/>
  </r>
  <r>
    <s v="TXN_04349"/>
    <d v="2024-02-19T00:00:00"/>
    <x v="1"/>
    <s v="Monday"/>
    <s v="STORE_033"/>
    <x v="1"/>
    <x v="4"/>
    <x v="35"/>
    <n v="387.87"/>
    <n v="3"/>
    <n v="1163.6099999999999"/>
    <n v="0"/>
    <n v="0"/>
    <n v="1163.6099999999999"/>
    <s v="Cash"/>
    <s v="CUST_00775"/>
    <n v="4"/>
    <n v="0"/>
    <n v="387.86999999999995"/>
    <s v="No Discount"/>
  </r>
  <r>
    <s v="TXN_04350"/>
    <d v="2024-01-26T00:00:00"/>
    <x v="2"/>
    <s v="Friday"/>
    <s v="STORE_019"/>
    <x v="2"/>
    <x v="4"/>
    <x v="19"/>
    <n v="433.18"/>
    <n v="1"/>
    <n v="433.18"/>
    <n v="10"/>
    <n v="43.32"/>
    <n v="389.86"/>
    <s v="Credit Card"/>
    <s v="CUST_00017"/>
    <n v="2"/>
    <n v="43.319999999999993"/>
    <n v="389.86"/>
    <s v="Medium"/>
  </r>
  <r>
    <s v="TXN_04351"/>
    <d v="2024-07-20T00:00:00"/>
    <x v="11"/>
    <s v="Saturday"/>
    <s v="STORE_016"/>
    <x v="2"/>
    <x v="2"/>
    <x v="2"/>
    <n v="358.89"/>
    <n v="8"/>
    <n v="2871.12"/>
    <n v="15"/>
    <n v="430.67"/>
    <n v="2440.4499999999998"/>
    <s v="Cash"/>
    <s v="CUST_00416"/>
    <n v="5"/>
    <n v="430.67000000000007"/>
    <n v="305.05624999999998"/>
    <s v="Medium"/>
  </r>
  <r>
    <s v="TXN_04352"/>
    <d v="2024-10-19T00:00:00"/>
    <x v="7"/>
    <s v="Saturday"/>
    <s v="STORE_022"/>
    <x v="1"/>
    <x v="0"/>
    <x v="18"/>
    <n v="618.4"/>
    <n v="2"/>
    <n v="1236.8"/>
    <n v="5"/>
    <n v="61.84"/>
    <n v="1174.96"/>
    <s v="Credit Card"/>
    <s v="CUST_00645"/>
    <n v="1"/>
    <n v="61.839999999999918"/>
    <n v="587.48"/>
    <s v="Low"/>
  </r>
  <r>
    <s v="TXN_04353"/>
    <d v="2024-10-08T00:00:00"/>
    <x v="7"/>
    <s v="Tuesday"/>
    <s v="STORE_043"/>
    <x v="1"/>
    <x v="0"/>
    <x v="4"/>
    <n v="271.47000000000003"/>
    <n v="5"/>
    <n v="1357.35"/>
    <n v="0"/>
    <n v="0"/>
    <n v="1357.35"/>
    <s v="Cash"/>
    <s v="CUST_00047"/>
    <n v="4"/>
    <n v="0"/>
    <n v="271.46999999999997"/>
    <s v="No Discount"/>
  </r>
  <r>
    <s v="TXN_04354"/>
    <d v="2024-09-08T00:00:00"/>
    <x v="9"/>
    <s v="Sunday"/>
    <s v="STORE_003"/>
    <x v="4"/>
    <x v="6"/>
    <x v="30"/>
    <n v="1807.52"/>
    <n v="5"/>
    <n v="9037.6"/>
    <n v="0"/>
    <n v="0"/>
    <n v="9037.6"/>
    <s v="Wallet"/>
    <s v="CUST_00602"/>
    <n v="3"/>
    <n v="0"/>
    <n v="1807.52"/>
    <s v="No Discount"/>
  </r>
  <r>
    <s v="TXN_04355"/>
    <d v="2024-03-19T00:00:00"/>
    <x v="5"/>
    <s v="Tuesday"/>
    <s v="STORE_044"/>
    <x v="2"/>
    <x v="5"/>
    <x v="11"/>
    <n v="3504.77"/>
    <n v="1"/>
    <n v="3504.77"/>
    <n v="5"/>
    <n v="175.24"/>
    <n v="3329.53"/>
    <s v="Wallet"/>
    <s v="CUST_00950"/>
    <n v="5"/>
    <n v="175.23999999999978"/>
    <n v="3329.53"/>
    <s v="Low"/>
  </r>
  <r>
    <s v="TXN_04356"/>
    <d v="2024-01-28T00:00:00"/>
    <x v="2"/>
    <s v="Sunday"/>
    <s v="STORE_028"/>
    <x v="1"/>
    <x v="0"/>
    <x v="32"/>
    <n v="685.59"/>
    <n v="5"/>
    <n v="3427.95"/>
    <n v="10"/>
    <n v="342.8"/>
    <n v="3085.15"/>
    <s v="Debit Card"/>
    <s v="CUST_00757"/>
    <n v="3"/>
    <n v="342.79999999999973"/>
    <n v="617.03"/>
    <s v="Medium"/>
  </r>
  <r>
    <s v="TXN_04357"/>
    <d v="2024-07-03T00:00:00"/>
    <x v="11"/>
    <s v="Wednesday"/>
    <s v="STORE_026"/>
    <x v="1"/>
    <x v="6"/>
    <x v="14"/>
    <n v="1682.77"/>
    <n v="7"/>
    <n v="11779.39"/>
    <n v="0"/>
    <n v="0"/>
    <n v="11779.39"/>
    <s v="Wallet"/>
    <s v="CUST_00499"/>
    <n v="2"/>
    <n v="0"/>
    <n v="1682.77"/>
    <s v="No Discount"/>
  </r>
  <r>
    <s v="TXN_04358"/>
    <d v="2024-01-02T00:00:00"/>
    <x v="2"/>
    <s v="Tuesday"/>
    <s v="STORE_032"/>
    <x v="2"/>
    <x v="5"/>
    <x v="11"/>
    <n v="2217.61"/>
    <n v="6"/>
    <n v="13305.66"/>
    <n v="20"/>
    <n v="2661.13"/>
    <n v="10644.53"/>
    <s v="Wallet"/>
    <s v="CUST_00537"/>
    <n v="1"/>
    <n v="2661.1299999999992"/>
    <n v="1774.0883333333334"/>
    <s v="High"/>
  </r>
  <r>
    <s v="TXN_04359"/>
    <d v="2024-08-06T00:00:00"/>
    <x v="8"/>
    <s v="Tuesday"/>
    <s v="STORE_018"/>
    <x v="4"/>
    <x v="3"/>
    <x v="12"/>
    <n v="1178.54"/>
    <n v="5"/>
    <n v="5892.7"/>
    <n v="20"/>
    <n v="1178.54"/>
    <n v="4714.16"/>
    <s v="Debit Card"/>
    <s v="CUST_00646"/>
    <n v="3"/>
    <n v="1178.54"/>
    <n v="942.83199999999999"/>
    <s v="High"/>
  </r>
  <r>
    <s v="TXN_04360"/>
    <d v="2024-02-14T00:00:00"/>
    <x v="1"/>
    <s v="Wednesday"/>
    <s v="STORE_017"/>
    <x v="1"/>
    <x v="0"/>
    <x v="4"/>
    <n v="761.88"/>
    <n v="10"/>
    <n v="7618.8"/>
    <n v="0"/>
    <n v="0"/>
    <n v="7618.8"/>
    <s v="Credit Card"/>
    <s v="CUST_00217"/>
    <n v="1"/>
    <n v="0"/>
    <n v="761.88"/>
    <s v="No Discount"/>
  </r>
  <r>
    <s v="TXN_04361"/>
    <d v="2024-05-30T00:00:00"/>
    <x v="3"/>
    <s v="Thursday"/>
    <s v="STORE_032"/>
    <x v="0"/>
    <x v="6"/>
    <x v="15"/>
    <n v="1552.21"/>
    <n v="9"/>
    <n v="13969.89"/>
    <n v="20"/>
    <n v="2793.98"/>
    <n v="11175.91"/>
    <s v="Wallet"/>
    <s v="CUST_00863"/>
    <n v="4"/>
    <n v="2793.9799999999996"/>
    <n v="1241.7677777777778"/>
    <s v="High"/>
  </r>
  <r>
    <s v="TXN_04362"/>
    <d v="2024-12-04T00:00:00"/>
    <x v="6"/>
    <s v="Wednesday"/>
    <s v="STORE_004"/>
    <x v="4"/>
    <x v="4"/>
    <x v="8"/>
    <n v="285.72000000000003"/>
    <n v="10"/>
    <n v="2857.2"/>
    <n v="5"/>
    <n v="142.86000000000001"/>
    <n v="2714.34"/>
    <s v="Credit Card"/>
    <s v="CUST_00594"/>
    <n v="4"/>
    <n v="142.85999999999967"/>
    <n v="271.43400000000003"/>
    <s v="Low"/>
  </r>
  <r>
    <s v="TXN_04363"/>
    <d v="2024-11-16T00:00:00"/>
    <x v="0"/>
    <s v="Saturday"/>
    <s v="STORE_026"/>
    <x v="3"/>
    <x v="1"/>
    <x v="31"/>
    <n v="83.08"/>
    <n v="1"/>
    <n v="83.08"/>
    <n v="10"/>
    <n v="8.31"/>
    <n v="74.77"/>
    <s v="Wallet"/>
    <s v="CUST_00983"/>
    <n v="1"/>
    <n v="8.3100000000000023"/>
    <n v="74.77"/>
    <s v="Medium"/>
  </r>
  <r>
    <s v="TXN_04364"/>
    <d v="2024-11-03T00:00:00"/>
    <x v="0"/>
    <s v="Sunday"/>
    <s v="STORE_025"/>
    <x v="4"/>
    <x v="7"/>
    <x v="38"/>
    <n v="1371.98"/>
    <n v="4"/>
    <n v="5487.92"/>
    <n v="20"/>
    <n v="1097.58"/>
    <n v="4390.34"/>
    <s v="Wallet"/>
    <s v="CUST_00112"/>
    <n v="3"/>
    <n v="1097.58"/>
    <n v="1097.585"/>
    <s v="High"/>
  </r>
  <r>
    <s v="TXN_04365"/>
    <d v="2024-09-02T00:00:00"/>
    <x v="9"/>
    <s v="Monday"/>
    <s v="STORE_021"/>
    <x v="1"/>
    <x v="5"/>
    <x v="10"/>
    <n v="1383.72"/>
    <n v="1"/>
    <n v="1383.72"/>
    <n v="0"/>
    <n v="0"/>
    <n v="1383.72"/>
    <s v="UPI"/>
    <s v="CUST_00950"/>
    <n v="3"/>
    <n v="0"/>
    <n v="1383.72"/>
    <s v="No Discount"/>
  </r>
  <r>
    <s v="TXN_04366"/>
    <d v="2024-04-12T00:00:00"/>
    <x v="4"/>
    <s v="Friday"/>
    <s v="STORE_010"/>
    <x v="1"/>
    <x v="0"/>
    <x v="4"/>
    <n v="996.26"/>
    <n v="6"/>
    <n v="5977.56"/>
    <n v="5"/>
    <n v="298.88"/>
    <n v="5678.68"/>
    <s v="Debit Card"/>
    <s v="CUST_00225"/>
    <n v="1"/>
    <n v="298.88000000000011"/>
    <n v="946.44666666666672"/>
    <s v="Low"/>
  </r>
  <r>
    <s v="TXN_04367"/>
    <d v="2024-02-19T00:00:00"/>
    <x v="1"/>
    <s v="Monday"/>
    <s v="STORE_026"/>
    <x v="0"/>
    <x v="0"/>
    <x v="18"/>
    <n v="301.77999999999997"/>
    <n v="7"/>
    <n v="2112.46"/>
    <n v="10"/>
    <n v="211.25"/>
    <n v="1901.21"/>
    <s v="Wallet"/>
    <s v="CUST_00789"/>
    <n v="4"/>
    <n v="211.25"/>
    <n v="271.60142857142858"/>
    <s v="Medium"/>
  </r>
  <r>
    <s v="TXN_04368"/>
    <d v="2024-01-14T00:00:00"/>
    <x v="2"/>
    <s v="Sunday"/>
    <s v="STORE_032"/>
    <x v="1"/>
    <x v="5"/>
    <x v="10"/>
    <n v="2418.62"/>
    <n v="8"/>
    <n v="19348.96"/>
    <n v="20"/>
    <n v="3869.79"/>
    <n v="15479.17"/>
    <s v="Wallet"/>
    <s v="CUST_00373"/>
    <n v="3"/>
    <n v="3869.7899999999991"/>
    <n v="1934.89625"/>
    <s v="High"/>
  </r>
  <r>
    <s v="TXN_04369"/>
    <d v="2024-04-15T00:00:00"/>
    <x v="4"/>
    <s v="Monday"/>
    <s v="STORE_029"/>
    <x v="2"/>
    <x v="6"/>
    <x v="26"/>
    <n v="589.89"/>
    <n v="10"/>
    <n v="5898.9"/>
    <n v="15"/>
    <n v="884.83"/>
    <n v="5014.07"/>
    <s v="Wallet"/>
    <s v="CUST_00478"/>
    <n v="5"/>
    <n v="884.82999999999993"/>
    <n v="501.40699999999998"/>
    <s v="Medium"/>
  </r>
  <r>
    <s v="TXN_04370"/>
    <d v="2024-03-28T00:00:00"/>
    <x v="5"/>
    <s v="Thursday"/>
    <s v="STORE_028"/>
    <x v="2"/>
    <x v="3"/>
    <x v="12"/>
    <n v="450.74"/>
    <n v="6"/>
    <n v="2704.44"/>
    <n v="20"/>
    <n v="540.89"/>
    <n v="2163.5500000000002"/>
    <s v="UPI"/>
    <s v="CUST_00916"/>
    <n v="1"/>
    <n v="540.88999999999987"/>
    <n v="360.5916666666667"/>
    <s v="High"/>
  </r>
  <r>
    <s v="TXN_04371"/>
    <d v="2024-11-22T00:00:00"/>
    <x v="0"/>
    <s v="Friday"/>
    <s v="STORE_006"/>
    <x v="3"/>
    <x v="2"/>
    <x v="29"/>
    <n v="367.86"/>
    <n v="2"/>
    <n v="735.72"/>
    <n v="0"/>
    <n v="0"/>
    <n v="735.72"/>
    <s v="Cash"/>
    <s v="CUST_00341"/>
    <n v="4"/>
    <n v="0"/>
    <n v="367.86"/>
    <s v="No Discount"/>
  </r>
  <r>
    <s v="TXN_04372"/>
    <d v="2024-05-29T00:00:00"/>
    <x v="3"/>
    <s v="Wednesday"/>
    <s v="STORE_017"/>
    <x v="1"/>
    <x v="6"/>
    <x v="15"/>
    <n v="893.74"/>
    <n v="2"/>
    <n v="1787.48"/>
    <n v="0"/>
    <n v="0"/>
    <n v="1787.48"/>
    <s v="Debit Card"/>
    <s v="CUST_00992"/>
    <n v="4"/>
    <n v="0"/>
    <n v="893.74"/>
    <s v="No Discount"/>
  </r>
  <r>
    <s v="TXN_04373"/>
    <d v="2024-02-11T00:00:00"/>
    <x v="1"/>
    <s v="Sunday"/>
    <s v="STORE_019"/>
    <x v="1"/>
    <x v="4"/>
    <x v="17"/>
    <n v="482.94"/>
    <n v="3"/>
    <n v="1448.82"/>
    <n v="10"/>
    <n v="144.88"/>
    <n v="1303.94"/>
    <s v="UPI"/>
    <s v="CUST_00264"/>
    <n v="5"/>
    <n v="144.87999999999988"/>
    <n v="434.6466666666667"/>
    <s v="Medium"/>
  </r>
  <r>
    <s v="TXN_04374"/>
    <d v="2024-08-30T00:00:00"/>
    <x v="8"/>
    <s v="Friday"/>
    <s v="STORE_036"/>
    <x v="2"/>
    <x v="7"/>
    <x v="23"/>
    <n v="1257.79"/>
    <n v="2"/>
    <n v="2515.58"/>
    <n v="20"/>
    <n v="503.12"/>
    <n v="2012.46"/>
    <s v="Debit Card"/>
    <s v="CUST_00261"/>
    <n v="4"/>
    <n v="503.11999999999989"/>
    <n v="1006.23"/>
    <s v="High"/>
  </r>
  <r>
    <s v="TXN_04375"/>
    <d v="2024-02-29T00:00:00"/>
    <x v="1"/>
    <s v="Thursday"/>
    <s v="STORE_029"/>
    <x v="0"/>
    <x v="1"/>
    <x v="1"/>
    <n v="110.77"/>
    <n v="10"/>
    <n v="1107.7"/>
    <n v="0"/>
    <n v="0"/>
    <n v="1107.7"/>
    <s v="Wallet"/>
    <s v="CUST_00609"/>
    <n v="2"/>
    <n v="0"/>
    <n v="110.77000000000001"/>
    <s v="No Discount"/>
  </r>
  <r>
    <s v="TXN_04376"/>
    <d v="2024-06-06T00:00:00"/>
    <x v="10"/>
    <s v="Thursday"/>
    <s v="STORE_001"/>
    <x v="3"/>
    <x v="0"/>
    <x v="32"/>
    <n v="788.75"/>
    <n v="5"/>
    <n v="3943.75"/>
    <n v="0"/>
    <n v="0"/>
    <n v="3943.75"/>
    <s v="UPI"/>
    <s v="CUST_00289"/>
    <n v="4"/>
    <n v="0"/>
    <n v="788.75"/>
    <s v="No Discount"/>
  </r>
  <r>
    <s v="TXN_04377"/>
    <d v="2024-07-22T00:00:00"/>
    <x v="11"/>
    <s v="Monday"/>
    <s v="STORE_045"/>
    <x v="2"/>
    <x v="7"/>
    <x v="24"/>
    <n v="823.87"/>
    <n v="5"/>
    <n v="4119.3500000000004"/>
    <n v="0"/>
    <n v="0"/>
    <n v="4119.3500000000004"/>
    <s v="Debit Card"/>
    <s v="CUST_00195"/>
    <n v="4"/>
    <n v="0"/>
    <n v="823.87000000000012"/>
    <s v="No Discount"/>
  </r>
  <r>
    <s v="TXN_04378"/>
    <d v="2024-08-29T00:00:00"/>
    <x v="8"/>
    <s v="Thursday"/>
    <s v="STORE_006"/>
    <x v="4"/>
    <x v="4"/>
    <x v="20"/>
    <n v="277.08999999999997"/>
    <n v="6"/>
    <n v="1662.54"/>
    <n v="0"/>
    <n v="0"/>
    <n v="1662.54"/>
    <s v="Cash"/>
    <s v="CUST_00203"/>
    <n v="4"/>
    <n v="0"/>
    <n v="277.08999999999997"/>
    <s v="No Discount"/>
  </r>
  <r>
    <s v="TXN_04379"/>
    <d v="2024-09-07T00:00:00"/>
    <x v="9"/>
    <s v="Saturday"/>
    <s v="STORE_008"/>
    <x v="1"/>
    <x v="5"/>
    <x v="9"/>
    <n v="3879.49"/>
    <n v="2"/>
    <n v="7758.98"/>
    <n v="0"/>
    <n v="0"/>
    <n v="7758.98"/>
    <s v="Wallet"/>
    <s v="CUST_00353"/>
    <n v="3"/>
    <n v="0"/>
    <n v="3879.49"/>
    <s v="No Discount"/>
  </r>
  <r>
    <s v="TXN_04380"/>
    <d v="2024-12-04T00:00:00"/>
    <x v="6"/>
    <s v="Wednesday"/>
    <s v="STORE_050"/>
    <x v="0"/>
    <x v="7"/>
    <x v="28"/>
    <n v="990.77"/>
    <n v="6"/>
    <n v="5944.62"/>
    <n v="0"/>
    <n v="0"/>
    <n v="5944.62"/>
    <s v="Debit Card"/>
    <s v="CUST_00888"/>
    <n v="3"/>
    <n v="0"/>
    <n v="990.77"/>
    <s v="No Discount"/>
  </r>
  <r>
    <s v="TXN_04381"/>
    <d v="2024-05-15T00:00:00"/>
    <x v="3"/>
    <s v="Wednesday"/>
    <s v="STORE_033"/>
    <x v="1"/>
    <x v="1"/>
    <x v="6"/>
    <n v="52.98"/>
    <n v="7"/>
    <n v="370.86"/>
    <n v="10"/>
    <n v="37.090000000000003"/>
    <n v="333.77"/>
    <s v="Wallet"/>
    <s v="CUST_00663"/>
    <n v="1"/>
    <n v="37.090000000000032"/>
    <n v="47.681428571428569"/>
    <s v="Medium"/>
  </r>
  <r>
    <s v="TXN_04382"/>
    <d v="2024-02-16T00:00:00"/>
    <x v="1"/>
    <s v="Friday"/>
    <s v="STORE_013"/>
    <x v="0"/>
    <x v="5"/>
    <x v="34"/>
    <n v="2754.41"/>
    <n v="8"/>
    <n v="22035.279999999999"/>
    <n v="0"/>
    <n v="0"/>
    <n v="22035.279999999999"/>
    <s v="Debit Card"/>
    <s v="CUST_00315"/>
    <n v="4"/>
    <n v="0"/>
    <n v="2754.41"/>
    <s v="No Discount"/>
  </r>
  <r>
    <s v="TXN_04383"/>
    <d v="2024-11-24T00:00:00"/>
    <x v="0"/>
    <s v="Sunday"/>
    <s v="STORE_047"/>
    <x v="0"/>
    <x v="6"/>
    <x v="14"/>
    <n v="1484.86"/>
    <n v="4"/>
    <n v="5939.44"/>
    <n v="5"/>
    <n v="296.97000000000003"/>
    <n v="5642.47"/>
    <s v="Wallet"/>
    <s v="CUST_00156"/>
    <n v="1"/>
    <n v="296.96999999999935"/>
    <n v="1410.6175000000001"/>
    <s v="Low"/>
  </r>
  <r>
    <s v="TXN_04384"/>
    <d v="2024-10-05T00:00:00"/>
    <x v="7"/>
    <s v="Saturday"/>
    <s v="STORE_009"/>
    <x v="3"/>
    <x v="0"/>
    <x v="4"/>
    <n v="326.69"/>
    <n v="4"/>
    <n v="1306.76"/>
    <n v="0"/>
    <n v="0"/>
    <n v="1306.76"/>
    <s v="Debit Card"/>
    <s v="CUST_00458"/>
    <n v="4"/>
    <n v="0"/>
    <n v="326.69"/>
    <s v="No Discount"/>
  </r>
  <r>
    <s v="TXN_04385"/>
    <d v="2024-07-17T00:00:00"/>
    <x v="11"/>
    <s v="Wednesday"/>
    <s v="STORE_008"/>
    <x v="4"/>
    <x v="0"/>
    <x v="4"/>
    <n v="433.14"/>
    <n v="10"/>
    <n v="4331.3999999999996"/>
    <n v="0"/>
    <n v="0"/>
    <n v="4331.3999999999996"/>
    <s v="Wallet"/>
    <s v="CUST_00650"/>
    <n v="5"/>
    <n v="0"/>
    <n v="433.14"/>
    <s v="No Discount"/>
  </r>
  <r>
    <s v="TXN_04386"/>
    <d v="2024-04-04T00:00:00"/>
    <x v="4"/>
    <s v="Thursday"/>
    <s v="STORE_038"/>
    <x v="0"/>
    <x v="2"/>
    <x v="13"/>
    <n v="476.2"/>
    <n v="8"/>
    <n v="3809.6"/>
    <n v="15"/>
    <n v="571.44000000000005"/>
    <n v="3238.16"/>
    <s v="UPI"/>
    <s v="CUST_01000"/>
    <n v="3"/>
    <n v="571.44000000000005"/>
    <n v="404.77"/>
    <s v="Medium"/>
  </r>
  <r>
    <s v="TXN_04387"/>
    <d v="2024-07-08T00:00:00"/>
    <x v="11"/>
    <s v="Monday"/>
    <s v="STORE_027"/>
    <x v="3"/>
    <x v="2"/>
    <x v="39"/>
    <n v="524.97"/>
    <n v="4"/>
    <n v="2099.88"/>
    <n v="20"/>
    <n v="419.98"/>
    <n v="1679.9"/>
    <s v="Credit Card"/>
    <s v="CUST_00355"/>
    <n v="2"/>
    <n v="419.98"/>
    <n v="419.97500000000002"/>
    <s v="High"/>
  </r>
  <r>
    <s v="TXN_04388"/>
    <d v="2024-07-14T00:00:00"/>
    <x v="11"/>
    <s v="Sunday"/>
    <s v="STORE_046"/>
    <x v="4"/>
    <x v="1"/>
    <x v="31"/>
    <n v="494.69"/>
    <n v="7"/>
    <n v="3462.83"/>
    <n v="5"/>
    <n v="173.14"/>
    <n v="3289.69"/>
    <s v="Wallet"/>
    <s v="CUST_00988"/>
    <n v="3"/>
    <n v="173.13999999999987"/>
    <n v="469.95571428571429"/>
    <s v="Low"/>
  </r>
  <r>
    <s v="TXN_04389"/>
    <d v="2024-07-08T00:00:00"/>
    <x v="11"/>
    <s v="Monday"/>
    <s v="STORE_049"/>
    <x v="0"/>
    <x v="6"/>
    <x v="15"/>
    <n v="844.86"/>
    <n v="7"/>
    <n v="5914.02"/>
    <n v="5"/>
    <n v="295.7"/>
    <n v="5618.32"/>
    <s v="Wallet"/>
    <s v="CUST_00033"/>
    <n v="2"/>
    <n v="295.70000000000073"/>
    <n v="802.61714285714277"/>
    <s v="Low"/>
  </r>
  <r>
    <s v="TXN_04390"/>
    <d v="2024-04-05T00:00:00"/>
    <x v="4"/>
    <s v="Friday"/>
    <s v="STORE_029"/>
    <x v="4"/>
    <x v="3"/>
    <x v="21"/>
    <n v="1311.13"/>
    <n v="4"/>
    <n v="5244.52"/>
    <n v="20"/>
    <n v="1048.9000000000001"/>
    <n v="4195.62"/>
    <s v="Credit Card"/>
    <s v="CUST_00016"/>
    <n v="4"/>
    <n v="1048.9000000000005"/>
    <n v="1048.905"/>
    <s v="High"/>
  </r>
  <r>
    <s v="TXN_04391"/>
    <d v="2024-08-16T00:00:00"/>
    <x v="8"/>
    <s v="Friday"/>
    <s v="STORE_013"/>
    <x v="0"/>
    <x v="4"/>
    <x v="20"/>
    <n v="286.08"/>
    <n v="4"/>
    <n v="1144.32"/>
    <n v="10"/>
    <n v="114.43"/>
    <n v="1029.8900000000001"/>
    <s v="Wallet"/>
    <s v="CUST_00105"/>
    <n v="2"/>
    <n v="114.42999999999984"/>
    <n v="257.47250000000003"/>
    <s v="Medium"/>
  </r>
  <r>
    <s v="TXN_04392"/>
    <d v="2024-01-23T00:00:00"/>
    <x v="2"/>
    <s v="Tuesday"/>
    <s v="STORE_035"/>
    <x v="2"/>
    <x v="4"/>
    <x v="8"/>
    <n v="380.44"/>
    <n v="2"/>
    <n v="760.88"/>
    <n v="5"/>
    <n v="38.04"/>
    <n v="722.84"/>
    <s v="UPI"/>
    <s v="CUST_00162"/>
    <n v="3"/>
    <n v="38.039999999999964"/>
    <n v="361.42"/>
    <s v="Low"/>
  </r>
  <r>
    <s v="TXN_04393"/>
    <d v="2024-05-14T00:00:00"/>
    <x v="3"/>
    <s v="Tuesday"/>
    <s v="STORE_015"/>
    <x v="4"/>
    <x v="3"/>
    <x v="5"/>
    <n v="578.48"/>
    <n v="1"/>
    <n v="578.48"/>
    <n v="20"/>
    <n v="115.7"/>
    <n v="462.78"/>
    <s v="Credit Card"/>
    <s v="CUST_00542"/>
    <n v="5"/>
    <n v="115.70000000000005"/>
    <n v="462.78"/>
    <s v="High"/>
  </r>
  <r>
    <s v="TXN_04394"/>
    <d v="2024-08-13T00:00:00"/>
    <x v="8"/>
    <s v="Tuesday"/>
    <s v="STORE_031"/>
    <x v="4"/>
    <x v="4"/>
    <x v="20"/>
    <n v="182.38"/>
    <n v="6"/>
    <n v="1094.28"/>
    <n v="0"/>
    <n v="0"/>
    <n v="1094.28"/>
    <s v="Debit Card"/>
    <s v="CUST_00931"/>
    <n v="5"/>
    <n v="0"/>
    <n v="182.38"/>
    <s v="No Discount"/>
  </r>
  <r>
    <s v="TXN_04395"/>
    <d v="2024-08-26T00:00:00"/>
    <x v="8"/>
    <s v="Monday"/>
    <s v="STORE_038"/>
    <x v="2"/>
    <x v="7"/>
    <x v="24"/>
    <n v="881.62"/>
    <n v="5"/>
    <n v="4408.1000000000004"/>
    <n v="20"/>
    <n v="881.62"/>
    <n v="3526.48"/>
    <s v="Credit Card"/>
    <s v="CUST_00023"/>
    <n v="3"/>
    <n v="881.62000000000035"/>
    <n v="705.29600000000005"/>
    <s v="High"/>
  </r>
  <r>
    <s v="TXN_04396"/>
    <d v="2024-05-14T00:00:00"/>
    <x v="3"/>
    <s v="Tuesday"/>
    <s v="STORE_046"/>
    <x v="3"/>
    <x v="0"/>
    <x v="4"/>
    <n v="209.85"/>
    <n v="7"/>
    <n v="1468.95"/>
    <n v="20"/>
    <n v="293.79000000000002"/>
    <n v="1175.1600000000001"/>
    <s v="Debit Card"/>
    <s v="CUST_00362"/>
    <n v="2"/>
    <n v="293.78999999999996"/>
    <n v="167.88000000000002"/>
    <s v="High"/>
  </r>
  <r>
    <s v="TXN_04397"/>
    <d v="2024-04-25T00:00:00"/>
    <x v="4"/>
    <s v="Thursday"/>
    <s v="STORE_020"/>
    <x v="3"/>
    <x v="6"/>
    <x v="15"/>
    <n v="1095.77"/>
    <n v="3"/>
    <n v="3287.31"/>
    <n v="5"/>
    <n v="164.37"/>
    <n v="3122.94"/>
    <s v="Debit Card"/>
    <s v="CUST_00566"/>
    <n v="2"/>
    <n v="164.36999999999989"/>
    <n v="1040.98"/>
    <s v="Low"/>
  </r>
  <r>
    <s v="TXN_04398"/>
    <d v="2024-05-17T00:00:00"/>
    <x v="3"/>
    <s v="Friday"/>
    <s v="STORE_028"/>
    <x v="2"/>
    <x v="5"/>
    <x v="11"/>
    <n v="4732.3999999999996"/>
    <n v="6"/>
    <n v="28394.400000000001"/>
    <n v="0"/>
    <n v="0"/>
    <n v="28394.400000000001"/>
    <s v="Wallet"/>
    <s v="CUST_00966"/>
    <n v="2"/>
    <n v="0"/>
    <n v="4732.4000000000005"/>
    <s v="No Discount"/>
  </r>
  <r>
    <s v="TXN_04399"/>
    <d v="2024-10-15T00:00:00"/>
    <x v="7"/>
    <s v="Tuesday"/>
    <s v="STORE_034"/>
    <x v="1"/>
    <x v="3"/>
    <x v="22"/>
    <n v="320.70999999999998"/>
    <n v="7"/>
    <n v="2244.9699999999998"/>
    <n v="0"/>
    <n v="0"/>
    <n v="2244.9699999999998"/>
    <s v="Credit Card"/>
    <s v="CUST_00034"/>
    <n v="1"/>
    <n v="0"/>
    <n v="320.70999999999998"/>
    <s v="No Discount"/>
  </r>
  <r>
    <s v="TXN_04400"/>
    <d v="2024-02-01T00:00:00"/>
    <x v="1"/>
    <s v="Thursday"/>
    <s v="STORE_026"/>
    <x v="0"/>
    <x v="7"/>
    <x v="24"/>
    <n v="1339.74"/>
    <n v="10"/>
    <n v="13397.4"/>
    <n v="10"/>
    <n v="1339.74"/>
    <n v="12057.66"/>
    <s v="UPI"/>
    <s v="CUST_00727"/>
    <n v="1"/>
    <n v="1339.7399999999998"/>
    <n v="1205.7660000000001"/>
    <s v="Medium"/>
  </r>
  <r>
    <s v="TXN_04401"/>
    <d v="2024-03-18T00:00:00"/>
    <x v="5"/>
    <s v="Monday"/>
    <s v="STORE_028"/>
    <x v="4"/>
    <x v="7"/>
    <x v="28"/>
    <n v="977.2"/>
    <n v="10"/>
    <n v="9772"/>
    <n v="5"/>
    <n v="488.6"/>
    <n v="9283.4"/>
    <s v="Cash"/>
    <s v="CUST_00406"/>
    <n v="2"/>
    <n v="488.60000000000036"/>
    <n v="928.33999999999992"/>
    <s v="Low"/>
  </r>
  <r>
    <s v="TXN_04402"/>
    <d v="2024-12-22T00:00:00"/>
    <x v="6"/>
    <s v="Sunday"/>
    <s v="STORE_006"/>
    <x v="3"/>
    <x v="0"/>
    <x v="32"/>
    <n v="239.69"/>
    <n v="9"/>
    <n v="2157.21"/>
    <n v="0"/>
    <n v="0"/>
    <n v="2157.21"/>
    <s v="UPI"/>
    <s v="CUST_00571"/>
    <n v="5"/>
    <n v="0"/>
    <n v="239.69"/>
    <s v="No Discount"/>
  </r>
  <r>
    <s v="TXN_04403"/>
    <d v="2024-12-07T00:00:00"/>
    <x v="6"/>
    <s v="Saturday"/>
    <s v="STORE_004"/>
    <x v="4"/>
    <x v="5"/>
    <x v="34"/>
    <n v="2163.64"/>
    <n v="8"/>
    <n v="17309.12"/>
    <n v="0"/>
    <n v="0"/>
    <n v="17309.12"/>
    <s v="UPI"/>
    <s v="CUST_00703"/>
    <n v="2"/>
    <n v="0"/>
    <n v="2163.64"/>
    <s v="No Discount"/>
  </r>
  <r>
    <s v="TXN_04404"/>
    <d v="2024-02-19T00:00:00"/>
    <x v="1"/>
    <s v="Monday"/>
    <s v="STORE_040"/>
    <x v="2"/>
    <x v="1"/>
    <x v="36"/>
    <n v="465.59"/>
    <n v="4"/>
    <n v="1862.36"/>
    <n v="10"/>
    <n v="186.24"/>
    <n v="1676.12"/>
    <s v="Credit Card"/>
    <s v="CUST_00618"/>
    <n v="2"/>
    <n v="186.24"/>
    <n v="419.03"/>
    <s v="Medium"/>
  </r>
  <r>
    <s v="TXN_04405"/>
    <d v="2024-02-13T00:00:00"/>
    <x v="1"/>
    <s v="Tuesday"/>
    <s v="STORE_026"/>
    <x v="2"/>
    <x v="5"/>
    <x v="34"/>
    <n v="4653.6400000000003"/>
    <n v="6"/>
    <n v="27921.84"/>
    <n v="20"/>
    <n v="5584.37"/>
    <n v="22337.47"/>
    <s v="UPI"/>
    <s v="CUST_00494"/>
    <n v="2"/>
    <n v="5584.369999999999"/>
    <n v="3722.9116666666669"/>
    <s v="High"/>
  </r>
  <r>
    <s v="TXN_04406"/>
    <d v="2024-12-08T00:00:00"/>
    <x v="6"/>
    <s v="Sunday"/>
    <s v="STORE_021"/>
    <x v="3"/>
    <x v="6"/>
    <x v="14"/>
    <n v="1977.42"/>
    <n v="5"/>
    <n v="9887.1"/>
    <n v="5"/>
    <n v="494.36"/>
    <n v="9392.74"/>
    <s v="Cash"/>
    <s v="CUST_00639"/>
    <n v="5"/>
    <n v="494.36000000000058"/>
    <n v="1878.548"/>
    <s v="Low"/>
  </r>
  <r>
    <s v="TXN_04407"/>
    <d v="2024-06-25T00:00:00"/>
    <x v="10"/>
    <s v="Tuesday"/>
    <s v="STORE_022"/>
    <x v="0"/>
    <x v="5"/>
    <x v="34"/>
    <n v="1924.15"/>
    <n v="8"/>
    <n v="15393.2"/>
    <n v="0"/>
    <n v="0"/>
    <n v="15393.2"/>
    <s v="Wallet"/>
    <s v="CUST_00157"/>
    <n v="1"/>
    <n v="0"/>
    <n v="1924.15"/>
    <s v="No Discount"/>
  </r>
  <r>
    <s v="TXN_04408"/>
    <d v="2024-10-04T00:00:00"/>
    <x v="7"/>
    <s v="Friday"/>
    <s v="STORE_017"/>
    <x v="2"/>
    <x v="3"/>
    <x v="12"/>
    <n v="578.52"/>
    <n v="8"/>
    <n v="4628.16"/>
    <n v="15"/>
    <n v="694.22"/>
    <n v="3933.94"/>
    <s v="Debit Card"/>
    <s v="CUST_00115"/>
    <n v="3"/>
    <n v="694.2199999999998"/>
    <n v="491.74250000000001"/>
    <s v="Medium"/>
  </r>
  <r>
    <s v="TXN_04409"/>
    <d v="2024-07-30T00:00:00"/>
    <x v="11"/>
    <s v="Tuesday"/>
    <s v="STORE_050"/>
    <x v="1"/>
    <x v="2"/>
    <x v="7"/>
    <n v="569.54"/>
    <n v="4"/>
    <n v="2278.16"/>
    <n v="10"/>
    <n v="227.82"/>
    <n v="2050.34"/>
    <s v="Cash"/>
    <s v="CUST_00299"/>
    <n v="4"/>
    <n v="227.81999999999971"/>
    <n v="512.58500000000004"/>
    <s v="Medium"/>
  </r>
  <r>
    <s v="TXN_04410"/>
    <d v="2024-10-28T00:00:00"/>
    <x v="7"/>
    <s v="Monday"/>
    <s v="STORE_039"/>
    <x v="1"/>
    <x v="3"/>
    <x v="21"/>
    <n v="1616.41"/>
    <n v="7"/>
    <n v="11314.87"/>
    <n v="20"/>
    <n v="2262.9699999999998"/>
    <n v="9051.9"/>
    <s v="Cash"/>
    <s v="CUST_00466"/>
    <n v="3"/>
    <n v="2262.9700000000012"/>
    <n v="1293.1285714285714"/>
    <s v="High"/>
  </r>
  <r>
    <s v="TXN_04411"/>
    <d v="2024-04-26T00:00:00"/>
    <x v="4"/>
    <s v="Friday"/>
    <s v="STORE_014"/>
    <x v="3"/>
    <x v="6"/>
    <x v="30"/>
    <n v="1213.33"/>
    <n v="10"/>
    <n v="12133.3"/>
    <n v="0"/>
    <n v="0"/>
    <n v="12133.3"/>
    <s v="Cash"/>
    <s v="CUST_00421"/>
    <n v="4"/>
    <n v="0"/>
    <n v="1213.33"/>
    <s v="No Discount"/>
  </r>
  <r>
    <s v="TXN_04412"/>
    <d v="2024-10-10T00:00:00"/>
    <x v="7"/>
    <s v="Thursday"/>
    <s v="STORE_018"/>
    <x v="1"/>
    <x v="3"/>
    <x v="5"/>
    <n v="2558.36"/>
    <n v="6"/>
    <n v="15350.16"/>
    <n v="15"/>
    <n v="2302.52"/>
    <n v="13047.64"/>
    <s v="Cash"/>
    <s v="CUST_00558"/>
    <n v="1"/>
    <n v="2302.5200000000004"/>
    <n v="2174.6066666666666"/>
    <s v="Medium"/>
  </r>
  <r>
    <s v="TXN_04413"/>
    <d v="2024-02-01T00:00:00"/>
    <x v="1"/>
    <s v="Thursday"/>
    <s v="STORE_003"/>
    <x v="4"/>
    <x v="3"/>
    <x v="16"/>
    <n v="1579.95"/>
    <n v="1"/>
    <n v="1579.95"/>
    <n v="0"/>
    <n v="0"/>
    <n v="1579.95"/>
    <s v="UPI"/>
    <s v="CUST_00596"/>
    <n v="4"/>
    <n v="0"/>
    <n v="1579.95"/>
    <s v="No Discount"/>
  </r>
  <r>
    <s v="TXN_04414"/>
    <d v="2024-07-17T00:00:00"/>
    <x v="11"/>
    <s v="Wednesday"/>
    <s v="STORE_050"/>
    <x v="1"/>
    <x v="6"/>
    <x v="14"/>
    <n v="673.35"/>
    <n v="3"/>
    <n v="2020.05"/>
    <n v="0"/>
    <n v="0"/>
    <n v="2020.05"/>
    <s v="Credit Card"/>
    <s v="CUST_00602"/>
    <n v="2"/>
    <n v="0"/>
    <n v="673.35"/>
    <s v="No Discount"/>
  </r>
  <r>
    <s v="TXN_04415"/>
    <d v="2024-09-24T00:00:00"/>
    <x v="9"/>
    <s v="Tuesday"/>
    <s v="STORE_038"/>
    <x v="3"/>
    <x v="6"/>
    <x v="15"/>
    <n v="789.42"/>
    <n v="4"/>
    <n v="3157.68"/>
    <n v="0"/>
    <n v="0"/>
    <n v="3157.68"/>
    <s v="Cash"/>
    <s v="CUST_00271"/>
    <n v="4"/>
    <n v="0"/>
    <n v="789.42"/>
    <s v="No Discount"/>
  </r>
  <r>
    <s v="TXN_04416"/>
    <d v="2024-08-02T00:00:00"/>
    <x v="8"/>
    <s v="Friday"/>
    <s v="STORE_040"/>
    <x v="0"/>
    <x v="6"/>
    <x v="30"/>
    <n v="573.14"/>
    <n v="5"/>
    <n v="2865.7"/>
    <n v="5"/>
    <n v="143.28"/>
    <n v="2722.42"/>
    <s v="Credit Card"/>
    <s v="CUST_00944"/>
    <n v="1"/>
    <n v="143.27999999999975"/>
    <n v="544.48400000000004"/>
    <s v="Low"/>
  </r>
  <r>
    <s v="TXN_04417"/>
    <d v="2024-10-01T00:00:00"/>
    <x v="7"/>
    <s v="Tuesday"/>
    <s v="STORE_004"/>
    <x v="4"/>
    <x v="3"/>
    <x v="22"/>
    <n v="719.66"/>
    <n v="7"/>
    <n v="5037.62"/>
    <n v="0"/>
    <n v="0"/>
    <n v="5037.62"/>
    <s v="Debit Card"/>
    <s v="CUST_00213"/>
    <n v="4"/>
    <n v="0"/>
    <n v="719.66"/>
    <s v="No Discount"/>
  </r>
  <r>
    <s v="TXN_04418"/>
    <d v="2024-12-17T00:00:00"/>
    <x v="6"/>
    <s v="Tuesday"/>
    <s v="STORE_015"/>
    <x v="0"/>
    <x v="7"/>
    <x v="37"/>
    <n v="1191.8900000000001"/>
    <n v="3"/>
    <n v="3575.67"/>
    <n v="20"/>
    <n v="715.13"/>
    <n v="2860.54"/>
    <s v="UPI"/>
    <s v="CUST_00120"/>
    <n v="4"/>
    <n v="715.13000000000011"/>
    <n v="953.51333333333332"/>
    <s v="High"/>
  </r>
  <r>
    <s v="TXN_04419"/>
    <d v="2024-08-31T00:00:00"/>
    <x v="8"/>
    <s v="Saturday"/>
    <s v="STORE_001"/>
    <x v="2"/>
    <x v="0"/>
    <x v="18"/>
    <n v="434.27"/>
    <n v="9"/>
    <n v="3908.43"/>
    <n v="0"/>
    <n v="0"/>
    <n v="3908.43"/>
    <s v="Debit Card"/>
    <s v="CUST_00487"/>
    <n v="1"/>
    <n v="0"/>
    <n v="434.27"/>
    <s v="No Discount"/>
  </r>
  <r>
    <s v="TXN_04420"/>
    <d v="2024-10-20T00:00:00"/>
    <x v="7"/>
    <s v="Sunday"/>
    <s v="STORE_048"/>
    <x v="1"/>
    <x v="7"/>
    <x v="37"/>
    <n v="445.29"/>
    <n v="10"/>
    <n v="4452.8999999999996"/>
    <n v="0"/>
    <n v="0"/>
    <n v="4452.8999999999996"/>
    <s v="Cash"/>
    <s v="CUST_00048"/>
    <n v="4"/>
    <n v="0"/>
    <n v="445.28999999999996"/>
    <s v="No Discount"/>
  </r>
  <r>
    <s v="TXN_04421"/>
    <d v="2024-04-30T00:00:00"/>
    <x v="4"/>
    <s v="Tuesday"/>
    <s v="STORE_005"/>
    <x v="4"/>
    <x v="4"/>
    <x v="8"/>
    <n v="421.68"/>
    <n v="10"/>
    <n v="4216.8"/>
    <n v="0"/>
    <n v="0"/>
    <n v="4216.8"/>
    <s v="Credit Card"/>
    <s v="CUST_00918"/>
    <n v="5"/>
    <n v="0"/>
    <n v="421.68"/>
    <s v="No Discount"/>
  </r>
  <r>
    <s v="TXN_04422"/>
    <d v="2024-08-31T00:00:00"/>
    <x v="8"/>
    <s v="Saturday"/>
    <s v="STORE_041"/>
    <x v="1"/>
    <x v="6"/>
    <x v="30"/>
    <n v="1762.26"/>
    <n v="6"/>
    <n v="10573.56"/>
    <n v="5"/>
    <n v="528.67999999999995"/>
    <n v="10044.879999999999"/>
    <s v="UPI"/>
    <s v="CUST_00162"/>
    <n v="2"/>
    <n v="528.68000000000029"/>
    <n v="1674.1466666666665"/>
    <s v="Low"/>
  </r>
  <r>
    <s v="TXN_04423"/>
    <d v="2024-06-02T00:00:00"/>
    <x v="10"/>
    <s v="Sunday"/>
    <s v="STORE_016"/>
    <x v="1"/>
    <x v="0"/>
    <x v="0"/>
    <n v="491.84"/>
    <n v="6"/>
    <n v="2951.04"/>
    <n v="0"/>
    <n v="0"/>
    <n v="2951.04"/>
    <s v="UPI"/>
    <s v="CUST_00187"/>
    <n v="4"/>
    <n v="0"/>
    <n v="491.84"/>
    <s v="No Discount"/>
  </r>
  <r>
    <s v="TXN_04424"/>
    <d v="2024-02-10T00:00:00"/>
    <x v="1"/>
    <s v="Saturday"/>
    <s v="STORE_049"/>
    <x v="3"/>
    <x v="2"/>
    <x v="2"/>
    <n v="267.87"/>
    <n v="1"/>
    <n v="267.87"/>
    <n v="0"/>
    <n v="0"/>
    <n v="267.87"/>
    <s v="Debit Card"/>
    <s v="CUST_00491"/>
    <n v="5"/>
    <n v="0"/>
    <n v="267.87"/>
    <s v="No Discount"/>
  </r>
  <r>
    <s v="TXN_04425"/>
    <d v="2024-07-21T00:00:00"/>
    <x v="11"/>
    <s v="Sunday"/>
    <s v="STORE_011"/>
    <x v="1"/>
    <x v="7"/>
    <x v="28"/>
    <n v="776.22"/>
    <n v="6"/>
    <n v="4657.32"/>
    <n v="15"/>
    <n v="698.6"/>
    <n v="3958.72"/>
    <s v="UPI"/>
    <s v="CUST_00596"/>
    <n v="1"/>
    <n v="698.59999999999991"/>
    <n v="659.78666666666663"/>
    <s v="Medium"/>
  </r>
  <r>
    <s v="TXN_04426"/>
    <d v="2024-12-31T00:00:00"/>
    <x v="6"/>
    <s v="Tuesday"/>
    <s v="STORE_006"/>
    <x v="1"/>
    <x v="5"/>
    <x v="11"/>
    <n v="2465.33"/>
    <n v="8"/>
    <n v="19722.64"/>
    <n v="5"/>
    <n v="986.13"/>
    <n v="18736.509999999998"/>
    <s v="UPI"/>
    <s v="CUST_00594"/>
    <n v="3"/>
    <n v="986.13000000000102"/>
    <n v="2342.0637499999998"/>
    <s v="Low"/>
  </r>
  <r>
    <s v="TXN_04427"/>
    <d v="2024-01-18T00:00:00"/>
    <x v="2"/>
    <s v="Thursday"/>
    <s v="STORE_009"/>
    <x v="3"/>
    <x v="6"/>
    <x v="15"/>
    <n v="1206.23"/>
    <n v="8"/>
    <n v="9649.84"/>
    <n v="0"/>
    <n v="0"/>
    <n v="9649.84"/>
    <s v="Debit Card"/>
    <s v="CUST_00885"/>
    <n v="2"/>
    <n v="0"/>
    <n v="1206.23"/>
    <s v="No Discount"/>
  </r>
  <r>
    <s v="TXN_04428"/>
    <d v="2024-09-14T00:00:00"/>
    <x v="9"/>
    <s v="Saturday"/>
    <s v="STORE_034"/>
    <x v="4"/>
    <x v="1"/>
    <x v="6"/>
    <n v="123.45"/>
    <n v="2"/>
    <n v="246.9"/>
    <n v="0"/>
    <n v="0"/>
    <n v="246.9"/>
    <s v="Wallet"/>
    <s v="CUST_00721"/>
    <n v="4"/>
    <n v="0"/>
    <n v="123.45"/>
    <s v="No Discount"/>
  </r>
  <r>
    <s v="TXN_04429"/>
    <d v="2024-10-19T00:00:00"/>
    <x v="7"/>
    <s v="Saturday"/>
    <s v="STORE_031"/>
    <x v="2"/>
    <x v="7"/>
    <x v="37"/>
    <n v="1278.81"/>
    <n v="9"/>
    <n v="11509.29"/>
    <n v="20"/>
    <n v="2301.86"/>
    <n v="9207.43"/>
    <s v="Debit Card"/>
    <s v="CUST_00325"/>
    <n v="1"/>
    <n v="2301.8600000000006"/>
    <n v="1023.0477777777778"/>
    <s v="High"/>
  </r>
  <r>
    <s v="TXN_04430"/>
    <d v="2024-09-21T00:00:00"/>
    <x v="9"/>
    <s v="Saturday"/>
    <s v="STORE_011"/>
    <x v="1"/>
    <x v="7"/>
    <x v="28"/>
    <n v="380.03"/>
    <n v="3"/>
    <n v="1140.0899999999999"/>
    <n v="15"/>
    <n v="171.01"/>
    <n v="969.08"/>
    <s v="Cash"/>
    <s v="CUST_00719"/>
    <n v="1"/>
    <n v="171.00999999999988"/>
    <n v="323.0266666666667"/>
    <s v="Medium"/>
  </r>
  <r>
    <s v="TXN_04431"/>
    <d v="2024-10-19T00:00:00"/>
    <x v="7"/>
    <s v="Saturday"/>
    <s v="STORE_044"/>
    <x v="0"/>
    <x v="2"/>
    <x v="39"/>
    <n v="720.79"/>
    <n v="7"/>
    <n v="5045.53"/>
    <n v="5"/>
    <n v="252.28"/>
    <n v="4793.25"/>
    <s v="Debit Card"/>
    <s v="CUST_00455"/>
    <n v="1"/>
    <n v="252.27999999999975"/>
    <n v="684.75"/>
    <s v="Low"/>
  </r>
  <r>
    <s v="TXN_04432"/>
    <d v="2024-12-12T00:00:00"/>
    <x v="6"/>
    <s v="Thursday"/>
    <s v="STORE_044"/>
    <x v="3"/>
    <x v="7"/>
    <x v="37"/>
    <n v="1374.84"/>
    <n v="5"/>
    <n v="6874.2"/>
    <n v="0"/>
    <n v="0"/>
    <n v="6874.2"/>
    <s v="Wallet"/>
    <s v="CUST_00412"/>
    <n v="1"/>
    <n v="0"/>
    <n v="1374.84"/>
    <s v="No Discount"/>
  </r>
  <r>
    <s v="TXN_04433"/>
    <d v="2024-11-13T00:00:00"/>
    <x v="0"/>
    <s v="Wednesday"/>
    <s v="STORE_023"/>
    <x v="3"/>
    <x v="4"/>
    <x v="35"/>
    <n v="557.11"/>
    <n v="6"/>
    <n v="3342.66"/>
    <n v="15"/>
    <n v="501.4"/>
    <n v="2841.26"/>
    <s v="Credit Card"/>
    <s v="CUST_00759"/>
    <n v="5"/>
    <n v="501.39999999999964"/>
    <n v="473.54333333333335"/>
    <s v="Medium"/>
  </r>
  <r>
    <s v="TXN_04434"/>
    <d v="2024-03-16T00:00:00"/>
    <x v="5"/>
    <s v="Saturday"/>
    <s v="STORE_026"/>
    <x v="2"/>
    <x v="6"/>
    <x v="14"/>
    <n v="881.25"/>
    <n v="2"/>
    <n v="1762.5"/>
    <n v="15"/>
    <n v="264.38"/>
    <n v="1498.12"/>
    <s v="Credit Card"/>
    <s v="CUST_00473"/>
    <n v="4"/>
    <n v="264.38000000000011"/>
    <n v="749.06"/>
    <s v="Medium"/>
  </r>
  <r>
    <s v="TXN_04435"/>
    <d v="2024-03-02T00:00:00"/>
    <x v="5"/>
    <s v="Saturday"/>
    <s v="STORE_029"/>
    <x v="0"/>
    <x v="6"/>
    <x v="33"/>
    <n v="656.4"/>
    <n v="1"/>
    <n v="656.4"/>
    <n v="0"/>
    <n v="0"/>
    <n v="656.4"/>
    <s v="Credit Card"/>
    <s v="CUST_00546"/>
    <n v="2"/>
    <n v="0"/>
    <n v="656.4"/>
    <s v="No Discount"/>
  </r>
  <r>
    <s v="TXN_04436"/>
    <d v="2024-08-17T00:00:00"/>
    <x v="8"/>
    <s v="Saturday"/>
    <s v="STORE_011"/>
    <x v="2"/>
    <x v="3"/>
    <x v="21"/>
    <n v="2061.0700000000002"/>
    <n v="9"/>
    <n v="18549.63"/>
    <n v="15"/>
    <n v="2782.44"/>
    <n v="15767.19"/>
    <s v="Credit Card"/>
    <s v="CUST_00961"/>
    <n v="4"/>
    <n v="2782.4400000000005"/>
    <n v="1751.91"/>
    <s v="Medium"/>
  </r>
  <r>
    <s v="TXN_04437"/>
    <d v="2024-03-29T00:00:00"/>
    <x v="5"/>
    <s v="Friday"/>
    <s v="STORE_001"/>
    <x v="2"/>
    <x v="3"/>
    <x v="22"/>
    <n v="1516.36"/>
    <n v="7"/>
    <n v="10614.52"/>
    <n v="0"/>
    <n v="0"/>
    <n v="10614.52"/>
    <s v="UPI"/>
    <s v="CUST_00066"/>
    <n v="3"/>
    <n v="0"/>
    <n v="1516.3600000000001"/>
    <s v="No Discount"/>
  </r>
  <r>
    <s v="TXN_04438"/>
    <d v="2024-03-26T00:00:00"/>
    <x v="5"/>
    <s v="Tuesday"/>
    <s v="STORE_046"/>
    <x v="3"/>
    <x v="7"/>
    <x v="24"/>
    <n v="648.91999999999996"/>
    <n v="3"/>
    <n v="1946.76"/>
    <n v="20"/>
    <n v="389.35"/>
    <n v="1557.41"/>
    <s v="UPI"/>
    <s v="CUST_00567"/>
    <n v="1"/>
    <n v="389.34999999999991"/>
    <n v="519.13666666666666"/>
    <s v="High"/>
  </r>
  <r>
    <s v="TXN_04439"/>
    <d v="2024-04-18T00:00:00"/>
    <x v="4"/>
    <s v="Thursday"/>
    <s v="STORE_018"/>
    <x v="0"/>
    <x v="5"/>
    <x v="25"/>
    <n v="1300.48"/>
    <n v="7"/>
    <n v="9103.36"/>
    <n v="20"/>
    <n v="1820.67"/>
    <n v="7282.69"/>
    <s v="Cash"/>
    <s v="CUST_00311"/>
    <n v="2"/>
    <n v="1820.670000000001"/>
    <n v="1040.3842857142856"/>
    <s v="High"/>
  </r>
  <r>
    <s v="TXN_04440"/>
    <d v="2024-04-08T00:00:00"/>
    <x v="4"/>
    <s v="Monday"/>
    <s v="STORE_028"/>
    <x v="0"/>
    <x v="7"/>
    <x v="28"/>
    <n v="604.16999999999996"/>
    <n v="8"/>
    <n v="4833.3599999999997"/>
    <n v="0"/>
    <n v="0"/>
    <n v="4833.3599999999997"/>
    <s v="Cash"/>
    <s v="CUST_00282"/>
    <n v="4"/>
    <n v="0"/>
    <n v="604.16999999999996"/>
    <s v="No Discount"/>
  </r>
  <r>
    <s v="TXN_04441"/>
    <d v="2024-03-05T00:00:00"/>
    <x v="5"/>
    <s v="Tuesday"/>
    <s v="STORE_009"/>
    <x v="2"/>
    <x v="5"/>
    <x v="11"/>
    <n v="1915.3"/>
    <n v="1"/>
    <n v="1915.3"/>
    <n v="15"/>
    <n v="287.29000000000002"/>
    <n v="1628.01"/>
    <s v="UPI"/>
    <s v="CUST_00816"/>
    <n v="3"/>
    <n v="287.28999999999996"/>
    <n v="1628.01"/>
    <s v="Medium"/>
  </r>
  <r>
    <s v="TXN_04442"/>
    <d v="2024-01-22T00:00:00"/>
    <x v="2"/>
    <s v="Monday"/>
    <s v="STORE_034"/>
    <x v="4"/>
    <x v="7"/>
    <x v="37"/>
    <n v="1404.68"/>
    <n v="5"/>
    <n v="7023.4"/>
    <n v="5"/>
    <n v="351.17"/>
    <n v="6672.23"/>
    <s v="Credit Card"/>
    <s v="CUST_00829"/>
    <n v="2"/>
    <n v="351.17000000000007"/>
    <n v="1334.4459999999999"/>
    <s v="Low"/>
  </r>
  <r>
    <s v="TXN_04443"/>
    <d v="2024-08-04T00:00:00"/>
    <x v="8"/>
    <s v="Sunday"/>
    <s v="STORE_018"/>
    <x v="3"/>
    <x v="4"/>
    <x v="8"/>
    <n v="432.56"/>
    <n v="6"/>
    <n v="2595.36"/>
    <n v="10"/>
    <n v="259.54000000000002"/>
    <n v="2335.8200000000002"/>
    <s v="Debit Card"/>
    <s v="CUST_00401"/>
    <n v="2"/>
    <n v="259.53999999999996"/>
    <n v="389.30333333333334"/>
    <s v="Medium"/>
  </r>
  <r>
    <s v="TXN_04444"/>
    <d v="2024-02-10T00:00:00"/>
    <x v="1"/>
    <s v="Saturday"/>
    <s v="STORE_021"/>
    <x v="0"/>
    <x v="4"/>
    <x v="20"/>
    <n v="179.08"/>
    <n v="8"/>
    <n v="1432.64"/>
    <n v="0"/>
    <n v="0"/>
    <n v="1432.64"/>
    <s v="UPI"/>
    <s v="CUST_00780"/>
    <n v="3"/>
    <n v="0"/>
    <n v="179.08"/>
    <s v="No Discount"/>
  </r>
  <r>
    <s v="TXN_04445"/>
    <d v="2024-12-15T00:00:00"/>
    <x v="6"/>
    <s v="Sunday"/>
    <s v="STORE_028"/>
    <x v="2"/>
    <x v="3"/>
    <x v="21"/>
    <n v="2850.37"/>
    <n v="5"/>
    <n v="14251.85"/>
    <n v="10"/>
    <n v="1425.19"/>
    <n v="12826.66"/>
    <s v="Cash"/>
    <s v="CUST_00798"/>
    <n v="1"/>
    <n v="1425.1900000000005"/>
    <n v="2565.3319999999999"/>
    <s v="Medium"/>
  </r>
  <r>
    <s v="TXN_04446"/>
    <d v="2024-08-10T00:00:00"/>
    <x v="8"/>
    <s v="Saturday"/>
    <s v="STORE_042"/>
    <x v="1"/>
    <x v="4"/>
    <x v="35"/>
    <n v="196.53"/>
    <n v="4"/>
    <n v="786.12"/>
    <n v="5"/>
    <n v="39.31"/>
    <n v="746.81"/>
    <s v="Credit Card"/>
    <s v="CUST_00657"/>
    <n v="2"/>
    <n v="39.310000000000059"/>
    <n v="186.70249999999999"/>
    <s v="Low"/>
  </r>
  <r>
    <s v="TXN_04447"/>
    <d v="2024-04-13T00:00:00"/>
    <x v="4"/>
    <s v="Saturday"/>
    <s v="STORE_044"/>
    <x v="2"/>
    <x v="0"/>
    <x v="0"/>
    <n v="706.19"/>
    <n v="1"/>
    <n v="706.19"/>
    <n v="5"/>
    <n v="35.31"/>
    <n v="670.88"/>
    <s v="Wallet"/>
    <s v="CUST_00655"/>
    <n v="5"/>
    <n v="35.310000000000059"/>
    <n v="670.88"/>
    <s v="Low"/>
  </r>
  <r>
    <s v="TXN_04448"/>
    <d v="2024-11-17T00:00:00"/>
    <x v="0"/>
    <s v="Sunday"/>
    <s v="STORE_008"/>
    <x v="4"/>
    <x v="1"/>
    <x v="3"/>
    <n v="242.71"/>
    <n v="6"/>
    <n v="1456.26"/>
    <n v="5"/>
    <n v="72.81"/>
    <n v="1383.45"/>
    <s v="UPI"/>
    <s v="CUST_00820"/>
    <n v="1"/>
    <n v="72.809999999999945"/>
    <n v="230.57500000000002"/>
    <s v="Low"/>
  </r>
  <r>
    <s v="TXN_04449"/>
    <d v="2024-03-16T00:00:00"/>
    <x v="5"/>
    <s v="Saturday"/>
    <s v="STORE_032"/>
    <x v="1"/>
    <x v="3"/>
    <x v="21"/>
    <n v="968.01"/>
    <n v="6"/>
    <n v="5808.06"/>
    <n v="15"/>
    <n v="871.21"/>
    <n v="4936.8500000000004"/>
    <s v="Cash"/>
    <s v="CUST_00858"/>
    <n v="3"/>
    <n v="871.21"/>
    <n v="822.80833333333339"/>
    <s v="Medium"/>
  </r>
  <r>
    <s v="TXN_04450"/>
    <d v="2024-10-31T00:00:00"/>
    <x v="7"/>
    <s v="Thursday"/>
    <s v="STORE_016"/>
    <x v="3"/>
    <x v="1"/>
    <x v="31"/>
    <n v="157.15"/>
    <n v="4"/>
    <n v="628.6"/>
    <n v="0"/>
    <n v="0"/>
    <n v="628.6"/>
    <s v="Wallet"/>
    <s v="CUST_00778"/>
    <n v="4"/>
    <n v="0"/>
    <n v="157.15"/>
    <s v="No Discount"/>
  </r>
  <r>
    <s v="TXN_04451"/>
    <d v="2024-05-12T00:00:00"/>
    <x v="3"/>
    <s v="Sunday"/>
    <s v="STORE_024"/>
    <x v="0"/>
    <x v="1"/>
    <x v="36"/>
    <n v="92.2"/>
    <n v="7"/>
    <n v="645.4"/>
    <n v="10"/>
    <n v="64.540000000000006"/>
    <n v="580.86"/>
    <s v="Cash"/>
    <s v="CUST_00079"/>
    <n v="2"/>
    <n v="64.539999999999964"/>
    <n v="82.98"/>
    <s v="Medium"/>
  </r>
  <r>
    <s v="TXN_04452"/>
    <d v="2024-06-12T00:00:00"/>
    <x v="10"/>
    <s v="Wednesday"/>
    <s v="STORE_031"/>
    <x v="2"/>
    <x v="1"/>
    <x v="6"/>
    <n v="71.95"/>
    <n v="1"/>
    <n v="71.95"/>
    <n v="20"/>
    <n v="14.39"/>
    <n v="57.56"/>
    <s v="Wallet"/>
    <s v="CUST_00085"/>
    <n v="2"/>
    <n v="14.39"/>
    <n v="57.56"/>
    <s v="High"/>
  </r>
  <r>
    <s v="TXN_04453"/>
    <d v="2024-02-04T00:00:00"/>
    <x v="1"/>
    <s v="Sunday"/>
    <s v="STORE_018"/>
    <x v="2"/>
    <x v="7"/>
    <x v="23"/>
    <n v="692.97"/>
    <n v="7"/>
    <n v="4850.79"/>
    <n v="10"/>
    <n v="485.08"/>
    <n v="4365.71"/>
    <s v="Wallet"/>
    <s v="CUST_00756"/>
    <n v="4"/>
    <n v="485.07999999999993"/>
    <n v="623.6728571428572"/>
    <s v="Medium"/>
  </r>
  <r>
    <s v="TXN_04454"/>
    <d v="2024-02-14T00:00:00"/>
    <x v="1"/>
    <s v="Wednesday"/>
    <s v="STORE_039"/>
    <x v="1"/>
    <x v="4"/>
    <x v="20"/>
    <n v="404.1"/>
    <n v="6"/>
    <n v="2424.6"/>
    <n v="15"/>
    <n v="363.69"/>
    <n v="2060.91"/>
    <s v="Cash"/>
    <s v="CUST_00495"/>
    <n v="1"/>
    <n v="363.69000000000005"/>
    <n v="343.48499999999996"/>
    <s v="Medium"/>
  </r>
  <r>
    <s v="TXN_04455"/>
    <d v="2024-07-17T00:00:00"/>
    <x v="11"/>
    <s v="Wednesday"/>
    <s v="STORE_026"/>
    <x v="4"/>
    <x v="5"/>
    <x v="10"/>
    <n v="1269.68"/>
    <n v="5"/>
    <n v="6348.4"/>
    <n v="5"/>
    <n v="317.42"/>
    <n v="6030.98"/>
    <s v="Debit Card"/>
    <s v="CUST_00051"/>
    <n v="4"/>
    <n v="317.42000000000007"/>
    <n v="1206.1959999999999"/>
    <s v="Low"/>
  </r>
  <r>
    <s v="TXN_04456"/>
    <d v="2024-10-11T00:00:00"/>
    <x v="7"/>
    <s v="Friday"/>
    <s v="STORE_005"/>
    <x v="3"/>
    <x v="0"/>
    <x v="0"/>
    <n v="792.81"/>
    <n v="10"/>
    <n v="7928.1"/>
    <n v="10"/>
    <n v="792.81"/>
    <n v="7135.29"/>
    <s v="Debit Card"/>
    <s v="CUST_00963"/>
    <n v="3"/>
    <n v="792.8100000000004"/>
    <n v="713.529"/>
    <s v="Medium"/>
  </r>
  <r>
    <s v="TXN_04457"/>
    <d v="2024-07-22T00:00:00"/>
    <x v="11"/>
    <s v="Monday"/>
    <s v="STORE_048"/>
    <x v="3"/>
    <x v="7"/>
    <x v="28"/>
    <n v="1016.19"/>
    <n v="5"/>
    <n v="5080.95"/>
    <n v="0"/>
    <n v="0"/>
    <n v="5080.95"/>
    <s v="UPI"/>
    <s v="CUST_00526"/>
    <n v="2"/>
    <n v="0"/>
    <n v="1016.1899999999999"/>
    <s v="No Discount"/>
  </r>
  <r>
    <s v="TXN_04458"/>
    <d v="2024-10-09T00:00:00"/>
    <x v="7"/>
    <s v="Wednesday"/>
    <s v="STORE_006"/>
    <x v="2"/>
    <x v="6"/>
    <x v="26"/>
    <n v="1965.61"/>
    <n v="1"/>
    <n v="1965.61"/>
    <n v="5"/>
    <n v="98.28"/>
    <n v="1867.33"/>
    <s v="Wallet"/>
    <s v="CUST_00154"/>
    <n v="2"/>
    <n v="98.279999999999973"/>
    <n v="1867.33"/>
    <s v="Low"/>
  </r>
  <r>
    <s v="TXN_04459"/>
    <d v="2024-06-15T00:00:00"/>
    <x v="10"/>
    <s v="Saturday"/>
    <s v="STORE_010"/>
    <x v="0"/>
    <x v="7"/>
    <x v="37"/>
    <n v="1423.86"/>
    <n v="6"/>
    <n v="8543.16"/>
    <n v="10"/>
    <n v="854.32"/>
    <n v="7688.84"/>
    <s v="Debit Card"/>
    <s v="CUST_00215"/>
    <n v="5"/>
    <n v="854.31999999999971"/>
    <n v="1281.4733333333334"/>
    <s v="Medium"/>
  </r>
  <r>
    <s v="TXN_04460"/>
    <d v="2024-05-21T00:00:00"/>
    <x v="3"/>
    <s v="Tuesday"/>
    <s v="STORE_023"/>
    <x v="2"/>
    <x v="3"/>
    <x v="21"/>
    <n v="719.06"/>
    <n v="7"/>
    <n v="5033.42"/>
    <n v="5"/>
    <n v="251.67"/>
    <n v="4781.75"/>
    <s v="UPI"/>
    <s v="CUST_00845"/>
    <n v="2"/>
    <n v="251.67000000000007"/>
    <n v="683.10714285714289"/>
    <s v="Low"/>
  </r>
  <r>
    <s v="TXN_04461"/>
    <d v="2024-09-23T00:00:00"/>
    <x v="9"/>
    <s v="Monday"/>
    <s v="STORE_045"/>
    <x v="3"/>
    <x v="3"/>
    <x v="16"/>
    <n v="2583.6799999999998"/>
    <n v="7"/>
    <n v="18085.759999999998"/>
    <n v="0"/>
    <n v="0"/>
    <n v="18085.759999999998"/>
    <s v="UPI"/>
    <s v="CUST_00717"/>
    <n v="2"/>
    <n v="0"/>
    <n v="2583.6799999999998"/>
    <s v="No Discount"/>
  </r>
  <r>
    <s v="TXN_04462"/>
    <d v="2024-08-22T00:00:00"/>
    <x v="8"/>
    <s v="Thursday"/>
    <s v="STORE_042"/>
    <x v="3"/>
    <x v="7"/>
    <x v="24"/>
    <n v="410.31"/>
    <n v="5"/>
    <n v="2051.5500000000002"/>
    <n v="20"/>
    <n v="410.31"/>
    <n v="1641.24"/>
    <s v="Debit Card"/>
    <s v="CUST_00194"/>
    <n v="4"/>
    <n v="410.31000000000017"/>
    <n v="328.24799999999999"/>
    <s v="High"/>
  </r>
  <r>
    <s v="TXN_04463"/>
    <d v="2024-01-07T00:00:00"/>
    <x v="2"/>
    <s v="Sunday"/>
    <s v="STORE_012"/>
    <x v="2"/>
    <x v="5"/>
    <x v="11"/>
    <n v="2262.19"/>
    <n v="8"/>
    <n v="18097.52"/>
    <n v="0"/>
    <n v="0"/>
    <n v="18097.52"/>
    <s v="UPI"/>
    <s v="CUST_00693"/>
    <n v="3"/>
    <n v="0"/>
    <n v="2262.19"/>
    <s v="No Discount"/>
  </r>
  <r>
    <s v="TXN_04464"/>
    <d v="2024-12-24T00:00:00"/>
    <x v="6"/>
    <s v="Tuesday"/>
    <s v="STORE_039"/>
    <x v="0"/>
    <x v="2"/>
    <x v="29"/>
    <n v="108.31"/>
    <n v="5"/>
    <n v="541.54999999999995"/>
    <n v="0"/>
    <n v="0"/>
    <n v="541.54999999999995"/>
    <s v="Credit Card"/>
    <s v="CUST_00918"/>
    <n v="4"/>
    <n v="0"/>
    <n v="108.30999999999999"/>
    <s v="No Discount"/>
  </r>
  <r>
    <s v="TXN_04465"/>
    <d v="2024-11-15T00:00:00"/>
    <x v="0"/>
    <s v="Friday"/>
    <s v="STORE_046"/>
    <x v="4"/>
    <x v="1"/>
    <x v="6"/>
    <n v="100.37"/>
    <n v="9"/>
    <n v="903.33"/>
    <n v="5"/>
    <n v="45.17"/>
    <n v="858.16"/>
    <s v="Credit Card"/>
    <s v="CUST_00295"/>
    <n v="5"/>
    <n v="45.170000000000073"/>
    <n v="95.351111111111109"/>
    <s v="Low"/>
  </r>
  <r>
    <s v="TXN_04466"/>
    <d v="2024-10-27T00:00:00"/>
    <x v="7"/>
    <s v="Sunday"/>
    <s v="STORE_015"/>
    <x v="2"/>
    <x v="5"/>
    <x v="25"/>
    <n v="1201.6600000000001"/>
    <n v="6"/>
    <n v="7209.96"/>
    <n v="10"/>
    <n v="721"/>
    <n v="6488.96"/>
    <s v="Debit Card"/>
    <s v="CUST_00885"/>
    <n v="3"/>
    <n v="721"/>
    <n v="1081.4933333333333"/>
    <s v="Medium"/>
  </r>
  <r>
    <s v="TXN_04467"/>
    <d v="2024-09-24T00:00:00"/>
    <x v="9"/>
    <s v="Tuesday"/>
    <s v="STORE_046"/>
    <x v="4"/>
    <x v="4"/>
    <x v="35"/>
    <n v="460.09"/>
    <n v="9"/>
    <n v="4140.8100000000004"/>
    <n v="5"/>
    <n v="207.04"/>
    <n v="3933.77"/>
    <s v="UPI"/>
    <s v="CUST_00230"/>
    <n v="5"/>
    <n v="207.04000000000042"/>
    <n v="437.08555555555557"/>
    <s v="Low"/>
  </r>
  <r>
    <s v="TXN_04468"/>
    <d v="2024-08-02T00:00:00"/>
    <x v="8"/>
    <s v="Friday"/>
    <s v="STORE_038"/>
    <x v="1"/>
    <x v="0"/>
    <x v="32"/>
    <n v="737.12"/>
    <n v="3"/>
    <n v="2211.36"/>
    <n v="5"/>
    <n v="110.57"/>
    <n v="2100.79"/>
    <s v="Debit Card"/>
    <s v="CUST_00465"/>
    <n v="4"/>
    <n v="110.57000000000016"/>
    <n v="700.26333333333332"/>
    <s v="Low"/>
  </r>
  <r>
    <s v="TXN_04469"/>
    <d v="2024-02-27T00:00:00"/>
    <x v="1"/>
    <s v="Tuesday"/>
    <s v="STORE_038"/>
    <x v="0"/>
    <x v="5"/>
    <x v="11"/>
    <n v="3082.29"/>
    <n v="2"/>
    <n v="6164.58"/>
    <n v="5"/>
    <n v="308.23"/>
    <n v="5856.35"/>
    <s v="Credit Card"/>
    <s v="CUST_00088"/>
    <n v="2"/>
    <n v="308.22999999999956"/>
    <n v="2928.1750000000002"/>
    <s v="Low"/>
  </r>
  <r>
    <s v="TXN_04470"/>
    <d v="2024-07-31T00:00:00"/>
    <x v="11"/>
    <s v="Wednesday"/>
    <s v="STORE_007"/>
    <x v="2"/>
    <x v="3"/>
    <x v="22"/>
    <n v="490.27"/>
    <n v="2"/>
    <n v="980.54"/>
    <n v="0"/>
    <n v="0"/>
    <n v="980.54"/>
    <s v="Debit Card"/>
    <s v="CUST_00487"/>
    <n v="1"/>
    <n v="0"/>
    <n v="490.27"/>
    <s v="No Discount"/>
  </r>
  <r>
    <s v="TXN_04471"/>
    <d v="2024-03-17T00:00:00"/>
    <x v="5"/>
    <s v="Sunday"/>
    <s v="STORE_037"/>
    <x v="1"/>
    <x v="4"/>
    <x v="20"/>
    <n v="317.83"/>
    <n v="1"/>
    <n v="317.83"/>
    <n v="0"/>
    <n v="0"/>
    <n v="317.83"/>
    <s v="Cash"/>
    <s v="CUST_00978"/>
    <n v="4"/>
    <n v="0"/>
    <n v="317.83"/>
    <s v="No Discount"/>
  </r>
  <r>
    <s v="TXN_04472"/>
    <d v="2024-03-16T00:00:00"/>
    <x v="5"/>
    <s v="Saturday"/>
    <s v="STORE_015"/>
    <x v="0"/>
    <x v="2"/>
    <x v="2"/>
    <n v="219.37"/>
    <n v="3"/>
    <n v="658.11"/>
    <n v="20"/>
    <n v="131.62"/>
    <n v="526.49"/>
    <s v="Debit Card"/>
    <s v="CUST_00929"/>
    <n v="2"/>
    <n v="131.62"/>
    <n v="175.49666666666667"/>
    <s v="High"/>
  </r>
  <r>
    <s v="TXN_04473"/>
    <d v="2024-10-17T00:00:00"/>
    <x v="7"/>
    <s v="Thursday"/>
    <s v="STORE_004"/>
    <x v="4"/>
    <x v="6"/>
    <x v="26"/>
    <n v="1226.1400000000001"/>
    <n v="4"/>
    <n v="4904.5600000000004"/>
    <n v="10"/>
    <n v="490.46"/>
    <n v="4414.1000000000004"/>
    <s v="Cash"/>
    <s v="CUST_00312"/>
    <n v="4"/>
    <n v="490.46000000000004"/>
    <n v="1103.5250000000001"/>
    <s v="Medium"/>
  </r>
  <r>
    <s v="TXN_04474"/>
    <d v="2024-10-28T00:00:00"/>
    <x v="7"/>
    <s v="Monday"/>
    <s v="STORE_034"/>
    <x v="1"/>
    <x v="3"/>
    <x v="16"/>
    <n v="2526.71"/>
    <n v="2"/>
    <n v="5053.42"/>
    <n v="0"/>
    <n v="0"/>
    <n v="5053.42"/>
    <s v="UPI"/>
    <s v="CUST_00576"/>
    <n v="1"/>
    <n v="0"/>
    <n v="2526.71"/>
    <s v="No Discount"/>
  </r>
  <r>
    <s v="TXN_04475"/>
    <d v="2024-10-25T00:00:00"/>
    <x v="7"/>
    <s v="Friday"/>
    <s v="STORE_008"/>
    <x v="3"/>
    <x v="1"/>
    <x v="3"/>
    <n v="142.30000000000001"/>
    <n v="10"/>
    <n v="1423"/>
    <n v="0"/>
    <n v="0"/>
    <n v="1423"/>
    <s v="Credit Card"/>
    <s v="CUST_00836"/>
    <n v="2"/>
    <n v="0"/>
    <n v="142.30000000000001"/>
    <s v="No Discount"/>
  </r>
  <r>
    <s v="TXN_04476"/>
    <d v="2024-02-21T00:00:00"/>
    <x v="1"/>
    <s v="Wednesday"/>
    <s v="STORE_039"/>
    <x v="0"/>
    <x v="5"/>
    <x v="11"/>
    <n v="2503.14"/>
    <n v="1"/>
    <n v="2503.14"/>
    <n v="10"/>
    <n v="250.31"/>
    <n v="2252.83"/>
    <s v="Credit Card"/>
    <s v="CUST_00458"/>
    <n v="5"/>
    <n v="250.30999999999995"/>
    <n v="2252.83"/>
    <s v="Medium"/>
  </r>
  <r>
    <s v="TXN_04477"/>
    <d v="2024-02-24T00:00:00"/>
    <x v="1"/>
    <s v="Saturday"/>
    <s v="STORE_020"/>
    <x v="1"/>
    <x v="7"/>
    <x v="24"/>
    <n v="428.05"/>
    <n v="4"/>
    <n v="1712.2"/>
    <n v="0"/>
    <n v="0"/>
    <n v="1712.2"/>
    <s v="UPI"/>
    <s v="CUST_00732"/>
    <n v="5"/>
    <n v="0"/>
    <n v="428.05"/>
    <s v="No Discount"/>
  </r>
  <r>
    <s v="TXN_04478"/>
    <d v="2024-10-15T00:00:00"/>
    <x v="7"/>
    <s v="Tuesday"/>
    <s v="STORE_048"/>
    <x v="0"/>
    <x v="3"/>
    <x v="16"/>
    <n v="208.72"/>
    <n v="8"/>
    <n v="1669.76"/>
    <n v="15"/>
    <n v="250.46"/>
    <n v="1419.3"/>
    <s v="Cash"/>
    <s v="CUST_00557"/>
    <n v="4"/>
    <n v="250.46000000000004"/>
    <n v="177.41249999999999"/>
    <s v="Medium"/>
  </r>
  <r>
    <s v="TXN_04479"/>
    <d v="2024-02-21T00:00:00"/>
    <x v="1"/>
    <s v="Wednesday"/>
    <s v="STORE_037"/>
    <x v="1"/>
    <x v="7"/>
    <x v="28"/>
    <n v="568"/>
    <n v="4"/>
    <n v="2272"/>
    <n v="5"/>
    <n v="113.6"/>
    <n v="2158.4"/>
    <s v="Credit Card"/>
    <s v="CUST_00406"/>
    <n v="3"/>
    <n v="113.59999999999991"/>
    <n v="539.6"/>
    <s v="Low"/>
  </r>
  <r>
    <s v="TXN_04480"/>
    <d v="2024-05-26T00:00:00"/>
    <x v="3"/>
    <s v="Sunday"/>
    <s v="STORE_032"/>
    <x v="2"/>
    <x v="5"/>
    <x v="25"/>
    <n v="4369.26"/>
    <n v="6"/>
    <n v="26215.56"/>
    <n v="0"/>
    <n v="0"/>
    <n v="26215.56"/>
    <s v="Credit Card"/>
    <s v="CUST_00016"/>
    <n v="4"/>
    <n v="0"/>
    <n v="4369.26"/>
    <s v="No Discount"/>
  </r>
  <r>
    <s v="TXN_04481"/>
    <d v="2024-10-01T00:00:00"/>
    <x v="7"/>
    <s v="Tuesday"/>
    <s v="STORE_009"/>
    <x v="0"/>
    <x v="4"/>
    <x v="20"/>
    <n v="563.20000000000005"/>
    <n v="6"/>
    <n v="3379.2"/>
    <n v="15"/>
    <n v="506.88"/>
    <n v="2872.32"/>
    <s v="Wallet"/>
    <s v="CUST_00940"/>
    <n v="5"/>
    <n v="506.87999999999965"/>
    <n v="478.72"/>
    <s v="Medium"/>
  </r>
  <r>
    <s v="TXN_04482"/>
    <d v="2024-06-25T00:00:00"/>
    <x v="10"/>
    <s v="Tuesday"/>
    <s v="STORE_043"/>
    <x v="4"/>
    <x v="2"/>
    <x v="7"/>
    <n v="606.48"/>
    <n v="2"/>
    <n v="1212.96"/>
    <n v="20"/>
    <n v="242.59"/>
    <n v="970.37"/>
    <s v="Wallet"/>
    <s v="CUST_00831"/>
    <n v="1"/>
    <n v="242.59000000000003"/>
    <n v="485.185"/>
    <s v="High"/>
  </r>
  <r>
    <s v="TXN_04483"/>
    <d v="2024-07-29T00:00:00"/>
    <x v="11"/>
    <s v="Monday"/>
    <s v="STORE_009"/>
    <x v="4"/>
    <x v="5"/>
    <x v="10"/>
    <n v="3607.64"/>
    <n v="4"/>
    <n v="14430.56"/>
    <n v="10"/>
    <n v="1443.06"/>
    <n v="12987.5"/>
    <s v="Cash"/>
    <s v="CUST_00288"/>
    <n v="1"/>
    <n v="1443.0599999999995"/>
    <n v="3246.875"/>
    <s v="Medium"/>
  </r>
  <r>
    <s v="TXN_04484"/>
    <d v="2024-05-15T00:00:00"/>
    <x v="3"/>
    <s v="Wednesday"/>
    <s v="STORE_033"/>
    <x v="3"/>
    <x v="1"/>
    <x v="1"/>
    <n v="316.2"/>
    <n v="9"/>
    <n v="2845.8"/>
    <n v="20"/>
    <n v="569.16"/>
    <n v="2276.64"/>
    <s v="Debit Card"/>
    <s v="CUST_00754"/>
    <n v="3"/>
    <n v="569.16000000000031"/>
    <n v="252.95999999999998"/>
    <s v="High"/>
  </r>
  <r>
    <s v="TXN_04485"/>
    <d v="2024-07-15T00:00:00"/>
    <x v="11"/>
    <s v="Monday"/>
    <s v="STORE_021"/>
    <x v="0"/>
    <x v="4"/>
    <x v="20"/>
    <n v="359.02"/>
    <n v="6"/>
    <n v="2154.12"/>
    <n v="5"/>
    <n v="107.71"/>
    <n v="2046.41"/>
    <s v="Cash"/>
    <s v="CUST_00222"/>
    <n v="1"/>
    <n v="107.70999999999981"/>
    <n v="341.06833333333333"/>
    <s v="Low"/>
  </r>
  <r>
    <s v="TXN_04486"/>
    <d v="2024-12-01T00:00:00"/>
    <x v="6"/>
    <s v="Sunday"/>
    <s v="STORE_004"/>
    <x v="3"/>
    <x v="6"/>
    <x v="33"/>
    <n v="1657.71"/>
    <n v="7"/>
    <n v="11603.97"/>
    <n v="5"/>
    <n v="580.20000000000005"/>
    <n v="11023.77"/>
    <s v="UPI"/>
    <s v="CUST_00219"/>
    <n v="4"/>
    <n v="580.19999999999891"/>
    <n v="1574.8242857142857"/>
    <s v="Low"/>
  </r>
  <r>
    <s v="TXN_04487"/>
    <d v="2024-09-05T00:00:00"/>
    <x v="9"/>
    <s v="Thursday"/>
    <s v="STORE_007"/>
    <x v="4"/>
    <x v="3"/>
    <x v="21"/>
    <n v="479.63"/>
    <n v="2"/>
    <n v="959.26"/>
    <n v="15"/>
    <n v="143.88999999999999"/>
    <n v="815.37"/>
    <s v="UPI"/>
    <s v="CUST_00341"/>
    <n v="1"/>
    <n v="143.88999999999999"/>
    <n v="407.685"/>
    <s v="Medium"/>
  </r>
  <r>
    <s v="TXN_04488"/>
    <d v="2024-10-19T00:00:00"/>
    <x v="7"/>
    <s v="Saturday"/>
    <s v="STORE_013"/>
    <x v="1"/>
    <x v="4"/>
    <x v="20"/>
    <n v="161.5"/>
    <n v="4"/>
    <n v="646"/>
    <n v="5"/>
    <n v="32.299999999999997"/>
    <n v="613.70000000000005"/>
    <s v="Debit Card"/>
    <s v="CUST_00702"/>
    <n v="1"/>
    <n v="32.299999999999955"/>
    <n v="153.42500000000001"/>
    <s v="Low"/>
  </r>
  <r>
    <s v="TXN_04489"/>
    <d v="2024-11-07T00:00:00"/>
    <x v="0"/>
    <s v="Thursday"/>
    <s v="STORE_050"/>
    <x v="0"/>
    <x v="6"/>
    <x v="14"/>
    <n v="1231.5"/>
    <n v="10"/>
    <n v="12315"/>
    <n v="0"/>
    <n v="0"/>
    <n v="12315"/>
    <s v="UPI"/>
    <s v="CUST_00498"/>
    <n v="1"/>
    <n v="0"/>
    <n v="1231.5"/>
    <s v="No Discount"/>
  </r>
  <r>
    <s v="TXN_04490"/>
    <d v="2024-08-30T00:00:00"/>
    <x v="8"/>
    <s v="Friday"/>
    <s v="STORE_001"/>
    <x v="1"/>
    <x v="3"/>
    <x v="21"/>
    <n v="1359.67"/>
    <n v="9"/>
    <n v="12237.03"/>
    <n v="10"/>
    <n v="1223.7"/>
    <n v="11013.33"/>
    <s v="Debit Card"/>
    <s v="CUST_00942"/>
    <n v="1"/>
    <n v="1223.7000000000007"/>
    <n v="1223.7033333333334"/>
    <s v="Medium"/>
  </r>
  <r>
    <s v="TXN_04491"/>
    <d v="2024-01-20T00:00:00"/>
    <x v="2"/>
    <s v="Saturday"/>
    <s v="STORE_012"/>
    <x v="1"/>
    <x v="4"/>
    <x v="17"/>
    <n v="208.32"/>
    <n v="8"/>
    <n v="1666.56"/>
    <n v="0"/>
    <n v="0"/>
    <n v="1666.56"/>
    <s v="Credit Card"/>
    <s v="CUST_00460"/>
    <n v="4"/>
    <n v="0"/>
    <n v="208.32"/>
    <s v="No Discount"/>
  </r>
  <r>
    <s v="TXN_04492"/>
    <d v="2024-03-29T00:00:00"/>
    <x v="5"/>
    <s v="Friday"/>
    <s v="STORE_010"/>
    <x v="1"/>
    <x v="2"/>
    <x v="29"/>
    <n v="308.99"/>
    <n v="9"/>
    <n v="2780.91"/>
    <n v="0"/>
    <n v="0"/>
    <n v="2780.91"/>
    <s v="UPI"/>
    <s v="CUST_00901"/>
    <n v="2"/>
    <n v="0"/>
    <n v="308.99"/>
    <s v="No Discount"/>
  </r>
  <r>
    <s v="TXN_04493"/>
    <d v="2024-05-21T00:00:00"/>
    <x v="3"/>
    <s v="Tuesday"/>
    <s v="STORE_043"/>
    <x v="4"/>
    <x v="4"/>
    <x v="8"/>
    <n v="495.5"/>
    <n v="6"/>
    <n v="2973"/>
    <n v="20"/>
    <n v="594.6"/>
    <n v="2378.4"/>
    <s v="Debit Card"/>
    <s v="CUST_00025"/>
    <n v="5"/>
    <n v="594.59999999999991"/>
    <n v="396.40000000000003"/>
    <s v="High"/>
  </r>
  <r>
    <s v="TXN_04494"/>
    <d v="2024-07-25T00:00:00"/>
    <x v="11"/>
    <s v="Thursday"/>
    <s v="STORE_002"/>
    <x v="3"/>
    <x v="4"/>
    <x v="20"/>
    <n v="323.07"/>
    <n v="8"/>
    <n v="2584.56"/>
    <n v="10"/>
    <n v="258.45999999999998"/>
    <n v="2326.1"/>
    <s v="Credit Card"/>
    <s v="CUST_00163"/>
    <n v="2"/>
    <n v="258.46000000000004"/>
    <n v="290.76249999999999"/>
    <s v="Medium"/>
  </r>
  <r>
    <s v="TXN_04495"/>
    <d v="2024-03-14T00:00:00"/>
    <x v="5"/>
    <s v="Thursday"/>
    <s v="STORE_015"/>
    <x v="1"/>
    <x v="6"/>
    <x v="26"/>
    <n v="1018.38"/>
    <n v="9"/>
    <n v="9165.42"/>
    <n v="20"/>
    <n v="1833.08"/>
    <n v="7332.34"/>
    <s v="Wallet"/>
    <s v="CUST_00713"/>
    <n v="1"/>
    <n v="1833.08"/>
    <n v="814.70444444444445"/>
    <s v="High"/>
  </r>
  <r>
    <s v="TXN_04496"/>
    <d v="2024-11-12T00:00:00"/>
    <x v="0"/>
    <s v="Tuesday"/>
    <s v="STORE_049"/>
    <x v="3"/>
    <x v="4"/>
    <x v="8"/>
    <n v="564.17999999999995"/>
    <n v="9"/>
    <n v="5077.62"/>
    <n v="0"/>
    <n v="0"/>
    <n v="5077.62"/>
    <s v="Wallet"/>
    <s v="CUST_00553"/>
    <n v="5"/>
    <n v="0"/>
    <n v="564.17999999999995"/>
    <s v="No Discount"/>
  </r>
  <r>
    <s v="TXN_04497"/>
    <d v="2024-11-07T00:00:00"/>
    <x v="0"/>
    <s v="Thursday"/>
    <s v="STORE_050"/>
    <x v="2"/>
    <x v="2"/>
    <x v="39"/>
    <n v="325.27999999999997"/>
    <n v="6"/>
    <n v="1951.68"/>
    <n v="15"/>
    <n v="292.75"/>
    <n v="1658.93"/>
    <s v="UPI"/>
    <s v="CUST_00845"/>
    <n v="5"/>
    <n v="292.75"/>
    <n v="276.48833333333334"/>
    <s v="Medium"/>
  </r>
  <r>
    <s v="TXN_04498"/>
    <d v="2024-12-14T00:00:00"/>
    <x v="6"/>
    <s v="Saturday"/>
    <s v="STORE_004"/>
    <x v="1"/>
    <x v="1"/>
    <x v="6"/>
    <n v="182.49"/>
    <n v="3"/>
    <n v="547.47"/>
    <n v="0"/>
    <n v="0"/>
    <n v="547.47"/>
    <s v="Cash"/>
    <s v="CUST_00926"/>
    <n v="3"/>
    <n v="0"/>
    <n v="182.49"/>
    <s v="No Discount"/>
  </r>
  <r>
    <s v="TXN_04499"/>
    <d v="2024-12-21T00:00:00"/>
    <x v="6"/>
    <s v="Saturday"/>
    <s v="STORE_001"/>
    <x v="4"/>
    <x v="7"/>
    <x v="24"/>
    <n v="1407.89"/>
    <n v="6"/>
    <n v="8447.34"/>
    <n v="5"/>
    <n v="422.37"/>
    <n v="8024.97"/>
    <s v="UPI"/>
    <s v="CUST_00806"/>
    <n v="3"/>
    <n v="422.36999999999989"/>
    <n v="1337.4950000000001"/>
    <s v="Low"/>
  </r>
  <r>
    <s v="TXN_04500"/>
    <d v="2024-07-24T00:00:00"/>
    <x v="11"/>
    <s v="Wednesday"/>
    <s v="STORE_039"/>
    <x v="4"/>
    <x v="5"/>
    <x v="34"/>
    <n v="1468.17"/>
    <n v="7"/>
    <n v="10277.19"/>
    <n v="15"/>
    <n v="1541.58"/>
    <n v="8735.61"/>
    <s v="UPI"/>
    <s v="CUST_00696"/>
    <n v="3"/>
    <n v="1541.58"/>
    <n v="1247.9442857142858"/>
    <s v="Medium"/>
  </r>
  <r>
    <s v="TXN_04501"/>
    <d v="2024-01-20T00:00:00"/>
    <x v="2"/>
    <s v="Saturday"/>
    <s v="STORE_041"/>
    <x v="2"/>
    <x v="3"/>
    <x v="21"/>
    <n v="2789.32"/>
    <n v="1"/>
    <n v="2789.32"/>
    <n v="0"/>
    <n v="0"/>
    <n v="2789.32"/>
    <s v="Debit Card"/>
    <s v="CUST_00311"/>
    <n v="3"/>
    <n v="0"/>
    <n v="2789.32"/>
    <s v="No Discount"/>
  </r>
  <r>
    <s v="TXN_04502"/>
    <d v="2024-07-21T00:00:00"/>
    <x v="11"/>
    <s v="Sunday"/>
    <s v="STORE_002"/>
    <x v="4"/>
    <x v="6"/>
    <x v="15"/>
    <n v="1606.59"/>
    <n v="9"/>
    <n v="14459.31"/>
    <n v="0"/>
    <n v="0"/>
    <n v="14459.31"/>
    <s v="UPI"/>
    <s v="CUST_00074"/>
    <n v="4"/>
    <n v="0"/>
    <n v="1606.59"/>
    <s v="No Discount"/>
  </r>
  <r>
    <s v="TXN_04503"/>
    <d v="2024-06-18T00:00:00"/>
    <x v="10"/>
    <s v="Tuesday"/>
    <s v="STORE_001"/>
    <x v="2"/>
    <x v="2"/>
    <x v="39"/>
    <n v="767.4"/>
    <n v="6"/>
    <n v="4604.3999999999996"/>
    <n v="0"/>
    <n v="0"/>
    <n v="4604.3999999999996"/>
    <s v="Wallet"/>
    <s v="CUST_00014"/>
    <n v="3"/>
    <n v="0"/>
    <n v="767.4"/>
    <s v="No Discount"/>
  </r>
  <r>
    <s v="TXN_04504"/>
    <d v="2024-12-19T00:00:00"/>
    <x v="6"/>
    <s v="Thursday"/>
    <s v="STORE_023"/>
    <x v="1"/>
    <x v="6"/>
    <x v="15"/>
    <n v="556.12"/>
    <n v="5"/>
    <n v="2780.6"/>
    <n v="15"/>
    <n v="417.09"/>
    <n v="2363.5100000000002"/>
    <s v="UPI"/>
    <s v="CUST_00639"/>
    <n v="3"/>
    <n v="417.08999999999969"/>
    <n v="472.70200000000006"/>
    <s v="Medium"/>
  </r>
  <r>
    <s v="TXN_04505"/>
    <d v="2024-05-01T00:00:00"/>
    <x v="3"/>
    <s v="Wednesday"/>
    <s v="STORE_023"/>
    <x v="0"/>
    <x v="1"/>
    <x v="1"/>
    <n v="287.79000000000002"/>
    <n v="4"/>
    <n v="1151.1600000000001"/>
    <n v="0"/>
    <n v="0"/>
    <n v="1151.1600000000001"/>
    <s v="Wallet"/>
    <s v="CUST_00370"/>
    <n v="4"/>
    <n v="0"/>
    <n v="287.79000000000002"/>
    <s v="No Discount"/>
  </r>
  <r>
    <s v="TXN_04506"/>
    <d v="2024-01-26T00:00:00"/>
    <x v="2"/>
    <s v="Friday"/>
    <s v="STORE_019"/>
    <x v="3"/>
    <x v="0"/>
    <x v="18"/>
    <n v="425.64"/>
    <n v="9"/>
    <n v="3830.76"/>
    <n v="10"/>
    <n v="383.08"/>
    <n v="3447.68"/>
    <s v="Wallet"/>
    <s v="CUST_00436"/>
    <n v="2"/>
    <n v="383.08000000000038"/>
    <n v="383.07555555555552"/>
    <s v="Medium"/>
  </r>
  <r>
    <s v="TXN_04507"/>
    <d v="2024-08-31T00:00:00"/>
    <x v="8"/>
    <s v="Saturday"/>
    <s v="STORE_003"/>
    <x v="3"/>
    <x v="5"/>
    <x v="25"/>
    <n v="2773.93"/>
    <n v="1"/>
    <n v="2773.93"/>
    <n v="0"/>
    <n v="0"/>
    <n v="2773.93"/>
    <s v="Debit Card"/>
    <s v="CUST_00617"/>
    <n v="5"/>
    <n v="0"/>
    <n v="2773.93"/>
    <s v="No Discount"/>
  </r>
  <r>
    <s v="TXN_04508"/>
    <d v="2024-05-17T00:00:00"/>
    <x v="3"/>
    <s v="Friday"/>
    <s v="STORE_025"/>
    <x v="1"/>
    <x v="4"/>
    <x v="8"/>
    <n v="190.13"/>
    <n v="9"/>
    <n v="1711.17"/>
    <n v="0"/>
    <n v="0"/>
    <n v="1711.17"/>
    <s v="Debit Card"/>
    <s v="CUST_00182"/>
    <n v="1"/>
    <n v="0"/>
    <n v="190.13"/>
    <s v="No Discount"/>
  </r>
  <r>
    <s v="TXN_04509"/>
    <d v="2024-07-09T00:00:00"/>
    <x v="11"/>
    <s v="Tuesday"/>
    <s v="STORE_039"/>
    <x v="2"/>
    <x v="4"/>
    <x v="8"/>
    <n v="400.59"/>
    <n v="2"/>
    <n v="801.18"/>
    <n v="0"/>
    <n v="0"/>
    <n v="801.18"/>
    <s v="Wallet"/>
    <s v="CUST_00316"/>
    <n v="3"/>
    <n v="0"/>
    <n v="400.59"/>
    <s v="No Discount"/>
  </r>
  <r>
    <s v="TXN_04510"/>
    <d v="2024-01-11T00:00:00"/>
    <x v="2"/>
    <s v="Thursday"/>
    <s v="STORE_017"/>
    <x v="2"/>
    <x v="3"/>
    <x v="21"/>
    <n v="1146.96"/>
    <n v="1"/>
    <n v="1146.96"/>
    <n v="5"/>
    <n v="57.35"/>
    <n v="1089.6099999999999"/>
    <s v="Credit Card"/>
    <s v="CUST_00648"/>
    <n v="4"/>
    <n v="57.350000000000136"/>
    <n v="1089.6099999999999"/>
    <s v="Low"/>
  </r>
  <r>
    <s v="TXN_04511"/>
    <d v="2024-06-21T00:00:00"/>
    <x v="10"/>
    <s v="Friday"/>
    <s v="STORE_050"/>
    <x v="2"/>
    <x v="0"/>
    <x v="32"/>
    <n v="584.82000000000005"/>
    <n v="8"/>
    <n v="4678.5600000000004"/>
    <n v="20"/>
    <n v="935.71"/>
    <n v="3742.85"/>
    <s v="UPI"/>
    <s v="CUST_00641"/>
    <n v="2"/>
    <n v="935.71000000000049"/>
    <n v="467.85624999999999"/>
    <s v="High"/>
  </r>
  <r>
    <s v="TXN_04512"/>
    <d v="2024-06-04T00:00:00"/>
    <x v="10"/>
    <s v="Tuesday"/>
    <s v="STORE_038"/>
    <x v="3"/>
    <x v="6"/>
    <x v="14"/>
    <n v="1665.34"/>
    <n v="3"/>
    <n v="4996.0200000000004"/>
    <n v="15"/>
    <n v="749.4"/>
    <n v="4246.62"/>
    <s v="Debit Card"/>
    <s v="CUST_00412"/>
    <n v="1"/>
    <n v="749.40000000000055"/>
    <n v="1415.54"/>
    <s v="Medium"/>
  </r>
  <r>
    <s v="TXN_04513"/>
    <d v="2024-06-08T00:00:00"/>
    <x v="10"/>
    <s v="Saturday"/>
    <s v="STORE_033"/>
    <x v="1"/>
    <x v="1"/>
    <x v="36"/>
    <n v="122.97"/>
    <n v="5"/>
    <n v="614.85"/>
    <n v="5"/>
    <n v="30.74"/>
    <n v="584.11"/>
    <s v="Credit Card"/>
    <s v="CUST_00943"/>
    <n v="4"/>
    <n v="30.740000000000009"/>
    <n v="116.822"/>
    <s v="Low"/>
  </r>
  <r>
    <s v="TXN_04514"/>
    <d v="2024-05-23T00:00:00"/>
    <x v="3"/>
    <s v="Thursday"/>
    <s v="STORE_039"/>
    <x v="0"/>
    <x v="2"/>
    <x v="39"/>
    <n v="365.81"/>
    <n v="7"/>
    <n v="2560.67"/>
    <n v="0"/>
    <n v="0"/>
    <n v="2560.67"/>
    <s v="Cash"/>
    <s v="CUST_00258"/>
    <n v="5"/>
    <n v="0"/>
    <n v="365.81"/>
    <s v="No Discount"/>
  </r>
  <r>
    <s v="TXN_04515"/>
    <d v="2024-09-08T00:00:00"/>
    <x v="9"/>
    <s v="Sunday"/>
    <s v="STORE_050"/>
    <x v="2"/>
    <x v="2"/>
    <x v="2"/>
    <n v="759.03"/>
    <n v="9"/>
    <n v="6831.27"/>
    <n v="0"/>
    <n v="0"/>
    <n v="6831.27"/>
    <s v="Debit Card"/>
    <s v="CUST_00888"/>
    <n v="5"/>
    <n v="0"/>
    <n v="759.03000000000009"/>
    <s v="No Discount"/>
  </r>
  <r>
    <s v="TXN_04516"/>
    <d v="2024-12-22T00:00:00"/>
    <x v="6"/>
    <s v="Sunday"/>
    <s v="STORE_046"/>
    <x v="4"/>
    <x v="7"/>
    <x v="38"/>
    <n v="1336.74"/>
    <n v="3"/>
    <n v="4010.22"/>
    <n v="0"/>
    <n v="0"/>
    <n v="4010.22"/>
    <s v="Cash"/>
    <s v="CUST_00837"/>
    <n v="4"/>
    <n v="0"/>
    <n v="1336.74"/>
    <s v="No Discount"/>
  </r>
  <r>
    <s v="TXN_04517"/>
    <d v="2024-12-16T00:00:00"/>
    <x v="6"/>
    <s v="Monday"/>
    <s v="STORE_020"/>
    <x v="4"/>
    <x v="5"/>
    <x v="10"/>
    <n v="2830.23"/>
    <n v="6"/>
    <n v="16981.38"/>
    <n v="10"/>
    <n v="1698.14"/>
    <n v="15283.24"/>
    <s v="Credit Card"/>
    <s v="CUST_00932"/>
    <n v="3"/>
    <n v="1698.1400000000012"/>
    <n v="2547.2066666666665"/>
    <s v="Medium"/>
  </r>
  <r>
    <s v="TXN_04518"/>
    <d v="2024-02-20T00:00:00"/>
    <x v="1"/>
    <s v="Tuesday"/>
    <s v="STORE_022"/>
    <x v="4"/>
    <x v="2"/>
    <x v="2"/>
    <n v="722.35"/>
    <n v="10"/>
    <n v="7223.5"/>
    <n v="15"/>
    <n v="1083.52"/>
    <n v="6139.98"/>
    <s v="Cash"/>
    <s v="CUST_00262"/>
    <n v="4"/>
    <n v="1083.5200000000004"/>
    <n v="613.99799999999993"/>
    <s v="Medium"/>
  </r>
  <r>
    <s v="TXN_04519"/>
    <d v="2024-04-26T00:00:00"/>
    <x v="4"/>
    <s v="Friday"/>
    <s v="STORE_048"/>
    <x v="4"/>
    <x v="0"/>
    <x v="0"/>
    <n v="905.58"/>
    <n v="10"/>
    <n v="9055.7999999999993"/>
    <n v="0"/>
    <n v="0"/>
    <n v="9055.7999999999993"/>
    <s v="Cash"/>
    <s v="CUST_00507"/>
    <n v="5"/>
    <n v="0"/>
    <n v="905.57999999999993"/>
    <s v="No Discount"/>
  </r>
  <r>
    <s v="TXN_04520"/>
    <d v="2024-03-09T00:00:00"/>
    <x v="5"/>
    <s v="Saturday"/>
    <s v="STORE_017"/>
    <x v="4"/>
    <x v="6"/>
    <x v="33"/>
    <n v="1627.92"/>
    <n v="8"/>
    <n v="13023.36"/>
    <n v="5"/>
    <n v="651.16999999999996"/>
    <n v="12372.19"/>
    <s v="UPI"/>
    <s v="CUST_00482"/>
    <n v="4"/>
    <n v="651.17000000000007"/>
    <n v="1546.5237500000001"/>
    <s v="Low"/>
  </r>
  <r>
    <s v="TXN_04521"/>
    <d v="2024-06-02T00:00:00"/>
    <x v="10"/>
    <s v="Sunday"/>
    <s v="STORE_023"/>
    <x v="2"/>
    <x v="3"/>
    <x v="5"/>
    <n v="1687.17"/>
    <n v="6"/>
    <n v="10123.02"/>
    <n v="0"/>
    <n v="0"/>
    <n v="10123.02"/>
    <s v="Cash"/>
    <s v="CUST_00577"/>
    <n v="2"/>
    <n v="0"/>
    <n v="1687.17"/>
    <s v="No Discount"/>
  </r>
  <r>
    <s v="TXN_04522"/>
    <d v="2024-08-14T00:00:00"/>
    <x v="8"/>
    <s v="Wednesday"/>
    <s v="STORE_029"/>
    <x v="1"/>
    <x v="7"/>
    <x v="23"/>
    <n v="845.49"/>
    <n v="7"/>
    <n v="5918.43"/>
    <n v="0"/>
    <n v="0"/>
    <n v="5918.43"/>
    <s v="Wallet"/>
    <s v="CUST_00453"/>
    <n v="5"/>
    <n v="0"/>
    <n v="845.49"/>
    <s v="No Discount"/>
  </r>
  <r>
    <s v="TXN_04523"/>
    <d v="2024-06-13T00:00:00"/>
    <x v="10"/>
    <s v="Thursday"/>
    <s v="STORE_006"/>
    <x v="4"/>
    <x v="0"/>
    <x v="4"/>
    <n v="546.02"/>
    <n v="7"/>
    <n v="3822.14"/>
    <n v="20"/>
    <n v="764.43"/>
    <n v="3057.71"/>
    <s v="Credit Card"/>
    <s v="CUST_00124"/>
    <n v="5"/>
    <n v="764.42999999999984"/>
    <n v="436.81571428571431"/>
    <s v="High"/>
  </r>
  <r>
    <s v="TXN_04524"/>
    <d v="2024-05-17T00:00:00"/>
    <x v="3"/>
    <s v="Friday"/>
    <s v="STORE_043"/>
    <x v="4"/>
    <x v="3"/>
    <x v="22"/>
    <n v="658.31"/>
    <n v="5"/>
    <n v="3291.55"/>
    <n v="0"/>
    <n v="0"/>
    <n v="3291.55"/>
    <s v="Cash"/>
    <s v="CUST_00216"/>
    <n v="5"/>
    <n v="0"/>
    <n v="658.31000000000006"/>
    <s v="No Discount"/>
  </r>
  <r>
    <s v="TXN_04525"/>
    <d v="2024-08-01T00:00:00"/>
    <x v="8"/>
    <s v="Thursday"/>
    <s v="STORE_023"/>
    <x v="3"/>
    <x v="7"/>
    <x v="37"/>
    <n v="822.27"/>
    <n v="10"/>
    <n v="8222.7000000000007"/>
    <n v="5"/>
    <n v="411.14"/>
    <n v="7811.56"/>
    <s v="Credit Card"/>
    <s v="CUST_00771"/>
    <n v="5"/>
    <n v="411.14000000000033"/>
    <n v="781.15600000000006"/>
    <s v="Low"/>
  </r>
  <r>
    <s v="TXN_04526"/>
    <d v="2024-11-05T00:00:00"/>
    <x v="0"/>
    <s v="Tuesday"/>
    <s v="STORE_047"/>
    <x v="0"/>
    <x v="1"/>
    <x v="6"/>
    <n v="308.82"/>
    <n v="1"/>
    <n v="308.82"/>
    <n v="15"/>
    <n v="46.32"/>
    <n v="262.5"/>
    <s v="Cash"/>
    <s v="CUST_00816"/>
    <n v="4"/>
    <n v="46.319999999999993"/>
    <n v="262.5"/>
    <s v="Medium"/>
  </r>
  <r>
    <s v="TXN_04527"/>
    <d v="2024-11-26T00:00:00"/>
    <x v="0"/>
    <s v="Tuesday"/>
    <s v="STORE_031"/>
    <x v="3"/>
    <x v="0"/>
    <x v="4"/>
    <n v="237.13"/>
    <n v="5"/>
    <n v="1185.6500000000001"/>
    <n v="20"/>
    <n v="237.13"/>
    <n v="948.52"/>
    <s v="Cash"/>
    <s v="CUST_00939"/>
    <n v="4"/>
    <n v="237.13000000000011"/>
    <n v="189.70400000000001"/>
    <s v="High"/>
  </r>
  <r>
    <s v="TXN_04528"/>
    <d v="2024-02-15T00:00:00"/>
    <x v="1"/>
    <s v="Thursday"/>
    <s v="STORE_009"/>
    <x v="1"/>
    <x v="7"/>
    <x v="24"/>
    <n v="340.86"/>
    <n v="8"/>
    <n v="2726.88"/>
    <n v="20"/>
    <n v="545.38"/>
    <n v="2181.5"/>
    <s v="UPI"/>
    <s v="CUST_00975"/>
    <n v="1"/>
    <n v="545.38000000000011"/>
    <n v="272.6875"/>
    <s v="High"/>
  </r>
  <r>
    <s v="TXN_04529"/>
    <d v="2024-04-06T00:00:00"/>
    <x v="4"/>
    <s v="Saturday"/>
    <s v="STORE_003"/>
    <x v="4"/>
    <x v="6"/>
    <x v="30"/>
    <n v="1039.96"/>
    <n v="5"/>
    <n v="5199.8"/>
    <n v="0"/>
    <n v="0"/>
    <n v="5199.8"/>
    <s v="Wallet"/>
    <s v="CUST_00709"/>
    <n v="3"/>
    <n v="0"/>
    <n v="1039.96"/>
    <s v="No Discount"/>
  </r>
  <r>
    <s v="TXN_04530"/>
    <d v="2024-08-14T00:00:00"/>
    <x v="8"/>
    <s v="Wednesday"/>
    <s v="STORE_032"/>
    <x v="1"/>
    <x v="4"/>
    <x v="19"/>
    <n v="515.51"/>
    <n v="3"/>
    <n v="1546.53"/>
    <n v="0"/>
    <n v="0"/>
    <n v="1546.53"/>
    <s v="UPI"/>
    <s v="CUST_00973"/>
    <n v="2"/>
    <n v="0"/>
    <n v="515.51"/>
    <s v="No Discount"/>
  </r>
  <r>
    <s v="TXN_04531"/>
    <d v="2024-04-18T00:00:00"/>
    <x v="4"/>
    <s v="Thursday"/>
    <s v="STORE_025"/>
    <x v="3"/>
    <x v="2"/>
    <x v="7"/>
    <n v="288.36"/>
    <n v="6"/>
    <n v="1730.16"/>
    <n v="15"/>
    <n v="259.52"/>
    <n v="1470.64"/>
    <s v="Cash"/>
    <s v="CUST_00216"/>
    <n v="4"/>
    <n v="259.52"/>
    <n v="245.10666666666668"/>
    <s v="Medium"/>
  </r>
  <r>
    <s v="TXN_04532"/>
    <d v="2024-07-27T00:00:00"/>
    <x v="11"/>
    <s v="Saturday"/>
    <s v="STORE_037"/>
    <x v="1"/>
    <x v="3"/>
    <x v="22"/>
    <n v="2131.5700000000002"/>
    <n v="3"/>
    <n v="6394.71"/>
    <n v="0"/>
    <n v="0"/>
    <n v="6394.71"/>
    <s v="Cash"/>
    <s v="CUST_00975"/>
    <n v="1"/>
    <n v="0"/>
    <n v="2131.5700000000002"/>
    <s v="No Discount"/>
  </r>
  <r>
    <s v="TXN_04533"/>
    <d v="2024-09-05T00:00:00"/>
    <x v="9"/>
    <s v="Thursday"/>
    <s v="STORE_034"/>
    <x v="0"/>
    <x v="3"/>
    <x v="21"/>
    <n v="2120.31"/>
    <n v="3"/>
    <n v="6360.93"/>
    <n v="5"/>
    <n v="318.05"/>
    <n v="6042.88"/>
    <s v="UPI"/>
    <s v="CUST_00487"/>
    <n v="2"/>
    <n v="318.05000000000018"/>
    <n v="2014.2933333333333"/>
    <s v="Low"/>
  </r>
  <r>
    <s v="TXN_04534"/>
    <d v="2024-09-21T00:00:00"/>
    <x v="9"/>
    <s v="Saturday"/>
    <s v="STORE_046"/>
    <x v="4"/>
    <x v="0"/>
    <x v="27"/>
    <n v="461.59"/>
    <n v="9"/>
    <n v="4154.3100000000004"/>
    <n v="10"/>
    <n v="415.43"/>
    <n v="3738.88"/>
    <s v="UPI"/>
    <s v="CUST_00596"/>
    <n v="1"/>
    <n v="415.43000000000029"/>
    <n v="415.43111111111114"/>
    <s v="Medium"/>
  </r>
  <r>
    <s v="TXN_04535"/>
    <d v="2024-07-10T00:00:00"/>
    <x v="11"/>
    <s v="Wednesday"/>
    <s v="STORE_016"/>
    <x v="3"/>
    <x v="2"/>
    <x v="29"/>
    <n v="614.77"/>
    <n v="7"/>
    <n v="4303.3900000000003"/>
    <n v="20"/>
    <n v="860.68"/>
    <n v="3442.71"/>
    <s v="UPI"/>
    <s v="CUST_00948"/>
    <n v="1"/>
    <n v="860.68000000000029"/>
    <n v="491.81571428571431"/>
    <s v="High"/>
  </r>
  <r>
    <s v="TXN_04536"/>
    <d v="2024-01-29T00:00:00"/>
    <x v="2"/>
    <s v="Monday"/>
    <s v="STORE_044"/>
    <x v="1"/>
    <x v="0"/>
    <x v="27"/>
    <n v="632.24"/>
    <n v="3"/>
    <n v="1896.72"/>
    <n v="20"/>
    <n v="379.34"/>
    <n v="1517.38"/>
    <s v="UPI"/>
    <s v="CUST_00271"/>
    <n v="4"/>
    <n v="379.33999999999992"/>
    <n v="505.79333333333335"/>
    <s v="High"/>
  </r>
  <r>
    <s v="TXN_04537"/>
    <d v="2024-09-20T00:00:00"/>
    <x v="9"/>
    <s v="Friday"/>
    <s v="STORE_004"/>
    <x v="3"/>
    <x v="5"/>
    <x v="10"/>
    <n v="4849.66"/>
    <n v="5"/>
    <n v="24248.3"/>
    <n v="0"/>
    <n v="0"/>
    <n v="24248.3"/>
    <s v="Cash"/>
    <s v="CUST_00618"/>
    <n v="1"/>
    <n v="0"/>
    <n v="4849.66"/>
    <s v="No Discount"/>
  </r>
  <r>
    <s v="TXN_04538"/>
    <d v="2024-03-22T00:00:00"/>
    <x v="5"/>
    <s v="Friday"/>
    <s v="STORE_044"/>
    <x v="4"/>
    <x v="0"/>
    <x v="18"/>
    <n v="545.88"/>
    <n v="4"/>
    <n v="2183.52"/>
    <n v="5"/>
    <n v="109.18"/>
    <n v="2074.34"/>
    <s v="UPI"/>
    <s v="CUST_00263"/>
    <n v="4"/>
    <n v="109.17999999999984"/>
    <n v="518.58500000000004"/>
    <s v="Low"/>
  </r>
  <r>
    <s v="TXN_04539"/>
    <d v="2024-02-03T00:00:00"/>
    <x v="1"/>
    <s v="Saturday"/>
    <s v="STORE_038"/>
    <x v="2"/>
    <x v="5"/>
    <x v="25"/>
    <n v="2963.89"/>
    <n v="7"/>
    <n v="20747.23"/>
    <n v="0"/>
    <n v="0"/>
    <n v="20747.23"/>
    <s v="Wallet"/>
    <s v="CUST_00399"/>
    <n v="1"/>
    <n v="0"/>
    <n v="2963.89"/>
    <s v="No Discount"/>
  </r>
  <r>
    <s v="TXN_04540"/>
    <d v="2024-06-08T00:00:00"/>
    <x v="10"/>
    <s v="Saturday"/>
    <s v="STORE_022"/>
    <x v="4"/>
    <x v="3"/>
    <x v="5"/>
    <n v="1829.44"/>
    <n v="1"/>
    <n v="1829.44"/>
    <n v="20"/>
    <n v="365.89"/>
    <n v="1463.55"/>
    <s v="UPI"/>
    <s v="CUST_00181"/>
    <n v="2"/>
    <n v="365.8900000000001"/>
    <n v="1463.55"/>
    <s v="High"/>
  </r>
  <r>
    <s v="TXN_04541"/>
    <d v="2024-12-29T00:00:00"/>
    <x v="6"/>
    <s v="Sunday"/>
    <s v="STORE_040"/>
    <x v="3"/>
    <x v="4"/>
    <x v="8"/>
    <n v="194.6"/>
    <n v="10"/>
    <n v="1946"/>
    <n v="0"/>
    <n v="0"/>
    <n v="1946"/>
    <s v="Cash"/>
    <s v="CUST_00543"/>
    <n v="4"/>
    <n v="0"/>
    <n v="194.6"/>
    <s v="No Discount"/>
  </r>
  <r>
    <s v="TXN_04542"/>
    <d v="2024-09-16T00:00:00"/>
    <x v="9"/>
    <s v="Monday"/>
    <s v="STORE_043"/>
    <x v="2"/>
    <x v="6"/>
    <x v="33"/>
    <n v="1437.32"/>
    <n v="3"/>
    <n v="4311.96"/>
    <n v="0"/>
    <n v="0"/>
    <n v="4311.96"/>
    <s v="Credit Card"/>
    <s v="CUST_00022"/>
    <n v="4"/>
    <n v="0"/>
    <n v="1437.32"/>
    <s v="No Discount"/>
  </r>
  <r>
    <s v="TXN_04543"/>
    <d v="2024-07-25T00:00:00"/>
    <x v="11"/>
    <s v="Thursday"/>
    <s v="STORE_010"/>
    <x v="0"/>
    <x v="7"/>
    <x v="38"/>
    <n v="558.91"/>
    <n v="5"/>
    <n v="2794.55"/>
    <n v="20"/>
    <n v="558.91"/>
    <n v="2235.64"/>
    <s v="Wallet"/>
    <s v="CUST_00970"/>
    <n v="1"/>
    <n v="558.91000000000031"/>
    <n v="447.12799999999999"/>
    <s v="High"/>
  </r>
  <r>
    <s v="TXN_04544"/>
    <d v="2024-03-10T00:00:00"/>
    <x v="5"/>
    <s v="Sunday"/>
    <s v="STORE_040"/>
    <x v="1"/>
    <x v="1"/>
    <x v="6"/>
    <n v="154.26"/>
    <n v="7"/>
    <n v="1079.82"/>
    <n v="10"/>
    <n v="107.98"/>
    <n v="971.84"/>
    <s v="Debit Card"/>
    <s v="CUST_00101"/>
    <n v="3"/>
    <n v="107.9799999999999"/>
    <n v="138.83428571428573"/>
    <s v="Medium"/>
  </r>
  <r>
    <s v="TXN_04545"/>
    <d v="2024-09-25T00:00:00"/>
    <x v="9"/>
    <s v="Wednesday"/>
    <s v="STORE_040"/>
    <x v="2"/>
    <x v="6"/>
    <x v="30"/>
    <n v="1545.06"/>
    <n v="10"/>
    <n v="15450.6"/>
    <n v="15"/>
    <n v="2317.59"/>
    <n v="13133.01"/>
    <s v="Cash"/>
    <s v="CUST_00121"/>
    <n v="5"/>
    <n v="2317.59"/>
    <n v="1313.3009999999999"/>
    <s v="Medium"/>
  </r>
  <r>
    <s v="TXN_04546"/>
    <d v="2024-10-18T00:00:00"/>
    <x v="7"/>
    <s v="Friday"/>
    <s v="STORE_005"/>
    <x v="2"/>
    <x v="5"/>
    <x v="10"/>
    <n v="4388.2"/>
    <n v="7"/>
    <n v="30717.4"/>
    <n v="0"/>
    <n v="0"/>
    <n v="30717.4"/>
    <s v="Credit Card"/>
    <s v="CUST_00556"/>
    <n v="2"/>
    <n v="0"/>
    <n v="4388.2"/>
    <s v="No Discount"/>
  </r>
  <r>
    <s v="TXN_04547"/>
    <d v="2024-01-15T00:00:00"/>
    <x v="2"/>
    <s v="Monday"/>
    <s v="STORE_023"/>
    <x v="4"/>
    <x v="5"/>
    <x v="10"/>
    <n v="2848.59"/>
    <n v="10"/>
    <n v="28485.9"/>
    <n v="0"/>
    <n v="0"/>
    <n v="28485.9"/>
    <s v="Cash"/>
    <s v="CUST_00358"/>
    <n v="4"/>
    <n v="0"/>
    <n v="2848.59"/>
    <s v="No Discount"/>
  </r>
  <r>
    <s v="TXN_04548"/>
    <d v="2024-03-29T00:00:00"/>
    <x v="5"/>
    <s v="Friday"/>
    <s v="STORE_037"/>
    <x v="2"/>
    <x v="7"/>
    <x v="28"/>
    <n v="1084.23"/>
    <n v="1"/>
    <n v="1084.23"/>
    <n v="20"/>
    <n v="216.85"/>
    <n v="867.38"/>
    <s v="Debit Card"/>
    <s v="CUST_00377"/>
    <n v="2"/>
    <n v="216.85000000000002"/>
    <n v="867.38"/>
    <s v="High"/>
  </r>
  <r>
    <s v="TXN_04549"/>
    <d v="2024-04-08T00:00:00"/>
    <x v="4"/>
    <s v="Monday"/>
    <s v="STORE_037"/>
    <x v="1"/>
    <x v="0"/>
    <x v="4"/>
    <n v="743.98"/>
    <n v="10"/>
    <n v="7439.8"/>
    <n v="0"/>
    <n v="0"/>
    <n v="7439.8"/>
    <s v="Debit Card"/>
    <s v="CUST_00847"/>
    <n v="2"/>
    <n v="0"/>
    <n v="743.98"/>
    <s v="No Discount"/>
  </r>
  <r>
    <s v="TXN_04550"/>
    <d v="2024-04-12T00:00:00"/>
    <x v="4"/>
    <s v="Friday"/>
    <s v="STORE_034"/>
    <x v="4"/>
    <x v="3"/>
    <x v="16"/>
    <n v="2091.86"/>
    <n v="8"/>
    <n v="16734.88"/>
    <n v="0"/>
    <n v="0"/>
    <n v="16734.88"/>
    <s v="Cash"/>
    <s v="CUST_00308"/>
    <n v="2"/>
    <n v="0"/>
    <n v="2091.86"/>
    <s v="No Discount"/>
  </r>
  <r>
    <s v="TXN_04551"/>
    <d v="2024-01-30T00:00:00"/>
    <x v="2"/>
    <s v="Tuesday"/>
    <s v="STORE_041"/>
    <x v="1"/>
    <x v="0"/>
    <x v="0"/>
    <n v="579.24"/>
    <n v="8"/>
    <n v="4633.92"/>
    <n v="0"/>
    <n v="0"/>
    <n v="4633.92"/>
    <s v="Cash"/>
    <s v="CUST_00055"/>
    <n v="5"/>
    <n v="0"/>
    <n v="579.24"/>
    <s v="No Discount"/>
  </r>
  <r>
    <s v="TXN_04552"/>
    <d v="2024-05-07T00:00:00"/>
    <x v="3"/>
    <s v="Tuesday"/>
    <s v="STORE_009"/>
    <x v="2"/>
    <x v="3"/>
    <x v="21"/>
    <n v="2485.62"/>
    <n v="3"/>
    <n v="7456.86"/>
    <n v="20"/>
    <n v="1491.37"/>
    <n v="5965.49"/>
    <s v="UPI"/>
    <s v="CUST_00465"/>
    <n v="4"/>
    <n v="1491.37"/>
    <n v="1988.4966666666667"/>
    <s v="High"/>
  </r>
  <r>
    <s v="TXN_04553"/>
    <d v="2024-01-17T00:00:00"/>
    <x v="2"/>
    <s v="Wednesday"/>
    <s v="STORE_013"/>
    <x v="0"/>
    <x v="3"/>
    <x v="21"/>
    <n v="1322.89"/>
    <n v="6"/>
    <n v="7937.34"/>
    <n v="0"/>
    <n v="0"/>
    <n v="7937.34"/>
    <s v="Cash"/>
    <s v="CUST_00435"/>
    <n v="3"/>
    <n v="0"/>
    <n v="1322.89"/>
    <s v="No Discount"/>
  </r>
  <r>
    <s v="TXN_04554"/>
    <d v="2024-08-21T00:00:00"/>
    <x v="8"/>
    <s v="Wednesday"/>
    <s v="STORE_016"/>
    <x v="3"/>
    <x v="1"/>
    <x v="3"/>
    <n v="322.85000000000002"/>
    <n v="5"/>
    <n v="1614.25"/>
    <n v="20"/>
    <n v="322.85000000000002"/>
    <n v="1291.4000000000001"/>
    <s v="Cash"/>
    <s v="CUST_00148"/>
    <n v="5"/>
    <n v="322.84999999999991"/>
    <n v="258.28000000000003"/>
    <s v="High"/>
  </r>
  <r>
    <s v="TXN_04555"/>
    <d v="2024-01-26T00:00:00"/>
    <x v="2"/>
    <s v="Friday"/>
    <s v="STORE_043"/>
    <x v="4"/>
    <x v="0"/>
    <x v="27"/>
    <n v="774.96"/>
    <n v="8"/>
    <n v="6199.68"/>
    <n v="10"/>
    <n v="619.97"/>
    <n v="5579.71"/>
    <s v="Debit Card"/>
    <s v="CUST_00584"/>
    <n v="5"/>
    <n v="619.97000000000025"/>
    <n v="697.46375"/>
    <s v="Medium"/>
  </r>
  <r>
    <s v="TXN_04556"/>
    <d v="2024-07-03T00:00:00"/>
    <x v="11"/>
    <s v="Wednesday"/>
    <s v="STORE_029"/>
    <x v="0"/>
    <x v="2"/>
    <x v="7"/>
    <n v="155.47999999999999"/>
    <n v="3"/>
    <n v="466.44"/>
    <n v="20"/>
    <n v="93.29"/>
    <n v="373.15"/>
    <s v="Wallet"/>
    <s v="CUST_00519"/>
    <n v="4"/>
    <n v="93.29000000000002"/>
    <n v="124.38333333333333"/>
    <s v="High"/>
  </r>
  <r>
    <s v="TXN_04557"/>
    <d v="2024-12-26T00:00:00"/>
    <x v="6"/>
    <s v="Thursday"/>
    <s v="STORE_004"/>
    <x v="1"/>
    <x v="1"/>
    <x v="1"/>
    <n v="165.7"/>
    <n v="9"/>
    <n v="1491.3"/>
    <n v="5"/>
    <n v="74.56"/>
    <n v="1416.74"/>
    <s v="Wallet"/>
    <s v="CUST_00019"/>
    <n v="1"/>
    <n v="74.559999999999945"/>
    <n v="157.41555555555556"/>
    <s v="Low"/>
  </r>
  <r>
    <s v="TXN_04558"/>
    <d v="2024-04-11T00:00:00"/>
    <x v="4"/>
    <s v="Thursday"/>
    <s v="STORE_025"/>
    <x v="1"/>
    <x v="1"/>
    <x v="1"/>
    <n v="367.23"/>
    <n v="3"/>
    <n v="1101.69"/>
    <n v="10"/>
    <n v="110.17"/>
    <n v="991.52"/>
    <s v="UPI"/>
    <s v="CUST_00188"/>
    <n v="5"/>
    <n v="110.17000000000007"/>
    <n v="330.50666666666666"/>
    <s v="Medium"/>
  </r>
  <r>
    <s v="TXN_04559"/>
    <d v="2024-05-20T00:00:00"/>
    <x v="3"/>
    <s v="Monday"/>
    <s v="STORE_004"/>
    <x v="0"/>
    <x v="2"/>
    <x v="2"/>
    <n v="620.55999999999995"/>
    <n v="8"/>
    <n v="4964.4799999999996"/>
    <n v="0"/>
    <n v="0"/>
    <n v="4964.4799999999996"/>
    <s v="Credit Card"/>
    <s v="CUST_00019"/>
    <n v="5"/>
    <n v="0"/>
    <n v="620.55999999999995"/>
    <s v="No Discount"/>
  </r>
  <r>
    <s v="TXN_04560"/>
    <d v="2024-07-07T00:00:00"/>
    <x v="11"/>
    <s v="Sunday"/>
    <s v="STORE_005"/>
    <x v="0"/>
    <x v="2"/>
    <x v="2"/>
    <n v="284.70999999999998"/>
    <n v="1"/>
    <n v="284.70999999999998"/>
    <n v="5"/>
    <n v="14.24"/>
    <n v="270.47000000000003"/>
    <s v="Credit Card"/>
    <s v="CUST_00610"/>
    <n v="5"/>
    <n v="14.239999999999952"/>
    <n v="270.47000000000003"/>
    <s v="Low"/>
  </r>
  <r>
    <s v="TXN_04561"/>
    <d v="2024-08-25T00:00:00"/>
    <x v="8"/>
    <s v="Sunday"/>
    <s v="STORE_028"/>
    <x v="1"/>
    <x v="2"/>
    <x v="29"/>
    <n v="650.70000000000005"/>
    <n v="4"/>
    <n v="2602.8000000000002"/>
    <n v="5"/>
    <n v="130.13999999999999"/>
    <n v="2472.66"/>
    <s v="Credit Card"/>
    <s v="CUST_00449"/>
    <n v="2"/>
    <n v="130.14000000000033"/>
    <n v="618.16499999999996"/>
    <s v="Low"/>
  </r>
  <r>
    <s v="TXN_04562"/>
    <d v="2024-09-15T00:00:00"/>
    <x v="9"/>
    <s v="Sunday"/>
    <s v="STORE_002"/>
    <x v="2"/>
    <x v="7"/>
    <x v="24"/>
    <n v="1044.3900000000001"/>
    <n v="4"/>
    <n v="4177.5600000000004"/>
    <n v="20"/>
    <n v="835.51"/>
    <n v="3342.05"/>
    <s v="Cash"/>
    <s v="CUST_00597"/>
    <n v="3"/>
    <n v="835.51000000000022"/>
    <n v="835.51250000000005"/>
    <s v="High"/>
  </r>
  <r>
    <s v="TXN_04563"/>
    <d v="2024-07-22T00:00:00"/>
    <x v="11"/>
    <s v="Monday"/>
    <s v="STORE_008"/>
    <x v="1"/>
    <x v="3"/>
    <x v="22"/>
    <n v="785.27"/>
    <n v="2"/>
    <n v="1570.54"/>
    <n v="15"/>
    <n v="235.58"/>
    <n v="1334.96"/>
    <s v="Credit Card"/>
    <s v="CUST_00524"/>
    <n v="1"/>
    <n v="235.57999999999993"/>
    <n v="667.48"/>
    <s v="Medium"/>
  </r>
  <r>
    <s v="TXN_04564"/>
    <d v="2024-11-21T00:00:00"/>
    <x v="0"/>
    <s v="Thursday"/>
    <s v="STORE_004"/>
    <x v="2"/>
    <x v="2"/>
    <x v="39"/>
    <n v="376.97"/>
    <n v="4"/>
    <n v="1507.88"/>
    <n v="0"/>
    <n v="0"/>
    <n v="1507.88"/>
    <s v="Debit Card"/>
    <s v="CUST_00742"/>
    <n v="4"/>
    <n v="0"/>
    <n v="376.97"/>
    <s v="No Discount"/>
  </r>
  <r>
    <s v="TXN_04565"/>
    <d v="2024-03-04T00:00:00"/>
    <x v="5"/>
    <s v="Monday"/>
    <s v="STORE_027"/>
    <x v="2"/>
    <x v="7"/>
    <x v="37"/>
    <n v="630.28"/>
    <n v="4"/>
    <n v="2521.12"/>
    <n v="0"/>
    <n v="0"/>
    <n v="2521.12"/>
    <s v="UPI"/>
    <s v="CUST_00822"/>
    <n v="3"/>
    <n v="0"/>
    <n v="630.28"/>
    <s v="No Discount"/>
  </r>
  <r>
    <s v="TXN_04566"/>
    <d v="2024-12-14T00:00:00"/>
    <x v="6"/>
    <s v="Saturday"/>
    <s v="STORE_030"/>
    <x v="0"/>
    <x v="1"/>
    <x v="31"/>
    <n v="53.07"/>
    <n v="2"/>
    <n v="106.14"/>
    <n v="15"/>
    <n v="15.92"/>
    <n v="90.22"/>
    <s v="UPI"/>
    <s v="CUST_00242"/>
    <n v="2"/>
    <n v="15.920000000000002"/>
    <n v="45.11"/>
    <s v="Medium"/>
  </r>
  <r>
    <s v="TXN_04567"/>
    <d v="2024-01-16T00:00:00"/>
    <x v="2"/>
    <s v="Tuesday"/>
    <s v="STORE_011"/>
    <x v="3"/>
    <x v="1"/>
    <x v="36"/>
    <n v="87.54"/>
    <n v="1"/>
    <n v="87.54"/>
    <n v="0"/>
    <n v="0"/>
    <n v="87.54"/>
    <s v="Cash"/>
    <s v="CUST_00161"/>
    <n v="5"/>
    <n v="0"/>
    <n v="87.54"/>
    <s v="No Discount"/>
  </r>
  <r>
    <s v="TXN_04568"/>
    <d v="2024-05-03T00:00:00"/>
    <x v="3"/>
    <s v="Friday"/>
    <s v="STORE_001"/>
    <x v="2"/>
    <x v="7"/>
    <x v="23"/>
    <n v="1039.9000000000001"/>
    <n v="3"/>
    <n v="3119.7"/>
    <n v="20"/>
    <n v="623.94000000000005"/>
    <n v="2495.7600000000002"/>
    <s v="Debit Card"/>
    <s v="CUST_00426"/>
    <n v="3"/>
    <n v="623.9399999999996"/>
    <n v="831.92000000000007"/>
    <s v="High"/>
  </r>
  <r>
    <s v="TXN_04569"/>
    <d v="2024-07-09T00:00:00"/>
    <x v="11"/>
    <s v="Tuesday"/>
    <s v="STORE_026"/>
    <x v="2"/>
    <x v="7"/>
    <x v="38"/>
    <n v="929.06"/>
    <n v="6"/>
    <n v="5574.36"/>
    <n v="0"/>
    <n v="0"/>
    <n v="5574.36"/>
    <s v="Wallet"/>
    <s v="CUST_00176"/>
    <n v="4"/>
    <n v="0"/>
    <n v="929.06"/>
    <s v="No Discount"/>
  </r>
  <r>
    <s v="TXN_04570"/>
    <d v="2024-09-07T00:00:00"/>
    <x v="9"/>
    <s v="Saturday"/>
    <s v="STORE_047"/>
    <x v="2"/>
    <x v="4"/>
    <x v="8"/>
    <n v="589.13"/>
    <n v="5"/>
    <n v="2945.65"/>
    <n v="0"/>
    <n v="0"/>
    <n v="2945.65"/>
    <s v="Cash"/>
    <s v="CUST_00855"/>
    <n v="5"/>
    <n v="0"/>
    <n v="589.13"/>
    <s v="No Discount"/>
  </r>
  <r>
    <s v="TXN_04571"/>
    <d v="2024-10-31T00:00:00"/>
    <x v="7"/>
    <s v="Thursday"/>
    <s v="STORE_020"/>
    <x v="1"/>
    <x v="2"/>
    <x v="13"/>
    <n v="158.41999999999999"/>
    <n v="9"/>
    <n v="1425.78"/>
    <n v="15"/>
    <n v="213.87"/>
    <n v="1211.9100000000001"/>
    <s v="Credit Card"/>
    <s v="CUST_00054"/>
    <n v="1"/>
    <n v="213.86999999999989"/>
    <n v="134.65666666666667"/>
    <s v="Medium"/>
  </r>
  <r>
    <s v="TXN_04572"/>
    <d v="2024-08-16T00:00:00"/>
    <x v="8"/>
    <s v="Friday"/>
    <s v="STORE_021"/>
    <x v="4"/>
    <x v="7"/>
    <x v="24"/>
    <n v="1195.6300000000001"/>
    <n v="2"/>
    <n v="2391.2600000000002"/>
    <n v="15"/>
    <n v="358.69"/>
    <n v="2032.57"/>
    <s v="Credit Card"/>
    <s v="CUST_00991"/>
    <n v="5"/>
    <n v="358.69000000000028"/>
    <n v="1016.285"/>
    <s v="Medium"/>
  </r>
  <r>
    <s v="TXN_04573"/>
    <d v="2024-03-31T00:00:00"/>
    <x v="5"/>
    <s v="Sunday"/>
    <s v="STORE_050"/>
    <x v="0"/>
    <x v="0"/>
    <x v="18"/>
    <n v="864.42"/>
    <n v="3"/>
    <n v="2593.2600000000002"/>
    <n v="5"/>
    <n v="129.66"/>
    <n v="2463.6"/>
    <s v="UPI"/>
    <s v="CUST_00819"/>
    <n v="5"/>
    <n v="129.66000000000031"/>
    <n v="821.19999999999993"/>
    <s v="Low"/>
  </r>
  <r>
    <s v="TXN_04574"/>
    <d v="2024-08-30T00:00:00"/>
    <x v="8"/>
    <s v="Friday"/>
    <s v="STORE_021"/>
    <x v="1"/>
    <x v="2"/>
    <x v="13"/>
    <n v="797.68"/>
    <n v="10"/>
    <n v="7976.8"/>
    <n v="5"/>
    <n v="398.84"/>
    <n v="7577.96"/>
    <s v="UPI"/>
    <s v="CUST_00935"/>
    <n v="1"/>
    <n v="398.84000000000015"/>
    <n v="757.79600000000005"/>
    <s v="Low"/>
  </r>
  <r>
    <s v="TXN_04575"/>
    <d v="2024-10-27T00:00:00"/>
    <x v="7"/>
    <s v="Sunday"/>
    <s v="STORE_011"/>
    <x v="0"/>
    <x v="4"/>
    <x v="19"/>
    <n v="217.35"/>
    <n v="8"/>
    <n v="1738.8"/>
    <n v="0"/>
    <n v="0"/>
    <n v="1738.8"/>
    <s v="Credit Card"/>
    <s v="CUST_00318"/>
    <n v="3"/>
    <n v="0"/>
    <n v="217.35"/>
    <s v="No Discount"/>
  </r>
  <r>
    <s v="TXN_04576"/>
    <d v="2024-10-09T00:00:00"/>
    <x v="7"/>
    <s v="Wednesday"/>
    <s v="STORE_027"/>
    <x v="2"/>
    <x v="0"/>
    <x v="32"/>
    <n v="805.7"/>
    <n v="7"/>
    <n v="5639.9"/>
    <n v="10"/>
    <n v="563.99"/>
    <n v="5075.91"/>
    <s v="Cash"/>
    <s v="CUST_00800"/>
    <n v="5"/>
    <n v="563.98999999999978"/>
    <n v="725.13"/>
    <s v="Medium"/>
  </r>
  <r>
    <s v="TXN_04577"/>
    <d v="2024-06-28T00:00:00"/>
    <x v="10"/>
    <s v="Friday"/>
    <s v="STORE_032"/>
    <x v="3"/>
    <x v="1"/>
    <x v="6"/>
    <n v="433.73"/>
    <n v="2"/>
    <n v="867.46"/>
    <n v="15"/>
    <n v="130.12"/>
    <n v="737.34"/>
    <s v="Wallet"/>
    <s v="CUST_00112"/>
    <n v="2"/>
    <n v="130.12"/>
    <n v="368.67"/>
    <s v="Medium"/>
  </r>
  <r>
    <s v="TXN_04578"/>
    <d v="2024-06-25T00:00:00"/>
    <x v="10"/>
    <s v="Tuesday"/>
    <s v="STORE_036"/>
    <x v="2"/>
    <x v="7"/>
    <x v="24"/>
    <n v="974.11"/>
    <n v="2"/>
    <n v="1948.22"/>
    <n v="5"/>
    <n v="97.41"/>
    <n v="1850.81"/>
    <s v="Credit Card"/>
    <s v="CUST_00970"/>
    <n v="3"/>
    <n v="97.410000000000082"/>
    <n v="925.40499999999997"/>
    <s v="Low"/>
  </r>
  <r>
    <s v="TXN_04579"/>
    <d v="2024-03-24T00:00:00"/>
    <x v="5"/>
    <s v="Sunday"/>
    <s v="STORE_036"/>
    <x v="0"/>
    <x v="7"/>
    <x v="23"/>
    <n v="899.06"/>
    <n v="6"/>
    <n v="5394.36"/>
    <n v="0"/>
    <n v="0"/>
    <n v="5394.36"/>
    <s v="UPI"/>
    <s v="CUST_00412"/>
    <n v="1"/>
    <n v="0"/>
    <n v="899.06"/>
    <s v="No Discount"/>
  </r>
  <r>
    <s v="TXN_04580"/>
    <d v="2024-05-12T00:00:00"/>
    <x v="3"/>
    <s v="Sunday"/>
    <s v="STORE_047"/>
    <x v="1"/>
    <x v="1"/>
    <x v="3"/>
    <n v="221.64"/>
    <n v="6"/>
    <n v="1329.84"/>
    <n v="0"/>
    <n v="0"/>
    <n v="1329.84"/>
    <s v="Cash"/>
    <s v="CUST_00094"/>
    <n v="3"/>
    <n v="0"/>
    <n v="221.64"/>
    <s v="No Discount"/>
  </r>
  <r>
    <s v="TXN_04581"/>
    <d v="2024-12-18T00:00:00"/>
    <x v="6"/>
    <s v="Wednesday"/>
    <s v="STORE_032"/>
    <x v="2"/>
    <x v="2"/>
    <x v="39"/>
    <n v="622.62"/>
    <n v="10"/>
    <n v="6226.2"/>
    <n v="0"/>
    <n v="0"/>
    <n v="6226.2"/>
    <s v="Debit Card"/>
    <s v="CUST_00543"/>
    <n v="4"/>
    <n v="0"/>
    <n v="622.62"/>
    <s v="No Discount"/>
  </r>
  <r>
    <s v="TXN_04582"/>
    <d v="2024-02-16T00:00:00"/>
    <x v="1"/>
    <s v="Friday"/>
    <s v="STORE_029"/>
    <x v="4"/>
    <x v="6"/>
    <x v="15"/>
    <n v="1772.07"/>
    <n v="2"/>
    <n v="3544.14"/>
    <n v="0"/>
    <n v="0"/>
    <n v="3544.14"/>
    <s v="Credit Card"/>
    <s v="CUST_00674"/>
    <n v="2"/>
    <n v="0"/>
    <n v="1772.07"/>
    <s v="No Discount"/>
  </r>
  <r>
    <s v="TXN_04583"/>
    <d v="2024-05-25T00:00:00"/>
    <x v="3"/>
    <s v="Saturday"/>
    <s v="STORE_019"/>
    <x v="0"/>
    <x v="0"/>
    <x v="0"/>
    <n v="528.57000000000005"/>
    <n v="5"/>
    <n v="2642.85"/>
    <n v="10"/>
    <n v="264.29000000000002"/>
    <n v="2378.56"/>
    <s v="UPI"/>
    <s v="CUST_00261"/>
    <n v="1"/>
    <n v="264.28999999999996"/>
    <n v="475.71199999999999"/>
    <s v="Medium"/>
  </r>
  <r>
    <s v="TXN_04584"/>
    <d v="2024-01-15T00:00:00"/>
    <x v="2"/>
    <s v="Monday"/>
    <s v="STORE_001"/>
    <x v="3"/>
    <x v="7"/>
    <x v="37"/>
    <n v="1170.74"/>
    <n v="9"/>
    <n v="10536.66"/>
    <n v="0"/>
    <n v="0"/>
    <n v="10536.66"/>
    <s v="Cash"/>
    <s v="CUST_01000"/>
    <n v="2"/>
    <n v="0"/>
    <n v="1170.74"/>
    <s v="No Discount"/>
  </r>
  <r>
    <s v="TXN_04585"/>
    <d v="2024-07-16T00:00:00"/>
    <x v="11"/>
    <s v="Tuesday"/>
    <s v="STORE_005"/>
    <x v="1"/>
    <x v="0"/>
    <x v="27"/>
    <n v="262.88"/>
    <n v="1"/>
    <n v="262.88"/>
    <n v="0"/>
    <n v="0"/>
    <n v="262.88"/>
    <s v="UPI"/>
    <s v="CUST_00226"/>
    <n v="5"/>
    <n v="0"/>
    <n v="262.88"/>
    <s v="No Discount"/>
  </r>
  <r>
    <s v="TXN_04586"/>
    <d v="2024-01-26T00:00:00"/>
    <x v="2"/>
    <s v="Friday"/>
    <s v="STORE_048"/>
    <x v="3"/>
    <x v="0"/>
    <x v="32"/>
    <n v="661.43"/>
    <n v="3"/>
    <n v="1984.29"/>
    <n v="15"/>
    <n v="297.64"/>
    <n v="1686.65"/>
    <s v="Debit Card"/>
    <s v="CUST_00401"/>
    <n v="5"/>
    <n v="297.63999999999987"/>
    <n v="562.2166666666667"/>
    <s v="Medium"/>
  </r>
  <r>
    <s v="TXN_04587"/>
    <d v="2024-03-24T00:00:00"/>
    <x v="5"/>
    <s v="Sunday"/>
    <s v="STORE_006"/>
    <x v="1"/>
    <x v="0"/>
    <x v="18"/>
    <n v="746.54"/>
    <n v="6"/>
    <n v="4479.24"/>
    <n v="0"/>
    <n v="0"/>
    <n v="4479.24"/>
    <s v="Credit Card"/>
    <s v="CUST_00039"/>
    <n v="4"/>
    <n v="0"/>
    <n v="746.54"/>
    <s v="No Discount"/>
  </r>
  <r>
    <s v="TXN_04588"/>
    <d v="2024-10-19T00:00:00"/>
    <x v="7"/>
    <s v="Saturday"/>
    <s v="STORE_049"/>
    <x v="2"/>
    <x v="6"/>
    <x v="33"/>
    <n v="1148.6300000000001"/>
    <n v="2"/>
    <n v="2297.2600000000002"/>
    <n v="15"/>
    <n v="344.59"/>
    <n v="1952.67"/>
    <s v="UPI"/>
    <s v="CUST_00728"/>
    <n v="3"/>
    <n v="344.59000000000015"/>
    <n v="976.33500000000004"/>
    <s v="Medium"/>
  </r>
  <r>
    <s v="TXN_04589"/>
    <d v="2024-04-19T00:00:00"/>
    <x v="4"/>
    <s v="Friday"/>
    <s v="STORE_033"/>
    <x v="1"/>
    <x v="6"/>
    <x v="30"/>
    <n v="1848.68"/>
    <n v="8"/>
    <n v="14789.44"/>
    <n v="10"/>
    <n v="1478.94"/>
    <n v="13310.5"/>
    <s v="Cash"/>
    <s v="CUST_00998"/>
    <n v="2"/>
    <n v="1478.9400000000005"/>
    <n v="1663.8125"/>
    <s v="Medium"/>
  </r>
  <r>
    <s v="TXN_04590"/>
    <d v="2024-04-23T00:00:00"/>
    <x v="4"/>
    <s v="Tuesday"/>
    <s v="STORE_031"/>
    <x v="2"/>
    <x v="4"/>
    <x v="35"/>
    <n v="355.45"/>
    <n v="2"/>
    <n v="710.9"/>
    <n v="10"/>
    <n v="71.09"/>
    <n v="639.80999999999995"/>
    <s v="UPI"/>
    <s v="CUST_00444"/>
    <n v="4"/>
    <n v="71.090000000000032"/>
    <n v="319.90499999999997"/>
    <s v="Medium"/>
  </r>
  <r>
    <s v="TXN_04591"/>
    <d v="2024-11-27T00:00:00"/>
    <x v="0"/>
    <s v="Wednesday"/>
    <s v="STORE_036"/>
    <x v="0"/>
    <x v="0"/>
    <x v="4"/>
    <n v="304.98"/>
    <n v="2"/>
    <n v="609.96"/>
    <n v="10"/>
    <n v="61"/>
    <n v="548.96"/>
    <s v="Debit Card"/>
    <s v="CUST_00307"/>
    <n v="2"/>
    <n v="61"/>
    <n v="274.48"/>
    <s v="Medium"/>
  </r>
  <r>
    <s v="TXN_04592"/>
    <d v="2024-04-25T00:00:00"/>
    <x v="4"/>
    <s v="Thursday"/>
    <s v="STORE_024"/>
    <x v="0"/>
    <x v="7"/>
    <x v="24"/>
    <n v="546.36"/>
    <n v="10"/>
    <n v="5463.6"/>
    <n v="20"/>
    <n v="1092.72"/>
    <n v="4370.88"/>
    <s v="Debit Card"/>
    <s v="CUST_00464"/>
    <n v="1"/>
    <n v="1092.7200000000003"/>
    <n v="437.08800000000002"/>
    <s v="High"/>
  </r>
  <r>
    <s v="TXN_04593"/>
    <d v="2024-12-12T00:00:00"/>
    <x v="6"/>
    <s v="Thursday"/>
    <s v="STORE_030"/>
    <x v="1"/>
    <x v="5"/>
    <x v="25"/>
    <n v="3488.64"/>
    <n v="9"/>
    <n v="31397.759999999998"/>
    <n v="0"/>
    <n v="0"/>
    <n v="31397.759999999998"/>
    <s v="Debit Card"/>
    <s v="CUST_00804"/>
    <n v="4"/>
    <n v="0"/>
    <n v="3488.64"/>
    <s v="No Discount"/>
  </r>
  <r>
    <s v="TXN_04594"/>
    <d v="2024-04-15T00:00:00"/>
    <x v="4"/>
    <s v="Monday"/>
    <s v="STORE_038"/>
    <x v="4"/>
    <x v="6"/>
    <x v="26"/>
    <n v="1516.81"/>
    <n v="2"/>
    <n v="3033.62"/>
    <n v="0"/>
    <n v="0"/>
    <n v="3033.62"/>
    <s v="Credit Card"/>
    <s v="CUST_00828"/>
    <n v="3"/>
    <n v="0"/>
    <n v="1516.81"/>
    <s v="No Discount"/>
  </r>
  <r>
    <s v="TXN_04595"/>
    <d v="2024-05-17T00:00:00"/>
    <x v="3"/>
    <s v="Friday"/>
    <s v="STORE_002"/>
    <x v="2"/>
    <x v="2"/>
    <x v="39"/>
    <n v="581.65"/>
    <n v="7"/>
    <n v="4071.55"/>
    <n v="10"/>
    <n v="407.16"/>
    <n v="3664.39"/>
    <s v="Wallet"/>
    <s v="CUST_00181"/>
    <n v="5"/>
    <n v="407.16000000000031"/>
    <n v="523.48428571428565"/>
    <s v="Medium"/>
  </r>
  <r>
    <s v="TXN_04596"/>
    <d v="2024-11-29T00:00:00"/>
    <x v="0"/>
    <s v="Friday"/>
    <s v="STORE_027"/>
    <x v="2"/>
    <x v="5"/>
    <x v="25"/>
    <n v="4021.37"/>
    <n v="3"/>
    <n v="12064.11"/>
    <n v="0"/>
    <n v="0"/>
    <n v="12064.11"/>
    <s v="Wallet"/>
    <s v="CUST_00761"/>
    <n v="2"/>
    <n v="0"/>
    <n v="4021.3700000000003"/>
    <s v="No Discount"/>
  </r>
  <r>
    <s v="TXN_04597"/>
    <d v="2024-07-28T00:00:00"/>
    <x v="11"/>
    <s v="Sunday"/>
    <s v="STORE_005"/>
    <x v="3"/>
    <x v="6"/>
    <x v="26"/>
    <n v="1309.58"/>
    <n v="3"/>
    <n v="3928.74"/>
    <n v="0"/>
    <n v="0"/>
    <n v="3928.74"/>
    <s v="UPI"/>
    <s v="CUST_00896"/>
    <n v="1"/>
    <n v="0"/>
    <n v="1309.58"/>
    <s v="No Discount"/>
  </r>
  <r>
    <s v="TXN_04598"/>
    <d v="2024-09-19T00:00:00"/>
    <x v="9"/>
    <s v="Thursday"/>
    <s v="STORE_004"/>
    <x v="0"/>
    <x v="5"/>
    <x v="34"/>
    <n v="3940.9"/>
    <n v="7"/>
    <n v="27586.3"/>
    <n v="15"/>
    <n v="4137.9399999999996"/>
    <n v="23448.36"/>
    <s v="Debit Card"/>
    <s v="CUST_00924"/>
    <n v="4"/>
    <n v="4137.9399999999987"/>
    <n v="3349.7657142857142"/>
    <s v="Medium"/>
  </r>
  <r>
    <s v="TXN_04599"/>
    <d v="2024-01-11T00:00:00"/>
    <x v="2"/>
    <s v="Thursday"/>
    <s v="STORE_026"/>
    <x v="3"/>
    <x v="4"/>
    <x v="35"/>
    <n v="428.57"/>
    <n v="10"/>
    <n v="4285.7"/>
    <n v="0"/>
    <n v="0"/>
    <n v="4285.7"/>
    <s v="Cash"/>
    <s v="CUST_00921"/>
    <n v="1"/>
    <n v="0"/>
    <n v="428.57"/>
    <s v="No Discount"/>
  </r>
  <r>
    <s v="TXN_04600"/>
    <d v="2024-12-15T00:00:00"/>
    <x v="6"/>
    <s v="Sunday"/>
    <s v="STORE_023"/>
    <x v="4"/>
    <x v="0"/>
    <x v="18"/>
    <n v="548.47"/>
    <n v="7"/>
    <n v="3839.29"/>
    <n v="0"/>
    <n v="0"/>
    <n v="3839.29"/>
    <s v="Wallet"/>
    <s v="CUST_00881"/>
    <n v="4"/>
    <n v="0"/>
    <n v="548.47"/>
    <s v="No Discount"/>
  </r>
  <r>
    <s v="TXN_04601"/>
    <d v="2024-01-05T00:00:00"/>
    <x v="2"/>
    <s v="Friday"/>
    <s v="STORE_025"/>
    <x v="4"/>
    <x v="0"/>
    <x v="0"/>
    <n v="508.61"/>
    <n v="1"/>
    <n v="508.61"/>
    <n v="0"/>
    <n v="0"/>
    <n v="508.61"/>
    <s v="Cash"/>
    <s v="CUST_00500"/>
    <n v="2"/>
    <n v="0"/>
    <n v="508.61"/>
    <s v="No Discount"/>
  </r>
  <r>
    <s v="TXN_04602"/>
    <d v="2024-08-30T00:00:00"/>
    <x v="8"/>
    <s v="Friday"/>
    <s v="STORE_018"/>
    <x v="1"/>
    <x v="3"/>
    <x v="12"/>
    <n v="2466.2800000000002"/>
    <n v="10"/>
    <n v="24662.799999999999"/>
    <n v="0"/>
    <n v="0"/>
    <n v="24662.799999999999"/>
    <s v="Debit Card"/>
    <s v="CUST_00048"/>
    <n v="3"/>
    <n v="0"/>
    <n v="2466.2799999999997"/>
    <s v="No Discount"/>
  </r>
  <r>
    <s v="TXN_04603"/>
    <d v="2024-03-08T00:00:00"/>
    <x v="5"/>
    <s v="Friday"/>
    <s v="STORE_030"/>
    <x v="0"/>
    <x v="6"/>
    <x v="33"/>
    <n v="1421.67"/>
    <n v="1"/>
    <n v="1421.67"/>
    <n v="10"/>
    <n v="142.16999999999999"/>
    <n v="1279.5"/>
    <s v="UPI"/>
    <s v="CUST_00843"/>
    <n v="5"/>
    <n v="142.17000000000007"/>
    <n v="1279.5"/>
    <s v="Medium"/>
  </r>
  <r>
    <s v="TXN_04604"/>
    <d v="2024-11-27T00:00:00"/>
    <x v="0"/>
    <s v="Wednesday"/>
    <s v="STORE_049"/>
    <x v="2"/>
    <x v="1"/>
    <x v="36"/>
    <n v="417.75"/>
    <n v="9"/>
    <n v="3759.75"/>
    <n v="0"/>
    <n v="0"/>
    <n v="3759.75"/>
    <s v="Cash"/>
    <s v="CUST_00053"/>
    <n v="1"/>
    <n v="0"/>
    <n v="417.75"/>
    <s v="No Discount"/>
  </r>
  <r>
    <s v="TXN_04605"/>
    <d v="2024-03-29T00:00:00"/>
    <x v="5"/>
    <s v="Friday"/>
    <s v="STORE_016"/>
    <x v="4"/>
    <x v="6"/>
    <x v="33"/>
    <n v="1084.26"/>
    <n v="9"/>
    <n v="9758.34"/>
    <n v="0"/>
    <n v="0"/>
    <n v="9758.34"/>
    <s v="Wallet"/>
    <s v="CUST_00237"/>
    <n v="3"/>
    <n v="0"/>
    <n v="1084.26"/>
    <s v="No Discount"/>
  </r>
  <r>
    <s v="TXN_04606"/>
    <d v="2024-11-03T00:00:00"/>
    <x v="0"/>
    <s v="Sunday"/>
    <s v="STORE_001"/>
    <x v="4"/>
    <x v="6"/>
    <x v="30"/>
    <n v="914.98"/>
    <n v="1"/>
    <n v="914.98"/>
    <n v="0"/>
    <n v="0"/>
    <n v="914.98"/>
    <s v="Cash"/>
    <s v="CUST_00624"/>
    <n v="4"/>
    <n v="0"/>
    <n v="914.98"/>
    <s v="No Discount"/>
  </r>
  <r>
    <s v="TXN_04607"/>
    <d v="2024-01-05T00:00:00"/>
    <x v="2"/>
    <s v="Friday"/>
    <s v="STORE_024"/>
    <x v="4"/>
    <x v="1"/>
    <x v="36"/>
    <n v="222.72"/>
    <n v="10"/>
    <n v="2227.1999999999998"/>
    <n v="20"/>
    <n v="445.44"/>
    <n v="1781.76"/>
    <s v="Debit Card"/>
    <s v="CUST_00816"/>
    <n v="4"/>
    <n v="445.43999999999983"/>
    <n v="178.17599999999999"/>
    <s v="High"/>
  </r>
  <r>
    <s v="TXN_04608"/>
    <d v="2024-04-24T00:00:00"/>
    <x v="4"/>
    <s v="Wednesday"/>
    <s v="STORE_016"/>
    <x v="2"/>
    <x v="6"/>
    <x v="15"/>
    <n v="923.98"/>
    <n v="10"/>
    <n v="9239.7999999999993"/>
    <n v="0"/>
    <n v="0"/>
    <n v="9239.7999999999993"/>
    <s v="Cash"/>
    <s v="CUST_00270"/>
    <n v="5"/>
    <n v="0"/>
    <n v="923.9799999999999"/>
    <s v="No Discount"/>
  </r>
  <r>
    <s v="TXN_04609"/>
    <d v="2024-05-09T00:00:00"/>
    <x v="3"/>
    <s v="Thursday"/>
    <s v="STORE_030"/>
    <x v="3"/>
    <x v="1"/>
    <x v="36"/>
    <n v="106.92"/>
    <n v="9"/>
    <n v="962.28"/>
    <n v="10"/>
    <n v="96.23"/>
    <n v="866.05"/>
    <s v="Credit Card"/>
    <s v="CUST_00270"/>
    <n v="2"/>
    <n v="96.230000000000018"/>
    <n v="96.227777777777774"/>
    <s v="Medium"/>
  </r>
  <r>
    <s v="TXN_04610"/>
    <d v="2024-11-07T00:00:00"/>
    <x v="0"/>
    <s v="Thursday"/>
    <s v="STORE_041"/>
    <x v="2"/>
    <x v="4"/>
    <x v="8"/>
    <n v="599"/>
    <n v="1"/>
    <n v="599"/>
    <n v="15"/>
    <n v="89.85"/>
    <n v="509.15"/>
    <s v="Credit Card"/>
    <s v="CUST_00919"/>
    <n v="3"/>
    <n v="89.850000000000023"/>
    <n v="509.15"/>
    <s v="Medium"/>
  </r>
  <r>
    <s v="TXN_04611"/>
    <d v="2024-06-05T00:00:00"/>
    <x v="10"/>
    <s v="Wednesday"/>
    <s v="STORE_031"/>
    <x v="0"/>
    <x v="7"/>
    <x v="23"/>
    <n v="954.5"/>
    <n v="6"/>
    <n v="5727"/>
    <n v="5"/>
    <n v="286.35000000000002"/>
    <n v="5440.65"/>
    <s v="Cash"/>
    <s v="CUST_00925"/>
    <n v="3"/>
    <n v="286.35000000000036"/>
    <n v="906.77499999999998"/>
    <s v="Low"/>
  </r>
  <r>
    <s v="TXN_04612"/>
    <d v="2024-12-30T00:00:00"/>
    <x v="6"/>
    <s v="Monday"/>
    <s v="STORE_011"/>
    <x v="4"/>
    <x v="6"/>
    <x v="26"/>
    <n v="924.12"/>
    <n v="8"/>
    <n v="7392.96"/>
    <n v="0"/>
    <n v="0"/>
    <n v="7392.96"/>
    <s v="Credit Card"/>
    <s v="CUST_00169"/>
    <n v="4"/>
    <n v="0"/>
    <n v="924.12"/>
    <s v="No Discount"/>
  </r>
  <r>
    <s v="TXN_04613"/>
    <d v="2024-12-29T00:00:00"/>
    <x v="6"/>
    <s v="Sunday"/>
    <s v="STORE_001"/>
    <x v="1"/>
    <x v="4"/>
    <x v="8"/>
    <n v="349.99"/>
    <n v="6"/>
    <n v="2099.94"/>
    <n v="0"/>
    <n v="0"/>
    <n v="2099.94"/>
    <s v="Debit Card"/>
    <s v="CUST_00711"/>
    <n v="2"/>
    <n v="0"/>
    <n v="349.99"/>
    <s v="No Discount"/>
  </r>
  <r>
    <s v="TXN_04614"/>
    <d v="2024-11-25T00:00:00"/>
    <x v="0"/>
    <s v="Monday"/>
    <s v="STORE_008"/>
    <x v="0"/>
    <x v="5"/>
    <x v="10"/>
    <n v="2442.91"/>
    <n v="6"/>
    <n v="14657.46"/>
    <n v="20"/>
    <n v="2931.49"/>
    <n v="11725.97"/>
    <s v="Cash"/>
    <s v="CUST_00338"/>
    <n v="1"/>
    <n v="2931.49"/>
    <n v="1954.3283333333331"/>
    <s v="High"/>
  </r>
  <r>
    <s v="TXN_04615"/>
    <d v="2024-05-20T00:00:00"/>
    <x v="3"/>
    <s v="Monday"/>
    <s v="STORE_033"/>
    <x v="3"/>
    <x v="5"/>
    <x v="25"/>
    <n v="2872.46"/>
    <n v="2"/>
    <n v="5744.92"/>
    <n v="20"/>
    <n v="1148.98"/>
    <n v="4595.9399999999996"/>
    <s v="UPI"/>
    <s v="CUST_00689"/>
    <n v="5"/>
    <n v="1148.9800000000005"/>
    <n v="2297.9699999999998"/>
    <s v="High"/>
  </r>
  <r>
    <s v="TXN_04616"/>
    <d v="2024-08-04T00:00:00"/>
    <x v="8"/>
    <s v="Sunday"/>
    <s v="STORE_034"/>
    <x v="1"/>
    <x v="4"/>
    <x v="8"/>
    <n v="473.8"/>
    <n v="2"/>
    <n v="947.6"/>
    <n v="0"/>
    <n v="0"/>
    <n v="947.6"/>
    <s v="Wallet"/>
    <s v="CUST_00090"/>
    <n v="1"/>
    <n v="0"/>
    <n v="473.8"/>
    <s v="No Discount"/>
  </r>
  <r>
    <s v="TXN_04617"/>
    <d v="2024-07-11T00:00:00"/>
    <x v="11"/>
    <s v="Thursday"/>
    <s v="STORE_046"/>
    <x v="2"/>
    <x v="6"/>
    <x v="15"/>
    <n v="1622.99"/>
    <n v="5"/>
    <n v="8114.95"/>
    <n v="0"/>
    <n v="0"/>
    <n v="8114.95"/>
    <s v="Debit Card"/>
    <s v="CUST_00505"/>
    <n v="1"/>
    <n v="0"/>
    <n v="1622.99"/>
    <s v="No Discount"/>
  </r>
  <r>
    <s v="TXN_04618"/>
    <d v="2024-06-27T00:00:00"/>
    <x v="10"/>
    <s v="Thursday"/>
    <s v="STORE_038"/>
    <x v="4"/>
    <x v="2"/>
    <x v="2"/>
    <n v="784.27"/>
    <n v="6"/>
    <n v="4705.62"/>
    <n v="0"/>
    <n v="0"/>
    <n v="4705.62"/>
    <s v="Cash"/>
    <s v="CUST_00937"/>
    <n v="4"/>
    <n v="0"/>
    <n v="784.27"/>
    <s v="No Discount"/>
  </r>
  <r>
    <s v="TXN_04619"/>
    <d v="2024-08-23T00:00:00"/>
    <x v="8"/>
    <s v="Friday"/>
    <s v="STORE_010"/>
    <x v="3"/>
    <x v="3"/>
    <x v="12"/>
    <n v="2446.21"/>
    <n v="3"/>
    <n v="7338.63"/>
    <n v="5"/>
    <n v="366.93"/>
    <n v="6971.7"/>
    <s v="UPI"/>
    <s v="CUST_00576"/>
    <n v="5"/>
    <n v="366.93000000000029"/>
    <n v="2323.9"/>
    <s v="Low"/>
  </r>
  <r>
    <s v="TXN_04620"/>
    <d v="2024-05-09T00:00:00"/>
    <x v="3"/>
    <s v="Thursday"/>
    <s v="STORE_003"/>
    <x v="4"/>
    <x v="2"/>
    <x v="13"/>
    <n v="258.29000000000002"/>
    <n v="8"/>
    <n v="2066.3200000000002"/>
    <n v="20"/>
    <n v="413.26"/>
    <n v="1653.06"/>
    <s v="Wallet"/>
    <s v="CUST_00959"/>
    <n v="2"/>
    <n v="413.26000000000022"/>
    <n v="206.63249999999999"/>
    <s v="High"/>
  </r>
  <r>
    <s v="TXN_04621"/>
    <d v="2024-04-21T00:00:00"/>
    <x v="4"/>
    <s v="Sunday"/>
    <s v="STORE_004"/>
    <x v="1"/>
    <x v="5"/>
    <x v="25"/>
    <n v="1712.67"/>
    <n v="4"/>
    <n v="6850.68"/>
    <n v="10"/>
    <n v="685.07"/>
    <n v="6165.61"/>
    <s v="Credit Card"/>
    <s v="CUST_00423"/>
    <n v="4"/>
    <n v="685.07000000000062"/>
    <n v="1541.4024999999999"/>
    <s v="Medium"/>
  </r>
  <r>
    <s v="TXN_04622"/>
    <d v="2024-08-26T00:00:00"/>
    <x v="8"/>
    <s v="Monday"/>
    <s v="STORE_008"/>
    <x v="0"/>
    <x v="3"/>
    <x v="5"/>
    <n v="2471.36"/>
    <n v="8"/>
    <n v="19770.88"/>
    <n v="0"/>
    <n v="0"/>
    <n v="19770.88"/>
    <s v="Debit Card"/>
    <s v="CUST_00489"/>
    <n v="3"/>
    <n v="0"/>
    <n v="2471.36"/>
    <s v="No Discount"/>
  </r>
  <r>
    <s v="TXN_04623"/>
    <d v="2024-06-03T00:00:00"/>
    <x v="10"/>
    <s v="Monday"/>
    <s v="STORE_035"/>
    <x v="2"/>
    <x v="3"/>
    <x v="16"/>
    <n v="2566.89"/>
    <n v="10"/>
    <n v="25668.9"/>
    <n v="0"/>
    <n v="0"/>
    <n v="25668.9"/>
    <s v="Debit Card"/>
    <s v="CUST_00582"/>
    <n v="3"/>
    <n v="0"/>
    <n v="2566.8900000000003"/>
    <s v="No Discount"/>
  </r>
  <r>
    <s v="TXN_04624"/>
    <d v="2024-12-12T00:00:00"/>
    <x v="6"/>
    <s v="Thursday"/>
    <s v="STORE_020"/>
    <x v="0"/>
    <x v="3"/>
    <x v="5"/>
    <n v="1290.24"/>
    <n v="5"/>
    <n v="6451.2"/>
    <n v="20"/>
    <n v="1290.24"/>
    <n v="5160.96"/>
    <s v="Debit Card"/>
    <s v="CUST_00992"/>
    <n v="4"/>
    <n v="1290.2399999999998"/>
    <n v="1032.192"/>
    <s v="High"/>
  </r>
  <r>
    <s v="TXN_04625"/>
    <d v="2024-09-23T00:00:00"/>
    <x v="9"/>
    <s v="Monday"/>
    <s v="STORE_045"/>
    <x v="4"/>
    <x v="0"/>
    <x v="32"/>
    <n v="742.39"/>
    <n v="4"/>
    <n v="2969.56"/>
    <n v="0"/>
    <n v="0"/>
    <n v="2969.56"/>
    <s v="Cash"/>
    <s v="CUST_00999"/>
    <n v="3"/>
    <n v="0"/>
    <n v="742.39"/>
    <s v="No Discount"/>
  </r>
  <r>
    <s v="TXN_04626"/>
    <d v="2024-11-15T00:00:00"/>
    <x v="0"/>
    <s v="Friday"/>
    <s v="STORE_003"/>
    <x v="4"/>
    <x v="2"/>
    <x v="39"/>
    <n v="766.63"/>
    <n v="9"/>
    <n v="6899.67"/>
    <n v="20"/>
    <n v="1379.93"/>
    <n v="5519.74"/>
    <s v="Credit Card"/>
    <s v="CUST_00598"/>
    <n v="3"/>
    <n v="1379.9300000000003"/>
    <n v="613.30444444444447"/>
    <s v="High"/>
  </r>
  <r>
    <s v="TXN_04627"/>
    <d v="2024-07-22T00:00:00"/>
    <x v="11"/>
    <s v="Monday"/>
    <s v="STORE_035"/>
    <x v="3"/>
    <x v="4"/>
    <x v="8"/>
    <n v="562.27"/>
    <n v="7"/>
    <n v="3935.89"/>
    <n v="15"/>
    <n v="590.38"/>
    <n v="3345.51"/>
    <s v="Debit Card"/>
    <s v="CUST_00633"/>
    <n v="1"/>
    <n v="590.37999999999965"/>
    <n v="477.93"/>
    <s v="Medium"/>
  </r>
  <r>
    <s v="TXN_04628"/>
    <d v="2024-10-26T00:00:00"/>
    <x v="7"/>
    <s v="Saturday"/>
    <s v="STORE_013"/>
    <x v="2"/>
    <x v="1"/>
    <x v="1"/>
    <n v="401.48"/>
    <n v="4"/>
    <n v="1605.92"/>
    <n v="15"/>
    <n v="240.89"/>
    <n v="1365.03"/>
    <s v="Credit Card"/>
    <s v="CUST_00288"/>
    <n v="2"/>
    <n v="240.8900000000001"/>
    <n v="341.25749999999999"/>
    <s v="Medium"/>
  </r>
  <r>
    <s v="TXN_04629"/>
    <d v="2024-02-22T00:00:00"/>
    <x v="1"/>
    <s v="Thursday"/>
    <s v="STORE_041"/>
    <x v="0"/>
    <x v="5"/>
    <x v="11"/>
    <n v="1962.7"/>
    <n v="4"/>
    <n v="7850.8"/>
    <n v="15"/>
    <n v="1177.6199999999999"/>
    <n v="6673.18"/>
    <s v="Wallet"/>
    <s v="CUST_00107"/>
    <n v="5"/>
    <n v="1177.6199999999999"/>
    <n v="1668.2950000000001"/>
    <s v="Medium"/>
  </r>
  <r>
    <s v="TXN_04630"/>
    <d v="2024-01-04T00:00:00"/>
    <x v="2"/>
    <s v="Thursday"/>
    <s v="STORE_032"/>
    <x v="2"/>
    <x v="0"/>
    <x v="18"/>
    <n v="814.81"/>
    <n v="6"/>
    <n v="4888.8599999999997"/>
    <n v="0"/>
    <n v="0"/>
    <n v="4888.8599999999997"/>
    <s v="Wallet"/>
    <s v="CUST_00265"/>
    <n v="2"/>
    <n v="0"/>
    <n v="814.81"/>
    <s v="No Discount"/>
  </r>
  <r>
    <s v="TXN_04631"/>
    <d v="2024-09-18T00:00:00"/>
    <x v="9"/>
    <s v="Wednesday"/>
    <s v="STORE_025"/>
    <x v="3"/>
    <x v="6"/>
    <x v="30"/>
    <n v="1667.32"/>
    <n v="4"/>
    <n v="6669.28"/>
    <n v="20"/>
    <n v="1333.86"/>
    <n v="5335.42"/>
    <s v="Wallet"/>
    <s v="CUST_00528"/>
    <n v="4"/>
    <n v="1333.8599999999997"/>
    <n v="1333.855"/>
    <s v="High"/>
  </r>
  <r>
    <s v="TXN_04632"/>
    <d v="2024-12-05T00:00:00"/>
    <x v="6"/>
    <s v="Thursday"/>
    <s v="STORE_003"/>
    <x v="0"/>
    <x v="2"/>
    <x v="13"/>
    <n v="128.07"/>
    <n v="8"/>
    <n v="1024.56"/>
    <n v="15"/>
    <n v="153.68"/>
    <n v="870.88"/>
    <s v="Debit Card"/>
    <s v="CUST_00476"/>
    <n v="4"/>
    <n v="153.67999999999995"/>
    <n v="108.86"/>
    <s v="Medium"/>
  </r>
  <r>
    <s v="TXN_04633"/>
    <d v="2024-07-10T00:00:00"/>
    <x v="11"/>
    <s v="Wednesday"/>
    <s v="STORE_027"/>
    <x v="4"/>
    <x v="4"/>
    <x v="19"/>
    <n v="480.16"/>
    <n v="10"/>
    <n v="4801.6000000000004"/>
    <n v="5"/>
    <n v="240.08"/>
    <n v="4561.5200000000004"/>
    <s v="UPI"/>
    <s v="CUST_00030"/>
    <n v="2"/>
    <n v="240.07999999999993"/>
    <n v="456.15200000000004"/>
    <s v="Low"/>
  </r>
  <r>
    <s v="TXN_04634"/>
    <d v="2024-10-14T00:00:00"/>
    <x v="7"/>
    <s v="Monday"/>
    <s v="STORE_036"/>
    <x v="4"/>
    <x v="4"/>
    <x v="20"/>
    <n v="586.94000000000005"/>
    <n v="8"/>
    <n v="4695.5200000000004"/>
    <n v="0"/>
    <n v="0"/>
    <n v="4695.5200000000004"/>
    <s v="Wallet"/>
    <s v="CUST_01000"/>
    <n v="1"/>
    <n v="0"/>
    <n v="586.94000000000005"/>
    <s v="No Discount"/>
  </r>
  <r>
    <s v="TXN_04635"/>
    <d v="2024-11-27T00:00:00"/>
    <x v="0"/>
    <s v="Wednesday"/>
    <s v="STORE_006"/>
    <x v="4"/>
    <x v="5"/>
    <x v="11"/>
    <n v="1759.63"/>
    <n v="1"/>
    <n v="1759.63"/>
    <n v="10"/>
    <n v="175.96"/>
    <n v="1583.67"/>
    <s v="UPI"/>
    <s v="CUST_00817"/>
    <n v="1"/>
    <n v="175.96000000000004"/>
    <n v="1583.67"/>
    <s v="Medium"/>
  </r>
  <r>
    <s v="TXN_04636"/>
    <d v="2024-10-31T00:00:00"/>
    <x v="7"/>
    <s v="Thursday"/>
    <s v="STORE_007"/>
    <x v="4"/>
    <x v="5"/>
    <x v="25"/>
    <n v="2856.57"/>
    <n v="1"/>
    <n v="2856.57"/>
    <n v="15"/>
    <n v="428.49"/>
    <n v="2428.08"/>
    <s v="UPI"/>
    <s v="CUST_00710"/>
    <n v="3"/>
    <n v="428.49000000000024"/>
    <n v="2428.08"/>
    <s v="Medium"/>
  </r>
  <r>
    <s v="TXN_04637"/>
    <d v="2024-11-07T00:00:00"/>
    <x v="0"/>
    <s v="Thursday"/>
    <s v="STORE_026"/>
    <x v="3"/>
    <x v="0"/>
    <x v="0"/>
    <n v="283.45"/>
    <n v="10"/>
    <n v="2834.5"/>
    <n v="10"/>
    <n v="283.45"/>
    <n v="2551.0500000000002"/>
    <s v="UPI"/>
    <s v="CUST_00541"/>
    <n v="2"/>
    <n v="283.44999999999982"/>
    <n v="255.10500000000002"/>
    <s v="Medium"/>
  </r>
  <r>
    <s v="TXN_04638"/>
    <d v="2024-05-24T00:00:00"/>
    <x v="3"/>
    <s v="Friday"/>
    <s v="STORE_025"/>
    <x v="2"/>
    <x v="5"/>
    <x v="10"/>
    <n v="3595.67"/>
    <n v="2"/>
    <n v="7191.34"/>
    <n v="5"/>
    <n v="359.57"/>
    <n v="6831.77"/>
    <s v="Wallet"/>
    <s v="CUST_00015"/>
    <n v="5"/>
    <n v="359.56999999999971"/>
    <n v="3415.8850000000002"/>
    <s v="Low"/>
  </r>
  <r>
    <s v="TXN_04639"/>
    <d v="2024-06-01T00:00:00"/>
    <x v="10"/>
    <s v="Saturday"/>
    <s v="STORE_011"/>
    <x v="3"/>
    <x v="0"/>
    <x v="4"/>
    <n v="882.82"/>
    <n v="9"/>
    <n v="7945.38"/>
    <n v="15"/>
    <n v="1191.81"/>
    <n v="6753.57"/>
    <s v="Wallet"/>
    <s v="CUST_00603"/>
    <n v="1"/>
    <n v="1191.8100000000004"/>
    <n v="750.39666666666665"/>
    <s v="Medium"/>
  </r>
  <r>
    <s v="TXN_04640"/>
    <d v="2024-12-16T00:00:00"/>
    <x v="6"/>
    <s v="Monday"/>
    <s v="STORE_044"/>
    <x v="1"/>
    <x v="6"/>
    <x v="15"/>
    <n v="1590.37"/>
    <n v="3"/>
    <n v="4771.1099999999997"/>
    <n v="0"/>
    <n v="0"/>
    <n v="4771.1099999999997"/>
    <s v="Debit Card"/>
    <s v="CUST_00387"/>
    <n v="5"/>
    <n v="0"/>
    <n v="1590.37"/>
    <s v="No Discount"/>
  </r>
  <r>
    <s v="TXN_04641"/>
    <d v="2024-02-25T00:00:00"/>
    <x v="1"/>
    <s v="Sunday"/>
    <s v="STORE_039"/>
    <x v="0"/>
    <x v="4"/>
    <x v="17"/>
    <n v="568"/>
    <n v="7"/>
    <n v="3976"/>
    <n v="10"/>
    <n v="397.6"/>
    <n v="3578.4"/>
    <s v="Credit Card"/>
    <s v="CUST_00161"/>
    <n v="4"/>
    <n v="397.59999999999991"/>
    <n v="511.2"/>
    <s v="Medium"/>
  </r>
  <r>
    <s v="TXN_04642"/>
    <d v="2024-09-03T00:00:00"/>
    <x v="9"/>
    <s v="Tuesday"/>
    <s v="STORE_029"/>
    <x v="2"/>
    <x v="2"/>
    <x v="2"/>
    <n v="566.08000000000004"/>
    <n v="10"/>
    <n v="5660.8"/>
    <n v="20"/>
    <n v="1132.1600000000001"/>
    <n v="4528.6400000000003"/>
    <s v="UPI"/>
    <s v="CUST_00223"/>
    <n v="5"/>
    <n v="1132.1599999999999"/>
    <n v="452.86400000000003"/>
    <s v="High"/>
  </r>
  <r>
    <s v="TXN_04643"/>
    <d v="2024-02-02T00:00:00"/>
    <x v="1"/>
    <s v="Friday"/>
    <s v="STORE_047"/>
    <x v="2"/>
    <x v="7"/>
    <x v="28"/>
    <n v="969.13"/>
    <n v="9"/>
    <n v="8722.17"/>
    <n v="0"/>
    <n v="0"/>
    <n v="8722.17"/>
    <s v="Cash"/>
    <s v="CUST_00633"/>
    <n v="5"/>
    <n v="0"/>
    <n v="969.13"/>
    <s v="No Discount"/>
  </r>
  <r>
    <s v="TXN_04644"/>
    <d v="2024-06-21T00:00:00"/>
    <x v="10"/>
    <s v="Friday"/>
    <s v="STORE_003"/>
    <x v="1"/>
    <x v="4"/>
    <x v="35"/>
    <n v="265.83999999999997"/>
    <n v="9"/>
    <n v="2392.56"/>
    <n v="5"/>
    <n v="119.63"/>
    <n v="2272.9299999999998"/>
    <s v="Wallet"/>
    <s v="CUST_00919"/>
    <n v="5"/>
    <n v="119.63000000000011"/>
    <n v="252.54777777777775"/>
    <s v="Low"/>
  </r>
  <r>
    <s v="TXN_04645"/>
    <d v="2024-05-21T00:00:00"/>
    <x v="3"/>
    <s v="Tuesday"/>
    <s v="STORE_048"/>
    <x v="0"/>
    <x v="3"/>
    <x v="12"/>
    <n v="913.94"/>
    <n v="6"/>
    <n v="5483.64"/>
    <n v="10"/>
    <n v="548.36"/>
    <n v="4935.28"/>
    <s v="UPI"/>
    <s v="CUST_00397"/>
    <n v="4"/>
    <n v="548.36000000000058"/>
    <n v="822.54666666666662"/>
    <s v="Medium"/>
  </r>
  <r>
    <s v="TXN_04646"/>
    <d v="2024-11-23T00:00:00"/>
    <x v="0"/>
    <s v="Saturday"/>
    <s v="STORE_028"/>
    <x v="3"/>
    <x v="6"/>
    <x v="14"/>
    <n v="649.94000000000005"/>
    <n v="2"/>
    <n v="1299.8800000000001"/>
    <n v="15"/>
    <n v="194.98"/>
    <n v="1104.9000000000001"/>
    <s v="Wallet"/>
    <s v="CUST_00766"/>
    <n v="1"/>
    <n v="194.98000000000002"/>
    <n v="552.45000000000005"/>
    <s v="Medium"/>
  </r>
  <r>
    <s v="TXN_04647"/>
    <d v="2024-06-15T00:00:00"/>
    <x v="10"/>
    <s v="Saturday"/>
    <s v="STORE_015"/>
    <x v="2"/>
    <x v="0"/>
    <x v="32"/>
    <n v="244.89"/>
    <n v="10"/>
    <n v="2448.9"/>
    <n v="10"/>
    <n v="244.89"/>
    <n v="2204.0100000000002"/>
    <s v="UPI"/>
    <s v="CUST_00544"/>
    <n v="3"/>
    <n v="244.88999999999987"/>
    <n v="220.40100000000001"/>
    <s v="Medium"/>
  </r>
  <r>
    <s v="TXN_04648"/>
    <d v="2024-05-21T00:00:00"/>
    <x v="3"/>
    <s v="Tuesday"/>
    <s v="STORE_042"/>
    <x v="1"/>
    <x v="1"/>
    <x v="3"/>
    <n v="53.88"/>
    <n v="4"/>
    <n v="215.52"/>
    <n v="5"/>
    <n v="10.78"/>
    <n v="204.74"/>
    <s v="Wallet"/>
    <s v="CUST_00723"/>
    <n v="2"/>
    <n v="10.780000000000001"/>
    <n v="51.185000000000002"/>
    <s v="Low"/>
  </r>
  <r>
    <s v="TXN_04649"/>
    <d v="2024-05-13T00:00:00"/>
    <x v="3"/>
    <s v="Monday"/>
    <s v="STORE_032"/>
    <x v="2"/>
    <x v="3"/>
    <x v="5"/>
    <n v="499.36"/>
    <n v="7"/>
    <n v="3495.52"/>
    <n v="15"/>
    <n v="524.33000000000004"/>
    <n v="2971.19"/>
    <s v="Wallet"/>
    <s v="CUST_00295"/>
    <n v="5"/>
    <n v="524.32999999999993"/>
    <n v="424.45571428571429"/>
    <s v="Medium"/>
  </r>
  <r>
    <s v="TXN_04650"/>
    <d v="2024-12-01T00:00:00"/>
    <x v="6"/>
    <s v="Sunday"/>
    <s v="STORE_016"/>
    <x v="3"/>
    <x v="7"/>
    <x v="24"/>
    <n v="1243.82"/>
    <n v="6"/>
    <n v="7462.92"/>
    <n v="5"/>
    <n v="373.15"/>
    <n v="7089.77"/>
    <s v="Wallet"/>
    <s v="CUST_00206"/>
    <n v="1"/>
    <n v="373.14999999999964"/>
    <n v="1181.6283333333333"/>
    <s v="Low"/>
  </r>
  <r>
    <s v="TXN_04651"/>
    <d v="2024-12-30T00:00:00"/>
    <x v="6"/>
    <s v="Monday"/>
    <s v="STORE_025"/>
    <x v="0"/>
    <x v="7"/>
    <x v="24"/>
    <n v="1282.26"/>
    <n v="2"/>
    <n v="2564.52"/>
    <n v="20"/>
    <n v="512.9"/>
    <n v="2051.62"/>
    <s v="UPI"/>
    <s v="CUST_00277"/>
    <n v="3"/>
    <n v="512.90000000000009"/>
    <n v="1025.81"/>
    <s v="High"/>
  </r>
  <r>
    <s v="TXN_04652"/>
    <d v="2024-11-29T00:00:00"/>
    <x v="0"/>
    <s v="Friday"/>
    <s v="STORE_032"/>
    <x v="4"/>
    <x v="1"/>
    <x v="3"/>
    <n v="321.02999999999997"/>
    <n v="5"/>
    <n v="1605.15"/>
    <n v="0"/>
    <n v="0"/>
    <n v="1605.15"/>
    <s v="Debit Card"/>
    <s v="CUST_00163"/>
    <n v="1"/>
    <n v="0"/>
    <n v="321.03000000000003"/>
    <s v="No Discount"/>
  </r>
  <r>
    <s v="TXN_04653"/>
    <d v="2024-06-01T00:00:00"/>
    <x v="10"/>
    <s v="Saturday"/>
    <s v="STORE_027"/>
    <x v="3"/>
    <x v="1"/>
    <x v="31"/>
    <n v="375.09"/>
    <n v="1"/>
    <n v="375.09"/>
    <n v="0"/>
    <n v="0"/>
    <n v="375.09"/>
    <s v="Wallet"/>
    <s v="CUST_00139"/>
    <n v="4"/>
    <n v="0"/>
    <n v="375.09"/>
    <s v="No Discount"/>
  </r>
  <r>
    <s v="TXN_04654"/>
    <d v="2024-04-06T00:00:00"/>
    <x v="4"/>
    <s v="Saturday"/>
    <s v="STORE_046"/>
    <x v="3"/>
    <x v="6"/>
    <x v="26"/>
    <n v="963.36"/>
    <n v="1"/>
    <n v="963.36"/>
    <n v="5"/>
    <n v="48.17"/>
    <n v="915.19"/>
    <s v="Wallet"/>
    <s v="CUST_00260"/>
    <n v="3"/>
    <n v="48.169999999999959"/>
    <n v="915.19"/>
    <s v="Low"/>
  </r>
  <r>
    <s v="TXN_04655"/>
    <d v="2024-03-17T00:00:00"/>
    <x v="5"/>
    <s v="Sunday"/>
    <s v="STORE_009"/>
    <x v="2"/>
    <x v="6"/>
    <x v="30"/>
    <n v="998.08"/>
    <n v="8"/>
    <n v="7984.64"/>
    <n v="0"/>
    <n v="0"/>
    <n v="7984.64"/>
    <s v="UPI"/>
    <s v="CUST_00615"/>
    <n v="4"/>
    <n v="0"/>
    <n v="998.08"/>
    <s v="No Discount"/>
  </r>
  <r>
    <s v="TXN_04656"/>
    <d v="2024-09-21T00:00:00"/>
    <x v="9"/>
    <s v="Saturday"/>
    <s v="STORE_022"/>
    <x v="1"/>
    <x v="1"/>
    <x v="3"/>
    <n v="347.99"/>
    <n v="7"/>
    <n v="2435.9299999999998"/>
    <n v="0"/>
    <n v="0"/>
    <n v="2435.9299999999998"/>
    <s v="Debit Card"/>
    <s v="CUST_00154"/>
    <n v="3"/>
    <n v="0"/>
    <n v="347.98999999999995"/>
    <s v="No Discount"/>
  </r>
  <r>
    <s v="TXN_04657"/>
    <d v="2024-05-03T00:00:00"/>
    <x v="3"/>
    <s v="Friday"/>
    <s v="STORE_040"/>
    <x v="0"/>
    <x v="2"/>
    <x v="39"/>
    <n v="493.55"/>
    <n v="7"/>
    <n v="3454.85"/>
    <n v="5"/>
    <n v="172.74"/>
    <n v="3282.11"/>
    <s v="UPI"/>
    <s v="CUST_00587"/>
    <n v="2"/>
    <n v="172.73999999999978"/>
    <n v="468.87285714285719"/>
    <s v="Low"/>
  </r>
  <r>
    <s v="TXN_04658"/>
    <d v="2024-01-30T00:00:00"/>
    <x v="2"/>
    <s v="Tuesday"/>
    <s v="STORE_003"/>
    <x v="3"/>
    <x v="6"/>
    <x v="33"/>
    <n v="743.03"/>
    <n v="7"/>
    <n v="5201.21"/>
    <n v="5"/>
    <n v="260.06"/>
    <n v="4941.1499999999996"/>
    <s v="Wallet"/>
    <s v="CUST_00683"/>
    <n v="3"/>
    <n v="260.0600000000004"/>
    <n v="705.87857142857138"/>
    <s v="Low"/>
  </r>
  <r>
    <s v="TXN_04659"/>
    <d v="2024-11-03T00:00:00"/>
    <x v="0"/>
    <s v="Sunday"/>
    <s v="STORE_011"/>
    <x v="3"/>
    <x v="6"/>
    <x v="30"/>
    <n v="971.65"/>
    <n v="5"/>
    <n v="4858.25"/>
    <n v="0"/>
    <n v="0"/>
    <n v="4858.25"/>
    <s v="Debit Card"/>
    <s v="CUST_00735"/>
    <n v="5"/>
    <n v="0"/>
    <n v="971.65"/>
    <s v="No Discount"/>
  </r>
  <r>
    <s v="TXN_04660"/>
    <d v="2024-07-25T00:00:00"/>
    <x v="11"/>
    <s v="Thursday"/>
    <s v="STORE_040"/>
    <x v="0"/>
    <x v="3"/>
    <x v="16"/>
    <n v="1340.03"/>
    <n v="9"/>
    <n v="12060.27"/>
    <n v="10"/>
    <n v="1206.03"/>
    <n v="10854.24"/>
    <s v="Debit Card"/>
    <s v="CUST_00823"/>
    <n v="2"/>
    <n v="1206.0300000000007"/>
    <n v="1206.0266666666666"/>
    <s v="Medium"/>
  </r>
  <r>
    <s v="TXN_04661"/>
    <d v="2024-12-04T00:00:00"/>
    <x v="6"/>
    <s v="Wednesday"/>
    <s v="STORE_010"/>
    <x v="1"/>
    <x v="3"/>
    <x v="16"/>
    <n v="2065.94"/>
    <n v="10"/>
    <n v="20659.400000000001"/>
    <n v="10"/>
    <n v="2065.94"/>
    <n v="18593.46"/>
    <s v="UPI"/>
    <s v="CUST_00663"/>
    <n v="2"/>
    <n v="2065.9400000000023"/>
    <n v="1859.346"/>
    <s v="Medium"/>
  </r>
  <r>
    <s v="TXN_04662"/>
    <d v="2024-06-12T00:00:00"/>
    <x v="10"/>
    <s v="Wednesday"/>
    <s v="STORE_028"/>
    <x v="2"/>
    <x v="2"/>
    <x v="13"/>
    <n v="554.42999999999995"/>
    <n v="7"/>
    <n v="3881.01"/>
    <n v="0"/>
    <n v="0"/>
    <n v="3881.01"/>
    <s v="Wallet"/>
    <s v="CUST_00062"/>
    <n v="4"/>
    <n v="0"/>
    <n v="554.43000000000006"/>
    <s v="No Discount"/>
  </r>
  <r>
    <s v="TXN_04663"/>
    <d v="2024-12-14T00:00:00"/>
    <x v="6"/>
    <s v="Saturday"/>
    <s v="STORE_036"/>
    <x v="1"/>
    <x v="3"/>
    <x v="22"/>
    <n v="1324.04"/>
    <n v="8"/>
    <n v="10592.32"/>
    <n v="0"/>
    <n v="0"/>
    <n v="10592.32"/>
    <s v="Wallet"/>
    <s v="CUST_00206"/>
    <n v="1"/>
    <n v="0"/>
    <n v="1324.04"/>
    <s v="No Discount"/>
  </r>
  <r>
    <s v="TXN_04664"/>
    <d v="2024-03-12T00:00:00"/>
    <x v="5"/>
    <s v="Tuesday"/>
    <s v="STORE_031"/>
    <x v="0"/>
    <x v="1"/>
    <x v="36"/>
    <n v="367.72"/>
    <n v="10"/>
    <n v="3677.2"/>
    <n v="0"/>
    <n v="0"/>
    <n v="3677.2"/>
    <s v="UPI"/>
    <s v="CUST_00642"/>
    <n v="2"/>
    <n v="0"/>
    <n v="367.71999999999997"/>
    <s v="No Discount"/>
  </r>
  <r>
    <s v="TXN_04665"/>
    <d v="2024-01-14T00:00:00"/>
    <x v="2"/>
    <s v="Sunday"/>
    <s v="STORE_028"/>
    <x v="3"/>
    <x v="4"/>
    <x v="8"/>
    <n v="441.39"/>
    <n v="1"/>
    <n v="441.39"/>
    <n v="0"/>
    <n v="0"/>
    <n v="441.39"/>
    <s v="Credit Card"/>
    <s v="CUST_00883"/>
    <n v="2"/>
    <n v="0"/>
    <n v="441.39"/>
    <s v="No Discount"/>
  </r>
  <r>
    <s v="TXN_04666"/>
    <d v="2024-12-01T00:00:00"/>
    <x v="6"/>
    <s v="Sunday"/>
    <s v="STORE_019"/>
    <x v="4"/>
    <x v="2"/>
    <x v="13"/>
    <n v="545.69000000000005"/>
    <n v="1"/>
    <n v="545.69000000000005"/>
    <n v="10"/>
    <n v="54.57"/>
    <n v="491.12"/>
    <s v="UPI"/>
    <s v="CUST_00802"/>
    <n v="1"/>
    <n v="54.57000000000005"/>
    <n v="491.12"/>
    <s v="Medium"/>
  </r>
  <r>
    <s v="TXN_04667"/>
    <d v="2024-09-11T00:00:00"/>
    <x v="9"/>
    <s v="Wednesday"/>
    <s v="STORE_007"/>
    <x v="3"/>
    <x v="6"/>
    <x v="26"/>
    <n v="1860.61"/>
    <n v="2"/>
    <n v="3721.22"/>
    <n v="0"/>
    <n v="0"/>
    <n v="3721.22"/>
    <s v="Credit Card"/>
    <s v="CUST_00402"/>
    <n v="5"/>
    <n v="0"/>
    <n v="1860.61"/>
    <s v="No Discount"/>
  </r>
  <r>
    <s v="TXN_04668"/>
    <d v="2024-05-31T00:00:00"/>
    <x v="3"/>
    <s v="Friday"/>
    <s v="STORE_003"/>
    <x v="2"/>
    <x v="4"/>
    <x v="17"/>
    <n v="542.85"/>
    <n v="5"/>
    <n v="2714.25"/>
    <n v="0"/>
    <n v="0"/>
    <n v="2714.25"/>
    <s v="Cash"/>
    <s v="CUST_00099"/>
    <n v="2"/>
    <n v="0"/>
    <n v="542.85"/>
    <s v="No Discount"/>
  </r>
  <r>
    <s v="TXN_04669"/>
    <d v="2024-05-12T00:00:00"/>
    <x v="3"/>
    <s v="Sunday"/>
    <s v="STORE_049"/>
    <x v="0"/>
    <x v="1"/>
    <x v="3"/>
    <n v="441.18"/>
    <n v="7"/>
    <n v="3088.26"/>
    <n v="0"/>
    <n v="0"/>
    <n v="3088.26"/>
    <s v="UPI"/>
    <s v="CUST_00824"/>
    <n v="3"/>
    <n v="0"/>
    <n v="441.18"/>
    <s v="No Discount"/>
  </r>
  <r>
    <s v="TXN_04670"/>
    <d v="2024-08-02T00:00:00"/>
    <x v="8"/>
    <s v="Friday"/>
    <s v="STORE_033"/>
    <x v="3"/>
    <x v="6"/>
    <x v="15"/>
    <n v="771.35"/>
    <n v="3"/>
    <n v="2314.0500000000002"/>
    <n v="0"/>
    <n v="0"/>
    <n v="2314.0500000000002"/>
    <s v="Wallet"/>
    <s v="CUST_00703"/>
    <n v="5"/>
    <n v="0"/>
    <n v="771.35"/>
    <s v="No Discount"/>
  </r>
  <r>
    <s v="TXN_04671"/>
    <d v="2024-07-26T00:00:00"/>
    <x v="11"/>
    <s v="Friday"/>
    <s v="STORE_026"/>
    <x v="1"/>
    <x v="3"/>
    <x v="21"/>
    <n v="1597.41"/>
    <n v="4"/>
    <n v="6389.64"/>
    <n v="0"/>
    <n v="0"/>
    <n v="6389.64"/>
    <s v="Credit Card"/>
    <s v="CUST_00841"/>
    <n v="4"/>
    <n v="0"/>
    <n v="1597.41"/>
    <s v="No Discount"/>
  </r>
  <r>
    <s v="TXN_04672"/>
    <d v="2024-07-17T00:00:00"/>
    <x v="11"/>
    <s v="Wednesday"/>
    <s v="STORE_041"/>
    <x v="4"/>
    <x v="0"/>
    <x v="27"/>
    <n v="909.3"/>
    <n v="1"/>
    <n v="909.3"/>
    <n v="15"/>
    <n v="136.38999999999999"/>
    <n v="772.91"/>
    <s v="UPI"/>
    <s v="CUST_00696"/>
    <n v="1"/>
    <n v="136.38999999999999"/>
    <n v="772.91"/>
    <s v="Medium"/>
  </r>
  <r>
    <s v="TXN_04673"/>
    <d v="2024-01-19T00:00:00"/>
    <x v="2"/>
    <s v="Friday"/>
    <s v="STORE_001"/>
    <x v="0"/>
    <x v="0"/>
    <x v="18"/>
    <n v="891.62"/>
    <n v="8"/>
    <n v="7132.96"/>
    <n v="0"/>
    <n v="0"/>
    <n v="7132.96"/>
    <s v="Debit Card"/>
    <s v="CUST_00367"/>
    <n v="3"/>
    <n v="0"/>
    <n v="891.62"/>
    <s v="No Discount"/>
  </r>
  <r>
    <s v="TXN_04674"/>
    <d v="2024-10-25T00:00:00"/>
    <x v="7"/>
    <s v="Friday"/>
    <s v="STORE_017"/>
    <x v="0"/>
    <x v="6"/>
    <x v="30"/>
    <n v="1110.72"/>
    <n v="3"/>
    <n v="3332.16"/>
    <n v="0"/>
    <n v="0"/>
    <n v="3332.16"/>
    <s v="UPI"/>
    <s v="CUST_00318"/>
    <n v="4"/>
    <n v="0"/>
    <n v="1110.72"/>
    <s v="No Discount"/>
  </r>
  <r>
    <s v="TXN_04675"/>
    <d v="2024-12-28T00:00:00"/>
    <x v="6"/>
    <s v="Saturday"/>
    <s v="STORE_021"/>
    <x v="0"/>
    <x v="2"/>
    <x v="13"/>
    <n v="336.9"/>
    <n v="7"/>
    <n v="2358.3000000000002"/>
    <n v="15"/>
    <n v="353.75"/>
    <n v="2004.55"/>
    <s v="Cash"/>
    <s v="CUST_00292"/>
    <n v="1"/>
    <n v="353.75000000000023"/>
    <n v="286.3642857142857"/>
    <s v="Medium"/>
  </r>
  <r>
    <s v="TXN_04676"/>
    <d v="2024-10-19T00:00:00"/>
    <x v="7"/>
    <s v="Saturday"/>
    <s v="STORE_001"/>
    <x v="0"/>
    <x v="1"/>
    <x v="1"/>
    <n v="352.36"/>
    <n v="5"/>
    <n v="1761.8"/>
    <n v="0"/>
    <n v="0"/>
    <n v="1761.8"/>
    <s v="Credit Card"/>
    <s v="CUST_00521"/>
    <n v="4"/>
    <n v="0"/>
    <n v="352.36"/>
    <s v="No Discount"/>
  </r>
  <r>
    <s v="TXN_04677"/>
    <d v="2024-04-07T00:00:00"/>
    <x v="4"/>
    <s v="Sunday"/>
    <s v="STORE_047"/>
    <x v="3"/>
    <x v="4"/>
    <x v="17"/>
    <n v="544.75"/>
    <n v="4"/>
    <n v="2179"/>
    <n v="15"/>
    <n v="326.85000000000002"/>
    <n v="1852.15"/>
    <s v="Wallet"/>
    <s v="CUST_00352"/>
    <n v="5"/>
    <n v="326.84999999999991"/>
    <n v="463.03750000000002"/>
    <s v="Medium"/>
  </r>
  <r>
    <s v="TXN_04678"/>
    <d v="2024-06-24T00:00:00"/>
    <x v="10"/>
    <s v="Monday"/>
    <s v="STORE_048"/>
    <x v="0"/>
    <x v="4"/>
    <x v="17"/>
    <n v="437.69"/>
    <n v="9"/>
    <n v="3939.21"/>
    <n v="5"/>
    <n v="196.96"/>
    <n v="3742.25"/>
    <s v="Cash"/>
    <s v="CUST_00061"/>
    <n v="5"/>
    <n v="196.96000000000004"/>
    <n v="415.80555555555554"/>
    <s v="Low"/>
  </r>
  <r>
    <s v="TXN_04679"/>
    <d v="2024-12-31T00:00:00"/>
    <x v="6"/>
    <s v="Tuesday"/>
    <s v="STORE_049"/>
    <x v="0"/>
    <x v="2"/>
    <x v="2"/>
    <n v="571.16999999999996"/>
    <n v="6"/>
    <n v="3427.02"/>
    <n v="0"/>
    <n v="0"/>
    <n v="3427.02"/>
    <s v="Wallet"/>
    <s v="CUST_00051"/>
    <n v="2"/>
    <n v="0"/>
    <n v="571.16999999999996"/>
    <s v="No Discount"/>
  </r>
  <r>
    <s v="TXN_04680"/>
    <d v="2024-04-23T00:00:00"/>
    <x v="4"/>
    <s v="Tuesday"/>
    <s v="STORE_043"/>
    <x v="0"/>
    <x v="7"/>
    <x v="37"/>
    <n v="1408.36"/>
    <n v="5"/>
    <n v="7041.8"/>
    <n v="15"/>
    <n v="1056.27"/>
    <n v="5985.53"/>
    <s v="Debit Card"/>
    <s v="CUST_00643"/>
    <n v="1"/>
    <n v="1056.2700000000004"/>
    <n v="1197.106"/>
    <s v="Medium"/>
  </r>
  <r>
    <s v="TXN_04681"/>
    <d v="2024-12-17T00:00:00"/>
    <x v="6"/>
    <s v="Tuesday"/>
    <s v="STORE_042"/>
    <x v="1"/>
    <x v="5"/>
    <x v="10"/>
    <n v="4838.2"/>
    <n v="8"/>
    <n v="38705.599999999999"/>
    <n v="15"/>
    <n v="5805.84"/>
    <n v="32899.760000000002"/>
    <s v="Cash"/>
    <s v="CUST_00233"/>
    <n v="3"/>
    <n v="5805.8399999999965"/>
    <n v="4112.47"/>
    <s v="Medium"/>
  </r>
  <r>
    <s v="TXN_04682"/>
    <d v="2024-09-30T00:00:00"/>
    <x v="9"/>
    <s v="Monday"/>
    <s v="STORE_028"/>
    <x v="3"/>
    <x v="3"/>
    <x v="12"/>
    <n v="1860.8"/>
    <n v="5"/>
    <n v="9304"/>
    <n v="0"/>
    <n v="0"/>
    <n v="9304"/>
    <s v="UPI"/>
    <s v="CUST_00710"/>
    <n v="5"/>
    <n v="0"/>
    <n v="1860.8"/>
    <s v="No Discount"/>
  </r>
  <r>
    <s v="TXN_04683"/>
    <d v="2024-11-22T00:00:00"/>
    <x v="0"/>
    <s v="Friday"/>
    <s v="STORE_041"/>
    <x v="3"/>
    <x v="2"/>
    <x v="2"/>
    <n v="306.45"/>
    <n v="8"/>
    <n v="2451.6"/>
    <n v="5"/>
    <n v="122.58"/>
    <n v="2329.02"/>
    <s v="Debit Card"/>
    <s v="CUST_00737"/>
    <n v="3"/>
    <n v="122.57999999999993"/>
    <n v="291.1275"/>
    <s v="Low"/>
  </r>
  <r>
    <s v="TXN_04684"/>
    <d v="2024-08-31T00:00:00"/>
    <x v="8"/>
    <s v="Saturday"/>
    <s v="STORE_037"/>
    <x v="2"/>
    <x v="2"/>
    <x v="7"/>
    <n v="436.58"/>
    <n v="9"/>
    <n v="3929.22"/>
    <n v="0"/>
    <n v="0"/>
    <n v="3929.22"/>
    <s v="Cash"/>
    <s v="CUST_00420"/>
    <n v="1"/>
    <n v="0"/>
    <n v="436.58"/>
    <s v="No Discount"/>
  </r>
  <r>
    <s v="TXN_04685"/>
    <d v="2024-12-09T00:00:00"/>
    <x v="6"/>
    <s v="Monday"/>
    <s v="STORE_019"/>
    <x v="1"/>
    <x v="1"/>
    <x v="36"/>
    <n v="59.8"/>
    <n v="10"/>
    <n v="598"/>
    <n v="10"/>
    <n v="59.8"/>
    <n v="538.20000000000005"/>
    <s v="UPI"/>
    <s v="CUST_00178"/>
    <n v="5"/>
    <n v="59.799999999999955"/>
    <n v="53.820000000000007"/>
    <s v="Medium"/>
  </r>
  <r>
    <s v="TXN_04686"/>
    <d v="2024-07-02T00:00:00"/>
    <x v="11"/>
    <s v="Tuesday"/>
    <s v="STORE_008"/>
    <x v="0"/>
    <x v="5"/>
    <x v="10"/>
    <n v="3279.67"/>
    <n v="2"/>
    <n v="6559.34"/>
    <n v="5"/>
    <n v="327.97"/>
    <n v="6231.37"/>
    <s v="Cash"/>
    <s v="CUST_00515"/>
    <n v="2"/>
    <n v="327.97000000000025"/>
    <n v="3115.6849999999999"/>
    <s v="Low"/>
  </r>
  <r>
    <s v="TXN_04687"/>
    <d v="2024-09-16T00:00:00"/>
    <x v="9"/>
    <s v="Monday"/>
    <s v="STORE_050"/>
    <x v="0"/>
    <x v="5"/>
    <x v="9"/>
    <n v="2421.98"/>
    <n v="6"/>
    <n v="14531.88"/>
    <n v="10"/>
    <n v="1453.19"/>
    <n v="13078.69"/>
    <s v="UPI"/>
    <s v="CUST_00292"/>
    <n v="1"/>
    <n v="1453.1899999999987"/>
    <n v="2179.7816666666668"/>
    <s v="Medium"/>
  </r>
  <r>
    <s v="TXN_04688"/>
    <d v="2024-06-02T00:00:00"/>
    <x v="10"/>
    <s v="Sunday"/>
    <s v="STORE_037"/>
    <x v="2"/>
    <x v="7"/>
    <x v="28"/>
    <n v="710.86"/>
    <n v="6"/>
    <n v="4265.16"/>
    <n v="5"/>
    <n v="213.26"/>
    <n v="4051.9"/>
    <s v="Wallet"/>
    <s v="CUST_00371"/>
    <n v="5"/>
    <n v="213.25999999999976"/>
    <n v="675.31666666666672"/>
    <s v="Low"/>
  </r>
  <r>
    <s v="TXN_04689"/>
    <d v="2024-03-28T00:00:00"/>
    <x v="5"/>
    <s v="Thursday"/>
    <s v="STORE_042"/>
    <x v="0"/>
    <x v="2"/>
    <x v="29"/>
    <n v="285.14999999999998"/>
    <n v="6"/>
    <n v="1710.9"/>
    <n v="5"/>
    <n v="85.55"/>
    <n v="1625.35"/>
    <s v="Cash"/>
    <s v="CUST_00790"/>
    <n v="1"/>
    <n v="85.550000000000182"/>
    <n v="270.89166666666665"/>
    <s v="Low"/>
  </r>
  <r>
    <s v="TXN_04690"/>
    <d v="2024-12-02T00:00:00"/>
    <x v="6"/>
    <s v="Monday"/>
    <s v="STORE_045"/>
    <x v="2"/>
    <x v="3"/>
    <x v="22"/>
    <n v="772.81"/>
    <n v="5"/>
    <n v="3864.05"/>
    <n v="0"/>
    <n v="0"/>
    <n v="3864.05"/>
    <s v="Credit Card"/>
    <s v="CUST_00527"/>
    <n v="4"/>
    <n v="0"/>
    <n v="772.81000000000006"/>
    <s v="No Discount"/>
  </r>
  <r>
    <s v="TXN_04691"/>
    <d v="2024-10-12T00:00:00"/>
    <x v="7"/>
    <s v="Saturday"/>
    <s v="STORE_022"/>
    <x v="4"/>
    <x v="6"/>
    <x v="33"/>
    <n v="1779.98"/>
    <n v="4"/>
    <n v="7119.92"/>
    <n v="0"/>
    <n v="0"/>
    <n v="7119.92"/>
    <s v="Debit Card"/>
    <s v="CUST_00665"/>
    <n v="5"/>
    <n v="0"/>
    <n v="1779.98"/>
    <s v="No Discount"/>
  </r>
  <r>
    <s v="TXN_04692"/>
    <d v="2024-04-02T00:00:00"/>
    <x v="4"/>
    <s v="Tuesday"/>
    <s v="STORE_040"/>
    <x v="2"/>
    <x v="2"/>
    <x v="29"/>
    <n v="325.87"/>
    <n v="8"/>
    <n v="2606.96"/>
    <n v="10"/>
    <n v="260.7"/>
    <n v="2346.2600000000002"/>
    <s v="Cash"/>
    <s v="CUST_00761"/>
    <n v="3"/>
    <n v="260.69999999999982"/>
    <n v="293.28250000000003"/>
    <s v="Medium"/>
  </r>
  <r>
    <s v="TXN_04693"/>
    <d v="2024-05-30T00:00:00"/>
    <x v="3"/>
    <s v="Thursday"/>
    <s v="STORE_005"/>
    <x v="2"/>
    <x v="1"/>
    <x v="31"/>
    <n v="498.57"/>
    <n v="2"/>
    <n v="997.14"/>
    <n v="0"/>
    <n v="0"/>
    <n v="997.14"/>
    <s v="Wallet"/>
    <s v="CUST_00814"/>
    <n v="2"/>
    <n v="0"/>
    <n v="498.57"/>
    <s v="No Discount"/>
  </r>
  <r>
    <s v="TXN_04694"/>
    <d v="2024-02-19T00:00:00"/>
    <x v="1"/>
    <s v="Monday"/>
    <s v="STORE_021"/>
    <x v="1"/>
    <x v="7"/>
    <x v="38"/>
    <n v="772.14"/>
    <n v="3"/>
    <n v="2316.42"/>
    <n v="0"/>
    <n v="0"/>
    <n v="2316.42"/>
    <s v="Wallet"/>
    <s v="CUST_00269"/>
    <n v="1"/>
    <n v="0"/>
    <n v="772.14"/>
    <s v="No Discount"/>
  </r>
  <r>
    <s v="TXN_04695"/>
    <d v="2024-08-29T00:00:00"/>
    <x v="8"/>
    <s v="Thursday"/>
    <s v="STORE_004"/>
    <x v="3"/>
    <x v="1"/>
    <x v="3"/>
    <n v="277.35000000000002"/>
    <n v="4"/>
    <n v="1109.4000000000001"/>
    <n v="20"/>
    <n v="221.88"/>
    <n v="887.52"/>
    <s v="UPI"/>
    <s v="CUST_00060"/>
    <n v="4"/>
    <n v="221.88000000000011"/>
    <n v="221.88"/>
    <s v="High"/>
  </r>
  <r>
    <s v="TXN_04696"/>
    <d v="2024-03-06T00:00:00"/>
    <x v="5"/>
    <s v="Wednesday"/>
    <s v="STORE_009"/>
    <x v="3"/>
    <x v="4"/>
    <x v="8"/>
    <n v="349.78"/>
    <n v="10"/>
    <n v="3497.8"/>
    <n v="0"/>
    <n v="0"/>
    <n v="3497.8"/>
    <s v="Credit Card"/>
    <s v="CUST_00685"/>
    <n v="4"/>
    <n v="0"/>
    <n v="349.78000000000003"/>
    <s v="No Discount"/>
  </r>
  <r>
    <s v="TXN_04697"/>
    <d v="2024-05-12T00:00:00"/>
    <x v="3"/>
    <s v="Sunday"/>
    <s v="STORE_028"/>
    <x v="1"/>
    <x v="3"/>
    <x v="12"/>
    <n v="1442.6"/>
    <n v="3"/>
    <n v="4327.8"/>
    <n v="0"/>
    <n v="0"/>
    <n v="4327.8"/>
    <s v="Debit Card"/>
    <s v="CUST_00464"/>
    <n v="2"/>
    <n v="0"/>
    <n v="1442.6000000000001"/>
    <s v="No Discount"/>
  </r>
  <r>
    <s v="TXN_04698"/>
    <d v="2024-10-13T00:00:00"/>
    <x v="7"/>
    <s v="Sunday"/>
    <s v="STORE_017"/>
    <x v="3"/>
    <x v="5"/>
    <x v="34"/>
    <n v="4831.13"/>
    <n v="8"/>
    <n v="38649.040000000001"/>
    <n v="10"/>
    <n v="3864.9"/>
    <n v="34784.14"/>
    <s v="Wallet"/>
    <s v="CUST_00042"/>
    <n v="1"/>
    <n v="3864.9000000000015"/>
    <n v="4348.0174999999999"/>
    <s v="Medium"/>
  </r>
  <r>
    <s v="TXN_04699"/>
    <d v="2024-04-03T00:00:00"/>
    <x v="4"/>
    <s v="Wednesday"/>
    <s v="STORE_032"/>
    <x v="3"/>
    <x v="1"/>
    <x v="3"/>
    <n v="329.68"/>
    <n v="4"/>
    <n v="1318.72"/>
    <n v="5"/>
    <n v="65.94"/>
    <n v="1252.78"/>
    <s v="Wallet"/>
    <s v="CUST_00680"/>
    <n v="5"/>
    <n v="65.940000000000055"/>
    <n v="313.19499999999999"/>
    <s v="Low"/>
  </r>
  <r>
    <s v="TXN_04700"/>
    <d v="2024-12-14T00:00:00"/>
    <x v="6"/>
    <s v="Saturday"/>
    <s v="STORE_028"/>
    <x v="0"/>
    <x v="4"/>
    <x v="20"/>
    <n v="465.17"/>
    <n v="4"/>
    <n v="1860.68"/>
    <n v="10"/>
    <n v="186.07"/>
    <n v="1674.61"/>
    <s v="Wallet"/>
    <s v="CUST_00399"/>
    <n v="5"/>
    <n v="186.07000000000016"/>
    <n v="418.65249999999997"/>
    <s v="Medium"/>
  </r>
  <r>
    <s v="TXN_04701"/>
    <d v="2024-06-20T00:00:00"/>
    <x v="10"/>
    <s v="Thursday"/>
    <s v="STORE_035"/>
    <x v="0"/>
    <x v="7"/>
    <x v="23"/>
    <n v="660.65"/>
    <n v="5"/>
    <n v="3303.25"/>
    <n v="0"/>
    <n v="0"/>
    <n v="3303.25"/>
    <s v="Credit Card"/>
    <s v="CUST_00520"/>
    <n v="5"/>
    <n v="0"/>
    <n v="660.65"/>
    <s v="No Discount"/>
  </r>
  <r>
    <s v="TXN_04702"/>
    <d v="2024-12-01T00:00:00"/>
    <x v="6"/>
    <s v="Sunday"/>
    <s v="STORE_026"/>
    <x v="0"/>
    <x v="4"/>
    <x v="19"/>
    <n v="587.89"/>
    <n v="10"/>
    <n v="5878.9"/>
    <n v="0"/>
    <n v="0"/>
    <n v="5878.9"/>
    <s v="Wallet"/>
    <s v="CUST_00761"/>
    <n v="2"/>
    <n v="0"/>
    <n v="587.89"/>
    <s v="No Discount"/>
  </r>
  <r>
    <s v="TXN_04703"/>
    <d v="2024-02-15T00:00:00"/>
    <x v="1"/>
    <s v="Thursday"/>
    <s v="STORE_047"/>
    <x v="4"/>
    <x v="6"/>
    <x v="30"/>
    <n v="1129.1099999999999"/>
    <n v="6"/>
    <n v="6774.66"/>
    <n v="0"/>
    <n v="0"/>
    <n v="6774.66"/>
    <s v="Cash"/>
    <s v="CUST_00322"/>
    <n v="5"/>
    <n v="0"/>
    <n v="1129.1099999999999"/>
    <s v="No Discount"/>
  </r>
  <r>
    <s v="TXN_04704"/>
    <d v="2024-04-23T00:00:00"/>
    <x v="4"/>
    <s v="Tuesday"/>
    <s v="STORE_007"/>
    <x v="1"/>
    <x v="5"/>
    <x v="9"/>
    <n v="4714.07"/>
    <n v="8"/>
    <n v="37712.559999999998"/>
    <n v="20"/>
    <n v="7542.51"/>
    <n v="30170.05"/>
    <s v="Wallet"/>
    <s v="CUST_00659"/>
    <n v="4"/>
    <n v="7542.5099999999984"/>
    <n v="3771.2562499999999"/>
    <s v="High"/>
  </r>
  <r>
    <s v="TXN_04705"/>
    <d v="2024-06-30T00:00:00"/>
    <x v="10"/>
    <s v="Sunday"/>
    <s v="STORE_050"/>
    <x v="0"/>
    <x v="4"/>
    <x v="20"/>
    <n v="236.88"/>
    <n v="4"/>
    <n v="947.52"/>
    <n v="0"/>
    <n v="0"/>
    <n v="947.52"/>
    <s v="UPI"/>
    <s v="CUST_00073"/>
    <n v="5"/>
    <n v="0"/>
    <n v="236.88"/>
    <s v="No Discount"/>
  </r>
  <r>
    <s v="TXN_04706"/>
    <d v="2024-04-24T00:00:00"/>
    <x v="4"/>
    <s v="Wednesday"/>
    <s v="STORE_028"/>
    <x v="2"/>
    <x v="3"/>
    <x v="22"/>
    <n v="2488.39"/>
    <n v="6"/>
    <n v="14930.34"/>
    <n v="5"/>
    <n v="746.52"/>
    <n v="14183.82"/>
    <s v="Credit Card"/>
    <s v="CUST_00880"/>
    <n v="5"/>
    <n v="746.52000000000044"/>
    <n v="2363.9699999999998"/>
    <s v="Low"/>
  </r>
  <r>
    <s v="TXN_04707"/>
    <d v="2024-06-06T00:00:00"/>
    <x v="10"/>
    <s v="Thursday"/>
    <s v="STORE_002"/>
    <x v="2"/>
    <x v="1"/>
    <x v="1"/>
    <n v="212.35"/>
    <n v="1"/>
    <n v="212.35"/>
    <n v="0"/>
    <n v="0"/>
    <n v="212.35"/>
    <s v="Credit Card"/>
    <s v="CUST_00176"/>
    <n v="1"/>
    <n v="0"/>
    <n v="212.35"/>
    <s v="No Discount"/>
  </r>
  <r>
    <s v="TXN_04708"/>
    <d v="2024-08-03T00:00:00"/>
    <x v="8"/>
    <s v="Saturday"/>
    <s v="STORE_034"/>
    <x v="3"/>
    <x v="1"/>
    <x v="3"/>
    <n v="240.87"/>
    <n v="10"/>
    <n v="2408.6999999999998"/>
    <n v="20"/>
    <n v="481.74"/>
    <n v="1926.96"/>
    <s v="Wallet"/>
    <s v="CUST_00058"/>
    <n v="3"/>
    <n v="481.73999999999978"/>
    <n v="192.696"/>
    <s v="High"/>
  </r>
  <r>
    <s v="TXN_04709"/>
    <d v="2024-06-18T00:00:00"/>
    <x v="10"/>
    <s v="Tuesday"/>
    <s v="STORE_042"/>
    <x v="2"/>
    <x v="6"/>
    <x v="15"/>
    <n v="680.94"/>
    <n v="3"/>
    <n v="2042.82"/>
    <n v="0"/>
    <n v="0"/>
    <n v="2042.82"/>
    <s v="Debit Card"/>
    <s v="CUST_00896"/>
    <n v="5"/>
    <n v="0"/>
    <n v="680.93999999999994"/>
    <s v="No Discount"/>
  </r>
  <r>
    <s v="TXN_04710"/>
    <d v="2024-07-09T00:00:00"/>
    <x v="11"/>
    <s v="Tuesday"/>
    <s v="STORE_025"/>
    <x v="4"/>
    <x v="0"/>
    <x v="0"/>
    <n v="276.44"/>
    <n v="1"/>
    <n v="276.44"/>
    <n v="0"/>
    <n v="0"/>
    <n v="276.44"/>
    <s v="Debit Card"/>
    <s v="CUST_00214"/>
    <n v="4"/>
    <n v="0"/>
    <n v="276.44"/>
    <s v="No Discount"/>
  </r>
  <r>
    <s v="TXN_04711"/>
    <d v="2024-05-13T00:00:00"/>
    <x v="3"/>
    <s v="Monday"/>
    <s v="STORE_019"/>
    <x v="3"/>
    <x v="5"/>
    <x v="10"/>
    <n v="2870.66"/>
    <n v="10"/>
    <n v="28706.6"/>
    <n v="20"/>
    <n v="5741.32"/>
    <n v="22965.279999999999"/>
    <s v="Debit Card"/>
    <s v="CUST_00794"/>
    <n v="4"/>
    <n v="5741.32"/>
    <n v="2296.5279999999998"/>
    <s v="High"/>
  </r>
  <r>
    <s v="TXN_04712"/>
    <d v="2024-10-26T00:00:00"/>
    <x v="7"/>
    <s v="Saturday"/>
    <s v="STORE_021"/>
    <x v="0"/>
    <x v="5"/>
    <x v="11"/>
    <n v="2580.89"/>
    <n v="9"/>
    <n v="23228.01"/>
    <n v="15"/>
    <n v="3484.2"/>
    <n v="19743.810000000001"/>
    <s v="Wallet"/>
    <s v="CUST_00091"/>
    <n v="4"/>
    <n v="3484.1999999999971"/>
    <n v="2193.7566666666667"/>
    <s v="Medium"/>
  </r>
  <r>
    <s v="TXN_04713"/>
    <d v="2024-05-30T00:00:00"/>
    <x v="3"/>
    <s v="Thursday"/>
    <s v="STORE_032"/>
    <x v="0"/>
    <x v="7"/>
    <x v="24"/>
    <n v="496.22"/>
    <n v="5"/>
    <n v="2481.1"/>
    <n v="20"/>
    <n v="496.22"/>
    <n v="1984.88"/>
    <s v="Debit Card"/>
    <s v="CUST_00880"/>
    <n v="5"/>
    <n v="496.2199999999998"/>
    <n v="396.976"/>
    <s v="High"/>
  </r>
  <r>
    <s v="TXN_04714"/>
    <d v="2024-08-25T00:00:00"/>
    <x v="8"/>
    <s v="Sunday"/>
    <s v="STORE_042"/>
    <x v="1"/>
    <x v="6"/>
    <x v="33"/>
    <n v="987.76"/>
    <n v="10"/>
    <n v="9877.6"/>
    <n v="0"/>
    <n v="0"/>
    <n v="9877.6"/>
    <s v="Credit Card"/>
    <s v="CUST_00258"/>
    <n v="3"/>
    <n v="0"/>
    <n v="987.76"/>
    <s v="No Discount"/>
  </r>
  <r>
    <s v="TXN_04715"/>
    <d v="2024-03-01T00:00:00"/>
    <x v="5"/>
    <s v="Friday"/>
    <s v="STORE_044"/>
    <x v="4"/>
    <x v="2"/>
    <x v="2"/>
    <n v="515.6"/>
    <n v="10"/>
    <n v="5156"/>
    <n v="5"/>
    <n v="257.8"/>
    <n v="4898.2"/>
    <s v="Cash"/>
    <s v="CUST_00995"/>
    <n v="3"/>
    <n v="257.80000000000018"/>
    <n v="489.82"/>
    <s v="Low"/>
  </r>
  <r>
    <s v="TXN_04716"/>
    <d v="2024-08-28T00:00:00"/>
    <x v="8"/>
    <s v="Wednesday"/>
    <s v="STORE_037"/>
    <x v="0"/>
    <x v="0"/>
    <x v="0"/>
    <n v="706.4"/>
    <n v="4"/>
    <n v="2825.6"/>
    <n v="10"/>
    <n v="282.56"/>
    <n v="2543.04"/>
    <s v="Cash"/>
    <s v="CUST_00786"/>
    <n v="1"/>
    <n v="282.55999999999995"/>
    <n v="635.76"/>
    <s v="Medium"/>
  </r>
  <r>
    <s v="TXN_04717"/>
    <d v="2024-01-28T00:00:00"/>
    <x v="2"/>
    <s v="Sunday"/>
    <s v="STORE_015"/>
    <x v="3"/>
    <x v="1"/>
    <x v="1"/>
    <n v="473.56"/>
    <n v="2"/>
    <n v="947.12"/>
    <n v="20"/>
    <n v="189.42"/>
    <n v="757.7"/>
    <s v="Cash"/>
    <s v="CUST_00541"/>
    <n v="4"/>
    <n v="189.41999999999996"/>
    <n v="378.85"/>
    <s v="High"/>
  </r>
  <r>
    <s v="TXN_04718"/>
    <d v="2024-11-20T00:00:00"/>
    <x v="0"/>
    <s v="Wednesday"/>
    <s v="STORE_010"/>
    <x v="1"/>
    <x v="4"/>
    <x v="8"/>
    <n v="441.18"/>
    <n v="1"/>
    <n v="441.18"/>
    <n v="0"/>
    <n v="0"/>
    <n v="441.18"/>
    <s v="Credit Card"/>
    <s v="CUST_00091"/>
    <n v="5"/>
    <n v="0"/>
    <n v="441.18"/>
    <s v="No Discount"/>
  </r>
  <r>
    <s v="TXN_04719"/>
    <d v="2024-10-25T00:00:00"/>
    <x v="7"/>
    <s v="Friday"/>
    <s v="STORE_029"/>
    <x v="0"/>
    <x v="7"/>
    <x v="28"/>
    <n v="1425.24"/>
    <n v="2"/>
    <n v="2850.48"/>
    <n v="15"/>
    <n v="427.57"/>
    <n v="2422.91"/>
    <s v="Wallet"/>
    <s v="CUST_00020"/>
    <n v="4"/>
    <n v="427.57000000000016"/>
    <n v="1211.4549999999999"/>
    <s v="Medium"/>
  </r>
  <r>
    <s v="TXN_04720"/>
    <d v="2024-10-24T00:00:00"/>
    <x v="7"/>
    <s v="Thursday"/>
    <s v="STORE_028"/>
    <x v="2"/>
    <x v="1"/>
    <x v="6"/>
    <n v="310.57"/>
    <n v="5"/>
    <n v="1552.85"/>
    <n v="0"/>
    <n v="0"/>
    <n v="1552.85"/>
    <s v="Cash"/>
    <s v="CUST_00635"/>
    <n v="4"/>
    <n v="0"/>
    <n v="310.57"/>
    <s v="No Discount"/>
  </r>
  <r>
    <s v="TXN_04721"/>
    <d v="2024-11-13T00:00:00"/>
    <x v="0"/>
    <s v="Wednesday"/>
    <s v="STORE_047"/>
    <x v="1"/>
    <x v="0"/>
    <x v="4"/>
    <n v="782.56"/>
    <n v="7"/>
    <n v="5477.92"/>
    <n v="20"/>
    <n v="1095.58"/>
    <n v="4382.34"/>
    <s v="Credit Card"/>
    <s v="CUST_00056"/>
    <n v="1"/>
    <n v="1095.58"/>
    <n v="626.04857142857145"/>
    <s v="High"/>
  </r>
  <r>
    <s v="TXN_04722"/>
    <d v="2024-02-06T00:00:00"/>
    <x v="1"/>
    <s v="Tuesday"/>
    <s v="STORE_012"/>
    <x v="3"/>
    <x v="2"/>
    <x v="29"/>
    <n v="290.48"/>
    <n v="1"/>
    <n v="290.48"/>
    <n v="20"/>
    <n v="58.1"/>
    <n v="232.38"/>
    <s v="Credit Card"/>
    <s v="CUST_00670"/>
    <n v="1"/>
    <n v="58.100000000000023"/>
    <n v="232.38"/>
    <s v="High"/>
  </r>
  <r>
    <s v="TXN_04723"/>
    <d v="2024-08-29T00:00:00"/>
    <x v="8"/>
    <s v="Thursday"/>
    <s v="STORE_042"/>
    <x v="3"/>
    <x v="4"/>
    <x v="35"/>
    <n v="354.12"/>
    <n v="5"/>
    <n v="1770.6"/>
    <n v="5"/>
    <n v="88.53"/>
    <n v="1682.07"/>
    <s v="Cash"/>
    <s v="CUST_00372"/>
    <n v="4"/>
    <n v="88.529999999999973"/>
    <n v="336.41399999999999"/>
    <s v="Low"/>
  </r>
  <r>
    <s v="TXN_04724"/>
    <d v="2024-04-09T00:00:00"/>
    <x v="4"/>
    <s v="Tuesday"/>
    <s v="STORE_020"/>
    <x v="2"/>
    <x v="1"/>
    <x v="31"/>
    <n v="376.3"/>
    <n v="10"/>
    <n v="3763"/>
    <n v="15"/>
    <n v="564.45000000000005"/>
    <n v="3198.55"/>
    <s v="UPI"/>
    <s v="CUST_00783"/>
    <n v="4"/>
    <n v="564.44999999999982"/>
    <n v="319.85500000000002"/>
    <s v="Medium"/>
  </r>
  <r>
    <s v="TXN_04725"/>
    <d v="2024-09-13T00:00:00"/>
    <x v="9"/>
    <s v="Friday"/>
    <s v="STORE_049"/>
    <x v="0"/>
    <x v="6"/>
    <x v="15"/>
    <n v="504.07"/>
    <n v="9"/>
    <n v="4536.63"/>
    <n v="0"/>
    <n v="0"/>
    <n v="4536.63"/>
    <s v="Wallet"/>
    <s v="CUST_00248"/>
    <n v="1"/>
    <n v="0"/>
    <n v="504.07"/>
    <s v="No Discount"/>
  </r>
  <r>
    <s v="TXN_04726"/>
    <d v="2024-03-02T00:00:00"/>
    <x v="5"/>
    <s v="Saturday"/>
    <s v="STORE_008"/>
    <x v="1"/>
    <x v="3"/>
    <x v="21"/>
    <n v="1913.48"/>
    <n v="5"/>
    <n v="9567.4"/>
    <n v="20"/>
    <n v="1913.48"/>
    <n v="7653.92"/>
    <s v="UPI"/>
    <s v="CUST_00720"/>
    <n v="2"/>
    <n v="1913.4799999999996"/>
    <n v="1530.7840000000001"/>
    <s v="High"/>
  </r>
  <r>
    <s v="TXN_04727"/>
    <d v="2024-12-14T00:00:00"/>
    <x v="6"/>
    <s v="Saturday"/>
    <s v="STORE_015"/>
    <x v="3"/>
    <x v="1"/>
    <x v="36"/>
    <n v="438.72"/>
    <n v="2"/>
    <n v="877.44"/>
    <n v="20"/>
    <n v="175.49"/>
    <n v="701.95"/>
    <s v="UPI"/>
    <s v="CUST_00226"/>
    <n v="3"/>
    <n v="175.49"/>
    <n v="350.97500000000002"/>
    <s v="High"/>
  </r>
  <r>
    <s v="TXN_04728"/>
    <d v="2024-07-14T00:00:00"/>
    <x v="11"/>
    <s v="Sunday"/>
    <s v="STORE_001"/>
    <x v="3"/>
    <x v="6"/>
    <x v="15"/>
    <n v="805.76"/>
    <n v="5"/>
    <n v="4028.8"/>
    <n v="0"/>
    <n v="0"/>
    <n v="4028.8"/>
    <s v="Wallet"/>
    <s v="CUST_00727"/>
    <n v="5"/>
    <n v="0"/>
    <n v="805.76"/>
    <s v="No Discount"/>
  </r>
  <r>
    <s v="TXN_04729"/>
    <d v="2024-09-28T00:00:00"/>
    <x v="9"/>
    <s v="Saturday"/>
    <s v="STORE_008"/>
    <x v="1"/>
    <x v="7"/>
    <x v="37"/>
    <n v="478.72"/>
    <n v="4"/>
    <n v="1914.88"/>
    <n v="0"/>
    <n v="0"/>
    <n v="1914.88"/>
    <s v="Wallet"/>
    <s v="CUST_00889"/>
    <n v="4"/>
    <n v="0"/>
    <n v="478.72"/>
    <s v="No Discount"/>
  </r>
  <r>
    <s v="TXN_04730"/>
    <d v="2024-06-01T00:00:00"/>
    <x v="10"/>
    <s v="Saturday"/>
    <s v="STORE_026"/>
    <x v="4"/>
    <x v="6"/>
    <x v="33"/>
    <n v="667.33"/>
    <n v="1"/>
    <n v="667.33"/>
    <n v="5"/>
    <n v="33.369999999999997"/>
    <n v="633.96"/>
    <s v="UPI"/>
    <s v="CUST_00056"/>
    <n v="1"/>
    <n v="33.370000000000005"/>
    <n v="633.96"/>
    <s v="Low"/>
  </r>
  <r>
    <s v="TXN_04731"/>
    <d v="2024-07-30T00:00:00"/>
    <x v="11"/>
    <s v="Tuesday"/>
    <s v="STORE_004"/>
    <x v="1"/>
    <x v="3"/>
    <x v="5"/>
    <n v="2572.62"/>
    <n v="8"/>
    <n v="20580.96"/>
    <n v="0"/>
    <n v="0"/>
    <n v="20580.96"/>
    <s v="Cash"/>
    <s v="CUST_00122"/>
    <n v="5"/>
    <n v="0"/>
    <n v="2572.62"/>
    <s v="No Discount"/>
  </r>
  <r>
    <s v="TXN_04732"/>
    <d v="2024-01-28T00:00:00"/>
    <x v="2"/>
    <s v="Sunday"/>
    <s v="STORE_039"/>
    <x v="3"/>
    <x v="7"/>
    <x v="37"/>
    <n v="1088.3"/>
    <n v="10"/>
    <n v="10883"/>
    <n v="15"/>
    <n v="1632.45"/>
    <n v="9250.5499999999993"/>
    <s v="UPI"/>
    <s v="CUST_00691"/>
    <n v="4"/>
    <n v="1632.4500000000007"/>
    <n v="925.05499999999995"/>
    <s v="Medium"/>
  </r>
  <r>
    <s v="TXN_04733"/>
    <d v="2024-03-18T00:00:00"/>
    <x v="5"/>
    <s v="Monday"/>
    <s v="STORE_037"/>
    <x v="4"/>
    <x v="3"/>
    <x v="21"/>
    <n v="1864.38"/>
    <n v="5"/>
    <n v="9321.9"/>
    <n v="5"/>
    <n v="466.1"/>
    <n v="8855.7999999999993"/>
    <s v="UPI"/>
    <s v="CUST_00397"/>
    <n v="1"/>
    <n v="466.10000000000036"/>
    <n v="1771.1599999999999"/>
    <s v="Low"/>
  </r>
  <r>
    <s v="TXN_04734"/>
    <d v="2024-03-11T00:00:00"/>
    <x v="5"/>
    <s v="Monday"/>
    <s v="STORE_010"/>
    <x v="4"/>
    <x v="6"/>
    <x v="26"/>
    <n v="1191.78"/>
    <n v="10"/>
    <n v="11917.8"/>
    <n v="5"/>
    <n v="595.89"/>
    <n v="11321.91"/>
    <s v="Credit Card"/>
    <s v="CUST_00884"/>
    <n v="2"/>
    <n v="595.88999999999942"/>
    <n v="1132.191"/>
    <s v="Low"/>
  </r>
  <r>
    <s v="TXN_04735"/>
    <d v="2024-04-12T00:00:00"/>
    <x v="4"/>
    <s v="Friday"/>
    <s v="STORE_046"/>
    <x v="3"/>
    <x v="3"/>
    <x v="21"/>
    <n v="1636.72"/>
    <n v="8"/>
    <n v="13093.76"/>
    <n v="10"/>
    <n v="1309.3800000000001"/>
    <n v="11784.38"/>
    <s v="Wallet"/>
    <s v="CUST_00464"/>
    <n v="3"/>
    <n v="1309.380000000001"/>
    <n v="1473.0474999999999"/>
    <s v="Medium"/>
  </r>
  <r>
    <s v="TXN_04736"/>
    <d v="2024-06-24T00:00:00"/>
    <x v="10"/>
    <s v="Monday"/>
    <s v="STORE_034"/>
    <x v="3"/>
    <x v="5"/>
    <x v="25"/>
    <n v="4110.74"/>
    <n v="8"/>
    <n v="32885.919999999998"/>
    <n v="0"/>
    <n v="0"/>
    <n v="32885.919999999998"/>
    <s v="Wallet"/>
    <s v="CUST_00551"/>
    <n v="4"/>
    <n v="0"/>
    <n v="4110.74"/>
    <s v="No Discount"/>
  </r>
  <r>
    <s v="TXN_04737"/>
    <d v="2024-07-28T00:00:00"/>
    <x v="11"/>
    <s v="Sunday"/>
    <s v="STORE_001"/>
    <x v="2"/>
    <x v="0"/>
    <x v="0"/>
    <n v="557.59"/>
    <n v="5"/>
    <n v="2787.95"/>
    <n v="10"/>
    <n v="278.8"/>
    <n v="2509.15"/>
    <s v="Debit Card"/>
    <s v="CUST_00584"/>
    <n v="2"/>
    <n v="278.79999999999973"/>
    <n v="501.83000000000004"/>
    <s v="Medium"/>
  </r>
  <r>
    <s v="TXN_04738"/>
    <d v="2024-10-18T00:00:00"/>
    <x v="7"/>
    <s v="Friday"/>
    <s v="STORE_023"/>
    <x v="2"/>
    <x v="1"/>
    <x v="36"/>
    <n v="454.72"/>
    <n v="5"/>
    <n v="2273.6"/>
    <n v="5"/>
    <n v="113.68"/>
    <n v="2159.92"/>
    <s v="Cash"/>
    <s v="CUST_00119"/>
    <n v="5"/>
    <n v="113.67999999999984"/>
    <n v="431.98400000000004"/>
    <s v="Low"/>
  </r>
  <r>
    <s v="TXN_04739"/>
    <d v="2024-08-22T00:00:00"/>
    <x v="8"/>
    <s v="Thursday"/>
    <s v="STORE_021"/>
    <x v="3"/>
    <x v="3"/>
    <x v="12"/>
    <n v="1277"/>
    <n v="3"/>
    <n v="3831"/>
    <n v="15"/>
    <n v="574.65"/>
    <n v="3256.35"/>
    <s v="Credit Card"/>
    <s v="CUST_00457"/>
    <n v="1"/>
    <n v="574.65000000000009"/>
    <n v="1085.45"/>
    <s v="Medium"/>
  </r>
  <r>
    <s v="TXN_04740"/>
    <d v="2024-03-14T00:00:00"/>
    <x v="5"/>
    <s v="Thursday"/>
    <s v="STORE_049"/>
    <x v="3"/>
    <x v="7"/>
    <x v="24"/>
    <n v="321.32"/>
    <n v="3"/>
    <n v="963.96"/>
    <n v="10"/>
    <n v="96.4"/>
    <n v="867.56"/>
    <s v="Debit Card"/>
    <s v="CUST_00316"/>
    <n v="3"/>
    <n v="96.400000000000091"/>
    <n v="289.18666666666667"/>
    <s v="Medium"/>
  </r>
  <r>
    <s v="TXN_04741"/>
    <d v="2024-06-10T00:00:00"/>
    <x v="10"/>
    <s v="Monday"/>
    <s v="STORE_037"/>
    <x v="1"/>
    <x v="7"/>
    <x v="38"/>
    <n v="839.26"/>
    <n v="7"/>
    <n v="5874.82"/>
    <n v="20"/>
    <n v="1174.96"/>
    <n v="4699.8599999999997"/>
    <s v="Cash"/>
    <s v="CUST_00687"/>
    <n v="1"/>
    <n v="1174.96"/>
    <n v="671.40857142857135"/>
    <s v="High"/>
  </r>
  <r>
    <s v="TXN_04742"/>
    <d v="2024-04-02T00:00:00"/>
    <x v="4"/>
    <s v="Tuesday"/>
    <s v="STORE_031"/>
    <x v="4"/>
    <x v="5"/>
    <x v="11"/>
    <n v="3642.65"/>
    <n v="6"/>
    <n v="21855.9"/>
    <n v="10"/>
    <n v="2185.59"/>
    <n v="19670.310000000001"/>
    <s v="UPI"/>
    <s v="CUST_00088"/>
    <n v="2"/>
    <n v="2185.59"/>
    <n v="3278.3850000000002"/>
    <s v="Medium"/>
  </r>
  <r>
    <s v="TXN_04743"/>
    <d v="2024-02-11T00:00:00"/>
    <x v="1"/>
    <s v="Sunday"/>
    <s v="STORE_033"/>
    <x v="2"/>
    <x v="3"/>
    <x v="21"/>
    <n v="2669.56"/>
    <n v="10"/>
    <n v="26695.599999999999"/>
    <n v="0"/>
    <n v="0"/>
    <n v="26695.599999999999"/>
    <s v="Cash"/>
    <s v="CUST_00727"/>
    <n v="1"/>
    <n v="0"/>
    <n v="2669.56"/>
    <s v="No Discount"/>
  </r>
  <r>
    <s v="TXN_04744"/>
    <d v="2024-09-06T00:00:00"/>
    <x v="9"/>
    <s v="Friday"/>
    <s v="STORE_039"/>
    <x v="2"/>
    <x v="3"/>
    <x v="5"/>
    <n v="2460.02"/>
    <n v="1"/>
    <n v="2460.02"/>
    <n v="0"/>
    <n v="0"/>
    <n v="2460.02"/>
    <s v="Cash"/>
    <s v="CUST_00312"/>
    <n v="4"/>
    <n v="0"/>
    <n v="2460.02"/>
    <s v="No Discount"/>
  </r>
  <r>
    <s v="TXN_04745"/>
    <d v="2024-06-19T00:00:00"/>
    <x v="10"/>
    <s v="Wednesday"/>
    <s v="STORE_005"/>
    <x v="1"/>
    <x v="0"/>
    <x v="32"/>
    <n v="425.14"/>
    <n v="5"/>
    <n v="2125.6999999999998"/>
    <n v="0"/>
    <n v="0"/>
    <n v="2125.6999999999998"/>
    <s v="Cash"/>
    <s v="CUST_00101"/>
    <n v="5"/>
    <n v="0"/>
    <n v="425.14"/>
    <s v="No Discount"/>
  </r>
  <r>
    <s v="TXN_04746"/>
    <d v="2024-11-19T00:00:00"/>
    <x v="0"/>
    <s v="Tuesday"/>
    <s v="STORE_006"/>
    <x v="2"/>
    <x v="3"/>
    <x v="16"/>
    <n v="913.89"/>
    <n v="3"/>
    <n v="2741.67"/>
    <n v="5"/>
    <n v="137.08000000000001"/>
    <n v="2604.59"/>
    <s v="Wallet"/>
    <s v="CUST_00638"/>
    <n v="5"/>
    <n v="137.07999999999993"/>
    <n v="868.19666666666672"/>
    <s v="Low"/>
  </r>
  <r>
    <s v="TXN_04747"/>
    <d v="2024-03-31T00:00:00"/>
    <x v="5"/>
    <s v="Sunday"/>
    <s v="STORE_040"/>
    <x v="4"/>
    <x v="5"/>
    <x v="9"/>
    <n v="4158.43"/>
    <n v="9"/>
    <n v="37425.870000000003"/>
    <n v="10"/>
    <n v="3742.59"/>
    <n v="33683.279999999999"/>
    <s v="Credit Card"/>
    <s v="CUST_00865"/>
    <n v="1"/>
    <n v="3742.5900000000038"/>
    <n v="3742.5866666666666"/>
    <s v="Medium"/>
  </r>
  <r>
    <s v="TXN_04748"/>
    <d v="2024-06-09T00:00:00"/>
    <x v="10"/>
    <s v="Sunday"/>
    <s v="STORE_006"/>
    <x v="3"/>
    <x v="0"/>
    <x v="18"/>
    <n v="712.39"/>
    <n v="9"/>
    <n v="6411.51"/>
    <n v="0"/>
    <n v="0"/>
    <n v="6411.51"/>
    <s v="Cash"/>
    <s v="CUST_00918"/>
    <n v="3"/>
    <n v="0"/>
    <n v="712.39"/>
    <s v="No Discount"/>
  </r>
  <r>
    <s v="TXN_04749"/>
    <d v="2024-11-20T00:00:00"/>
    <x v="0"/>
    <s v="Wednesday"/>
    <s v="STORE_039"/>
    <x v="1"/>
    <x v="0"/>
    <x v="4"/>
    <n v="276.81"/>
    <n v="8"/>
    <n v="2214.48"/>
    <n v="20"/>
    <n v="442.9"/>
    <n v="1771.58"/>
    <s v="UPI"/>
    <s v="CUST_00168"/>
    <n v="2"/>
    <n v="442.90000000000009"/>
    <n v="221.44749999999999"/>
    <s v="High"/>
  </r>
  <r>
    <s v="TXN_04750"/>
    <d v="2024-01-30T00:00:00"/>
    <x v="2"/>
    <s v="Tuesday"/>
    <s v="STORE_022"/>
    <x v="4"/>
    <x v="6"/>
    <x v="33"/>
    <n v="1832.86"/>
    <n v="8"/>
    <n v="14662.88"/>
    <n v="0"/>
    <n v="0"/>
    <n v="14662.88"/>
    <s v="Wallet"/>
    <s v="CUST_00762"/>
    <n v="1"/>
    <n v="0"/>
    <n v="1832.86"/>
    <s v="No Discount"/>
  </r>
  <r>
    <s v="TXN_04751"/>
    <d v="2024-01-03T00:00:00"/>
    <x v="2"/>
    <s v="Wednesday"/>
    <s v="STORE_032"/>
    <x v="4"/>
    <x v="4"/>
    <x v="17"/>
    <n v="219.11"/>
    <n v="1"/>
    <n v="219.11"/>
    <n v="0"/>
    <n v="0"/>
    <n v="219.11"/>
    <s v="Wallet"/>
    <s v="CUST_00999"/>
    <n v="4"/>
    <n v="0"/>
    <n v="219.11"/>
    <s v="No Discount"/>
  </r>
  <r>
    <s v="TXN_04752"/>
    <d v="2024-08-19T00:00:00"/>
    <x v="8"/>
    <s v="Monday"/>
    <s v="STORE_013"/>
    <x v="2"/>
    <x v="4"/>
    <x v="19"/>
    <n v="229.49"/>
    <n v="1"/>
    <n v="229.49"/>
    <n v="0"/>
    <n v="0"/>
    <n v="229.49"/>
    <s v="Debit Card"/>
    <s v="CUST_00375"/>
    <n v="1"/>
    <n v="0"/>
    <n v="229.49"/>
    <s v="No Discount"/>
  </r>
  <r>
    <s v="TXN_04753"/>
    <d v="2024-05-20T00:00:00"/>
    <x v="3"/>
    <s v="Monday"/>
    <s v="STORE_036"/>
    <x v="4"/>
    <x v="7"/>
    <x v="23"/>
    <n v="1337.82"/>
    <n v="2"/>
    <n v="2675.64"/>
    <n v="5"/>
    <n v="133.78"/>
    <n v="2541.86"/>
    <s v="Cash"/>
    <s v="CUST_00446"/>
    <n v="5"/>
    <n v="133.77999999999975"/>
    <n v="1270.93"/>
    <s v="Low"/>
  </r>
  <r>
    <s v="TXN_04754"/>
    <d v="2024-04-17T00:00:00"/>
    <x v="4"/>
    <s v="Wednesday"/>
    <s v="STORE_017"/>
    <x v="2"/>
    <x v="5"/>
    <x v="11"/>
    <n v="3745.04"/>
    <n v="10"/>
    <n v="37450.400000000001"/>
    <n v="0"/>
    <n v="0"/>
    <n v="37450.400000000001"/>
    <s v="UPI"/>
    <s v="CUST_00625"/>
    <n v="4"/>
    <n v="0"/>
    <n v="3745.04"/>
    <s v="No Discount"/>
  </r>
  <r>
    <s v="TXN_04755"/>
    <d v="2024-03-27T00:00:00"/>
    <x v="5"/>
    <s v="Wednesday"/>
    <s v="STORE_012"/>
    <x v="1"/>
    <x v="2"/>
    <x v="7"/>
    <n v="775.69"/>
    <n v="6"/>
    <n v="4654.1400000000003"/>
    <n v="20"/>
    <n v="930.83"/>
    <n v="3723.31"/>
    <s v="Wallet"/>
    <s v="CUST_00078"/>
    <n v="2"/>
    <n v="930.83000000000038"/>
    <n v="620.55166666666662"/>
    <s v="High"/>
  </r>
  <r>
    <s v="TXN_04756"/>
    <d v="2024-10-22T00:00:00"/>
    <x v="7"/>
    <s v="Tuesday"/>
    <s v="STORE_040"/>
    <x v="0"/>
    <x v="6"/>
    <x v="30"/>
    <n v="515.03"/>
    <n v="7"/>
    <n v="3605.21"/>
    <n v="0"/>
    <n v="0"/>
    <n v="3605.21"/>
    <s v="Debit Card"/>
    <s v="CUST_00149"/>
    <n v="3"/>
    <n v="0"/>
    <n v="515.03"/>
    <s v="No Discount"/>
  </r>
  <r>
    <s v="TXN_04757"/>
    <d v="2024-03-22T00:00:00"/>
    <x v="5"/>
    <s v="Friday"/>
    <s v="STORE_037"/>
    <x v="1"/>
    <x v="1"/>
    <x v="1"/>
    <n v="363.81"/>
    <n v="8"/>
    <n v="2910.48"/>
    <n v="0"/>
    <n v="0"/>
    <n v="2910.48"/>
    <s v="Wallet"/>
    <s v="CUST_00871"/>
    <n v="3"/>
    <n v="0"/>
    <n v="363.81"/>
    <s v="No Discount"/>
  </r>
  <r>
    <s v="TXN_04758"/>
    <d v="2024-09-07T00:00:00"/>
    <x v="9"/>
    <s v="Saturday"/>
    <s v="STORE_017"/>
    <x v="0"/>
    <x v="5"/>
    <x v="9"/>
    <n v="3024.62"/>
    <n v="4"/>
    <n v="12098.48"/>
    <n v="10"/>
    <n v="1209.8499999999999"/>
    <n v="10888.63"/>
    <s v="Cash"/>
    <s v="CUST_00711"/>
    <n v="3"/>
    <n v="1209.8500000000004"/>
    <n v="2722.1574999999998"/>
    <s v="Medium"/>
  </r>
  <r>
    <s v="TXN_04759"/>
    <d v="2024-02-15T00:00:00"/>
    <x v="1"/>
    <s v="Thursday"/>
    <s v="STORE_041"/>
    <x v="2"/>
    <x v="2"/>
    <x v="39"/>
    <n v="476.75"/>
    <n v="3"/>
    <n v="1430.25"/>
    <n v="0"/>
    <n v="0"/>
    <n v="1430.25"/>
    <s v="Debit Card"/>
    <s v="CUST_00121"/>
    <n v="5"/>
    <n v="0"/>
    <n v="476.75"/>
    <s v="No Discount"/>
  </r>
  <r>
    <s v="TXN_04760"/>
    <d v="2024-03-07T00:00:00"/>
    <x v="5"/>
    <s v="Thursday"/>
    <s v="STORE_018"/>
    <x v="2"/>
    <x v="7"/>
    <x v="24"/>
    <n v="1077.54"/>
    <n v="6"/>
    <n v="6465.24"/>
    <n v="5"/>
    <n v="323.26"/>
    <n v="6141.98"/>
    <s v="UPI"/>
    <s v="CUST_00689"/>
    <n v="5"/>
    <n v="323.26000000000022"/>
    <n v="1023.6633333333333"/>
    <s v="Low"/>
  </r>
  <r>
    <s v="TXN_04761"/>
    <d v="2024-11-10T00:00:00"/>
    <x v="0"/>
    <s v="Sunday"/>
    <s v="STORE_016"/>
    <x v="0"/>
    <x v="4"/>
    <x v="8"/>
    <n v="244.82"/>
    <n v="9"/>
    <n v="2203.38"/>
    <n v="20"/>
    <n v="440.68"/>
    <n v="1762.7"/>
    <s v="Cash"/>
    <s v="CUST_00928"/>
    <n v="3"/>
    <n v="440.68000000000006"/>
    <n v="195.85555555555555"/>
    <s v="High"/>
  </r>
  <r>
    <s v="TXN_04762"/>
    <d v="2024-08-10T00:00:00"/>
    <x v="8"/>
    <s v="Saturday"/>
    <s v="STORE_032"/>
    <x v="0"/>
    <x v="3"/>
    <x v="5"/>
    <n v="1212.52"/>
    <n v="9"/>
    <n v="10912.68"/>
    <n v="20"/>
    <n v="2182.54"/>
    <n v="8730.14"/>
    <s v="Debit Card"/>
    <s v="CUST_00121"/>
    <n v="5"/>
    <n v="2182.5400000000009"/>
    <n v="970.01555555555547"/>
    <s v="High"/>
  </r>
  <r>
    <s v="TXN_04763"/>
    <d v="2024-11-20T00:00:00"/>
    <x v="0"/>
    <s v="Wednesday"/>
    <s v="STORE_018"/>
    <x v="0"/>
    <x v="1"/>
    <x v="6"/>
    <n v="453.75"/>
    <n v="6"/>
    <n v="2722.5"/>
    <n v="0"/>
    <n v="0"/>
    <n v="2722.5"/>
    <s v="Debit Card"/>
    <s v="CUST_00258"/>
    <n v="2"/>
    <n v="0"/>
    <n v="453.75"/>
    <s v="No Discount"/>
  </r>
  <r>
    <s v="TXN_04764"/>
    <d v="2024-08-07T00:00:00"/>
    <x v="8"/>
    <s v="Wednesday"/>
    <s v="STORE_028"/>
    <x v="1"/>
    <x v="5"/>
    <x v="34"/>
    <n v="3955.05"/>
    <n v="10"/>
    <n v="39550.5"/>
    <n v="0"/>
    <n v="0"/>
    <n v="39550.5"/>
    <s v="UPI"/>
    <s v="CUST_00966"/>
    <n v="5"/>
    <n v="0"/>
    <n v="3955.05"/>
    <s v="No Discount"/>
  </r>
  <r>
    <s v="TXN_04765"/>
    <d v="2024-07-25T00:00:00"/>
    <x v="11"/>
    <s v="Thursday"/>
    <s v="STORE_002"/>
    <x v="2"/>
    <x v="0"/>
    <x v="0"/>
    <n v="641.37"/>
    <n v="8"/>
    <n v="5130.96"/>
    <n v="0"/>
    <n v="0"/>
    <n v="5130.96"/>
    <s v="Debit Card"/>
    <s v="CUST_00431"/>
    <n v="3"/>
    <n v="0"/>
    <n v="641.37"/>
    <s v="No Discount"/>
  </r>
  <r>
    <s v="TXN_04766"/>
    <d v="2024-08-07T00:00:00"/>
    <x v="8"/>
    <s v="Wednesday"/>
    <s v="STORE_011"/>
    <x v="4"/>
    <x v="2"/>
    <x v="39"/>
    <n v="639.91"/>
    <n v="9"/>
    <n v="5759.19"/>
    <n v="0"/>
    <n v="0"/>
    <n v="5759.19"/>
    <s v="Cash"/>
    <s v="CUST_00914"/>
    <n v="5"/>
    <n v="0"/>
    <n v="639.91"/>
    <s v="No Discount"/>
  </r>
  <r>
    <s v="TXN_04767"/>
    <d v="2024-09-01T00:00:00"/>
    <x v="9"/>
    <s v="Sunday"/>
    <s v="STORE_012"/>
    <x v="1"/>
    <x v="2"/>
    <x v="2"/>
    <n v="433.1"/>
    <n v="9"/>
    <n v="3897.9"/>
    <n v="0"/>
    <n v="0"/>
    <n v="3897.9"/>
    <s v="Wallet"/>
    <s v="CUST_00753"/>
    <n v="4"/>
    <n v="0"/>
    <n v="433.1"/>
    <s v="No Discount"/>
  </r>
  <r>
    <s v="TXN_04768"/>
    <d v="2024-07-15T00:00:00"/>
    <x v="11"/>
    <s v="Monday"/>
    <s v="STORE_002"/>
    <x v="3"/>
    <x v="4"/>
    <x v="17"/>
    <n v="348.31"/>
    <n v="3"/>
    <n v="1044.93"/>
    <n v="10"/>
    <n v="104.49"/>
    <n v="940.44"/>
    <s v="Debit Card"/>
    <s v="CUST_00898"/>
    <n v="4"/>
    <n v="104.49000000000001"/>
    <n v="313.48"/>
    <s v="Medium"/>
  </r>
  <r>
    <s v="TXN_04769"/>
    <d v="2024-01-03T00:00:00"/>
    <x v="2"/>
    <s v="Wednesday"/>
    <s v="STORE_002"/>
    <x v="4"/>
    <x v="5"/>
    <x v="25"/>
    <n v="4475.74"/>
    <n v="8"/>
    <n v="35805.919999999998"/>
    <n v="15"/>
    <n v="5370.89"/>
    <n v="30435.03"/>
    <s v="Debit Card"/>
    <s v="CUST_00062"/>
    <n v="4"/>
    <n v="5370.8899999999994"/>
    <n v="3804.3787499999999"/>
    <s v="Medium"/>
  </r>
  <r>
    <s v="TXN_04770"/>
    <d v="2024-01-20T00:00:00"/>
    <x v="2"/>
    <s v="Saturday"/>
    <s v="STORE_046"/>
    <x v="2"/>
    <x v="4"/>
    <x v="35"/>
    <n v="392.32"/>
    <n v="3"/>
    <n v="1176.96"/>
    <n v="5"/>
    <n v="58.85"/>
    <n v="1118.1099999999999"/>
    <s v="Debit Card"/>
    <s v="CUST_00996"/>
    <n v="2"/>
    <n v="58.850000000000136"/>
    <n v="372.70333333333332"/>
    <s v="Low"/>
  </r>
  <r>
    <s v="TXN_04771"/>
    <d v="2024-09-30T00:00:00"/>
    <x v="9"/>
    <s v="Monday"/>
    <s v="STORE_013"/>
    <x v="0"/>
    <x v="0"/>
    <x v="4"/>
    <n v="498.62"/>
    <n v="1"/>
    <n v="498.62"/>
    <n v="0"/>
    <n v="0"/>
    <n v="498.62"/>
    <s v="Credit Card"/>
    <s v="CUST_00652"/>
    <n v="3"/>
    <n v="0"/>
    <n v="498.62"/>
    <s v="No Discount"/>
  </r>
  <r>
    <s v="TXN_04772"/>
    <d v="2024-04-12T00:00:00"/>
    <x v="4"/>
    <s v="Friday"/>
    <s v="STORE_019"/>
    <x v="3"/>
    <x v="1"/>
    <x v="36"/>
    <n v="494.69"/>
    <n v="4"/>
    <n v="1978.76"/>
    <n v="20"/>
    <n v="395.75"/>
    <n v="1583.01"/>
    <s v="Cash"/>
    <s v="CUST_00489"/>
    <n v="1"/>
    <n v="395.75"/>
    <n v="395.7525"/>
    <s v="High"/>
  </r>
  <r>
    <s v="TXN_04773"/>
    <d v="2024-07-10T00:00:00"/>
    <x v="11"/>
    <s v="Wednesday"/>
    <s v="STORE_048"/>
    <x v="3"/>
    <x v="4"/>
    <x v="19"/>
    <n v="533.03"/>
    <n v="9"/>
    <n v="4797.2700000000004"/>
    <n v="10"/>
    <n v="479.73"/>
    <n v="4317.54"/>
    <s v="UPI"/>
    <s v="CUST_00092"/>
    <n v="2"/>
    <n v="479.73000000000047"/>
    <n v="479.72666666666669"/>
    <s v="Medium"/>
  </r>
  <r>
    <s v="TXN_04774"/>
    <d v="2024-01-08T00:00:00"/>
    <x v="2"/>
    <s v="Monday"/>
    <s v="STORE_034"/>
    <x v="2"/>
    <x v="3"/>
    <x v="5"/>
    <n v="2965.28"/>
    <n v="10"/>
    <n v="29652.799999999999"/>
    <n v="10"/>
    <n v="2965.28"/>
    <n v="26687.52"/>
    <s v="UPI"/>
    <s v="CUST_00883"/>
    <n v="1"/>
    <n v="2965.2799999999988"/>
    <n v="2668.752"/>
    <s v="Medium"/>
  </r>
  <r>
    <s v="TXN_04775"/>
    <d v="2024-06-13T00:00:00"/>
    <x v="10"/>
    <s v="Thursday"/>
    <s v="STORE_012"/>
    <x v="0"/>
    <x v="4"/>
    <x v="20"/>
    <n v="377.64"/>
    <n v="9"/>
    <n v="3398.76"/>
    <n v="10"/>
    <n v="339.88"/>
    <n v="3058.88"/>
    <s v="Wallet"/>
    <s v="CUST_00671"/>
    <n v="1"/>
    <n v="339.88000000000011"/>
    <n v="339.87555555555559"/>
    <s v="Medium"/>
  </r>
  <r>
    <s v="TXN_04776"/>
    <d v="2024-09-28T00:00:00"/>
    <x v="9"/>
    <s v="Saturday"/>
    <s v="STORE_049"/>
    <x v="3"/>
    <x v="3"/>
    <x v="16"/>
    <n v="1292.97"/>
    <n v="6"/>
    <n v="7757.82"/>
    <n v="5"/>
    <n v="387.89"/>
    <n v="7369.93"/>
    <s v="Cash"/>
    <s v="CUST_00812"/>
    <n v="2"/>
    <n v="387.88999999999942"/>
    <n v="1228.3216666666667"/>
    <s v="Low"/>
  </r>
  <r>
    <s v="TXN_04777"/>
    <d v="2024-04-07T00:00:00"/>
    <x v="4"/>
    <s v="Sunday"/>
    <s v="STORE_025"/>
    <x v="0"/>
    <x v="0"/>
    <x v="32"/>
    <n v="845.15"/>
    <n v="6"/>
    <n v="5070.8999999999996"/>
    <n v="0"/>
    <n v="0"/>
    <n v="5070.8999999999996"/>
    <s v="Debit Card"/>
    <s v="CUST_00962"/>
    <n v="3"/>
    <n v="0"/>
    <n v="845.15"/>
    <s v="No Discount"/>
  </r>
  <r>
    <s v="TXN_04778"/>
    <d v="2024-01-10T00:00:00"/>
    <x v="2"/>
    <s v="Wednesday"/>
    <s v="STORE_017"/>
    <x v="1"/>
    <x v="5"/>
    <x v="11"/>
    <n v="1048.0999999999999"/>
    <n v="4"/>
    <n v="4192.3999999999996"/>
    <n v="20"/>
    <n v="838.48"/>
    <n v="3353.92"/>
    <s v="Cash"/>
    <s v="CUST_00820"/>
    <n v="4"/>
    <n v="838.47999999999956"/>
    <n v="838.48"/>
    <s v="High"/>
  </r>
  <r>
    <s v="TXN_04779"/>
    <d v="2024-12-12T00:00:00"/>
    <x v="6"/>
    <s v="Thursday"/>
    <s v="STORE_004"/>
    <x v="3"/>
    <x v="5"/>
    <x v="10"/>
    <n v="3263.11"/>
    <n v="7"/>
    <n v="22841.77"/>
    <n v="0"/>
    <n v="0"/>
    <n v="22841.77"/>
    <s v="Debit Card"/>
    <s v="CUST_00077"/>
    <n v="5"/>
    <n v="0"/>
    <n v="3263.11"/>
    <s v="No Discount"/>
  </r>
  <r>
    <s v="TXN_04780"/>
    <d v="2024-01-03T00:00:00"/>
    <x v="2"/>
    <s v="Wednesday"/>
    <s v="STORE_039"/>
    <x v="4"/>
    <x v="0"/>
    <x v="18"/>
    <n v="932.66"/>
    <n v="7"/>
    <n v="6528.62"/>
    <n v="10"/>
    <n v="652.86"/>
    <n v="5875.76"/>
    <s v="Wallet"/>
    <s v="CUST_00270"/>
    <n v="2"/>
    <n v="652.85999999999967"/>
    <n v="839.39428571428573"/>
    <s v="Medium"/>
  </r>
  <r>
    <s v="TXN_04781"/>
    <d v="2024-11-16T00:00:00"/>
    <x v="0"/>
    <s v="Saturday"/>
    <s v="STORE_034"/>
    <x v="0"/>
    <x v="4"/>
    <x v="8"/>
    <n v="166.62"/>
    <n v="7"/>
    <n v="1166.3399999999999"/>
    <n v="15"/>
    <n v="174.95"/>
    <n v="991.39"/>
    <s v="Wallet"/>
    <s v="CUST_00632"/>
    <n v="2"/>
    <n v="174.94999999999993"/>
    <n v="141.62714285714284"/>
    <s v="Medium"/>
  </r>
  <r>
    <s v="TXN_04782"/>
    <d v="2024-05-07T00:00:00"/>
    <x v="3"/>
    <s v="Tuesday"/>
    <s v="STORE_020"/>
    <x v="0"/>
    <x v="5"/>
    <x v="34"/>
    <n v="2524.54"/>
    <n v="10"/>
    <n v="25245.4"/>
    <n v="10"/>
    <n v="2524.54"/>
    <n v="22720.86"/>
    <s v="UPI"/>
    <s v="CUST_00497"/>
    <n v="1"/>
    <n v="2524.5400000000009"/>
    <n v="2272.0860000000002"/>
    <s v="Medium"/>
  </r>
  <r>
    <s v="TXN_04783"/>
    <d v="2024-04-25T00:00:00"/>
    <x v="4"/>
    <s v="Thursday"/>
    <s v="STORE_027"/>
    <x v="0"/>
    <x v="4"/>
    <x v="19"/>
    <n v="507.75"/>
    <n v="2"/>
    <n v="1015.5"/>
    <n v="20"/>
    <n v="203.1"/>
    <n v="812.4"/>
    <s v="Credit Card"/>
    <s v="CUST_00650"/>
    <n v="2"/>
    <n v="203.10000000000002"/>
    <n v="406.2"/>
    <s v="High"/>
  </r>
  <r>
    <s v="TXN_04784"/>
    <d v="2024-12-21T00:00:00"/>
    <x v="6"/>
    <s v="Saturday"/>
    <s v="STORE_021"/>
    <x v="2"/>
    <x v="6"/>
    <x v="15"/>
    <n v="1064.9100000000001"/>
    <n v="6"/>
    <n v="6389.46"/>
    <n v="15"/>
    <n v="958.42"/>
    <n v="5431.04"/>
    <s v="UPI"/>
    <s v="CUST_00704"/>
    <n v="2"/>
    <n v="958.42000000000007"/>
    <n v="905.17333333333329"/>
    <s v="Medium"/>
  </r>
  <r>
    <s v="TXN_04785"/>
    <d v="2024-06-25T00:00:00"/>
    <x v="10"/>
    <s v="Tuesday"/>
    <s v="STORE_036"/>
    <x v="4"/>
    <x v="0"/>
    <x v="27"/>
    <n v="440.07"/>
    <n v="3"/>
    <n v="1320.21"/>
    <n v="0"/>
    <n v="0"/>
    <n v="1320.21"/>
    <s v="Cash"/>
    <s v="CUST_00560"/>
    <n v="2"/>
    <n v="0"/>
    <n v="440.07"/>
    <s v="No Discount"/>
  </r>
  <r>
    <s v="TXN_04786"/>
    <d v="2024-06-08T00:00:00"/>
    <x v="10"/>
    <s v="Saturday"/>
    <s v="STORE_005"/>
    <x v="2"/>
    <x v="6"/>
    <x v="26"/>
    <n v="1834.38"/>
    <n v="9"/>
    <n v="16509.419999999998"/>
    <n v="5"/>
    <n v="825.47"/>
    <n v="15683.95"/>
    <s v="Credit Card"/>
    <s v="CUST_00906"/>
    <n v="5"/>
    <n v="825.46999999999753"/>
    <n v="1742.6611111111113"/>
    <s v="Low"/>
  </r>
  <r>
    <s v="TXN_04787"/>
    <d v="2024-03-07T00:00:00"/>
    <x v="5"/>
    <s v="Thursday"/>
    <s v="STORE_046"/>
    <x v="3"/>
    <x v="6"/>
    <x v="33"/>
    <n v="649.19000000000005"/>
    <n v="10"/>
    <n v="6491.9"/>
    <n v="15"/>
    <n v="973.78"/>
    <n v="5518.12"/>
    <s v="Debit Card"/>
    <s v="CUST_00027"/>
    <n v="2"/>
    <n v="973.77999999999975"/>
    <n v="551.81200000000001"/>
    <s v="Medium"/>
  </r>
  <r>
    <s v="TXN_04788"/>
    <d v="2024-02-22T00:00:00"/>
    <x v="1"/>
    <s v="Thursday"/>
    <s v="STORE_043"/>
    <x v="4"/>
    <x v="3"/>
    <x v="5"/>
    <n v="1631.75"/>
    <n v="9"/>
    <n v="14685.75"/>
    <n v="15"/>
    <n v="2202.86"/>
    <n v="12482.89"/>
    <s v="Cash"/>
    <s v="CUST_00294"/>
    <n v="5"/>
    <n v="2202.8600000000006"/>
    <n v="1386.9877777777776"/>
    <s v="Medium"/>
  </r>
  <r>
    <s v="TXN_04789"/>
    <d v="2024-07-15T00:00:00"/>
    <x v="11"/>
    <s v="Monday"/>
    <s v="STORE_012"/>
    <x v="3"/>
    <x v="2"/>
    <x v="39"/>
    <n v="246.59"/>
    <n v="8"/>
    <n v="1972.72"/>
    <n v="0"/>
    <n v="0"/>
    <n v="1972.72"/>
    <s v="Credit Card"/>
    <s v="CUST_00880"/>
    <n v="2"/>
    <n v="0"/>
    <n v="246.59"/>
    <s v="No Discount"/>
  </r>
  <r>
    <s v="TXN_04790"/>
    <d v="2024-09-14T00:00:00"/>
    <x v="9"/>
    <s v="Saturday"/>
    <s v="STORE_050"/>
    <x v="2"/>
    <x v="1"/>
    <x v="1"/>
    <n v="434.16"/>
    <n v="4"/>
    <n v="1736.64"/>
    <n v="20"/>
    <n v="347.33"/>
    <n v="1389.31"/>
    <s v="Wallet"/>
    <s v="CUST_00733"/>
    <n v="2"/>
    <n v="347.33000000000015"/>
    <n v="347.32749999999999"/>
    <s v="High"/>
  </r>
  <r>
    <s v="TXN_04791"/>
    <d v="2024-10-28T00:00:00"/>
    <x v="7"/>
    <s v="Monday"/>
    <s v="STORE_045"/>
    <x v="0"/>
    <x v="7"/>
    <x v="23"/>
    <n v="365.79"/>
    <n v="5"/>
    <n v="1828.95"/>
    <n v="0"/>
    <n v="0"/>
    <n v="1828.95"/>
    <s v="Wallet"/>
    <s v="CUST_00048"/>
    <n v="3"/>
    <n v="0"/>
    <n v="365.79"/>
    <s v="No Discount"/>
  </r>
  <r>
    <s v="TXN_04792"/>
    <d v="2024-06-05T00:00:00"/>
    <x v="10"/>
    <s v="Wednesday"/>
    <s v="STORE_046"/>
    <x v="1"/>
    <x v="1"/>
    <x v="3"/>
    <n v="485.85"/>
    <n v="6"/>
    <n v="2915.1"/>
    <n v="20"/>
    <n v="583.02"/>
    <n v="2332.08"/>
    <s v="UPI"/>
    <s v="CUST_00181"/>
    <n v="5"/>
    <n v="583.02"/>
    <n v="388.68"/>
    <s v="High"/>
  </r>
  <r>
    <s v="TXN_04793"/>
    <d v="2024-03-26T00:00:00"/>
    <x v="5"/>
    <s v="Tuesday"/>
    <s v="STORE_018"/>
    <x v="3"/>
    <x v="7"/>
    <x v="23"/>
    <n v="445.84"/>
    <n v="1"/>
    <n v="445.84"/>
    <n v="0"/>
    <n v="0"/>
    <n v="445.84"/>
    <s v="Wallet"/>
    <s v="CUST_00171"/>
    <n v="4"/>
    <n v="0"/>
    <n v="445.84"/>
    <s v="No Discount"/>
  </r>
  <r>
    <s v="TXN_04794"/>
    <d v="2024-02-03T00:00:00"/>
    <x v="1"/>
    <s v="Saturday"/>
    <s v="STORE_045"/>
    <x v="3"/>
    <x v="7"/>
    <x v="38"/>
    <n v="425.76"/>
    <n v="3"/>
    <n v="1277.28"/>
    <n v="5"/>
    <n v="63.86"/>
    <n v="1213.42"/>
    <s v="Cash"/>
    <s v="CUST_00317"/>
    <n v="5"/>
    <n v="63.8599999999999"/>
    <n v="404.47333333333336"/>
    <s v="Low"/>
  </r>
  <r>
    <s v="TXN_04795"/>
    <d v="2024-01-24T00:00:00"/>
    <x v="2"/>
    <s v="Wednesday"/>
    <s v="STORE_009"/>
    <x v="2"/>
    <x v="0"/>
    <x v="18"/>
    <n v="373.76"/>
    <n v="3"/>
    <n v="1121.28"/>
    <n v="15"/>
    <n v="168.19"/>
    <n v="953.09"/>
    <s v="Debit Card"/>
    <s v="CUST_00502"/>
    <n v="1"/>
    <n v="168.18999999999994"/>
    <n v="317.69666666666666"/>
    <s v="Medium"/>
  </r>
  <r>
    <s v="TXN_04796"/>
    <d v="2024-06-01T00:00:00"/>
    <x v="10"/>
    <s v="Saturday"/>
    <s v="STORE_009"/>
    <x v="3"/>
    <x v="7"/>
    <x v="37"/>
    <n v="1243.8599999999999"/>
    <n v="1"/>
    <n v="1243.8599999999999"/>
    <n v="0"/>
    <n v="0"/>
    <n v="1243.8599999999999"/>
    <s v="Debit Card"/>
    <s v="CUST_00877"/>
    <n v="2"/>
    <n v="0"/>
    <n v="1243.8599999999999"/>
    <s v="No Discount"/>
  </r>
  <r>
    <s v="TXN_04797"/>
    <d v="2024-05-28T00:00:00"/>
    <x v="3"/>
    <s v="Tuesday"/>
    <s v="STORE_021"/>
    <x v="4"/>
    <x v="4"/>
    <x v="17"/>
    <n v="395"/>
    <n v="2"/>
    <n v="790"/>
    <n v="20"/>
    <n v="158"/>
    <n v="632"/>
    <s v="Credit Card"/>
    <s v="CUST_00832"/>
    <n v="5"/>
    <n v="158"/>
    <n v="316"/>
    <s v="High"/>
  </r>
  <r>
    <s v="TXN_04798"/>
    <d v="2024-08-21T00:00:00"/>
    <x v="8"/>
    <s v="Wednesday"/>
    <s v="STORE_025"/>
    <x v="1"/>
    <x v="5"/>
    <x v="34"/>
    <n v="2658.02"/>
    <n v="1"/>
    <n v="2658.02"/>
    <n v="20"/>
    <n v="531.6"/>
    <n v="2126.42"/>
    <s v="Cash"/>
    <s v="CUST_00134"/>
    <n v="1"/>
    <n v="531.59999999999991"/>
    <n v="2126.42"/>
    <s v="High"/>
  </r>
  <r>
    <s v="TXN_04799"/>
    <d v="2024-09-23T00:00:00"/>
    <x v="9"/>
    <s v="Monday"/>
    <s v="STORE_001"/>
    <x v="4"/>
    <x v="1"/>
    <x v="31"/>
    <n v="444.57"/>
    <n v="2"/>
    <n v="889.14"/>
    <n v="10"/>
    <n v="88.91"/>
    <n v="800.23"/>
    <s v="Wallet"/>
    <s v="CUST_00353"/>
    <n v="1"/>
    <n v="88.909999999999968"/>
    <n v="400.11500000000001"/>
    <s v="Medium"/>
  </r>
  <r>
    <s v="TXN_04800"/>
    <d v="2024-11-01T00:00:00"/>
    <x v="0"/>
    <s v="Friday"/>
    <s v="STORE_039"/>
    <x v="0"/>
    <x v="3"/>
    <x v="21"/>
    <n v="2815.72"/>
    <n v="1"/>
    <n v="2815.72"/>
    <n v="20"/>
    <n v="563.14"/>
    <n v="2252.58"/>
    <s v="Credit Card"/>
    <s v="CUST_00776"/>
    <n v="4"/>
    <n v="563.13999999999987"/>
    <n v="2252.58"/>
    <s v="High"/>
  </r>
  <r>
    <s v="TXN_04801"/>
    <d v="2024-09-25T00:00:00"/>
    <x v="9"/>
    <s v="Wednesday"/>
    <s v="STORE_042"/>
    <x v="2"/>
    <x v="4"/>
    <x v="8"/>
    <n v="251.48"/>
    <n v="3"/>
    <n v="754.44"/>
    <n v="0"/>
    <n v="0"/>
    <n v="754.44"/>
    <s v="Debit Card"/>
    <s v="CUST_00077"/>
    <n v="5"/>
    <n v="0"/>
    <n v="251.48000000000002"/>
    <s v="No Discount"/>
  </r>
  <r>
    <s v="TXN_04802"/>
    <d v="2024-06-21T00:00:00"/>
    <x v="10"/>
    <s v="Friday"/>
    <s v="STORE_006"/>
    <x v="4"/>
    <x v="3"/>
    <x v="5"/>
    <n v="2873.97"/>
    <n v="3"/>
    <n v="8621.91"/>
    <n v="0"/>
    <n v="0"/>
    <n v="8621.91"/>
    <s v="Wallet"/>
    <s v="CUST_00320"/>
    <n v="5"/>
    <n v="0"/>
    <n v="2873.97"/>
    <s v="No Discount"/>
  </r>
  <r>
    <s v="TXN_04803"/>
    <d v="2024-08-10T00:00:00"/>
    <x v="8"/>
    <s v="Saturday"/>
    <s v="STORE_006"/>
    <x v="0"/>
    <x v="6"/>
    <x v="30"/>
    <n v="1798.37"/>
    <n v="5"/>
    <n v="8991.85"/>
    <n v="5"/>
    <n v="449.59"/>
    <n v="8542.26"/>
    <s v="Wallet"/>
    <s v="CUST_00836"/>
    <n v="4"/>
    <n v="449.59000000000015"/>
    <n v="1708.452"/>
    <s v="Low"/>
  </r>
  <r>
    <s v="TXN_04804"/>
    <d v="2024-12-17T00:00:00"/>
    <x v="6"/>
    <s v="Tuesday"/>
    <s v="STORE_003"/>
    <x v="1"/>
    <x v="0"/>
    <x v="18"/>
    <n v="948.54"/>
    <n v="8"/>
    <n v="7588.32"/>
    <n v="0"/>
    <n v="0"/>
    <n v="7588.32"/>
    <s v="UPI"/>
    <s v="CUST_00374"/>
    <n v="2"/>
    <n v="0"/>
    <n v="948.54"/>
    <s v="No Discount"/>
  </r>
  <r>
    <s v="TXN_04805"/>
    <d v="2024-03-09T00:00:00"/>
    <x v="5"/>
    <s v="Saturday"/>
    <s v="STORE_015"/>
    <x v="0"/>
    <x v="6"/>
    <x v="26"/>
    <n v="1933.89"/>
    <n v="1"/>
    <n v="1933.89"/>
    <n v="5"/>
    <n v="96.69"/>
    <n v="1837.2"/>
    <s v="Debit Card"/>
    <s v="CUST_00984"/>
    <n v="3"/>
    <n v="96.690000000000055"/>
    <n v="1837.2"/>
    <s v="Low"/>
  </r>
  <r>
    <s v="TXN_04806"/>
    <d v="2024-06-24T00:00:00"/>
    <x v="10"/>
    <s v="Monday"/>
    <s v="STORE_009"/>
    <x v="1"/>
    <x v="3"/>
    <x v="22"/>
    <n v="276.22000000000003"/>
    <n v="7"/>
    <n v="1933.54"/>
    <n v="15"/>
    <n v="290.02999999999997"/>
    <n v="1643.51"/>
    <s v="Debit Card"/>
    <s v="CUST_00998"/>
    <n v="4"/>
    <n v="290.02999999999997"/>
    <n v="234.78714285714287"/>
    <s v="Medium"/>
  </r>
  <r>
    <s v="TXN_04807"/>
    <d v="2024-09-07T00:00:00"/>
    <x v="9"/>
    <s v="Saturday"/>
    <s v="STORE_032"/>
    <x v="0"/>
    <x v="7"/>
    <x v="28"/>
    <n v="674.77"/>
    <n v="10"/>
    <n v="6747.7"/>
    <n v="0"/>
    <n v="0"/>
    <n v="6747.7"/>
    <s v="UPI"/>
    <s v="CUST_00037"/>
    <n v="1"/>
    <n v="0"/>
    <n v="674.77"/>
    <s v="No Discount"/>
  </r>
  <r>
    <s v="TXN_04808"/>
    <d v="2024-07-02T00:00:00"/>
    <x v="11"/>
    <s v="Tuesday"/>
    <s v="STORE_043"/>
    <x v="0"/>
    <x v="4"/>
    <x v="8"/>
    <n v="514.55999999999995"/>
    <n v="6"/>
    <n v="3087.36"/>
    <n v="0"/>
    <n v="0"/>
    <n v="3087.36"/>
    <s v="Debit Card"/>
    <s v="CUST_00031"/>
    <n v="2"/>
    <n v="0"/>
    <n v="514.56000000000006"/>
    <s v="No Discount"/>
  </r>
  <r>
    <s v="TXN_04809"/>
    <d v="2024-04-06T00:00:00"/>
    <x v="4"/>
    <s v="Saturday"/>
    <s v="STORE_001"/>
    <x v="3"/>
    <x v="0"/>
    <x v="4"/>
    <n v="362.41"/>
    <n v="10"/>
    <n v="3624.1"/>
    <n v="20"/>
    <n v="724.82"/>
    <n v="2899.28"/>
    <s v="Debit Card"/>
    <s v="CUST_00317"/>
    <n v="3"/>
    <n v="724.81999999999971"/>
    <n v="289.928"/>
    <s v="High"/>
  </r>
  <r>
    <s v="TXN_04810"/>
    <d v="2024-03-25T00:00:00"/>
    <x v="5"/>
    <s v="Monday"/>
    <s v="STORE_016"/>
    <x v="4"/>
    <x v="7"/>
    <x v="38"/>
    <n v="705.56"/>
    <n v="7"/>
    <n v="4938.92"/>
    <n v="5"/>
    <n v="246.95"/>
    <n v="4691.97"/>
    <s v="Cash"/>
    <s v="CUST_00052"/>
    <n v="2"/>
    <n v="246.94999999999982"/>
    <n v="670.28142857142859"/>
    <s v="Low"/>
  </r>
  <r>
    <s v="TXN_04811"/>
    <d v="2024-07-25T00:00:00"/>
    <x v="11"/>
    <s v="Thursday"/>
    <s v="STORE_013"/>
    <x v="0"/>
    <x v="3"/>
    <x v="5"/>
    <n v="830.81"/>
    <n v="9"/>
    <n v="7477.29"/>
    <n v="0"/>
    <n v="0"/>
    <n v="7477.29"/>
    <s v="UPI"/>
    <s v="CUST_00620"/>
    <n v="3"/>
    <n v="0"/>
    <n v="830.81"/>
    <s v="No Discount"/>
  </r>
  <r>
    <s v="TXN_04812"/>
    <d v="2024-01-10T00:00:00"/>
    <x v="2"/>
    <s v="Wednesday"/>
    <s v="STORE_036"/>
    <x v="1"/>
    <x v="7"/>
    <x v="23"/>
    <n v="684.1"/>
    <n v="9"/>
    <n v="6156.9"/>
    <n v="0"/>
    <n v="0"/>
    <n v="6156.9"/>
    <s v="Credit Card"/>
    <s v="CUST_00105"/>
    <n v="1"/>
    <n v="0"/>
    <n v="684.09999999999991"/>
    <s v="No Discount"/>
  </r>
  <r>
    <s v="TXN_04813"/>
    <d v="2024-04-26T00:00:00"/>
    <x v="4"/>
    <s v="Friday"/>
    <s v="STORE_046"/>
    <x v="1"/>
    <x v="0"/>
    <x v="0"/>
    <n v="745.33"/>
    <n v="8"/>
    <n v="5962.64"/>
    <n v="0"/>
    <n v="0"/>
    <n v="5962.64"/>
    <s v="Credit Card"/>
    <s v="CUST_00441"/>
    <n v="1"/>
    <n v="0"/>
    <n v="745.33"/>
    <s v="No Discount"/>
  </r>
  <r>
    <s v="TXN_04814"/>
    <d v="2024-04-24T00:00:00"/>
    <x v="4"/>
    <s v="Wednesday"/>
    <s v="STORE_037"/>
    <x v="1"/>
    <x v="3"/>
    <x v="21"/>
    <n v="950.37"/>
    <n v="6"/>
    <n v="5702.22"/>
    <n v="0"/>
    <n v="0"/>
    <n v="5702.22"/>
    <s v="Credit Card"/>
    <s v="CUST_00787"/>
    <n v="2"/>
    <n v="0"/>
    <n v="950.37"/>
    <s v="No Discount"/>
  </r>
  <r>
    <s v="TXN_04815"/>
    <d v="2024-03-08T00:00:00"/>
    <x v="5"/>
    <s v="Friday"/>
    <s v="STORE_004"/>
    <x v="2"/>
    <x v="4"/>
    <x v="35"/>
    <n v="379.89"/>
    <n v="5"/>
    <n v="1899.45"/>
    <n v="5"/>
    <n v="94.97"/>
    <n v="1804.48"/>
    <s v="Cash"/>
    <s v="CUST_00515"/>
    <n v="2"/>
    <n v="94.970000000000027"/>
    <n v="360.89600000000002"/>
    <s v="Low"/>
  </r>
  <r>
    <s v="TXN_04816"/>
    <d v="2024-04-18T00:00:00"/>
    <x v="4"/>
    <s v="Thursday"/>
    <s v="STORE_025"/>
    <x v="1"/>
    <x v="7"/>
    <x v="23"/>
    <n v="325.51"/>
    <n v="4"/>
    <n v="1302.04"/>
    <n v="0"/>
    <n v="0"/>
    <n v="1302.04"/>
    <s v="Credit Card"/>
    <s v="CUST_00108"/>
    <n v="1"/>
    <n v="0"/>
    <n v="325.51"/>
    <s v="No Discount"/>
  </r>
  <r>
    <s v="TXN_04817"/>
    <d v="2024-01-12T00:00:00"/>
    <x v="2"/>
    <s v="Friday"/>
    <s v="STORE_003"/>
    <x v="3"/>
    <x v="6"/>
    <x v="33"/>
    <n v="1616.19"/>
    <n v="10"/>
    <n v="16161.9"/>
    <n v="0"/>
    <n v="0"/>
    <n v="16161.9"/>
    <s v="UPI"/>
    <s v="CUST_00993"/>
    <n v="3"/>
    <n v="0"/>
    <n v="1616.19"/>
    <s v="No Discount"/>
  </r>
  <r>
    <s v="TXN_04818"/>
    <d v="2024-10-28T00:00:00"/>
    <x v="7"/>
    <s v="Monday"/>
    <s v="STORE_031"/>
    <x v="1"/>
    <x v="4"/>
    <x v="8"/>
    <n v="563.61"/>
    <n v="10"/>
    <n v="5636.1"/>
    <n v="0"/>
    <n v="0"/>
    <n v="5636.1"/>
    <s v="UPI"/>
    <s v="CUST_00822"/>
    <n v="4"/>
    <n v="0"/>
    <n v="563.61"/>
    <s v="No Discount"/>
  </r>
  <r>
    <s v="TXN_04819"/>
    <d v="2024-09-15T00:00:00"/>
    <x v="9"/>
    <s v="Sunday"/>
    <s v="STORE_044"/>
    <x v="4"/>
    <x v="6"/>
    <x v="15"/>
    <n v="1101.8599999999999"/>
    <n v="7"/>
    <n v="7713.02"/>
    <n v="15"/>
    <n v="1156.95"/>
    <n v="6556.07"/>
    <s v="Debit Card"/>
    <s v="CUST_00643"/>
    <n v="2"/>
    <n v="1156.9500000000007"/>
    <n v="936.58142857142855"/>
    <s v="Medium"/>
  </r>
  <r>
    <s v="TXN_04820"/>
    <d v="2024-03-27T00:00:00"/>
    <x v="5"/>
    <s v="Wednesday"/>
    <s v="STORE_048"/>
    <x v="4"/>
    <x v="2"/>
    <x v="29"/>
    <n v="613.36"/>
    <n v="7"/>
    <n v="4293.5200000000004"/>
    <n v="0"/>
    <n v="0"/>
    <n v="4293.5200000000004"/>
    <s v="UPI"/>
    <s v="CUST_00852"/>
    <n v="5"/>
    <n v="0"/>
    <n v="613.36"/>
    <s v="No Discount"/>
  </r>
  <r>
    <s v="TXN_04821"/>
    <d v="2024-03-04T00:00:00"/>
    <x v="5"/>
    <s v="Monday"/>
    <s v="STORE_006"/>
    <x v="2"/>
    <x v="1"/>
    <x v="31"/>
    <n v="54.57"/>
    <n v="1"/>
    <n v="54.57"/>
    <n v="0"/>
    <n v="0"/>
    <n v="54.57"/>
    <s v="Wallet"/>
    <s v="CUST_00849"/>
    <n v="4"/>
    <n v="0"/>
    <n v="54.57"/>
    <s v="No Discount"/>
  </r>
  <r>
    <s v="TXN_04822"/>
    <d v="2024-07-06T00:00:00"/>
    <x v="11"/>
    <s v="Saturday"/>
    <s v="STORE_025"/>
    <x v="1"/>
    <x v="3"/>
    <x v="5"/>
    <n v="2392.39"/>
    <n v="6"/>
    <n v="14354.34"/>
    <n v="0"/>
    <n v="0"/>
    <n v="14354.34"/>
    <s v="Cash"/>
    <s v="CUST_00091"/>
    <n v="4"/>
    <n v="0"/>
    <n v="2392.39"/>
    <s v="No Discount"/>
  </r>
  <r>
    <s v="TXN_04823"/>
    <d v="2024-12-30T00:00:00"/>
    <x v="6"/>
    <s v="Monday"/>
    <s v="STORE_019"/>
    <x v="1"/>
    <x v="2"/>
    <x v="39"/>
    <n v="649.64"/>
    <n v="8"/>
    <n v="5197.12"/>
    <n v="0"/>
    <n v="0"/>
    <n v="5197.12"/>
    <s v="Wallet"/>
    <s v="CUST_00224"/>
    <n v="4"/>
    <n v="0"/>
    <n v="649.64"/>
    <s v="No Discount"/>
  </r>
  <r>
    <s v="TXN_04824"/>
    <d v="2024-11-29T00:00:00"/>
    <x v="0"/>
    <s v="Friday"/>
    <s v="STORE_004"/>
    <x v="2"/>
    <x v="7"/>
    <x v="24"/>
    <n v="735.99"/>
    <n v="6"/>
    <n v="4415.9399999999996"/>
    <n v="0"/>
    <n v="0"/>
    <n v="4415.9399999999996"/>
    <s v="Credit Card"/>
    <s v="CUST_00149"/>
    <n v="5"/>
    <n v="0"/>
    <n v="735.9899999999999"/>
    <s v="No Discount"/>
  </r>
  <r>
    <s v="TXN_04825"/>
    <d v="2024-01-20T00:00:00"/>
    <x v="2"/>
    <s v="Saturday"/>
    <s v="STORE_021"/>
    <x v="3"/>
    <x v="6"/>
    <x v="33"/>
    <n v="1578.35"/>
    <n v="6"/>
    <n v="9470.1"/>
    <n v="0"/>
    <n v="0"/>
    <n v="9470.1"/>
    <s v="UPI"/>
    <s v="CUST_00934"/>
    <n v="2"/>
    <n v="0"/>
    <n v="1578.3500000000001"/>
    <s v="No Discount"/>
  </r>
  <r>
    <s v="TXN_04826"/>
    <d v="2024-07-11T00:00:00"/>
    <x v="11"/>
    <s v="Thursday"/>
    <s v="STORE_027"/>
    <x v="2"/>
    <x v="2"/>
    <x v="29"/>
    <n v="668.02"/>
    <n v="3"/>
    <n v="2004.06"/>
    <n v="10"/>
    <n v="200.41"/>
    <n v="1803.65"/>
    <s v="Cash"/>
    <s v="CUST_00039"/>
    <n v="2"/>
    <n v="200.40999999999985"/>
    <n v="601.2166666666667"/>
    <s v="Medium"/>
  </r>
  <r>
    <s v="TXN_04827"/>
    <d v="2024-11-23T00:00:00"/>
    <x v="0"/>
    <s v="Saturday"/>
    <s v="STORE_042"/>
    <x v="4"/>
    <x v="6"/>
    <x v="26"/>
    <n v="1281.06"/>
    <n v="3"/>
    <n v="3843.18"/>
    <n v="0"/>
    <n v="0"/>
    <n v="3843.18"/>
    <s v="Cash"/>
    <s v="CUST_00120"/>
    <n v="1"/>
    <n v="0"/>
    <n v="1281.06"/>
    <s v="No Discount"/>
  </r>
  <r>
    <s v="TXN_04828"/>
    <d v="2024-05-10T00:00:00"/>
    <x v="3"/>
    <s v="Friday"/>
    <s v="STORE_027"/>
    <x v="2"/>
    <x v="2"/>
    <x v="13"/>
    <n v="565.51"/>
    <n v="8"/>
    <n v="4524.08"/>
    <n v="0"/>
    <n v="0"/>
    <n v="4524.08"/>
    <s v="Debit Card"/>
    <s v="CUST_00451"/>
    <n v="2"/>
    <n v="0"/>
    <n v="565.51"/>
    <s v="No Discount"/>
  </r>
  <r>
    <s v="TXN_04829"/>
    <d v="2024-09-30T00:00:00"/>
    <x v="9"/>
    <s v="Monday"/>
    <s v="STORE_024"/>
    <x v="0"/>
    <x v="2"/>
    <x v="2"/>
    <n v="444.39"/>
    <n v="7"/>
    <n v="3110.73"/>
    <n v="0"/>
    <n v="0"/>
    <n v="3110.73"/>
    <s v="Debit Card"/>
    <s v="CUST_00344"/>
    <n v="2"/>
    <n v="0"/>
    <n v="444.39"/>
    <s v="No Discount"/>
  </r>
  <r>
    <s v="TXN_04830"/>
    <d v="2024-11-15T00:00:00"/>
    <x v="0"/>
    <s v="Friday"/>
    <s v="STORE_029"/>
    <x v="3"/>
    <x v="4"/>
    <x v="20"/>
    <n v="447.33"/>
    <n v="2"/>
    <n v="894.66"/>
    <n v="0"/>
    <n v="0"/>
    <n v="894.66"/>
    <s v="Cash"/>
    <s v="CUST_00191"/>
    <n v="1"/>
    <n v="0"/>
    <n v="447.33"/>
    <s v="No Discount"/>
  </r>
  <r>
    <s v="TXN_04831"/>
    <d v="2024-01-25T00:00:00"/>
    <x v="2"/>
    <s v="Thursday"/>
    <s v="STORE_032"/>
    <x v="1"/>
    <x v="5"/>
    <x v="10"/>
    <n v="1112.6600000000001"/>
    <n v="10"/>
    <n v="11126.6"/>
    <n v="0"/>
    <n v="0"/>
    <n v="11126.6"/>
    <s v="Cash"/>
    <s v="CUST_00273"/>
    <n v="1"/>
    <n v="0"/>
    <n v="1112.6600000000001"/>
    <s v="No Discount"/>
  </r>
  <r>
    <s v="TXN_04832"/>
    <d v="2024-10-31T00:00:00"/>
    <x v="7"/>
    <s v="Thursday"/>
    <s v="STORE_050"/>
    <x v="4"/>
    <x v="6"/>
    <x v="30"/>
    <n v="1082.55"/>
    <n v="8"/>
    <n v="8660.4"/>
    <n v="10"/>
    <n v="866.04"/>
    <n v="7794.36"/>
    <s v="Credit Card"/>
    <s v="CUST_00275"/>
    <n v="3"/>
    <n v="866.04"/>
    <n v="974.29499999999996"/>
    <s v="Medium"/>
  </r>
  <r>
    <s v="TXN_04833"/>
    <d v="2024-01-25T00:00:00"/>
    <x v="2"/>
    <s v="Thursday"/>
    <s v="STORE_049"/>
    <x v="4"/>
    <x v="5"/>
    <x v="10"/>
    <n v="1454.45"/>
    <n v="4"/>
    <n v="5817.8"/>
    <n v="10"/>
    <n v="581.78"/>
    <n v="5236.0200000000004"/>
    <s v="Debit Card"/>
    <s v="CUST_00761"/>
    <n v="2"/>
    <n v="581.77999999999975"/>
    <n v="1309.0050000000001"/>
    <s v="Medium"/>
  </r>
  <r>
    <s v="TXN_04834"/>
    <d v="2024-12-04T00:00:00"/>
    <x v="6"/>
    <s v="Wednesday"/>
    <s v="STORE_038"/>
    <x v="3"/>
    <x v="0"/>
    <x v="27"/>
    <n v="704.47"/>
    <n v="2"/>
    <n v="1408.94"/>
    <n v="0"/>
    <n v="0"/>
    <n v="1408.94"/>
    <s v="Wallet"/>
    <s v="CUST_00668"/>
    <n v="2"/>
    <n v="0"/>
    <n v="704.47"/>
    <s v="No Discount"/>
  </r>
  <r>
    <s v="TXN_04835"/>
    <d v="2024-02-25T00:00:00"/>
    <x v="1"/>
    <s v="Sunday"/>
    <s v="STORE_019"/>
    <x v="3"/>
    <x v="4"/>
    <x v="19"/>
    <n v="578.5"/>
    <n v="3"/>
    <n v="1735.5"/>
    <n v="20"/>
    <n v="347.1"/>
    <n v="1388.4"/>
    <s v="Credit Card"/>
    <s v="CUST_00285"/>
    <n v="4"/>
    <n v="347.09999999999991"/>
    <n v="462.8"/>
    <s v="High"/>
  </r>
  <r>
    <s v="TXN_04836"/>
    <d v="2024-11-30T00:00:00"/>
    <x v="0"/>
    <s v="Saturday"/>
    <s v="STORE_011"/>
    <x v="1"/>
    <x v="0"/>
    <x v="4"/>
    <n v="500.82"/>
    <n v="8"/>
    <n v="4006.56"/>
    <n v="10"/>
    <n v="400.66"/>
    <n v="3605.9"/>
    <s v="Cash"/>
    <s v="CUST_00921"/>
    <n v="4"/>
    <n v="400.65999999999985"/>
    <n v="450.73750000000001"/>
    <s v="Medium"/>
  </r>
  <r>
    <s v="TXN_04837"/>
    <d v="2024-01-11T00:00:00"/>
    <x v="2"/>
    <s v="Thursday"/>
    <s v="STORE_016"/>
    <x v="4"/>
    <x v="6"/>
    <x v="26"/>
    <n v="892.23"/>
    <n v="6"/>
    <n v="5353.38"/>
    <n v="0"/>
    <n v="0"/>
    <n v="5353.38"/>
    <s v="Credit Card"/>
    <s v="CUST_00595"/>
    <n v="3"/>
    <n v="0"/>
    <n v="892.23"/>
    <s v="No Discount"/>
  </r>
  <r>
    <s v="TXN_04838"/>
    <d v="2024-01-25T00:00:00"/>
    <x v="2"/>
    <s v="Thursday"/>
    <s v="STORE_033"/>
    <x v="3"/>
    <x v="5"/>
    <x v="25"/>
    <n v="2874.03"/>
    <n v="1"/>
    <n v="2874.03"/>
    <n v="10"/>
    <n v="287.39999999999998"/>
    <n v="2586.63"/>
    <s v="Wallet"/>
    <s v="CUST_00123"/>
    <n v="2"/>
    <n v="287.40000000000009"/>
    <n v="2586.63"/>
    <s v="Medium"/>
  </r>
  <r>
    <s v="TXN_04839"/>
    <d v="2024-12-19T00:00:00"/>
    <x v="6"/>
    <s v="Thursday"/>
    <s v="STORE_016"/>
    <x v="4"/>
    <x v="6"/>
    <x v="14"/>
    <n v="1281.45"/>
    <n v="6"/>
    <n v="7688.7"/>
    <n v="20"/>
    <n v="1537.74"/>
    <n v="6150.96"/>
    <s v="Credit Card"/>
    <s v="CUST_00693"/>
    <n v="3"/>
    <n v="1537.7399999999998"/>
    <n v="1025.1600000000001"/>
    <s v="High"/>
  </r>
  <r>
    <s v="TXN_04840"/>
    <d v="2024-02-29T00:00:00"/>
    <x v="1"/>
    <s v="Thursday"/>
    <s v="STORE_044"/>
    <x v="4"/>
    <x v="5"/>
    <x v="25"/>
    <n v="3733.91"/>
    <n v="3"/>
    <n v="11201.73"/>
    <n v="0"/>
    <n v="0"/>
    <n v="11201.73"/>
    <s v="Debit Card"/>
    <s v="CUST_00780"/>
    <n v="2"/>
    <n v="0"/>
    <n v="3733.91"/>
    <s v="No Discount"/>
  </r>
  <r>
    <s v="TXN_04841"/>
    <d v="2024-08-01T00:00:00"/>
    <x v="8"/>
    <s v="Thursday"/>
    <s v="STORE_034"/>
    <x v="2"/>
    <x v="0"/>
    <x v="32"/>
    <n v="866.3"/>
    <n v="2"/>
    <n v="1732.6"/>
    <n v="10"/>
    <n v="173.26"/>
    <n v="1559.34"/>
    <s v="Credit Card"/>
    <s v="CUST_00798"/>
    <n v="5"/>
    <n v="173.26"/>
    <n v="779.67"/>
    <s v="Medium"/>
  </r>
  <r>
    <s v="TXN_04842"/>
    <d v="2024-08-15T00:00:00"/>
    <x v="8"/>
    <s v="Thursday"/>
    <s v="STORE_022"/>
    <x v="0"/>
    <x v="4"/>
    <x v="20"/>
    <n v="388.54"/>
    <n v="4"/>
    <n v="1554.16"/>
    <n v="20"/>
    <n v="310.83"/>
    <n v="1243.33"/>
    <s v="Wallet"/>
    <s v="CUST_00016"/>
    <n v="1"/>
    <n v="310.83000000000015"/>
    <n v="310.83249999999998"/>
    <s v="High"/>
  </r>
  <r>
    <s v="TXN_04843"/>
    <d v="2024-07-13T00:00:00"/>
    <x v="11"/>
    <s v="Saturday"/>
    <s v="STORE_004"/>
    <x v="0"/>
    <x v="0"/>
    <x v="4"/>
    <n v="375.45"/>
    <n v="1"/>
    <n v="375.45"/>
    <n v="15"/>
    <n v="56.32"/>
    <n v="319.13"/>
    <s v="Wallet"/>
    <s v="CUST_00576"/>
    <n v="2"/>
    <n v="56.319999999999993"/>
    <n v="319.13"/>
    <s v="Medium"/>
  </r>
  <r>
    <s v="TXN_04844"/>
    <d v="2024-03-04T00:00:00"/>
    <x v="5"/>
    <s v="Monday"/>
    <s v="STORE_026"/>
    <x v="4"/>
    <x v="2"/>
    <x v="2"/>
    <n v="173.22"/>
    <n v="7"/>
    <n v="1212.54"/>
    <n v="15"/>
    <n v="181.88"/>
    <n v="1030.6600000000001"/>
    <s v="UPI"/>
    <s v="CUST_00146"/>
    <n v="4"/>
    <n v="181.87999999999988"/>
    <n v="147.23714285714286"/>
    <s v="Medium"/>
  </r>
  <r>
    <s v="TXN_04845"/>
    <d v="2024-10-07T00:00:00"/>
    <x v="7"/>
    <s v="Monday"/>
    <s v="STORE_001"/>
    <x v="3"/>
    <x v="7"/>
    <x v="23"/>
    <n v="1338.08"/>
    <n v="2"/>
    <n v="2676.16"/>
    <n v="15"/>
    <n v="401.42"/>
    <n v="2274.7399999999998"/>
    <s v="Credit Card"/>
    <s v="CUST_00903"/>
    <n v="3"/>
    <n v="401.42000000000007"/>
    <n v="1137.3699999999999"/>
    <s v="Medium"/>
  </r>
  <r>
    <s v="TXN_04846"/>
    <d v="2024-05-09T00:00:00"/>
    <x v="3"/>
    <s v="Thursday"/>
    <s v="STORE_049"/>
    <x v="1"/>
    <x v="7"/>
    <x v="23"/>
    <n v="849.84"/>
    <n v="10"/>
    <n v="8498.4"/>
    <n v="0"/>
    <n v="0"/>
    <n v="8498.4"/>
    <s v="UPI"/>
    <s v="CUST_00357"/>
    <n v="3"/>
    <n v="0"/>
    <n v="849.83999999999992"/>
    <s v="No Discount"/>
  </r>
  <r>
    <s v="TXN_04847"/>
    <d v="2024-08-30T00:00:00"/>
    <x v="8"/>
    <s v="Friday"/>
    <s v="STORE_033"/>
    <x v="3"/>
    <x v="2"/>
    <x v="2"/>
    <n v="694.76"/>
    <n v="10"/>
    <n v="6947.6"/>
    <n v="0"/>
    <n v="0"/>
    <n v="6947.6"/>
    <s v="Cash"/>
    <s v="CUST_00818"/>
    <n v="2"/>
    <n v="0"/>
    <n v="694.76"/>
    <s v="No Discount"/>
  </r>
  <r>
    <s v="TXN_04848"/>
    <d v="2024-12-25T00:00:00"/>
    <x v="6"/>
    <s v="Wednesday"/>
    <s v="STORE_048"/>
    <x v="1"/>
    <x v="0"/>
    <x v="4"/>
    <n v="365.81"/>
    <n v="5"/>
    <n v="1829.05"/>
    <n v="0"/>
    <n v="0"/>
    <n v="1829.05"/>
    <s v="Credit Card"/>
    <s v="CUST_00424"/>
    <n v="3"/>
    <n v="0"/>
    <n v="365.81"/>
    <s v="No Discount"/>
  </r>
  <r>
    <s v="TXN_04849"/>
    <d v="2024-03-19T00:00:00"/>
    <x v="5"/>
    <s v="Tuesday"/>
    <s v="STORE_037"/>
    <x v="3"/>
    <x v="1"/>
    <x v="1"/>
    <n v="323.73"/>
    <n v="10"/>
    <n v="3237.3"/>
    <n v="5"/>
    <n v="161.87"/>
    <n v="3075.43"/>
    <s v="Wallet"/>
    <s v="CUST_00185"/>
    <n v="2"/>
    <n v="161.87000000000035"/>
    <n v="307.54300000000001"/>
    <s v="Low"/>
  </r>
  <r>
    <s v="TXN_04850"/>
    <d v="2024-04-15T00:00:00"/>
    <x v="4"/>
    <s v="Monday"/>
    <s v="STORE_015"/>
    <x v="3"/>
    <x v="0"/>
    <x v="0"/>
    <n v="331.25"/>
    <n v="8"/>
    <n v="2650"/>
    <n v="0"/>
    <n v="0"/>
    <n v="2650"/>
    <s v="Debit Card"/>
    <s v="CUST_00775"/>
    <n v="3"/>
    <n v="0"/>
    <n v="331.25"/>
    <s v="No Discount"/>
  </r>
  <r>
    <s v="TXN_04851"/>
    <d v="2024-12-21T00:00:00"/>
    <x v="6"/>
    <s v="Saturday"/>
    <s v="STORE_021"/>
    <x v="3"/>
    <x v="6"/>
    <x v="14"/>
    <n v="1514.58"/>
    <n v="10"/>
    <n v="15145.8"/>
    <n v="0"/>
    <n v="0"/>
    <n v="15145.8"/>
    <s v="Wallet"/>
    <s v="CUST_00416"/>
    <n v="1"/>
    <n v="0"/>
    <n v="1514.58"/>
    <s v="No Discount"/>
  </r>
  <r>
    <s v="TXN_04852"/>
    <d v="2024-12-17T00:00:00"/>
    <x v="6"/>
    <s v="Tuesday"/>
    <s v="STORE_013"/>
    <x v="2"/>
    <x v="4"/>
    <x v="8"/>
    <n v="565.76"/>
    <n v="5"/>
    <n v="2828.8"/>
    <n v="0"/>
    <n v="0"/>
    <n v="2828.8"/>
    <s v="Debit Card"/>
    <s v="CUST_00915"/>
    <n v="3"/>
    <n v="0"/>
    <n v="565.76"/>
    <s v="No Discount"/>
  </r>
  <r>
    <s v="TXN_04853"/>
    <d v="2024-11-18T00:00:00"/>
    <x v="0"/>
    <s v="Monday"/>
    <s v="STORE_029"/>
    <x v="3"/>
    <x v="1"/>
    <x v="1"/>
    <n v="283.26"/>
    <n v="4"/>
    <n v="1133.04"/>
    <n v="0"/>
    <n v="0"/>
    <n v="1133.04"/>
    <s v="Wallet"/>
    <s v="CUST_00831"/>
    <n v="5"/>
    <n v="0"/>
    <n v="283.26"/>
    <s v="No Discount"/>
  </r>
  <r>
    <s v="TXN_04854"/>
    <d v="2024-01-05T00:00:00"/>
    <x v="2"/>
    <s v="Friday"/>
    <s v="STORE_007"/>
    <x v="3"/>
    <x v="7"/>
    <x v="37"/>
    <n v="340.07"/>
    <n v="6"/>
    <n v="2040.42"/>
    <n v="20"/>
    <n v="408.08"/>
    <n v="1632.34"/>
    <s v="Credit Card"/>
    <s v="CUST_00812"/>
    <n v="5"/>
    <n v="408.08000000000015"/>
    <n v="272.05666666666667"/>
    <s v="High"/>
  </r>
  <r>
    <s v="TXN_04855"/>
    <d v="2024-06-03T00:00:00"/>
    <x v="10"/>
    <s v="Monday"/>
    <s v="STORE_048"/>
    <x v="0"/>
    <x v="6"/>
    <x v="14"/>
    <n v="1521.06"/>
    <n v="3"/>
    <n v="4563.18"/>
    <n v="20"/>
    <n v="912.64"/>
    <n v="3650.54"/>
    <s v="Debit Card"/>
    <s v="CUST_00453"/>
    <n v="4"/>
    <n v="912.64000000000033"/>
    <n v="1216.8466666666666"/>
    <s v="High"/>
  </r>
  <r>
    <s v="TXN_04856"/>
    <d v="2024-08-03T00:00:00"/>
    <x v="8"/>
    <s v="Saturday"/>
    <s v="STORE_005"/>
    <x v="4"/>
    <x v="2"/>
    <x v="29"/>
    <n v="423.75"/>
    <n v="9"/>
    <n v="3813.75"/>
    <n v="0"/>
    <n v="0"/>
    <n v="3813.75"/>
    <s v="Credit Card"/>
    <s v="CUST_00270"/>
    <n v="2"/>
    <n v="0"/>
    <n v="423.75"/>
    <s v="No Discount"/>
  </r>
  <r>
    <s v="TXN_04857"/>
    <d v="2024-12-04T00:00:00"/>
    <x v="6"/>
    <s v="Wednesday"/>
    <s v="STORE_028"/>
    <x v="4"/>
    <x v="3"/>
    <x v="22"/>
    <n v="410.2"/>
    <n v="6"/>
    <n v="2461.1999999999998"/>
    <n v="20"/>
    <n v="492.24"/>
    <n v="1968.96"/>
    <s v="UPI"/>
    <s v="CUST_00147"/>
    <n v="1"/>
    <n v="492.23999999999978"/>
    <n v="328.16"/>
    <s v="High"/>
  </r>
  <r>
    <s v="TXN_04858"/>
    <d v="2024-02-21T00:00:00"/>
    <x v="1"/>
    <s v="Wednesday"/>
    <s v="STORE_002"/>
    <x v="3"/>
    <x v="0"/>
    <x v="18"/>
    <n v="252.3"/>
    <n v="5"/>
    <n v="1261.5"/>
    <n v="5"/>
    <n v="63.08"/>
    <n v="1198.42"/>
    <s v="UPI"/>
    <s v="CUST_00210"/>
    <n v="2"/>
    <n v="63.079999999999927"/>
    <n v="239.68400000000003"/>
    <s v="Low"/>
  </r>
  <r>
    <s v="TXN_04859"/>
    <d v="2024-12-05T00:00:00"/>
    <x v="6"/>
    <s v="Thursday"/>
    <s v="STORE_008"/>
    <x v="1"/>
    <x v="2"/>
    <x v="13"/>
    <n v="477.07"/>
    <n v="4"/>
    <n v="1908.28"/>
    <n v="15"/>
    <n v="286.24"/>
    <n v="1622.04"/>
    <s v="Cash"/>
    <s v="CUST_00845"/>
    <n v="3"/>
    <n v="286.24"/>
    <n v="405.51"/>
    <s v="Medium"/>
  </r>
  <r>
    <s v="TXN_04860"/>
    <d v="2024-09-23T00:00:00"/>
    <x v="9"/>
    <s v="Monday"/>
    <s v="STORE_013"/>
    <x v="2"/>
    <x v="4"/>
    <x v="35"/>
    <n v="507.08"/>
    <n v="7"/>
    <n v="3549.56"/>
    <n v="20"/>
    <n v="709.91"/>
    <n v="2839.65"/>
    <s v="Cash"/>
    <s v="CUST_00668"/>
    <n v="4"/>
    <n v="709.90999999999985"/>
    <n v="405.66428571428571"/>
    <s v="High"/>
  </r>
  <r>
    <s v="TXN_04861"/>
    <d v="2024-05-18T00:00:00"/>
    <x v="3"/>
    <s v="Saturday"/>
    <s v="STORE_026"/>
    <x v="0"/>
    <x v="7"/>
    <x v="37"/>
    <n v="914.23"/>
    <n v="6"/>
    <n v="5485.38"/>
    <n v="10"/>
    <n v="548.54"/>
    <n v="4936.84"/>
    <s v="Debit Card"/>
    <s v="CUST_00485"/>
    <n v="4"/>
    <n v="548.54"/>
    <n v="822.80666666666673"/>
    <s v="Medium"/>
  </r>
  <r>
    <s v="TXN_04862"/>
    <d v="2024-11-14T00:00:00"/>
    <x v="0"/>
    <s v="Thursday"/>
    <s v="STORE_036"/>
    <x v="0"/>
    <x v="6"/>
    <x v="30"/>
    <n v="1318.16"/>
    <n v="9"/>
    <n v="11863.44"/>
    <n v="10"/>
    <n v="1186.3399999999999"/>
    <n v="10677.1"/>
    <s v="Cash"/>
    <s v="CUST_00047"/>
    <n v="2"/>
    <n v="1186.3400000000001"/>
    <n v="1186.3444444444444"/>
    <s v="Medium"/>
  </r>
  <r>
    <s v="TXN_04863"/>
    <d v="2024-11-06T00:00:00"/>
    <x v="0"/>
    <s v="Wednesday"/>
    <s v="STORE_026"/>
    <x v="1"/>
    <x v="7"/>
    <x v="24"/>
    <n v="956.41"/>
    <n v="6"/>
    <n v="5738.46"/>
    <n v="5"/>
    <n v="286.92"/>
    <n v="5451.54"/>
    <s v="Wallet"/>
    <s v="CUST_00924"/>
    <n v="1"/>
    <n v="286.92000000000007"/>
    <n v="908.59"/>
    <s v="Low"/>
  </r>
  <r>
    <s v="TXN_04864"/>
    <d v="2024-12-24T00:00:00"/>
    <x v="6"/>
    <s v="Tuesday"/>
    <s v="STORE_033"/>
    <x v="4"/>
    <x v="0"/>
    <x v="18"/>
    <n v="615.27"/>
    <n v="1"/>
    <n v="615.27"/>
    <n v="15"/>
    <n v="92.29"/>
    <n v="522.98"/>
    <s v="Cash"/>
    <s v="CUST_00039"/>
    <n v="1"/>
    <n v="92.289999999999964"/>
    <n v="522.98"/>
    <s v="Medium"/>
  </r>
  <r>
    <s v="TXN_04865"/>
    <d v="2024-03-11T00:00:00"/>
    <x v="5"/>
    <s v="Monday"/>
    <s v="STORE_034"/>
    <x v="0"/>
    <x v="5"/>
    <x v="25"/>
    <n v="2137.33"/>
    <n v="7"/>
    <n v="14961.31"/>
    <n v="20"/>
    <n v="2992.26"/>
    <n v="11969.05"/>
    <s v="Debit Card"/>
    <s v="CUST_00443"/>
    <n v="5"/>
    <n v="2992.26"/>
    <n v="1709.8642857142856"/>
    <s v="High"/>
  </r>
  <r>
    <s v="TXN_04866"/>
    <d v="2024-08-02T00:00:00"/>
    <x v="8"/>
    <s v="Friday"/>
    <s v="STORE_014"/>
    <x v="3"/>
    <x v="7"/>
    <x v="37"/>
    <n v="546.27"/>
    <n v="7"/>
    <n v="3823.89"/>
    <n v="0"/>
    <n v="0"/>
    <n v="3823.89"/>
    <s v="Wallet"/>
    <s v="CUST_00855"/>
    <n v="4"/>
    <n v="0"/>
    <n v="546.27"/>
    <s v="No Discount"/>
  </r>
  <r>
    <s v="TXN_04867"/>
    <d v="2024-02-23T00:00:00"/>
    <x v="1"/>
    <s v="Friday"/>
    <s v="STORE_006"/>
    <x v="0"/>
    <x v="3"/>
    <x v="21"/>
    <n v="933.34"/>
    <n v="4"/>
    <n v="3733.36"/>
    <n v="15"/>
    <n v="560"/>
    <n v="3173.36"/>
    <s v="Credit Card"/>
    <s v="CUST_00463"/>
    <n v="5"/>
    <n v="560"/>
    <n v="793.34"/>
    <s v="Medium"/>
  </r>
  <r>
    <s v="TXN_04868"/>
    <d v="2024-09-18T00:00:00"/>
    <x v="9"/>
    <s v="Wednesday"/>
    <s v="STORE_022"/>
    <x v="2"/>
    <x v="5"/>
    <x v="11"/>
    <n v="3357.89"/>
    <n v="4"/>
    <n v="13431.56"/>
    <n v="10"/>
    <n v="1343.16"/>
    <n v="12088.4"/>
    <s v="Credit Card"/>
    <s v="CUST_00666"/>
    <n v="3"/>
    <n v="1343.1599999999999"/>
    <n v="3022.1"/>
    <s v="Medium"/>
  </r>
  <r>
    <s v="TXN_04869"/>
    <d v="2024-11-12T00:00:00"/>
    <x v="0"/>
    <s v="Tuesday"/>
    <s v="STORE_037"/>
    <x v="2"/>
    <x v="3"/>
    <x v="21"/>
    <n v="2373.4499999999998"/>
    <n v="9"/>
    <n v="21361.05"/>
    <n v="20"/>
    <n v="4272.21"/>
    <n v="17088.84"/>
    <s v="Debit Card"/>
    <s v="CUST_00671"/>
    <n v="3"/>
    <n v="4272.2099999999991"/>
    <n v="1898.76"/>
    <s v="High"/>
  </r>
  <r>
    <s v="TXN_04870"/>
    <d v="2024-03-01T00:00:00"/>
    <x v="5"/>
    <s v="Friday"/>
    <s v="STORE_047"/>
    <x v="3"/>
    <x v="7"/>
    <x v="37"/>
    <n v="643.47"/>
    <n v="7"/>
    <n v="4504.29"/>
    <n v="0"/>
    <n v="0"/>
    <n v="4504.29"/>
    <s v="Wallet"/>
    <s v="CUST_00203"/>
    <n v="2"/>
    <n v="0"/>
    <n v="643.47"/>
    <s v="No Discount"/>
  </r>
  <r>
    <s v="TXN_04871"/>
    <d v="2024-05-24T00:00:00"/>
    <x v="3"/>
    <s v="Friday"/>
    <s v="STORE_045"/>
    <x v="0"/>
    <x v="0"/>
    <x v="27"/>
    <n v="847.91"/>
    <n v="4"/>
    <n v="3391.64"/>
    <n v="0"/>
    <n v="0"/>
    <n v="3391.64"/>
    <s v="UPI"/>
    <s v="CUST_00651"/>
    <n v="2"/>
    <n v="0"/>
    <n v="847.91"/>
    <s v="No Discount"/>
  </r>
  <r>
    <s v="TXN_04872"/>
    <d v="2024-02-28T00:00:00"/>
    <x v="1"/>
    <s v="Wednesday"/>
    <s v="STORE_043"/>
    <x v="4"/>
    <x v="1"/>
    <x v="3"/>
    <n v="96.47"/>
    <n v="2"/>
    <n v="192.94"/>
    <n v="0"/>
    <n v="0"/>
    <n v="192.94"/>
    <s v="Cash"/>
    <s v="CUST_00190"/>
    <n v="2"/>
    <n v="0"/>
    <n v="96.47"/>
    <s v="No Discount"/>
  </r>
  <r>
    <s v="TXN_04873"/>
    <d v="2024-02-24T00:00:00"/>
    <x v="1"/>
    <s v="Saturday"/>
    <s v="STORE_026"/>
    <x v="3"/>
    <x v="4"/>
    <x v="17"/>
    <n v="390.72"/>
    <n v="1"/>
    <n v="390.72"/>
    <n v="0"/>
    <n v="0"/>
    <n v="390.72"/>
    <s v="Credit Card"/>
    <s v="CUST_00065"/>
    <n v="2"/>
    <n v="0"/>
    <n v="390.72"/>
    <s v="No Discount"/>
  </r>
  <r>
    <s v="TXN_04874"/>
    <d v="2024-09-11T00:00:00"/>
    <x v="9"/>
    <s v="Wednesday"/>
    <s v="STORE_047"/>
    <x v="3"/>
    <x v="0"/>
    <x v="18"/>
    <n v="721.33"/>
    <n v="4"/>
    <n v="2885.32"/>
    <n v="10"/>
    <n v="288.52999999999997"/>
    <n v="2596.79"/>
    <s v="Cash"/>
    <s v="CUST_00778"/>
    <n v="1"/>
    <n v="288.5300000000002"/>
    <n v="649.19749999999999"/>
    <s v="Medium"/>
  </r>
  <r>
    <s v="TXN_04875"/>
    <d v="2024-04-11T00:00:00"/>
    <x v="4"/>
    <s v="Thursday"/>
    <s v="STORE_001"/>
    <x v="3"/>
    <x v="1"/>
    <x v="1"/>
    <n v="56"/>
    <n v="9"/>
    <n v="504"/>
    <n v="5"/>
    <n v="25.2"/>
    <n v="478.8"/>
    <s v="Cash"/>
    <s v="CUST_00164"/>
    <n v="5"/>
    <n v="25.199999999999989"/>
    <n v="53.2"/>
    <s v="Low"/>
  </r>
  <r>
    <s v="TXN_04876"/>
    <d v="2024-11-07T00:00:00"/>
    <x v="0"/>
    <s v="Thursday"/>
    <s v="STORE_016"/>
    <x v="4"/>
    <x v="0"/>
    <x v="32"/>
    <n v="624.6"/>
    <n v="2"/>
    <n v="1249.2"/>
    <n v="0"/>
    <n v="0"/>
    <n v="1249.2"/>
    <s v="Cash"/>
    <s v="CUST_00091"/>
    <n v="1"/>
    <n v="0"/>
    <n v="624.6"/>
    <s v="No Discount"/>
  </r>
  <r>
    <s v="TXN_04877"/>
    <d v="2024-04-12T00:00:00"/>
    <x v="4"/>
    <s v="Friday"/>
    <s v="STORE_029"/>
    <x v="4"/>
    <x v="0"/>
    <x v="4"/>
    <n v="629.62"/>
    <n v="3"/>
    <n v="1888.86"/>
    <n v="10"/>
    <n v="188.89"/>
    <n v="1699.97"/>
    <s v="Wallet"/>
    <s v="CUST_00649"/>
    <n v="2"/>
    <n v="188.88999999999987"/>
    <n v="566.65666666666664"/>
    <s v="Medium"/>
  </r>
  <r>
    <s v="TXN_04878"/>
    <d v="2024-05-14T00:00:00"/>
    <x v="3"/>
    <s v="Tuesday"/>
    <s v="STORE_049"/>
    <x v="2"/>
    <x v="3"/>
    <x v="16"/>
    <n v="2014.73"/>
    <n v="6"/>
    <n v="12088.38"/>
    <n v="15"/>
    <n v="1813.26"/>
    <n v="10275.120000000001"/>
    <s v="Wallet"/>
    <s v="CUST_00796"/>
    <n v="2"/>
    <n v="1813.2599999999984"/>
    <n v="1712.5200000000002"/>
    <s v="Medium"/>
  </r>
  <r>
    <s v="TXN_04879"/>
    <d v="2024-09-24T00:00:00"/>
    <x v="9"/>
    <s v="Tuesday"/>
    <s v="STORE_037"/>
    <x v="1"/>
    <x v="5"/>
    <x v="11"/>
    <n v="4148.59"/>
    <n v="9"/>
    <n v="37337.31"/>
    <n v="0"/>
    <n v="0"/>
    <n v="37337.31"/>
    <s v="Cash"/>
    <s v="CUST_00256"/>
    <n v="4"/>
    <n v="0"/>
    <n v="4148.59"/>
    <s v="No Discount"/>
  </r>
  <r>
    <s v="TXN_04880"/>
    <d v="2024-04-13T00:00:00"/>
    <x v="4"/>
    <s v="Saturday"/>
    <s v="STORE_016"/>
    <x v="0"/>
    <x v="4"/>
    <x v="20"/>
    <n v="522.39"/>
    <n v="7"/>
    <n v="3656.73"/>
    <n v="10"/>
    <n v="365.67"/>
    <n v="3291.06"/>
    <s v="Wallet"/>
    <s v="CUST_00044"/>
    <n v="2"/>
    <n v="365.67000000000007"/>
    <n v="470.15142857142854"/>
    <s v="Medium"/>
  </r>
  <r>
    <s v="TXN_04881"/>
    <d v="2024-07-02T00:00:00"/>
    <x v="11"/>
    <s v="Tuesday"/>
    <s v="STORE_022"/>
    <x v="3"/>
    <x v="1"/>
    <x v="31"/>
    <n v="334.55"/>
    <n v="9"/>
    <n v="3010.95"/>
    <n v="5"/>
    <n v="150.55000000000001"/>
    <n v="2860.4"/>
    <s v="Credit Card"/>
    <s v="CUST_00819"/>
    <n v="1"/>
    <n v="150.54999999999973"/>
    <n v="317.82222222222225"/>
    <s v="Low"/>
  </r>
  <r>
    <s v="TXN_04882"/>
    <d v="2024-12-26T00:00:00"/>
    <x v="6"/>
    <s v="Thursday"/>
    <s v="STORE_005"/>
    <x v="4"/>
    <x v="5"/>
    <x v="11"/>
    <n v="4973.6000000000004"/>
    <n v="7"/>
    <n v="34815.199999999997"/>
    <n v="5"/>
    <n v="1740.76"/>
    <n v="33074.44"/>
    <s v="Wallet"/>
    <s v="CUST_00287"/>
    <n v="1"/>
    <n v="1740.7599999999948"/>
    <n v="4724.92"/>
    <s v="Low"/>
  </r>
  <r>
    <s v="TXN_04883"/>
    <d v="2024-07-28T00:00:00"/>
    <x v="11"/>
    <s v="Sunday"/>
    <s v="STORE_036"/>
    <x v="2"/>
    <x v="0"/>
    <x v="4"/>
    <n v="229.93"/>
    <n v="2"/>
    <n v="459.86"/>
    <n v="0"/>
    <n v="0"/>
    <n v="459.86"/>
    <s v="Credit Card"/>
    <s v="CUST_00262"/>
    <n v="2"/>
    <n v="0"/>
    <n v="229.93"/>
    <s v="No Discount"/>
  </r>
  <r>
    <s v="TXN_04884"/>
    <d v="2024-05-31T00:00:00"/>
    <x v="3"/>
    <s v="Friday"/>
    <s v="STORE_049"/>
    <x v="3"/>
    <x v="2"/>
    <x v="13"/>
    <n v="173.64"/>
    <n v="3"/>
    <n v="520.91999999999996"/>
    <n v="0"/>
    <n v="0"/>
    <n v="520.91999999999996"/>
    <s v="Wallet"/>
    <s v="CUST_00132"/>
    <n v="2"/>
    <n v="0"/>
    <n v="173.64"/>
    <s v="No Discount"/>
  </r>
  <r>
    <s v="TXN_04885"/>
    <d v="2024-03-23T00:00:00"/>
    <x v="5"/>
    <s v="Saturday"/>
    <s v="STORE_014"/>
    <x v="3"/>
    <x v="2"/>
    <x v="7"/>
    <n v="412.5"/>
    <n v="9"/>
    <n v="3712.5"/>
    <n v="0"/>
    <n v="0"/>
    <n v="3712.5"/>
    <s v="UPI"/>
    <s v="CUST_00558"/>
    <n v="2"/>
    <n v="0"/>
    <n v="412.5"/>
    <s v="No Discount"/>
  </r>
  <r>
    <s v="TXN_04886"/>
    <d v="2024-01-21T00:00:00"/>
    <x v="2"/>
    <s v="Sunday"/>
    <s v="STORE_030"/>
    <x v="3"/>
    <x v="0"/>
    <x v="18"/>
    <n v="583.72"/>
    <n v="4"/>
    <n v="2334.88"/>
    <n v="20"/>
    <n v="466.98"/>
    <n v="1867.9"/>
    <s v="Debit Card"/>
    <s v="CUST_00026"/>
    <n v="4"/>
    <n v="466.98"/>
    <n v="466.97500000000002"/>
    <s v="High"/>
  </r>
  <r>
    <s v="TXN_04887"/>
    <d v="2024-10-07T00:00:00"/>
    <x v="7"/>
    <s v="Monday"/>
    <s v="STORE_027"/>
    <x v="4"/>
    <x v="0"/>
    <x v="0"/>
    <n v="688.98"/>
    <n v="6"/>
    <n v="4133.88"/>
    <n v="15"/>
    <n v="620.08000000000004"/>
    <n v="3513.8"/>
    <s v="Credit Card"/>
    <s v="CUST_00583"/>
    <n v="2"/>
    <n v="620.07999999999993"/>
    <n v="585.63333333333333"/>
    <s v="Medium"/>
  </r>
  <r>
    <s v="TXN_04888"/>
    <d v="2024-09-11T00:00:00"/>
    <x v="9"/>
    <s v="Wednesday"/>
    <s v="STORE_038"/>
    <x v="4"/>
    <x v="6"/>
    <x v="33"/>
    <n v="1039.5999999999999"/>
    <n v="8"/>
    <n v="8316.7999999999993"/>
    <n v="0"/>
    <n v="0"/>
    <n v="8316.7999999999993"/>
    <s v="Credit Card"/>
    <s v="CUST_00258"/>
    <n v="4"/>
    <n v="0"/>
    <n v="1039.5999999999999"/>
    <s v="No Discount"/>
  </r>
  <r>
    <s v="TXN_04889"/>
    <d v="2024-04-16T00:00:00"/>
    <x v="4"/>
    <s v="Tuesday"/>
    <s v="STORE_048"/>
    <x v="1"/>
    <x v="3"/>
    <x v="5"/>
    <n v="1333.07"/>
    <n v="4"/>
    <n v="5332.28"/>
    <n v="15"/>
    <n v="799.84"/>
    <n v="4532.4399999999996"/>
    <s v="Debit Card"/>
    <s v="CUST_00427"/>
    <n v="4"/>
    <n v="799.84000000000015"/>
    <n v="1133.1099999999999"/>
    <s v="Medium"/>
  </r>
  <r>
    <s v="TXN_04890"/>
    <d v="2024-12-18T00:00:00"/>
    <x v="6"/>
    <s v="Wednesday"/>
    <s v="STORE_031"/>
    <x v="3"/>
    <x v="7"/>
    <x v="23"/>
    <n v="626.83000000000004"/>
    <n v="4"/>
    <n v="2507.3200000000002"/>
    <n v="0"/>
    <n v="0"/>
    <n v="2507.3200000000002"/>
    <s v="UPI"/>
    <s v="CUST_00911"/>
    <n v="4"/>
    <n v="0"/>
    <n v="626.83000000000004"/>
    <s v="No Discount"/>
  </r>
  <r>
    <s v="TXN_04891"/>
    <d v="2024-09-03T00:00:00"/>
    <x v="9"/>
    <s v="Tuesday"/>
    <s v="STORE_015"/>
    <x v="3"/>
    <x v="4"/>
    <x v="17"/>
    <n v="212.14"/>
    <n v="10"/>
    <n v="2121.4"/>
    <n v="0"/>
    <n v="0"/>
    <n v="2121.4"/>
    <s v="Cash"/>
    <s v="CUST_00076"/>
    <n v="5"/>
    <n v="0"/>
    <n v="212.14000000000001"/>
    <s v="No Discount"/>
  </r>
  <r>
    <s v="TXN_04892"/>
    <d v="2024-06-18T00:00:00"/>
    <x v="10"/>
    <s v="Tuesday"/>
    <s v="STORE_049"/>
    <x v="4"/>
    <x v="3"/>
    <x v="5"/>
    <n v="1016.58"/>
    <n v="9"/>
    <n v="9149.2199999999993"/>
    <n v="10"/>
    <n v="914.92"/>
    <n v="8234.2999999999993"/>
    <s v="Debit Card"/>
    <s v="CUST_00908"/>
    <n v="2"/>
    <n v="914.92000000000007"/>
    <n v="914.9222222222221"/>
    <s v="Medium"/>
  </r>
  <r>
    <s v="TXN_04893"/>
    <d v="2024-04-30T00:00:00"/>
    <x v="4"/>
    <s v="Tuesday"/>
    <s v="STORE_012"/>
    <x v="1"/>
    <x v="0"/>
    <x v="18"/>
    <n v="425.64"/>
    <n v="5"/>
    <n v="2128.1999999999998"/>
    <n v="0"/>
    <n v="0"/>
    <n v="2128.1999999999998"/>
    <s v="Cash"/>
    <s v="CUST_00853"/>
    <n v="1"/>
    <n v="0"/>
    <n v="425.64"/>
    <s v="No Discount"/>
  </r>
  <r>
    <s v="TXN_04894"/>
    <d v="2024-01-02T00:00:00"/>
    <x v="2"/>
    <s v="Tuesday"/>
    <s v="STORE_012"/>
    <x v="4"/>
    <x v="0"/>
    <x v="4"/>
    <n v="712.35"/>
    <n v="3"/>
    <n v="2137.0500000000002"/>
    <n v="0"/>
    <n v="0"/>
    <n v="2137.0500000000002"/>
    <s v="UPI"/>
    <s v="CUST_00341"/>
    <n v="5"/>
    <n v="0"/>
    <n v="712.35"/>
    <s v="No Discount"/>
  </r>
  <r>
    <s v="TXN_04895"/>
    <d v="2024-01-07T00:00:00"/>
    <x v="2"/>
    <s v="Sunday"/>
    <s v="STORE_014"/>
    <x v="0"/>
    <x v="7"/>
    <x v="37"/>
    <n v="1210.83"/>
    <n v="1"/>
    <n v="1210.83"/>
    <n v="0"/>
    <n v="0"/>
    <n v="1210.83"/>
    <s v="UPI"/>
    <s v="CUST_00604"/>
    <n v="4"/>
    <n v="0"/>
    <n v="1210.83"/>
    <s v="No Discount"/>
  </r>
  <r>
    <s v="TXN_04896"/>
    <d v="2024-12-09T00:00:00"/>
    <x v="6"/>
    <s v="Monday"/>
    <s v="STORE_014"/>
    <x v="3"/>
    <x v="2"/>
    <x v="2"/>
    <n v="255.96"/>
    <n v="9"/>
    <n v="2303.64"/>
    <n v="20"/>
    <n v="460.73"/>
    <n v="1842.91"/>
    <s v="Credit Card"/>
    <s v="CUST_00262"/>
    <n v="3"/>
    <n v="460.72999999999979"/>
    <n v="204.76777777777778"/>
    <s v="High"/>
  </r>
  <r>
    <s v="TXN_04897"/>
    <d v="2024-02-15T00:00:00"/>
    <x v="1"/>
    <s v="Thursday"/>
    <s v="STORE_021"/>
    <x v="1"/>
    <x v="7"/>
    <x v="38"/>
    <n v="824.45"/>
    <n v="9"/>
    <n v="7420.05"/>
    <n v="0"/>
    <n v="0"/>
    <n v="7420.05"/>
    <s v="Wallet"/>
    <s v="CUST_00880"/>
    <n v="4"/>
    <n v="0"/>
    <n v="824.45"/>
    <s v="No Discount"/>
  </r>
  <r>
    <s v="TXN_04898"/>
    <d v="2024-02-26T00:00:00"/>
    <x v="1"/>
    <s v="Monday"/>
    <s v="STORE_001"/>
    <x v="3"/>
    <x v="7"/>
    <x v="28"/>
    <n v="928.81"/>
    <n v="2"/>
    <n v="1857.62"/>
    <n v="10"/>
    <n v="185.76"/>
    <n v="1671.86"/>
    <s v="Wallet"/>
    <s v="CUST_00869"/>
    <n v="4"/>
    <n v="185.76"/>
    <n v="835.93"/>
    <s v="Medium"/>
  </r>
  <r>
    <s v="TXN_04899"/>
    <d v="2024-10-20T00:00:00"/>
    <x v="7"/>
    <s v="Sunday"/>
    <s v="STORE_020"/>
    <x v="2"/>
    <x v="3"/>
    <x v="16"/>
    <n v="2413.9699999999998"/>
    <n v="2"/>
    <n v="4827.9399999999996"/>
    <n v="0"/>
    <n v="0"/>
    <n v="4827.9399999999996"/>
    <s v="Debit Card"/>
    <s v="CUST_00171"/>
    <n v="5"/>
    <n v="0"/>
    <n v="2413.9699999999998"/>
    <s v="No Discount"/>
  </r>
  <r>
    <s v="TXN_04900"/>
    <d v="2024-12-08T00:00:00"/>
    <x v="6"/>
    <s v="Sunday"/>
    <s v="STORE_026"/>
    <x v="1"/>
    <x v="1"/>
    <x v="6"/>
    <n v="314.62"/>
    <n v="3"/>
    <n v="943.86"/>
    <n v="0"/>
    <n v="0"/>
    <n v="943.86"/>
    <s v="Credit Card"/>
    <s v="CUST_00460"/>
    <n v="1"/>
    <n v="0"/>
    <n v="314.62"/>
    <s v="No Discount"/>
  </r>
  <r>
    <s v="TXN_04901"/>
    <d v="2024-09-09T00:00:00"/>
    <x v="9"/>
    <s v="Monday"/>
    <s v="STORE_041"/>
    <x v="0"/>
    <x v="4"/>
    <x v="35"/>
    <n v="293.7"/>
    <n v="5"/>
    <n v="1468.5"/>
    <n v="10"/>
    <n v="146.85"/>
    <n v="1321.65"/>
    <s v="UPI"/>
    <s v="CUST_00569"/>
    <n v="2"/>
    <n v="146.84999999999991"/>
    <n v="264.33000000000004"/>
    <s v="Medium"/>
  </r>
  <r>
    <s v="TXN_04902"/>
    <d v="2024-03-17T00:00:00"/>
    <x v="5"/>
    <s v="Sunday"/>
    <s v="STORE_026"/>
    <x v="2"/>
    <x v="7"/>
    <x v="28"/>
    <n v="1122.58"/>
    <n v="8"/>
    <n v="8980.64"/>
    <n v="15"/>
    <n v="1347.1"/>
    <n v="7633.54"/>
    <s v="Credit Card"/>
    <s v="CUST_00893"/>
    <n v="3"/>
    <n v="1347.0999999999995"/>
    <n v="954.1925"/>
    <s v="Medium"/>
  </r>
  <r>
    <s v="TXN_04903"/>
    <d v="2024-02-16T00:00:00"/>
    <x v="1"/>
    <s v="Friday"/>
    <s v="STORE_004"/>
    <x v="4"/>
    <x v="4"/>
    <x v="35"/>
    <n v="365.48"/>
    <n v="9"/>
    <n v="3289.32"/>
    <n v="15"/>
    <n v="493.4"/>
    <n v="2795.92"/>
    <s v="Cash"/>
    <s v="CUST_00415"/>
    <n v="1"/>
    <n v="493.40000000000009"/>
    <n v="310.65777777777777"/>
    <s v="Medium"/>
  </r>
  <r>
    <s v="TXN_04904"/>
    <d v="2024-09-18T00:00:00"/>
    <x v="9"/>
    <s v="Wednesday"/>
    <s v="STORE_044"/>
    <x v="2"/>
    <x v="6"/>
    <x v="30"/>
    <n v="1619.55"/>
    <n v="7"/>
    <n v="11336.85"/>
    <n v="20"/>
    <n v="2267.37"/>
    <n v="9069.48"/>
    <s v="Credit Card"/>
    <s v="CUST_00676"/>
    <n v="4"/>
    <n v="2267.3700000000008"/>
    <n v="1295.6399999999999"/>
    <s v="High"/>
  </r>
  <r>
    <s v="TXN_04905"/>
    <d v="2024-02-08T00:00:00"/>
    <x v="1"/>
    <s v="Thursday"/>
    <s v="STORE_045"/>
    <x v="0"/>
    <x v="4"/>
    <x v="20"/>
    <n v="592.54"/>
    <n v="8"/>
    <n v="4740.32"/>
    <n v="5"/>
    <n v="237.02"/>
    <n v="4503.3"/>
    <s v="UPI"/>
    <s v="CUST_00301"/>
    <n v="1"/>
    <n v="237.01999999999953"/>
    <n v="562.91250000000002"/>
    <s v="Low"/>
  </r>
  <r>
    <s v="TXN_04906"/>
    <d v="2024-02-21T00:00:00"/>
    <x v="1"/>
    <s v="Wednesday"/>
    <s v="STORE_033"/>
    <x v="2"/>
    <x v="2"/>
    <x v="39"/>
    <n v="363.62"/>
    <n v="8"/>
    <n v="2908.96"/>
    <n v="15"/>
    <n v="436.34"/>
    <n v="2472.62"/>
    <s v="Wallet"/>
    <s v="CUST_00301"/>
    <n v="1"/>
    <n v="436.34000000000015"/>
    <n v="309.07749999999999"/>
    <s v="Medium"/>
  </r>
  <r>
    <s v="TXN_04907"/>
    <d v="2024-05-11T00:00:00"/>
    <x v="3"/>
    <s v="Saturday"/>
    <s v="STORE_022"/>
    <x v="3"/>
    <x v="3"/>
    <x v="12"/>
    <n v="2325.61"/>
    <n v="7"/>
    <n v="16279.27"/>
    <n v="20"/>
    <n v="3255.85"/>
    <n v="13023.42"/>
    <s v="Wallet"/>
    <s v="CUST_00341"/>
    <n v="4"/>
    <n v="3255.8500000000004"/>
    <n v="1860.4885714285715"/>
    <s v="High"/>
  </r>
  <r>
    <s v="TXN_04908"/>
    <d v="2024-11-25T00:00:00"/>
    <x v="0"/>
    <s v="Monday"/>
    <s v="STORE_018"/>
    <x v="0"/>
    <x v="4"/>
    <x v="35"/>
    <n v="326.94"/>
    <n v="1"/>
    <n v="326.94"/>
    <n v="5"/>
    <n v="16.350000000000001"/>
    <n v="310.58999999999997"/>
    <s v="Wallet"/>
    <s v="CUST_00428"/>
    <n v="2"/>
    <n v="16.350000000000023"/>
    <n v="310.58999999999997"/>
    <s v="Low"/>
  </r>
  <r>
    <s v="TXN_04909"/>
    <d v="2024-04-28T00:00:00"/>
    <x v="4"/>
    <s v="Sunday"/>
    <s v="STORE_039"/>
    <x v="4"/>
    <x v="6"/>
    <x v="15"/>
    <n v="791.53"/>
    <n v="9"/>
    <n v="7123.77"/>
    <n v="10"/>
    <n v="712.38"/>
    <n v="6411.39"/>
    <s v="Debit Card"/>
    <s v="CUST_00976"/>
    <n v="3"/>
    <n v="712.38000000000011"/>
    <n v="712.37666666666667"/>
    <s v="Medium"/>
  </r>
  <r>
    <s v="TXN_04910"/>
    <d v="2024-08-21T00:00:00"/>
    <x v="8"/>
    <s v="Wednesday"/>
    <s v="STORE_030"/>
    <x v="1"/>
    <x v="0"/>
    <x v="27"/>
    <n v="520.20000000000005"/>
    <n v="1"/>
    <n v="520.20000000000005"/>
    <n v="10"/>
    <n v="52.02"/>
    <n v="468.18"/>
    <s v="Credit Card"/>
    <s v="CUST_00530"/>
    <n v="5"/>
    <n v="52.020000000000039"/>
    <n v="468.18"/>
    <s v="Medium"/>
  </r>
  <r>
    <s v="TXN_04911"/>
    <d v="2024-05-31T00:00:00"/>
    <x v="3"/>
    <s v="Friday"/>
    <s v="STORE_020"/>
    <x v="4"/>
    <x v="6"/>
    <x v="15"/>
    <n v="661.97"/>
    <n v="1"/>
    <n v="661.97"/>
    <n v="0"/>
    <n v="0"/>
    <n v="661.97"/>
    <s v="UPI"/>
    <s v="CUST_00456"/>
    <n v="2"/>
    <n v="0"/>
    <n v="661.97"/>
    <s v="No Discount"/>
  </r>
  <r>
    <s v="TXN_04912"/>
    <d v="2024-05-15T00:00:00"/>
    <x v="3"/>
    <s v="Wednesday"/>
    <s v="STORE_029"/>
    <x v="4"/>
    <x v="2"/>
    <x v="39"/>
    <n v="173.71"/>
    <n v="7"/>
    <n v="1215.97"/>
    <n v="0"/>
    <n v="0"/>
    <n v="1215.97"/>
    <s v="Wallet"/>
    <s v="CUST_00058"/>
    <n v="2"/>
    <n v="0"/>
    <n v="173.71"/>
    <s v="No Discount"/>
  </r>
  <r>
    <s v="TXN_04913"/>
    <d v="2024-08-25T00:00:00"/>
    <x v="8"/>
    <s v="Sunday"/>
    <s v="STORE_042"/>
    <x v="1"/>
    <x v="5"/>
    <x v="11"/>
    <n v="3619.82"/>
    <n v="10"/>
    <n v="36198.199999999997"/>
    <n v="0"/>
    <n v="0"/>
    <n v="36198.199999999997"/>
    <s v="Credit Card"/>
    <s v="CUST_00302"/>
    <n v="5"/>
    <n v="0"/>
    <n v="3619.8199999999997"/>
    <s v="No Discount"/>
  </r>
  <r>
    <s v="TXN_04914"/>
    <d v="2024-01-26T00:00:00"/>
    <x v="2"/>
    <s v="Friday"/>
    <s v="STORE_046"/>
    <x v="1"/>
    <x v="3"/>
    <x v="21"/>
    <n v="2122.2199999999998"/>
    <n v="2"/>
    <n v="4244.4399999999996"/>
    <n v="20"/>
    <n v="848.89"/>
    <n v="3395.55"/>
    <s v="Debit Card"/>
    <s v="CUST_00339"/>
    <n v="3"/>
    <n v="848.88999999999942"/>
    <n v="1697.7750000000001"/>
    <s v="High"/>
  </r>
  <r>
    <s v="TXN_04915"/>
    <d v="2024-02-21T00:00:00"/>
    <x v="1"/>
    <s v="Wednesday"/>
    <s v="STORE_022"/>
    <x v="3"/>
    <x v="1"/>
    <x v="3"/>
    <n v="324.87"/>
    <n v="1"/>
    <n v="324.87"/>
    <n v="0"/>
    <n v="0"/>
    <n v="324.87"/>
    <s v="UPI"/>
    <s v="CUST_00397"/>
    <n v="2"/>
    <n v="0"/>
    <n v="324.87"/>
    <s v="No Discount"/>
  </r>
  <r>
    <s v="TXN_04916"/>
    <d v="2024-03-30T00:00:00"/>
    <x v="5"/>
    <s v="Saturday"/>
    <s v="STORE_023"/>
    <x v="3"/>
    <x v="1"/>
    <x v="31"/>
    <n v="472.34"/>
    <n v="1"/>
    <n v="472.34"/>
    <n v="5"/>
    <n v="23.62"/>
    <n v="448.72"/>
    <s v="Debit Card"/>
    <s v="CUST_00885"/>
    <n v="4"/>
    <n v="23.619999999999948"/>
    <n v="448.72"/>
    <s v="Low"/>
  </r>
  <r>
    <s v="TXN_04917"/>
    <d v="2024-01-21T00:00:00"/>
    <x v="2"/>
    <s v="Sunday"/>
    <s v="STORE_007"/>
    <x v="0"/>
    <x v="3"/>
    <x v="5"/>
    <n v="2153.8200000000002"/>
    <n v="6"/>
    <n v="12922.92"/>
    <n v="0"/>
    <n v="0"/>
    <n v="12922.92"/>
    <s v="Credit Card"/>
    <s v="CUST_00409"/>
    <n v="3"/>
    <n v="0"/>
    <n v="2153.8200000000002"/>
    <s v="No Discount"/>
  </r>
  <r>
    <s v="TXN_04918"/>
    <d v="2024-05-28T00:00:00"/>
    <x v="3"/>
    <s v="Tuesday"/>
    <s v="STORE_038"/>
    <x v="0"/>
    <x v="1"/>
    <x v="1"/>
    <n v="267.47000000000003"/>
    <n v="7"/>
    <n v="1872.29"/>
    <n v="5"/>
    <n v="93.61"/>
    <n v="1778.68"/>
    <s v="Wallet"/>
    <s v="CUST_00762"/>
    <n v="3"/>
    <n v="93.6099999999999"/>
    <n v="254.09714285714287"/>
    <s v="Low"/>
  </r>
  <r>
    <s v="TXN_04919"/>
    <d v="2024-07-03T00:00:00"/>
    <x v="11"/>
    <s v="Wednesday"/>
    <s v="STORE_030"/>
    <x v="2"/>
    <x v="5"/>
    <x v="11"/>
    <n v="2085.2399999999998"/>
    <n v="10"/>
    <n v="20852.400000000001"/>
    <n v="5"/>
    <n v="1042.6199999999999"/>
    <n v="19809.78"/>
    <s v="UPI"/>
    <s v="CUST_00604"/>
    <n v="2"/>
    <n v="1042.6200000000026"/>
    <n v="1980.9779999999998"/>
    <s v="Low"/>
  </r>
  <r>
    <s v="TXN_04920"/>
    <d v="2024-12-12T00:00:00"/>
    <x v="6"/>
    <s v="Thursday"/>
    <s v="STORE_002"/>
    <x v="4"/>
    <x v="0"/>
    <x v="4"/>
    <n v="450.89"/>
    <n v="8"/>
    <n v="3607.12"/>
    <n v="10"/>
    <n v="360.71"/>
    <n v="3246.41"/>
    <s v="Credit Card"/>
    <s v="CUST_00314"/>
    <n v="2"/>
    <n v="360.71000000000004"/>
    <n v="405.80124999999998"/>
    <s v="Medium"/>
  </r>
  <r>
    <s v="TXN_04921"/>
    <d v="2024-06-09T00:00:00"/>
    <x v="10"/>
    <s v="Sunday"/>
    <s v="STORE_020"/>
    <x v="0"/>
    <x v="4"/>
    <x v="35"/>
    <n v="451.51"/>
    <n v="3"/>
    <n v="1354.53"/>
    <n v="10"/>
    <n v="135.44999999999999"/>
    <n v="1219.08"/>
    <s v="Wallet"/>
    <s v="CUST_00574"/>
    <n v="3"/>
    <n v="135.45000000000005"/>
    <n v="406.35999999999996"/>
    <s v="Medium"/>
  </r>
  <r>
    <s v="TXN_04922"/>
    <d v="2024-08-06T00:00:00"/>
    <x v="8"/>
    <s v="Tuesday"/>
    <s v="STORE_008"/>
    <x v="0"/>
    <x v="5"/>
    <x v="9"/>
    <n v="4361.82"/>
    <n v="8"/>
    <n v="34894.559999999998"/>
    <n v="5"/>
    <n v="1744.73"/>
    <n v="33149.83"/>
    <s v="Wallet"/>
    <s v="CUST_00692"/>
    <n v="3"/>
    <n v="1744.7299999999959"/>
    <n v="4143.7287500000002"/>
    <s v="Low"/>
  </r>
  <r>
    <s v="TXN_04923"/>
    <d v="2024-02-29T00:00:00"/>
    <x v="1"/>
    <s v="Thursday"/>
    <s v="STORE_039"/>
    <x v="4"/>
    <x v="0"/>
    <x v="4"/>
    <n v="589.52"/>
    <n v="9"/>
    <n v="5305.68"/>
    <n v="10"/>
    <n v="530.57000000000005"/>
    <n v="4775.1099999999997"/>
    <s v="UPI"/>
    <s v="CUST_00401"/>
    <n v="5"/>
    <n v="530.57000000000062"/>
    <n v="530.56777777777779"/>
    <s v="Medium"/>
  </r>
  <r>
    <s v="TXN_04924"/>
    <d v="2024-02-18T00:00:00"/>
    <x v="1"/>
    <s v="Sunday"/>
    <s v="STORE_006"/>
    <x v="1"/>
    <x v="6"/>
    <x v="26"/>
    <n v="1649.02"/>
    <n v="9"/>
    <n v="14841.18"/>
    <n v="5"/>
    <n v="742.06"/>
    <n v="14099.12"/>
    <s v="Debit Card"/>
    <s v="CUST_00126"/>
    <n v="5"/>
    <n v="742.05999999999949"/>
    <n v="1566.568888888889"/>
    <s v="Low"/>
  </r>
  <r>
    <s v="TXN_04925"/>
    <d v="2024-01-24T00:00:00"/>
    <x v="2"/>
    <s v="Wednesday"/>
    <s v="STORE_044"/>
    <x v="1"/>
    <x v="3"/>
    <x v="22"/>
    <n v="1835.44"/>
    <n v="10"/>
    <n v="18354.400000000001"/>
    <n v="0"/>
    <n v="0"/>
    <n v="18354.400000000001"/>
    <s v="Wallet"/>
    <s v="CUST_00809"/>
    <n v="1"/>
    <n v="0"/>
    <n v="1835.44"/>
    <s v="No Discount"/>
  </r>
  <r>
    <s v="TXN_04926"/>
    <d v="2024-01-05T00:00:00"/>
    <x v="2"/>
    <s v="Friday"/>
    <s v="STORE_009"/>
    <x v="1"/>
    <x v="2"/>
    <x v="39"/>
    <n v="426.53"/>
    <n v="3"/>
    <n v="1279.5899999999999"/>
    <n v="5"/>
    <n v="63.98"/>
    <n v="1215.6099999999999"/>
    <s v="Credit Card"/>
    <s v="CUST_00308"/>
    <n v="4"/>
    <n v="63.980000000000018"/>
    <n v="405.20333333333332"/>
    <s v="Low"/>
  </r>
  <r>
    <s v="TXN_04927"/>
    <d v="2024-03-11T00:00:00"/>
    <x v="5"/>
    <s v="Monday"/>
    <s v="STORE_004"/>
    <x v="4"/>
    <x v="2"/>
    <x v="39"/>
    <n v="608.44000000000005"/>
    <n v="8"/>
    <n v="4867.5200000000004"/>
    <n v="10"/>
    <n v="486.75"/>
    <n v="4380.7700000000004"/>
    <s v="UPI"/>
    <s v="CUST_00343"/>
    <n v="1"/>
    <n v="486.75"/>
    <n v="547.59625000000005"/>
    <s v="Medium"/>
  </r>
  <r>
    <s v="TXN_04928"/>
    <d v="2024-12-05T00:00:00"/>
    <x v="6"/>
    <s v="Thursday"/>
    <s v="STORE_004"/>
    <x v="3"/>
    <x v="2"/>
    <x v="13"/>
    <n v="679.05"/>
    <n v="3"/>
    <n v="2037.15"/>
    <n v="10"/>
    <n v="203.72"/>
    <n v="1833.43"/>
    <s v="UPI"/>
    <s v="CUST_00326"/>
    <n v="3"/>
    <n v="203.72000000000003"/>
    <n v="611.14333333333332"/>
    <s v="Medium"/>
  </r>
  <r>
    <s v="TXN_04929"/>
    <d v="2024-11-27T00:00:00"/>
    <x v="0"/>
    <s v="Wednesday"/>
    <s v="STORE_016"/>
    <x v="3"/>
    <x v="7"/>
    <x v="23"/>
    <n v="594.83000000000004"/>
    <n v="2"/>
    <n v="1189.6600000000001"/>
    <n v="0"/>
    <n v="0"/>
    <n v="1189.6600000000001"/>
    <s v="UPI"/>
    <s v="CUST_00560"/>
    <n v="1"/>
    <n v="0"/>
    <n v="594.83000000000004"/>
    <s v="No Discount"/>
  </r>
  <r>
    <s v="TXN_04930"/>
    <d v="2024-03-28T00:00:00"/>
    <x v="5"/>
    <s v="Thursday"/>
    <s v="STORE_034"/>
    <x v="4"/>
    <x v="5"/>
    <x v="10"/>
    <n v="4762.51"/>
    <n v="1"/>
    <n v="4762.51"/>
    <n v="0"/>
    <n v="0"/>
    <n v="4762.51"/>
    <s v="Cash"/>
    <s v="CUST_00624"/>
    <n v="4"/>
    <n v="0"/>
    <n v="4762.51"/>
    <s v="No Discount"/>
  </r>
  <r>
    <s v="TXN_04931"/>
    <d v="2024-06-17T00:00:00"/>
    <x v="10"/>
    <s v="Monday"/>
    <s v="STORE_030"/>
    <x v="2"/>
    <x v="7"/>
    <x v="28"/>
    <n v="971.79"/>
    <n v="6"/>
    <n v="5830.74"/>
    <n v="10"/>
    <n v="583.07000000000005"/>
    <n v="5247.67"/>
    <s v="UPI"/>
    <s v="CUST_00913"/>
    <n v="4"/>
    <n v="583.06999999999971"/>
    <n v="874.61166666666668"/>
    <s v="Medium"/>
  </r>
  <r>
    <s v="TXN_04932"/>
    <d v="2024-07-02T00:00:00"/>
    <x v="11"/>
    <s v="Tuesday"/>
    <s v="STORE_039"/>
    <x v="0"/>
    <x v="1"/>
    <x v="6"/>
    <n v="63.23"/>
    <n v="4"/>
    <n v="252.92"/>
    <n v="10"/>
    <n v="25.29"/>
    <n v="227.63"/>
    <s v="Wallet"/>
    <s v="CUST_00331"/>
    <n v="2"/>
    <n v="25.289999999999992"/>
    <n v="56.907499999999999"/>
    <s v="Medium"/>
  </r>
  <r>
    <s v="TXN_04933"/>
    <d v="2024-08-12T00:00:00"/>
    <x v="8"/>
    <s v="Monday"/>
    <s v="STORE_016"/>
    <x v="2"/>
    <x v="0"/>
    <x v="4"/>
    <n v="870.02"/>
    <n v="8"/>
    <n v="6960.16"/>
    <n v="15"/>
    <n v="1044.02"/>
    <n v="5916.14"/>
    <s v="Cash"/>
    <s v="CUST_00782"/>
    <n v="4"/>
    <n v="1044.0199999999995"/>
    <n v="739.51750000000004"/>
    <s v="Medium"/>
  </r>
  <r>
    <s v="TXN_04934"/>
    <d v="2024-11-14T00:00:00"/>
    <x v="0"/>
    <s v="Thursday"/>
    <s v="STORE_047"/>
    <x v="3"/>
    <x v="1"/>
    <x v="1"/>
    <n v="80.17"/>
    <n v="7"/>
    <n v="561.19000000000005"/>
    <n v="0"/>
    <n v="0"/>
    <n v="561.19000000000005"/>
    <s v="UPI"/>
    <s v="CUST_00753"/>
    <n v="4"/>
    <n v="0"/>
    <n v="80.17"/>
    <s v="No Discount"/>
  </r>
  <r>
    <s v="TXN_04935"/>
    <d v="2024-05-17T00:00:00"/>
    <x v="3"/>
    <s v="Friday"/>
    <s v="STORE_026"/>
    <x v="0"/>
    <x v="0"/>
    <x v="18"/>
    <n v="523"/>
    <n v="4"/>
    <n v="2092"/>
    <n v="20"/>
    <n v="418.4"/>
    <n v="1673.6"/>
    <s v="Debit Card"/>
    <s v="CUST_00811"/>
    <n v="5"/>
    <n v="418.40000000000009"/>
    <n v="418.4"/>
    <s v="High"/>
  </r>
  <r>
    <s v="TXN_04936"/>
    <d v="2024-02-17T00:00:00"/>
    <x v="1"/>
    <s v="Saturday"/>
    <s v="STORE_020"/>
    <x v="4"/>
    <x v="7"/>
    <x v="38"/>
    <n v="312.42"/>
    <n v="4"/>
    <n v="1249.68"/>
    <n v="0"/>
    <n v="0"/>
    <n v="1249.68"/>
    <s v="UPI"/>
    <s v="CUST_00529"/>
    <n v="2"/>
    <n v="0"/>
    <n v="312.42"/>
    <s v="No Discount"/>
  </r>
  <r>
    <s v="TXN_04937"/>
    <d v="2024-07-09T00:00:00"/>
    <x v="11"/>
    <s v="Tuesday"/>
    <s v="STORE_018"/>
    <x v="4"/>
    <x v="0"/>
    <x v="32"/>
    <n v="221.78"/>
    <n v="5"/>
    <n v="1108.9000000000001"/>
    <n v="5"/>
    <n v="55.45"/>
    <n v="1053.45"/>
    <s v="UPI"/>
    <s v="CUST_00499"/>
    <n v="3"/>
    <n v="55.450000000000045"/>
    <n v="210.69"/>
    <s v="Low"/>
  </r>
  <r>
    <s v="TXN_04938"/>
    <d v="2024-06-24T00:00:00"/>
    <x v="10"/>
    <s v="Monday"/>
    <s v="STORE_016"/>
    <x v="1"/>
    <x v="1"/>
    <x v="36"/>
    <n v="399.98"/>
    <n v="4"/>
    <n v="1599.92"/>
    <n v="5"/>
    <n v="80"/>
    <n v="1519.92"/>
    <s v="Cash"/>
    <s v="CUST_00989"/>
    <n v="3"/>
    <n v="80"/>
    <n v="379.98"/>
    <s v="Low"/>
  </r>
  <r>
    <s v="TXN_04939"/>
    <d v="2024-04-03T00:00:00"/>
    <x v="4"/>
    <s v="Wednesday"/>
    <s v="STORE_011"/>
    <x v="2"/>
    <x v="4"/>
    <x v="35"/>
    <n v="196.43"/>
    <n v="2"/>
    <n v="392.86"/>
    <n v="15"/>
    <n v="58.93"/>
    <n v="333.93"/>
    <s v="UPI"/>
    <s v="CUST_00927"/>
    <n v="4"/>
    <n v="58.930000000000007"/>
    <n v="166.965"/>
    <s v="Medium"/>
  </r>
  <r>
    <s v="TXN_04940"/>
    <d v="2024-02-28T00:00:00"/>
    <x v="1"/>
    <s v="Wednesday"/>
    <s v="STORE_033"/>
    <x v="0"/>
    <x v="6"/>
    <x v="30"/>
    <n v="1550.95"/>
    <n v="9"/>
    <n v="13958.55"/>
    <n v="10"/>
    <n v="1395.86"/>
    <n v="12562.69"/>
    <s v="Debit Card"/>
    <s v="CUST_00546"/>
    <n v="3"/>
    <n v="1395.8599999999988"/>
    <n v="1395.8544444444444"/>
    <s v="Medium"/>
  </r>
  <r>
    <s v="TXN_04941"/>
    <d v="2024-07-24T00:00:00"/>
    <x v="11"/>
    <s v="Wednesday"/>
    <s v="STORE_016"/>
    <x v="3"/>
    <x v="6"/>
    <x v="30"/>
    <n v="1684.78"/>
    <n v="10"/>
    <n v="16847.8"/>
    <n v="0"/>
    <n v="0"/>
    <n v="16847.8"/>
    <s v="Credit Card"/>
    <s v="CUST_00330"/>
    <n v="3"/>
    <n v="0"/>
    <n v="1684.78"/>
    <s v="No Discount"/>
  </r>
  <r>
    <s v="TXN_04942"/>
    <d v="2024-07-23T00:00:00"/>
    <x v="11"/>
    <s v="Tuesday"/>
    <s v="STORE_027"/>
    <x v="4"/>
    <x v="6"/>
    <x v="15"/>
    <n v="1449.48"/>
    <n v="7"/>
    <n v="10146.36"/>
    <n v="10"/>
    <n v="1014.64"/>
    <n v="9131.7199999999993"/>
    <s v="UPI"/>
    <s v="CUST_00041"/>
    <n v="5"/>
    <n v="1014.6400000000012"/>
    <n v="1304.5314285714285"/>
    <s v="Medium"/>
  </r>
  <r>
    <s v="TXN_04943"/>
    <d v="2024-08-21T00:00:00"/>
    <x v="8"/>
    <s v="Wednesday"/>
    <s v="STORE_009"/>
    <x v="1"/>
    <x v="6"/>
    <x v="30"/>
    <n v="1401.66"/>
    <n v="4"/>
    <n v="5606.64"/>
    <n v="0"/>
    <n v="0"/>
    <n v="5606.64"/>
    <s v="Credit Card"/>
    <s v="CUST_00015"/>
    <n v="3"/>
    <n v="0"/>
    <n v="1401.66"/>
    <s v="No Discount"/>
  </r>
  <r>
    <s v="TXN_04944"/>
    <d v="2024-05-19T00:00:00"/>
    <x v="3"/>
    <s v="Sunday"/>
    <s v="STORE_045"/>
    <x v="0"/>
    <x v="2"/>
    <x v="2"/>
    <n v="749.5"/>
    <n v="8"/>
    <n v="5996"/>
    <n v="0"/>
    <n v="0"/>
    <n v="5996"/>
    <s v="Wallet"/>
    <s v="CUST_00474"/>
    <n v="3"/>
    <n v="0"/>
    <n v="749.5"/>
    <s v="No Discount"/>
  </r>
  <r>
    <s v="TXN_04945"/>
    <d v="2024-07-16T00:00:00"/>
    <x v="11"/>
    <s v="Tuesday"/>
    <s v="STORE_029"/>
    <x v="4"/>
    <x v="0"/>
    <x v="27"/>
    <n v="533.79"/>
    <n v="2"/>
    <n v="1067.58"/>
    <n v="15"/>
    <n v="160.13999999999999"/>
    <n v="907.44"/>
    <s v="Debit Card"/>
    <s v="CUST_00761"/>
    <n v="4"/>
    <n v="160.13999999999987"/>
    <n v="453.72"/>
    <s v="Medium"/>
  </r>
  <r>
    <s v="TXN_04946"/>
    <d v="2024-12-19T00:00:00"/>
    <x v="6"/>
    <s v="Thursday"/>
    <s v="STORE_010"/>
    <x v="2"/>
    <x v="3"/>
    <x v="12"/>
    <n v="833.36"/>
    <n v="6"/>
    <n v="5000.16"/>
    <n v="5"/>
    <n v="250.01"/>
    <n v="4750.1499999999996"/>
    <s v="Wallet"/>
    <s v="CUST_00096"/>
    <n v="3"/>
    <n v="250.01000000000022"/>
    <n v="791.69166666666661"/>
    <s v="Low"/>
  </r>
  <r>
    <s v="TXN_04947"/>
    <d v="2024-09-01T00:00:00"/>
    <x v="9"/>
    <s v="Sunday"/>
    <s v="STORE_027"/>
    <x v="0"/>
    <x v="2"/>
    <x v="39"/>
    <n v="657.57"/>
    <n v="8"/>
    <n v="5260.56"/>
    <n v="5"/>
    <n v="263.02999999999997"/>
    <n v="4997.53"/>
    <s v="UPI"/>
    <s v="CUST_00906"/>
    <n v="1"/>
    <n v="263.03000000000065"/>
    <n v="624.69124999999997"/>
    <s v="Low"/>
  </r>
  <r>
    <s v="TXN_04948"/>
    <d v="2024-08-03T00:00:00"/>
    <x v="8"/>
    <s v="Saturday"/>
    <s v="STORE_005"/>
    <x v="4"/>
    <x v="4"/>
    <x v="8"/>
    <n v="479.11"/>
    <n v="5"/>
    <n v="2395.5500000000002"/>
    <n v="0"/>
    <n v="0"/>
    <n v="2395.5500000000002"/>
    <s v="Credit Card"/>
    <s v="CUST_00315"/>
    <n v="2"/>
    <n v="0"/>
    <n v="479.11"/>
    <s v="No Discount"/>
  </r>
  <r>
    <s v="TXN_04949"/>
    <d v="2024-11-28T00:00:00"/>
    <x v="0"/>
    <s v="Thursday"/>
    <s v="STORE_009"/>
    <x v="0"/>
    <x v="7"/>
    <x v="37"/>
    <n v="1365.29"/>
    <n v="3"/>
    <n v="4095.87"/>
    <n v="15"/>
    <n v="614.38"/>
    <n v="3481.49"/>
    <s v="UPI"/>
    <s v="CUST_00262"/>
    <n v="3"/>
    <n v="614.38000000000011"/>
    <n v="1160.4966666666667"/>
    <s v="Medium"/>
  </r>
  <r>
    <s v="TXN_04950"/>
    <d v="2024-03-26T00:00:00"/>
    <x v="5"/>
    <s v="Tuesday"/>
    <s v="STORE_009"/>
    <x v="2"/>
    <x v="0"/>
    <x v="32"/>
    <n v="760.91"/>
    <n v="6"/>
    <n v="4565.46"/>
    <n v="0"/>
    <n v="0"/>
    <n v="4565.46"/>
    <s v="UPI"/>
    <s v="CUST_00226"/>
    <n v="1"/>
    <n v="0"/>
    <n v="760.91"/>
    <s v="No Discount"/>
  </r>
  <r>
    <s v="TXN_04951"/>
    <d v="2024-02-27T00:00:00"/>
    <x v="1"/>
    <s v="Tuesday"/>
    <s v="STORE_044"/>
    <x v="2"/>
    <x v="2"/>
    <x v="13"/>
    <n v="418.47"/>
    <n v="3"/>
    <n v="1255.4100000000001"/>
    <n v="5"/>
    <n v="62.77"/>
    <n v="1192.6400000000001"/>
    <s v="Cash"/>
    <s v="CUST_00078"/>
    <n v="3"/>
    <n v="62.769999999999982"/>
    <n v="397.54666666666668"/>
    <s v="Low"/>
  </r>
  <r>
    <s v="TXN_04952"/>
    <d v="2024-03-08T00:00:00"/>
    <x v="5"/>
    <s v="Friday"/>
    <s v="STORE_014"/>
    <x v="1"/>
    <x v="5"/>
    <x v="10"/>
    <n v="4592.7299999999996"/>
    <n v="2"/>
    <n v="9185.4599999999991"/>
    <n v="0"/>
    <n v="0"/>
    <n v="9185.4599999999991"/>
    <s v="Debit Card"/>
    <s v="CUST_00898"/>
    <n v="3"/>
    <n v="0"/>
    <n v="4592.7299999999996"/>
    <s v="No Discount"/>
  </r>
  <r>
    <s v="TXN_04953"/>
    <d v="2024-12-22T00:00:00"/>
    <x v="6"/>
    <s v="Sunday"/>
    <s v="STORE_048"/>
    <x v="2"/>
    <x v="2"/>
    <x v="29"/>
    <n v="340"/>
    <n v="7"/>
    <n v="2380"/>
    <n v="0"/>
    <n v="0"/>
    <n v="2380"/>
    <s v="Wallet"/>
    <s v="CUST_00509"/>
    <n v="4"/>
    <n v="0"/>
    <n v="340"/>
    <s v="No Discount"/>
  </r>
  <r>
    <s v="TXN_04954"/>
    <d v="2024-01-31T00:00:00"/>
    <x v="2"/>
    <s v="Wednesday"/>
    <s v="STORE_005"/>
    <x v="0"/>
    <x v="7"/>
    <x v="38"/>
    <n v="1238.6099999999999"/>
    <n v="9"/>
    <n v="11147.49"/>
    <n v="0"/>
    <n v="0"/>
    <n v="11147.49"/>
    <s v="UPI"/>
    <s v="CUST_00757"/>
    <n v="3"/>
    <n v="0"/>
    <n v="1238.6099999999999"/>
    <s v="No Discount"/>
  </r>
  <r>
    <s v="TXN_04955"/>
    <d v="2024-03-22T00:00:00"/>
    <x v="5"/>
    <s v="Friday"/>
    <s v="STORE_048"/>
    <x v="1"/>
    <x v="2"/>
    <x v="2"/>
    <n v="424.24"/>
    <n v="5"/>
    <n v="2121.1999999999998"/>
    <n v="10"/>
    <n v="212.12"/>
    <n v="1909.08"/>
    <s v="Credit Card"/>
    <s v="CUST_00019"/>
    <n v="5"/>
    <n v="212.11999999999989"/>
    <n v="381.81599999999997"/>
    <s v="Medium"/>
  </r>
  <r>
    <s v="TXN_04956"/>
    <d v="2024-02-23T00:00:00"/>
    <x v="1"/>
    <s v="Friday"/>
    <s v="STORE_049"/>
    <x v="1"/>
    <x v="4"/>
    <x v="17"/>
    <n v="548.11"/>
    <n v="3"/>
    <n v="1644.33"/>
    <n v="15"/>
    <n v="246.65"/>
    <n v="1397.68"/>
    <s v="Cash"/>
    <s v="CUST_00688"/>
    <n v="1"/>
    <n v="246.64999999999986"/>
    <n v="465.89333333333337"/>
    <s v="Medium"/>
  </r>
  <r>
    <s v="TXN_04957"/>
    <d v="2024-08-01T00:00:00"/>
    <x v="8"/>
    <s v="Thursday"/>
    <s v="STORE_026"/>
    <x v="4"/>
    <x v="4"/>
    <x v="35"/>
    <n v="337.95"/>
    <n v="6"/>
    <n v="2027.7"/>
    <n v="0"/>
    <n v="0"/>
    <n v="2027.7"/>
    <s v="Debit Card"/>
    <s v="CUST_00024"/>
    <n v="1"/>
    <n v="0"/>
    <n v="337.95"/>
    <s v="No Discount"/>
  </r>
  <r>
    <s v="TXN_04958"/>
    <d v="2024-10-29T00:00:00"/>
    <x v="7"/>
    <s v="Tuesday"/>
    <s v="STORE_014"/>
    <x v="3"/>
    <x v="0"/>
    <x v="18"/>
    <n v="276.57"/>
    <n v="6"/>
    <n v="1659.42"/>
    <n v="20"/>
    <n v="331.88"/>
    <n v="1327.54"/>
    <s v="Wallet"/>
    <s v="CUST_00160"/>
    <n v="4"/>
    <n v="331.88000000000011"/>
    <n v="221.25666666666666"/>
    <s v="High"/>
  </r>
  <r>
    <s v="TXN_04959"/>
    <d v="2024-09-04T00:00:00"/>
    <x v="9"/>
    <s v="Wednesday"/>
    <s v="STORE_018"/>
    <x v="3"/>
    <x v="4"/>
    <x v="20"/>
    <n v="505.8"/>
    <n v="4"/>
    <n v="2023.2"/>
    <n v="0"/>
    <n v="0"/>
    <n v="2023.2"/>
    <s v="Cash"/>
    <s v="CUST_00317"/>
    <n v="5"/>
    <n v="0"/>
    <n v="505.8"/>
    <s v="No Discount"/>
  </r>
  <r>
    <s v="TXN_04960"/>
    <d v="2024-10-18T00:00:00"/>
    <x v="7"/>
    <s v="Friday"/>
    <s v="STORE_002"/>
    <x v="1"/>
    <x v="3"/>
    <x v="16"/>
    <n v="2391.1999999999998"/>
    <n v="5"/>
    <n v="11956"/>
    <n v="20"/>
    <n v="2391.1999999999998"/>
    <n v="9564.7999999999993"/>
    <s v="Debit Card"/>
    <s v="CUST_00261"/>
    <n v="5"/>
    <n v="2391.2000000000007"/>
    <n v="1912.9599999999998"/>
    <s v="High"/>
  </r>
  <r>
    <s v="TXN_04961"/>
    <d v="2024-12-13T00:00:00"/>
    <x v="6"/>
    <s v="Friday"/>
    <s v="STORE_037"/>
    <x v="1"/>
    <x v="6"/>
    <x v="30"/>
    <n v="1376.69"/>
    <n v="3"/>
    <n v="4130.07"/>
    <n v="20"/>
    <n v="826.01"/>
    <n v="3304.06"/>
    <s v="Debit Card"/>
    <s v="CUST_00957"/>
    <n v="1"/>
    <n v="826.00999999999976"/>
    <n v="1101.3533333333332"/>
    <s v="High"/>
  </r>
  <r>
    <s v="TXN_04962"/>
    <d v="2024-08-12T00:00:00"/>
    <x v="8"/>
    <s v="Monday"/>
    <s v="STORE_038"/>
    <x v="2"/>
    <x v="6"/>
    <x v="33"/>
    <n v="1340.3"/>
    <n v="4"/>
    <n v="5361.2"/>
    <n v="0"/>
    <n v="0"/>
    <n v="5361.2"/>
    <s v="Cash"/>
    <s v="CUST_00870"/>
    <n v="2"/>
    <n v="0"/>
    <n v="1340.3"/>
    <s v="No Discount"/>
  </r>
  <r>
    <s v="TXN_04963"/>
    <d v="2024-04-02T00:00:00"/>
    <x v="4"/>
    <s v="Tuesday"/>
    <s v="STORE_025"/>
    <x v="0"/>
    <x v="6"/>
    <x v="14"/>
    <n v="1638.51"/>
    <n v="4"/>
    <n v="6554.04"/>
    <n v="0"/>
    <n v="0"/>
    <n v="6554.04"/>
    <s v="Wallet"/>
    <s v="CUST_00026"/>
    <n v="2"/>
    <n v="0"/>
    <n v="1638.51"/>
    <s v="No Discount"/>
  </r>
  <r>
    <s v="TXN_04964"/>
    <d v="2024-11-08T00:00:00"/>
    <x v="0"/>
    <s v="Friday"/>
    <s v="STORE_010"/>
    <x v="4"/>
    <x v="4"/>
    <x v="35"/>
    <n v="496.04"/>
    <n v="6"/>
    <n v="2976.24"/>
    <n v="15"/>
    <n v="446.44"/>
    <n v="2529.8000000000002"/>
    <s v="Cash"/>
    <s v="CUST_00309"/>
    <n v="4"/>
    <n v="446.4399999999996"/>
    <n v="421.63333333333338"/>
    <s v="Medium"/>
  </r>
  <r>
    <s v="TXN_04965"/>
    <d v="2024-07-13T00:00:00"/>
    <x v="11"/>
    <s v="Saturday"/>
    <s v="STORE_045"/>
    <x v="0"/>
    <x v="1"/>
    <x v="6"/>
    <n v="223.05"/>
    <n v="6"/>
    <n v="1338.3"/>
    <n v="15"/>
    <n v="200.74"/>
    <n v="1137.56"/>
    <s v="UPI"/>
    <s v="CUST_00855"/>
    <n v="5"/>
    <n v="200.74"/>
    <n v="189.59333333333333"/>
    <s v="Medium"/>
  </r>
  <r>
    <s v="TXN_04966"/>
    <d v="2024-07-02T00:00:00"/>
    <x v="11"/>
    <s v="Tuesday"/>
    <s v="STORE_005"/>
    <x v="2"/>
    <x v="3"/>
    <x v="16"/>
    <n v="880.25"/>
    <n v="10"/>
    <n v="8802.5"/>
    <n v="20"/>
    <n v="1760.5"/>
    <n v="7042"/>
    <s v="Cash"/>
    <s v="CUST_00593"/>
    <n v="2"/>
    <n v="1760.5"/>
    <n v="704.2"/>
    <s v="High"/>
  </r>
  <r>
    <s v="TXN_04967"/>
    <d v="2024-11-09T00:00:00"/>
    <x v="0"/>
    <s v="Saturday"/>
    <s v="STORE_036"/>
    <x v="3"/>
    <x v="4"/>
    <x v="8"/>
    <n v="586.99"/>
    <n v="9"/>
    <n v="5282.91"/>
    <n v="10"/>
    <n v="528.29"/>
    <n v="4754.62"/>
    <s v="Cash"/>
    <s v="CUST_00544"/>
    <n v="4"/>
    <n v="528.29"/>
    <n v="528.29111111111115"/>
    <s v="Medium"/>
  </r>
  <r>
    <s v="TXN_04968"/>
    <d v="2024-01-15T00:00:00"/>
    <x v="2"/>
    <s v="Monday"/>
    <s v="STORE_031"/>
    <x v="0"/>
    <x v="5"/>
    <x v="10"/>
    <n v="4760.96"/>
    <n v="1"/>
    <n v="4760.96"/>
    <n v="15"/>
    <n v="714.14"/>
    <n v="4046.82"/>
    <s v="Wallet"/>
    <s v="CUST_00744"/>
    <n v="3"/>
    <n v="714.13999999999987"/>
    <n v="4046.82"/>
    <s v="Medium"/>
  </r>
  <r>
    <s v="TXN_04969"/>
    <d v="2024-12-16T00:00:00"/>
    <x v="6"/>
    <s v="Monday"/>
    <s v="STORE_039"/>
    <x v="4"/>
    <x v="3"/>
    <x v="16"/>
    <n v="1447.95"/>
    <n v="4"/>
    <n v="5791.8"/>
    <n v="0"/>
    <n v="0"/>
    <n v="5791.8"/>
    <s v="Credit Card"/>
    <s v="CUST_00443"/>
    <n v="5"/>
    <n v="0"/>
    <n v="1447.95"/>
    <s v="No Discount"/>
  </r>
  <r>
    <s v="TXN_04970"/>
    <d v="2024-03-07T00:00:00"/>
    <x v="5"/>
    <s v="Thursday"/>
    <s v="STORE_029"/>
    <x v="1"/>
    <x v="4"/>
    <x v="17"/>
    <n v="535.74"/>
    <n v="9"/>
    <n v="4821.66"/>
    <n v="0"/>
    <n v="0"/>
    <n v="4821.66"/>
    <s v="UPI"/>
    <s v="CUST_00350"/>
    <n v="1"/>
    <n v="0"/>
    <n v="535.74"/>
    <s v="No Discount"/>
  </r>
  <r>
    <s v="TXN_04971"/>
    <d v="2024-09-04T00:00:00"/>
    <x v="9"/>
    <s v="Wednesday"/>
    <s v="STORE_014"/>
    <x v="0"/>
    <x v="0"/>
    <x v="0"/>
    <n v="735.45"/>
    <n v="7"/>
    <n v="5148.1499999999996"/>
    <n v="15"/>
    <n v="772.22"/>
    <n v="4375.93"/>
    <s v="UPI"/>
    <s v="CUST_00459"/>
    <n v="1"/>
    <n v="772.21999999999935"/>
    <n v="625.13285714285723"/>
    <s v="Medium"/>
  </r>
  <r>
    <s v="TXN_04972"/>
    <d v="2024-09-06T00:00:00"/>
    <x v="9"/>
    <s v="Friday"/>
    <s v="STORE_029"/>
    <x v="1"/>
    <x v="7"/>
    <x v="23"/>
    <n v="1268.68"/>
    <n v="9"/>
    <n v="11418.12"/>
    <n v="5"/>
    <n v="570.91"/>
    <n v="10847.21"/>
    <s v="Cash"/>
    <s v="CUST_00055"/>
    <n v="5"/>
    <n v="570.91000000000167"/>
    <n v="1205.2455555555555"/>
    <s v="Low"/>
  </r>
  <r>
    <s v="TXN_04973"/>
    <d v="2024-02-27T00:00:00"/>
    <x v="1"/>
    <s v="Tuesday"/>
    <s v="STORE_017"/>
    <x v="3"/>
    <x v="6"/>
    <x v="14"/>
    <n v="551.83000000000004"/>
    <n v="6"/>
    <n v="3310.98"/>
    <n v="15"/>
    <n v="496.65"/>
    <n v="2814.33"/>
    <s v="Debit Card"/>
    <s v="CUST_00813"/>
    <n v="1"/>
    <n v="496.65000000000009"/>
    <n v="469.05500000000001"/>
    <s v="Medium"/>
  </r>
  <r>
    <s v="TXN_04974"/>
    <d v="2024-07-29T00:00:00"/>
    <x v="11"/>
    <s v="Monday"/>
    <s v="STORE_017"/>
    <x v="4"/>
    <x v="6"/>
    <x v="33"/>
    <n v="1971.31"/>
    <n v="4"/>
    <n v="7885.24"/>
    <n v="10"/>
    <n v="788.52"/>
    <n v="7096.72"/>
    <s v="Credit Card"/>
    <s v="CUST_00258"/>
    <n v="4"/>
    <n v="788.51999999999953"/>
    <n v="1774.18"/>
    <s v="Medium"/>
  </r>
  <r>
    <s v="TXN_04975"/>
    <d v="2024-08-13T00:00:00"/>
    <x v="8"/>
    <s v="Tuesday"/>
    <s v="STORE_041"/>
    <x v="1"/>
    <x v="1"/>
    <x v="1"/>
    <n v="135.56"/>
    <n v="3"/>
    <n v="406.68"/>
    <n v="0"/>
    <n v="0"/>
    <n v="406.68"/>
    <s v="Debit Card"/>
    <s v="CUST_00845"/>
    <n v="3"/>
    <n v="0"/>
    <n v="135.56"/>
    <s v="No Discount"/>
  </r>
  <r>
    <s v="TXN_04976"/>
    <d v="2024-01-24T00:00:00"/>
    <x v="2"/>
    <s v="Wednesday"/>
    <s v="STORE_031"/>
    <x v="2"/>
    <x v="2"/>
    <x v="2"/>
    <n v="577.45000000000005"/>
    <n v="4"/>
    <n v="2309.8000000000002"/>
    <n v="15"/>
    <n v="346.47"/>
    <n v="1963.33"/>
    <s v="Credit Card"/>
    <s v="CUST_00931"/>
    <n v="5"/>
    <n v="346.47000000000025"/>
    <n v="490.83249999999998"/>
    <s v="Medium"/>
  </r>
  <r>
    <s v="TXN_04977"/>
    <d v="2024-02-02T00:00:00"/>
    <x v="1"/>
    <s v="Friday"/>
    <s v="STORE_032"/>
    <x v="0"/>
    <x v="6"/>
    <x v="30"/>
    <n v="601.35"/>
    <n v="1"/>
    <n v="601.35"/>
    <n v="20"/>
    <n v="120.27"/>
    <n v="481.08"/>
    <s v="Debit Card"/>
    <s v="CUST_00626"/>
    <n v="4"/>
    <n v="120.27000000000004"/>
    <n v="481.08"/>
    <s v="High"/>
  </r>
  <r>
    <s v="TXN_04978"/>
    <d v="2024-05-13T00:00:00"/>
    <x v="3"/>
    <s v="Monday"/>
    <s v="STORE_041"/>
    <x v="3"/>
    <x v="7"/>
    <x v="37"/>
    <n v="1042.06"/>
    <n v="5"/>
    <n v="5210.3"/>
    <n v="0"/>
    <n v="0"/>
    <n v="5210.3"/>
    <s v="UPI"/>
    <s v="CUST_00426"/>
    <n v="1"/>
    <n v="0"/>
    <n v="1042.06"/>
    <s v="No Discount"/>
  </r>
  <r>
    <s v="TXN_04979"/>
    <d v="2024-12-01T00:00:00"/>
    <x v="6"/>
    <s v="Sunday"/>
    <s v="STORE_023"/>
    <x v="0"/>
    <x v="0"/>
    <x v="32"/>
    <n v="586.73"/>
    <n v="1"/>
    <n v="586.73"/>
    <n v="5"/>
    <n v="29.34"/>
    <n v="557.39"/>
    <s v="Wallet"/>
    <s v="CUST_00454"/>
    <n v="2"/>
    <n v="29.340000000000032"/>
    <n v="557.39"/>
    <s v="Low"/>
  </r>
  <r>
    <s v="TXN_04980"/>
    <d v="2024-06-09T00:00:00"/>
    <x v="10"/>
    <s v="Sunday"/>
    <s v="STORE_044"/>
    <x v="0"/>
    <x v="4"/>
    <x v="19"/>
    <n v="315"/>
    <n v="1"/>
    <n v="315"/>
    <n v="10"/>
    <n v="31.5"/>
    <n v="283.5"/>
    <s v="Debit Card"/>
    <s v="CUST_00012"/>
    <n v="1"/>
    <n v="31.5"/>
    <n v="283.5"/>
    <s v="Medium"/>
  </r>
  <r>
    <s v="TXN_04981"/>
    <d v="2024-01-07T00:00:00"/>
    <x v="2"/>
    <s v="Sunday"/>
    <s v="STORE_012"/>
    <x v="2"/>
    <x v="6"/>
    <x v="30"/>
    <n v="1604.77"/>
    <n v="2"/>
    <n v="3209.54"/>
    <n v="15"/>
    <n v="481.43"/>
    <n v="2728.11"/>
    <s v="Wallet"/>
    <s v="CUST_00339"/>
    <n v="2"/>
    <n v="481.42999999999984"/>
    <n v="1364.0550000000001"/>
    <s v="Medium"/>
  </r>
  <r>
    <s v="TXN_04982"/>
    <d v="2024-12-26T00:00:00"/>
    <x v="6"/>
    <s v="Thursday"/>
    <s v="STORE_005"/>
    <x v="3"/>
    <x v="5"/>
    <x v="10"/>
    <n v="4739.59"/>
    <n v="1"/>
    <n v="4739.59"/>
    <n v="20"/>
    <n v="947.92"/>
    <n v="3791.67"/>
    <s v="UPI"/>
    <s v="CUST_00898"/>
    <n v="3"/>
    <n v="947.92000000000007"/>
    <n v="3791.67"/>
    <s v="High"/>
  </r>
  <r>
    <s v="TXN_04983"/>
    <d v="2024-12-13T00:00:00"/>
    <x v="6"/>
    <s v="Friday"/>
    <s v="STORE_019"/>
    <x v="0"/>
    <x v="0"/>
    <x v="32"/>
    <n v="368.64"/>
    <n v="1"/>
    <n v="368.64"/>
    <n v="10"/>
    <n v="36.86"/>
    <n v="331.78"/>
    <s v="UPI"/>
    <s v="CUST_00570"/>
    <n v="1"/>
    <n v="36.860000000000014"/>
    <n v="331.78"/>
    <s v="Medium"/>
  </r>
  <r>
    <s v="TXN_04984"/>
    <d v="2024-09-25T00:00:00"/>
    <x v="9"/>
    <s v="Wednesday"/>
    <s v="STORE_025"/>
    <x v="1"/>
    <x v="3"/>
    <x v="21"/>
    <n v="1313.9"/>
    <n v="3"/>
    <n v="3941.7"/>
    <n v="0"/>
    <n v="0"/>
    <n v="3941.7"/>
    <s v="Debit Card"/>
    <s v="CUST_00288"/>
    <n v="3"/>
    <n v="0"/>
    <n v="1313.8999999999999"/>
    <s v="No Discount"/>
  </r>
  <r>
    <s v="TXN_04985"/>
    <d v="2024-10-22T00:00:00"/>
    <x v="7"/>
    <s v="Tuesday"/>
    <s v="STORE_028"/>
    <x v="3"/>
    <x v="1"/>
    <x v="36"/>
    <n v="67.16"/>
    <n v="1"/>
    <n v="67.16"/>
    <n v="20"/>
    <n v="13.43"/>
    <n v="53.73"/>
    <s v="UPI"/>
    <s v="CUST_00983"/>
    <n v="1"/>
    <n v="13.43"/>
    <n v="53.73"/>
    <s v="High"/>
  </r>
  <r>
    <s v="TXN_04986"/>
    <d v="2024-10-16T00:00:00"/>
    <x v="7"/>
    <s v="Wednesday"/>
    <s v="STORE_005"/>
    <x v="1"/>
    <x v="3"/>
    <x v="5"/>
    <n v="2742.08"/>
    <n v="9"/>
    <n v="24678.720000000001"/>
    <n v="10"/>
    <n v="2467.87"/>
    <n v="22210.85"/>
    <s v="Wallet"/>
    <s v="CUST_00126"/>
    <n v="2"/>
    <n v="2467.8700000000026"/>
    <n v="2467.8722222222223"/>
    <s v="Medium"/>
  </r>
  <r>
    <s v="TXN_04987"/>
    <d v="2024-04-24T00:00:00"/>
    <x v="4"/>
    <s v="Wednesday"/>
    <s v="STORE_033"/>
    <x v="1"/>
    <x v="7"/>
    <x v="28"/>
    <n v="371.96"/>
    <n v="3"/>
    <n v="1115.8800000000001"/>
    <n v="20"/>
    <n v="223.18"/>
    <n v="892.7"/>
    <s v="Wallet"/>
    <s v="CUST_00483"/>
    <n v="1"/>
    <n v="223.18000000000006"/>
    <n v="297.56666666666666"/>
    <s v="High"/>
  </r>
  <r>
    <s v="TXN_04988"/>
    <d v="2024-12-08T00:00:00"/>
    <x v="6"/>
    <s v="Sunday"/>
    <s v="STORE_018"/>
    <x v="3"/>
    <x v="6"/>
    <x v="30"/>
    <n v="1482.95"/>
    <n v="8"/>
    <n v="11863.6"/>
    <n v="0"/>
    <n v="0"/>
    <n v="11863.6"/>
    <s v="Cash"/>
    <s v="CUST_00654"/>
    <n v="4"/>
    <n v="0"/>
    <n v="1482.95"/>
    <s v="No Discount"/>
  </r>
  <r>
    <s v="TXN_04989"/>
    <d v="2024-06-22T00:00:00"/>
    <x v="10"/>
    <s v="Saturday"/>
    <s v="STORE_038"/>
    <x v="2"/>
    <x v="0"/>
    <x v="32"/>
    <n v="631.48"/>
    <n v="6"/>
    <n v="3788.88"/>
    <n v="5"/>
    <n v="189.44"/>
    <n v="3599.44"/>
    <s v="Cash"/>
    <s v="CUST_00908"/>
    <n v="4"/>
    <n v="189.44000000000005"/>
    <n v="599.90666666666664"/>
    <s v="Low"/>
  </r>
  <r>
    <s v="TXN_04990"/>
    <d v="2024-09-22T00:00:00"/>
    <x v="9"/>
    <s v="Sunday"/>
    <s v="STORE_049"/>
    <x v="1"/>
    <x v="3"/>
    <x v="12"/>
    <n v="1315.7"/>
    <n v="8"/>
    <n v="10525.6"/>
    <n v="20"/>
    <n v="2105.12"/>
    <n v="8420.48"/>
    <s v="Cash"/>
    <s v="CUST_00787"/>
    <n v="5"/>
    <n v="2105.1200000000008"/>
    <n v="1052.56"/>
    <s v="High"/>
  </r>
  <r>
    <s v="TXN_04991"/>
    <d v="2024-09-24T00:00:00"/>
    <x v="9"/>
    <s v="Tuesday"/>
    <s v="STORE_046"/>
    <x v="4"/>
    <x v="1"/>
    <x v="3"/>
    <n v="489.72"/>
    <n v="1"/>
    <n v="489.72"/>
    <n v="20"/>
    <n v="97.94"/>
    <n v="391.78"/>
    <s v="Wallet"/>
    <s v="CUST_00598"/>
    <n v="5"/>
    <n v="97.940000000000055"/>
    <n v="391.78"/>
    <s v="High"/>
  </r>
  <r>
    <s v="TXN_04992"/>
    <d v="2024-12-18T00:00:00"/>
    <x v="6"/>
    <s v="Wednesday"/>
    <s v="STORE_011"/>
    <x v="0"/>
    <x v="3"/>
    <x v="5"/>
    <n v="1681.91"/>
    <n v="9"/>
    <n v="15137.19"/>
    <n v="15"/>
    <n v="2270.58"/>
    <n v="12866.61"/>
    <s v="UPI"/>
    <s v="CUST_00790"/>
    <n v="3"/>
    <n v="2270.58"/>
    <n v="1429.6233333333334"/>
    <s v="Medium"/>
  </r>
  <r>
    <s v="TXN_04993"/>
    <d v="2024-12-24T00:00:00"/>
    <x v="6"/>
    <s v="Tuesday"/>
    <s v="STORE_017"/>
    <x v="0"/>
    <x v="6"/>
    <x v="26"/>
    <n v="506.69"/>
    <n v="6"/>
    <n v="3040.14"/>
    <n v="20"/>
    <n v="608.03"/>
    <n v="2432.11"/>
    <s v="Debit Card"/>
    <s v="CUST_00026"/>
    <n v="2"/>
    <n v="608.02999999999975"/>
    <n v="405.35166666666669"/>
    <s v="High"/>
  </r>
  <r>
    <s v="TXN_04994"/>
    <d v="2024-11-12T00:00:00"/>
    <x v="0"/>
    <s v="Tuesday"/>
    <s v="STORE_001"/>
    <x v="2"/>
    <x v="2"/>
    <x v="7"/>
    <n v="672.48"/>
    <n v="3"/>
    <n v="2017.44"/>
    <n v="0"/>
    <n v="0"/>
    <n v="2017.44"/>
    <s v="UPI"/>
    <s v="CUST_00158"/>
    <n v="1"/>
    <n v="0"/>
    <n v="672.48"/>
    <s v="No Discount"/>
  </r>
  <r>
    <s v="TXN_04995"/>
    <d v="2024-02-18T00:00:00"/>
    <x v="1"/>
    <s v="Sunday"/>
    <s v="STORE_046"/>
    <x v="4"/>
    <x v="0"/>
    <x v="4"/>
    <n v="479.61"/>
    <n v="5"/>
    <n v="2398.0500000000002"/>
    <n v="5"/>
    <n v="119.9"/>
    <n v="2278.15"/>
    <s v="Cash"/>
    <s v="CUST_00445"/>
    <n v="2"/>
    <n v="119.90000000000009"/>
    <n v="455.63"/>
    <s v="Low"/>
  </r>
  <r>
    <s v="TXN_04996"/>
    <d v="2024-08-09T00:00:00"/>
    <x v="8"/>
    <s v="Friday"/>
    <s v="STORE_006"/>
    <x v="2"/>
    <x v="2"/>
    <x v="2"/>
    <n v="763.93"/>
    <n v="4"/>
    <n v="3055.72"/>
    <n v="10"/>
    <n v="305.57"/>
    <n v="2750.15"/>
    <s v="Debit Card"/>
    <s v="CUST_00483"/>
    <n v="3"/>
    <n v="305.56999999999971"/>
    <n v="687.53750000000002"/>
    <s v="Medium"/>
  </r>
  <r>
    <s v="TXN_04997"/>
    <d v="2024-12-04T00:00:00"/>
    <x v="6"/>
    <s v="Wednesday"/>
    <s v="STORE_031"/>
    <x v="0"/>
    <x v="5"/>
    <x v="11"/>
    <n v="1210.79"/>
    <n v="6"/>
    <n v="7264.74"/>
    <n v="10"/>
    <n v="726.47"/>
    <n v="6538.27"/>
    <s v="Debit Card"/>
    <s v="CUST_00398"/>
    <n v="1"/>
    <n v="726.46999999999935"/>
    <n v="1089.7116666666668"/>
    <s v="Medium"/>
  </r>
  <r>
    <s v="TXN_04998"/>
    <d v="2024-05-07T00:00:00"/>
    <x v="3"/>
    <s v="Tuesday"/>
    <s v="STORE_036"/>
    <x v="2"/>
    <x v="3"/>
    <x v="12"/>
    <n v="2623.61"/>
    <n v="9"/>
    <n v="23612.49"/>
    <n v="20"/>
    <n v="4722.5"/>
    <n v="18889.990000000002"/>
    <s v="Credit Card"/>
    <s v="CUST_00549"/>
    <n v="3"/>
    <n v="4722.5"/>
    <n v="2098.887777777778"/>
    <s v="High"/>
  </r>
  <r>
    <s v="TXN_04999"/>
    <d v="2024-09-03T00:00:00"/>
    <x v="9"/>
    <s v="Tuesday"/>
    <s v="STORE_020"/>
    <x v="0"/>
    <x v="0"/>
    <x v="18"/>
    <n v="285.85000000000002"/>
    <n v="6"/>
    <n v="1715.1"/>
    <n v="10"/>
    <n v="171.51"/>
    <n v="1543.59"/>
    <s v="Credit Card"/>
    <s v="CUST_00062"/>
    <n v="3"/>
    <n v="171.51"/>
    <n v="257.26499999999999"/>
    <s v="Medium"/>
  </r>
  <r>
    <s v="TXN_05000"/>
    <d v="2024-06-26T00:00:00"/>
    <x v="10"/>
    <s v="Wednesday"/>
    <s v="STORE_007"/>
    <x v="0"/>
    <x v="0"/>
    <x v="32"/>
    <n v="745.13"/>
    <n v="8"/>
    <n v="5961.04"/>
    <n v="5"/>
    <n v="298.05"/>
    <n v="5662.99"/>
    <s v="Debit Card"/>
    <s v="CUST_00456"/>
    <n v="1"/>
    <n v="298.05000000000018"/>
    <n v="707.87374999999997"/>
    <s v="Low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 chartFormat="7">
  <location ref="A1:B8" firstHeaderRow="2" firstDataRow="2" firstDataCol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4"/>
        <item x="1"/>
        <item x="2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/>
    </i>
    <i>
      <x v="3"/>
    </i>
    <i>
      <x v="2"/>
    </i>
    <i>
      <x v="1"/>
    </i>
    <i>
      <x v="4"/>
    </i>
    <i t="grand">
      <x/>
    </i>
  </rowItems>
  <colItems count="1">
    <i/>
  </colItems>
  <dataFields count="1">
    <dataField name="Sum of Final_Price" fld="13" baseField="0" baseItem="0" numFmtId="165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 chartFormat="11">
  <location ref="A3:C13" firstHeaderRow="1" firstDataRow="2" firstDataCol="1" rowPageCount="1" colPageCount="1"/>
  <pivotFields count="20"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9">
        <item x="2"/>
        <item x="4"/>
        <item x="7"/>
        <item x="6"/>
        <item x="1"/>
        <item x="5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compact="0" outline="0" showAll="0">
      <items count="41">
        <item x="18"/>
        <item x="25"/>
        <item x="5"/>
        <item x="0"/>
        <item x="27"/>
        <item x="9"/>
        <item x="1"/>
        <item x="36"/>
        <item x="19"/>
        <item x="16"/>
        <item x="4"/>
        <item x="24"/>
        <item x="12"/>
        <item x="2"/>
        <item x="7"/>
        <item x="8"/>
        <item x="15"/>
        <item x="35"/>
        <item x="37"/>
        <item x="38"/>
        <item x="3"/>
        <item x="11"/>
        <item x="30"/>
        <item x="29"/>
        <item x="14"/>
        <item x="13"/>
        <item x="32"/>
        <item x="22"/>
        <item x="20"/>
        <item x="39"/>
        <item x="23"/>
        <item x="26"/>
        <item x="6"/>
        <item x="34"/>
        <item x="10"/>
        <item x="33"/>
        <item x="31"/>
        <item x="17"/>
        <item x="28"/>
        <item x="2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6"/>
  </rowFields>
  <rowItems count="9">
    <i>
      <x v="5"/>
    </i>
    <i>
      <x v="6"/>
    </i>
    <i>
      <x v="3"/>
    </i>
    <i>
      <x v="2"/>
    </i>
    <i>
      <x v="7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Quantity" fld="9" baseField="0" baseItem="0"/>
    <dataField name="Sum of Final_Price" fld="13" baseField="0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gridDropZones="1" multipleFieldFilters="0" chartFormat="7">
  <location ref="A1:B15" firstHeaderRow="2" firstDataRow="2" firstDataCol="1"/>
  <pivotFields count="20">
    <pivotField compact="0" outline="0" showAll="0"/>
    <pivotField compact="0" numFmtId="164" outline="0" showAll="0"/>
    <pivotField axis="axisRow" compact="0" outline="0" showAll="0">
      <items count="13">
        <item x="2"/>
        <item x="1"/>
        <item x="5"/>
        <item x="4"/>
        <item x="3"/>
        <item x="10"/>
        <item x="11"/>
        <item x="8"/>
        <item x="9"/>
        <item x="7"/>
        <item x="0"/>
        <item x="6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Final_Price" fld="13" baseField="0" baseItem="0"/>
  </dataFields>
  <chartFormats count="5">
    <chartFormat chart="0" format="0" series="1">
      <pivotArea type="data" outline="0" fieldPosition="0"/>
    </chartFormat>
    <chartFormat chart="1" format="1" series="1">
      <pivotArea type="data" outline="0" fieldPosition="0"/>
    </chartFormat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Retail_Sales_Analyis" displayName="Retail_Sales_Analyis" ref="A1:S5001" totalsRowShown="0" headerRowDxfId="39" dataDxfId="38">
  <autoFilter ref="A1:S5001"/>
  <tableColumns count="19">
    <tableColumn id="1" name="Transaction_ID" dataDxfId="37" totalsRowDxfId="36"/>
    <tableColumn id="2" name="Date" dataDxfId="35" totalsRowDxfId="34"/>
    <tableColumn id="3" name="Month" dataDxfId="33" totalsRowDxfId="32"/>
    <tableColumn id="4" name="Day_of_Week" dataDxfId="31" totalsRowDxfId="30"/>
    <tableColumn id="5" name="Store_ID" dataDxfId="29" totalsRowDxfId="28"/>
    <tableColumn id="6" name="Region" dataDxfId="27" totalsRowDxfId="26"/>
    <tableColumn id="7" name="Category" dataDxfId="25" totalsRowDxfId="24"/>
    <tableColumn id="8" name="Product" dataDxfId="23" totalsRowDxfId="22"/>
    <tableColumn id="9" name="Unit_Price" dataDxfId="21" totalsRowDxfId="20"/>
    <tableColumn id="10" name="Quantity" dataDxfId="19" totalsRowDxfId="18"/>
    <tableColumn id="11" name="Total_Price" dataDxfId="17" totalsRowDxfId="16"/>
    <tableColumn id="12" name="Discount_Percent" dataDxfId="15" totalsRowDxfId="14"/>
    <tableColumn id="13" name="Discount_Amount" dataDxfId="13" totalsRowDxfId="12"/>
    <tableColumn id="14" name="Final_Price" dataDxfId="11" totalsRowDxfId="10"/>
    <tableColumn id="15" name="Payment_Method" dataDxfId="9" totalsRowDxfId="8"/>
    <tableColumn id="16" name="Customer_ID" dataDxfId="7" totalsRowDxfId="6"/>
    <tableColumn id="17" name="Customer_Rating" dataDxfId="5" totalsRowDxfId="4"/>
    <tableColumn id="18" name="Profit" dataDxfId="3" totalsRowDxfId="2">
      <calculatedColumnFormula>Retail_Sales_Analyis[[#This Row],[Final_Price]]-Retail_Sales_Analyis[[#This Row],[Total_Price]]</calculatedColumnFormula>
    </tableColumn>
    <tableColumn id="20" name="Discount Tier" dataDxfId="1" totalsRowDxfId="0">
      <calculatedColumnFormula>IF(Retail_Sales_Analyis[[#This Row],[Discount_Percent]]=0,"No Discount",IF(Retail_Sales_Analyis[[#This Row],[Discount_Percent]]&lt;10,"Low",IF(Retail_Sales_Analyis[[#This Row],[Discount_Percent]]&lt;20,"Medium","High")))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1"/>
  <sheetViews>
    <sheetView zoomScaleNormal="100" workbookViewId="0">
      <pane ySplit="1" topLeftCell="A4623" activePane="bottomLeft" state="frozen"/>
      <selection pane="bottomLeft" activeCell="C4642" sqref="C4642"/>
    </sheetView>
  </sheetViews>
  <sheetFormatPr defaultRowHeight="15" x14ac:dyDescent="0.25"/>
  <cols>
    <col min="1" max="1" width="16.140625" customWidth="1"/>
    <col min="2" max="2" width="10.42578125" style="3" bestFit="1" customWidth="1"/>
    <col min="3" max="3" width="10.85546875" bestFit="1" customWidth="1"/>
    <col min="4" max="4" width="15.5703125" customWidth="1"/>
    <col min="5" max="5" width="10.7109375" customWidth="1"/>
    <col min="6" max="6" width="13" bestFit="1" customWidth="1"/>
    <col min="7" max="7" width="17" bestFit="1" customWidth="1"/>
    <col min="8" max="8" width="14.42578125" bestFit="1" customWidth="1"/>
    <col min="9" max="9" width="12.42578125" customWidth="1"/>
    <col min="10" max="10" width="10.85546875" customWidth="1"/>
    <col min="11" max="11" width="13" customWidth="1"/>
    <col min="12" max="12" width="18.7109375" customWidth="1"/>
    <col min="13" max="13" width="19" customWidth="1"/>
    <col min="14" max="14" width="12.85546875" customWidth="1"/>
    <col min="15" max="15" width="19.140625" customWidth="1"/>
    <col min="16" max="16" width="14.5703125" customWidth="1"/>
    <col min="17" max="17" width="18.42578125" customWidth="1"/>
    <col min="18" max="18" width="13.85546875" customWidth="1"/>
    <col min="19" max="19" width="14.7109375" customWidth="1"/>
    <col min="20" max="20" width="17.85546875" customWidth="1"/>
  </cols>
  <sheetData>
    <row r="1" spans="1:19" x14ac:dyDescent="0.25">
      <c r="A1" s="1" t="s">
        <v>0</v>
      </c>
      <c r="B1" s="2" t="s">
        <v>1</v>
      </c>
      <c r="C1" s="1" t="s">
        <v>2</v>
      </c>
      <c r="D1" s="9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6138</v>
      </c>
      <c r="S1" s="1" t="s">
        <v>6139</v>
      </c>
    </row>
    <row r="2" spans="1:19" x14ac:dyDescent="0.25">
      <c r="A2" s="1" t="s">
        <v>17</v>
      </c>
      <c r="B2" s="2">
        <v>45619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>
        <v>871.23</v>
      </c>
      <c r="J2" s="1">
        <v>9</v>
      </c>
      <c r="K2" s="1">
        <v>7841.07</v>
      </c>
      <c r="L2" s="1">
        <v>10</v>
      </c>
      <c r="M2" s="1">
        <v>784.11</v>
      </c>
      <c r="N2" s="1">
        <v>7056.96</v>
      </c>
      <c r="O2" s="1" t="s">
        <v>24</v>
      </c>
      <c r="P2" s="1" t="s">
        <v>25</v>
      </c>
      <c r="Q2" s="1">
        <v>1</v>
      </c>
      <c r="R2" s="1">
        <f>Retail_Sales_Analyis[[#This Row],[Final_Price]]-Retail_Sales_Analyis[[#This Row],[Total_Price]]</f>
        <v>-784.10999999999967</v>
      </c>
      <c r="S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" spans="1:19" x14ac:dyDescent="0.25">
      <c r="A3" s="1" t="s">
        <v>26</v>
      </c>
      <c r="B3" s="2">
        <v>45349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>
        <v>441.24</v>
      </c>
      <c r="J3" s="1">
        <v>2</v>
      </c>
      <c r="K3" s="1">
        <v>882.48</v>
      </c>
      <c r="L3" s="1">
        <v>20</v>
      </c>
      <c r="M3" s="1">
        <v>176.5</v>
      </c>
      <c r="N3" s="1">
        <v>705.98</v>
      </c>
      <c r="O3" s="1" t="s">
        <v>33</v>
      </c>
      <c r="P3" s="1" t="s">
        <v>34</v>
      </c>
      <c r="Q3" s="1">
        <v>3</v>
      </c>
      <c r="R3" s="1">
        <f>Retail_Sales_Analyis[[#This Row],[Final_Price]]-Retail_Sales_Analyis[[#This Row],[Total_Price]]</f>
        <v>-176.5</v>
      </c>
      <c r="S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" spans="1:19" x14ac:dyDescent="0.25">
      <c r="A4" s="1" t="s">
        <v>35</v>
      </c>
      <c r="B4" s="2">
        <v>45304</v>
      </c>
      <c r="C4" s="1" t="s">
        <v>36</v>
      </c>
      <c r="D4" s="1" t="s">
        <v>19</v>
      </c>
      <c r="E4" s="1" t="s">
        <v>29</v>
      </c>
      <c r="F4" s="1" t="s">
        <v>37</v>
      </c>
      <c r="G4" s="1" t="s">
        <v>38</v>
      </c>
      <c r="H4" s="1" t="s">
        <v>39</v>
      </c>
      <c r="I4" s="1">
        <v>454.85</v>
      </c>
      <c r="J4" s="1">
        <v>9</v>
      </c>
      <c r="K4" s="1">
        <v>4093.65</v>
      </c>
      <c r="L4" s="1">
        <v>15</v>
      </c>
      <c r="M4" s="1">
        <v>614.04999999999995</v>
      </c>
      <c r="N4" s="1">
        <v>3479.6</v>
      </c>
      <c r="O4" s="1" t="s">
        <v>33</v>
      </c>
      <c r="P4" s="1" t="s">
        <v>40</v>
      </c>
      <c r="Q4" s="1">
        <v>4</v>
      </c>
      <c r="R4" s="1">
        <f>Retail_Sales_Analyis[[#This Row],[Final_Price]]-Retail_Sales_Analyis[[#This Row],[Total_Price]]</f>
        <v>-614.05000000000018</v>
      </c>
      <c r="S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" spans="1:19" x14ac:dyDescent="0.25">
      <c r="A5" s="1" t="s">
        <v>41</v>
      </c>
      <c r="B5" s="2">
        <v>45432</v>
      </c>
      <c r="C5" s="1" t="s">
        <v>42</v>
      </c>
      <c r="D5" s="1" t="s">
        <v>43</v>
      </c>
      <c r="E5" s="1" t="s">
        <v>44</v>
      </c>
      <c r="F5" s="1" t="s">
        <v>37</v>
      </c>
      <c r="G5" s="1" t="s">
        <v>31</v>
      </c>
      <c r="H5" s="1" t="s">
        <v>45</v>
      </c>
      <c r="I5" s="1">
        <v>251.64</v>
      </c>
      <c r="J5" s="1">
        <v>8</v>
      </c>
      <c r="K5" s="1">
        <v>2013.12</v>
      </c>
      <c r="L5" s="1">
        <v>5</v>
      </c>
      <c r="M5" s="1">
        <v>100.66</v>
      </c>
      <c r="N5" s="1">
        <v>1912.46</v>
      </c>
      <c r="O5" s="1" t="s">
        <v>46</v>
      </c>
      <c r="P5" s="1" t="s">
        <v>47</v>
      </c>
      <c r="Q5" s="1">
        <v>1</v>
      </c>
      <c r="R5" s="1">
        <f>Retail_Sales_Analyis[[#This Row],[Final_Price]]-Retail_Sales_Analyis[[#This Row],[Total_Price]]</f>
        <v>-100.65999999999985</v>
      </c>
      <c r="S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" spans="1:19" x14ac:dyDescent="0.25">
      <c r="A6" s="1" t="s">
        <v>48</v>
      </c>
      <c r="B6" s="2">
        <v>45417</v>
      </c>
      <c r="C6" s="1" t="s">
        <v>42</v>
      </c>
      <c r="D6" s="1" t="s">
        <v>49</v>
      </c>
      <c r="E6" s="1" t="s">
        <v>50</v>
      </c>
      <c r="F6" s="1" t="s">
        <v>30</v>
      </c>
      <c r="G6" s="1" t="s">
        <v>22</v>
      </c>
      <c r="H6" s="1" t="s">
        <v>51</v>
      </c>
      <c r="I6" s="1">
        <v>228.67</v>
      </c>
      <c r="J6" s="1">
        <v>9</v>
      </c>
      <c r="K6" s="1">
        <v>2058.0300000000002</v>
      </c>
      <c r="L6" s="1">
        <v>0</v>
      </c>
      <c r="M6" s="1">
        <v>0</v>
      </c>
      <c r="N6" s="1">
        <v>2058.0300000000002</v>
      </c>
      <c r="O6" s="1" t="s">
        <v>24</v>
      </c>
      <c r="P6" s="1" t="s">
        <v>52</v>
      </c>
      <c r="Q6" s="1">
        <v>5</v>
      </c>
      <c r="R6" s="1">
        <f>Retail_Sales_Analyis[[#This Row],[Final_Price]]-Retail_Sales_Analyis[[#This Row],[Total_Price]]</f>
        <v>0</v>
      </c>
      <c r="S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" spans="1:19" x14ac:dyDescent="0.25">
      <c r="A7" s="1" t="s">
        <v>53</v>
      </c>
      <c r="B7" s="2">
        <v>45406</v>
      </c>
      <c r="C7" s="1" t="s">
        <v>54</v>
      </c>
      <c r="D7" s="1" t="s">
        <v>55</v>
      </c>
      <c r="E7" s="1" t="s">
        <v>56</v>
      </c>
      <c r="F7" s="1" t="s">
        <v>30</v>
      </c>
      <c r="G7" s="1" t="s">
        <v>57</v>
      </c>
      <c r="H7" s="1" t="s">
        <v>58</v>
      </c>
      <c r="I7" s="1">
        <v>2860.99</v>
      </c>
      <c r="J7" s="1">
        <v>6</v>
      </c>
      <c r="K7" s="1">
        <v>17165.939999999999</v>
      </c>
      <c r="L7" s="1">
        <v>20</v>
      </c>
      <c r="M7" s="1">
        <v>3433.19</v>
      </c>
      <c r="N7" s="1">
        <v>13732.75</v>
      </c>
      <c r="O7" s="1" t="s">
        <v>24</v>
      </c>
      <c r="P7" s="1" t="s">
        <v>59</v>
      </c>
      <c r="Q7" s="1">
        <v>2</v>
      </c>
      <c r="R7" s="1">
        <f>Retail_Sales_Analyis[[#This Row],[Final_Price]]-Retail_Sales_Analyis[[#This Row],[Total_Price]]</f>
        <v>-3433.1899999999987</v>
      </c>
      <c r="S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" spans="1:19" x14ac:dyDescent="0.25">
      <c r="A8" s="1" t="s">
        <v>60</v>
      </c>
      <c r="B8" s="2">
        <v>45363</v>
      </c>
      <c r="C8" s="1" t="s">
        <v>61</v>
      </c>
      <c r="D8" s="1" t="s">
        <v>28</v>
      </c>
      <c r="E8" s="1" t="s">
        <v>62</v>
      </c>
      <c r="F8" s="1" t="s">
        <v>30</v>
      </c>
      <c r="G8" s="1" t="s">
        <v>31</v>
      </c>
      <c r="H8" s="1" t="s">
        <v>63</v>
      </c>
      <c r="I8" s="1">
        <v>372.16</v>
      </c>
      <c r="J8" s="1">
        <v>2</v>
      </c>
      <c r="K8" s="1">
        <v>744.32</v>
      </c>
      <c r="L8" s="1">
        <v>0</v>
      </c>
      <c r="M8" s="1">
        <v>0</v>
      </c>
      <c r="N8" s="1">
        <v>744.32</v>
      </c>
      <c r="O8" s="1" t="s">
        <v>64</v>
      </c>
      <c r="P8" s="1" t="s">
        <v>65</v>
      </c>
      <c r="Q8" s="1">
        <v>1</v>
      </c>
      <c r="R8" s="1">
        <f>Retail_Sales_Analyis[[#This Row],[Final_Price]]-Retail_Sales_Analyis[[#This Row],[Total_Price]]</f>
        <v>0</v>
      </c>
      <c r="S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" spans="1:19" x14ac:dyDescent="0.25">
      <c r="A9" s="1" t="s">
        <v>66</v>
      </c>
      <c r="B9" s="2">
        <v>45344</v>
      </c>
      <c r="C9" s="1" t="s">
        <v>27</v>
      </c>
      <c r="D9" s="1" t="s">
        <v>67</v>
      </c>
      <c r="E9" s="1" t="s">
        <v>68</v>
      </c>
      <c r="F9" s="1" t="s">
        <v>69</v>
      </c>
      <c r="G9" s="1" t="s">
        <v>38</v>
      </c>
      <c r="H9" s="1" t="s">
        <v>70</v>
      </c>
      <c r="I9" s="1">
        <v>465.39</v>
      </c>
      <c r="J9" s="1">
        <v>2</v>
      </c>
      <c r="K9" s="1">
        <v>930.78</v>
      </c>
      <c r="L9" s="1">
        <v>0</v>
      </c>
      <c r="M9" s="1">
        <v>0</v>
      </c>
      <c r="N9" s="1">
        <v>930.78</v>
      </c>
      <c r="O9" s="1" t="s">
        <v>64</v>
      </c>
      <c r="P9" s="1" t="s">
        <v>71</v>
      </c>
      <c r="Q9" s="1">
        <v>4</v>
      </c>
      <c r="R9" s="1">
        <f>Retail_Sales_Analyis[[#This Row],[Final_Price]]-Retail_Sales_Analyis[[#This Row],[Total_Price]]</f>
        <v>0</v>
      </c>
      <c r="S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" spans="1:19" x14ac:dyDescent="0.25">
      <c r="A10" s="1" t="s">
        <v>72</v>
      </c>
      <c r="B10" s="2">
        <v>45638</v>
      </c>
      <c r="C10" s="1" t="s">
        <v>73</v>
      </c>
      <c r="D10" s="1" t="s">
        <v>67</v>
      </c>
      <c r="E10" s="1" t="s">
        <v>56</v>
      </c>
      <c r="F10" s="1" t="s">
        <v>21</v>
      </c>
      <c r="G10" s="1" t="s">
        <v>38</v>
      </c>
      <c r="H10" s="1" t="s">
        <v>70</v>
      </c>
      <c r="I10" s="1">
        <v>237.15</v>
      </c>
      <c r="J10" s="1">
        <v>2</v>
      </c>
      <c r="K10" s="1">
        <v>474.3</v>
      </c>
      <c r="L10" s="1">
        <v>20</v>
      </c>
      <c r="M10" s="1">
        <v>94.86</v>
      </c>
      <c r="N10" s="1">
        <v>379.44</v>
      </c>
      <c r="O10" s="1" t="s">
        <v>33</v>
      </c>
      <c r="P10" s="1" t="s">
        <v>74</v>
      </c>
      <c r="Q10" s="1">
        <v>2</v>
      </c>
      <c r="R10" s="1">
        <f>Retail_Sales_Analyis[[#This Row],[Final_Price]]-Retail_Sales_Analyis[[#This Row],[Total_Price]]</f>
        <v>-94.860000000000014</v>
      </c>
      <c r="S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" spans="1:19" x14ac:dyDescent="0.25">
      <c r="A11" s="1" t="s">
        <v>75</v>
      </c>
      <c r="B11" s="2">
        <v>45571</v>
      </c>
      <c r="C11" s="1" t="s">
        <v>76</v>
      </c>
      <c r="D11" s="1" t="s">
        <v>49</v>
      </c>
      <c r="E11" s="1" t="s">
        <v>77</v>
      </c>
      <c r="F11" s="1" t="s">
        <v>69</v>
      </c>
      <c r="G11" s="1" t="s">
        <v>78</v>
      </c>
      <c r="H11" s="1" t="s">
        <v>79</v>
      </c>
      <c r="I11" s="1">
        <v>490.72</v>
      </c>
      <c r="J11" s="1">
        <v>1</v>
      </c>
      <c r="K11" s="1">
        <v>490.72</v>
      </c>
      <c r="L11" s="1">
        <v>15</v>
      </c>
      <c r="M11" s="1">
        <v>73.61</v>
      </c>
      <c r="N11" s="1">
        <v>417.11</v>
      </c>
      <c r="O11" s="1" t="s">
        <v>80</v>
      </c>
      <c r="P11" s="1" t="s">
        <v>81</v>
      </c>
      <c r="Q11" s="1">
        <v>1</v>
      </c>
      <c r="R11" s="1">
        <f>Retail_Sales_Analyis[[#This Row],[Final_Price]]-Retail_Sales_Analyis[[#This Row],[Total_Price]]</f>
        <v>-73.610000000000014</v>
      </c>
      <c r="S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" spans="1:19" x14ac:dyDescent="0.25">
      <c r="A12" s="1" t="s">
        <v>82</v>
      </c>
      <c r="B12" s="2">
        <v>45336</v>
      </c>
      <c r="C12" s="1" t="s">
        <v>27</v>
      </c>
      <c r="D12" s="1" t="s">
        <v>55</v>
      </c>
      <c r="E12" s="1" t="s">
        <v>83</v>
      </c>
      <c r="F12" s="1" t="s">
        <v>84</v>
      </c>
      <c r="G12" s="1" t="s">
        <v>85</v>
      </c>
      <c r="H12" s="1" t="s">
        <v>86</v>
      </c>
      <c r="I12" s="1">
        <v>1017.35</v>
      </c>
      <c r="J12" s="1">
        <v>1</v>
      </c>
      <c r="K12" s="1">
        <v>1017.35</v>
      </c>
      <c r="L12" s="1">
        <v>10</v>
      </c>
      <c r="M12" s="1">
        <v>101.74</v>
      </c>
      <c r="N12" s="1">
        <v>915.61</v>
      </c>
      <c r="O12" s="1" t="s">
        <v>33</v>
      </c>
      <c r="P12" s="1" t="s">
        <v>87</v>
      </c>
      <c r="Q12" s="1">
        <v>5</v>
      </c>
      <c r="R12" s="1">
        <f>Retail_Sales_Analyis[[#This Row],[Final_Price]]-Retail_Sales_Analyis[[#This Row],[Total_Price]]</f>
        <v>-101.74000000000001</v>
      </c>
      <c r="S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" spans="1:19" x14ac:dyDescent="0.25">
      <c r="A13" s="1" t="s">
        <v>88</v>
      </c>
      <c r="B13" s="2">
        <v>45594</v>
      </c>
      <c r="C13" s="1" t="s">
        <v>76</v>
      </c>
      <c r="D13" s="1" t="s">
        <v>28</v>
      </c>
      <c r="E13" s="1" t="s">
        <v>89</v>
      </c>
      <c r="F13" s="1" t="s">
        <v>30</v>
      </c>
      <c r="G13" s="1" t="s">
        <v>85</v>
      </c>
      <c r="H13" s="1" t="s">
        <v>90</v>
      </c>
      <c r="I13" s="1">
        <v>1694.6</v>
      </c>
      <c r="J13" s="1">
        <v>3</v>
      </c>
      <c r="K13" s="1">
        <v>5083.8</v>
      </c>
      <c r="L13" s="1">
        <v>0</v>
      </c>
      <c r="M13" s="1">
        <v>0</v>
      </c>
      <c r="N13" s="1">
        <v>5083.8</v>
      </c>
      <c r="O13" s="1" t="s">
        <v>33</v>
      </c>
      <c r="P13" s="1" t="s">
        <v>91</v>
      </c>
      <c r="Q13" s="1">
        <v>5</v>
      </c>
      <c r="R13" s="1">
        <f>Retail_Sales_Analyis[[#This Row],[Final_Price]]-Retail_Sales_Analyis[[#This Row],[Total_Price]]</f>
        <v>0</v>
      </c>
      <c r="S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" spans="1:19" x14ac:dyDescent="0.25">
      <c r="A14" s="1" t="s">
        <v>92</v>
      </c>
      <c r="B14" s="2">
        <v>45508</v>
      </c>
      <c r="C14" s="1" t="s">
        <v>93</v>
      </c>
      <c r="D14" s="1" t="s">
        <v>49</v>
      </c>
      <c r="E14" s="1" t="s">
        <v>94</v>
      </c>
      <c r="F14" s="1" t="s">
        <v>69</v>
      </c>
      <c r="G14" s="1" t="s">
        <v>22</v>
      </c>
      <c r="H14" s="1" t="s">
        <v>51</v>
      </c>
      <c r="I14" s="1">
        <v>983.6</v>
      </c>
      <c r="J14" s="1">
        <v>4</v>
      </c>
      <c r="K14" s="1">
        <v>3934.4</v>
      </c>
      <c r="L14" s="1">
        <v>0</v>
      </c>
      <c r="M14" s="1">
        <v>0</v>
      </c>
      <c r="N14" s="1">
        <v>3934.4</v>
      </c>
      <c r="O14" s="1" t="s">
        <v>33</v>
      </c>
      <c r="P14" s="1" t="s">
        <v>95</v>
      </c>
      <c r="Q14" s="1">
        <v>3</v>
      </c>
      <c r="R14" s="1">
        <f>Retail_Sales_Analyis[[#This Row],[Final_Price]]-Retail_Sales_Analyis[[#This Row],[Total_Price]]</f>
        <v>0</v>
      </c>
      <c r="S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" spans="1:19" x14ac:dyDescent="0.25">
      <c r="A15" s="1" t="s">
        <v>96</v>
      </c>
      <c r="B15" s="2">
        <v>45308</v>
      </c>
      <c r="C15" s="1" t="s">
        <v>36</v>
      </c>
      <c r="D15" s="1" t="s">
        <v>55</v>
      </c>
      <c r="E15" s="1" t="s">
        <v>97</v>
      </c>
      <c r="F15" s="1" t="s">
        <v>84</v>
      </c>
      <c r="G15" s="1" t="s">
        <v>85</v>
      </c>
      <c r="H15" s="1" t="s">
        <v>98</v>
      </c>
      <c r="I15" s="1">
        <v>2650.98</v>
      </c>
      <c r="J15" s="1">
        <v>9</v>
      </c>
      <c r="K15" s="1">
        <v>23858.82</v>
      </c>
      <c r="L15" s="1">
        <v>0</v>
      </c>
      <c r="M15" s="1">
        <v>0</v>
      </c>
      <c r="N15" s="1">
        <v>23858.82</v>
      </c>
      <c r="O15" s="1" t="s">
        <v>80</v>
      </c>
      <c r="P15" s="1" t="s">
        <v>99</v>
      </c>
      <c r="Q15" s="1">
        <v>3</v>
      </c>
      <c r="R15" s="1">
        <f>Retail_Sales_Analyis[[#This Row],[Final_Price]]-Retail_Sales_Analyis[[#This Row],[Total_Price]]</f>
        <v>0</v>
      </c>
      <c r="S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" spans="1:19" x14ac:dyDescent="0.25">
      <c r="A16" s="1" t="s">
        <v>100</v>
      </c>
      <c r="B16" s="2">
        <v>45307</v>
      </c>
      <c r="C16" s="1" t="s">
        <v>36</v>
      </c>
      <c r="D16" s="1" t="s">
        <v>28</v>
      </c>
      <c r="E16" s="1" t="s">
        <v>97</v>
      </c>
      <c r="F16" s="1" t="s">
        <v>21</v>
      </c>
      <c r="G16" s="1" t="s">
        <v>57</v>
      </c>
      <c r="H16" s="1" t="s">
        <v>101</v>
      </c>
      <c r="I16" s="1">
        <v>787.2</v>
      </c>
      <c r="J16" s="1">
        <v>5</v>
      </c>
      <c r="K16" s="1">
        <v>3936</v>
      </c>
      <c r="L16" s="1">
        <v>15</v>
      </c>
      <c r="M16" s="1">
        <v>590.4</v>
      </c>
      <c r="N16" s="1">
        <v>3345.6</v>
      </c>
      <c r="O16" s="1" t="s">
        <v>46</v>
      </c>
      <c r="P16" s="1" t="s">
        <v>102</v>
      </c>
      <c r="Q16" s="1">
        <v>2</v>
      </c>
      <c r="R16" s="1">
        <f>Retail_Sales_Analyis[[#This Row],[Final_Price]]-Retail_Sales_Analyis[[#This Row],[Total_Price]]</f>
        <v>-590.40000000000009</v>
      </c>
      <c r="S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" spans="1:19" x14ac:dyDescent="0.25">
      <c r="A17" s="1" t="s">
        <v>103</v>
      </c>
      <c r="B17" s="2">
        <v>45339</v>
      </c>
      <c r="C17" s="1" t="s">
        <v>27</v>
      </c>
      <c r="D17" s="1" t="s">
        <v>19</v>
      </c>
      <c r="E17" s="1" t="s">
        <v>104</v>
      </c>
      <c r="F17" s="1" t="s">
        <v>69</v>
      </c>
      <c r="G17" s="1" t="s">
        <v>78</v>
      </c>
      <c r="H17" s="1" t="s">
        <v>79</v>
      </c>
      <c r="I17" s="1">
        <v>492.35</v>
      </c>
      <c r="J17" s="1">
        <v>9</v>
      </c>
      <c r="K17" s="1">
        <v>4431.1499999999996</v>
      </c>
      <c r="L17" s="1">
        <v>5</v>
      </c>
      <c r="M17" s="1">
        <v>221.56</v>
      </c>
      <c r="N17" s="1">
        <v>4209.59</v>
      </c>
      <c r="O17" s="1" t="s">
        <v>80</v>
      </c>
      <c r="P17" s="1" t="s">
        <v>105</v>
      </c>
      <c r="Q17" s="1">
        <v>5</v>
      </c>
      <c r="R17" s="1">
        <f>Retail_Sales_Analyis[[#This Row],[Final_Price]]-Retail_Sales_Analyis[[#This Row],[Total_Price]]</f>
        <v>-221.55999999999949</v>
      </c>
      <c r="S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" spans="1:19" x14ac:dyDescent="0.25">
      <c r="A18" s="1" t="s">
        <v>106</v>
      </c>
      <c r="B18" s="2">
        <v>45403</v>
      </c>
      <c r="C18" s="1" t="s">
        <v>54</v>
      </c>
      <c r="D18" s="1" t="s">
        <v>49</v>
      </c>
      <c r="E18" s="1" t="s">
        <v>107</v>
      </c>
      <c r="F18" s="1" t="s">
        <v>37</v>
      </c>
      <c r="G18" s="1" t="s">
        <v>38</v>
      </c>
      <c r="H18" s="1" t="s">
        <v>108</v>
      </c>
      <c r="I18" s="1">
        <v>665.81</v>
      </c>
      <c r="J18" s="1">
        <v>9</v>
      </c>
      <c r="K18" s="1">
        <v>5992.29</v>
      </c>
      <c r="L18" s="1">
        <v>0</v>
      </c>
      <c r="M18" s="1">
        <v>0</v>
      </c>
      <c r="N18" s="1">
        <v>5992.29</v>
      </c>
      <c r="O18" s="1" t="s">
        <v>24</v>
      </c>
      <c r="P18" s="1" t="s">
        <v>109</v>
      </c>
      <c r="Q18" s="1">
        <v>4</v>
      </c>
      <c r="R18" s="1">
        <f>Retail_Sales_Analyis[[#This Row],[Final_Price]]-Retail_Sales_Analyis[[#This Row],[Total_Price]]</f>
        <v>0</v>
      </c>
      <c r="S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" spans="1:19" x14ac:dyDescent="0.25">
      <c r="A19" s="1" t="s">
        <v>110</v>
      </c>
      <c r="B19" s="2">
        <v>45411</v>
      </c>
      <c r="C19" s="1" t="s">
        <v>54</v>
      </c>
      <c r="D19" s="1" t="s">
        <v>43</v>
      </c>
      <c r="E19" s="1" t="s">
        <v>111</v>
      </c>
      <c r="F19" s="1" t="s">
        <v>30</v>
      </c>
      <c r="G19" s="1" t="s">
        <v>112</v>
      </c>
      <c r="H19" s="1" t="s">
        <v>113</v>
      </c>
      <c r="I19" s="1">
        <v>900.47</v>
      </c>
      <c r="J19" s="1">
        <v>3</v>
      </c>
      <c r="K19" s="1">
        <v>2701.41</v>
      </c>
      <c r="L19" s="1">
        <v>0</v>
      </c>
      <c r="M19" s="1">
        <v>0</v>
      </c>
      <c r="N19" s="1">
        <v>2701.41</v>
      </c>
      <c r="O19" s="1" t="s">
        <v>46</v>
      </c>
      <c r="P19" s="1" t="s">
        <v>114</v>
      </c>
      <c r="Q19" s="1">
        <v>2</v>
      </c>
      <c r="R19" s="1">
        <f>Retail_Sales_Analyis[[#This Row],[Final_Price]]-Retail_Sales_Analyis[[#This Row],[Total_Price]]</f>
        <v>0</v>
      </c>
      <c r="S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" spans="1:19" x14ac:dyDescent="0.25">
      <c r="A20" s="1" t="s">
        <v>115</v>
      </c>
      <c r="B20" s="2">
        <v>45550</v>
      </c>
      <c r="C20" s="1" t="s">
        <v>116</v>
      </c>
      <c r="D20" s="1" t="s">
        <v>49</v>
      </c>
      <c r="E20" s="1" t="s">
        <v>117</v>
      </c>
      <c r="F20" s="1" t="s">
        <v>84</v>
      </c>
      <c r="G20" s="1" t="s">
        <v>112</v>
      </c>
      <c r="H20" s="1" t="s">
        <v>118</v>
      </c>
      <c r="I20" s="1">
        <v>1721.04</v>
      </c>
      <c r="J20" s="1">
        <v>2</v>
      </c>
      <c r="K20" s="1">
        <v>3442.08</v>
      </c>
      <c r="L20" s="1">
        <v>10</v>
      </c>
      <c r="M20" s="1">
        <v>344.21</v>
      </c>
      <c r="N20" s="1">
        <v>3097.87</v>
      </c>
      <c r="O20" s="1" t="s">
        <v>80</v>
      </c>
      <c r="P20" s="1" t="s">
        <v>119</v>
      </c>
      <c r="Q20" s="1">
        <v>2</v>
      </c>
      <c r="R20" s="1">
        <f>Retail_Sales_Analyis[[#This Row],[Final_Price]]-Retail_Sales_Analyis[[#This Row],[Total_Price]]</f>
        <v>-344.21000000000004</v>
      </c>
      <c r="S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" spans="1:19" x14ac:dyDescent="0.25">
      <c r="A21" s="1" t="s">
        <v>120</v>
      </c>
      <c r="B21" s="2">
        <v>45600</v>
      </c>
      <c r="C21" s="1" t="s">
        <v>18</v>
      </c>
      <c r="D21" s="1" t="s">
        <v>43</v>
      </c>
      <c r="E21" s="1" t="s">
        <v>121</v>
      </c>
      <c r="F21" s="1" t="s">
        <v>69</v>
      </c>
      <c r="G21" s="1" t="s">
        <v>57</v>
      </c>
      <c r="H21" s="1" t="s">
        <v>122</v>
      </c>
      <c r="I21" s="1">
        <v>2396.06</v>
      </c>
      <c r="J21" s="1">
        <v>5</v>
      </c>
      <c r="K21" s="1">
        <v>11980.3</v>
      </c>
      <c r="L21" s="1">
        <v>15</v>
      </c>
      <c r="M21" s="1">
        <v>1797.04</v>
      </c>
      <c r="N21" s="1">
        <v>10183.26</v>
      </c>
      <c r="O21" s="1" t="s">
        <v>24</v>
      </c>
      <c r="P21" s="1" t="s">
        <v>123</v>
      </c>
      <c r="Q21" s="1">
        <v>4</v>
      </c>
      <c r="R21" s="1">
        <f>Retail_Sales_Analyis[[#This Row],[Final_Price]]-Retail_Sales_Analyis[[#This Row],[Total_Price]]</f>
        <v>-1797.0399999999991</v>
      </c>
      <c r="S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" spans="1:19" x14ac:dyDescent="0.25">
      <c r="A22" s="1" t="s">
        <v>124</v>
      </c>
      <c r="B22" s="2">
        <v>45305</v>
      </c>
      <c r="C22" s="1" t="s">
        <v>36</v>
      </c>
      <c r="D22" s="1" t="s">
        <v>49</v>
      </c>
      <c r="E22" s="1" t="s">
        <v>125</v>
      </c>
      <c r="F22" s="1" t="s">
        <v>30</v>
      </c>
      <c r="G22" s="1" t="s">
        <v>78</v>
      </c>
      <c r="H22" s="1" t="s">
        <v>126</v>
      </c>
      <c r="I22" s="1">
        <v>174.21</v>
      </c>
      <c r="J22" s="1">
        <v>5</v>
      </c>
      <c r="K22" s="1">
        <v>871.05</v>
      </c>
      <c r="L22" s="1">
        <v>0</v>
      </c>
      <c r="M22" s="1">
        <v>0</v>
      </c>
      <c r="N22" s="1">
        <v>871.05</v>
      </c>
      <c r="O22" s="1" t="s">
        <v>80</v>
      </c>
      <c r="P22" s="1" t="s">
        <v>127</v>
      </c>
      <c r="Q22" s="1">
        <v>4</v>
      </c>
      <c r="R22" s="1">
        <f>Retail_Sales_Analyis[[#This Row],[Final_Price]]-Retail_Sales_Analyis[[#This Row],[Total_Price]]</f>
        <v>0</v>
      </c>
      <c r="S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" spans="1:19" x14ac:dyDescent="0.25">
      <c r="A23" s="1" t="s">
        <v>128</v>
      </c>
      <c r="B23" s="2">
        <v>45579</v>
      </c>
      <c r="C23" s="1" t="s">
        <v>76</v>
      </c>
      <c r="D23" s="1" t="s">
        <v>43</v>
      </c>
      <c r="E23" s="1" t="s">
        <v>129</v>
      </c>
      <c r="F23" s="1" t="s">
        <v>84</v>
      </c>
      <c r="G23" s="1" t="s">
        <v>57</v>
      </c>
      <c r="H23" s="1" t="s">
        <v>101</v>
      </c>
      <c r="I23" s="1">
        <v>1023.7</v>
      </c>
      <c r="J23" s="1">
        <v>3</v>
      </c>
      <c r="K23" s="1">
        <v>3071.1</v>
      </c>
      <c r="L23" s="1">
        <v>15</v>
      </c>
      <c r="M23" s="1">
        <v>460.66</v>
      </c>
      <c r="N23" s="1">
        <v>2610.44</v>
      </c>
      <c r="O23" s="1" t="s">
        <v>24</v>
      </c>
      <c r="P23" s="1" t="s">
        <v>130</v>
      </c>
      <c r="Q23" s="1">
        <v>2</v>
      </c>
      <c r="R23" s="1">
        <f>Retail_Sales_Analyis[[#This Row],[Final_Price]]-Retail_Sales_Analyis[[#This Row],[Total_Price]]</f>
        <v>-460.65999999999985</v>
      </c>
      <c r="S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" spans="1:19" x14ac:dyDescent="0.25">
      <c r="A24" s="1" t="s">
        <v>131</v>
      </c>
      <c r="B24" s="2">
        <v>45393</v>
      </c>
      <c r="C24" s="1" t="s">
        <v>54</v>
      </c>
      <c r="D24" s="1" t="s">
        <v>67</v>
      </c>
      <c r="E24" s="1" t="s">
        <v>132</v>
      </c>
      <c r="F24" s="1" t="s">
        <v>30</v>
      </c>
      <c r="G24" s="1" t="s">
        <v>22</v>
      </c>
      <c r="H24" s="1" t="s">
        <v>133</v>
      </c>
      <c r="I24" s="1">
        <v>542.80999999999995</v>
      </c>
      <c r="J24" s="1">
        <v>9</v>
      </c>
      <c r="K24" s="1">
        <v>4885.29</v>
      </c>
      <c r="L24" s="1">
        <v>0</v>
      </c>
      <c r="M24" s="1">
        <v>0</v>
      </c>
      <c r="N24" s="1">
        <v>4885.29</v>
      </c>
      <c r="O24" s="1" t="s">
        <v>64</v>
      </c>
      <c r="P24" s="1" t="s">
        <v>134</v>
      </c>
      <c r="Q24" s="1">
        <v>2</v>
      </c>
      <c r="R24" s="1">
        <f>Retail_Sales_Analyis[[#This Row],[Final_Price]]-Retail_Sales_Analyis[[#This Row],[Total_Price]]</f>
        <v>0</v>
      </c>
      <c r="S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" spans="1:19" x14ac:dyDescent="0.25">
      <c r="A25" s="1" t="s">
        <v>135</v>
      </c>
      <c r="B25" s="2">
        <v>45624</v>
      </c>
      <c r="C25" s="1" t="s">
        <v>18</v>
      </c>
      <c r="D25" s="1" t="s">
        <v>67</v>
      </c>
      <c r="E25" s="1" t="s">
        <v>89</v>
      </c>
      <c r="F25" s="1" t="s">
        <v>37</v>
      </c>
      <c r="G25" s="1" t="s">
        <v>78</v>
      </c>
      <c r="H25" s="1" t="s">
        <v>136</v>
      </c>
      <c r="I25" s="1">
        <v>469.36</v>
      </c>
      <c r="J25" s="1">
        <v>3</v>
      </c>
      <c r="K25" s="1">
        <v>1408.08</v>
      </c>
      <c r="L25" s="1">
        <v>0</v>
      </c>
      <c r="M25" s="1">
        <v>0</v>
      </c>
      <c r="N25" s="1">
        <v>1408.08</v>
      </c>
      <c r="O25" s="1" t="s">
        <v>64</v>
      </c>
      <c r="P25" s="1" t="s">
        <v>137</v>
      </c>
      <c r="Q25" s="1">
        <v>3</v>
      </c>
      <c r="R25" s="1">
        <f>Retail_Sales_Analyis[[#This Row],[Final_Price]]-Retail_Sales_Analyis[[#This Row],[Total_Price]]</f>
        <v>0</v>
      </c>
      <c r="S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" spans="1:19" x14ac:dyDescent="0.25">
      <c r="A26" s="1" t="s">
        <v>138</v>
      </c>
      <c r="B26" s="2">
        <v>45651</v>
      </c>
      <c r="C26" s="1" t="s">
        <v>73</v>
      </c>
      <c r="D26" s="1" t="s">
        <v>55</v>
      </c>
      <c r="E26" s="1" t="s">
        <v>139</v>
      </c>
      <c r="F26" s="1" t="s">
        <v>21</v>
      </c>
      <c r="G26" s="1" t="s">
        <v>38</v>
      </c>
      <c r="H26" s="1" t="s">
        <v>108</v>
      </c>
      <c r="I26" s="1">
        <v>652.94000000000005</v>
      </c>
      <c r="J26" s="1">
        <v>9</v>
      </c>
      <c r="K26" s="1">
        <v>5876.46</v>
      </c>
      <c r="L26" s="1">
        <v>0</v>
      </c>
      <c r="M26" s="1">
        <v>0</v>
      </c>
      <c r="N26" s="1">
        <v>5876.46</v>
      </c>
      <c r="O26" s="1" t="s">
        <v>24</v>
      </c>
      <c r="P26" s="1" t="s">
        <v>123</v>
      </c>
      <c r="Q26" s="1">
        <v>3</v>
      </c>
      <c r="R26" s="1">
        <f>Retail_Sales_Analyis[[#This Row],[Final_Price]]-Retail_Sales_Analyis[[#This Row],[Total_Price]]</f>
        <v>0</v>
      </c>
      <c r="S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" spans="1:19" x14ac:dyDescent="0.25">
      <c r="A27" s="1" t="s">
        <v>140</v>
      </c>
      <c r="B27" s="2">
        <v>45571</v>
      </c>
      <c r="C27" s="1" t="s">
        <v>76</v>
      </c>
      <c r="D27" s="1" t="s">
        <v>49</v>
      </c>
      <c r="E27" s="1" t="s">
        <v>141</v>
      </c>
      <c r="F27" s="1" t="s">
        <v>69</v>
      </c>
      <c r="G27" s="1" t="s">
        <v>85</v>
      </c>
      <c r="H27" s="1" t="s">
        <v>90</v>
      </c>
      <c r="I27" s="1">
        <v>1272.71</v>
      </c>
      <c r="J27" s="1">
        <v>9</v>
      </c>
      <c r="K27" s="1">
        <v>11454.39</v>
      </c>
      <c r="L27" s="1">
        <v>0</v>
      </c>
      <c r="M27" s="1">
        <v>0</v>
      </c>
      <c r="N27" s="1">
        <v>11454.39</v>
      </c>
      <c r="O27" s="1" t="s">
        <v>33</v>
      </c>
      <c r="P27" s="1" t="s">
        <v>142</v>
      </c>
      <c r="Q27" s="1">
        <v>5</v>
      </c>
      <c r="R27" s="1">
        <f>Retail_Sales_Analyis[[#This Row],[Final_Price]]-Retail_Sales_Analyis[[#This Row],[Total_Price]]</f>
        <v>0</v>
      </c>
      <c r="S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" spans="1:19" x14ac:dyDescent="0.25">
      <c r="A28" s="1" t="s">
        <v>143</v>
      </c>
      <c r="B28" s="2">
        <v>45506</v>
      </c>
      <c r="C28" s="1" t="s">
        <v>93</v>
      </c>
      <c r="D28" s="1" t="s">
        <v>144</v>
      </c>
      <c r="E28" s="1" t="s">
        <v>145</v>
      </c>
      <c r="F28" s="1" t="s">
        <v>84</v>
      </c>
      <c r="G28" s="1" t="s">
        <v>78</v>
      </c>
      <c r="H28" s="1" t="s">
        <v>146</v>
      </c>
      <c r="I28" s="1">
        <v>547.53</v>
      </c>
      <c r="J28" s="1">
        <v>6</v>
      </c>
      <c r="K28" s="1">
        <v>3285.18</v>
      </c>
      <c r="L28" s="1">
        <v>0</v>
      </c>
      <c r="M28" s="1">
        <v>0</v>
      </c>
      <c r="N28" s="1">
        <v>3285.18</v>
      </c>
      <c r="O28" s="1" t="s">
        <v>46</v>
      </c>
      <c r="P28" s="1" t="s">
        <v>147</v>
      </c>
      <c r="Q28" s="1">
        <v>3</v>
      </c>
      <c r="R28" s="1">
        <f>Retail_Sales_Analyis[[#This Row],[Final_Price]]-Retail_Sales_Analyis[[#This Row],[Total_Price]]</f>
        <v>0</v>
      </c>
      <c r="S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" spans="1:19" x14ac:dyDescent="0.25">
      <c r="A29" s="1" t="s">
        <v>148</v>
      </c>
      <c r="B29" s="2">
        <v>45404</v>
      </c>
      <c r="C29" s="1" t="s">
        <v>54</v>
      </c>
      <c r="D29" s="1" t="s">
        <v>43</v>
      </c>
      <c r="E29" s="1" t="s">
        <v>29</v>
      </c>
      <c r="F29" s="1" t="s">
        <v>84</v>
      </c>
      <c r="G29" s="1" t="s">
        <v>31</v>
      </c>
      <c r="H29" s="1" t="s">
        <v>45</v>
      </c>
      <c r="I29" s="1">
        <v>420.66</v>
      </c>
      <c r="J29" s="1">
        <v>1</v>
      </c>
      <c r="K29" s="1">
        <v>420.66</v>
      </c>
      <c r="L29" s="1">
        <v>0</v>
      </c>
      <c r="M29" s="1">
        <v>0</v>
      </c>
      <c r="N29" s="1">
        <v>420.66</v>
      </c>
      <c r="O29" s="1" t="s">
        <v>46</v>
      </c>
      <c r="P29" s="1" t="s">
        <v>149</v>
      </c>
      <c r="Q29" s="1">
        <v>4</v>
      </c>
      <c r="R29" s="1">
        <f>Retail_Sales_Analyis[[#This Row],[Final_Price]]-Retail_Sales_Analyis[[#This Row],[Total_Price]]</f>
        <v>0</v>
      </c>
      <c r="S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" spans="1:19" x14ac:dyDescent="0.25">
      <c r="A30" s="1" t="s">
        <v>150</v>
      </c>
      <c r="B30" s="2">
        <v>45521</v>
      </c>
      <c r="C30" s="1" t="s">
        <v>93</v>
      </c>
      <c r="D30" s="1" t="s">
        <v>19</v>
      </c>
      <c r="E30" s="1" t="s">
        <v>151</v>
      </c>
      <c r="F30" s="1" t="s">
        <v>84</v>
      </c>
      <c r="G30" s="1" t="s">
        <v>57</v>
      </c>
      <c r="H30" s="1" t="s">
        <v>152</v>
      </c>
      <c r="I30" s="1">
        <v>2111.14</v>
      </c>
      <c r="J30" s="1">
        <v>6</v>
      </c>
      <c r="K30" s="1">
        <v>12666.84</v>
      </c>
      <c r="L30" s="1">
        <v>5</v>
      </c>
      <c r="M30" s="1">
        <v>633.34</v>
      </c>
      <c r="N30" s="1">
        <v>12033.5</v>
      </c>
      <c r="O30" s="1" t="s">
        <v>24</v>
      </c>
      <c r="P30" s="1" t="s">
        <v>153</v>
      </c>
      <c r="Q30" s="1">
        <v>4</v>
      </c>
      <c r="R30" s="1">
        <f>Retail_Sales_Analyis[[#This Row],[Final_Price]]-Retail_Sales_Analyis[[#This Row],[Total_Price]]</f>
        <v>-633.34000000000015</v>
      </c>
      <c r="S3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" spans="1:19" x14ac:dyDescent="0.25">
      <c r="A31" s="1" t="s">
        <v>154</v>
      </c>
      <c r="B31" s="2">
        <v>45593</v>
      </c>
      <c r="C31" s="1" t="s">
        <v>76</v>
      </c>
      <c r="D31" s="1" t="s">
        <v>43</v>
      </c>
      <c r="E31" s="1" t="s">
        <v>44</v>
      </c>
      <c r="F31" s="1" t="s">
        <v>37</v>
      </c>
      <c r="G31" s="1" t="s">
        <v>38</v>
      </c>
      <c r="H31" s="1" t="s">
        <v>39</v>
      </c>
      <c r="I31" s="1">
        <v>737.94</v>
      </c>
      <c r="J31" s="1">
        <v>6</v>
      </c>
      <c r="K31" s="1">
        <v>4427.6400000000003</v>
      </c>
      <c r="L31" s="1">
        <v>10</v>
      </c>
      <c r="M31" s="1">
        <v>442.76</v>
      </c>
      <c r="N31" s="1">
        <v>3984.88</v>
      </c>
      <c r="O31" s="1" t="s">
        <v>80</v>
      </c>
      <c r="P31" s="1" t="s">
        <v>155</v>
      </c>
      <c r="Q31" s="1">
        <v>4</v>
      </c>
      <c r="R31" s="1">
        <f>Retail_Sales_Analyis[[#This Row],[Final_Price]]-Retail_Sales_Analyis[[#This Row],[Total_Price]]</f>
        <v>-442.76000000000022</v>
      </c>
      <c r="S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" spans="1:19" x14ac:dyDescent="0.25">
      <c r="A32" s="1" t="s">
        <v>156</v>
      </c>
      <c r="B32" s="2">
        <v>45434</v>
      </c>
      <c r="C32" s="1" t="s">
        <v>42</v>
      </c>
      <c r="D32" s="1" t="s">
        <v>55</v>
      </c>
      <c r="E32" s="1" t="s">
        <v>157</v>
      </c>
      <c r="F32" s="1" t="s">
        <v>37</v>
      </c>
      <c r="G32" s="1" t="s">
        <v>57</v>
      </c>
      <c r="H32" s="1" t="s">
        <v>158</v>
      </c>
      <c r="I32" s="1">
        <v>1638.91</v>
      </c>
      <c r="J32" s="1">
        <v>2</v>
      </c>
      <c r="K32" s="1">
        <v>3277.82</v>
      </c>
      <c r="L32" s="1">
        <v>0</v>
      </c>
      <c r="M32" s="1">
        <v>0</v>
      </c>
      <c r="N32" s="1">
        <v>3277.82</v>
      </c>
      <c r="O32" s="1" t="s">
        <v>80</v>
      </c>
      <c r="P32" s="1" t="s">
        <v>159</v>
      </c>
      <c r="Q32" s="1">
        <v>5</v>
      </c>
      <c r="R32" s="1">
        <f>Retail_Sales_Analyis[[#This Row],[Final_Price]]-Retail_Sales_Analyis[[#This Row],[Total_Price]]</f>
        <v>0</v>
      </c>
      <c r="S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" spans="1:19" x14ac:dyDescent="0.25">
      <c r="A33" s="1" t="s">
        <v>160</v>
      </c>
      <c r="B33" s="2">
        <v>45295</v>
      </c>
      <c r="C33" s="1" t="s">
        <v>36</v>
      </c>
      <c r="D33" s="1" t="s">
        <v>67</v>
      </c>
      <c r="E33" s="1" t="s">
        <v>117</v>
      </c>
      <c r="F33" s="1" t="s">
        <v>21</v>
      </c>
      <c r="G33" s="1" t="s">
        <v>57</v>
      </c>
      <c r="H33" s="1" t="s">
        <v>58</v>
      </c>
      <c r="I33" s="1">
        <v>2539.86</v>
      </c>
      <c r="J33" s="1">
        <v>4</v>
      </c>
      <c r="K33" s="1">
        <v>10159.44</v>
      </c>
      <c r="L33" s="1">
        <v>10</v>
      </c>
      <c r="M33" s="1">
        <v>1015.94</v>
      </c>
      <c r="N33" s="1">
        <v>9143.5</v>
      </c>
      <c r="O33" s="1" t="s">
        <v>33</v>
      </c>
      <c r="P33" s="1" t="s">
        <v>161</v>
      </c>
      <c r="Q33" s="1">
        <v>1</v>
      </c>
      <c r="R33" s="1">
        <f>Retail_Sales_Analyis[[#This Row],[Final_Price]]-Retail_Sales_Analyis[[#This Row],[Total_Price]]</f>
        <v>-1015.9400000000005</v>
      </c>
      <c r="S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" spans="1:19" x14ac:dyDescent="0.25">
      <c r="A34" s="1" t="s">
        <v>162</v>
      </c>
      <c r="B34" s="2">
        <v>45373</v>
      </c>
      <c r="C34" s="1" t="s">
        <v>61</v>
      </c>
      <c r="D34" s="1" t="s">
        <v>144</v>
      </c>
      <c r="E34" s="1" t="s">
        <v>163</v>
      </c>
      <c r="F34" s="1" t="s">
        <v>37</v>
      </c>
      <c r="G34" s="1" t="s">
        <v>31</v>
      </c>
      <c r="H34" s="1" t="s">
        <v>63</v>
      </c>
      <c r="I34" s="1">
        <v>67.05</v>
      </c>
      <c r="J34" s="1">
        <v>2</v>
      </c>
      <c r="K34" s="1">
        <v>134.1</v>
      </c>
      <c r="L34" s="1">
        <v>0</v>
      </c>
      <c r="M34" s="1">
        <v>0</v>
      </c>
      <c r="N34" s="1">
        <v>134.1</v>
      </c>
      <c r="O34" s="1" t="s">
        <v>64</v>
      </c>
      <c r="P34" s="1" t="s">
        <v>164</v>
      </c>
      <c r="Q34" s="1">
        <v>3</v>
      </c>
      <c r="R34" s="1">
        <f>Retail_Sales_Analyis[[#This Row],[Final_Price]]-Retail_Sales_Analyis[[#This Row],[Total_Price]]</f>
        <v>0</v>
      </c>
      <c r="S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" spans="1:19" x14ac:dyDescent="0.25">
      <c r="A35" s="1" t="s">
        <v>165</v>
      </c>
      <c r="B35" s="2">
        <v>45649</v>
      </c>
      <c r="C35" s="1" t="s">
        <v>73</v>
      </c>
      <c r="D35" s="1" t="s">
        <v>43</v>
      </c>
      <c r="E35" s="1" t="s">
        <v>166</v>
      </c>
      <c r="F35" s="1" t="s">
        <v>37</v>
      </c>
      <c r="G35" s="1" t="s">
        <v>57</v>
      </c>
      <c r="H35" s="1" t="s">
        <v>158</v>
      </c>
      <c r="I35" s="1">
        <v>1341.37</v>
      </c>
      <c r="J35" s="1">
        <v>8</v>
      </c>
      <c r="K35" s="1">
        <v>10730.96</v>
      </c>
      <c r="L35" s="1">
        <v>15</v>
      </c>
      <c r="M35" s="1">
        <v>1609.64</v>
      </c>
      <c r="N35" s="1">
        <v>9121.32</v>
      </c>
      <c r="O35" s="1" t="s">
        <v>33</v>
      </c>
      <c r="P35" s="1" t="s">
        <v>119</v>
      </c>
      <c r="Q35" s="1">
        <v>4</v>
      </c>
      <c r="R35" s="1">
        <f>Retail_Sales_Analyis[[#This Row],[Final_Price]]-Retail_Sales_Analyis[[#This Row],[Total_Price]]</f>
        <v>-1609.6399999999994</v>
      </c>
      <c r="S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" spans="1:19" x14ac:dyDescent="0.25">
      <c r="A36" s="1" t="s">
        <v>167</v>
      </c>
      <c r="B36" s="2">
        <v>45508</v>
      </c>
      <c r="C36" s="1" t="s">
        <v>93</v>
      </c>
      <c r="D36" s="1" t="s">
        <v>49</v>
      </c>
      <c r="E36" s="1" t="s">
        <v>168</v>
      </c>
      <c r="F36" s="1" t="s">
        <v>37</v>
      </c>
      <c r="G36" s="1" t="s">
        <v>169</v>
      </c>
      <c r="H36" s="1" t="s">
        <v>170</v>
      </c>
      <c r="I36" s="1">
        <v>307.08</v>
      </c>
      <c r="J36" s="1">
        <v>10</v>
      </c>
      <c r="K36" s="1">
        <v>3070.8</v>
      </c>
      <c r="L36" s="1">
        <v>0</v>
      </c>
      <c r="M36" s="1">
        <v>0</v>
      </c>
      <c r="N36" s="1">
        <v>3070.8</v>
      </c>
      <c r="O36" s="1" t="s">
        <v>80</v>
      </c>
      <c r="P36" s="1" t="s">
        <v>171</v>
      </c>
      <c r="Q36" s="1">
        <v>1</v>
      </c>
      <c r="R36" s="1">
        <f>Retail_Sales_Analyis[[#This Row],[Final_Price]]-Retail_Sales_Analyis[[#This Row],[Total_Price]]</f>
        <v>0</v>
      </c>
      <c r="S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" spans="1:19" x14ac:dyDescent="0.25">
      <c r="A37" s="1" t="s">
        <v>172</v>
      </c>
      <c r="B37" s="2">
        <v>45466</v>
      </c>
      <c r="C37" s="1" t="s">
        <v>173</v>
      </c>
      <c r="D37" s="1" t="s">
        <v>49</v>
      </c>
      <c r="E37" s="1" t="s">
        <v>174</v>
      </c>
      <c r="F37" s="1" t="s">
        <v>69</v>
      </c>
      <c r="G37" s="1" t="s">
        <v>169</v>
      </c>
      <c r="H37" s="1" t="s">
        <v>175</v>
      </c>
      <c r="I37" s="1">
        <v>1244.27</v>
      </c>
      <c r="J37" s="1">
        <v>5</v>
      </c>
      <c r="K37" s="1">
        <v>6221.35</v>
      </c>
      <c r="L37" s="1">
        <v>10</v>
      </c>
      <c r="M37" s="1">
        <v>622.14</v>
      </c>
      <c r="N37" s="1">
        <v>5599.21</v>
      </c>
      <c r="O37" s="1" t="s">
        <v>24</v>
      </c>
      <c r="P37" s="1" t="s">
        <v>176</v>
      </c>
      <c r="Q37" s="1">
        <v>3</v>
      </c>
      <c r="R37" s="1">
        <f>Retail_Sales_Analyis[[#This Row],[Final_Price]]-Retail_Sales_Analyis[[#This Row],[Total_Price]]</f>
        <v>-622.14000000000033</v>
      </c>
      <c r="S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" spans="1:19" x14ac:dyDescent="0.25">
      <c r="A38" s="1" t="s">
        <v>177</v>
      </c>
      <c r="B38" s="2">
        <v>45434</v>
      </c>
      <c r="C38" s="1" t="s">
        <v>42</v>
      </c>
      <c r="D38" s="1" t="s">
        <v>55</v>
      </c>
      <c r="E38" s="1" t="s">
        <v>141</v>
      </c>
      <c r="F38" s="1" t="s">
        <v>30</v>
      </c>
      <c r="G38" s="1" t="s">
        <v>22</v>
      </c>
      <c r="H38" s="1" t="s">
        <v>133</v>
      </c>
      <c r="I38" s="1">
        <v>579.19000000000005</v>
      </c>
      <c r="J38" s="1">
        <v>9</v>
      </c>
      <c r="K38" s="1">
        <v>5212.71</v>
      </c>
      <c r="L38" s="1">
        <v>0</v>
      </c>
      <c r="M38" s="1">
        <v>0</v>
      </c>
      <c r="N38" s="1">
        <v>5212.71</v>
      </c>
      <c r="O38" s="1" t="s">
        <v>64</v>
      </c>
      <c r="P38" s="1" t="s">
        <v>178</v>
      </c>
      <c r="Q38" s="1">
        <v>4</v>
      </c>
      <c r="R38" s="1">
        <f>Retail_Sales_Analyis[[#This Row],[Final_Price]]-Retail_Sales_Analyis[[#This Row],[Total_Price]]</f>
        <v>0</v>
      </c>
      <c r="S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" spans="1:19" x14ac:dyDescent="0.25">
      <c r="A39" s="1" t="s">
        <v>179</v>
      </c>
      <c r="B39" s="2">
        <v>45371</v>
      </c>
      <c r="C39" s="1" t="s">
        <v>61</v>
      </c>
      <c r="D39" s="1" t="s">
        <v>55</v>
      </c>
      <c r="E39" s="1" t="s">
        <v>107</v>
      </c>
      <c r="F39" s="1" t="s">
        <v>37</v>
      </c>
      <c r="G39" s="1" t="s">
        <v>85</v>
      </c>
      <c r="H39" s="1" t="s">
        <v>180</v>
      </c>
      <c r="I39" s="1">
        <v>3709.16</v>
      </c>
      <c r="J39" s="1">
        <v>6</v>
      </c>
      <c r="K39" s="1">
        <v>22254.959999999999</v>
      </c>
      <c r="L39" s="1">
        <v>0</v>
      </c>
      <c r="M39" s="1">
        <v>0</v>
      </c>
      <c r="N39" s="1">
        <v>22254.959999999999</v>
      </c>
      <c r="O39" s="1" t="s">
        <v>80</v>
      </c>
      <c r="P39" s="1" t="s">
        <v>181</v>
      </c>
      <c r="Q39" s="1">
        <v>5</v>
      </c>
      <c r="R39" s="1">
        <f>Retail_Sales_Analyis[[#This Row],[Final_Price]]-Retail_Sales_Analyis[[#This Row],[Total_Price]]</f>
        <v>0</v>
      </c>
      <c r="S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" spans="1:19" x14ac:dyDescent="0.25">
      <c r="A40" s="1" t="s">
        <v>182</v>
      </c>
      <c r="B40" s="2">
        <v>45402</v>
      </c>
      <c r="C40" s="1" t="s">
        <v>54</v>
      </c>
      <c r="D40" s="1" t="s">
        <v>19</v>
      </c>
      <c r="E40" s="1" t="s">
        <v>145</v>
      </c>
      <c r="F40" s="1" t="s">
        <v>30</v>
      </c>
      <c r="G40" s="1" t="s">
        <v>112</v>
      </c>
      <c r="H40" s="1" t="s">
        <v>183</v>
      </c>
      <c r="I40" s="1">
        <v>1394.98</v>
      </c>
      <c r="J40" s="1">
        <v>9</v>
      </c>
      <c r="K40" s="1">
        <v>12554.82</v>
      </c>
      <c r="L40" s="1">
        <v>10</v>
      </c>
      <c r="M40" s="1">
        <v>1255.48</v>
      </c>
      <c r="N40" s="1">
        <v>11299.34</v>
      </c>
      <c r="O40" s="1" t="s">
        <v>24</v>
      </c>
      <c r="P40" s="1" t="s">
        <v>184</v>
      </c>
      <c r="Q40" s="1">
        <v>3</v>
      </c>
      <c r="R40" s="1">
        <f>Retail_Sales_Analyis[[#This Row],[Final_Price]]-Retail_Sales_Analyis[[#This Row],[Total_Price]]</f>
        <v>-1255.4799999999996</v>
      </c>
      <c r="S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" spans="1:19" x14ac:dyDescent="0.25">
      <c r="A41" s="1" t="s">
        <v>185</v>
      </c>
      <c r="B41" s="2">
        <v>45464</v>
      </c>
      <c r="C41" s="1" t="s">
        <v>173</v>
      </c>
      <c r="D41" s="1" t="s">
        <v>144</v>
      </c>
      <c r="E41" s="1" t="s">
        <v>186</v>
      </c>
      <c r="F41" s="1" t="s">
        <v>37</v>
      </c>
      <c r="G41" s="1" t="s">
        <v>22</v>
      </c>
      <c r="H41" s="1" t="s">
        <v>187</v>
      </c>
      <c r="I41" s="1">
        <v>313.95999999999998</v>
      </c>
      <c r="J41" s="1">
        <v>3</v>
      </c>
      <c r="K41" s="1">
        <v>941.88</v>
      </c>
      <c r="L41" s="1">
        <v>0</v>
      </c>
      <c r="M41" s="1">
        <v>0</v>
      </c>
      <c r="N41" s="1">
        <v>941.88</v>
      </c>
      <c r="O41" s="1" t="s">
        <v>80</v>
      </c>
      <c r="P41" s="1" t="s">
        <v>188</v>
      </c>
      <c r="Q41" s="1">
        <v>3</v>
      </c>
      <c r="R41" s="1">
        <f>Retail_Sales_Analyis[[#This Row],[Final_Price]]-Retail_Sales_Analyis[[#This Row],[Total_Price]]</f>
        <v>0</v>
      </c>
      <c r="S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" spans="1:19" x14ac:dyDescent="0.25">
      <c r="A42" s="1" t="s">
        <v>189</v>
      </c>
      <c r="B42" s="2">
        <v>45344</v>
      </c>
      <c r="C42" s="1" t="s">
        <v>27</v>
      </c>
      <c r="D42" s="1" t="s">
        <v>67</v>
      </c>
      <c r="E42" s="1" t="s">
        <v>151</v>
      </c>
      <c r="F42" s="1" t="s">
        <v>37</v>
      </c>
      <c r="G42" s="1" t="s">
        <v>112</v>
      </c>
      <c r="H42" s="1" t="s">
        <v>183</v>
      </c>
      <c r="I42" s="1">
        <v>1191.9000000000001</v>
      </c>
      <c r="J42" s="1">
        <v>9</v>
      </c>
      <c r="K42" s="1">
        <v>10727.1</v>
      </c>
      <c r="L42" s="1">
        <v>0</v>
      </c>
      <c r="M42" s="1">
        <v>0</v>
      </c>
      <c r="N42" s="1">
        <v>10727.1</v>
      </c>
      <c r="O42" s="1" t="s">
        <v>46</v>
      </c>
      <c r="P42" s="1" t="s">
        <v>190</v>
      </c>
      <c r="Q42" s="1">
        <v>1</v>
      </c>
      <c r="R42" s="1">
        <f>Retail_Sales_Analyis[[#This Row],[Final_Price]]-Retail_Sales_Analyis[[#This Row],[Total_Price]]</f>
        <v>0</v>
      </c>
      <c r="S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" spans="1:19" x14ac:dyDescent="0.25">
      <c r="A43" s="1" t="s">
        <v>191</v>
      </c>
      <c r="B43" s="2">
        <v>45339</v>
      </c>
      <c r="C43" s="1" t="s">
        <v>27</v>
      </c>
      <c r="D43" s="1" t="s">
        <v>19</v>
      </c>
      <c r="E43" s="1" t="s">
        <v>192</v>
      </c>
      <c r="F43" s="1" t="s">
        <v>21</v>
      </c>
      <c r="G43" s="1" t="s">
        <v>31</v>
      </c>
      <c r="H43" s="1" t="s">
        <v>63</v>
      </c>
      <c r="I43" s="1">
        <v>210.71</v>
      </c>
      <c r="J43" s="1">
        <v>4</v>
      </c>
      <c r="K43" s="1">
        <v>842.84</v>
      </c>
      <c r="L43" s="1">
        <v>0</v>
      </c>
      <c r="M43" s="1">
        <v>0</v>
      </c>
      <c r="N43" s="1">
        <v>842.84</v>
      </c>
      <c r="O43" s="1" t="s">
        <v>46</v>
      </c>
      <c r="P43" s="1" t="s">
        <v>193</v>
      </c>
      <c r="Q43" s="1">
        <v>5</v>
      </c>
      <c r="R43" s="1">
        <f>Retail_Sales_Analyis[[#This Row],[Final_Price]]-Retail_Sales_Analyis[[#This Row],[Total_Price]]</f>
        <v>0</v>
      </c>
      <c r="S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" spans="1:19" x14ac:dyDescent="0.25">
      <c r="A44" s="1" t="s">
        <v>194</v>
      </c>
      <c r="B44" s="2">
        <v>45486</v>
      </c>
      <c r="C44" s="1" t="s">
        <v>195</v>
      </c>
      <c r="D44" s="1" t="s">
        <v>19</v>
      </c>
      <c r="E44" s="1" t="s">
        <v>196</v>
      </c>
      <c r="F44" s="1" t="s">
        <v>84</v>
      </c>
      <c r="G44" s="1" t="s">
        <v>31</v>
      </c>
      <c r="H44" s="1" t="s">
        <v>32</v>
      </c>
      <c r="I44" s="1">
        <v>197.76</v>
      </c>
      <c r="J44" s="1">
        <v>5</v>
      </c>
      <c r="K44" s="1">
        <v>988.8</v>
      </c>
      <c r="L44" s="1">
        <v>15</v>
      </c>
      <c r="M44" s="1">
        <v>148.32</v>
      </c>
      <c r="N44" s="1">
        <v>840.48</v>
      </c>
      <c r="O44" s="1" t="s">
        <v>80</v>
      </c>
      <c r="P44" s="1" t="s">
        <v>197</v>
      </c>
      <c r="Q44" s="1">
        <v>2</v>
      </c>
      <c r="R44" s="1">
        <f>Retail_Sales_Analyis[[#This Row],[Final_Price]]-Retail_Sales_Analyis[[#This Row],[Total_Price]]</f>
        <v>-148.31999999999994</v>
      </c>
      <c r="S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" spans="1:19" x14ac:dyDescent="0.25">
      <c r="A45" s="1" t="s">
        <v>198</v>
      </c>
      <c r="B45" s="2">
        <v>45341</v>
      </c>
      <c r="C45" s="1" t="s">
        <v>27</v>
      </c>
      <c r="D45" s="1" t="s">
        <v>43</v>
      </c>
      <c r="E45" s="1" t="s">
        <v>199</v>
      </c>
      <c r="F45" s="1" t="s">
        <v>30</v>
      </c>
      <c r="G45" s="1" t="s">
        <v>78</v>
      </c>
      <c r="H45" s="1" t="s">
        <v>136</v>
      </c>
      <c r="I45" s="1">
        <v>225.89</v>
      </c>
      <c r="J45" s="1">
        <v>6</v>
      </c>
      <c r="K45" s="1">
        <v>1355.34</v>
      </c>
      <c r="L45" s="1">
        <v>0</v>
      </c>
      <c r="M45" s="1">
        <v>0</v>
      </c>
      <c r="N45" s="1">
        <v>1355.34</v>
      </c>
      <c r="O45" s="1" t="s">
        <v>64</v>
      </c>
      <c r="P45" s="1" t="s">
        <v>200</v>
      </c>
      <c r="Q45" s="1">
        <v>4</v>
      </c>
      <c r="R45" s="1">
        <f>Retail_Sales_Analyis[[#This Row],[Final_Price]]-Retail_Sales_Analyis[[#This Row],[Total_Price]]</f>
        <v>0</v>
      </c>
      <c r="S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" spans="1:19" x14ac:dyDescent="0.25">
      <c r="A46" s="1" t="s">
        <v>201</v>
      </c>
      <c r="B46" s="2">
        <v>45475</v>
      </c>
      <c r="C46" s="1" t="s">
        <v>195</v>
      </c>
      <c r="D46" s="1" t="s">
        <v>28</v>
      </c>
      <c r="E46" s="1" t="s">
        <v>163</v>
      </c>
      <c r="F46" s="1" t="s">
        <v>37</v>
      </c>
      <c r="G46" s="1" t="s">
        <v>78</v>
      </c>
      <c r="H46" s="1" t="s">
        <v>136</v>
      </c>
      <c r="I46" s="1">
        <v>358.28</v>
      </c>
      <c r="J46" s="1">
        <v>6</v>
      </c>
      <c r="K46" s="1">
        <v>2149.6799999999998</v>
      </c>
      <c r="L46" s="1">
        <v>20</v>
      </c>
      <c r="M46" s="1">
        <v>429.94</v>
      </c>
      <c r="N46" s="1">
        <v>1719.74</v>
      </c>
      <c r="O46" s="1" t="s">
        <v>46</v>
      </c>
      <c r="P46" s="1" t="s">
        <v>202</v>
      </c>
      <c r="Q46" s="1">
        <v>4</v>
      </c>
      <c r="R46" s="1">
        <f>Retail_Sales_Analyis[[#This Row],[Final_Price]]-Retail_Sales_Analyis[[#This Row],[Total_Price]]</f>
        <v>-429.93999999999983</v>
      </c>
      <c r="S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" spans="1:19" x14ac:dyDescent="0.25">
      <c r="A47" s="1" t="s">
        <v>203</v>
      </c>
      <c r="B47" s="2">
        <v>45468</v>
      </c>
      <c r="C47" s="1" t="s">
        <v>173</v>
      </c>
      <c r="D47" s="1" t="s">
        <v>28</v>
      </c>
      <c r="E47" s="1" t="s">
        <v>204</v>
      </c>
      <c r="F47" s="1" t="s">
        <v>37</v>
      </c>
      <c r="G47" s="1" t="s">
        <v>169</v>
      </c>
      <c r="H47" s="1" t="s">
        <v>175</v>
      </c>
      <c r="I47" s="1">
        <v>1330.46</v>
      </c>
      <c r="J47" s="1">
        <v>3</v>
      </c>
      <c r="K47" s="1">
        <v>3991.38</v>
      </c>
      <c r="L47" s="1">
        <v>10</v>
      </c>
      <c r="M47" s="1">
        <v>399.14</v>
      </c>
      <c r="N47" s="1">
        <v>3592.24</v>
      </c>
      <c r="O47" s="1" t="s">
        <v>64</v>
      </c>
      <c r="P47" s="1" t="s">
        <v>205</v>
      </c>
      <c r="Q47" s="1">
        <v>3</v>
      </c>
      <c r="R47" s="1">
        <f>Retail_Sales_Analyis[[#This Row],[Final_Price]]-Retail_Sales_Analyis[[#This Row],[Total_Price]]</f>
        <v>-399.14000000000033</v>
      </c>
      <c r="S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" spans="1:19" x14ac:dyDescent="0.25">
      <c r="A48" s="1" t="s">
        <v>206</v>
      </c>
      <c r="B48" s="2">
        <v>45601</v>
      </c>
      <c r="C48" s="1" t="s">
        <v>18</v>
      </c>
      <c r="D48" s="1" t="s">
        <v>28</v>
      </c>
      <c r="E48" s="1" t="s">
        <v>207</v>
      </c>
      <c r="F48" s="1" t="s">
        <v>84</v>
      </c>
      <c r="G48" s="1" t="s">
        <v>169</v>
      </c>
      <c r="H48" s="1" t="s">
        <v>208</v>
      </c>
      <c r="I48" s="1">
        <v>1319.5</v>
      </c>
      <c r="J48" s="1">
        <v>1</v>
      </c>
      <c r="K48" s="1">
        <v>1319.5</v>
      </c>
      <c r="L48" s="1">
        <v>20</v>
      </c>
      <c r="M48" s="1">
        <v>263.89999999999998</v>
      </c>
      <c r="N48" s="1">
        <v>1055.5999999999999</v>
      </c>
      <c r="O48" s="1" t="s">
        <v>80</v>
      </c>
      <c r="P48" s="1" t="s">
        <v>209</v>
      </c>
      <c r="Q48" s="1">
        <v>5</v>
      </c>
      <c r="R48" s="1">
        <f>Retail_Sales_Analyis[[#This Row],[Final_Price]]-Retail_Sales_Analyis[[#This Row],[Total_Price]]</f>
        <v>-263.90000000000009</v>
      </c>
      <c r="S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" spans="1:19" x14ac:dyDescent="0.25">
      <c r="A49" s="1" t="s">
        <v>210</v>
      </c>
      <c r="B49" s="2">
        <v>45427</v>
      </c>
      <c r="C49" s="1" t="s">
        <v>42</v>
      </c>
      <c r="D49" s="1" t="s">
        <v>55</v>
      </c>
      <c r="E49" s="1" t="s">
        <v>207</v>
      </c>
      <c r="F49" s="1" t="s">
        <v>21</v>
      </c>
      <c r="G49" s="1" t="s">
        <v>112</v>
      </c>
      <c r="H49" s="1" t="s">
        <v>183</v>
      </c>
      <c r="I49" s="1">
        <v>890.92</v>
      </c>
      <c r="J49" s="1">
        <v>9</v>
      </c>
      <c r="K49" s="1">
        <v>8018.28</v>
      </c>
      <c r="L49" s="1">
        <v>5</v>
      </c>
      <c r="M49" s="1">
        <v>400.91</v>
      </c>
      <c r="N49" s="1">
        <v>7617.37</v>
      </c>
      <c r="O49" s="1" t="s">
        <v>64</v>
      </c>
      <c r="P49" s="1" t="s">
        <v>211</v>
      </c>
      <c r="Q49" s="1">
        <v>3</v>
      </c>
      <c r="R49" s="1">
        <f>Retail_Sales_Analyis[[#This Row],[Final_Price]]-Retail_Sales_Analyis[[#This Row],[Total_Price]]</f>
        <v>-400.90999999999985</v>
      </c>
      <c r="S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0" spans="1:19" x14ac:dyDescent="0.25">
      <c r="A50" s="1" t="s">
        <v>212</v>
      </c>
      <c r="B50" s="2">
        <v>45314</v>
      </c>
      <c r="C50" s="1" t="s">
        <v>36</v>
      </c>
      <c r="D50" s="1" t="s">
        <v>28</v>
      </c>
      <c r="E50" s="1" t="s">
        <v>213</v>
      </c>
      <c r="F50" s="1" t="s">
        <v>37</v>
      </c>
      <c r="G50" s="1" t="s">
        <v>38</v>
      </c>
      <c r="H50" s="1" t="s">
        <v>214</v>
      </c>
      <c r="I50" s="1">
        <v>425.29</v>
      </c>
      <c r="J50" s="1">
        <v>9</v>
      </c>
      <c r="K50" s="1">
        <v>3827.61</v>
      </c>
      <c r="L50" s="1">
        <v>0</v>
      </c>
      <c r="M50" s="1">
        <v>0</v>
      </c>
      <c r="N50" s="1">
        <v>3827.61</v>
      </c>
      <c r="O50" s="1" t="s">
        <v>33</v>
      </c>
      <c r="P50" s="1" t="s">
        <v>215</v>
      </c>
      <c r="Q50" s="1">
        <v>3</v>
      </c>
      <c r="R50" s="1">
        <f>Retail_Sales_Analyis[[#This Row],[Final_Price]]-Retail_Sales_Analyis[[#This Row],[Total_Price]]</f>
        <v>0</v>
      </c>
      <c r="S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1" spans="1:19" x14ac:dyDescent="0.25">
      <c r="A51" s="1" t="s">
        <v>216</v>
      </c>
      <c r="B51" s="2">
        <v>45527</v>
      </c>
      <c r="C51" s="1" t="s">
        <v>93</v>
      </c>
      <c r="D51" s="1" t="s">
        <v>144</v>
      </c>
      <c r="E51" s="1" t="s">
        <v>129</v>
      </c>
      <c r="F51" s="1" t="s">
        <v>84</v>
      </c>
      <c r="G51" s="1" t="s">
        <v>57</v>
      </c>
      <c r="H51" s="1" t="s">
        <v>122</v>
      </c>
      <c r="I51" s="1">
        <v>2115.65</v>
      </c>
      <c r="J51" s="1">
        <v>9</v>
      </c>
      <c r="K51" s="1">
        <v>19040.849999999999</v>
      </c>
      <c r="L51" s="1">
        <v>0</v>
      </c>
      <c r="M51" s="1">
        <v>0</v>
      </c>
      <c r="N51" s="1">
        <v>19040.849999999999</v>
      </c>
      <c r="O51" s="1" t="s">
        <v>33</v>
      </c>
      <c r="P51" s="1" t="s">
        <v>217</v>
      </c>
      <c r="Q51" s="1">
        <v>2</v>
      </c>
      <c r="R51" s="1">
        <f>Retail_Sales_Analyis[[#This Row],[Final_Price]]-Retail_Sales_Analyis[[#This Row],[Total_Price]]</f>
        <v>0</v>
      </c>
      <c r="S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" spans="1:19" x14ac:dyDescent="0.25">
      <c r="A52" s="1" t="s">
        <v>218</v>
      </c>
      <c r="B52" s="2">
        <v>45566</v>
      </c>
      <c r="C52" s="1" t="s">
        <v>76</v>
      </c>
      <c r="D52" s="1" t="s">
        <v>28</v>
      </c>
      <c r="E52" s="1" t="s">
        <v>192</v>
      </c>
      <c r="F52" s="1" t="s">
        <v>30</v>
      </c>
      <c r="G52" s="1" t="s">
        <v>85</v>
      </c>
      <c r="H52" s="1" t="s">
        <v>86</v>
      </c>
      <c r="I52" s="1">
        <v>4756.7</v>
      </c>
      <c r="J52" s="1">
        <v>1</v>
      </c>
      <c r="K52" s="1">
        <v>4756.7</v>
      </c>
      <c r="L52" s="1">
        <v>0</v>
      </c>
      <c r="M52" s="1">
        <v>0</v>
      </c>
      <c r="N52" s="1">
        <v>4756.7</v>
      </c>
      <c r="O52" s="1" t="s">
        <v>33</v>
      </c>
      <c r="P52" s="1" t="s">
        <v>219</v>
      </c>
      <c r="Q52" s="1">
        <v>2</v>
      </c>
      <c r="R52" s="1">
        <f>Retail_Sales_Analyis[[#This Row],[Final_Price]]-Retail_Sales_Analyis[[#This Row],[Total_Price]]</f>
        <v>0</v>
      </c>
      <c r="S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3" spans="1:19" x14ac:dyDescent="0.25">
      <c r="A53" s="1" t="s">
        <v>220</v>
      </c>
      <c r="B53" s="2">
        <v>45355</v>
      </c>
      <c r="C53" s="1" t="s">
        <v>61</v>
      </c>
      <c r="D53" s="1" t="s">
        <v>43</v>
      </c>
      <c r="E53" s="1" t="s">
        <v>83</v>
      </c>
      <c r="F53" s="1" t="s">
        <v>69</v>
      </c>
      <c r="G53" s="1" t="s">
        <v>57</v>
      </c>
      <c r="H53" s="1" t="s">
        <v>152</v>
      </c>
      <c r="I53" s="1">
        <v>2072.04</v>
      </c>
      <c r="J53" s="1">
        <v>9</v>
      </c>
      <c r="K53" s="1">
        <v>18648.36</v>
      </c>
      <c r="L53" s="1">
        <v>20</v>
      </c>
      <c r="M53" s="1">
        <v>3729.67</v>
      </c>
      <c r="N53" s="1">
        <v>14918.69</v>
      </c>
      <c r="O53" s="1" t="s">
        <v>46</v>
      </c>
      <c r="P53" s="1" t="s">
        <v>221</v>
      </c>
      <c r="Q53" s="1">
        <v>4</v>
      </c>
      <c r="R53" s="1">
        <f>Retail_Sales_Analyis[[#This Row],[Final_Price]]-Retail_Sales_Analyis[[#This Row],[Total_Price]]</f>
        <v>-3729.67</v>
      </c>
      <c r="S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4" spans="1:19" x14ac:dyDescent="0.25">
      <c r="A54" s="1" t="s">
        <v>222</v>
      </c>
      <c r="B54" s="2">
        <v>45485</v>
      </c>
      <c r="C54" s="1" t="s">
        <v>195</v>
      </c>
      <c r="D54" s="1" t="s">
        <v>144</v>
      </c>
      <c r="E54" s="1" t="s">
        <v>117</v>
      </c>
      <c r="F54" s="1" t="s">
        <v>30</v>
      </c>
      <c r="G54" s="1" t="s">
        <v>112</v>
      </c>
      <c r="H54" s="1" t="s">
        <v>223</v>
      </c>
      <c r="I54" s="1">
        <v>1970.88</v>
      </c>
      <c r="J54" s="1">
        <v>6</v>
      </c>
      <c r="K54" s="1">
        <v>11825.28</v>
      </c>
      <c r="L54" s="1">
        <v>0</v>
      </c>
      <c r="M54" s="1">
        <v>0</v>
      </c>
      <c r="N54" s="1">
        <v>11825.28</v>
      </c>
      <c r="O54" s="1" t="s">
        <v>80</v>
      </c>
      <c r="P54" s="1" t="s">
        <v>224</v>
      </c>
      <c r="Q54" s="1">
        <v>3</v>
      </c>
      <c r="R54" s="1">
        <f>Retail_Sales_Analyis[[#This Row],[Final_Price]]-Retail_Sales_Analyis[[#This Row],[Total_Price]]</f>
        <v>0</v>
      </c>
      <c r="S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" spans="1:19" x14ac:dyDescent="0.25">
      <c r="A55" s="1" t="s">
        <v>225</v>
      </c>
      <c r="B55" s="2">
        <v>45332</v>
      </c>
      <c r="C55" s="1" t="s">
        <v>27</v>
      </c>
      <c r="D55" s="1" t="s">
        <v>19</v>
      </c>
      <c r="E55" s="1" t="s">
        <v>151</v>
      </c>
      <c r="F55" s="1" t="s">
        <v>69</v>
      </c>
      <c r="G55" s="1" t="s">
        <v>85</v>
      </c>
      <c r="H55" s="1" t="s">
        <v>86</v>
      </c>
      <c r="I55" s="1">
        <v>3614.7</v>
      </c>
      <c r="J55" s="1">
        <v>6</v>
      </c>
      <c r="K55" s="1">
        <v>21688.2</v>
      </c>
      <c r="L55" s="1">
        <v>10</v>
      </c>
      <c r="M55" s="1">
        <v>2168.8200000000002</v>
      </c>
      <c r="N55" s="1">
        <v>19519.38</v>
      </c>
      <c r="O55" s="1" t="s">
        <v>24</v>
      </c>
      <c r="P55" s="1" t="s">
        <v>226</v>
      </c>
      <c r="Q55" s="1">
        <v>5</v>
      </c>
      <c r="R55" s="1">
        <f>Retail_Sales_Analyis[[#This Row],[Final_Price]]-Retail_Sales_Analyis[[#This Row],[Total_Price]]</f>
        <v>-2168.8199999999997</v>
      </c>
      <c r="S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6" spans="1:19" x14ac:dyDescent="0.25">
      <c r="A56" s="1" t="s">
        <v>227</v>
      </c>
      <c r="B56" s="2">
        <v>45574</v>
      </c>
      <c r="C56" s="1" t="s">
        <v>76</v>
      </c>
      <c r="D56" s="1" t="s">
        <v>55</v>
      </c>
      <c r="E56" s="1" t="s">
        <v>157</v>
      </c>
      <c r="F56" s="1" t="s">
        <v>84</v>
      </c>
      <c r="G56" s="1" t="s">
        <v>57</v>
      </c>
      <c r="H56" s="1" t="s">
        <v>122</v>
      </c>
      <c r="I56" s="1">
        <v>1336.36</v>
      </c>
      <c r="J56" s="1">
        <v>6</v>
      </c>
      <c r="K56" s="1">
        <v>8018.16</v>
      </c>
      <c r="L56" s="1">
        <v>5</v>
      </c>
      <c r="M56" s="1">
        <v>400.91</v>
      </c>
      <c r="N56" s="1">
        <v>7617.25</v>
      </c>
      <c r="O56" s="1" t="s">
        <v>33</v>
      </c>
      <c r="P56" s="1" t="s">
        <v>228</v>
      </c>
      <c r="Q56" s="1">
        <v>5</v>
      </c>
      <c r="R56" s="1">
        <f>Retail_Sales_Analyis[[#This Row],[Final_Price]]-Retail_Sales_Analyis[[#This Row],[Total_Price]]</f>
        <v>-400.90999999999985</v>
      </c>
      <c r="S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7" spans="1:19" x14ac:dyDescent="0.25">
      <c r="A57" s="1" t="s">
        <v>229</v>
      </c>
      <c r="B57" s="2">
        <v>45442</v>
      </c>
      <c r="C57" s="1" t="s">
        <v>42</v>
      </c>
      <c r="D57" s="1" t="s">
        <v>67</v>
      </c>
      <c r="E57" s="1" t="s">
        <v>107</v>
      </c>
      <c r="F57" s="1" t="s">
        <v>21</v>
      </c>
      <c r="G57" s="1" t="s">
        <v>85</v>
      </c>
      <c r="H57" s="1" t="s">
        <v>86</v>
      </c>
      <c r="I57" s="1">
        <v>1662.42</v>
      </c>
      <c r="J57" s="1">
        <v>2</v>
      </c>
      <c r="K57" s="1">
        <v>3324.84</v>
      </c>
      <c r="L57" s="1">
        <v>10</v>
      </c>
      <c r="M57" s="1">
        <v>332.48</v>
      </c>
      <c r="N57" s="1">
        <v>2992.36</v>
      </c>
      <c r="O57" s="1" t="s">
        <v>46</v>
      </c>
      <c r="P57" s="1" t="s">
        <v>230</v>
      </c>
      <c r="Q57" s="1">
        <v>2</v>
      </c>
      <c r="R57" s="1">
        <f>Retail_Sales_Analyis[[#This Row],[Final_Price]]-Retail_Sales_Analyis[[#This Row],[Total_Price]]</f>
        <v>-332.48</v>
      </c>
      <c r="S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8" spans="1:19" x14ac:dyDescent="0.25">
      <c r="A58" s="1" t="s">
        <v>231</v>
      </c>
      <c r="B58" s="2">
        <v>45613</v>
      </c>
      <c r="C58" s="1" t="s">
        <v>18</v>
      </c>
      <c r="D58" s="1" t="s">
        <v>49</v>
      </c>
      <c r="E58" s="1" t="s">
        <v>62</v>
      </c>
      <c r="F58" s="1" t="s">
        <v>37</v>
      </c>
      <c r="G58" s="1" t="s">
        <v>78</v>
      </c>
      <c r="H58" s="1" t="s">
        <v>126</v>
      </c>
      <c r="I58" s="1">
        <v>472.79</v>
      </c>
      <c r="J58" s="1">
        <v>2</v>
      </c>
      <c r="K58" s="1">
        <v>945.58</v>
      </c>
      <c r="L58" s="1">
        <v>15</v>
      </c>
      <c r="M58" s="1">
        <v>141.84</v>
      </c>
      <c r="N58" s="1">
        <v>803.74</v>
      </c>
      <c r="O58" s="1" t="s">
        <v>64</v>
      </c>
      <c r="P58" s="1" t="s">
        <v>232</v>
      </c>
      <c r="Q58" s="1">
        <v>4</v>
      </c>
      <c r="R58" s="1">
        <f>Retail_Sales_Analyis[[#This Row],[Final_Price]]-Retail_Sales_Analyis[[#This Row],[Total_Price]]</f>
        <v>-141.84000000000003</v>
      </c>
      <c r="S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9" spans="1:19" x14ac:dyDescent="0.25">
      <c r="A59" s="1" t="s">
        <v>233</v>
      </c>
      <c r="B59" s="2">
        <v>45608</v>
      </c>
      <c r="C59" s="1" t="s">
        <v>18</v>
      </c>
      <c r="D59" s="1" t="s">
        <v>28</v>
      </c>
      <c r="E59" s="1" t="s">
        <v>29</v>
      </c>
      <c r="F59" s="1" t="s">
        <v>37</v>
      </c>
      <c r="G59" s="1" t="s">
        <v>31</v>
      </c>
      <c r="H59" s="1" t="s">
        <v>32</v>
      </c>
      <c r="I59" s="1">
        <v>144.82</v>
      </c>
      <c r="J59" s="1">
        <v>3</v>
      </c>
      <c r="K59" s="1">
        <v>434.46</v>
      </c>
      <c r="L59" s="1">
        <v>15</v>
      </c>
      <c r="M59" s="1">
        <v>65.17</v>
      </c>
      <c r="N59" s="1">
        <v>369.29</v>
      </c>
      <c r="O59" s="1" t="s">
        <v>33</v>
      </c>
      <c r="P59" s="1" t="s">
        <v>234</v>
      </c>
      <c r="Q59" s="1">
        <v>1</v>
      </c>
      <c r="R59" s="1">
        <f>Retail_Sales_Analyis[[#This Row],[Final_Price]]-Retail_Sales_Analyis[[#This Row],[Total_Price]]</f>
        <v>-65.169999999999959</v>
      </c>
      <c r="S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0" spans="1:19" x14ac:dyDescent="0.25">
      <c r="A60" s="1" t="s">
        <v>235</v>
      </c>
      <c r="B60" s="2">
        <v>45477</v>
      </c>
      <c r="C60" s="1" t="s">
        <v>195</v>
      </c>
      <c r="D60" s="1" t="s">
        <v>67</v>
      </c>
      <c r="E60" s="1" t="s">
        <v>236</v>
      </c>
      <c r="F60" s="1" t="s">
        <v>30</v>
      </c>
      <c r="G60" s="1" t="s">
        <v>85</v>
      </c>
      <c r="H60" s="1" t="s">
        <v>98</v>
      </c>
      <c r="I60" s="1">
        <v>3518.16</v>
      </c>
      <c r="J60" s="1">
        <v>1</v>
      </c>
      <c r="K60" s="1">
        <v>3518.16</v>
      </c>
      <c r="L60" s="1">
        <v>10</v>
      </c>
      <c r="M60" s="1">
        <v>351.82</v>
      </c>
      <c r="N60" s="1">
        <v>3166.34</v>
      </c>
      <c r="O60" s="1" t="s">
        <v>64</v>
      </c>
      <c r="P60" s="1" t="s">
        <v>237</v>
      </c>
      <c r="Q60" s="1">
        <v>1</v>
      </c>
      <c r="R60" s="1">
        <f>Retail_Sales_Analyis[[#This Row],[Final_Price]]-Retail_Sales_Analyis[[#This Row],[Total_Price]]</f>
        <v>-351.81999999999971</v>
      </c>
      <c r="S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1" spans="1:19" x14ac:dyDescent="0.25">
      <c r="A61" s="1" t="s">
        <v>238</v>
      </c>
      <c r="B61" s="2">
        <v>45587</v>
      </c>
      <c r="C61" s="1" t="s">
        <v>76</v>
      </c>
      <c r="D61" s="1" t="s">
        <v>28</v>
      </c>
      <c r="E61" s="1" t="s">
        <v>239</v>
      </c>
      <c r="F61" s="1" t="s">
        <v>21</v>
      </c>
      <c r="G61" s="1" t="s">
        <v>85</v>
      </c>
      <c r="H61" s="1" t="s">
        <v>90</v>
      </c>
      <c r="I61" s="1">
        <v>4832.95</v>
      </c>
      <c r="J61" s="1">
        <v>10</v>
      </c>
      <c r="K61" s="1">
        <v>48329.5</v>
      </c>
      <c r="L61" s="1">
        <v>10</v>
      </c>
      <c r="M61" s="1">
        <v>4832.95</v>
      </c>
      <c r="N61" s="1">
        <v>43496.55</v>
      </c>
      <c r="O61" s="1" t="s">
        <v>24</v>
      </c>
      <c r="P61" s="1" t="s">
        <v>240</v>
      </c>
      <c r="Q61" s="1">
        <v>3</v>
      </c>
      <c r="R61" s="1">
        <f>Retail_Sales_Analyis[[#This Row],[Final_Price]]-Retail_Sales_Analyis[[#This Row],[Total_Price]]</f>
        <v>-4832.9499999999971</v>
      </c>
      <c r="S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2" spans="1:19" x14ac:dyDescent="0.25">
      <c r="A62" s="1" t="s">
        <v>241</v>
      </c>
      <c r="B62" s="2">
        <v>45390</v>
      </c>
      <c r="C62" s="1" t="s">
        <v>54</v>
      </c>
      <c r="D62" s="1" t="s">
        <v>43</v>
      </c>
      <c r="E62" s="1" t="s">
        <v>77</v>
      </c>
      <c r="F62" s="1" t="s">
        <v>21</v>
      </c>
      <c r="G62" s="1" t="s">
        <v>31</v>
      </c>
      <c r="H62" s="1" t="s">
        <v>32</v>
      </c>
      <c r="I62" s="1">
        <v>126.76</v>
      </c>
      <c r="J62" s="1">
        <v>7</v>
      </c>
      <c r="K62" s="1">
        <v>887.32</v>
      </c>
      <c r="L62" s="1">
        <v>10</v>
      </c>
      <c r="M62" s="1">
        <v>88.73</v>
      </c>
      <c r="N62" s="1">
        <v>798.59</v>
      </c>
      <c r="O62" s="1" t="s">
        <v>64</v>
      </c>
      <c r="P62" s="1" t="s">
        <v>242</v>
      </c>
      <c r="Q62" s="1">
        <v>5</v>
      </c>
      <c r="R62" s="1">
        <f>Retail_Sales_Analyis[[#This Row],[Final_Price]]-Retail_Sales_Analyis[[#This Row],[Total_Price]]</f>
        <v>-88.730000000000018</v>
      </c>
      <c r="S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3" spans="1:19" x14ac:dyDescent="0.25">
      <c r="A63" s="1" t="s">
        <v>243</v>
      </c>
      <c r="B63" s="2">
        <v>45652</v>
      </c>
      <c r="C63" s="1" t="s">
        <v>73</v>
      </c>
      <c r="D63" s="1" t="s">
        <v>67</v>
      </c>
      <c r="E63" s="1" t="s">
        <v>192</v>
      </c>
      <c r="F63" s="1" t="s">
        <v>21</v>
      </c>
      <c r="G63" s="1" t="s">
        <v>38</v>
      </c>
      <c r="H63" s="1" t="s">
        <v>214</v>
      </c>
      <c r="I63" s="1">
        <v>606.92999999999995</v>
      </c>
      <c r="J63" s="1">
        <v>6</v>
      </c>
      <c r="K63" s="1">
        <v>3641.58</v>
      </c>
      <c r="L63" s="1">
        <v>5</v>
      </c>
      <c r="M63" s="1">
        <v>182.08</v>
      </c>
      <c r="N63" s="1">
        <v>3459.5</v>
      </c>
      <c r="O63" s="1" t="s">
        <v>80</v>
      </c>
      <c r="P63" s="1" t="s">
        <v>244</v>
      </c>
      <c r="Q63" s="1">
        <v>5</v>
      </c>
      <c r="R63" s="1">
        <f>Retail_Sales_Analyis[[#This Row],[Final_Price]]-Retail_Sales_Analyis[[#This Row],[Total_Price]]</f>
        <v>-182.07999999999993</v>
      </c>
      <c r="S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4" spans="1:19" x14ac:dyDescent="0.25">
      <c r="A64" s="1" t="s">
        <v>245</v>
      </c>
      <c r="B64" s="2">
        <v>45327</v>
      </c>
      <c r="C64" s="1" t="s">
        <v>27</v>
      </c>
      <c r="D64" s="1" t="s">
        <v>43</v>
      </c>
      <c r="E64" s="1" t="s">
        <v>107</v>
      </c>
      <c r="F64" s="1" t="s">
        <v>84</v>
      </c>
      <c r="G64" s="1" t="s">
        <v>22</v>
      </c>
      <c r="H64" s="1" t="s">
        <v>23</v>
      </c>
      <c r="I64" s="1">
        <v>286.86</v>
      </c>
      <c r="J64" s="1">
        <v>4</v>
      </c>
      <c r="K64" s="1">
        <v>1147.44</v>
      </c>
      <c r="L64" s="1">
        <v>10</v>
      </c>
      <c r="M64" s="1">
        <v>114.74</v>
      </c>
      <c r="N64" s="1">
        <v>1032.7</v>
      </c>
      <c r="O64" s="1" t="s">
        <v>80</v>
      </c>
      <c r="P64" s="1" t="s">
        <v>246</v>
      </c>
      <c r="Q64" s="1">
        <v>4</v>
      </c>
      <c r="R64" s="1">
        <f>Retail_Sales_Analyis[[#This Row],[Final_Price]]-Retail_Sales_Analyis[[#This Row],[Total_Price]]</f>
        <v>-114.74000000000001</v>
      </c>
      <c r="S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5" spans="1:19" x14ac:dyDescent="0.25">
      <c r="A65" s="1" t="s">
        <v>247</v>
      </c>
      <c r="B65" s="2">
        <v>45315</v>
      </c>
      <c r="C65" s="1" t="s">
        <v>36</v>
      </c>
      <c r="D65" s="1" t="s">
        <v>55</v>
      </c>
      <c r="E65" s="1" t="s">
        <v>174</v>
      </c>
      <c r="F65" s="1" t="s">
        <v>37</v>
      </c>
      <c r="G65" s="1" t="s">
        <v>85</v>
      </c>
      <c r="H65" s="1" t="s">
        <v>86</v>
      </c>
      <c r="I65" s="1">
        <v>4606.43</v>
      </c>
      <c r="J65" s="1">
        <v>10</v>
      </c>
      <c r="K65" s="1">
        <v>46064.3</v>
      </c>
      <c r="L65" s="1">
        <v>0</v>
      </c>
      <c r="M65" s="1">
        <v>0</v>
      </c>
      <c r="N65" s="1">
        <v>46064.3</v>
      </c>
      <c r="O65" s="1" t="s">
        <v>80</v>
      </c>
      <c r="P65" s="1" t="s">
        <v>248</v>
      </c>
      <c r="Q65" s="1">
        <v>5</v>
      </c>
      <c r="R65" s="1">
        <f>Retail_Sales_Analyis[[#This Row],[Final_Price]]-Retail_Sales_Analyis[[#This Row],[Total_Price]]</f>
        <v>0</v>
      </c>
      <c r="S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" spans="1:19" x14ac:dyDescent="0.25">
      <c r="A66" s="1" t="s">
        <v>249</v>
      </c>
      <c r="B66" s="2">
        <v>45630</v>
      </c>
      <c r="C66" s="1" t="s">
        <v>73</v>
      </c>
      <c r="D66" s="1" t="s">
        <v>55</v>
      </c>
      <c r="E66" s="1" t="s">
        <v>139</v>
      </c>
      <c r="F66" s="1" t="s">
        <v>69</v>
      </c>
      <c r="G66" s="1" t="s">
        <v>31</v>
      </c>
      <c r="H66" s="1" t="s">
        <v>250</v>
      </c>
      <c r="I66" s="1">
        <v>455.89</v>
      </c>
      <c r="J66" s="1">
        <v>9</v>
      </c>
      <c r="K66" s="1">
        <v>4103.01</v>
      </c>
      <c r="L66" s="1">
        <v>20</v>
      </c>
      <c r="M66" s="1">
        <v>820.6</v>
      </c>
      <c r="N66" s="1">
        <v>3282.41</v>
      </c>
      <c r="O66" s="1" t="s">
        <v>24</v>
      </c>
      <c r="P66" s="1" t="s">
        <v>251</v>
      </c>
      <c r="Q66" s="1">
        <v>4</v>
      </c>
      <c r="R66" s="1">
        <f>Retail_Sales_Analyis[[#This Row],[Final_Price]]-Retail_Sales_Analyis[[#This Row],[Total_Price]]</f>
        <v>-820.60000000000036</v>
      </c>
      <c r="S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7" spans="1:19" x14ac:dyDescent="0.25">
      <c r="A67" s="1" t="s">
        <v>252</v>
      </c>
      <c r="B67" s="2">
        <v>45408</v>
      </c>
      <c r="C67" s="1" t="s">
        <v>54</v>
      </c>
      <c r="D67" s="1" t="s">
        <v>144</v>
      </c>
      <c r="E67" s="1" t="s">
        <v>132</v>
      </c>
      <c r="F67" s="1" t="s">
        <v>84</v>
      </c>
      <c r="G67" s="1" t="s">
        <v>112</v>
      </c>
      <c r="H67" s="1" t="s">
        <v>183</v>
      </c>
      <c r="I67" s="1">
        <v>1143.43</v>
      </c>
      <c r="J67" s="1">
        <v>8</v>
      </c>
      <c r="K67" s="1">
        <v>9147.44</v>
      </c>
      <c r="L67" s="1">
        <v>20</v>
      </c>
      <c r="M67" s="1">
        <v>1829.49</v>
      </c>
      <c r="N67" s="1">
        <v>7317.95</v>
      </c>
      <c r="O67" s="1" t="s">
        <v>33</v>
      </c>
      <c r="P67" s="1" t="s">
        <v>253</v>
      </c>
      <c r="Q67" s="1">
        <v>3</v>
      </c>
      <c r="R67" s="1">
        <f>Retail_Sales_Analyis[[#This Row],[Final_Price]]-Retail_Sales_Analyis[[#This Row],[Total_Price]]</f>
        <v>-1829.4900000000007</v>
      </c>
      <c r="S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8" spans="1:19" x14ac:dyDescent="0.25">
      <c r="A68" s="1" t="s">
        <v>254</v>
      </c>
      <c r="B68" s="2">
        <v>45440</v>
      </c>
      <c r="C68" s="1" t="s">
        <v>42</v>
      </c>
      <c r="D68" s="1" t="s">
        <v>28</v>
      </c>
      <c r="E68" s="1" t="s">
        <v>89</v>
      </c>
      <c r="F68" s="1" t="s">
        <v>84</v>
      </c>
      <c r="G68" s="1" t="s">
        <v>22</v>
      </c>
      <c r="H68" s="1" t="s">
        <v>23</v>
      </c>
      <c r="I68" s="1">
        <v>403.61</v>
      </c>
      <c r="J68" s="1">
        <v>4</v>
      </c>
      <c r="K68" s="1">
        <v>1614.44</v>
      </c>
      <c r="L68" s="1">
        <v>20</v>
      </c>
      <c r="M68" s="1">
        <v>322.89</v>
      </c>
      <c r="N68" s="1">
        <v>1291.55</v>
      </c>
      <c r="O68" s="1" t="s">
        <v>24</v>
      </c>
      <c r="P68" s="1" t="s">
        <v>255</v>
      </c>
      <c r="Q68" s="1">
        <v>3</v>
      </c>
      <c r="R68" s="1">
        <f>Retail_Sales_Analyis[[#This Row],[Final_Price]]-Retail_Sales_Analyis[[#This Row],[Total_Price]]</f>
        <v>-322.8900000000001</v>
      </c>
      <c r="S6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9" spans="1:19" x14ac:dyDescent="0.25">
      <c r="A69" s="1" t="s">
        <v>256</v>
      </c>
      <c r="B69" s="2">
        <v>45332</v>
      </c>
      <c r="C69" s="1" t="s">
        <v>27</v>
      </c>
      <c r="D69" s="1" t="s">
        <v>19</v>
      </c>
      <c r="E69" s="1" t="s">
        <v>139</v>
      </c>
      <c r="F69" s="1" t="s">
        <v>37</v>
      </c>
      <c r="G69" s="1" t="s">
        <v>38</v>
      </c>
      <c r="H69" s="1" t="s">
        <v>214</v>
      </c>
      <c r="I69" s="1">
        <v>103.83</v>
      </c>
      <c r="J69" s="1">
        <v>1</v>
      </c>
      <c r="K69" s="1">
        <v>103.83</v>
      </c>
      <c r="L69" s="1">
        <v>10</v>
      </c>
      <c r="M69" s="1">
        <v>10.38</v>
      </c>
      <c r="N69" s="1">
        <v>93.45</v>
      </c>
      <c r="O69" s="1" t="s">
        <v>80</v>
      </c>
      <c r="P69" s="1" t="s">
        <v>257</v>
      </c>
      <c r="Q69" s="1">
        <v>1</v>
      </c>
      <c r="R69" s="1">
        <f>Retail_Sales_Analyis[[#This Row],[Final_Price]]-Retail_Sales_Analyis[[#This Row],[Total_Price]]</f>
        <v>-10.379999999999995</v>
      </c>
      <c r="S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0" spans="1:19" x14ac:dyDescent="0.25">
      <c r="A70" s="1" t="s">
        <v>258</v>
      </c>
      <c r="B70" s="2">
        <v>45411</v>
      </c>
      <c r="C70" s="1" t="s">
        <v>54</v>
      </c>
      <c r="D70" s="1" t="s">
        <v>43</v>
      </c>
      <c r="E70" s="1" t="s">
        <v>151</v>
      </c>
      <c r="F70" s="1" t="s">
        <v>30</v>
      </c>
      <c r="G70" s="1" t="s">
        <v>57</v>
      </c>
      <c r="H70" s="1" t="s">
        <v>158</v>
      </c>
      <c r="I70" s="1">
        <v>1344.77</v>
      </c>
      <c r="J70" s="1">
        <v>2</v>
      </c>
      <c r="K70" s="1">
        <v>2689.54</v>
      </c>
      <c r="L70" s="1">
        <v>0</v>
      </c>
      <c r="M70" s="1">
        <v>0</v>
      </c>
      <c r="N70" s="1">
        <v>2689.54</v>
      </c>
      <c r="O70" s="1" t="s">
        <v>33</v>
      </c>
      <c r="P70" s="1" t="s">
        <v>259</v>
      </c>
      <c r="Q70" s="1">
        <v>5</v>
      </c>
      <c r="R70" s="1">
        <f>Retail_Sales_Analyis[[#This Row],[Final_Price]]-Retail_Sales_Analyis[[#This Row],[Total_Price]]</f>
        <v>0</v>
      </c>
      <c r="S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1" spans="1:19" x14ac:dyDescent="0.25">
      <c r="A71" s="1" t="s">
        <v>260</v>
      </c>
      <c r="B71" s="2">
        <v>45343</v>
      </c>
      <c r="C71" s="1" t="s">
        <v>27</v>
      </c>
      <c r="D71" s="1" t="s">
        <v>55</v>
      </c>
      <c r="E71" s="1" t="s">
        <v>261</v>
      </c>
      <c r="F71" s="1" t="s">
        <v>84</v>
      </c>
      <c r="G71" s="1" t="s">
        <v>22</v>
      </c>
      <c r="H71" s="1" t="s">
        <v>187</v>
      </c>
      <c r="I71" s="1">
        <v>492.52</v>
      </c>
      <c r="J71" s="1">
        <v>5</v>
      </c>
      <c r="K71" s="1">
        <v>2462.6</v>
      </c>
      <c r="L71" s="1">
        <v>15</v>
      </c>
      <c r="M71" s="1">
        <v>369.39</v>
      </c>
      <c r="N71" s="1">
        <v>2093.21</v>
      </c>
      <c r="O71" s="1" t="s">
        <v>33</v>
      </c>
      <c r="P71" s="1" t="s">
        <v>262</v>
      </c>
      <c r="Q71" s="1">
        <v>2</v>
      </c>
      <c r="R71" s="1">
        <f>Retail_Sales_Analyis[[#This Row],[Final_Price]]-Retail_Sales_Analyis[[#This Row],[Total_Price]]</f>
        <v>-369.38999999999987</v>
      </c>
      <c r="S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2" spans="1:19" x14ac:dyDescent="0.25">
      <c r="A72" s="1" t="s">
        <v>263</v>
      </c>
      <c r="B72" s="2">
        <v>45486</v>
      </c>
      <c r="C72" s="1" t="s">
        <v>195</v>
      </c>
      <c r="D72" s="1" t="s">
        <v>19</v>
      </c>
      <c r="E72" s="1" t="s">
        <v>196</v>
      </c>
      <c r="F72" s="1" t="s">
        <v>30</v>
      </c>
      <c r="G72" s="1" t="s">
        <v>31</v>
      </c>
      <c r="H72" s="1" t="s">
        <v>250</v>
      </c>
      <c r="I72" s="1">
        <v>216.6</v>
      </c>
      <c r="J72" s="1">
        <v>9</v>
      </c>
      <c r="K72" s="1">
        <v>1949.4</v>
      </c>
      <c r="L72" s="1">
        <v>5</v>
      </c>
      <c r="M72" s="1">
        <v>97.47</v>
      </c>
      <c r="N72" s="1">
        <v>1851.93</v>
      </c>
      <c r="O72" s="1" t="s">
        <v>46</v>
      </c>
      <c r="P72" s="1" t="s">
        <v>137</v>
      </c>
      <c r="Q72" s="1">
        <v>3</v>
      </c>
      <c r="R72" s="1">
        <f>Retail_Sales_Analyis[[#This Row],[Final_Price]]-Retail_Sales_Analyis[[#This Row],[Total_Price]]</f>
        <v>-97.470000000000027</v>
      </c>
      <c r="S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3" spans="1:19" x14ac:dyDescent="0.25">
      <c r="A73" s="1" t="s">
        <v>264</v>
      </c>
      <c r="B73" s="2">
        <v>45434</v>
      </c>
      <c r="C73" s="1" t="s">
        <v>42</v>
      </c>
      <c r="D73" s="1" t="s">
        <v>55</v>
      </c>
      <c r="E73" s="1" t="s">
        <v>168</v>
      </c>
      <c r="F73" s="1" t="s">
        <v>21</v>
      </c>
      <c r="G73" s="1" t="s">
        <v>22</v>
      </c>
      <c r="H73" s="1" t="s">
        <v>23</v>
      </c>
      <c r="I73" s="1">
        <v>884</v>
      </c>
      <c r="J73" s="1">
        <v>2</v>
      </c>
      <c r="K73" s="1">
        <v>1768</v>
      </c>
      <c r="L73" s="1">
        <v>15</v>
      </c>
      <c r="M73" s="1">
        <v>265.2</v>
      </c>
      <c r="N73" s="1">
        <v>1502.8</v>
      </c>
      <c r="O73" s="1" t="s">
        <v>64</v>
      </c>
      <c r="P73" s="1" t="s">
        <v>265</v>
      </c>
      <c r="Q73" s="1">
        <v>4</v>
      </c>
      <c r="R73" s="1">
        <f>Retail_Sales_Analyis[[#This Row],[Final_Price]]-Retail_Sales_Analyis[[#This Row],[Total_Price]]</f>
        <v>-265.20000000000005</v>
      </c>
      <c r="S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4" spans="1:19" x14ac:dyDescent="0.25">
      <c r="A74" s="1" t="s">
        <v>266</v>
      </c>
      <c r="B74" s="2">
        <v>45524</v>
      </c>
      <c r="C74" s="1" t="s">
        <v>93</v>
      </c>
      <c r="D74" s="1" t="s">
        <v>28</v>
      </c>
      <c r="E74" s="1" t="s">
        <v>168</v>
      </c>
      <c r="F74" s="1" t="s">
        <v>37</v>
      </c>
      <c r="G74" s="1" t="s">
        <v>57</v>
      </c>
      <c r="H74" s="1" t="s">
        <v>122</v>
      </c>
      <c r="I74" s="1">
        <v>1321.57</v>
      </c>
      <c r="J74" s="1">
        <v>6</v>
      </c>
      <c r="K74" s="1">
        <v>7929.42</v>
      </c>
      <c r="L74" s="1">
        <v>20</v>
      </c>
      <c r="M74" s="1">
        <v>1585.88</v>
      </c>
      <c r="N74" s="1">
        <v>6343.54</v>
      </c>
      <c r="O74" s="1" t="s">
        <v>80</v>
      </c>
      <c r="P74" s="1" t="s">
        <v>267</v>
      </c>
      <c r="Q74" s="1">
        <v>5</v>
      </c>
      <c r="R74" s="1">
        <f>Retail_Sales_Analyis[[#This Row],[Final_Price]]-Retail_Sales_Analyis[[#This Row],[Total_Price]]</f>
        <v>-1585.88</v>
      </c>
      <c r="S7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5" spans="1:19" x14ac:dyDescent="0.25">
      <c r="A75" s="1" t="s">
        <v>268</v>
      </c>
      <c r="B75" s="2">
        <v>45617</v>
      </c>
      <c r="C75" s="1" t="s">
        <v>18</v>
      </c>
      <c r="D75" s="1" t="s">
        <v>67</v>
      </c>
      <c r="E75" s="1" t="s">
        <v>239</v>
      </c>
      <c r="F75" s="1" t="s">
        <v>37</v>
      </c>
      <c r="G75" s="1" t="s">
        <v>22</v>
      </c>
      <c r="H75" s="1" t="s">
        <v>133</v>
      </c>
      <c r="I75" s="1">
        <v>843.5</v>
      </c>
      <c r="J75" s="1">
        <v>3</v>
      </c>
      <c r="K75" s="1">
        <v>2530.5</v>
      </c>
      <c r="L75" s="1">
        <v>5</v>
      </c>
      <c r="M75" s="1">
        <v>126.53</v>
      </c>
      <c r="N75" s="1">
        <v>2403.9699999999998</v>
      </c>
      <c r="O75" s="1" t="s">
        <v>80</v>
      </c>
      <c r="P75" s="1" t="s">
        <v>269</v>
      </c>
      <c r="Q75" s="1">
        <v>4</v>
      </c>
      <c r="R75" s="1">
        <f>Retail_Sales_Analyis[[#This Row],[Final_Price]]-Retail_Sales_Analyis[[#This Row],[Total_Price]]</f>
        <v>-126.5300000000002</v>
      </c>
      <c r="S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6" spans="1:19" x14ac:dyDescent="0.25">
      <c r="A76" s="1" t="s">
        <v>270</v>
      </c>
      <c r="B76" s="2">
        <v>45478</v>
      </c>
      <c r="C76" s="1" t="s">
        <v>195</v>
      </c>
      <c r="D76" s="1" t="s">
        <v>144</v>
      </c>
      <c r="E76" s="1" t="s">
        <v>50</v>
      </c>
      <c r="F76" s="1" t="s">
        <v>84</v>
      </c>
      <c r="G76" s="1" t="s">
        <v>57</v>
      </c>
      <c r="H76" s="1" t="s">
        <v>158</v>
      </c>
      <c r="I76" s="1">
        <v>424.11</v>
      </c>
      <c r="J76" s="1">
        <v>1</v>
      </c>
      <c r="K76" s="1">
        <v>424.11</v>
      </c>
      <c r="L76" s="1">
        <v>15</v>
      </c>
      <c r="M76" s="1">
        <v>63.62</v>
      </c>
      <c r="N76" s="1">
        <v>360.49</v>
      </c>
      <c r="O76" s="1" t="s">
        <v>33</v>
      </c>
      <c r="P76" s="1" t="s">
        <v>271</v>
      </c>
      <c r="Q76" s="1">
        <v>4</v>
      </c>
      <c r="R76" s="1">
        <f>Retail_Sales_Analyis[[#This Row],[Final_Price]]-Retail_Sales_Analyis[[#This Row],[Total_Price]]</f>
        <v>-63.620000000000005</v>
      </c>
      <c r="S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7" spans="1:19" x14ac:dyDescent="0.25">
      <c r="A77" s="1" t="s">
        <v>272</v>
      </c>
      <c r="B77" s="2">
        <v>45375</v>
      </c>
      <c r="C77" s="1" t="s">
        <v>61</v>
      </c>
      <c r="D77" s="1" t="s">
        <v>49</v>
      </c>
      <c r="E77" s="1" t="s">
        <v>94</v>
      </c>
      <c r="F77" s="1" t="s">
        <v>21</v>
      </c>
      <c r="G77" s="1" t="s">
        <v>112</v>
      </c>
      <c r="H77" s="1" t="s">
        <v>113</v>
      </c>
      <c r="I77" s="1">
        <v>1460.44</v>
      </c>
      <c r="J77" s="1">
        <v>8</v>
      </c>
      <c r="K77" s="1">
        <v>11683.52</v>
      </c>
      <c r="L77" s="1">
        <v>0</v>
      </c>
      <c r="M77" s="1">
        <v>0</v>
      </c>
      <c r="N77" s="1">
        <v>11683.52</v>
      </c>
      <c r="O77" s="1" t="s">
        <v>64</v>
      </c>
      <c r="P77" s="1" t="s">
        <v>273</v>
      </c>
      <c r="Q77" s="1">
        <v>5</v>
      </c>
      <c r="R77" s="1">
        <f>Retail_Sales_Analyis[[#This Row],[Final_Price]]-Retail_Sales_Analyis[[#This Row],[Total_Price]]</f>
        <v>0</v>
      </c>
      <c r="S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" spans="1:19" x14ac:dyDescent="0.25">
      <c r="A78" s="1" t="s">
        <v>274</v>
      </c>
      <c r="B78" s="2">
        <v>45481</v>
      </c>
      <c r="C78" s="1" t="s">
        <v>195</v>
      </c>
      <c r="D78" s="1" t="s">
        <v>43</v>
      </c>
      <c r="E78" s="1" t="s">
        <v>236</v>
      </c>
      <c r="F78" s="1" t="s">
        <v>37</v>
      </c>
      <c r="G78" s="1" t="s">
        <v>57</v>
      </c>
      <c r="H78" s="1" t="s">
        <v>122</v>
      </c>
      <c r="I78" s="1">
        <v>674.55</v>
      </c>
      <c r="J78" s="1">
        <v>1</v>
      </c>
      <c r="K78" s="1">
        <v>674.55</v>
      </c>
      <c r="L78" s="1">
        <v>0</v>
      </c>
      <c r="M78" s="1">
        <v>0</v>
      </c>
      <c r="N78" s="1">
        <v>674.55</v>
      </c>
      <c r="O78" s="1" t="s">
        <v>64</v>
      </c>
      <c r="P78" s="1" t="s">
        <v>275</v>
      </c>
      <c r="Q78" s="1">
        <v>1</v>
      </c>
      <c r="R78" s="1">
        <f>Retail_Sales_Analyis[[#This Row],[Final_Price]]-Retail_Sales_Analyis[[#This Row],[Total_Price]]</f>
        <v>0</v>
      </c>
      <c r="S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9" spans="1:19" x14ac:dyDescent="0.25">
      <c r="A79" s="1" t="s">
        <v>276</v>
      </c>
      <c r="B79" s="2">
        <v>45473</v>
      </c>
      <c r="C79" s="1" t="s">
        <v>173</v>
      </c>
      <c r="D79" s="1" t="s">
        <v>49</v>
      </c>
      <c r="E79" s="1" t="s">
        <v>157</v>
      </c>
      <c r="F79" s="1" t="s">
        <v>37</v>
      </c>
      <c r="G79" s="1" t="s">
        <v>22</v>
      </c>
      <c r="H79" s="1" t="s">
        <v>277</v>
      </c>
      <c r="I79" s="1">
        <v>735.73</v>
      </c>
      <c r="J79" s="1">
        <v>7</v>
      </c>
      <c r="K79" s="1">
        <v>5150.1099999999997</v>
      </c>
      <c r="L79" s="1">
        <v>10</v>
      </c>
      <c r="M79" s="1">
        <v>515.01</v>
      </c>
      <c r="N79" s="1">
        <v>4635.1000000000004</v>
      </c>
      <c r="O79" s="1" t="s">
        <v>64</v>
      </c>
      <c r="P79" s="1" t="s">
        <v>278</v>
      </c>
      <c r="Q79" s="1">
        <v>5</v>
      </c>
      <c r="R79" s="1">
        <f>Retail_Sales_Analyis[[#This Row],[Final_Price]]-Retail_Sales_Analyis[[#This Row],[Total_Price]]</f>
        <v>-515.00999999999931</v>
      </c>
      <c r="S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" spans="1:19" x14ac:dyDescent="0.25">
      <c r="A80" s="1" t="s">
        <v>279</v>
      </c>
      <c r="B80" s="2">
        <v>45399</v>
      </c>
      <c r="C80" s="1" t="s">
        <v>54</v>
      </c>
      <c r="D80" s="1" t="s">
        <v>55</v>
      </c>
      <c r="E80" s="1" t="s">
        <v>199</v>
      </c>
      <c r="F80" s="1" t="s">
        <v>21</v>
      </c>
      <c r="G80" s="1" t="s">
        <v>169</v>
      </c>
      <c r="H80" s="1" t="s">
        <v>170</v>
      </c>
      <c r="I80" s="1">
        <v>641.39</v>
      </c>
      <c r="J80" s="1">
        <v>9</v>
      </c>
      <c r="K80" s="1">
        <v>5772.51</v>
      </c>
      <c r="L80" s="1">
        <v>10</v>
      </c>
      <c r="M80" s="1">
        <v>577.25</v>
      </c>
      <c r="N80" s="1">
        <v>5195.26</v>
      </c>
      <c r="O80" s="1" t="s">
        <v>46</v>
      </c>
      <c r="P80" s="1" t="s">
        <v>280</v>
      </c>
      <c r="Q80" s="1">
        <v>3</v>
      </c>
      <c r="R80" s="1">
        <f>Retail_Sales_Analyis[[#This Row],[Final_Price]]-Retail_Sales_Analyis[[#This Row],[Total_Price]]</f>
        <v>-577.25</v>
      </c>
      <c r="S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1" spans="1:19" x14ac:dyDescent="0.25">
      <c r="A81" s="1" t="s">
        <v>281</v>
      </c>
      <c r="B81" s="2">
        <v>45635</v>
      </c>
      <c r="C81" s="1" t="s">
        <v>73</v>
      </c>
      <c r="D81" s="1" t="s">
        <v>43</v>
      </c>
      <c r="E81" s="1" t="s">
        <v>261</v>
      </c>
      <c r="F81" s="1" t="s">
        <v>84</v>
      </c>
      <c r="G81" s="1" t="s">
        <v>57</v>
      </c>
      <c r="H81" s="1" t="s">
        <v>58</v>
      </c>
      <c r="I81" s="1">
        <v>2803.2</v>
      </c>
      <c r="J81" s="1">
        <v>10</v>
      </c>
      <c r="K81" s="1">
        <v>28032</v>
      </c>
      <c r="L81" s="1">
        <v>0</v>
      </c>
      <c r="M81" s="1">
        <v>0</v>
      </c>
      <c r="N81" s="1">
        <v>28032</v>
      </c>
      <c r="O81" s="1" t="s">
        <v>46</v>
      </c>
      <c r="P81" s="1" t="s">
        <v>71</v>
      </c>
      <c r="Q81" s="1">
        <v>2</v>
      </c>
      <c r="R81" s="1">
        <f>Retail_Sales_Analyis[[#This Row],[Final_Price]]-Retail_Sales_Analyis[[#This Row],[Total_Price]]</f>
        <v>0</v>
      </c>
      <c r="S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2" spans="1:19" x14ac:dyDescent="0.25">
      <c r="A82" s="1" t="s">
        <v>282</v>
      </c>
      <c r="B82" s="2">
        <v>45428</v>
      </c>
      <c r="C82" s="1" t="s">
        <v>42</v>
      </c>
      <c r="D82" s="1" t="s">
        <v>67</v>
      </c>
      <c r="E82" s="1" t="s">
        <v>141</v>
      </c>
      <c r="F82" s="1" t="s">
        <v>84</v>
      </c>
      <c r="G82" s="1" t="s">
        <v>169</v>
      </c>
      <c r="H82" s="1" t="s">
        <v>170</v>
      </c>
      <c r="I82" s="1">
        <v>653.1</v>
      </c>
      <c r="J82" s="1">
        <v>2</v>
      </c>
      <c r="K82" s="1">
        <v>1306.2</v>
      </c>
      <c r="L82" s="1">
        <v>20</v>
      </c>
      <c r="M82" s="1">
        <v>261.24</v>
      </c>
      <c r="N82" s="1">
        <v>1044.96</v>
      </c>
      <c r="O82" s="1" t="s">
        <v>80</v>
      </c>
      <c r="P82" s="1" t="s">
        <v>283</v>
      </c>
      <c r="Q82" s="1">
        <v>3</v>
      </c>
      <c r="R82" s="1">
        <f>Retail_Sales_Analyis[[#This Row],[Final_Price]]-Retail_Sales_Analyis[[#This Row],[Total_Price]]</f>
        <v>-261.24</v>
      </c>
      <c r="S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3" spans="1:19" x14ac:dyDescent="0.25">
      <c r="A83" s="1" t="s">
        <v>284</v>
      </c>
      <c r="B83" s="2">
        <v>45651</v>
      </c>
      <c r="C83" s="1" t="s">
        <v>73</v>
      </c>
      <c r="D83" s="1" t="s">
        <v>55</v>
      </c>
      <c r="E83" s="1" t="s">
        <v>285</v>
      </c>
      <c r="F83" s="1" t="s">
        <v>69</v>
      </c>
      <c r="G83" s="1" t="s">
        <v>31</v>
      </c>
      <c r="H83" s="1" t="s">
        <v>32</v>
      </c>
      <c r="I83" s="1">
        <v>303.43</v>
      </c>
      <c r="J83" s="1">
        <v>4</v>
      </c>
      <c r="K83" s="1">
        <v>1213.72</v>
      </c>
      <c r="L83" s="1">
        <v>20</v>
      </c>
      <c r="M83" s="1">
        <v>242.74</v>
      </c>
      <c r="N83" s="1">
        <v>970.98</v>
      </c>
      <c r="O83" s="1" t="s">
        <v>46</v>
      </c>
      <c r="P83" s="1" t="s">
        <v>286</v>
      </c>
      <c r="Q83" s="1">
        <v>4</v>
      </c>
      <c r="R83" s="1">
        <f>Retail_Sales_Analyis[[#This Row],[Final_Price]]-Retail_Sales_Analyis[[#This Row],[Total_Price]]</f>
        <v>-242.74</v>
      </c>
      <c r="S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4" spans="1:19" x14ac:dyDescent="0.25">
      <c r="A84" s="1" t="s">
        <v>287</v>
      </c>
      <c r="B84" s="2">
        <v>45641</v>
      </c>
      <c r="C84" s="1" t="s">
        <v>73</v>
      </c>
      <c r="D84" s="1" t="s">
        <v>49</v>
      </c>
      <c r="E84" s="1" t="s">
        <v>166</v>
      </c>
      <c r="F84" s="1" t="s">
        <v>69</v>
      </c>
      <c r="G84" s="1" t="s">
        <v>112</v>
      </c>
      <c r="H84" s="1" t="s">
        <v>288</v>
      </c>
      <c r="I84" s="1">
        <v>674.4</v>
      </c>
      <c r="J84" s="1">
        <v>2</v>
      </c>
      <c r="K84" s="1">
        <v>1348.8</v>
      </c>
      <c r="L84" s="1">
        <v>5</v>
      </c>
      <c r="M84" s="1">
        <v>67.44</v>
      </c>
      <c r="N84" s="1">
        <v>1281.3599999999999</v>
      </c>
      <c r="O84" s="1" t="s">
        <v>64</v>
      </c>
      <c r="P84" s="1" t="s">
        <v>289</v>
      </c>
      <c r="Q84" s="1">
        <v>2</v>
      </c>
      <c r="R84" s="1">
        <f>Retail_Sales_Analyis[[#This Row],[Final_Price]]-Retail_Sales_Analyis[[#This Row],[Total_Price]]</f>
        <v>-67.440000000000055</v>
      </c>
      <c r="S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5" spans="1:19" x14ac:dyDescent="0.25">
      <c r="A85" s="1" t="s">
        <v>290</v>
      </c>
      <c r="B85" s="2">
        <v>45623</v>
      </c>
      <c r="C85" s="1" t="s">
        <v>18</v>
      </c>
      <c r="D85" s="1" t="s">
        <v>55</v>
      </c>
      <c r="E85" s="1" t="s">
        <v>207</v>
      </c>
      <c r="F85" s="1" t="s">
        <v>30</v>
      </c>
      <c r="G85" s="1" t="s">
        <v>78</v>
      </c>
      <c r="H85" s="1" t="s">
        <v>126</v>
      </c>
      <c r="I85" s="1">
        <v>391.04</v>
      </c>
      <c r="J85" s="1">
        <v>5</v>
      </c>
      <c r="K85" s="1">
        <v>1955.2</v>
      </c>
      <c r="L85" s="1">
        <v>0</v>
      </c>
      <c r="M85" s="1">
        <v>0</v>
      </c>
      <c r="N85" s="1">
        <v>1955.2</v>
      </c>
      <c r="O85" s="1" t="s">
        <v>46</v>
      </c>
      <c r="P85" s="1" t="s">
        <v>291</v>
      </c>
      <c r="Q85" s="1">
        <v>1</v>
      </c>
      <c r="R85" s="1">
        <f>Retail_Sales_Analyis[[#This Row],[Final_Price]]-Retail_Sales_Analyis[[#This Row],[Total_Price]]</f>
        <v>0</v>
      </c>
      <c r="S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" spans="1:19" x14ac:dyDescent="0.25">
      <c r="A86" s="1" t="s">
        <v>292</v>
      </c>
      <c r="B86" s="2">
        <v>45328</v>
      </c>
      <c r="C86" s="1" t="s">
        <v>27</v>
      </c>
      <c r="D86" s="1" t="s">
        <v>28</v>
      </c>
      <c r="E86" s="1" t="s">
        <v>117</v>
      </c>
      <c r="F86" s="1" t="s">
        <v>21</v>
      </c>
      <c r="G86" s="1" t="s">
        <v>85</v>
      </c>
      <c r="H86" s="1" t="s">
        <v>86</v>
      </c>
      <c r="I86" s="1">
        <v>2255.4899999999998</v>
      </c>
      <c r="J86" s="1">
        <v>4</v>
      </c>
      <c r="K86" s="1">
        <v>9021.9599999999991</v>
      </c>
      <c r="L86" s="1">
        <v>10</v>
      </c>
      <c r="M86" s="1">
        <v>902.2</v>
      </c>
      <c r="N86" s="1">
        <v>8119.76</v>
      </c>
      <c r="O86" s="1" t="s">
        <v>46</v>
      </c>
      <c r="P86" s="1" t="s">
        <v>293</v>
      </c>
      <c r="Q86" s="1">
        <v>2</v>
      </c>
      <c r="R86" s="1">
        <f>Retail_Sales_Analyis[[#This Row],[Final_Price]]-Retail_Sales_Analyis[[#This Row],[Total_Price]]</f>
        <v>-902.19999999999891</v>
      </c>
      <c r="S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" spans="1:19" x14ac:dyDescent="0.25">
      <c r="A87" s="1" t="s">
        <v>294</v>
      </c>
      <c r="B87" s="2">
        <v>45603</v>
      </c>
      <c r="C87" s="1" t="s">
        <v>18</v>
      </c>
      <c r="D87" s="1" t="s">
        <v>67</v>
      </c>
      <c r="E87" s="1" t="s">
        <v>29</v>
      </c>
      <c r="F87" s="1" t="s">
        <v>84</v>
      </c>
      <c r="G87" s="1" t="s">
        <v>57</v>
      </c>
      <c r="H87" s="1" t="s">
        <v>101</v>
      </c>
      <c r="I87" s="1">
        <v>2259.1999999999998</v>
      </c>
      <c r="J87" s="1">
        <v>5</v>
      </c>
      <c r="K87" s="1">
        <v>11296</v>
      </c>
      <c r="L87" s="1">
        <v>0</v>
      </c>
      <c r="M87" s="1">
        <v>0</v>
      </c>
      <c r="N87" s="1">
        <v>11296</v>
      </c>
      <c r="O87" s="1" t="s">
        <v>64</v>
      </c>
      <c r="P87" s="1" t="s">
        <v>295</v>
      </c>
      <c r="Q87" s="1">
        <v>2</v>
      </c>
      <c r="R87" s="1">
        <f>Retail_Sales_Analyis[[#This Row],[Final_Price]]-Retail_Sales_Analyis[[#This Row],[Total_Price]]</f>
        <v>0</v>
      </c>
      <c r="S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8" spans="1:19" x14ac:dyDescent="0.25">
      <c r="A88" s="1" t="s">
        <v>296</v>
      </c>
      <c r="B88" s="2">
        <v>45617</v>
      </c>
      <c r="C88" s="1" t="s">
        <v>18</v>
      </c>
      <c r="D88" s="1" t="s">
        <v>67</v>
      </c>
      <c r="E88" s="1" t="s">
        <v>157</v>
      </c>
      <c r="F88" s="1" t="s">
        <v>84</v>
      </c>
      <c r="G88" s="1" t="s">
        <v>85</v>
      </c>
      <c r="H88" s="1" t="s">
        <v>297</v>
      </c>
      <c r="I88" s="1">
        <v>1479.51</v>
      </c>
      <c r="J88" s="1">
        <v>2</v>
      </c>
      <c r="K88" s="1">
        <v>2959.02</v>
      </c>
      <c r="L88" s="1">
        <v>15</v>
      </c>
      <c r="M88" s="1">
        <v>443.85</v>
      </c>
      <c r="N88" s="1">
        <v>2515.17</v>
      </c>
      <c r="O88" s="1" t="s">
        <v>33</v>
      </c>
      <c r="P88" s="1" t="s">
        <v>298</v>
      </c>
      <c r="Q88" s="1">
        <v>5</v>
      </c>
      <c r="R88" s="1">
        <f>Retail_Sales_Analyis[[#This Row],[Final_Price]]-Retail_Sales_Analyis[[#This Row],[Total_Price]]</f>
        <v>-443.84999999999991</v>
      </c>
      <c r="S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9" spans="1:19" x14ac:dyDescent="0.25">
      <c r="A89" s="1" t="s">
        <v>299</v>
      </c>
      <c r="B89" s="2">
        <v>45379</v>
      </c>
      <c r="C89" s="1" t="s">
        <v>61</v>
      </c>
      <c r="D89" s="1" t="s">
        <v>67</v>
      </c>
      <c r="E89" s="1" t="s">
        <v>44</v>
      </c>
      <c r="F89" s="1" t="s">
        <v>21</v>
      </c>
      <c r="G89" s="1" t="s">
        <v>112</v>
      </c>
      <c r="H89" s="1" t="s">
        <v>288</v>
      </c>
      <c r="I89" s="1">
        <v>1056.79</v>
      </c>
      <c r="J89" s="1">
        <v>6</v>
      </c>
      <c r="K89" s="1">
        <v>6340.74</v>
      </c>
      <c r="L89" s="1">
        <v>5</v>
      </c>
      <c r="M89" s="1">
        <v>317.04000000000002</v>
      </c>
      <c r="N89" s="1">
        <v>6023.7</v>
      </c>
      <c r="O89" s="1" t="s">
        <v>80</v>
      </c>
      <c r="P89" s="1" t="s">
        <v>300</v>
      </c>
      <c r="Q89" s="1">
        <v>3</v>
      </c>
      <c r="R89" s="1">
        <f>Retail_Sales_Analyis[[#This Row],[Final_Price]]-Retail_Sales_Analyis[[#This Row],[Total_Price]]</f>
        <v>-317.03999999999996</v>
      </c>
      <c r="S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0" spans="1:19" x14ac:dyDescent="0.25">
      <c r="A90" s="1" t="s">
        <v>301</v>
      </c>
      <c r="B90" s="2">
        <v>45565</v>
      </c>
      <c r="C90" s="1" t="s">
        <v>116</v>
      </c>
      <c r="D90" s="1" t="s">
        <v>43</v>
      </c>
      <c r="E90" s="1" t="s">
        <v>302</v>
      </c>
      <c r="F90" s="1" t="s">
        <v>69</v>
      </c>
      <c r="G90" s="1" t="s">
        <v>38</v>
      </c>
      <c r="H90" s="1" t="s">
        <v>108</v>
      </c>
      <c r="I90" s="1">
        <v>255.46</v>
      </c>
      <c r="J90" s="1">
        <v>10</v>
      </c>
      <c r="K90" s="1">
        <v>2554.6</v>
      </c>
      <c r="L90" s="1">
        <v>0</v>
      </c>
      <c r="M90" s="1">
        <v>0</v>
      </c>
      <c r="N90" s="1">
        <v>2554.6</v>
      </c>
      <c r="O90" s="1" t="s">
        <v>24</v>
      </c>
      <c r="P90" s="1" t="s">
        <v>303</v>
      </c>
      <c r="Q90" s="1">
        <v>5</v>
      </c>
      <c r="R90" s="1">
        <f>Retail_Sales_Analyis[[#This Row],[Final_Price]]-Retail_Sales_Analyis[[#This Row],[Total_Price]]</f>
        <v>0</v>
      </c>
      <c r="S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1" spans="1:19" x14ac:dyDescent="0.25">
      <c r="A91" s="1" t="s">
        <v>304</v>
      </c>
      <c r="B91" s="2">
        <v>45417</v>
      </c>
      <c r="C91" s="1" t="s">
        <v>42</v>
      </c>
      <c r="D91" s="1" t="s">
        <v>49</v>
      </c>
      <c r="E91" s="1" t="s">
        <v>56</v>
      </c>
      <c r="F91" s="1" t="s">
        <v>30</v>
      </c>
      <c r="G91" s="1" t="s">
        <v>112</v>
      </c>
      <c r="H91" s="1" t="s">
        <v>183</v>
      </c>
      <c r="I91" s="1">
        <v>1020.93</v>
      </c>
      <c r="J91" s="1">
        <v>3</v>
      </c>
      <c r="K91" s="1">
        <v>3062.79</v>
      </c>
      <c r="L91" s="1">
        <v>5</v>
      </c>
      <c r="M91" s="1">
        <v>153.13999999999999</v>
      </c>
      <c r="N91" s="1">
        <v>2909.65</v>
      </c>
      <c r="O91" s="1" t="s">
        <v>24</v>
      </c>
      <c r="P91" s="1" t="s">
        <v>305</v>
      </c>
      <c r="Q91" s="1">
        <v>5</v>
      </c>
      <c r="R91" s="1">
        <f>Retail_Sales_Analyis[[#This Row],[Final_Price]]-Retail_Sales_Analyis[[#This Row],[Total_Price]]</f>
        <v>-153.13999999999987</v>
      </c>
      <c r="S9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2" spans="1:19" x14ac:dyDescent="0.25">
      <c r="A92" s="1" t="s">
        <v>306</v>
      </c>
      <c r="B92" s="2">
        <v>45375</v>
      </c>
      <c r="C92" s="1" t="s">
        <v>61</v>
      </c>
      <c r="D92" s="1" t="s">
        <v>49</v>
      </c>
      <c r="E92" s="1" t="s">
        <v>307</v>
      </c>
      <c r="F92" s="1" t="s">
        <v>84</v>
      </c>
      <c r="G92" s="1" t="s">
        <v>112</v>
      </c>
      <c r="H92" s="1" t="s">
        <v>223</v>
      </c>
      <c r="I92" s="1">
        <v>1511.15</v>
      </c>
      <c r="J92" s="1">
        <v>7</v>
      </c>
      <c r="K92" s="1">
        <v>10578.05</v>
      </c>
      <c r="L92" s="1">
        <v>10</v>
      </c>
      <c r="M92" s="1">
        <v>1057.81</v>
      </c>
      <c r="N92" s="1">
        <v>9520.24</v>
      </c>
      <c r="O92" s="1" t="s">
        <v>24</v>
      </c>
      <c r="P92" s="1" t="s">
        <v>308</v>
      </c>
      <c r="Q92" s="1">
        <v>3</v>
      </c>
      <c r="R92" s="1">
        <f>Retail_Sales_Analyis[[#This Row],[Final_Price]]-Retail_Sales_Analyis[[#This Row],[Total_Price]]</f>
        <v>-1057.8099999999995</v>
      </c>
      <c r="S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" spans="1:19" x14ac:dyDescent="0.25">
      <c r="A93" s="1" t="s">
        <v>309</v>
      </c>
      <c r="B93" s="2">
        <v>45528</v>
      </c>
      <c r="C93" s="1" t="s">
        <v>93</v>
      </c>
      <c r="D93" s="1" t="s">
        <v>19</v>
      </c>
      <c r="E93" s="1" t="s">
        <v>62</v>
      </c>
      <c r="F93" s="1" t="s">
        <v>30</v>
      </c>
      <c r="G93" s="1" t="s">
        <v>38</v>
      </c>
      <c r="H93" s="1" t="s">
        <v>214</v>
      </c>
      <c r="I93" s="1">
        <v>483.99</v>
      </c>
      <c r="J93" s="1">
        <v>4</v>
      </c>
      <c r="K93" s="1">
        <v>1935.96</v>
      </c>
      <c r="L93" s="1">
        <v>0</v>
      </c>
      <c r="M93" s="1">
        <v>0</v>
      </c>
      <c r="N93" s="1">
        <v>1935.96</v>
      </c>
      <c r="O93" s="1" t="s">
        <v>33</v>
      </c>
      <c r="P93" s="1" t="s">
        <v>310</v>
      </c>
      <c r="Q93" s="1">
        <v>5</v>
      </c>
      <c r="R93" s="1">
        <f>Retail_Sales_Analyis[[#This Row],[Final_Price]]-Retail_Sales_Analyis[[#This Row],[Total_Price]]</f>
        <v>0</v>
      </c>
      <c r="S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" spans="1:19" x14ac:dyDescent="0.25">
      <c r="A94" s="1" t="s">
        <v>311</v>
      </c>
      <c r="B94" s="2">
        <v>45486</v>
      </c>
      <c r="C94" s="1" t="s">
        <v>195</v>
      </c>
      <c r="D94" s="1" t="s">
        <v>19</v>
      </c>
      <c r="E94" s="1" t="s">
        <v>312</v>
      </c>
      <c r="F94" s="1" t="s">
        <v>21</v>
      </c>
      <c r="G94" s="1" t="s">
        <v>31</v>
      </c>
      <c r="H94" s="1" t="s">
        <v>32</v>
      </c>
      <c r="I94" s="1">
        <v>144.74</v>
      </c>
      <c r="J94" s="1">
        <v>6</v>
      </c>
      <c r="K94" s="1">
        <v>868.44</v>
      </c>
      <c r="L94" s="1">
        <v>0</v>
      </c>
      <c r="M94" s="1">
        <v>0</v>
      </c>
      <c r="N94" s="1">
        <v>868.44</v>
      </c>
      <c r="O94" s="1" t="s">
        <v>33</v>
      </c>
      <c r="P94" s="1" t="s">
        <v>313</v>
      </c>
      <c r="Q94" s="1">
        <v>3</v>
      </c>
      <c r="R94" s="1">
        <f>Retail_Sales_Analyis[[#This Row],[Final_Price]]-Retail_Sales_Analyis[[#This Row],[Total_Price]]</f>
        <v>0</v>
      </c>
      <c r="S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" spans="1:19" x14ac:dyDescent="0.25">
      <c r="A95" s="1" t="s">
        <v>314</v>
      </c>
      <c r="B95" s="2">
        <v>45430</v>
      </c>
      <c r="C95" s="1" t="s">
        <v>42</v>
      </c>
      <c r="D95" s="1" t="s">
        <v>19</v>
      </c>
      <c r="E95" s="1" t="s">
        <v>163</v>
      </c>
      <c r="F95" s="1" t="s">
        <v>69</v>
      </c>
      <c r="G95" s="1" t="s">
        <v>85</v>
      </c>
      <c r="H95" s="1" t="s">
        <v>90</v>
      </c>
      <c r="I95" s="1">
        <v>3744.05</v>
      </c>
      <c r="J95" s="1">
        <v>2</v>
      </c>
      <c r="K95" s="1">
        <v>7488.1</v>
      </c>
      <c r="L95" s="1">
        <v>15</v>
      </c>
      <c r="M95" s="1">
        <v>1123.21</v>
      </c>
      <c r="N95" s="1">
        <v>6364.89</v>
      </c>
      <c r="O95" s="1" t="s">
        <v>46</v>
      </c>
      <c r="P95" s="1" t="s">
        <v>315</v>
      </c>
      <c r="Q95" s="1">
        <v>2</v>
      </c>
      <c r="R95" s="1">
        <f>Retail_Sales_Analyis[[#This Row],[Final_Price]]-Retail_Sales_Analyis[[#This Row],[Total_Price]]</f>
        <v>-1123.21</v>
      </c>
      <c r="S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6" spans="1:19" x14ac:dyDescent="0.25">
      <c r="A96" s="1" t="s">
        <v>316</v>
      </c>
      <c r="B96" s="2">
        <v>45619</v>
      </c>
      <c r="C96" s="1" t="s">
        <v>18</v>
      </c>
      <c r="D96" s="1" t="s">
        <v>19</v>
      </c>
      <c r="E96" s="1" t="s">
        <v>261</v>
      </c>
      <c r="F96" s="1" t="s">
        <v>69</v>
      </c>
      <c r="G96" s="1" t="s">
        <v>22</v>
      </c>
      <c r="H96" s="1" t="s">
        <v>23</v>
      </c>
      <c r="I96" s="1">
        <v>316.67</v>
      </c>
      <c r="J96" s="1">
        <v>3</v>
      </c>
      <c r="K96" s="1">
        <v>950.01</v>
      </c>
      <c r="L96" s="1">
        <v>5</v>
      </c>
      <c r="M96" s="1">
        <v>47.5</v>
      </c>
      <c r="N96" s="1">
        <v>902.51</v>
      </c>
      <c r="O96" s="1" t="s">
        <v>24</v>
      </c>
      <c r="P96" s="1" t="s">
        <v>200</v>
      </c>
      <c r="Q96" s="1">
        <v>2</v>
      </c>
      <c r="R96" s="1">
        <f>Retail_Sales_Analyis[[#This Row],[Final_Price]]-Retail_Sales_Analyis[[#This Row],[Total_Price]]</f>
        <v>-47.5</v>
      </c>
      <c r="S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7" spans="1:19" x14ac:dyDescent="0.25">
      <c r="A97" s="1" t="s">
        <v>317</v>
      </c>
      <c r="B97" s="2">
        <v>45644</v>
      </c>
      <c r="C97" s="1" t="s">
        <v>73</v>
      </c>
      <c r="D97" s="1" t="s">
        <v>55</v>
      </c>
      <c r="E97" s="1" t="s">
        <v>207</v>
      </c>
      <c r="F97" s="1" t="s">
        <v>37</v>
      </c>
      <c r="G97" s="1" t="s">
        <v>78</v>
      </c>
      <c r="H97" s="1" t="s">
        <v>136</v>
      </c>
      <c r="I97" s="1">
        <v>285.02</v>
      </c>
      <c r="J97" s="1">
        <v>9</v>
      </c>
      <c r="K97" s="1">
        <v>2565.1799999999998</v>
      </c>
      <c r="L97" s="1">
        <v>20</v>
      </c>
      <c r="M97" s="1">
        <v>513.04</v>
      </c>
      <c r="N97" s="1">
        <v>2052.14</v>
      </c>
      <c r="O97" s="1" t="s">
        <v>80</v>
      </c>
      <c r="P97" s="1" t="s">
        <v>318</v>
      </c>
      <c r="Q97" s="1">
        <v>1</v>
      </c>
      <c r="R97" s="1">
        <f>Retail_Sales_Analyis[[#This Row],[Final_Price]]-Retail_Sales_Analyis[[#This Row],[Total_Price]]</f>
        <v>-513.04</v>
      </c>
      <c r="S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8" spans="1:19" x14ac:dyDescent="0.25">
      <c r="A98" s="1" t="s">
        <v>319</v>
      </c>
      <c r="B98" s="2">
        <v>45577</v>
      </c>
      <c r="C98" s="1" t="s">
        <v>76</v>
      </c>
      <c r="D98" s="1" t="s">
        <v>19</v>
      </c>
      <c r="E98" s="1" t="s">
        <v>117</v>
      </c>
      <c r="F98" s="1" t="s">
        <v>30</v>
      </c>
      <c r="G98" s="1" t="s">
        <v>85</v>
      </c>
      <c r="H98" s="1" t="s">
        <v>297</v>
      </c>
      <c r="I98" s="1">
        <v>1861.87</v>
      </c>
      <c r="J98" s="1">
        <v>5</v>
      </c>
      <c r="K98" s="1">
        <v>9309.35</v>
      </c>
      <c r="L98" s="1">
        <v>5</v>
      </c>
      <c r="M98" s="1">
        <v>465.47</v>
      </c>
      <c r="N98" s="1">
        <v>8843.8799999999992</v>
      </c>
      <c r="O98" s="1" t="s">
        <v>24</v>
      </c>
      <c r="P98" s="1" t="s">
        <v>320</v>
      </c>
      <c r="Q98" s="1">
        <v>4</v>
      </c>
      <c r="R98" s="1">
        <f>Retail_Sales_Analyis[[#This Row],[Final_Price]]-Retail_Sales_Analyis[[#This Row],[Total_Price]]</f>
        <v>-465.47000000000116</v>
      </c>
      <c r="S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9" spans="1:19" x14ac:dyDescent="0.25">
      <c r="A99" s="1" t="s">
        <v>321</v>
      </c>
      <c r="B99" s="2">
        <v>45404</v>
      </c>
      <c r="C99" s="1" t="s">
        <v>54</v>
      </c>
      <c r="D99" s="1" t="s">
        <v>43</v>
      </c>
      <c r="E99" s="1" t="s">
        <v>322</v>
      </c>
      <c r="F99" s="1" t="s">
        <v>30</v>
      </c>
      <c r="G99" s="1" t="s">
        <v>78</v>
      </c>
      <c r="H99" s="1" t="s">
        <v>323</v>
      </c>
      <c r="I99" s="1">
        <v>402.16</v>
      </c>
      <c r="J99" s="1">
        <v>5</v>
      </c>
      <c r="K99" s="1">
        <v>2010.8</v>
      </c>
      <c r="L99" s="1">
        <v>0</v>
      </c>
      <c r="M99" s="1">
        <v>0</v>
      </c>
      <c r="N99" s="1">
        <v>2010.8</v>
      </c>
      <c r="O99" s="1" t="s">
        <v>24</v>
      </c>
      <c r="P99" s="1" t="s">
        <v>324</v>
      </c>
      <c r="Q99" s="1">
        <v>4</v>
      </c>
      <c r="R99" s="1">
        <f>Retail_Sales_Analyis[[#This Row],[Final_Price]]-Retail_Sales_Analyis[[#This Row],[Total_Price]]</f>
        <v>0</v>
      </c>
      <c r="S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0" spans="1:19" x14ac:dyDescent="0.25">
      <c r="A100" s="1" t="s">
        <v>325</v>
      </c>
      <c r="B100" s="2">
        <v>45642</v>
      </c>
      <c r="C100" s="1" t="s">
        <v>73</v>
      </c>
      <c r="D100" s="1" t="s">
        <v>43</v>
      </c>
      <c r="E100" s="1" t="s">
        <v>166</v>
      </c>
      <c r="F100" s="1" t="s">
        <v>84</v>
      </c>
      <c r="G100" s="1" t="s">
        <v>57</v>
      </c>
      <c r="H100" s="1" t="s">
        <v>122</v>
      </c>
      <c r="I100" s="1">
        <v>1812.5</v>
      </c>
      <c r="J100" s="1">
        <v>9</v>
      </c>
      <c r="K100" s="1">
        <v>16312.5</v>
      </c>
      <c r="L100" s="1">
        <v>0</v>
      </c>
      <c r="M100" s="1">
        <v>0</v>
      </c>
      <c r="N100" s="1">
        <v>16312.5</v>
      </c>
      <c r="O100" s="1" t="s">
        <v>46</v>
      </c>
      <c r="P100" s="1" t="s">
        <v>326</v>
      </c>
      <c r="Q100" s="1">
        <v>3</v>
      </c>
      <c r="R100" s="1">
        <f>Retail_Sales_Analyis[[#This Row],[Final_Price]]-Retail_Sales_Analyis[[#This Row],[Total_Price]]</f>
        <v>0</v>
      </c>
      <c r="S1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1" spans="1:19" x14ac:dyDescent="0.25">
      <c r="A101" s="1" t="s">
        <v>327</v>
      </c>
      <c r="B101" s="2">
        <v>45458</v>
      </c>
      <c r="C101" s="1" t="s">
        <v>173</v>
      </c>
      <c r="D101" s="1" t="s">
        <v>19</v>
      </c>
      <c r="E101" s="1" t="s">
        <v>328</v>
      </c>
      <c r="F101" s="1" t="s">
        <v>30</v>
      </c>
      <c r="G101" s="1" t="s">
        <v>31</v>
      </c>
      <c r="H101" s="1" t="s">
        <v>329</v>
      </c>
      <c r="I101" s="1">
        <v>221.48</v>
      </c>
      <c r="J101" s="1">
        <v>5</v>
      </c>
      <c r="K101" s="1">
        <v>1107.4000000000001</v>
      </c>
      <c r="L101" s="1">
        <v>5</v>
      </c>
      <c r="M101" s="1">
        <v>55.37</v>
      </c>
      <c r="N101" s="1">
        <v>1052.03</v>
      </c>
      <c r="O101" s="1" t="s">
        <v>64</v>
      </c>
      <c r="P101" s="1" t="s">
        <v>330</v>
      </c>
      <c r="Q101" s="1">
        <v>2</v>
      </c>
      <c r="R101" s="1">
        <f>Retail_Sales_Analyis[[#This Row],[Final_Price]]-Retail_Sales_Analyis[[#This Row],[Total_Price]]</f>
        <v>-55.370000000000118</v>
      </c>
      <c r="S1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2" spans="1:19" x14ac:dyDescent="0.25">
      <c r="A102" s="1" t="s">
        <v>331</v>
      </c>
      <c r="B102" s="2">
        <v>45320</v>
      </c>
      <c r="C102" s="1" t="s">
        <v>36</v>
      </c>
      <c r="D102" s="1" t="s">
        <v>43</v>
      </c>
      <c r="E102" s="1" t="s">
        <v>20</v>
      </c>
      <c r="F102" s="1" t="s">
        <v>30</v>
      </c>
      <c r="G102" s="1" t="s">
        <v>22</v>
      </c>
      <c r="H102" s="1" t="s">
        <v>133</v>
      </c>
      <c r="I102" s="1">
        <v>263.29000000000002</v>
      </c>
      <c r="J102" s="1">
        <v>6</v>
      </c>
      <c r="K102" s="1">
        <v>1579.74</v>
      </c>
      <c r="L102" s="1">
        <v>0</v>
      </c>
      <c r="M102" s="1">
        <v>0</v>
      </c>
      <c r="N102" s="1">
        <v>1579.74</v>
      </c>
      <c r="O102" s="1" t="s">
        <v>46</v>
      </c>
      <c r="P102" s="1" t="s">
        <v>332</v>
      </c>
      <c r="Q102" s="1">
        <v>3</v>
      </c>
      <c r="R102" s="1">
        <f>Retail_Sales_Analyis[[#This Row],[Final_Price]]-Retail_Sales_Analyis[[#This Row],[Total_Price]]</f>
        <v>0</v>
      </c>
      <c r="S1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3" spans="1:19" x14ac:dyDescent="0.25">
      <c r="A103" s="1" t="s">
        <v>333</v>
      </c>
      <c r="B103" s="2">
        <v>45409</v>
      </c>
      <c r="C103" s="1" t="s">
        <v>54</v>
      </c>
      <c r="D103" s="1" t="s">
        <v>19</v>
      </c>
      <c r="E103" s="1" t="s">
        <v>139</v>
      </c>
      <c r="F103" s="1" t="s">
        <v>69</v>
      </c>
      <c r="G103" s="1" t="s">
        <v>38</v>
      </c>
      <c r="H103" s="1" t="s">
        <v>70</v>
      </c>
      <c r="I103" s="1">
        <v>551.25</v>
      </c>
      <c r="J103" s="1">
        <v>5</v>
      </c>
      <c r="K103" s="1">
        <v>2756.25</v>
      </c>
      <c r="L103" s="1">
        <v>5</v>
      </c>
      <c r="M103" s="1">
        <v>137.81</v>
      </c>
      <c r="N103" s="1">
        <v>2618.44</v>
      </c>
      <c r="O103" s="1" t="s">
        <v>46</v>
      </c>
      <c r="P103" s="1" t="s">
        <v>334</v>
      </c>
      <c r="Q103" s="1">
        <v>5</v>
      </c>
      <c r="R103" s="1">
        <f>Retail_Sales_Analyis[[#This Row],[Final_Price]]-Retail_Sales_Analyis[[#This Row],[Total_Price]]</f>
        <v>-137.80999999999995</v>
      </c>
      <c r="S1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4" spans="1:19" x14ac:dyDescent="0.25">
      <c r="A104" s="1" t="s">
        <v>335</v>
      </c>
      <c r="B104" s="2">
        <v>45308</v>
      </c>
      <c r="C104" s="1" t="s">
        <v>36</v>
      </c>
      <c r="D104" s="1" t="s">
        <v>55</v>
      </c>
      <c r="E104" s="1" t="s">
        <v>117</v>
      </c>
      <c r="F104" s="1" t="s">
        <v>37</v>
      </c>
      <c r="G104" s="1" t="s">
        <v>85</v>
      </c>
      <c r="H104" s="1" t="s">
        <v>98</v>
      </c>
      <c r="I104" s="1">
        <v>4416.8500000000004</v>
      </c>
      <c r="J104" s="1">
        <v>3</v>
      </c>
      <c r="K104" s="1">
        <v>13250.55</v>
      </c>
      <c r="L104" s="1">
        <v>15</v>
      </c>
      <c r="M104" s="1">
        <v>1987.58</v>
      </c>
      <c r="N104" s="1">
        <v>11262.97</v>
      </c>
      <c r="O104" s="1" t="s">
        <v>64</v>
      </c>
      <c r="P104" s="1" t="s">
        <v>159</v>
      </c>
      <c r="Q104" s="1">
        <v>3</v>
      </c>
      <c r="R104" s="1">
        <f>Retail_Sales_Analyis[[#This Row],[Final_Price]]-Retail_Sales_Analyis[[#This Row],[Total_Price]]</f>
        <v>-1987.58</v>
      </c>
      <c r="S1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5" spans="1:19" x14ac:dyDescent="0.25">
      <c r="A105" s="1" t="s">
        <v>336</v>
      </c>
      <c r="B105" s="2">
        <v>45453</v>
      </c>
      <c r="C105" s="1" t="s">
        <v>173</v>
      </c>
      <c r="D105" s="1" t="s">
        <v>43</v>
      </c>
      <c r="E105" s="1" t="s">
        <v>337</v>
      </c>
      <c r="F105" s="1" t="s">
        <v>69</v>
      </c>
      <c r="G105" s="1" t="s">
        <v>85</v>
      </c>
      <c r="H105" s="1" t="s">
        <v>86</v>
      </c>
      <c r="I105" s="1">
        <v>1412.04</v>
      </c>
      <c r="J105" s="1">
        <v>2</v>
      </c>
      <c r="K105" s="1">
        <v>2824.08</v>
      </c>
      <c r="L105" s="1">
        <v>5</v>
      </c>
      <c r="M105" s="1">
        <v>141.19999999999999</v>
      </c>
      <c r="N105" s="1">
        <v>2682.88</v>
      </c>
      <c r="O105" s="1" t="s">
        <v>80</v>
      </c>
      <c r="P105" s="1" t="s">
        <v>338</v>
      </c>
      <c r="Q105" s="1">
        <v>1</v>
      </c>
      <c r="R105" s="1">
        <f>Retail_Sales_Analyis[[#This Row],[Final_Price]]-Retail_Sales_Analyis[[#This Row],[Total_Price]]</f>
        <v>-141.19999999999982</v>
      </c>
      <c r="S10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6" spans="1:19" x14ac:dyDescent="0.25">
      <c r="A106" s="1" t="s">
        <v>339</v>
      </c>
      <c r="B106" s="2">
        <v>45497</v>
      </c>
      <c r="C106" s="1" t="s">
        <v>195</v>
      </c>
      <c r="D106" s="1" t="s">
        <v>55</v>
      </c>
      <c r="E106" s="1" t="s">
        <v>125</v>
      </c>
      <c r="F106" s="1" t="s">
        <v>21</v>
      </c>
      <c r="G106" s="1" t="s">
        <v>169</v>
      </c>
      <c r="H106" s="1" t="s">
        <v>208</v>
      </c>
      <c r="I106" s="1">
        <v>614.94000000000005</v>
      </c>
      <c r="J106" s="1">
        <v>3</v>
      </c>
      <c r="K106" s="1">
        <v>1844.82</v>
      </c>
      <c r="L106" s="1">
        <v>0</v>
      </c>
      <c r="M106" s="1">
        <v>0</v>
      </c>
      <c r="N106" s="1">
        <v>1844.82</v>
      </c>
      <c r="O106" s="1" t="s">
        <v>33</v>
      </c>
      <c r="P106" s="1" t="s">
        <v>340</v>
      </c>
      <c r="Q106" s="1">
        <v>3</v>
      </c>
      <c r="R106" s="1">
        <f>Retail_Sales_Analyis[[#This Row],[Final_Price]]-Retail_Sales_Analyis[[#This Row],[Total_Price]]</f>
        <v>0</v>
      </c>
      <c r="S1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" spans="1:19" x14ac:dyDescent="0.25">
      <c r="A107" s="1" t="s">
        <v>341</v>
      </c>
      <c r="B107" s="2">
        <v>45429</v>
      </c>
      <c r="C107" s="1" t="s">
        <v>42</v>
      </c>
      <c r="D107" s="1" t="s">
        <v>144</v>
      </c>
      <c r="E107" s="1" t="s">
        <v>342</v>
      </c>
      <c r="F107" s="1" t="s">
        <v>30</v>
      </c>
      <c r="G107" s="1" t="s">
        <v>38</v>
      </c>
      <c r="H107" s="1" t="s">
        <v>108</v>
      </c>
      <c r="I107" s="1">
        <v>538.54</v>
      </c>
      <c r="J107" s="1">
        <v>3</v>
      </c>
      <c r="K107" s="1">
        <v>1615.62</v>
      </c>
      <c r="L107" s="1">
        <v>10</v>
      </c>
      <c r="M107" s="1">
        <v>161.56</v>
      </c>
      <c r="N107" s="1">
        <v>1454.06</v>
      </c>
      <c r="O107" s="1" t="s">
        <v>64</v>
      </c>
      <c r="P107" s="1" t="s">
        <v>343</v>
      </c>
      <c r="Q107" s="1">
        <v>1</v>
      </c>
      <c r="R107" s="1">
        <f>Retail_Sales_Analyis[[#This Row],[Final_Price]]-Retail_Sales_Analyis[[#This Row],[Total_Price]]</f>
        <v>-161.55999999999995</v>
      </c>
      <c r="S1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8" spans="1:19" x14ac:dyDescent="0.25">
      <c r="A108" s="1" t="s">
        <v>344</v>
      </c>
      <c r="B108" s="2">
        <v>45325</v>
      </c>
      <c r="C108" s="1" t="s">
        <v>27</v>
      </c>
      <c r="D108" s="1" t="s">
        <v>19</v>
      </c>
      <c r="E108" s="1" t="s">
        <v>68</v>
      </c>
      <c r="F108" s="1" t="s">
        <v>84</v>
      </c>
      <c r="G108" s="1" t="s">
        <v>78</v>
      </c>
      <c r="H108" s="1" t="s">
        <v>136</v>
      </c>
      <c r="I108" s="1">
        <v>360.24</v>
      </c>
      <c r="J108" s="1">
        <v>9</v>
      </c>
      <c r="K108" s="1">
        <v>3242.16</v>
      </c>
      <c r="L108" s="1">
        <v>0</v>
      </c>
      <c r="M108" s="1">
        <v>0</v>
      </c>
      <c r="N108" s="1">
        <v>3242.16</v>
      </c>
      <c r="O108" s="1" t="s">
        <v>80</v>
      </c>
      <c r="P108" s="1" t="s">
        <v>345</v>
      </c>
      <c r="Q108" s="1">
        <v>4</v>
      </c>
      <c r="R108" s="1">
        <f>Retail_Sales_Analyis[[#This Row],[Final_Price]]-Retail_Sales_Analyis[[#This Row],[Total_Price]]</f>
        <v>0</v>
      </c>
      <c r="S1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9" spans="1:19" x14ac:dyDescent="0.25">
      <c r="A109" s="1" t="s">
        <v>346</v>
      </c>
      <c r="B109" s="2">
        <v>45400</v>
      </c>
      <c r="C109" s="1" t="s">
        <v>54</v>
      </c>
      <c r="D109" s="1" t="s">
        <v>67</v>
      </c>
      <c r="E109" s="1" t="s">
        <v>141</v>
      </c>
      <c r="F109" s="1" t="s">
        <v>21</v>
      </c>
      <c r="G109" s="1" t="s">
        <v>31</v>
      </c>
      <c r="H109" s="1" t="s">
        <v>45</v>
      </c>
      <c r="I109" s="1">
        <v>245.74</v>
      </c>
      <c r="J109" s="1">
        <v>9</v>
      </c>
      <c r="K109" s="1">
        <v>2211.66</v>
      </c>
      <c r="L109" s="1">
        <v>0</v>
      </c>
      <c r="M109" s="1">
        <v>0</v>
      </c>
      <c r="N109" s="1">
        <v>2211.66</v>
      </c>
      <c r="O109" s="1" t="s">
        <v>46</v>
      </c>
      <c r="P109" s="1" t="s">
        <v>95</v>
      </c>
      <c r="Q109" s="1">
        <v>4</v>
      </c>
      <c r="R109" s="1">
        <f>Retail_Sales_Analyis[[#This Row],[Final_Price]]-Retail_Sales_Analyis[[#This Row],[Total_Price]]</f>
        <v>0</v>
      </c>
      <c r="S1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" spans="1:19" x14ac:dyDescent="0.25">
      <c r="A110" s="1" t="s">
        <v>347</v>
      </c>
      <c r="B110" s="2">
        <v>45582</v>
      </c>
      <c r="C110" s="1" t="s">
        <v>76</v>
      </c>
      <c r="D110" s="1" t="s">
        <v>67</v>
      </c>
      <c r="E110" s="1" t="s">
        <v>157</v>
      </c>
      <c r="F110" s="1" t="s">
        <v>37</v>
      </c>
      <c r="G110" s="1" t="s">
        <v>169</v>
      </c>
      <c r="H110" s="1" t="s">
        <v>348</v>
      </c>
      <c r="I110" s="1">
        <v>669.44</v>
      </c>
      <c r="J110" s="1">
        <v>7</v>
      </c>
      <c r="K110" s="1">
        <v>4686.08</v>
      </c>
      <c r="L110" s="1">
        <v>0</v>
      </c>
      <c r="M110" s="1">
        <v>0</v>
      </c>
      <c r="N110" s="1">
        <v>4686.08</v>
      </c>
      <c r="O110" s="1" t="s">
        <v>64</v>
      </c>
      <c r="P110" s="1" t="s">
        <v>349</v>
      </c>
      <c r="Q110" s="1">
        <v>3</v>
      </c>
      <c r="R110" s="1">
        <f>Retail_Sales_Analyis[[#This Row],[Final_Price]]-Retail_Sales_Analyis[[#This Row],[Total_Price]]</f>
        <v>0</v>
      </c>
      <c r="S1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" spans="1:19" x14ac:dyDescent="0.25">
      <c r="A111" s="1" t="s">
        <v>350</v>
      </c>
      <c r="B111" s="2">
        <v>45453</v>
      </c>
      <c r="C111" s="1" t="s">
        <v>173</v>
      </c>
      <c r="D111" s="1" t="s">
        <v>43</v>
      </c>
      <c r="E111" s="1" t="s">
        <v>351</v>
      </c>
      <c r="F111" s="1" t="s">
        <v>37</v>
      </c>
      <c r="G111" s="1" t="s">
        <v>85</v>
      </c>
      <c r="H111" s="1" t="s">
        <v>180</v>
      </c>
      <c r="I111" s="1">
        <v>2147.0500000000002</v>
      </c>
      <c r="J111" s="1">
        <v>9</v>
      </c>
      <c r="K111" s="1">
        <v>19323.45</v>
      </c>
      <c r="L111" s="1">
        <v>0</v>
      </c>
      <c r="M111" s="1">
        <v>0</v>
      </c>
      <c r="N111" s="1">
        <v>19323.45</v>
      </c>
      <c r="O111" s="1" t="s">
        <v>33</v>
      </c>
      <c r="P111" s="1" t="s">
        <v>352</v>
      </c>
      <c r="Q111" s="1">
        <v>4</v>
      </c>
      <c r="R111" s="1">
        <f>Retail_Sales_Analyis[[#This Row],[Final_Price]]-Retail_Sales_Analyis[[#This Row],[Total_Price]]</f>
        <v>0</v>
      </c>
      <c r="S1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2" spans="1:19" x14ac:dyDescent="0.25">
      <c r="A112" s="1" t="s">
        <v>353</v>
      </c>
      <c r="B112" s="2">
        <v>45400</v>
      </c>
      <c r="C112" s="1" t="s">
        <v>54</v>
      </c>
      <c r="D112" s="1" t="s">
        <v>67</v>
      </c>
      <c r="E112" s="1" t="s">
        <v>261</v>
      </c>
      <c r="F112" s="1" t="s">
        <v>84</v>
      </c>
      <c r="G112" s="1" t="s">
        <v>22</v>
      </c>
      <c r="H112" s="1" t="s">
        <v>277</v>
      </c>
      <c r="I112" s="1">
        <v>677.6</v>
      </c>
      <c r="J112" s="1">
        <v>1</v>
      </c>
      <c r="K112" s="1">
        <v>677.6</v>
      </c>
      <c r="L112" s="1">
        <v>10</v>
      </c>
      <c r="M112" s="1">
        <v>67.760000000000005</v>
      </c>
      <c r="N112" s="1">
        <v>609.84</v>
      </c>
      <c r="O112" s="1" t="s">
        <v>46</v>
      </c>
      <c r="P112" s="1" t="s">
        <v>354</v>
      </c>
      <c r="Q112" s="1">
        <v>2</v>
      </c>
      <c r="R112" s="1">
        <f>Retail_Sales_Analyis[[#This Row],[Final_Price]]-Retail_Sales_Analyis[[#This Row],[Total_Price]]</f>
        <v>-67.759999999999991</v>
      </c>
      <c r="S1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3" spans="1:19" x14ac:dyDescent="0.25">
      <c r="A113" s="1" t="s">
        <v>355</v>
      </c>
      <c r="B113" s="2">
        <v>45627</v>
      </c>
      <c r="C113" s="1" t="s">
        <v>73</v>
      </c>
      <c r="D113" s="1" t="s">
        <v>49</v>
      </c>
      <c r="E113" s="1" t="s">
        <v>151</v>
      </c>
      <c r="F113" s="1" t="s">
        <v>37</v>
      </c>
      <c r="G113" s="1" t="s">
        <v>22</v>
      </c>
      <c r="H113" s="1" t="s">
        <v>23</v>
      </c>
      <c r="I113" s="1">
        <v>330.62</v>
      </c>
      <c r="J113" s="1">
        <v>7</v>
      </c>
      <c r="K113" s="1">
        <v>2314.34</v>
      </c>
      <c r="L113" s="1">
        <v>20</v>
      </c>
      <c r="M113" s="1">
        <v>462.87</v>
      </c>
      <c r="N113" s="1">
        <v>1851.47</v>
      </c>
      <c r="O113" s="1" t="s">
        <v>33</v>
      </c>
      <c r="P113" s="1" t="s">
        <v>356</v>
      </c>
      <c r="Q113" s="1">
        <v>2</v>
      </c>
      <c r="R113" s="1">
        <f>Retail_Sales_Analyis[[#This Row],[Final_Price]]-Retail_Sales_Analyis[[#This Row],[Total_Price]]</f>
        <v>-462.87000000000012</v>
      </c>
      <c r="S1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4" spans="1:19" x14ac:dyDescent="0.25">
      <c r="A114" s="1" t="s">
        <v>357</v>
      </c>
      <c r="B114" s="2">
        <v>45547</v>
      </c>
      <c r="C114" s="1" t="s">
        <v>116</v>
      </c>
      <c r="D114" s="1" t="s">
        <v>67</v>
      </c>
      <c r="E114" s="1" t="s">
        <v>20</v>
      </c>
      <c r="F114" s="1" t="s">
        <v>84</v>
      </c>
      <c r="G114" s="1" t="s">
        <v>57</v>
      </c>
      <c r="H114" s="1" t="s">
        <v>122</v>
      </c>
      <c r="I114" s="1">
        <v>2340.71</v>
      </c>
      <c r="J114" s="1">
        <v>10</v>
      </c>
      <c r="K114" s="1">
        <v>23407.1</v>
      </c>
      <c r="L114" s="1">
        <v>20</v>
      </c>
      <c r="M114" s="1">
        <v>4681.42</v>
      </c>
      <c r="N114" s="1">
        <v>18725.68</v>
      </c>
      <c r="O114" s="1" t="s">
        <v>46</v>
      </c>
      <c r="P114" s="1" t="s">
        <v>358</v>
      </c>
      <c r="Q114" s="1">
        <v>3</v>
      </c>
      <c r="R114" s="1">
        <f>Retail_Sales_Analyis[[#This Row],[Final_Price]]-Retail_Sales_Analyis[[#This Row],[Total_Price]]</f>
        <v>-4681.4199999999983</v>
      </c>
      <c r="S1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5" spans="1:19" x14ac:dyDescent="0.25">
      <c r="A115" s="1" t="s">
        <v>359</v>
      </c>
      <c r="B115" s="2">
        <v>45494</v>
      </c>
      <c r="C115" s="1" t="s">
        <v>195</v>
      </c>
      <c r="D115" s="1" t="s">
        <v>49</v>
      </c>
      <c r="E115" s="1" t="s">
        <v>322</v>
      </c>
      <c r="F115" s="1" t="s">
        <v>69</v>
      </c>
      <c r="G115" s="1" t="s">
        <v>38</v>
      </c>
      <c r="H115" s="1" t="s">
        <v>108</v>
      </c>
      <c r="I115" s="1">
        <v>231.6</v>
      </c>
      <c r="J115" s="1">
        <v>2</v>
      </c>
      <c r="K115" s="1">
        <v>463.2</v>
      </c>
      <c r="L115" s="1">
        <v>0</v>
      </c>
      <c r="M115" s="1">
        <v>0</v>
      </c>
      <c r="N115" s="1">
        <v>463.2</v>
      </c>
      <c r="O115" s="1" t="s">
        <v>64</v>
      </c>
      <c r="P115" s="1" t="s">
        <v>360</v>
      </c>
      <c r="Q115" s="1">
        <v>3</v>
      </c>
      <c r="R115" s="1">
        <f>Retail_Sales_Analyis[[#This Row],[Final_Price]]-Retail_Sales_Analyis[[#This Row],[Total_Price]]</f>
        <v>0</v>
      </c>
      <c r="S1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" spans="1:19" x14ac:dyDescent="0.25">
      <c r="A116" s="1" t="s">
        <v>361</v>
      </c>
      <c r="B116" s="2">
        <v>45621</v>
      </c>
      <c r="C116" s="1" t="s">
        <v>18</v>
      </c>
      <c r="D116" s="1" t="s">
        <v>43</v>
      </c>
      <c r="E116" s="1" t="s">
        <v>107</v>
      </c>
      <c r="F116" s="1" t="s">
        <v>37</v>
      </c>
      <c r="G116" s="1" t="s">
        <v>31</v>
      </c>
      <c r="H116" s="1" t="s">
        <v>63</v>
      </c>
      <c r="I116" s="1">
        <v>365.21</v>
      </c>
      <c r="J116" s="1">
        <v>8</v>
      </c>
      <c r="K116" s="1">
        <v>2921.68</v>
      </c>
      <c r="L116" s="1">
        <v>0</v>
      </c>
      <c r="M116" s="1">
        <v>0</v>
      </c>
      <c r="N116" s="1">
        <v>2921.68</v>
      </c>
      <c r="O116" s="1" t="s">
        <v>46</v>
      </c>
      <c r="P116" s="1" t="s">
        <v>362</v>
      </c>
      <c r="Q116" s="1">
        <v>1</v>
      </c>
      <c r="R116" s="1">
        <f>Retail_Sales_Analyis[[#This Row],[Final_Price]]-Retail_Sales_Analyis[[#This Row],[Total_Price]]</f>
        <v>0</v>
      </c>
      <c r="S1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7" spans="1:19" x14ac:dyDescent="0.25">
      <c r="A117" s="1" t="s">
        <v>363</v>
      </c>
      <c r="B117" s="2">
        <v>45526</v>
      </c>
      <c r="C117" s="1" t="s">
        <v>93</v>
      </c>
      <c r="D117" s="1" t="s">
        <v>67</v>
      </c>
      <c r="E117" s="1" t="s">
        <v>204</v>
      </c>
      <c r="F117" s="1" t="s">
        <v>37</v>
      </c>
      <c r="G117" s="1" t="s">
        <v>112</v>
      </c>
      <c r="H117" s="1" t="s">
        <v>113</v>
      </c>
      <c r="I117" s="1">
        <v>1958.5</v>
      </c>
      <c r="J117" s="1">
        <v>5</v>
      </c>
      <c r="K117" s="1">
        <v>9792.5</v>
      </c>
      <c r="L117" s="1">
        <v>0</v>
      </c>
      <c r="M117" s="1">
        <v>0</v>
      </c>
      <c r="N117" s="1">
        <v>9792.5</v>
      </c>
      <c r="O117" s="1" t="s">
        <v>64</v>
      </c>
      <c r="P117" s="1" t="s">
        <v>364</v>
      </c>
      <c r="Q117" s="1">
        <v>4</v>
      </c>
      <c r="R117" s="1">
        <f>Retail_Sales_Analyis[[#This Row],[Final_Price]]-Retail_Sales_Analyis[[#This Row],[Total_Price]]</f>
        <v>0</v>
      </c>
      <c r="S1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" spans="1:19" x14ac:dyDescent="0.25">
      <c r="A118" s="1" t="s">
        <v>365</v>
      </c>
      <c r="B118" s="2">
        <v>45365</v>
      </c>
      <c r="C118" s="1" t="s">
        <v>61</v>
      </c>
      <c r="D118" s="1" t="s">
        <v>67</v>
      </c>
      <c r="E118" s="1" t="s">
        <v>44</v>
      </c>
      <c r="F118" s="1" t="s">
        <v>30</v>
      </c>
      <c r="G118" s="1" t="s">
        <v>169</v>
      </c>
      <c r="H118" s="1" t="s">
        <v>366</v>
      </c>
      <c r="I118" s="1">
        <v>317.67</v>
      </c>
      <c r="J118" s="1">
        <v>4</v>
      </c>
      <c r="K118" s="1">
        <v>1270.68</v>
      </c>
      <c r="L118" s="1">
        <v>0</v>
      </c>
      <c r="M118" s="1">
        <v>0</v>
      </c>
      <c r="N118" s="1">
        <v>1270.68</v>
      </c>
      <c r="O118" s="1" t="s">
        <v>33</v>
      </c>
      <c r="P118" s="1" t="s">
        <v>367</v>
      </c>
      <c r="Q118" s="1">
        <v>3</v>
      </c>
      <c r="R118" s="1">
        <f>Retail_Sales_Analyis[[#This Row],[Final_Price]]-Retail_Sales_Analyis[[#This Row],[Total_Price]]</f>
        <v>0</v>
      </c>
      <c r="S1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9" spans="1:19" x14ac:dyDescent="0.25">
      <c r="A119" s="1" t="s">
        <v>368</v>
      </c>
      <c r="B119" s="2">
        <v>45427</v>
      </c>
      <c r="C119" s="1" t="s">
        <v>42</v>
      </c>
      <c r="D119" s="1" t="s">
        <v>55</v>
      </c>
      <c r="E119" s="1" t="s">
        <v>192</v>
      </c>
      <c r="F119" s="1" t="s">
        <v>84</v>
      </c>
      <c r="G119" s="1" t="s">
        <v>112</v>
      </c>
      <c r="H119" s="1" t="s">
        <v>118</v>
      </c>
      <c r="I119" s="1">
        <v>620.33000000000004</v>
      </c>
      <c r="J119" s="1">
        <v>3</v>
      </c>
      <c r="K119" s="1">
        <v>1860.99</v>
      </c>
      <c r="L119" s="1">
        <v>0</v>
      </c>
      <c r="M119" s="1">
        <v>0</v>
      </c>
      <c r="N119" s="1">
        <v>1860.99</v>
      </c>
      <c r="O119" s="1" t="s">
        <v>46</v>
      </c>
      <c r="P119" s="1" t="s">
        <v>369</v>
      </c>
      <c r="Q119" s="1">
        <v>4</v>
      </c>
      <c r="R119" s="1">
        <f>Retail_Sales_Analyis[[#This Row],[Final_Price]]-Retail_Sales_Analyis[[#This Row],[Total_Price]]</f>
        <v>0</v>
      </c>
      <c r="S1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" spans="1:19" x14ac:dyDescent="0.25">
      <c r="A120" s="1" t="s">
        <v>370</v>
      </c>
      <c r="B120" s="2">
        <v>45363</v>
      </c>
      <c r="C120" s="1" t="s">
        <v>61</v>
      </c>
      <c r="D120" s="1" t="s">
        <v>28</v>
      </c>
      <c r="E120" s="1" t="s">
        <v>322</v>
      </c>
      <c r="F120" s="1" t="s">
        <v>21</v>
      </c>
      <c r="G120" s="1" t="s">
        <v>85</v>
      </c>
      <c r="H120" s="1" t="s">
        <v>98</v>
      </c>
      <c r="I120" s="1">
        <v>4582.8</v>
      </c>
      <c r="J120" s="1">
        <v>5</v>
      </c>
      <c r="K120" s="1">
        <v>22914</v>
      </c>
      <c r="L120" s="1">
        <v>20</v>
      </c>
      <c r="M120" s="1">
        <v>4582.8</v>
      </c>
      <c r="N120" s="1">
        <v>18331.2</v>
      </c>
      <c r="O120" s="1" t="s">
        <v>33</v>
      </c>
      <c r="P120" s="1" t="s">
        <v>371</v>
      </c>
      <c r="Q120" s="1">
        <v>1</v>
      </c>
      <c r="R120" s="1">
        <f>Retail_Sales_Analyis[[#This Row],[Final_Price]]-Retail_Sales_Analyis[[#This Row],[Total_Price]]</f>
        <v>-4582.7999999999993</v>
      </c>
      <c r="S1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1" spans="1:19" x14ac:dyDescent="0.25">
      <c r="A121" s="1" t="s">
        <v>372</v>
      </c>
      <c r="B121" s="2">
        <v>45418</v>
      </c>
      <c r="C121" s="1" t="s">
        <v>42</v>
      </c>
      <c r="D121" s="1" t="s">
        <v>43</v>
      </c>
      <c r="E121" s="1" t="s">
        <v>139</v>
      </c>
      <c r="F121" s="1" t="s">
        <v>21</v>
      </c>
      <c r="G121" s="1" t="s">
        <v>31</v>
      </c>
      <c r="H121" s="1" t="s">
        <v>250</v>
      </c>
      <c r="I121" s="1">
        <v>381.93</v>
      </c>
      <c r="J121" s="1">
        <v>1</v>
      </c>
      <c r="K121" s="1">
        <v>381.93</v>
      </c>
      <c r="L121" s="1">
        <v>0</v>
      </c>
      <c r="M121" s="1">
        <v>0</v>
      </c>
      <c r="N121" s="1">
        <v>381.93</v>
      </c>
      <c r="O121" s="1" t="s">
        <v>33</v>
      </c>
      <c r="P121" s="1" t="s">
        <v>373</v>
      </c>
      <c r="Q121" s="1">
        <v>1</v>
      </c>
      <c r="R121" s="1">
        <f>Retail_Sales_Analyis[[#This Row],[Final_Price]]-Retail_Sales_Analyis[[#This Row],[Total_Price]]</f>
        <v>0</v>
      </c>
      <c r="S1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2" spans="1:19" x14ac:dyDescent="0.25">
      <c r="A122" s="1" t="s">
        <v>374</v>
      </c>
      <c r="B122" s="2">
        <v>45579</v>
      </c>
      <c r="C122" s="1" t="s">
        <v>76</v>
      </c>
      <c r="D122" s="1" t="s">
        <v>43</v>
      </c>
      <c r="E122" s="1" t="s">
        <v>139</v>
      </c>
      <c r="F122" s="1" t="s">
        <v>37</v>
      </c>
      <c r="G122" s="1" t="s">
        <v>22</v>
      </c>
      <c r="H122" s="1" t="s">
        <v>277</v>
      </c>
      <c r="I122" s="1">
        <v>948.97</v>
      </c>
      <c r="J122" s="1">
        <v>3</v>
      </c>
      <c r="K122" s="1">
        <v>2846.91</v>
      </c>
      <c r="L122" s="1">
        <v>15</v>
      </c>
      <c r="M122" s="1">
        <v>427.04</v>
      </c>
      <c r="N122" s="1">
        <v>2419.87</v>
      </c>
      <c r="O122" s="1" t="s">
        <v>24</v>
      </c>
      <c r="P122" s="1" t="s">
        <v>375</v>
      </c>
      <c r="Q122" s="1">
        <v>5</v>
      </c>
      <c r="R122" s="1">
        <f>Retail_Sales_Analyis[[#This Row],[Final_Price]]-Retail_Sales_Analyis[[#This Row],[Total_Price]]</f>
        <v>-427.03999999999996</v>
      </c>
      <c r="S1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3" spans="1:19" x14ac:dyDescent="0.25">
      <c r="A123" s="1" t="s">
        <v>376</v>
      </c>
      <c r="B123" s="2">
        <v>45567</v>
      </c>
      <c r="C123" s="1" t="s">
        <v>76</v>
      </c>
      <c r="D123" s="1" t="s">
        <v>55</v>
      </c>
      <c r="E123" s="1" t="s">
        <v>29</v>
      </c>
      <c r="F123" s="1" t="s">
        <v>69</v>
      </c>
      <c r="G123" s="1" t="s">
        <v>31</v>
      </c>
      <c r="H123" s="1" t="s">
        <v>63</v>
      </c>
      <c r="I123" s="1">
        <v>139.43</v>
      </c>
      <c r="J123" s="1">
        <v>1</v>
      </c>
      <c r="K123" s="1">
        <v>139.43</v>
      </c>
      <c r="L123" s="1">
        <v>20</v>
      </c>
      <c r="M123" s="1">
        <v>27.89</v>
      </c>
      <c r="N123" s="1">
        <v>111.54</v>
      </c>
      <c r="O123" s="1" t="s">
        <v>64</v>
      </c>
      <c r="P123" s="1" t="s">
        <v>377</v>
      </c>
      <c r="Q123" s="1">
        <v>1</v>
      </c>
      <c r="R123" s="1">
        <f>Retail_Sales_Analyis[[#This Row],[Final_Price]]-Retail_Sales_Analyis[[#This Row],[Total_Price]]</f>
        <v>-27.89</v>
      </c>
      <c r="S1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4" spans="1:19" x14ac:dyDescent="0.25">
      <c r="A124" s="1" t="s">
        <v>378</v>
      </c>
      <c r="B124" s="2">
        <v>45426</v>
      </c>
      <c r="C124" s="1" t="s">
        <v>42</v>
      </c>
      <c r="D124" s="1" t="s">
        <v>28</v>
      </c>
      <c r="E124" s="1" t="s">
        <v>157</v>
      </c>
      <c r="F124" s="1" t="s">
        <v>37</v>
      </c>
      <c r="G124" s="1" t="s">
        <v>112</v>
      </c>
      <c r="H124" s="1" t="s">
        <v>113</v>
      </c>
      <c r="I124" s="1">
        <v>1691.59</v>
      </c>
      <c r="J124" s="1">
        <v>10</v>
      </c>
      <c r="K124" s="1">
        <v>16915.900000000001</v>
      </c>
      <c r="L124" s="1">
        <v>0</v>
      </c>
      <c r="M124" s="1">
        <v>0</v>
      </c>
      <c r="N124" s="1">
        <v>16915.900000000001</v>
      </c>
      <c r="O124" s="1" t="s">
        <v>33</v>
      </c>
      <c r="P124" s="1" t="s">
        <v>379</v>
      </c>
      <c r="Q124" s="1">
        <v>2</v>
      </c>
      <c r="R124" s="1">
        <f>Retail_Sales_Analyis[[#This Row],[Final_Price]]-Retail_Sales_Analyis[[#This Row],[Total_Price]]</f>
        <v>0</v>
      </c>
      <c r="S1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" spans="1:19" x14ac:dyDescent="0.25">
      <c r="A125" s="1" t="s">
        <v>380</v>
      </c>
      <c r="B125" s="2">
        <v>45591</v>
      </c>
      <c r="C125" s="1" t="s">
        <v>76</v>
      </c>
      <c r="D125" s="1" t="s">
        <v>19</v>
      </c>
      <c r="E125" s="1" t="s">
        <v>239</v>
      </c>
      <c r="F125" s="1" t="s">
        <v>84</v>
      </c>
      <c r="G125" s="1" t="s">
        <v>31</v>
      </c>
      <c r="H125" s="1" t="s">
        <v>45</v>
      </c>
      <c r="I125" s="1">
        <v>119.75</v>
      </c>
      <c r="J125" s="1">
        <v>2</v>
      </c>
      <c r="K125" s="1">
        <v>239.5</v>
      </c>
      <c r="L125" s="1">
        <v>0</v>
      </c>
      <c r="M125" s="1">
        <v>0</v>
      </c>
      <c r="N125" s="1">
        <v>239.5</v>
      </c>
      <c r="O125" s="1" t="s">
        <v>64</v>
      </c>
      <c r="P125" s="1" t="s">
        <v>381</v>
      </c>
      <c r="Q125" s="1">
        <v>4</v>
      </c>
      <c r="R125" s="1">
        <f>Retail_Sales_Analyis[[#This Row],[Final_Price]]-Retail_Sales_Analyis[[#This Row],[Total_Price]]</f>
        <v>0</v>
      </c>
      <c r="S1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" spans="1:19" x14ac:dyDescent="0.25">
      <c r="A126" s="1" t="s">
        <v>382</v>
      </c>
      <c r="B126" s="2">
        <v>45511</v>
      </c>
      <c r="C126" s="1" t="s">
        <v>93</v>
      </c>
      <c r="D126" s="1" t="s">
        <v>55</v>
      </c>
      <c r="E126" s="1" t="s">
        <v>68</v>
      </c>
      <c r="F126" s="1" t="s">
        <v>69</v>
      </c>
      <c r="G126" s="1" t="s">
        <v>112</v>
      </c>
      <c r="H126" s="1" t="s">
        <v>223</v>
      </c>
      <c r="I126" s="1">
        <v>1033.28</v>
      </c>
      <c r="J126" s="1">
        <v>3</v>
      </c>
      <c r="K126" s="1">
        <v>3099.84</v>
      </c>
      <c r="L126" s="1">
        <v>15</v>
      </c>
      <c r="M126" s="1">
        <v>464.98</v>
      </c>
      <c r="N126" s="1">
        <v>2634.86</v>
      </c>
      <c r="O126" s="1" t="s">
        <v>80</v>
      </c>
      <c r="P126" s="1" t="s">
        <v>364</v>
      </c>
      <c r="Q126" s="1">
        <v>1</v>
      </c>
      <c r="R126" s="1">
        <f>Retail_Sales_Analyis[[#This Row],[Final_Price]]-Retail_Sales_Analyis[[#This Row],[Total_Price]]</f>
        <v>-464.98</v>
      </c>
      <c r="S1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7" spans="1:19" x14ac:dyDescent="0.25">
      <c r="A127" s="1" t="s">
        <v>383</v>
      </c>
      <c r="B127" s="2">
        <v>45590</v>
      </c>
      <c r="C127" s="1" t="s">
        <v>76</v>
      </c>
      <c r="D127" s="1" t="s">
        <v>144</v>
      </c>
      <c r="E127" s="1" t="s">
        <v>337</v>
      </c>
      <c r="F127" s="1" t="s">
        <v>69</v>
      </c>
      <c r="G127" s="1" t="s">
        <v>78</v>
      </c>
      <c r="H127" s="1" t="s">
        <v>126</v>
      </c>
      <c r="I127" s="1">
        <v>504.85</v>
      </c>
      <c r="J127" s="1">
        <v>6</v>
      </c>
      <c r="K127" s="1">
        <v>3029.1</v>
      </c>
      <c r="L127" s="1">
        <v>20</v>
      </c>
      <c r="M127" s="1">
        <v>605.82000000000005</v>
      </c>
      <c r="N127" s="1">
        <v>2423.2800000000002</v>
      </c>
      <c r="O127" s="1" t="s">
        <v>33</v>
      </c>
      <c r="P127" s="1" t="s">
        <v>171</v>
      </c>
      <c r="Q127" s="1">
        <v>2</v>
      </c>
      <c r="R127" s="1">
        <f>Retail_Sales_Analyis[[#This Row],[Final_Price]]-Retail_Sales_Analyis[[#This Row],[Total_Price]]</f>
        <v>-605.81999999999971</v>
      </c>
      <c r="S1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8" spans="1:19" x14ac:dyDescent="0.25">
      <c r="A128" s="1" t="s">
        <v>384</v>
      </c>
      <c r="B128" s="2">
        <v>45496</v>
      </c>
      <c r="C128" s="1" t="s">
        <v>195</v>
      </c>
      <c r="D128" s="1" t="s">
        <v>28</v>
      </c>
      <c r="E128" s="1" t="s">
        <v>94</v>
      </c>
      <c r="F128" s="1" t="s">
        <v>84</v>
      </c>
      <c r="G128" s="1" t="s">
        <v>85</v>
      </c>
      <c r="H128" s="1" t="s">
        <v>180</v>
      </c>
      <c r="I128" s="1">
        <v>4594.6499999999996</v>
      </c>
      <c r="J128" s="1">
        <v>8</v>
      </c>
      <c r="K128" s="1">
        <v>36757.199999999997</v>
      </c>
      <c r="L128" s="1">
        <v>15</v>
      </c>
      <c r="M128" s="1">
        <v>5513.58</v>
      </c>
      <c r="N128" s="1">
        <v>31243.62</v>
      </c>
      <c r="O128" s="1" t="s">
        <v>33</v>
      </c>
      <c r="P128" s="1" t="s">
        <v>385</v>
      </c>
      <c r="Q128" s="1">
        <v>5</v>
      </c>
      <c r="R128" s="1">
        <f>Retail_Sales_Analyis[[#This Row],[Final_Price]]-Retail_Sales_Analyis[[#This Row],[Total_Price]]</f>
        <v>-5513.5799999999981</v>
      </c>
      <c r="S1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9" spans="1:19" x14ac:dyDescent="0.25">
      <c r="A129" s="1" t="s">
        <v>386</v>
      </c>
      <c r="B129" s="2">
        <v>45477</v>
      </c>
      <c r="C129" s="1" t="s">
        <v>195</v>
      </c>
      <c r="D129" s="1" t="s">
        <v>67</v>
      </c>
      <c r="E129" s="1" t="s">
        <v>199</v>
      </c>
      <c r="F129" s="1" t="s">
        <v>84</v>
      </c>
      <c r="G129" s="1" t="s">
        <v>31</v>
      </c>
      <c r="H129" s="1" t="s">
        <v>250</v>
      </c>
      <c r="I129" s="1">
        <v>305.02</v>
      </c>
      <c r="J129" s="1">
        <v>9</v>
      </c>
      <c r="K129" s="1">
        <v>2745.18</v>
      </c>
      <c r="L129" s="1">
        <v>0</v>
      </c>
      <c r="M129" s="1">
        <v>0</v>
      </c>
      <c r="N129" s="1">
        <v>2745.18</v>
      </c>
      <c r="O129" s="1" t="s">
        <v>46</v>
      </c>
      <c r="P129" s="1" t="s">
        <v>387</v>
      </c>
      <c r="Q129" s="1">
        <v>4</v>
      </c>
      <c r="R129" s="1">
        <f>Retail_Sales_Analyis[[#This Row],[Final_Price]]-Retail_Sales_Analyis[[#This Row],[Total_Price]]</f>
        <v>0</v>
      </c>
      <c r="S1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" spans="1:19" x14ac:dyDescent="0.25">
      <c r="A130" s="1" t="s">
        <v>388</v>
      </c>
      <c r="B130" s="2">
        <v>45404</v>
      </c>
      <c r="C130" s="1" t="s">
        <v>54</v>
      </c>
      <c r="D130" s="1" t="s">
        <v>43</v>
      </c>
      <c r="E130" s="1" t="s">
        <v>307</v>
      </c>
      <c r="F130" s="1" t="s">
        <v>69</v>
      </c>
      <c r="G130" s="1" t="s">
        <v>85</v>
      </c>
      <c r="H130" s="1" t="s">
        <v>297</v>
      </c>
      <c r="I130" s="1">
        <v>3124.55</v>
      </c>
      <c r="J130" s="1">
        <v>8</v>
      </c>
      <c r="K130" s="1">
        <v>24996.400000000001</v>
      </c>
      <c r="L130" s="1">
        <v>0</v>
      </c>
      <c r="M130" s="1">
        <v>0</v>
      </c>
      <c r="N130" s="1">
        <v>24996.400000000001</v>
      </c>
      <c r="O130" s="1" t="s">
        <v>46</v>
      </c>
      <c r="P130" s="1" t="s">
        <v>389</v>
      </c>
      <c r="Q130" s="1">
        <v>5</v>
      </c>
      <c r="R130" s="1">
        <f>Retail_Sales_Analyis[[#This Row],[Final_Price]]-Retail_Sales_Analyis[[#This Row],[Total_Price]]</f>
        <v>0</v>
      </c>
      <c r="S1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1" spans="1:19" x14ac:dyDescent="0.25">
      <c r="A131" s="1" t="s">
        <v>390</v>
      </c>
      <c r="B131" s="2">
        <v>45362</v>
      </c>
      <c r="C131" s="1" t="s">
        <v>61</v>
      </c>
      <c r="D131" s="1" t="s">
        <v>43</v>
      </c>
      <c r="E131" s="1" t="s">
        <v>29</v>
      </c>
      <c r="F131" s="1" t="s">
        <v>30</v>
      </c>
      <c r="G131" s="1" t="s">
        <v>22</v>
      </c>
      <c r="H131" s="1" t="s">
        <v>23</v>
      </c>
      <c r="I131" s="1">
        <v>906.35</v>
      </c>
      <c r="J131" s="1">
        <v>10</v>
      </c>
      <c r="K131" s="1">
        <v>9063.5</v>
      </c>
      <c r="L131" s="1">
        <v>20</v>
      </c>
      <c r="M131" s="1">
        <v>1812.7</v>
      </c>
      <c r="N131" s="1">
        <v>7250.8</v>
      </c>
      <c r="O131" s="1" t="s">
        <v>46</v>
      </c>
      <c r="P131" s="1" t="s">
        <v>391</v>
      </c>
      <c r="Q131" s="1">
        <v>5</v>
      </c>
      <c r="R131" s="1">
        <f>Retail_Sales_Analyis[[#This Row],[Final_Price]]-Retail_Sales_Analyis[[#This Row],[Total_Price]]</f>
        <v>-1812.6999999999998</v>
      </c>
      <c r="S13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2" spans="1:19" x14ac:dyDescent="0.25">
      <c r="A132" s="1" t="s">
        <v>392</v>
      </c>
      <c r="B132" s="2">
        <v>45552</v>
      </c>
      <c r="C132" s="1" t="s">
        <v>116</v>
      </c>
      <c r="D132" s="1" t="s">
        <v>28</v>
      </c>
      <c r="E132" s="1" t="s">
        <v>107</v>
      </c>
      <c r="F132" s="1" t="s">
        <v>84</v>
      </c>
      <c r="G132" s="1" t="s">
        <v>169</v>
      </c>
      <c r="H132" s="1" t="s">
        <v>170</v>
      </c>
      <c r="I132" s="1">
        <v>1282.8599999999999</v>
      </c>
      <c r="J132" s="1">
        <v>4</v>
      </c>
      <c r="K132" s="1">
        <v>5131.4399999999996</v>
      </c>
      <c r="L132" s="1">
        <v>10</v>
      </c>
      <c r="M132" s="1">
        <v>513.14</v>
      </c>
      <c r="N132" s="1">
        <v>4618.3</v>
      </c>
      <c r="O132" s="1" t="s">
        <v>33</v>
      </c>
      <c r="P132" s="1" t="s">
        <v>393</v>
      </c>
      <c r="Q132" s="1">
        <v>5</v>
      </c>
      <c r="R132" s="1">
        <f>Retail_Sales_Analyis[[#This Row],[Final_Price]]-Retail_Sales_Analyis[[#This Row],[Total_Price]]</f>
        <v>-513.13999999999942</v>
      </c>
      <c r="S1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" spans="1:19" x14ac:dyDescent="0.25">
      <c r="A133" s="1" t="s">
        <v>394</v>
      </c>
      <c r="B133" s="2">
        <v>45544</v>
      </c>
      <c r="C133" s="1" t="s">
        <v>116</v>
      </c>
      <c r="D133" s="1" t="s">
        <v>43</v>
      </c>
      <c r="E133" s="1" t="s">
        <v>342</v>
      </c>
      <c r="F133" s="1" t="s">
        <v>21</v>
      </c>
      <c r="G133" s="1" t="s">
        <v>78</v>
      </c>
      <c r="H133" s="1" t="s">
        <v>136</v>
      </c>
      <c r="I133" s="1">
        <v>438.41</v>
      </c>
      <c r="J133" s="1">
        <v>2</v>
      </c>
      <c r="K133" s="1">
        <v>876.82</v>
      </c>
      <c r="L133" s="1">
        <v>0</v>
      </c>
      <c r="M133" s="1">
        <v>0</v>
      </c>
      <c r="N133" s="1">
        <v>876.82</v>
      </c>
      <c r="O133" s="1" t="s">
        <v>80</v>
      </c>
      <c r="P133" s="1" t="s">
        <v>395</v>
      </c>
      <c r="Q133" s="1">
        <v>1</v>
      </c>
      <c r="R133" s="1">
        <f>Retail_Sales_Analyis[[#This Row],[Final_Price]]-Retail_Sales_Analyis[[#This Row],[Total_Price]]</f>
        <v>0</v>
      </c>
      <c r="S1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4" spans="1:19" x14ac:dyDescent="0.25">
      <c r="A134" s="1" t="s">
        <v>396</v>
      </c>
      <c r="B134" s="2">
        <v>45338</v>
      </c>
      <c r="C134" s="1" t="s">
        <v>27</v>
      </c>
      <c r="D134" s="1" t="s">
        <v>144</v>
      </c>
      <c r="E134" s="1" t="s">
        <v>20</v>
      </c>
      <c r="F134" s="1" t="s">
        <v>69</v>
      </c>
      <c r="G134" s="1" t="s">
        <v>112</v>
      </c>
      <c r="H134" s="1" t="s">
        <v>113</v>
      </c>
      <c r="I134" s="1">
        <v>660.58</v>
      </c>
      <c r="J134" s="1">
        <v>4</v>
      </c>
      <c r="K134" s="1">
        <v>2642.32</v>
      </c>
      <c r="L134" s="1">
        <v>0</v>
      </c>
      <c r="M134" s="1">
        <v>0</v>
      </c>
      <c r="N134" s="1">
        <v>2642.32</v>
      </c>
      <c r="O134" s="1" t="s">
        <v>24</v>
      </c>
      <c r="P134" s="1" t="s">
        <v>397</v>
      </c>
      <c r="Q134" s="1">
        <v>5</v>
      </c>
      <c r="R134" s="1">
        <f>Retail_Sales_Analyis[[#This Row],[Final_Price]]-Retail_Sales_Analyis[[#This Row],[Total_Price]]</f>
        <v>0</v>
      </c>
      <c r="S1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" spans="1:19" x14ac:dyDescent="0.25">
      <c r="A135" s="1" t="s">
        <v>398</v>
      </c>
      <c r="B135" s="2">
        <v>45316</v>
      </c>
      <c r="C135" s="1" t="s">
        <v>36</v>
      </c>
      <c r="D135" s="1" t="s">
        <v>67</v>
      </c>
      <c r="E135" s="1" t="s">
        <v>125</v>
      </c>
      <c r="F135" s="1" t="s">
        <v>84</v>
      </c>
      <c r="G135" s="1" t="s">
        <v>31</v>
      </c>
      <c r="H135" s="1" t="s">
        <v>45</v>
      </c>
      <c r="I135" s="1">
        <v>330.79</v>
      </c>
      <c r="J135" s="1">
        <v>10</v>
      </c>
      <c r="K135" s="1">
        <v>3307.9</v>
      </c>
      <c r="L135" s="1">
        <v>0</v>
      </c>
      <c r="M135" s="1">
        <v>0</v>
      </c>
      <c r="N135" s="1">
        <v>3307.9</v>
      </c>
      <c r="O135" s="1" t="s">
        <v>24</v>
      </c>
      <c r="P135" s="1" t="s">
        <v>399</v>
      </c>
      <c r="Q135" s="1">
        <v>3</v>
      </c>
      <c r="R135" s="1">
        <f>Retail_Sales_Analyis[[#This Row],[Final_Price]]-Retail_Sales_Analyis[[#This Row],[Total_Price]]</f>
        <v>0</v>
      </c>
      <c r="S1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6" spans="1:19" x14ac:dyDescent="0.25">
      <c r="A136" s="1" t="s">
        <v>400</v>
      </c>
      <c r="B136" s="2">
        <v>45348</v>
      </c>
      <c r="C136" s="1" t="s">
        <v>27</v>
      </c>
      <c r="D136" s="1" t="s">
        <v>43</v>
      </c>
      <c r="E136" s="1" t="s">
        <v>56</v>
      </c>
      <c r="F136" s="1" t="s">
        <v>37</v>
      </c>
      <c r="G136" s="1" t="s">
        <v>169</v>
      </c>
      <c r="H136" s="1" t="s">
        <v>208</v>
      </c>
      <c r="I136" s="1">
        <v>1416.25</v>
      </c>
      <c r="J136" s="1">
        <v>4</v>
      </c>
      <c r="K136" s="1">
        <v>5665</v>
      </c>
      <c r="L136" s="1">
        <v>15</v>
      </c>
      <c r="M136" s="1">
        <v>849.75</v>
      </c>
      <c r="N136" s="1">
        <v>4815.25</v>
      </c>
      <c r="O136" s="1" t="s">
        <v>33</v>
      </c>
      <c r="P136" s="1" t="s">
        <v>401</v>
      </c>
      <c r="Q136" s="1">
        <v>1</v>
      </c>
      <c r="R136" s="1">
        <f>Retail_Sales_Analyis[[#This Row],[Final_Price]]-Retail_Sales_Analyis[[#This Row],[Total_Price]]</f>
        <v>-849.75</v>
      </c>
      <c r="S1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7" spans="1:19" x14ac:dyDescent="0.25">
      <c r="A137" s="1" t="s">
        <v>402</v>
      </c>
      <c r="B137" s="2">
        <v>45370</v>
      </c>
      <c r="C137" s="1" t="s">
        <v>61</v>
      </c>
      <c r="D137" s="1" t="s">
        <v>28</v>
      </c>
      <c r="E137" s="1" t="s">
        <v>139</v>
      </c>
      <c r="F137" s="1" t="s">
        <v>37</v>
      </c>
      <c r="G137" s="1" t="s">
        <v>22</v>
      </c>
      <c r="H137" s="1" t="s">
        <v>277</v>
      </c>
      <c r="I137" s="1">
        <v>835.4</v>
      </c>
      <c r="J137" s="1">
        <v>1</v>
      </c>
      <c r="K137" s="1">
        <v>835.4</v>
      </c>
      <c r="L137" s="1">
        <v>20</v>
      </c>
      <c r="M137" s="1">
        <v>167.08</v>
      </c>
      <c r="N137" s="1">
        <v>668.32</v>
      </c>
      <c r="O137" s="1" t="s">
        <v>80</v>
      </c>
      <c r="P137" s="1" t="s">
        <v>403</v>
      </c>
      <c r="Q137" s="1">
        <v>3</v>
      </c>
      <c r="R137" s="1">
        <f>Retail_Sales_Analyis[[#This Row],[Final_Price]]-Retail_Sales_Analyis[[#This Row],[Total_Price]]</f>
        <v>-167.07999999999993</v>
      </c>
      <c r="S1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8" spans="1:19" x14ac:dyDescent="0.25">
      <c r="A138" s="1" t="s">
        <v>404</v>
      </c>
      <c r="B138" s="2">
        <v>45613</v>
      </c>
      <c r="C138" s="1" t="s">
        <v>18</v>
      </c>
      <c r="D138" s="1" t="s">
        <v>49</v>
      </c>
      <c r="E138" s="1" t="s">
        <v>204</v>
      </c>
      <c r="F138" s="1" t="s">
        <v>21</v>
      </c>
      <c r="G138" s="1" t="s">
        <v>169</v>
      </c>
      <c r="H138" s="1" t="s">
        <v>175</v>
      </c>
      <c r="I138" s="1">
        <v>393.52</v>
      </c>
      <c r="J138" s="1">
        <v>4</v>
      </c>
      <c r="K138" s="1">
        <v>1574.08</v>
      </c>
      <c r="L138" s="1">
        <v>10</v>
      </c>
      <c r="M138" s="1">
        <v>157.41</v>
      </c>
      <c r="N138" s="1">
        <v>1416.67</v>
      </c>
      <c r="O138" s="1" t="s">
        <v>24</v>
      </c>
      <c r="P138" s="1" t="s">
        <v>405</v>
      </c>
      <c r="Q138" s="1">
        <v>1</v>
      </c>
      <c r="R138" s="1">
        <f>Retail_Sales_Analyis[[#This Row],[Final_Price]]-Retail_Sales_Analyis[[#This Row],[Total_Price]]</f>
        <v>-157.40999999999985</v>
      </c>
      <c r="S1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9" spans="1:19" x14ac:dyDescent="0.25">
      <c r="A139" s="1" t="s">
        <v>406</v>
      </c>
      <c r="B139" s="2">
        <v>45373</v>
      </c>
      <c r="C139" s="1" t="s">
        <v>61</v>
      </c>
      <c r="D139" s="1" t="s">
        <v>144</v>
      </c>
      <c r="E139" s="1" t="s">
        <v>117</v>
      </c>
      <c r="F139" s="1" t="s">
        <v>84</v>
      </c>
      <c r="G139" s="1" t="s">
        <v>22</v>
      </c>
      <c r="H139" s="1" t="s">
        <v>23</v>
      </c>
      <c r="I139" s="1">
        <v>354.5</v>
      </c>
      <c r="J139" s="1">
        <v>4</v>
      </c>
      <c r="K139" s="1">
        <v>1418</v>
      </c>
      <c r="L139" s="1">
        <v>10</v>
      </c>
      <c r="M139" s="1">
        <v>141.80000000000001</v>
      </c>
      <c r="N139" s="1">
        <v>1276.2</v>
      </c>
      <c r="O139" s="1" t="s">
        <v>64</v>
      </c>
      <c r="P139" s="1" t="s">
        <v>407</v>
      </c>
      <c r="Q139" s="1">
        <v>5</v>
      </c>
      <c r="R139" s="1">
        <f>Retail_Sales_Analyis[[#This Row],[Final_Price]]-Retail_Sales_Analyis[[#This Row],[Total_Price]]</f>
        <v>-141.79999999999995</v>
      </c>
      <c r="S1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0" spans="1:19" x14ac:dyDescent="0.25">
      <c r="A140" s="1" t="s">
        <v>408</v>
      </c>
      <c r="B140" s="2">
        <v>45640</v>
      </c>
      <c r="C140" s="1" t="s">
        <v>73</v>
      </c>
      <c r="D140" s="1" t="s">
        <v>19</v>
      </c>
      <c r="E140" s="1" t="s">
        <v>236</v>
      </c>
      <c r="F140" s="1" t="s">
        <v>21</v>
      </c>
      <c r="G140" s="1" t="s">
        <v>169</v>
      </c>
      <c r="H140" s="1" t="s">
        <v>170</v>
      </c>
      <c r="I140" s="1">
        <v>729.56</v>
      </c>
      <c r="J140" s="1">
        <v>8</v>
      </c>
      <c r="K140" s="1">
        <v>5836.48</v>
      </c>
      <c r="L140" s="1">
        <v>15</v>
      </c>
      <c r="M140" s="1">
        <v>875.47</v>
      </c>
      <c r="N140" s="1">
        <v>4961.01</v>
      </c>
      <c r="O140" s="1" t="s">
        <v>33</v>
      </c>
      <c r="P140" s="1" t="s">
        <v>409</v>
      </c>
      <c r="Q140" s="1">
        <v>1</v>
      </c>
      <c r="R140" s="1">
        <f>Retail_Sales_Analyis[[#This Row],[Final_Price]]-Retail_Sales_Analyis[[#This Row],[Total_Price]]</f>
        <v>-875.46999999999935</v>
      </c>
      <c r="S1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1" spans="1:19" x14ac:dyDescent="0.25">
      <c r="A141" s="1" t="s">
        <v>410</v>
      </c>
      <c r="B141" s="2">
        <v>45508</v>
      </c>
      <c r="C141" s="1" t="s">
        <v>93</v>
      </c>
      <c r="D141" s="1" t="s">
        <v>49</v>
      </c>
      <c r="E141" s="1" t="s">
        <v>411</v>
      </c>
      <c r="F141" s="1" t="s">
        <v>30</v>
      </c>
      <c r="G141" s="1" t="s">
        <v>22</v>
      </c>
      <c r="H141" s="1" t="s">
        <v>187</v>
      </c>
      <c r="I141" s="1">
        <v>470.01</v>
      </c>
      <c r="J141" s="1">
        <v>3</v>
      </c>
      <c r="K141" s="1">
        <v>1410.03</v>
      </c>
      <c r="L141" s="1">
        <v>10</v>
      </c>
      <c r="M141" s="1">
        <v>141</v>
      </c>
      <c r="N141" s="1">
        <v>1269.03</v>
      </c>
      <c r="O141" s="1" t="s">
        <v>80</v>
      </c>
      <c r="P141" s="1" t="s">
        <v>409</v>
      </c>
      <c r="Q141" s="1">
        <v>4</v>
      </c>
      <c r="R141" s="1">
        <f>Retail_Sales_Analyis[[#This Row],[Final_Price]]-Retail_Sales_Analyis[[#This Row],[Total_Price]]</f>
        <v>-141</v>
      </c>
      <c r="S1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2" spans="1:19" x14ac:dyDescent="0.25">
      <c r="A142" s="1" t="s">
        <v>412</v>
      </c>
      <c r="B142" s="2">
        <v>45597</v>
      </c>
      <c r="C142" s="1" t="s">
        <v>18</v>
      </c>
      <c r="D142" s="1" t="s">
        <v>144</v>
      </c>
      <c r="E142" s="1" t="s">
        <v>29</v>
      </c>
      <c r="F142" s="1" t="s">
        <v>84</v>
      </c>
      <c r="G142" s="1" t="s">
        <v>78</v>
      </c>
      <c r="H142" s="1" t="s">
        <v>323</v>
      </c>
      <c r="I142" s="1">
        <v>335.55</v>
      </c>
      <c r="J142" s="1">
        <v>7</v>
      </c>
      <c r="K142" s="1">
        <v>2348.85</v>
      </c>
      <c r="L142" s="1">
        <v>20</v>
      </c>
      <c r="M142" s="1">
        <v>469.77</v>
      </c>
      <c r="N142" s="1">
        <v>1879.08</v>
      </c>
      <c r="O142" s="1" t="s">
        <v>46</v>
      </c>
      <c r="P142" s="1" t="s">
        <v>413</v>
      </c>
      <c r="Q142" s="1">
        <v>5</v>
      </c>
      <c r="R142" s="1">
        <f>Retail_Sales_Analyis[[#This Row],[Final_Price]]-Retail_Sales_Analyis[[#This Row],[Total_Price]]</f>
        <v>-469.77</v>
      </c>
      <c r="S14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3" spans="1:19" x14ac:dyDescent="0.25">
      <c r="A143" s="1" t="s">
        <v>414</v>
      </c>
      <c r="B143" s="2">
        <v>45324</v>
      </c>
      <c r="C143" s="1" t="s">
        <v>27</v>
      </c>
      <c r="D143" s="1" t="s">
        <v>144</v>
      </c>
      <c r="E143" s="1" t="s">
        <v>207</v>
      </c>
      <c r="F143" s="1" t="s">
        <v>37</v>
      </c>
      <c r="G143" s="1" t="s">
        <v>57</v>
      </c>
      <c r="H143" s="1" t="s">
        <v>58</v>
      </c>
      <c r="I143" s="1">
        <v>2343.98</v>
      </c>
      <c r="J143" s="1">
        <v>5</v>
      </c>
      <c r="K143" s="1">
        <v>11719.9</v>
      </c>
      <c r="L143" s="1">
        <v>0</v>
      </c>
      <c r="M143" s="1">
        <v>0</v>
      </c>
      <c r="N143" s="1">
        <v>11719.9</v>
      </c>
      <c r="O143" s="1" t="s">
        <v>33</v>
      </c>
      <c r="P143" s="1" t="s">
        <v>415</v>
      </c>
      <c r="Q143" s="1">
        <v>4</v>
      </c>
      <c r="R143" s="1">
        <f>Retail_Sales_Analyis[[#This Row],[Final_Price]]-Retail_Sales_Analyis[[#This Row],[Total_Price]]</f>
        <v>0</v>
      </c>
      <c r="S1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4" spans="1:19" x14ac:dyDescent="0.25">
      <c r="A144" s="1" t="s">
        <v>416</v>
      </c>
      <c r="B144" s="2">
        <v>45489</v>
      </c>
      <c r="C144" s="1" t="s">
        <v>195</v>
      </c>
      <c r="D144" s="1" t="s">
        <v>28</v>
      </c>
      <c r="E144" s="1" t="s">
        <v>351</v>
      </c>
      <c r="F144" s="1" t="s">
        <v>21</v>
      </c>
      <c r="G144" s="1" t="s">
        <v>112</v>
      </c>
      <c r="H144" s="1" t="s">
        <v>118</v>
      </c>
      <c r="I144" s="1">
        <v>1393.64</v>
      </c>
      <c r="J144" s="1">
        <v>9</v>
      </c>
      <c r="K144" s="1">
        <v>12542.76</v>
      </c>
      <c r="L144" s="1">
        <v>0</v>
      </c>
      <c r="M144" s="1">
        <v>0</v>
      </c>
      <c r="N144" s="1">
        <v>12542.76</v>
      </c>
      <c r="O144" s="1" t="s">
        <v>46</v>
      </c>
      <c r="P144" s="1" t="s">
        <v>417</v>
      </c>
      <c r="Q144" s="1">
        <v>1</v>
      </c>
      <c r="R144" s="1">
        <f>Retail_Sales_Analyis[[#This Row],[Final_Price]]-Retail_Sales_Analyis[[#This Row],[Total_Price]]</f>
        <v>0</v>
      </c>
      <c r="S1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" spans="1:19" x14ac:dyDescent="0.25">
      <c r="A145" s="1" t="s">
        <v>418</v>
      </c>
      <c r="B145" s="2">
        <v>45487</v>
      </c>
      <c r="C145" s="1" t="s">
        <v>195</v>
      </c>
      <c r="D145" s="1" t="s">
        <v>49</v>
      </c>
      <c r="E145" s="1" t="s">
        <v>196</v>
      </c>
      <c r="F145" s="1" t="s">
        <v>84</v>
      </c>
      <c r="G145" s="1" t="s">
        <v>78</v>
      </c>
      <c r="H145" s="1" t="s">
        <v>79</v>
      </c>
      <c r="I145" s="1">
        <v>497.19</v>
      </c>
      <c r="J145" s="1">
        <v>5</v>
      </c>
      <c r="K145" s="1">
        <v>2485.9499999999998</v>
      </c>
      <c r="L145" s="1">
        <v>10</v>
      </c>
      <c r="M145" s="1">
        <v>248.59</v>
      </c>
      <c r="N145" s="1">
        <v>2237.36</v>
      </c>
      <c r="O145" s="1" t="s">
        <v>80</v>
      </c>
      <c r="P145" s="1" t="s">
        <v>419</v>
      </c>
      <c r="Q145" s="1">
        <v>5</v>
      </c>
      <c r="R145" s="1">
        <f>Retail_Sales_Analyis[[#This Row],[Final_Price]]-Retail_Sales_Analyis[[#This Row],[Total_Price]]</f>
        <v>-248.58999999999969</v>
      </c>
      <c r="S1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6" spans="1:19" x14ac:dyDescent="0.25">
      <c r="A146" s="1" t="s">
        <v>420</v>
      </c>
      <c r="B146" s="2">
        <v>45597</v>
      </c>
      <c r="C146" s="1" t="s">
        <v>18</v>
      </c>
      <c r="D146" s="1" t="s">
        <v>144</v>
      </c>
      <c r="E146" s="1" t="s">
        <v>132</v>
      </c>
      <c r="F146" s="1" t="s">
        <v>21</v>
      </c>
      <c r="G146" s="1" t="s">
        <v>169</v>
      </c>
      <c r="H146" s="1" t="s">
        <v>208</v>
      </c>
      <c r="I146" s="1">
        <v>852.44</v>
      </c>
      <c r="J146" s="1">
        <v>3</v>
      </c>
      <c r="K146" s="1">
        <v>2557.3200000000002</v>
      </c>
      <c r="L146" s="1">
        <v>0</v>
      </c>
      <c r="M146" s="1">
        <v>0</v>
      </c>
      <c r="N146" s="1">
        <v>2557.3200000000002</v>
      </c>
      <c r="O146" s="1" t="s">
        <v>46</v>
      </c>
      <c r="P146" s="1" t="s">
        <v>364</v>
      </c>
      <c r="Q146" s="1">
        <v>3</v>
      </c>
      <c r="R146" s="1">
        <f>Retail_Sales_Analyis[[#This Row],[Final_Price]]-Retail_Sales_Analyis[[#This Row],[Total_Price]]</f>
        <v>0</v>
      </c>
      <c r="S1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7" spans="1:19" x14ac:dyDescent="0.25">
      <c r="A147" s="1" t="s">
        <v>421</v>
      </c>
      <c r="B147" s="2">
        <v>45531</v>
      </c>
      <c r="C147" s="1" t="s">
        <v>93</v>
      </c>
      <c r="D147" s="1" t="s">
        <v>28</v>
      </c>
      <c r="E147" s="1" t="s">
        <v>204</v>
      </c>
      <c r="F147" s="1" t="s">
        <v>30</v>
      </c>
      <c r="G147" s="1" t="s">
        <v>38</v>
      </c>
      <c r="H147" s="1" t="s">
        <v>422</v>
      </c>
      <c r="I147" s="1">
        <v>164.33</v>
      </c>
      <c r="J147" s="1">
        <v>7</v>
      </c>
      <c r="K147" s="1">
        <v>1150.31</v>
      </c>
      <c r="L147" s="1">
        <v>10</v>
      </c>
      <c r="M147" s="1">
        <v>115.03</v>
      </c>
      <c r="N147" s="1">
        <v>1035.28</v>
      </c>
      <c r="O147" s="1" t="s">
        <v>64</v>
      </c>
      <c r="P147" s="1" t="s">
        <v>423</v>
      </c>
      <c r="Q147" s="1">
        <v>1</v>
      </c>
      <c r="R147" s="1">
        <f>Retail_Sales_Analyis[[#This Row],[Final_Price]]-Retail_Sales_Analyis[[#This Row],[Total_Price]]</f>
        <v>-115.02999999999997</v>
      </c>
      <c r="S1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8" spans="1:19" x14ac:dyDescent="0.25">
      <c r="A148" s="1" t="s">
        <v>424</v>
      </c>
      <c r="B148" s="2">
        <v>45562</v>
      </c>
      <c r="C148" s="1" t="s">
        <v>116</v>
      </c>
      <c r="D148" s="1" t="s">
        <v>144</v>
      </c>
      <c r="E148" s="1" t="s">
        <v>20</v>
      </c>
      <c r="F148" s="1" t="s">
        <v>30</v>
      </c>
      <c r="G148" s="1" t="s">
        <v>31</v>
      </c>
      <c r="H148" s="1" t="s">
        <v>250</v>
      </c>
      <c r="I148" s="1">
        <v>269.72000000000003</v>
      </c>
      <c r="J148" s="1">
        <v>10</v>
      </c>
      <c r="K148" s="1">
        <v>2697.2</v>
      </c>
      <c r="L148" s="1">
        <v>20</v>
      </c>
      <c r="M148" s="1">
        <v>539.44000000000005</v>
      </c>
      <c r="N148" s="1">
        <v>2157.7600000000002</v>
      </c>
      <c r="O148" s="1" t="s">
        <v>24</v>
      </c>
      <c r="P148" s="1" t="s">
        <v>425</v>
      </c>
      <c r="Q148" s="1">
        <v>5</v>
      </c>
      <c r="R148" s="1">
        <f>Retail_Sales_Analyis[[#This Row],[Final_Price]]-Retail_Sales_Analyis[[#This Row],[Total_Price]]</f>
        <v>-539.4399999999996</v>
      </c>
      <c r="S1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9" spans="1:19" x14ac:dyDescent="0.25">
      <c r="A149" s="1" t="s">
        <v>426</v>
      </c>
      <c r="B149" s="2">
        <v>45420</v>
      </c>
      <c r="C149" s="1" t="s">
        <v>42</v>
      </c>
      <c r="D149" s="1" t="s">
        <v>55</v>
      </c>
      <c r="E149" s="1" t="s">
        <v>322</v>
      </c>
      <c r="F149" s="1" t="s">
        <v>21</v>
      </c>
      <c r="G149" s="1" t="s">
        <v>22</v>
      </c>
      <c r="H149" s="1" t="s">
        <v>133</v>
      </c>
      <c r="I149" s="1">
        <v>824.1</v>
      </c>
      <c r="J149" s="1">
        <v>6</v>
      </c>
      <c r="K149" s="1">
        <v>4944.6000000000004</v>
      </c>
      <c r="L149" s="1">
        <v>0</v>
      </c>
      <c r="M149" s="1">
        <v>0</v>
      </c>
      <c r="N149" s="1">
        <v>4944.6000000000004</v>
      </c>
      <c r="O149" s="1" t="s">
        <v>33</v>
      </c>
      <c r="P149" s="1" t="s">
        <v>427</v>
      </c>
      <c r="Q149" s="1">
        <v>4</v>
      </c>
      <c r="R149" s="1">
        <f>Retail_Sales_Analyis[[#This Row],[Final_Price]]-Retail_Sales_Analyis[[#This Row],[Total_Price]]</f>
        <v>0</v>
      </c>
      <c r="S1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" spans="1:19" x14ac:dyDescent="0.25">
      <c r="A150" s="1" t="s">
        <v>428</v>
      </c>
      <c r="B150" s="2">
        <v>45575</v>
      </c>
      <c r="C150" s="1" t="s">
        <v>76</v>
      </c>
      <c r="D150" s="1" t="s">
        <v>67</v>
      </c>
      <c r="E150" s="1" t="s">
        <v>196</v>
      </c>
      <c r="F150" s="1" t="s">
        <v>21</v>
      </c>
      <c r="G150" s="1" t="s">
        <v>112</v>
      </c>
      <c r="H150" s="1" t="s">
        <v>288</v>
      </c>
      <c r="I150" s="1">
        <v>581.19000000000005</v>
      </c>
      <c r="J150" s="1">
        <v>9</v>
      </c>
      <c r="K150" s="1">
        <v>5230.71</v>
      </c>
      <c r="L150" s="1">
        <v>0</v>
      </c>
      <c r="M150" s="1">
        <v>0</v>
      </c>
      <c r="N150" s="1">
        <v>5230.71</v>
      </c>
      <c r="O150" s="1" t="s">
        <v>46</v>
      </c>
      <c r="P150" s="1" t="s">
        <v>429</v>
      </c>
      <c r="Q150" s="1">
        <v>5</v>
      </c>
      <c r="R150" s="1">
        <f>Retail_Sales_Analyis[[#This Row],[Final_Price]]-Retail_Sales_Analyis[[#This Row],[Total_Price]]</f>
        <v>0</v>
      </c>
      <c r="S1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1" spans="1:19" x14ac:dyDescent="0.25">
      <c r="A151" s="1" t="s">
        <v>430</v>
      </c>
      <c r="B151" s="2">
        <v>45297</v>
      </c>
      <c r="C151" s="1" t="s">
        <v>36</v>
      </c>
      <c r="D151" s="1" t="s">
        <v>19</v>
      </c>
      <c r="E151" s="1" t="s">
        <v>213</v>
      </c>
      <c r="F151" s="1" t="s">
        <v>37</v>
      </c>
      <c r="G151" s="1" t="s">
        <v>57</v>
      </c>
      <c r="H151" s="1" t="s">
        <v>101</v>
      </c>
      <c r="I151" s="1">
        <v>341.46</v>
      </c>
      <c r="J151" s="1">
        <v>7</v>
      </c>
      <c r="K151" s="1">
        <v>2390.2199999999998</v>
      </c>
      <c r="L151" s="1">
        <v>5</v>
      </c>
      <c r="M151" s="1">
        <v>119.51</v>
      </c>
      <c r="N151" s="1">
        <v>2270.71</v>
      </c>
      <c r="O151" s="1" t="s">
        <v>80</v>
      </c>
      <c r="P151" s="1" t="s">
        <v>431</v>
      </c>
      <c r="Q151" s="1">
        <v>5</v>
      </c>
      <c r="R151" s="1">
        <f>Retail_Sales_Analyis[[#This Row],[Final_Price]]-Retail_Sales_Analyis[[#This Row],[Total_Price]]</f>
        <v>-119.50999999999976</v>
      </c>
      <c r="S1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2" spans="1:19" x14ac:dyDescent="0.25">
      <c r="A152" s="1" t="s">
        <v>432</v>
      </c>
      <c r="B152" s="2">
        <v>45640</v>
      </c>
      <c r="C152" s="1" t="s">
        <v>73</v>
      </c>
      <c r="D152" s="1" t="s">
        <v>19</v>
      </c>
      <c r="E152" s="1" t="s">
        <v>83</v>
      </c>
      <c r="F152" s="1" t="s">
        <v>84</v>
      </c>
      <c r="G152" s="1" t="s">
        <v>22</v>
      </c>
      <c r="H152" s="1" t="s">
        <v>277</v>
      </c>
      <c r="I152" s="1">
        <v>829.09</v>
      </c>
      <c r="J152" s="1">
        <v>3</v>
      </c>
      <c r="K152" s="1">
        <v>2487.27</v>
      </c>
      <c r="L152" s="1">
        <v>0</v>
      </c>
      <c r="M152" s="1">
        <v>0</v>
      </c>
      <c r="N152" s="1">
        <v>2487.27</v>
      </c>
      <c r="O152" s="1" t="s">
        <v>46</v>
      </c>
      <c r="P152" s="1" t="s">
        <v>433</v>
      </c>
      <c r="Q152" s="1">
        <v>1</v>
      </c>
      <c r="R152" s="1">
        <f>Retail_Sales_Analyis[[#This Row],[Final_Price]]-Retail_Sales_Analyis[[#This Row],[Total_Price]]</f>
        <v>0</v>
      </c>
      <c r="S1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3" spans="1:19" x14ac:dyDescent="0.25">
      <c r="A153" s="1" t="s">
        <v>434</v>
      </c>
      <c r="B153" s="2">
        <v>45350</v>
      </c>
      <c r="C153" s="1" t="s">
        <v>27</v>
      </c>
      <c r="D153" s="1" t="s">
        <v>55</v>
      </c>
      <c r="E153" s="1" t="s">
        <v>77</v>
      </c>
      <c r="F153" s="1" t="s">
        <v>21</v>
      </c>
      <c r="G153" s="1" t="s">
        <v>112</v>
      </c>
      <c r="H153" s="1" t="s">
        <v>183</v>
      </c>
      <c r="I153" s="1">
        <v>1098.79</v>
      </c>
      <c r="J153" s="1">
        <v>2</v>
      </c>
      <c r="K153" s="1">
        <v>2197.58</v>
      </c>
      <c r="L153" s="1">
        <v>5</v>
      </c>
      <c r="M153" s="1">
        <v>109.88</v>
      </c>
      <c r="N153" s="1">
        <v>2087.6999999999998</v>
      </c>
      <c r="O153" s="1" t="s">
        <v>80</v>
      </c>
      <c r="P153" s="1" t="s">
        <v>435</v>
      </c>
      <c r="Q153" s="1">
        <v>4</v>
      </c>
      <c r="R153" s="1">
        <f>Retail_Sales_Analyis[[#This Row],[Final_Price]]-Retail_Sales_Analyis[[#This Row],[Total_Price]]</f>
        <v>-109.88000000000011</v>
      </c>
      <c r="S1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4" spans="1:19" x14ac:dyDescent="0.25">
      <c r="A154" s="1" t="s">
        <v>436</v>
      </c>
      <c r="B154" s="2">
        <v>45641</v>
      </c>
      <c r="C154" s="1" t="s">
        <v>73</v>
      </c>
      <c r="D154" s="1" t="s">
        <v>49</v>
      </c>
      <c r="E154" s="1" t="s">
        <v>163</v>
      </c>
      <c r="F154" s="1" t="s">
        <v>84</v>
      </c>
      <c r="G154" s="1" t="s">
        <v>85</v>
      </c>
      <c r="H154" s="1" t="s">
        <v>86</v>
      </c>
      <c r="I154" s="1">
        <v>3237.18</v>
      </c>
      <c r="J154" s="1">
        <v>8</v>
      </c>
      <c r="K154" s="1">
        <v>25897.439999999999</v>
      </c>
      <c r="L154" s="1">
        <v>5</v>
      </c>
      <c r="M154" s="1">
        <v>1294.8699999999999</v>
      </c>
      <c r="N154" s="1">
        <v>24602.57</v>
      </c>
      <c r="O154" s="1" t="s">
        <v>80</v>
      </c>
      <c r="P154" s="1" t="s">
        <v>437</v>
      </c>
      <c r="Q154" s="1">
        <v>2</v>
      </c>
      <c r="R154" s="1">
        <f>Retail_Sales_Analyis[[#This Row],[Final_Price]]-Retail_Sales_Analyis[[#This Row],[Total_Price]]</f>
        <v>-1294.869999999999</v>
      </c>
      <c r="S1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5" spans="1:19" x14ac:dyDescent="0.25">
      <c r="A155" s="1" t="s">
        <v>438</v>
      </c>
      <c r="B155" s="2">
        <v>45566</v>
      </c>
      <c r="C155" s="1" t="s">
        <v>76</v>
      </c>
      <c r="D155" s="1" t="s">
        <v>28</v>
      </c>
      <c r="E155" s="1" t="s">
        <v>322</v>
      </c>
      <c r="F155" s="1" t="s">
        <v>69</v>
      </c>
      <c r="G155" s="1" t="s">
        <v>57</v>
      </c>
      <c r="H155" s="1" t="s">
        <v>101</v>
      </c>
      <c r="I155" s="1">
        <v>400.6</v>
      </c>
      <c r="J155" s="1">
        <v>7</v>
      </c>
      <c r="K155" s="1">
        <v>2804.2</v>
      </c>
      <c r="L155" s="1">
        <v>0</v>
      </c>
      <c r="M155" s="1">
        <v>0</v>
      </c>
      <c r="N155" s="1">
        <v>2804.2</v>
      </c>
      <c r="O155" s="1" t="s">
        <v>80</v>
      </c>
      <c r="P155" s="1" t="s">
        <v>439</v>
      </c>
      <c r="Q155" s="1">
        <v>1</v>
      </c>
      <c r="R155" s="1">
        <f>Retail_Sales_Analyis[[#This Row],[Final_Price]]-Retail_Sales_Analyis[[#This Row],[Total_Price]]</f>
        <v>0</v>
      </c>
      <c r="S1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6" spans="1:19" x14ac:dyDescent="0.25">
      <c r="A156" s="1" t="s">
        <v>440</v>
      </c>
      <c r="B156" s="2">
        <v>45428</v>
      </c>
      <c r="C156" s="1" t="s">
        <v>42</v>
      </c>
      <c r="D156" s="1" t="s">
        <v>67</v>
      </c>
      <c r="E156" s="1" t="s">
        <v>236</v>
      </c>
      <c r="F156" s="1" t="s">
        <v>30</v>
      </c>
      <c r="G156" s="1" t="s">
        <v>78</v>
      </c>
      <c r="H156" s="1" t="s">
        <v>323</v>
      </c>
      <c r="I156" s="1">
        <v>235.72</v>
      </c>
      <c r="J156" s="1">
        <v>6</v>
      </c>
      <c r="K156" s="1">
        <v>1414.32</v>
      </c>
      <c r="L156" s="1">
        <v>10</v>
      </c>
      <c r="M156" s="1">
        <v>141.43</v>
      </c>
      <c r="N156" s="1">
        <v>1272.8900000000001</v>
      </c>
      <c r="O156" s="1" t="s">
        <v>24</v>
      </c>
      <c r="P156" s="1" t="s">
        <v>441</v>
      </c>
      <c r="Q156" s="1">
        <v>3</v>
      </c>
      <c r="R156" s="1">
        <f>Retail_Sales_Analyis[[#This Row],[Final_Price]]-Retail_Sales_Analyis[[#This Row],[Total_Price]]</f>
        <v>-141.42999999999984</v>
      </c>
      <c r="S1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7" spans="1:19" x14ac:dyDescent="0.25">
      <c r="A157" s="1" t="s">
        <v>442</v>
      </c>
      <c r="B157" s="2">
        <v>45620</v>
      </c>
      <c r="C157" s="1" t="s">
        <v>18</v>
      </c>
      <c r="D157" s="1" t="s">
        <v>49</v>
      </c>
      <c r="E157" s="1" t="s">
        <v>285</v>
      </c>
      <c r="F157" s="1" t="s">
        <v>30</v>
      </c>
      <c r="G157" s="1" t="s">
        <v>31</v>
      </c>
      <c r="H157" s="1" t="s">
        <v>45</v>
      </c>
      <c r="I157" s="1">
        <v>115.62</v>
      </c>
      <c r="J157" s="1">
        <v>1</v>
      </c>
      <c r="K157" s="1">
        <v>115.62</v>
      </c>
      <c r="L157" s="1">
        <v>20</v>
      </c>
      <c r="M157" s="1">
        <v>23.12</v>
      </c>
      <c r="N157" s="1">
        <v>92.5</v>
      </c>
      <c r="O157" s="1" t="s">
        <v>64</v>
      </c>
      <c r="P157" s="1" t="s">
        <v>443</v>
      </c>
      <c r="Q157" s="1">
        <v>2</v>
      </c>
      <c r="R157" s="1">
        <f>Retail_Sales_Analyis[[#This Row],[Final_Price]]-Retail_Sales_Analyis[[#This Row],[Total_Price]]</f>
        <v>-23.120000000000005</v>
      </c>
      <c r="S1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8" spans="1:19" x14ac:dyDescent="0.25">
      <c r="A158" s="1" t="s">
        <v>444</v>
      </c>
      <c r="B158" s="2">
        <v>45466</v>
      </c>
      <c r="C158" s="1" t="s">
        <v>173</v>
      </c>
      <c r="D158" s="1" t="s">
        <v>49</v>
      </c>
      <c r="E158" s="1" t="s">
        <v>157</v>
      </c>
      <c r="F158" s="1" t="s">
        <v>30</v>
      </c>
      <c r="G158" s="1" t="s">
        <v>169</v>
      </c>
      <c r="H158" s="1" t="s">
        <v>208</v>
      </c>
      <c r="I158" s="1">
        <v>1187.5</v>
      </c>
      <c r="J158" s="1">
        <v>4</v>
      </c>
      <c r="K158" s="1">
        <v>4750</v>
      </c>
      <c r="L158" s="1">
        <v>10</v>
      </c>
      <c r="M158" s="1">
        <v>475</v>
      </c>
      <c r="N158" s="1">
        <v>4275</v>
      </c>
      <c r="O158" s="1" t="s">
        <v>64</v>
      </c>
      <c r="P158" s="1" t="s">
        <v>445</v>
      </c>
      <c r="Q158" s="1">
        <v>3</v>
      </c>
      <c r="R158" s="1">
        <f>Retail_Sales_Analyis[[#This Row],[Final_Price]]-Retail_Sales_Analyis[[#This Row],[Total_Price]]</f>
        <v>-475</v>
      </c>
      <c r="S1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9" spans="1:19" x14ac:dyDescent="0.25">
      <c r="A159" s="1" t="s">
        <v>446</v>
      </c>
      <c r="B159" s="2">
        <v>45349</v>
      </c>
      <c r="C159" s="1" t="s">
        <v>27</v>
      </c>
      <c r="D159" s="1" t="s">
        <v>28</v>
      </c>
      <c r="E159" s="1" t="s">
        <v>145</v>
      </c>
      <c r="F159" s="1" t="s">
        <v>21</v>
      </c>
      <c r="G159" s="1" t="s">
        <v>169</v>
      </c>
      <c r="H159" s="1" t="s">
        <v>175</v>
      </c>
      <c r="I159" s="1">
        <v>840.07</v>
      </c>
      <c r="J159" s="1">
        <v>1</v>
      </c>
      <c r="K159" s="1">
        <v>840.07</v>
      </c>
      <c r="L159" s="1">
        <v>0</v>
      </c>
      <c r="M159" s="1">
        <v>0</v>
      </c>
      <c r="N159" s="1">
        <v>840.07</v>
      </c>
      <c r="O159" s="1" t="s">
        <v>64</v>
      </c>
      <c r="P159" s="1" t="s">
        <v>447</v>
      </c>
      <c r="Q159" s="1">
        <v>5</v>
      </c>
      <c r="R159" s="1">
        <f>Retail_Sales_Analyis[[#This Row],[Final_Price]]-Retail_Sales_Analyis[[#This Row],[Total_Price]]</f>
        <v>0</v>
      </c>
      <c r="S1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0" spans="1:19" x14ac:dyDescent="0.25">
      <c r="A160" s="1" t="s">
        <v>448</v>
      </c>
      <c r="B160" s="2">
        <v>45442</v>
      </c>
      <c r="C160" s="1" t="s">
        <v>42</v>
      </c>
      <c r="D160" s="1" t="s">
        <v>67</v>
      </c>
      <c r="E160" s="1" t="s">
        <v>132</v>
      </c>
      <c r="F160" s="1" t="s">
        <v>84</v>
      </c>
      <c r="G160" s="1" t="s">
        <v>38</v>
      </c>
      <c r="H160" s="1" t="s">
        <v>70</v>
      </c>
      <c r="I160" s="1">
        <v>438.12</v>
      </c>
      <c r="J160" s="1">
        <v>3</v>
      </c>
      <c r="K160" s="1">
        <v>1314.36</v>
      </c>
      <c r="L160" s="1">
        <v>15</v>
      </c>
      <c r="M160" s="1">
        <v>197.15</v>
      </c>
      <c r="N160" s="1">
        <v>1117.21</v>
      </c>
      <c r="O160" s="1" t="s">
        <v>24</v>
      </c>
      <c r="P160" s="1" t="s">
        <v>449</v>
      </c>
      <c r="Q160" s="1">
        <v>4</v>
      </c>
      <c r="R160" s="1">
        <f>Retail_Sales_Analyis[[#This Row],[Final_Price]]-Retail_Sales_Analyis[[#This Row],[Total_Price]]</f>
        <v>-197.14999999999986</v>
      </c>
      <c r="S1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1" spans="1:19" x14ac:dyDescent="0.25">
      <c r="A161" s="1" t="s">
        <v>450</v>
      </c>
      <c r="B161" s="2">
        <v>45514</v>
      </c>
      <c r="C161" s="1" t="s">
        <v>93</v>
      </c>
      <c r="D161" s="1" t="s">
        <v>19</v>
      </c>
      <c r="E161" s="1" t="s">
        <v>111</v>
      </c>
      <c r="F161" s="1" t="s">
        <v>69</v>
      </c>
      <c r="G161" s="1" t="s">
        <v>38</v>
      </c>
      <c r="H161" s="1" t="s">
        <v>214</v>
      </c>
      <c r="I161" s="1">
        <v>142.08000000000001</v>
      </c>
      <c r="J161" s="1">
        <v>4</v>
      </c>
      <c r="K161" s="1">
        <v>568.32000000000005</v>
      </c>
      <c r="L161" s="1">
        <v>20</v>
      </c>
      <c r="M161" s="1">
        <v>113.66</v>
      </c>
      <c r="N161" s="1">
        <v>454.66</v>
      </c>
      <c r="O161" s="1" t="s">
        <v>80</v>
      </c>
      <c r="P161" s="1" t="s">
        <v>451</v>
      </c>
      <c r="Q161" s="1">
        <v>3</v>
      </c>
      <c r="R161" s="1">
        <f>Retail_Sales_Analyis[[#This Row],[Final_Price]]-Retail_Sales_Analyis[[#This Row],[Total_Price]]</f>
        <v>-113.66000000000003</v>
      </c>
      <c r="S1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2" spans="1:19" x14ac:dyDescent="0.25">
      <c r="A162" s="1" t="s">
        <v>452</v>
      </c>
      <c r="B162" s="2">
        <v>45372</v>
      </c>
      <c r="C162" s="1" t="s">
        <v>61</v>
      </c>
      <c r="D162" s="1" t="s">
        <v>67</v>
      </c>
      <c r="E162" s="1" t="s">
        <v>337</v>
      </c>
      <c r="F162" s="1" t="s">
        <v>30</v>
      </c>
      <c r="G162" s="1" t="s">
        <v>112</v>
      </c>
      <c r="H162" s="1" t="s">
        <v>223</v>
      </c>
      <c r="I162" s="1">
        <v>1082.97</v>
      </c>
      <c r="J162" s="1">
        <v>5</v>
      </c>
      <c r="K162" s="1">
        <v>5414.85</v>
      </c>
      <c r="L162" s="1">
        <v>15</v>
      </c>
      <c r="M162" s="1">
        <v>812.23</v>
      </c>
      <c r="N162" s="1">
        <v>4602.62</v>
      </c>
      <c r="O162" s="1" t="s">
        <v>46</v>
      </c>
      <c r="P162" s="1" t="s">
        <v>324</v>
      </c>
      <c r="Q162" s="1">
        <v>1</v>
      </c>
      <c r="R162" s="1">
        <f>Retail_Sales_Analyis[[#This Row],[Final_Price]]-Retail_Sales_Analyis[[#This Row],[Total_Price]]</f>
        <v>-812.23000000000047</v>
      </c>
      <c r="S1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3" spans="1:19" x14ac:dyDescent="0.25">
      <c r="A163" s="1" t="s">
        <v>453</v>
      </c>
      <c r="B163" s="2">
        <v>45524</v>
      </c>
      <c r="C163" s="1" t="s">
        <v>93</v>
      </c>
      <c r="D163" s="1" t="s">
        <v>28</v>
      </c>
      <c r="E163" s="1" t="s">
        <v>44</v>
      </c>
      <c r="F163" s="1" t="s">
        <v>84</v>
      </c>
      <c r="G163" s="1" t="s">
        <v>22</v>
      </c>
      <c r="H163" s="1" t="s">
        <v>23</v>
      </c>
      <c r="I163" s="1">
        <v>983.83</v>
      </c>
      <c r="J163" s="1">
        <v>9</v>
      </c>
      <c r="K163" s="1">
        <v>8854.4699999999993</v>
      </c>
      <c r="L163" s="1">
        <v>15</v>
      </c>
      <c r="M163" s="1">
        <v>1328.17</v>
      </c>
      <c r="N163" s="1">
        <v>7526.3</v>
      </c>
      <c r="O163" s="1" t="s">
        <v>24</v>
      </c>
      <c r="P163" s="1" t="s">
        <v>405</v>
      </c>
      <c r="Q163" s="1">
        <v>3</v>
      </c>
      <c r="R163" s="1">
        <f>Retail_Sales_Analyis[[#This Row],[Final_Price]]-Retail_Sales_Analyis[[#This Row],[Total_Price]]</f>
        <v>-1328.1699999999992</v>
      </c>
      <c r="S1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4" spans="1:19" x14ac:dyDescent="0.25">
      <c r="A164" s="1" t="s">
        <v>454</v>
      </c>
      <c r="B164" s="2">
        <v>45293</v>
      </c>
      <c r="C164" s="1" t="s">
        <v>36</v>
      </c>
      <c r="D164" s="1" t="s">
        <v>28</v>
      </c>
      <c r="E164" s="1" t="s">
        <v>29</v>
      </c>
      <c r="F164" s="1" t="s">
        <v>84</v>
      </c>
      <c r="G164" s="1" t="s">
        <v>169</v>
      </c>
      <c r="H164" s="1" t="s">
        <v>366</v>
      </c>
      <c r="I164" s="1">
        <v>538.65</v>
      </c>
      <c r="J164" s="1">
        <v>8</v>
      </c>
      <c r="K164" s="1">
        <v>4309.2</v>
      </c>
      <c r="L164" s="1">
        <v>10</v>
      </c>
      <c r="M164" s="1">
        <v>430.92</v>
      </c>
      <c r="N164" s="1">
        <v>3878.28</v>
      </c>
      <c r="O164" s="1" t="s">
        <v>24</v>
      </c>
      <c r="P164" s="1" t="s">
        <v>455</v>
      </c>
      <c r="Q164" s="1">
        <v>1</v>
      </c>
      <c r="R164" s="1">
        <f>Retail_Sales_Analyis[[#This Row],[Final_Price]]-Retail_Sales_Analyis[[#This Row],[Total_Price]]</f>
        <v>-430.91999999999962</v>
      </c>
      <c r="S1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5" spans="1:19" x14ac:dyDescent="0.25">
      <c r="A165" s="1" t="s">
        <v>456</v>
      </c>
      <c r="B165" s="2">
        <v>45426</v>
      </c>
      <c r="C165" s="1" t="s">
        <v>42</v>
      </c>
      <c r="D165" s="1" t="s">
        <v>28</v>
      </c>
      <c r="E165" s="1" t="s">
        <v>411</v>
      </c>
      <c r="F165" s="1" t="s">
        <v>30</v>
      </c>
      <c r="G165" s="1" t="s">
        <v>78</v>
      </c>
      <c r="H165" s="1" t="s">
        <v>136</v>
      </c>
      <c r="I165" s="1">
        <v>327.02999999999997</v>
      </c>
      <c r="J165" s="1">
        <v>3</v>
      </c>
      <c r="K165" s="1">
        <v>981.09</v>
      </c>
      <c r="L165" s="1">
        <v>0</v>
      </c>
      <c r="M165" s="1">
        <v>0</v>
      </c>
      <c r="N165" s="1">
        <v>981.09</v>
      </c>
      <c r="O165" s="1" t="s">
        <v>46</v>
      </c>
      <c r="P165" s="1" t="s">
        <v>457</v>
      </c>
      <c r="Q165" s="1">
        <v>3</v>
      </c>
      <c r="R165" s="1">
        <f>Retail_Sales_Analyis[[#This Row],[Final_Price]]-Retail_Sales_Analyis[[#This Row],[Total_Price]]</f>
        <v>0</v>
      </c>
      <c r="S1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" spans="1:19" x14ac:dyDescent="0.25">
      <c r="A166" s="1" t="s">
        <v>458</v>
      </c>
      <c r="B166" s="2">
        <v>45548</v>
      </c>
      <c r="C166" s="1" t="s">
        <v>116</v>
      </c>
      <c r="D166" s="1" t="s">
        <v>144</v>
      </c>
      <c r="E166" s="1" t="s">
        <v>199</v>
      </c>
      <c r="F166" s="1" t="s">
        <v>21</v>
      </c>
      <c r="G166" s="1" t="s">
        <v>38</v>
      </c>
      <c r="H166" s="1" t="s">
        <v>39</v>
      </c>
      <c r="I166" s="1">
        <v>538.04999999999995</v>
      </c>
      <c r="J166" s="1">
        <v>7</v>
      </c>
      <c r="K166" s="1">
        <v>3766.35</v>
      </c>
      <c r="L166" s="1">
        <v>20</v>
      </c>
      <c r="M166" s="1">
        <v>753.27</v>
      </c>
      <c r="N166" s="1">
        <v>3013.08</v>
      </c>
      <c r="O166" s="1" t="s">
        <v>24</v>
      </c>
      <c r="P166" s="1" t="s">
        <v>459</v>
      </c>
      <c r="Q166" s="1">
        <v>5</v>
      </c>
      <c r="R166" s="1">
        <f>Retail_Sales_Analyis[[#This Row],[Final_Price]]-Retail_Sales_Analyis[[#This Row],[Total_Price]]</f>
        <v>-753.27</v>
      </c>
      <c r="S1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7" spans="1:19" x14ac:dyDescent="0.25">
      <c r="A167" s="1" t="s">
        <v>460</v>
      </c>
      <c r="B167" s="2">
        <v>45383</v>
      </c>
      <c r="C167" s="1" t="s">
        <v>54</v>
      </c>
      <c r="D167" s="1" t="s">
        <v>43</v>
      </c>
      <c r="E167" s="1" t="s">
        <v>285</v>
      </c>
      <c r="F167" s="1" t="s">
        <v>84</v>
      </c>
      <c r="G167" s="1" t="s">
        <v>78</v>
      </c>
      <c r="H167" s="1" t="s">
        <v>136</v>
      </c>
      <c r="I167" s="1">
        <v>445.62</v>
      </c>
      <c r="J167" s="1">
        <v>2</v>
      </c>
      <c r="K167" s="1">
        <v>891.24</v>
      </c>
      <c r="L167" s="1">
        <v>15</v>
      </c>
      <c r="M167" s="1">
        <v>133.69</v>
      </c>
      <c r="N167" s="1">
        <v>757.55</v>
      </c>
      <c r="O167" s="1" t="s">
        <v>33</v>
      </c>
      <c r="P167" s="1" t="s">
        <v>461</v>
      </c>
      <c r="Q167" s="1">
        <v>5</v>
      </c>
      <c r="R167" s="1">
        <f>Retail_Sales_Analyis[[#This Row],[Final_Price]]-Retail_Sales_Analyis[[#This Row],[Total_Price]]</f>
        <v>-133.69000000000005</v>
      </c>
      <c r="S1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8" spans="1:19" x14ac:dyDescent="0.25">
      <c r="A168" s="1" t="s">
        <v>462</v>
      </c>
      <c r="B168" s="2">
        <v>45551</v>
      </c>
      <c r="C168" s="1" t="s">
        <v>116</v>
      </c>
      <c r="D168" s="1" t="s">
        <v>43</v>
      </c>
      <c r="E168" s="1" t="s">
        <v>62</v>
      </c>
      <c r="F168" s="1" t="s">
        <v>69</v>
      </c>
      <c r="G168" s="1" t="s">
        <v>57</v>
      </c>
      <c r="H168" s="1" t="s">
        <v>58</v>
      </c>
      <c r="I168" s="1">
        <v>873.01</v>
      </c>
      <c r="J168" s="1">
        <v>3</v>
      </c>
      <c r="K168" s="1">
        <v>2619.0300000000002</v>
      </c>
      <c r="L168" s="1">
        <v>5</v>
      </c>
      <c r="M168" s="1">
        <v>130.94999999999999</v>
      </c>
      <c r="N168" s="1">
        <v>2488.08</v>
      </c>
      <c r="O168" s="1" t="s">
        <v>46</v>
      </c>
      <c r="P168" s="1" t="s">
        <v>463</v>
      </c>
      <c r="Q168" s="1">
        <v>5</v>
      </c>
      <c r="R168" s="1">
        <f>Retail_Sales_Analyis[[#This Row],[Final_Price]]-Retail_Sales_Analyis[[#This Row],[Total_Price]]</f>
        <v>-130.95000000000027</v>
      </c>
      <c r="S1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9" spans="1:19" x14ac:dyDescent="0.25">
      <c r="A169" s="1" t="s">
        <v>464</v>
      </c>
      <c r="B169" s="2">
        <v>45346</v>
      </c>
      <c r="C169" s="1" t="s">
        <v>27</v>
      </c>
      <c r="D169" s="1" t="s">
        <v>19</v>
      </c>
      <c r="E169" s="1" t="s">
        <v>351</v>
      </c>
      <c r="F169" s="1" t="s">
        <v>84</v>
      </c>
      <c r="G169" s="1" t="s">
        <v>85</v>
      </c>
      <c r="H169" s="1" t="s">
        <v>98</v>
      </c>
      <c r="I169" s="1">
        <v>3609.89</v>
      </c>
      <c r="J169" s="1">
        <v>10</v>
      </c>
      <c r="K169" s="1">
        <v>36098.9</v>
      </c>
      <c r="L169" s="1">
        <v>10</v>
      </c>
      <c r="M169" s="1">
        <v>3609.89</v>
      </c>
      <c r="N169" s="1">
        <v>32489.01</v>
      </c>
      <c r="O169" s="1" t="s">
        <v>64</v>
      </c>
      <c r="P169" s="1" t="s">
        <v>465</v>
      </c>
      <c r="Q169" s="1">
        <v>2</v>
      </c>
      <c r="R169" s="1">
        <f>Retail_Sales_Analyis[[#This Row],[Final_Price]]-Retail_Sales_Analyis[[#This Row],[Total_Price]]</f>
        <v>-3609.8900000000031</v>
      </c>
      <c r="S1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" spans="1:19" x14ac:dyDescent="0.25">
      <c r="A170" s="1" t="s">
        <v>466</v>
      </c>
      <c r="B170" s="2">
        <v>45612</v>
      </c>
      <c r="C170" s="1" t="s">
        <v>18</v>
      </c>
      <c r="D170" s="1" t="s">
        <v>19</v>
      </c>
      <c r="E170" s="1" t="s">
        <v>166</v>
      </c>
      <c r="F170" s="1" t="s">
        <v>37</v>
      </c>
      <c r="G170" s="1" t="s">
        <v>85</v>
      </c>
      <c r="H170" s="1" t="s">
        <v>86</v>
      </c>
      <c r="I170" s="1">
        <v>4982.74</v>
      </c>
      <c r="J170" s="1">
        <v>3</v>
      </c>
      <c r="K170" s="1">
        <v>14948.22</v>
      </c>
      <c r="L170" s="1">
        <v>15</v>
      </c>
      <c r="M170" s="1">
        <v>2242.23</v>
      </c>
      <c r="N170" s="1">
        <v>12705.99</v>
      </c>
      <c r="O170" s="1" t="s">
        <v>80</v>
      </c>
      <c r="P170" s="1" t="s">
        <v>467</v>
      </c>
      <c r="Q170" s="1">
        <v>2</v>
      </c>
      <c r="R170" s="1">
        <f>Retail_Sales_Analyis[[#This Row],[Final_Price]]-Retail_Sales_Analyis[[#This Row],[Total_Price]]</f>
        <v>-2242.2299999999996</v>
      </c>
      <c r="S1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1" spans="1:19" x14ac:dyDescent="0.25">
      <c r="A171" s="1" t="s">
        <v>468</v>
      </c>
      <c r="B171" s="2">
        <v>45444</v>
      </c>
      <c r="C171" s="1" t="s">
        <v>173</v>
      </c>
      <c r="D171" s="1" t="s">
        <v>19</v>
      </c>
      <c r="E171" s="1" t="s">
        <v>261</v>
      </c>
      <c r="F171" s="1" t="s">
        <v>69</v>
      </c>
      <c r="G171" s="1" t="s">
        <v>169</v>
      </c>
      <c r="H171" s="1" t="s">
        <v>366</v>
      </c>
      <c r="I171" s="1">
        <v>681.12</v>
      </c>
      <c r="J171" s="1">
        <v>3</v>
      </c>
      <c r="K171" s="1">
        <v>2043.36</v>
      </c>
      <c r="L171" s="1">
        <v>15</v>
      </c>
      <c r="M171" s="1">
        <v>306.5</v>
      </c>
      <c r="N171" s="1">
        <v>1736.86</v>
      </c>
      <c r="O171" s="1" t="s">
        <v>24</v>
      </c>
      <c r="P171" s="1" t="s">
        <v>469</v>
      </c>
      <c r="Q171" s="1">
        <v>3</v>
      </c>
      <c r="R171" s="1">
        <f>Retail_Sales_Analyis[[#This Row],[Final_Price]]-Retail_Sales_Analyis[[#This Row],[Total_Price]]</f>
        <v>-306.5</v>
      </c>
      <c r="S1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2" spans="1:19" x14ac:dyDescent="0.25">
      <c r="A172" s="1" t="s">
        <v>470</v>
      </c>
      <c r="B172" s="2">
        <v>45619</v>
      </c>
      <c r="C172" s="1" t="s">
        <v>18</v>
      </c>
      <c r="D172" s="1" t="s">
        <v>19</v>
      </c>
      <c r="E172" s="1" t="s">
        <v>337</v>
      </c>
      <c r="F172" s="1" t="s">
        <v>84</v>
      </c>
      <c r="G172" s="1" t="s">
        <v>31</v>
      </c>
      <c r="H172" s="1" t="s">
        <v>63</v>
      </c>
      <c r="I172" s="1">
        <v>118.38</v>
      </c>
      <c r="J172" s="1">
        <v>4</v>
      </c>
      <c r="K172" s="1">
        <v>473.52</v>
      </c>
      <c r="L172" s="1">
        <v>0</v>
      </c>
      <c r="M172" s="1">
        <v>0</v>
      </c>
      <c r="N172" s="1">
        <v>473.52</v>
      </c>
      <c r="O172" s="1" t="s">
        <v>64</v>
      </c>
      <c r="P172" s="1" t="s">
        <v>441</v>
      </c>
      <c r="Q172" s="1">
        <v>2</v>
      </c>
      <c r="R172" s="1">
        <f>Retail_Sales_Analyis[[#This Row],[Final_Price]]-Retail_Sales_Analyis[[#This Row],[Total_Price]]</f>
        <v>0</v>
      </c>
      <c r="S1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" spans="1:19" x14ac:dyDescent="0.25">
      <c r="A173" s="1" t="s">
        <v>471</v>
      </c>
      <c r="B173" s="2">
        <v>45551</v>
      </c>
      <c r="C173" s="1" t="s">
        <v>116</v>
      </c>
      <c r="D173" s="1" t="s">
        <v>43</v>
      </c>
      <c r="E173" s="1" t="s">
        <v>285</v>
      </c>
      <c r="F173" s="1" t="s">
        <v>37</v>
      </c>
      <c r="G173" s="1" t="s">
        <v>38</v>
      </c>
      <c r="H173" s="1" t="s">
        <v>70</v>
      </c>
      <c r="I173" s="1">
        <v>496.93</v>
      </c>
      <c r="J173" s="1">
        <v>4</v>
      </c>
      <c r="K173" s="1">
        <v>1987.72</v>
      </c>
      <c r="L173" s="1">
        <v>10</v>
      </c>
      <c r="M173" s="1">
        <v>198.77</v>
      </c>
      <c r="N173" s="1">
        <v>1788.95</v>
      </c>
      <c r="O173" s="1" t="s">
        <v>64</v>
      </c>
      <c r="P173" s="1" t="s">
        <v>472</v>
      </c>
      <c r="Q173" s="1">
        <v>2</v>
      </c>
      <c r="R173" s="1">
        <f>Retail_Sales_Analyis[[#This Row],[Final_Price]]-Retail_Sales_Analyis[[#This Row],[Total_Price]]</f>
        <v>-198.76999999999998</v>
      </c>
      <c r="S1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4" spans="1:19" x14ac:dyDescent="0.25">
      <c r="A174" s="1" t="s">
        <v>473</v>
      </c>
      <c r="B174" s="2">
        <v>45603</v>
      </c>
      <c r="C174" s="1" t="s">
        <v>18</v>
      </c>
      <c r="D174" s="1" t="s">
        <v>67</v>
      </c>
      <c r="E174" s="1" t="s">
        <v>121</v>
      </c>
      <c r="F174" s="1" t="s">
        <v>69</v>
      </c>
      <c r="G174" s="1" t="s">
        <v>169</v>
      </c>
      <c r="H174" s="1" t="s">
        <v>348</v>
      </c>
      <c r="I174" s="1">
        <v>460.9</v>
      </c>
      <c r="J174" s="1">
        <v>10</v>
      </c>
      <c r="K174" s="1">
        <v>4609</v>
      </c>
      <c r="L174" s="1">
        <v>5</v>
      </c>
      <c r="M174" s="1">
        <v>230.45</v>
      </c>
      <c r="N174" s="1">
        <v>4378.55</v>
      </c>
      <c r="O174" s="1" t="s">
        <v>46</v>
      </c>
      <c r="P174" s="1" t="s">
        <v>474</v>
      </c>
      <c r="Q174" s="1">
        <v>2</v>
      </c>
      <c r="R174" s="1">
        <f>Retail_Sales_Analyis[[#This Row],[Final_Price]]-Retail_Sales_Analyis[[#This Row],[Total_Price]]</f>
        <v>-230.44999999999982</v>
      </c>
      <c r="S1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5" spans="1:19" x14ac:dyDescent="0.25">
      <c r="A175" s="1" t="s">
        <v>475</v>
      </c>
      <c r="B175" s="2">
        <v>45393</v>
      </c>
      <c r="C175" s="1" t="s">
        <v>54</v>
      </c>
      <c r="D175" s="1" t="s">
        <v>67</v>
      </c>
      <c r="E175" s="1" t="s">
        <v>261</v>
      </c>
      <c r="F175" s="1" t="s">
        <v>21</v>
      </c>
      <c r="G175" s="1" t="s">
        <v>85</v>
      </c>
      <c r="H175" s="1" t="s">
        <v>98</v>
      </c>
      <c r="I175" s="1">
        <v>1773.04</v>
      </c>
      <c r="J175" s="1">
        <v>1</v>
      </c>
      <c r="K175" s="1">
        <v>1773.04</v>
      </c>
      <c r="L175" s="1">
        <v>5</v>
      </c>
      <c r="M175" s="1">
        <v>88.65</v>
      </c>
      <c r="N175" s="1">
        <v>1684.39</v>
      </c>
      <c r="O175" s="1" t="s">
        <v>24</v>
      </c>
      <c r="P175" s="1" t="s">
        <v>476</v>
      </c>
      <c r="Q175" s="1">
        <v>3</v>
      </c>
      <c r="R175" s="1">
        <f>Retail_Sales_Analyis[[#This Row],[Final_Price]]-Retail_Sales_Analyis[[#This Row],[Total_Price]]</f>
        <v>-88.649999999999864</v>
      </c>
      <c r="S1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6" spans="1:19" x14ac:dyDescent="0.25">
      <c r="A176" s="1" t="s">
        <v>477</v>
      </c>
      <c r="B176" s="2">
        <v>45370</v>
      </c>
      <c r="C176" s="1" t="s">
        <v>61</v>
      </c>
      <c r="D176" s="1" t="s">
        <v>28</v>
      </c>
      <c r="E176" s="1" t="s">
        <v>168</v>
      </c>
      <c r="F176" s="1" t="s">
        <v>30</v>
      </c>
      <c r="G176" s="1" t="s">
        <v>57</v>
      </c>
      <c r="H176" s="1" t="s">
        <v>101</v>
      </c>
      <c r="I176" s="1">
        <v>385.18</v>
      </c>
      <c r="J176" s="1">
        <v>8</v>
      </c>
      <c r="K176" s="1">
        <v>3081.44</v>
      </c>
      <c r="L176" s="1">
        <v>20</v>
      </c>
      <c r="M176" s="1">
        <v>616.29</v>
      </c>
      <c r="N176" s="1">
        <v>2465.15</v>
      </c>
      <c r="O176" s="1" t="s">
        <v>80</v>
      </c>
      <c r="P176" s="1" t="s">
        <v>478</v>
      </c>
      <c r="Q176" s="1">
        <v>4</v>
      </c>
      <c r="R176" s="1">
        <f>Retail_Sales_Analyis[[#This Row],[Final_Price]]-Retail_Sales_Analyis[[#This Row],[Total_Price]]</f>
        <v>-616.29</v>
      </c>
      <c r="S1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7" spans="1:19" x14ac:dyDescent="0.25">
      <c r="A177" s="1" t="s">
        <v>479</v>
      </c>
      <c r="B177" s="2">
        <v>45483</v>
      </c>
      <c r="C177" s="1" t="s">
        <v>195</v>
      </c>
      <c r="D177" s="1" t="s">
        <v>55</v>
      </c>
      <c r="E177" s="1" t="s">
        <v>207</v>
      </c>
      <c r="F177" s="1" t="s">
        <v>84</v>
      </c>
      <c r="G177" s="1" t="s">
        <v>31</v>
      </c>
      <c r="H177" s="1" t="s">
        <v>250</v>
      </c>
      <c r="I177" s="1">
        <v>242.4</v>
      </c>
      <c r="J177" s="1">
        <v>1</v>
      </c>
      <c r="K177" s="1">
        <v>242.4</v>
      </c>
      <c r="L177" s="1">
        <v>10</v>
      </c>
      <c r="M177" s="1">
        <v>24.24</v>
      </c>
      <c r="N177" s="1">
        <v>218.16</v>
      </c>
      <c r="O177" s="1" t="s">
        <v>33</v>
      </c>
      <c r="P177" s="1" t="s">
        <v>480</v>
      </c>
      <c r="Q177" s="1">
        <v>3</v>
      </c>
      <c r="R177" s="1">
        <f>Retail_Sales_Analyis[[#This Row],[Final_Price]]-Retail_Sales_Analyis[[#This Row],[Total_Price]]</f>
        <v>-24.240000000000009</v>
      </c>
      <c r="S1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8" spans="1:19" x14ac:dyDescent="0.25">
      <c r="A178" s="1" t="s">
        <v>481</v>
      </c>
      <c r="B178" s="2">
        <v>45374</v>
      </c>
      <c r="C178" s="1" t="s">
        <v>61</v>
      </c>
      <c r="D178" s="1" t="s">
        <v>19</v>
      </c>
      <c r="E178" s="1" t="s">
        <v>139</v>
      </c>
      <c r="F178" s="1" t="s">
        <v>84</v>
      </c>
      <c r="G178" s="1" t="s">
        <v>112</v>
      </c>
      <c r="H178" s="1" t="s">
        <v>183</v>
      </c>
      <c r="I178" s="1">
        <v>663.97</v>
      </c>
      <c r="J178" s="1">
        <v>8</v>
      </c>
      <c r="K178" s="1">
        <v>5311.76</v>
      </c>
      <c r="L178" s="1">
        <v>20</v>
      </c>
      <c r="M178" s="1">
        <v>1062.3499999999999</v>
      </c>
      <c r="N178" s="1">
        <v>4249.41</v>
      </c>
      <c r="O178" s="1" t="s">
        <v>24</v>
      </c>
      <c r="P178" s="1" t="s">
        <v>482</v>
      </c>
      <c r="Q178" s="1">
        <v>2</v>
      </c>
      <c r="R178" s="1">
        <f>Retail_Sales_Analyis[[#This Row],[Final_Price]]-Retail_Sales_Analyis[[#This Row],[Total_Price]]</f>
        <v>-1062.3500000000004</v>
      </c>
      <c r="S1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9" spans="1:19" x14ac:dyDescent="0.25">
      <c r="A179" s="1" t="s">
        <v>483</v>
      </c>
      <c r="B179" s="2">
        <v>45568</v>
      </c>
      <c r="C179" s="1" t="s">
        <v>76</v>
      </c>
      <c r="D179" s="1" t="s">
        <v>67</v>
      </c>
      <c r="E179" s="1" t="s">
        <v>207</v>
      </c>
      <c r="F179" s="1" t="s">
        <v>30</v>
      </c>
      <c r="G179" s="1" t="s">
        <v>112</v>
      </c>
      <c r="H179" s="1" t="s">
        <v>183</v>
      </c>
      <c r="I179" s="1">
        <v>1081.0999999999999</v>
      </c>
      <c r="J179" s="1">
        <v>1</v>
      </c>
      <c r="K179" s="1">
        <v>1081.0999999999999</v>
      </c>
      <c r="L179" s="1">
        <v>0</v>
      </c>
      <c r="M179" s="1">
        <v>0</v>
      </c>
      <c r="N179" s="1">
        <v>1081.0999999999999</v>
      </c>
      <c r="O179" s="1" t="s">
        <v>46</v>
      </c>
      <c r="P179" s="1" t="s">
        <v>137</v>
      </c>
      <c r="Q179" s="1">
        <v>4</v>
      </c>
      <c r="R179" s="1">
        <f>Retail_Sales_Analyis[[#This Row],[Final_Price]]-Retail_Sales_Analyis[[#This Row],[Total_Price]]</f>
        <v>0</v>
      </c>
      <c r="S1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" spans="1:19" x14ac:dyDescent="0.25">
      <c r="A180" s="1" t="s">
        <v>484</v>
      </c>
      <c r="B180" s="2">
        <v>45563</v>
      </c>
      <c r="C180" s="1" t="s">
        <v>116</v>
      </c>
      <c r="D180" s="1" t="s">
        <v>19</v>
      </c>
      <c r="E180" s="1" t="s">
        <v>107</v>
      </c>
      <c r="F180" s="1" t="s">
        <v>69</v>
      </c>
      <c r="G180" s="1" t="s">
        <v>38</v>
      </c>
      <c r="H180" s="1" t="s">
        <v>108</v>
      </c>
      <c r="I180" s="1">
        <v>216.54</v>
      </c>
      <c r="J180" s="1">
        <v>5</v>
      </c>
      <c r="K180" s="1">
        <v>1082.7</v>
      </c>
      <c r="L180" s="1">
        <v>10</v>
      </c>
      <c r="M180" s="1">
        <v>108.27</v>
      </c>
      <c r="N180" s="1">
        <v>974.43</v>
      </c>
      <c r="O180" s="1" t="s">
        <v>24</v>
      </c>
      <c r="P180" s="1" t="s">
        <v>65</v>
      </c>
      <c r="Q180" s="1">
        <v>5</v>
      </c>
      <c r="R180" s="1">
        <f>Retail_Sales_Analyis[[#This Row],[Final_Price]]-Retail_Sales_Analyis[[#This Row],[Total_Price]]</f>
        <v>-108.2700000000001</v>
      </c>
      <c r="S1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1" spans="1:19" x14ac:dyDescent="0.25">
      <c r="A181" s="1" t="s">
        <v>485</v>
      </c>
      <c r="B181" s="2">
        <v>45292</v>
      </c>
      <c r="C181" s="1" t="s">
        <v>36</v>
      </c>
      <c r="D181" s="1" t="s">
        <v>43</v>
      </c>
      <c r="E181" s="1" t="s">
        <v>68</v>
      </c>
      <c r="F181" s="1" t="s">
        <v>69</v>
      </c>
      <c r="G181" s="1" t="s">
        <v>31</v>
      </c>
      <c r="H181" s="1" t="s">
        <v>329</v>
      </c>
      <c r="I181" s="1">
        <v>375.19</v>
      </c>
      <c r="J181" s="1">
        <v>2</v>
      </c>
      <c r="K181" s="1">
        <v>750.38</v>
      </c>
      <c r="L181" s="1">
        <v>0</v>
      </c>
      <c r="M181" s="1">
        <v>0</v>
      </c>
      <c r="N181" s="1">
        <v>750.38</v>
      </c>
      <c r="O181" s="1" t="s">
        <v>80</v>
      </c>
      <c r="P181" s="1" t="s">
        <v>334</v>
      </c>
      <c r="Q181" s="1">
        <v>5</v>
      </c>
      <c r="R181" s="1">
        <f>Retail_Sales_Analyis[[#This Row],[Final_Price]]-Retail_Sales_Analyis[[#This Row],[Total_Price]]</f>
        <v>0</v>
      </c>
      <c r="S1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2" spans="1:19" x14ac:dyDescent="0.25">
      <c r="A182" s="1" t="s">
        <v>486</v>
      </c>
      <c r="B182" s="2">
        <v>45598</v>
      </c>
      <c r="C182" s="1" t="s">
        <v>18</v>
      </c>
      <c r="D182" s="1" t="s">
        <v>19</v>
      </c>
      <c r="E182" s="1" t="s">
        <v>239</v>
      </c>
      <c r="F182" s="1" t="s">
        <v>30</v>
      </c>
      <c r="G182" s="1" t="s">
        <v>78</v>
      </c>
      <c r="H182" s="1" t="s">
        <v>136</v>
      </c>
      <c r="I182" s="1">
        <v>161.21</v>
      </c>
      <c r="J182" s="1">
        <v>8</v>
      </c>
      <c r="K182" s="1">
        <v>1289.68</v>
      </c>
      <c r="L182" s="1">
        <v>10</v>
      </c>
      <c r="M182" s="1">
        <v>128.97</v>
      </c>
      <c r="N182" s="1">
        <v>1160.71</v>
      </c>
      <c r="O182" s="1" t="s">
        <v>64</v>
      </c>
      <c r="P182" s="1" t="s">
        <v>487</v>
      </c>
      <c r="Q182" s="1">
        <v>4</v>
      </c>
      <c r="R182" s="1">
        <f>Retail_Sales_Analyis[[#This Row],[Final_Price]]-Retail_Sales_Analyis[[#This Row],[Total_Price]]</f>
        <v>-128.97000000000003</v>
      </c>
      <c r="S1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3" spans="1:19" x14ac:dyDescent="0.25">
      <c r="A183" s="1" t="s">
        <v>488</v>
      </c>
      <c r="B183" s="2">
        <v>45457</v>
      </c>
      <c r="C183" s="1" t="s">
        <v>173</v>
      </c>
      <c r="D183" s="1" t="s">
        <v>144</v>
      </c>
      <c r="E183" s="1" t="s">
        <v>139</v>
      </c>
      <c r="F183" s="1" t="s">
        <v>69</v>
      </c>
      <c r="G183" s="1" t="s">
        <v>85</v>
      </c>
      <c r="H183" s="1" t="s">
        <v>297</v>
      </c>
      <c r="I183" s="1">
        <v>1364.76</v>
      </c>
      <c r="J183" s="1">
        <v>8</v>
      </c>
      <c r="K183" s="1">
        <v>10918.08</v>
      </c>
      <c r="L183" s="1">
        <v>15</v>
      </c>
      <c r="M183" s="1">
        <v>1637.71</v>
      </c>
      <c r="N183" s="1">
        <v>9280.3700000000008</v>
      </c>
      <c r="O183" s="1" t="s">
        <v>46</v>
      </c>
      <c r="P183" s="1" t="s">
        <v>205</v>
      </c>
      <c r="Q183" s="1">
        <v>1</v>
      </c>
      <c r="R183" s="1">
        <f>Retail_Sales_Analyis[[#This Row],[Final_Price]]-Retail_Sales_Analyis[[#This Row],[Total_Price]]</f>
        <v>-1637.7099999999991</v>
      </c>
      <c r="S1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4" spans="1:19" x14ac:dyDescent="0.25">
      <c r="A184" s="1" t="s">
        <v>489</v>
      </c>
      <c r="B184" s="2">
        <v>45542</v>
      </c>
      <c r="C184" s="1" t="s">
        <v>116</v>
      </c>
      <c r="D184" s="1" t="s">
        <v>19</v>
      </c>
      <c r="E184" s="1" t="s">
        <v>196</v>
      </c>
      <c r="F184" s="1" t="s">
        <v>21</v>
      </c>
      <c r="G184" s="1" t="s">
        <v>85</v>
      </c>
      <c r="H184" s="1" t="s">
        <v>86</v>
      </c>
      <c r="I184" s="1">
        <v>3201.38</v>
      </c>
      <c r="J184" s="1">
        <v>1</v>
      </c>
      <c r="K184" s="1">
        <v>3201.38</v>
      </c>
      <c r="L184" s="1">
        <v>20</v>
      </c>
      <c r="M184" s="1">
        <v>640.28</v>
      </c>
      <c r="N184" s="1">
        <v>2561.1</v>
      </c>
      <c r="O184" s="1" t="s">
        <v>64</v>
      </c>
      <c r="P184" s="1" t="s">
        <v>490</v>
      </c>
      <c r="Q184" s="1">
        <v>3</v>
      </c>
      <c r="R184" s="1">
        <f>Retail_Sales_Analyis[[#This Row],[Final_Price]]-Retail_Sales_Analyis[[#This Row],[Total_Price]]</f>
        <v>-640.2800000000002</v>
      </c>
      <c r="S1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5" spans="1:19" x14ac:dyDescent="0.25">
      <c r="A185" s="1" t="s">
        <v>491</v>
      </c>
      <c r="B185" s="2">
        <v>45301</v>
      </c>
      <c r="C185" s="1" t="s">
        <v>36</v>
      </c>
      <c r="D185" s="1" t="s">
        <v>55</v>
      </c>
      <c r="E185" s="1" t="s">
        <v>204</v>
      </c>
      <c r="F185" s="1" t="s">
        <v>69</v>
      </c>
      <c r="G185" s="1" t="s">
        <v>85</v>
      </c>
      <c r="H185" s="1" t="s">
        <v>98</v>
      </c>
      <c r="I185" s="1">
        <v>4076.63</v>
      </c>
      <c r="J185" s="1">
        <v>1</v>
      </c>
      <c r="K185" s="1">
        <v>4076.63</v>
      </c>
      <c r="L185" s="1">
        <v>5</v>
      </c>
      <c r="M185" s="1">
        <v>203.83</v>
      </c>
      <c r="N185" s="1">
        <v>3872.8</v>
      </c>
      <c r="O185" s="1" t="s">
        <v>46</v>
      </c>
      <c r="P185" s="1" t="s">
        <v>492</v>
      </c>
      <c r="Q185" s="1">
        <v>3</v>
      </c>
      <c r="R185" s="1">
        <f>Retail_Sales_Analyis[[#This Row],[Final_Price]]-Retail_Sales_Analyis[[#This Row],[Total_Price]]</f>
        <v>-203.82999999999993</v>
      </c>
      <c r="S1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6" spans="1:19" x14ac:dyDescent="0.25">
      <c r="A186" s="1" t="s">
        <v>493</v>
      </c>
      <c r="B186" s="2">
        <v>45349</v>
      </c>
      <c r="C186" s="1" t="s">
        <v>27</v>
      </c>
      <c r="D186" s="1" t="s">
        <v>28</v>
      </c>
      <c r="E186" s="1" t="s">
        <v>157</v>
      </c>
      <c r="F186" s="1" t="s">
        <v>69</v>
      </c>
      <c r="G186" s="1" t="s">
        <v>85</v>
      </c>
      <c r="H186" s="1" t="s">
        <v>297</v>
      </c>
      <c r="I186" s="1">
        <v>4594.17</v>
      </c>
      <c r="J186" s="1">
        <v>4</v>
      </c>
      <c r="K186" s="1">
        <v>18376.68</v>
      </c>
      <c r="L186" s="1">
        <v>0</v>
      </c>
      <c r="M186" s="1">
        <v>0</v>
      </c>
      <c r="N186" s="1">
        <v>18376.68</v>
      </c>
      <c r="O186" s="1" t="s">
        <v>80</v>
      </c>
      <c r="P186" s="1" t="s">
        <v>494</v>
      </c>
      <c r="Q186" s="1">
        <v>3</v>
      </c>
      <c r="R186" s="1">
        <f>Retail_Sales_Analyis[[#This Row],[Final_Price]]-Retail_Sales_Analyis[[#This Row],[Total_Price]]</f>
        <v>0</v>
      </c>
      <c r="S1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7" spans="1:19" x14ac:dyDescent="0.25">
      <c r="A187" s="1" t="s">
        <v>495</v>
      </c>
      <c r="B187" s="2">
        <v>45477</v>
      </c>
      <c r="C187" s="1" t="s">
        <v>195</v>
      </c>
      <c r="D187" s="1" t="s">
        <v>67</v>
      </c>
      <c r="E187" s="1" t="s">
        <v>132</v>
      </c>
      <c r="F187" s="1" t="s">
        <v>69</v>
      </c>
      <c r="G187" s="1" t="s">
        <v>31</v>
      </c>
      <c r="H187" s="1" t="s">
        <v>45</v>
      </c>
      <c r="I187" s="1">
        <v>413.35</v>
      </c>
      <c r="J187" s="1">
        <v>10</v>
      </c>
      <c r="K187" s="1">
        <v>4133.5</v>
      </c>
      <c r="L187" s="1">
        <v>5</v>
      </c>
      <c r="M187" s="1">
        <v>206.68</v>
      </c>
      <c r="N187" s="1">
        <v>3926.82</v>
      </c>
      <c r="O187" s="1" t="s">
        <v>64</v>
      </c>
      <c r="P187" s="1" t="s">
        <v>496</v>
      </c>
      <c r="Q187" s="1">
        <v>2</v>
      </c>
      <c r="R187" s="1">
        <f>Retail_Sales_Analyis[[#This Row],[Final_Price]]-Retail_Sales_Analyis[[#This Row],[Total_Price]]</f>
        <v>-206.67999999999984</v>
      </c>
      <c r="S1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8" spans="1:19" x14ac:dyDescent="0.25">
      <c r="A188" s="1" t="s">
        <v>497</v>
      </c>
      <c r="B188" s="2">
        <v>45449</v>
      </c>
      <c r="C188" s="1" t="s">
        <v>173</v>
      </c>
      <c r="D188" s="1" t="s">
        <v>67</v>
      </c>
      <c r="E188" s="1" t="s">
        <v>199</v>
      </c>
      <c r="F188" s="1" t="s">
        <v>84</v>
      </c>
      <c r="G188" s="1" t="s">
        <v>22</v>
      </c>
      <c r="H188" s="1" t="s">
        <v>51</v>
      </c>
      <c r="I188" s="1">
        <v>263.52</v>
      </c>
      <c r="J188" s="1">
        <v>10</v>
      </c>
      <c r="K188" s="1">
        <v>2635.2</v>
      </c>
      <c r="L188" s="1">
        <v>0</v>
      </c>
      <c r="M188" s="1">
        <v>0</v>
      </c>
      <c r="N188" s="1">
        <v>2635.2</v>
      </c>
      <c r="O188" s="1" t="s">
        <v>64</v>
      </c>
      <c r="P188" s="1" t="s">
        <v>498</v>
      </c>
      <c r="Q188" s="1">
        <v>5</v>
      </c>
      <c r="R188" s="1">
        <f>Retail_Sales_Analyis[[#This Row],[Final_Price]]-Retail_Sales_Analyis[[#This Row],[Total_Price]]</f>
        <v>0</v>
      </c>
      <c r="S1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" spans="1:19" x14ac:dyDescent="0.25">
      <c r="A189" s="1" t="s">
        <v>499</v>
      </c>
      <c r="B189" s="2">
        <v>45414</v>
      </c>
      <c r="C189" s="1" t="s">
        <v>42</v>
      </c>
      <c r="D189" s="1" t="s">
        <v>67</v>
      </c>
      <c r="E189" s="1" t="s">
        <v>107</v>
      </c>
      <c r="F189" s="1" t="s">
        <v>37</v>
      </c>
      <c r="G189" s="1" t="s">
        <v>57</v>
      </c>
      <c r="H189" s="1" t="s">
        <v>152</v>
      </c>
      <c r="I189" s="1">
        <v>717.55</v>
      </c>
      <c r="J189" s="1">
        <v>1</v>
      </c>
      <c r="K189" s="1">
        <v>717.55</v>
      </c>
      <c r="L189" s="1">
        <v>15</v>
      </c>
      <c r="M189" s="1">
        <v>107.63</v>
      </c>
      <c r="N189" s="1">
        <v>609.91999999999996</v>
      </c>
      <c r="O189" s="1" t="s">
        <v>46</v>
      </c>
      <c r="P189" s="1" t="s">
        <v>500</v>
      </c>
      <c r="Q189" s="1">
        <v>1</v>
      </c>
      <c r="R189" s="1">
        <f>Retail_Sales_Analyis[[#This Row],[Final_Price]]-Retail_Sales_Analyis[[#This Row],[Total_Price]]</f>
        <v>-107.63</v>
      </c>
      <c r="S1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0" spans="1:19" x14ac:dyDescent="0.25">
      <c r="A190" s="1" t="s">
        <v>501</v>
      </c>
      <c r="B190" s="2">
        <v>45321</v>
      </c>
      <c r="C190" s="1" t="s">
        <v>36</v>
      </c>
      <c r="D190" s="1" t="s">
        <v>28</v>
      </c>
      <c r="E190" s="1" t="s">
        <v>236</v>
      </c>
      <c r="F190" s="1" t="s">
        <v>30</v>
      </c>
      <c r="G190" s="1" t="s">
        <v>38</v>
      </c>
      <c r="H190" s="1" t="s">
        <v>422</v>
      </c>
      <c r="I190" s="1">
        <v>744.27</v>
      </c>
      <c r="J190" s="1">
        <v>1</v>
      </c>
      <c r="K190" s="1">
        <v>744.27</v>
      </c>
      <c r="L190" s="1">
        <v>0</v>
      </c>
      <c r="M190" s="1">
        <v>0</v>
      </c>
      <c r="N190" s="1">
        <v>744.27</v>
      </c>
      <c r="O190" s="1" t="s">
        <v>33</v>
      </c>
      <c r="P190" s="1" t="s">
        <v>502</v>
      </c>
      <c r="Q190" s="1">
        <v>2</v>
      </c>
      <c r="R190" s="1">
        <f>Retail_Sales_Analyis[[#This Row],[Final_Price]]-Retail_Sales_Analyis[[#This Row],[Total_Price]]</f>
        <v>0</v>
      </c>
      <c r="S1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1" spans="1:19" x14ac:dyDescent="0.25">
      <c r="A191" s="1" t="s">
        <v>503</v>
      </c>
      <c r="B191" s="2">
        <v>45415</v>
      </c>
      <c r="C191" s="1" t="s">
        <v>42</v>
      </c>
      <c r="D191" s="1" t="s">
        <v>144</v>
      </c>
      <c r="E191" s="1" t="s">
        <v>166</v>
      </c>
      <c r="F191" s="1" t="s">
        <v>30</v>
      </c>
      <c r="G191" s="1" t="s">
        <v>85</v>
      </c>
      <c r="H191" s="1" t="s">
        <v>86</v>
      </c>
      <c r="I191" s="1">
        <v>3997.34</v>
      </c>
      <c r="J191" s="1">
        <v>6</v>
      </c>
      <c r="K191" s="1">
        <v>23984.04</v>
      </c>
      <c r="L191" s="1">
        <v>0</v>
      </c>
      <c r="M191" s="1">
        <v>0</v>
      </c>
      <c r="N191" s="1">
        <v>23984.04</v>
      </c>
      <c r="O191" s="1" t="s">
        <v>24</v>
      </c>
      <c r="P191" s="1" t="s">
        <v>504</v>
      </c>
      <c r="Q191" s="1">
        <v>3</v>
      </c>
      <c r="R191" s="1">
        <f>Retail_Sales_Analyis[[#This Row],[Final_Price]]-Retail_Sales_Analyis[[#This Row],[Total_Price]]</f>
        <v>0</v>
      </c>
      <c r="S1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2" spans="1:19" x14ac:dyDescent="0.25">
      <c r="A192" s="1" t="s">
        <v>505</v>
      </c>
      <c r="B192" s="2">
        <v>45582</v>
      </c>
      <c r="C192" s="1" t="s">
        <v>76</v>
      </c>
      <c r="D192" s="1" t="s">
        <v>67</v>
      </c>
      <c r="E192" s="1" t="s">
        <v>68</v>
      </c>
      <c r="F192" s="1" t="s">
        <v>37</v>
      </c>
      <c r="G192" s="1" t="s">
        <v>22</v>
      </c>
      <c r="H192" s="1" t="s">
        <v>133</v>
      </c>
      <c r="I192" s="1">
        <v>806.75</v>
      </c>
      <c r="J192" s="1">
        <v>9</v>
      </c>
      <c r="K192" s="1">
        <v>7260.75</v>
      </c>
      <c r="L192" s="1">
        <v>0</v>
      </c>
      <c r="M192" s="1">
        <v>0</v>
      </c>
      <c r="N192" s="1">
        <v>7260.75</v>
      </c>
      <c r="O192" s="1" t="s">
        <v>46</v>
      </c>
      <c r="P192" s="1" t="s">
        <v>506</v>
      </c>
      <c r="Q192" s="1">
        <v>4</v>
      </c>
      <c r="R192" s="1">
        <f>Retail_Sales_Analyis[[#This Row],[Final_Price]]-Retail_Sales_Analyis[[#This Row],[Total_Price]]</f>
        <v>0</v>
      </c>
      <c r="S1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3" spans="1:19" x14ac:dyDescent="0.25">
      <c r="A193" s="1" t="s">
        <v>507</v>
      </c>
      <c r="B193" s="2">
        <v>45332</v>
      </c>
      <c r="C193" s="1" t="s">
        <v>27</v>
      </c>
      <c r="D193" s="1" t="s">
        <v>19</v>
      </c>
      <c r="E193" s="1" t="s">
        <v>111</v>
      </c>
      <c r="F193" s="1" t="s">
        <v>37</v>
      </c>
      <c r="G193" s="1" t="s">
        <v>38</v>
      </c>
      <c r="H193" s="1" t="s">
        <v>422</v>
      </c>
      <c r="I193" s="1">
        <v>468.94</v>
      </c>
      <c r="J193" s="1">
        <v>9</v>
      </c>
      <c r="K193" s="1">
        <v>4220.46</v>
      </c>
      <c r="L193" s="1">
        <v>0</v>
      </c>
      <c r="M193" s="1">
        <v>0</v>
      </c>
      <c r="N193" s="1">
        <v>4220.46</v>
      </c>
      <c r="O193" s="1" t="s">
        <v>64</v>
      </c>
      <c r="P193" s="1" t="s">
        <v>313</v>
      </c>
      <c r="Q193" s="1">
        <v>5</v>
      </c>
      <c r="R193" s="1">
        <f>Retail_Sales_Analyis[[#This Row],[Final_Price]]-Retail_Sales_Analyis[[#This Row],[Total_Price]]</f>
        <v>0</v>
      </c>
      <c r="S1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" spans="1:19" x14ac:dyDescent="0.25">
      <c r="A194" s="1" t="s">
        <v>508</v>
      </c>
      <c r="B194" s="2">
        <v>45335</v>
      </c>
      <c r="C194" s="1" t="s">
        <v>27</v>
      </c>
      <c r="D194" s="1" t="s">
        <v>28</v>
      </c>
      <c r="E194" s="1" t="s">
        <v>89</v>
      </c>
      <c r="F194" s="1" t="s">
        <v>30</v>
      </c>
      <c r="G194" s="1" t="s">
        <v>169</v>
      </c>
      <c r="H194" s="1" t="s">
        <v>348</v>
      </c>
      <c r="I194" s="1">
        <v>1168.8900000000001</v>
      </c>
      <c r="J194" s="1">
        <v>10</v>
      </c>
      <c r="K194" s="1">
        <v>11688.9</v>
      </c>
      <c r="L194" s="1">
        <v>20</v>
      </c>
      <c r="M194" s="1">
        <v>2337.7800000000002</v>
      </c>
      <c r="N194" s="1">
        <v>9351.1200000000008</v>
      </c>
      <c r="O194" s="1" t="s">
        <v>46</v>
      </c>
      <c r="P194" s="1" t="s">
        <v>509</v>
      </c>
      <c r="Q194" s="1">
        <v>4</v>
      </c>
      <c r="R194" s="1">
        <f>Retail_Sales_Analyis[[#This Row],[Final_Price]]-Retail_Sales_Analyis[[#This Row],[Total_Price]]</f>
        <v>-2337.7799999999988</v>
      </c>
      <c r="S1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5" spans="1:19" x14ac:dyDescent="0.25">
      <c r="A195" s="1" t="s">
        <v>510</v>
      </c>
      <c r="B195" s="2">
        <v>45540</v>
      </c>
      <c r="C195" s="1" t="s">
        <v>116</v>
      </c>
      <c r="D195" s="1" t="s">
        <v>67</v>
      </c>
      <c r="E195" s="1" t="s">
        <v>129</v>
      </c>
      <c r="F195" s="1" t="s">
        <v>84</v>
      </c>
      <c r="G195" s="1" t="s">
        <v>78</v>
      </c>
      <c r="H195" s="1" t="s">
        <v>146</v>
      </c>
      <c r="I195" s="1">
        <v>426.43</v>
      </c>
      <c r="J195" s="1">
        <v>8</v>
      </c>
      <c r="K195" s="1">
        <v>3411.44</v>
      </c>
      <c r="L195" s="1">
        <v>10</v>
      </c>
      <c r="M195" s="1">
        <v>341.14</v>
      </c>
      <c r="N195" s="1">
        <v>3070.3</v>
      </c>
      <c r="O195" s="1" t="s">
        <v>33</v>
      </c>
      <c r="P195" s="1" t="s">
        <v>364</v>
      </c>
      <c r="Q195" s="1">
        <v>4</v>
      </c>
      <c r="R195" s="1">
        <f>Retail_Sales_Analyis[[#This Row],[Final_Price]]-Retail_Sales_Analyis[[#This Row],[Total_Price]]</f>
        <v>-341.13999999999987</v>
      </c>
      <c r="S1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6" spans="1:19" x14ac:dyDescent="0.25">
      <c r="A196" s="1" t="s">
        <v>511</v>
      </c>
      <c r="B196" s="2">
        <v>45327</v>
      </c>
      <c r="C196" s="1" t="s">
        <v>27</v>
      </c>
      <c r="D196" s="1" t="s">
        <v>43</v>
      </c>
      <c r="E196" s="1" t="s">
        <v>50</v>
      </c>
      <c r="F196" s="1" t="s">
        <v>69</v>
      </c>
      <c r="G196" s="1" t="s">
        <v>38</v>
      </c>
      <c r="H196" s="1" t="s">
        <v>214</v>
      </c>
      <c r="I196" s="1">
        <v>101.11</v>
      </c>
      <c r="J196" s="1">
        <v>1</v>
      </c>
      <c r="K196" s="1">
        <v>101.11</v>
      </c>
      <c r="L196" s="1">
        <v>5</v>
      </c>
      <c r="M196" s="1">
        <v>5.0599999999999996</v>
      </c>
      <c r="N196" s="1">
        <v>96.05</v>
      </c>
      <c r="O196" s="1" t="s">
        <v>24</v>
      </c>
      <c r="P196" s="1" t="s">
        <v>334</v>
      </c>
      <c r="Q196" s="1">
        <v>2</v>
      </c>
      <c r="R196" s="1">
        <f>Retail_Sales_Analyis[[#This Row],[Final_Price]]-Retail_Sales_Analyis[[#This Row],[Total_Price]]</f>
        <v>-5.0600000000000023</v>
      </c>
      <c r="S1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7" spans="1:19" x14ac:dyDescent="0.25">
      <c r="A197" s="1" t="s">
        <v>512</v>
      </c>
      <c r="B197" s="2">
        <v>45564</v>
      </c>
      <c r="C197" s="1" t="s">
        <v>116</v>
      </c>
      <c r="D197" s="1" t="s">
        <v>49</v>
      </c>
      <c r="E197" s="1" t="s">
        <v>151</v>
      </c>
      <c r="F197" s="1" t="s">
        <v>37</v>
      </c>
      <c r="G197" s="1" t="s">
        <v>112</v>
      </c>
      <c r="H197" s="1" t="s">
        <v>118</v>
      </c>
      <c r="I197" s="1">
        <v>1024.48</v>
      </c>
      <c r="J197" s="1">
        <v>4</v>
      </c>
      <c r="K197" s="1">
        <v>4097.92</v>
      </c>
      <c r="L197" s="1">
        <v>0</v>
      </c>
      <c r="M197" s="1">
        <v>0</v>
      </c>
      <c r="N197" s="1">
        <v>4097.92</v>
      </c>
      <c r="O197" s="1" t="s">
        <v>64</v>
      </c>
      <c r="P197" s="1" t="s">
        <v>513</v>
      </c>
      <c r="Q197" s="1">
        <v>3</v>
      </c>
      <c r="R197" s="1">
        <f>Retail_Sales_Analyis[[#This Row],[Final_Price]]-Retail_Sales_Analyis[[#This Row],[Total_Price]]</f>
        <v>0</v>
      </c>
      <c r="S1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8" spans="1:19" x14ac:dyDescent="0.25">
      <c r="A198" s="1" t="s">
        <v>514</v>
      </c>
      <c r="B198" s="2">
        <v>45356</v>
      </c>
      <c r="C198" s="1" t="s">
        <v>61</v>
      </c>
      <c r="D198" s="1" t="s">
        <v>28</v>
      </c>
      <c r="E198" s="1" t="s">
        <v>207</v>
      </c>
      <c r="F198" s="1" t="s">
        <v>84</v>
      </c>
      <c r="G198" s="1" t="s">
        <v>38</v>
      </c>
      <c r="H198" s="1" t="s">
        <v>70</v>
      </c>
      <c r="I198" s="1">
        <v>485</v>
      </c>
      <c r="J198" s="1">
        <v>1</v>
      </c>
      <c r="K198" s="1">
        <v>485</v>
      </c>
      <c r="L198" s="1">
        <v>0</v>
      </c>
      <c r="M198" s="1">
        <v>0</v>
      </c>
      <c r="N198" s="1">
        <v>485</v>
      </c>
      <c r="O198" s="1" t="s">
        <v>46</v>
      </c>
      <c r="P198" s="1" t="s">
        <v>515</v>
      </c>
      <c r="Q198" s="1">
        <v>3</v>
      </c>
      <c r="R198" s="1">
        <f>Retail_Sales_Analyis[[#This Row],[Final_Price]]-Retail_Sales_Analyis[[#This Row],[Total_Price]]</f>
        <v>0</v>
      </c>
      <c r="S1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" spans="1:19" x14ac:dyDescent="0.25">
      <c r="A199" s="1" t="s">
        <v>516</v>
      </c>
      <c r="B199" s="2">
        <v>45357</v>
      </c>
      <c r="C199" s="1" t="s">
        <v>61</v>
      </c>
      <c r="D199" s="1" t="s">
        <v>55</v>
      </c>
      <c r="E199" s="1" t="s">
        <v>342</v>
      </c>
      <c r="F199" s="1" t="s">
        <v>21</v>
      </c>
      <c r="G199" s="1" t="s">
        <v>112</v>
      </c>
      <c r="H199" s="1" t="s">
        <v>113</v>
      </c>
      <c r="I199" s="1">
        <v>791.02</v>
      </c>
      <c r="J199" s="1">
        <v>6</v>
      </c>
      <c r="K199" s="1">
        <v>4746.12</v>
      </c>
      <c r="L199" s="1">
        <v>15</v>
      </c>
      <c r="M199" s="1">
        <v>711.92</v>
      </c>
      <c r="N199" s="1">
        <v>4034.2</v>
      </c>
      <c r="O199" s="1" t="s">
        <v>33</v>
      </c>
      <c r="P199" s="1" t="s">
        <v>232</v>
      </c>
      <c r="Q199" s="1">
        <v>4</v>
      </c>
      <c r="R199" s="1">
        <f>Retail_Sales_Analyis[[#This Row],[Final_Price]]-Retail_Sales_Analyis[[#This Row],[Total_Price]]</f>
        <v>-711.92000000000007</v>
      </c>
      <c r="S1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0" spans="1:19" x14ac:dyDescent="0.25">
      <c r="A200" s="1" t="s">
        <v>517</v>
      </c>
      <c r="B200" s="2">
        <v>45629</v>
      </c>
      <c r="C200" s="1" t="s">
        <v>73</v>
      </c>
      <c r="D200" s="1" t="s">
        <v>28</v>
      </c>
      <c r="E200" s="1" t="s">
        <v>117</v>
      </c>
      <c r="F200" s="1" t="s">
        <v>37</v>
      </c>
      <c r="G200" s="1" t="s">
        <v>85</v>
      </c>
      <c r="H200" s="1" t="s">
        <v>86</v>
      </c>
      <c r="I200" s="1">
        <v>4568.2299999999996</v>
      </c>
      <c r="J200" s="1">
        <v>9</v>
      </c>
      <c r="K200" s="1">
        <v>41114.07</v>
      </c>
      <c r="L200" s="1">
        <v>0</v>
      </c>
      <c r="M200" s="1">
        <v>0</v>
      </c>
      <c r="N200" s="1">
        <v>41114.07</v>
      </c>
      <c r="O200" s="1" t="s">
        <v>33</v>
      </c>
      <c r="P200" s="1" t="s">
        <v>518</v>
      </c>
      <c r="Q200" s="1">
        <v>4</v>
      </c>
      <c r="R200" s="1">
        <f>Retail_Sales_Analyis[[#This Row],[Final_Price]]-Retail_Sales_Analyis[[#This Row],[Total_Price]]</f>
        <v>0</v>
      </c>
      <c r="S2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" spans="1:19" x14ac:dyDescent="0.25">
      <c r="A201" s="1" t="s">
        <v>519</v>
      </c>
      <c r="B201" s="2">
        <v>45535</v>
      </c>
      <c r="C201" s="1" t="s">
        <v>93</v>
      </c>
      <c r="D201" s="1" t="s">
        <v>19</v>
      </c>
      <c r="E201" s="1" t="s">
        <v>145</v>
      </c>
      <c r="F201" s="1" t="s">
        <v>84</v>
      </c>
      <c r="G201" s="1" t="s">
        <v>38</v>
      </c>
      <c r="H201" s="1" t="s">
        <v>70</v>
      </c>
      <c r="I201" s="1">
        <v>607.47</v>
      </c>
      <c r="J201" s="1">
        <v>6</v>
      </c>
      <c r="K201" s="1">
        <v>3644.82</v>
      </c>
      <c r="L201" s="1">
        <v>10</v>
      </c>
      <c r="M201" s="1">
        <v>364.48</v>
      </c>
      <c r="N201" s="1">
        <v>3280.34</v>
      </c>
      <c r="O201" s="1" t="s">
        <v>80</v>
      </c>
      <c r="P201" s="1" t="s">
        <v>520</v>
      </c>
      <c r="Q201" s="1">
        <v>1</v>
      </c>
      <c r="R201" s="1">
        <f>Retail_Sales_Analyis[[#This Row],[Final_Price]]-Retail_Sales_Analyis[[#This Row],[Total_Price]]</f>
        <v>-364.48</v>
      </c>
      <c r="S2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2" spans="1:19" x14ac:dyDescent="0.25">
      <c r="A202" s="1" t="s">
        <v>521</v>
      </c>
      <c r="B202" s="2">
        <v>45573</v>
      </c>
      <c r="C202" s="1" t="s">
        <v>76</v>
      </c>
      <c r="D202" s="1" t="s">
        <v>28</v>
      </c>
      <c r="E202" s="1" t="s">
        <v>121</v>
      </c>
      <c r="F202" s="1" t="s">
        <v>84</v>
      </c>
      <c r="G202" s="1" t="s">
        <v>78</v>
      </c>
      <c r="H202" s="1" t="s">
        <v>323</v>
      </c>
      <c r="I202" s="1">
        <v>179.8</v>
      </c>
      <c r="J202" s="1">
        <v>3</v>
      </c>
      <c r="K202" s="1">
        <v>539.4</v>
      </c>
      <c r="L202" s="1">
        <v>0</v>
      </c>
      <c r="M202" s="1">
        <v>0</v>
      </c>
      <c r="N202" s="1">
        <v>539.4</v>
      </c>
      <c r="O202" s="1" t="s">
        <v>24</v>
      </c>
      <c r="P202" s="1" t="s">
        <v>522</v>
      </c>
      <c r="Q202" s="1">
        <v>3</v>
      </c>
      <c r="R202" s="1">
        <f>Retail_Sales_Analyis[[#This Row],[Final_Price]]-Retail_Sales_Analyis[[#This Row],[Total_Price]]</f>
        <v>0</v>
      </c>
      <c r="S2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" spans="1:19" x14ac:dyDescent="0.25">
      <c r="A203" s="1" t="s">
        <v>523</v>
      </c>
      <c r="B203" s="2">
        <v>45376</v>
      </c>
      <c r="C203" s="1" t="s">
        <v>61</v>
      </c>
      <c r="D203" s="1" t="s">
        <v>43</v>
      </c>
      <c r="E203" s="1" t="s">
        <v>97</v>
      </c>
      <c r="F203" s="1" t="s">
        <v>30</v>
      </c>
      <c r="G203" s="1" t="s">
        <v>85</v>
      </c>
      <c r="H203" s="1" t="s">
        <v>90</v>
      </c>
      <c r="I203" s="1">
        <v>3422.76</v>
      </c>
      <c r="J203" s="1">
        <v>3</v>
      </c>
      <c r="K203" s="1">
        <v>10268.280000000001</v>
      </c>
      <c r="L203" s="1">
        <v>10</v>
      </c>
      <c r="M203" s="1">
        <v>1026.83</v>
      </c>
      <c r="N203" s="1">
        <v>9241.4500000000007</v>
      </c>
      <c r="O203" s="1" t="s">
        <v>24</v>
      </c>
      <c r="P203" s="1" t="s">
        <v>524</v>
      </c>
      <c r="Q203" s="1">
        <v>3</v>
      </c>
      <c r="R203" s="1">
        <f>Retail_Sales_Analyis[[#This Row],[Final_Price]]-Retail_Sales_Analyis[[#This Row],[Total_Price]]</f>
        <v>-1026.83</v>
      </c>
      <c r="S2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4" spans="1:19" x14ac:dyDescent="0.25">
      <c r="A204" s="1" t="s">
        <v>525</v>
      </c>
      <c r="B204" s="2">
        <v>45427</v>
      </c>
      <c r="C204" s="1" t="s">
        <v>42</v>
      </c>
      <c r="D204" s="1" t="s">
        <v>55</v>
      </c>
      <c r="E204" s="1" t="s">
        <v>351</v>
      </c>
      <c r="F204" s="1" t="s">
        <v>21</v>
      </c>
      <c r="G204" s="1" t="s">
        <v>112</v>
      </c>
      <c r="H204" s="1" t="s">
        <v>118</v>
      </c>
      <c r="I204" s="1">
        <v>1120.8</v>
      </c>
      <c r="J204" s="1">
        <v>8</v>
      </c>
      <c r="K204" s="1">
        <v>8966.4</v>
      </c>
      <c r="L204" s="1">
        <v>0</v>
      </c>
      <c r="M204" s="1">
        <v>0</v>
      </c>
      <c r="N204" s="1">
        <v>8966.4</v>
      </c>
      <c r="O204" s="1" t="s">
        <v>46</v>
      </c>
      <c r="P204" s="1" t="s">
        <v>526</v>
      </c>
      <c r="Q204" s="1">
        <v>4</v>
      </c>
      <c r="R204" s="1">
        <f>Retail_Sales_Analyis[[#This Row],[Final_Price]]-Retail_Sales_Analyis[[#This Row],[Total_Price]]</f>
        <v>0</v>
      </c>
      <c r="S2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" spans="1:19" x14ac:dyDescent="0.25">
      <c r="A205" s="1" t="s">
        <v>527</v>
      </c>
      <c r="B205" s="2">
        <v>45562</v>
      </c>
      <c r="C205" s="1" t="s">
        <v>116</v>
      </c>
      <c r="D205" s="1" t="s">
        <v>144</v>
      </c>
      <c r="E205" s="1" t="s">
        <v>312</v>
      </c>
      <c r="F205" s="1" t="s">
        <v>84</v>
      </c>
      <c r="G205" s="1" t="s">
        <v>38</v>
      </c>
      <c r="H205" s="1" t="s">
        <v>214</v>
      </c>
      <c r="I205" s="1">
        <v>178.56</v>
      </c>
      <c r="J205" s="1">
        <v>1</v>
      </c>
      <c r="K205" s="1">
        <v>178.56</v>
      </c>
      <c r="L205" s="1">
        <v>20</v>
      </c>
      <c r="M205" s="1">
        <v>35.71</v>
      </c>
      <c r="N205" s="1">
        <v>142.85</v>
      </c>
      <c r="O205" s="1" t="s">
        <v>64</v>
      </c>
      <c r="P205" s="1" t="s">
        <v>528</v>
      </c>
      <c r="Q205" s="1">
        <v>1</v>
      </c>
      <c r="R205" s="1">
        <f>Retail_Sales_Analyis[[#This Row],[Final_Price]]-Retail_Sales_Analyis[[#This Row],[Total_Price]]</f>
        <v>-35.710000000000008</v>
      </c>
      <c r="S2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6" spans="1:19" x14ac:dyDescent="0.25">
      <c r="A206" s="1" t="s">
        <v>529</v>
      </c>
      <c r="B206" s="2">
        <v>45602</v>
      </c>
      <c r="C206" s="1" t="s">
        <v>18</v>
      </c>
      <c r="D206" s="1" t="s">
        <v>55</v>
      </c>
      <c r="E206" s="1" t="s">
        <v>77</v>
      </c>
      <c r="F206" s="1" t="s">
        <v>30</v>
      </c>
      <c r="G206" s="1" t="s">
        <v>31</v>
      </c>
      <c r="H206" s="1" t="s">
        <v>45</v>
      </c>
      <c r="I206" s="1">
        <v>119.33</v>
      </c>
      <c r="J206" s="1">
        <v>6</v>
      </c>
      <c r="K206" s="1">
        <v>715.98</v>
      </c>
      <c r="L206" s="1">
        <v>5</v>
      </c>
      <c r="M206" s="1">
        <v>35.799999999999997</v>
      </c>
      <c r="N206" s="1">
        <v>680.18</v>
      </c>
      <c r="O206" s="1" t="s">
        <v>80</v>
      </c>
      <c r="P206" s="1" t="s">
        <v>530</v>
      </c>
      <c r="Q206" s="1">
        <v>3</v>
      </c>
      <c r="R206" s="1">
        <f>Retail_Sales_Analyis[[#This Row],[Final_Price]]-Retail_Sales_Analyis[[#This Row],[Total_Price]]</f>
        <v>-35.800000000000068</v>
      </c>
      <c r="S2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7" spans="1:19" x14ac:dyDescent="0.25">
      <c r="A207" s="1" t="s">
        <v>531</v>
      </c>
      <c r="B207" s="2">
        <v>45508</v>
      </c>
      <c r="C207" s="1" t="s">
        <v>93</v>
      </c>
      <c r="D207" s="1" t="s">
        <v>49</v>
      </c>
      <c r="E207" s="1" t="s">
        <v>121</v>
      </c>
      <c r="F207" s="1" t="s">
        <v>84</v>
      </c>
      <c r="G207" s="1" t="s">
        <v>169</v>
      </c>
      <c r="H207" s="1" t="s">
        <v>170</v>
      </c>
      <c r="I207" s="1">
        <v>1112.06</v>
      </c>
      <c r="J207" s="1">
        <v>3</v>
      </c>
      <c r="K207" s="1">
        <v>3336.18</v>
      </c>
      <c r="L207" s="1">
        <v>0</v>
      </c>
      <c r="M207" s="1">
        <v>0</v>
      </c>
      <c r="N207" s="1">
        <v>3336.18</v>
      </c>
      <c r="O207" s="1" t="s">
        <v>24</v>
      </c>
      <c r="P207" s="1" t="s">
        <v>532</v>
      </c>
      <c r="Q207" s="1">
        <v>4</v>
      </c>
      <c r="R207" s="1">
        <f>Retail_Sales_Analyis[[#This Row],[Final_Price]]-Retail_Sales_Analyis[[#This Row],[Total_Price]]</f>
        <v>0</v>
      </c>
      <c r="S2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8" spans="1:19" x14ac:dyDescent="0.25">
      <c r="A208" s="1" t="s">
        <v>533</v>
      </c>
      <c r="B208" s="2">
        <v>45400</v>
      </c>
      <c r="C208" s="1" t="s">
        <v>54</v>
      </c>
      <c r="D208" s="1" t="s">
        <v>67</v>
      </c>
      <c r="E208" s="1" t="s">
        <v>56</v>
      </c>
      <c r="F208" s="1" t="s">
        <v>37</v>
      </c>
      <c r="G208" s="1" t="s">
        <v>112</v>
      </c>
      <c r="H208" s="1" t="s">
        <v>118</v>
      </c>
      <c r="I208" s="1">
        <v>1898.51</v>
      </c>
      <c r="J208" s="1">
        <v>10</v>
      </c>
      <c r="K208" s="1">
        <v>18985.099999999999</v>
      </c>
      <c r="L208" s="1">
        <v>20</v>
      </c>
      <c r="M208" s="1">
        <v>3797.02</v>
      </c>
      <c r="N208" s="1">
        <v>15188.08</v>
      </c>
      <c r="O208" s="1" t="s">
        <v>24</v>
      </c>
      <c r="P208" s="1" t="s">
        <v>47</v>
      </c>
      <c r="Q208" s="1">
        <v>3</v>
      </c>
      <c r="R208" s="1">
        <f>Retail_Sales_Analyis[[#This Row],[Final_Price]]-Retail_Sales_Analyis[[#This Row],[Total_Price]]</f>
        <v>-3797.0199999999986</v>
      </c>
      <c r="S2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9" spans="1:19" x14ac:dyDescent="0.25">
      <c r="A209" s="1" t="s">
        <v>534</v>
      </c>
      <c r="B209" s="2">
        <v>45568</v>
      </c>
      <c r="C209" s="1" t="s">
        <v>76</v>
      </c>
      <c r="D209" s="1" t="s">
        <v>67</v>
      </c>
      <c r="E209" s="1" t="s">
        <v>186</v>
      </c>
      <c r="F209" s="1" t="s">
        <v>21</v>
      </c>
      <c r="G209" s="1" t="s">
        <v>38</v>
      </c>
      <c r="H209" s="1" t="s">
        <v>39</v>
      </c>
      <c r="I209" s="1">
        <v>504.29</v>
      </c>
      <c r="J209" s="1">
        <v>5</v>
      </c>
      <c r="K209" s="1">
        <v>2521.4499999999998</v>
      </c>
      <c r="L209" s="1">
        <v>15</v>
      </c>
      <c r="M209" s="1">
        <v>378.22</v>
      </c>
      <c r="N209" s="1">
        <v>2143.23</v>
      </c>
      <c r="O209" s="1" t="s">
        <v>64</v>
      </c>
      <c r="P209" s="1" t="s">
        <v>271</v>
      </c>
      <c r="Q209" s="1">
        <v>3</v>
      </c>
      <c r="R209" s="1">
        <f>Retail_Sales_Analyis[[#This Row],[Final_Price]]-Retail_Sales_Analyis[[#This Row],[Total_Price]]</f>
        <v>-378.2199999999998</v>
      </c>
      <c r="S2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0" spans="1:19" x14ac:dyDescent="0.25">
      <c r="A210" s="1" t="s">
        <v>535</v>
      </c>
      <c r="B210" s="2">
        <v>45645</v>
      </c>
      <c r="C210" s="1" t="s">
        <v>73</v>
      </c>
      <c r="D210" s="1" t="s">
        <v>67</v>
      </c>
      <c r="E210" s="1" t="s">
        <v>107</v>
      </c>
      <c r="F210" s="1" t="s">
        <v>21</v>
      </c>
      <c r="G210" s="1" t="s">
        <v>38</v>
      </c>
      <c r="H210" s="1" t="s">
        <v>70</v>
      </c>
      <c r="I210" s="1">
        <v>323.39999999999998</v>
      </c>
      <c r="J210" s="1">
        <v>8</v>
      </c>
      <c r="K210" s="1">
        <v>2587.1999999999998</v>
      </c>
      <c r="L210" s="1">
        <v>15</v>
      </c>
      <c r="M210" s="1">
        <v>388.08</v>
      </c>
      <c r="N210" s="1">
        <v>2199.12</v>
      </c>
      <c r="O210" s="1" t="s">
        <v>24</v>
      </c>
      <c r="P210" s="1" t="s">
        <v>536</v>
      </c>
      <c r="Q210" s="1">
        <v>3</v>
      </c>
      <c r="R210" s="1">
        <f>Retail_Sales_Analyis[[#This Row],[Final_Price]]-Retail_Sales_Analyis[[#This Row],[Total_Price]]</f>
        <v>-388.07999999999993</v>
      </c>
      <c r="S2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1" spans="1:19" x14ac:dyDescent="0.25">
      <c r="A211" s="1" t="s">
        <v>537</v>
      </c>
      <c r="B211" s="2">
        <v>45394</v>
      </c>
      <c r="C211" s="1" t="s">
        <v>54</v>
      </c>
      <c r="D211" s="1" t="s">
        <v>144</v>
      </c>
      <c r="E211" s="1" t="s">
        <v>141</v>
      </c>
      <c r="F211" s="1" t="s">
        <v>30</v>
      </c>
      <c r="G211" s="1" t="s">
        <v>169</v>
      </c>
      <c r="H211" s="1" t="s">
        <v>208</v>
      </c>
      <c r="I211" s="1">
        <v>1449.96</v>
      </c>
      <c r="J211" s="1">
        <v>9</v>
      </c>
      <c r="K211" s="1">
        <v>13049.64</v>
      </c>
      <c r="L211" s="1">
        <v>10</v>
      </c>
      <c r="M211" s="1">
        <v>1304.96</v>
      </c>
      <c r="N211" s="1">
        <v>11744.68</v>
      </c>
      <c r="O211" s="1" t="s">
        <v>24</v>
      </c>
      <c r="P211" s="1" t="s">
        <v>538</v>
      </c>
      <c r="Q211" s="1">
        <v>2</v>
      </c>
      <c r="R211" s="1">
        <f>Retail_Sales_Analyis[[#This Row],[Final_Price]]-Retail_Sales_Analyis[[#This Row],[Total_Price]]</f>
        <v>-1304.9599999999991</v>
      </c>
      <c r="S2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2" spans="1:19" x14ac:dyDescent="0.25">
      <c r="A212" s="1" t="s">
        <v>539</v>
      </c>
      <c r="B212" s="2">
        <v>45657</v>
      </c>
      <c r="C212" s="1" t="s">
        <v>73</v>
      </c>
      <c r="D212" s="1" t="s">
        <v>28</v>
      </c>
      <c r="E212" s="1" t="s">
        <v>192</v>
      </c>
      <c r="F212" s="1" t="s">
        <v>30</v>
      </c>
      <c r="G212" s="1" t="s">
        <v>78</v>
      </c>
      <c r="H212" s="1" t="s">
        <v>323</v>
      </c>
      <c r="I212" s="1">
        <v>213.7</v>
      </c>
      <c r="J212" s="1">
        <v>5</v>
      </c>
      <c r="K212" s="1">
        <v>1068.5</v>
      </c>
      <c r="L212" s="1">
        <v>10</v>
      </c>
      <c r="M212" s="1">
        <v>106.85</v>
      </c>
      <c r="N212" s="1">
        <v>961.65</v>
      </c>
      <c r="O212" s="1" t="s">
        <v>64</v>
      </c>
      <c r="P212" s="1" t="s">
        <v>540</v>
      </c>
      <c r="Q212" s="1">
        <v>2</v>
      </c>
      <c r="R212" s="1">
        <f>Retail_Sales_Analyis[[#This Row],[Final_Price]]-Retail_Sales_Analyis[[#This Row],[Total_Price]]</f>
        <v>-106.85000000000002</v>
      </c>
      <c r="S2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3" spans="1:19" x14ac:dyDescent="0.25">
      <c r="A213" s="1" t="s">
        <v>541</v>
      </c>
      <c r="B213" s="2">
        <v>45451</v>
      </c>
      <c r="C213" s="1" t="s">
        <v>173</v>
      </c>
      <c r="D213" s="1" t="s">
        <v>19</v>
      </c>
      <c r="E213" s="1" t="s">
        <v>542</v>
      </c>
      <c r="F213" s="1" t="s">
        <v>69</v>
      </c>
      <c r="G213" s="1" t="s">
        <v>78</v>
      </c>
      <c r="H213" s="1" t="s">
        <v>126</v>
      </c>
      <c r="I213" s="1">
        <v>349.64</v>
      </c>
      <c r="J213" s="1">
        <v>3</v>
      </c>
      <c r="K213" s="1">
        <v>1048.92</v>
      </c>
      <c r="L213" s="1">
        <v>0</v>
      </c>
      <c r="M213" s="1">
        <v>0</v>
      </c>
      <c r="N213" s="1">
        <v>1048.92</v>
      </c>
      <c r="O213" s="1" t="s">
        <v>33</v>
      </c>
      <c r="P213" s="1" t="s">
        <v>543</v>
      </c>
      <c r="Q213" s="1">
        <v>1</v>
      </c>
      <c r="R213" s="1">
        <f>Retail_Sales_Analyis[[#This Row],[Final_Price]]-Retail_Sales_Analyis[[#This Row],[Total_Price]]</f>
        <v>0</v>
      </c>
      <c r="S2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4" spans="1:19" x14ac:dyDescent="0.25">
      <c r="A214" s="1" t="s">
        <v>544</v>
      </c>
      <c r="B214" s="2">
        <v>45496</v>
      </c>
      <c r="C214" s="1" t="s">
        <v>195</v>
      </c>
      <c r="D214" s="1" t="s">
        <v>28</v>
      </c>
      <c r="E214" s="1" t="s">
        <v>411</v>
      </c>
      <c r="F214" s="1" t="s">
        <v>30</v>
      </c>
      <c r="G214" s="1" t="s">
        <v>169</v>
      </c>
      <c r="H214" s="1" t="s">
        <v>348</v>
      </c>
      <c r="I214" s="1">
        <v>770.3</v>
      </c>
      <c r="J214" s="1">
        <v>10</v>
      </c>
      <c r="K214" s="1">
        <v>7703</v>
      </c>
      <c r="L214" s="1">
        <v>10</v>
      </c>
      <c r="M214" s="1">
        <v>770.3</v>
      </c>
      <c r="N214" s="1">
        <v>6932.7</v>
      </c>
      <c r="O214" s="1" t="s">
        <v>33</v>
      </c>
      <c r="P214" s="1" t="s">
        <v>545</v>
      </c>
      <c r="Q214" s="1">
        <v>5</v>
      </c>
      <c r="R214" s="1">
        <f>Retail_Sales_Analyis[[#This Row],[Final_Price]]-Retail_Sales_Analyis[[#This Row],[Total_Price]]</f>
        <v>-770.30000000000018</v>
      </c>
      <c r="S2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" spans="1:19" x14ac:dyDescent="0.25">
      <c r="A215" s="1" t="s">
        <v>546</v>
      </c>
      <c r="B215" s="2">
        <v>45635</v>
      </c>
      <c r="C215" s="1" t="s">
        <v>73</v>
      </c>
      <c r="D215" s="1" t="s">
        <v>43</v>
      </c>
      <c r="E215" s="1" t="s">
        <v>168</v>
      </c>
      <c r="F215" s="1" t="s">
        <v>69</v>
      </c>
      <c r="G215" s="1" t="s">
        <v>57</v>
      </c>
      <c r="H215" s="1" t="s">
        <v>122</v>
      </c>
      <c r="I215" s="1">
        <v>419.93</v>
      </c>
      <c r="J215" s="1">
        <v>8</v>
      </c>
      <c r="K215" s="1">
        <v>3359.44</v>
      </c>
      <c r="L215" s="1">
        <v>10</v>
      </c>
      <c r="M215" s="1">
        <v>335.94</v>
      </c>
      <c r="N215" s="1">
        <v>3023.5</v>
      </c>
      <c r="O215" s="1" t="s">
        <v>64</v>
      </c>
      <c r="P215" s="1" t="s">
        <v>547</v>
      </c>
      <c r="Q215" s="1">
        <v>1</v>
      </c>
      <c r="R215" s="1">
        <f>Retail_Sales_Analyis[[#This Row],[Final_Price]]-Retail_Sales_Analyis[[#This Row],[Total_Price]]</f>
        <v>-335.94000000000005</v>
      </c>
      <c r="S2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6" spans="1:19" x14ac:dyDescent="0.25">
      <c r="A216" s="1" t="s">
        <v>548</v>
      </c>
      <c r="B216" s="2">
        <v>45624</v>
      </c>
      <c r="C216" s="1" t="s">
        <v>18</v>
      </c>
      <c r="D216" s="1" t="s">
        <v>67</v>
      </c>
      <c r="E216" s="1" t="s">
        <v>107</v>
      </c>
      <c r="F216" s="1" t="s">
        <v>84</v>
      </c>
      <c r="G216" s="1" t="s">
        <v>31</v>
      </c>
      <c r="H216" s="1" t="s">
        <v>63</v>
      </c>
      <c r="I216" s="1">
        <v>358.02</v>
      </c>
      <c r="J216" s="1">
        <v>8</v>
      </c>
      <c r="K216" s="1">
        <v>2864.16</v>
      </c>
      <c r="L216" s="1">
        <v>5</v>
      </c>
      <c r="M216" s="1">
        <v>143.21</v>
      </c>
      <c r="N216" s="1">
        <v>2720.95</v>
      </c>
      <c r="O216" s="1" t="s">
        <v>64</v>
      </c>
      <c r="P216" s="1" t="s">
        <v>549</v>
      </c>
      <c r="Q216" s="1">
        <v>2</v>
      </c>
      <c r="R216" s="1">
        <f>Retail_Sales_Analyis[[#This Row],[Final_Price]]-Retail_Sales_Analyis[[#This Row],[Total_Price]]</f>
        <v>-143.21000000000004</v>
      </c>
      <c r="S2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7" spans="1:19" x14ac:dyDescent="0.25">
      <c r="A217" s="1" t="s">
        <v>550</v>
      </c>
      <c r="B217" s="2">
        <v>45483</v>
      </c>
      <c r="C217" s="1" t="s">
        <v>195</v>
      </c>
      <c r="D217" s="1" t="s">
        <v>55</v>
      </c>
      <c r="E217" s="1" t="s">
        <v>44</v>
      </c>
      <c r="F217" s="1" t="s">
        <v>37</v>
      </c>
      <c r="G217" s="1" t="s">
        <v>78</v>
      </c>
      <c r="H217" s="1" t="s">
        <v>136</v>
      </c>
      <c r="I217" s="1">
        <v>232.51</v>
      </c>
      <c r="J217" s="1">
        <v>6</v>
      </c>
      <c r="K217" s="1">
        <v>1395.06</v>
      </c>
      <c r="L217" s="1">
        <v>20</v>
      </c>
      <c r="M217" s="1">
        <v>279.01</v>
      </c>
      <c r="N217" s="1">
        <v>1116.05</v>
      </c>
      <c r="O217" s="1" t="s">
        <v>46</v>
      </c>
      <c r="P217" s="1" t="s">
        <v>551</v>
      </c>
      <c r="Q217" s="1">
        <v>4</v>
      </c>
      <c r="R217" s="1">
        <f>Retail_Sales_Analyis[[#This Row],[Final_Price]]-Retail_Sales_Analyis[[#This Row],[Total_Price]]</f>
        <v>-279.01</v>
      </c>
      <c r="S2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8" spans="1:19" x14ac:dyDescent="0.25">
      <c r="A218" s="1" t="s">
        <v>552</v>
      </c>
      <c r="B218" s="2">
        <v>45516</v>
      </c>
      <c r="C218" s="1" t="s">
        <v>93</v>
      </c>
      <c r="D218" s="1" t="s">
        <v>43</v>
      </c>
      <c r="E218" s="1" t="s">
        <v>77</v>
      </c>
      <c r="F218" s="1" t="s">
        <v>30</v>
      </c>
      <c r="G218" s="1" t="s">
        <v>31</v>
      </c>
      <c r="H218" s="1" t="s">
        <v>329</v>
      </c>
      <c r="I218" s="1">
        <v>208.15</v>
      </c>
      <c r="J218" s="1">
        <v>8</v>
      </c>
      <c r="K218" s="1">
        <v>1665.2</v>
      </c>
      <c r="L218" s="1">
        <v>20</v>
      </c>
      <c r="M218" s="1">
        <v>333.04</v>
      </c>
      <c r="N218" s="1">
        <v>1332.16</v>
      </c>
      <c r="O218" s="1" t="s">
        <v>64</v>
      </c>
      <c r="P218" s="1" t="s">
        <v>553</v>
      </c>
      <c r="Q218" s="1">
        <v>3</v>
      </c>
      <c r="R218" s="1">
        <f>Retail_Sales_Analyis[[#This Row],[Final_Price]]-Retail_Sales_Analyis[[#This Row],[Total_Price]]</f>
        <v>-333.03999999999996</v>
      </c>
      <c r="S2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9" spans="1:19" x14ac:dyDescent="0.25">
      <c r="A219" s="1" t="s">
        <v>554</v>
      </c>
      <c r="B219" s="2">
        <v>45556</v>
      </c>
      <c r="C219" s="1" t="s">
        <v>116</v>
      </c>
      <c r="D219" s="1" t="s">
        <v>19</v>
      </c>
      <c r="E219" s="1" t="s">
        <v>351</v>
      </c>
      <c r="F219" s="1" t="s">
        <v>84</v>
      </c>
      <c r="G219" s="1" t="s">
        <v>85</v>
      </c>
      <c r="H219" s="1" t="s">
        <v>90</v>
      </c>
      <c r="I219" s="1">
        <v>1411.73</v>
      </c>
      <c r="J219" s="1">
        <v>2</v>
      </c>
      <c r="K219" s="1">
        <v>2823.46</v>
      </c>
      <c r="L219" s="1">
        <v>0</v>
      </c>
      <c r="M219" s="1">
        <v>0</v>
      </c>
      <c r="N219" s="1">
        <v>2823.46</v>
      </c>
      <c r="O219" s="1" t="s">
        <v>80</v>
      </c>
      <c r="P219" s="1" t="s">
        <v>555</v>
      </c>
      <c r="Q219" s="1">
        <v>1</v>
      </c>
      <c r="R219" s="1">
        <f>Retail_Sales_Analyis[[#This Row],[Final_Price]]-Retail_Sales_Analyis[[#This Row],[Total_Price]]</f>
        <v>0</v>
      </c>
      <c r="S2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0" spans="1:19" x14ac:dyDescent="0.25">
      <c r="A220" s="1" t="s">
        <v>556</v>
      </c>
      <c r="B220" s="2">
        <v>45523</v>
      </c>
      <c r="C220" s="1" t="s">
        <v>93</v>
      </c>
      <c r="D220" s="1" t="s">
        <v>43</v>
      </c>
      <c r="E220" s="1" t="s">
        <v>83</v>
      </c>
      <c r="F220" s="1" t="s">
        <v>69</v>
      </c>
      <c r="G220" s="1" t="s">
        <v>22</v>
      </c>
      <c r="H220" s="1" t="s">
        <v>187</v>
      </c>
      <c r="I220" s="1">
        <v>530.75</v>
      </c>
      <c r="J220" s="1">
        <v>10</v>
      </c>
      <c r="K220" s="1">
        <v>5307.5</v>
      </c>
      <c r="L220" s="1">
        <v>0</v>
      </c>
      <c r="M220" s="1">
        <v>0</v>
      </c>
      <c r="N220" s="1">
        <v>5307.5</v>
      </c>
      <c r="O220" s="1" t="s">
        <v>80</v>
      </c>
      <c r="P220" s="1" t="s">
        <v>557</v>
      </c>
      <c r="Q220" s="1">
        <v>2</v>
      </c>
      <c r="R220" s="1">
        <f>Retail_Sales_Analyis[[#This Row],[Final_Price]]-Retail_Sales_Analyis[[#This Row],[Total_Price]]</f>
        <v>0</v>
      </c>
      <c r="S2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1" spans="1:19" x14ac:dyDescent="0.25">
      <c r="A221" s="1" t="s">
        <v>558</v>
      </c>
      <c r="B221" s="2">
        <v>45353</v>
      </c>
      <c r="C221" s="1" t="s">
        <v>61</v>
      </c>
      <c r="D221" s="1" t="s">
        <v>19</v>
      </c>
      <c r="E221" s="1" t="s">
        <v>62</v>
      </c>
      <c r="F221" s="1" t="s">
        <v>84</v>
      </c>
      <c r="G221" s="1" t="s">
        <v>78</v>
      </c>
      <c r="H221" s="1" t="s">
        <v>146</v>
      </c>
      <c r="I221" s="1">
        <v>516.26</v>
      </c>
      <c r="J221" s="1">
        <v>10</v>
      </c>
      <c r="K221" s="1">
        <v>5162.6000000000004</v>
      </c>
      <c r="L221" s="1">
        <v>5</v>
      </c>
      <c r="M221" s="1">
        <v>258.13</v>
      </c>
      <c r="N221" s="1">
        <v>4904.47</v>
      </c>
      <c r="O221" s="1" t="s">
        <v>33</v>
      </c>
      <c r="P221" s="1" t="s">
        <v>445</v>
      </c>
      <c r="Q221" s="1">
        <v>5</v>
      </c>
      <c r="R221" s="1">
        <f>Retail_Sales_Analyis[[#This Row],[Final_Price]]-Retail_Sales_Analyis[[#This Row],[Total_Price]]</f>
        <v>-258.13000000000011</v>
      </c>
      <c r="S2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" spans="1:19" x14ac:dyDescent="0.25">
      <c r="A222" s="1" t="s">
        <v>559</v>
      </c>
      <c r="B222" s="2">
        <v>45418</v>
      </c>
      <c r="C222" s="1" t="s">
        <v>42</v>
      </c>
      <c r="D222" s="1" t="s">
        <v>43</v>
      </c>
      <c r="E222" s="1" t="s">
        <v>322</v>
      </c>
      <c r="F222" s="1" t="s">
        <v>84</v>
      </c>
      <c r="G222" s="1" t="s">
        <v>57</v>
      </c>
      <c r="H222" s="1" t="s">
        <v>101</v>
      </c>
      <c r="I222" s="1">
        <v>2055.31</v>
      </c>
      <c r="J222" s="1">
        <v>2</v>
      </c>
      <c r="K222" s="1">
        <v>4110.62</v>
      </c>
      <c r="L222" s="1">
        <v>15</v>
      </c>
      <c r="M222" s="1">
        <v>616.59</v>
      </c>
      <c r="N222" s="1">
        <v>3494.03</v>
      </c>
      <c r="O222" s="1" t="s">
        <v>80</v>
      </c>
      <c r="P222" s="1" t="s">
        <v>560</v>
      </c>
      <c r="Q222" s="1">
        <v>4</v>
      </c>
      <c r="R222" s="1">
        <f>Retail_Sales_Analyis[[#This Row],[Final_Price]]-Retail_Sales_Analyis[[#This Row],[Total_Price]]</f>
        <v>-616.58999999999969</v>
      </c>
      <c r="S2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3" spans="1:19" x14ac:dyDescent="0.25">
      <c r="A223" s="1" t="s">
        <v>561</v>
      </c>
      <c r="B223" s="2">
        <v>45407</v>
      </c>
      <c r="C223" s="1" t="s">
        <v>54</v>
      </c>
      <c r="D223" s="1" t="s">
        <v>67</v>
      </c>
      <c r="E223" s="1" t="s">
        <v>192</v>
      </c>
      <c r="F223" s="1" t="s">
        <v>84</v>
      </c>
      <c r="G223" s="1" t="s">
        <v>31</v>
      </c>
      <c r="H223" s="1" t="s">
        <v>63</v>
      </c>
      <c r="I223" s="1">
        <v>299.79000000000002</v>
      </c>
      <c r="J223" s="1">
        <v>8</v>
      </c>
      <c r="K223" s="1">
        <v>2398.3200000000002</v>
      </c>
      <c r="L223" s="1">
        <v>0</v>
      </c>
      <c r="M223" s="1">
        <v>0</v>
      </c>
      <c r="N223" s="1">
        <v>2398.3200000000002</v>
      </c>
      <c r="O223" s="1" t="s">
        <v>46</v>
      </c>
      <c r="P223" s="1" t="s">
        <v>562</v>
      </c>
      <c r="Q223" s="1">
        <v>4</v>
      </c>
      <c r="R223" s="1">
        <f>Retail_Sales_Analyis[[#This Row],[Final_Price]]-Retail_Sales_Analyis[[#This Row],[Total_Price]]</f>
        <v>0</v>
      </c>
      <c r="S2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4" spans="1:19" x14ac:dyDescent="0.25">
      <c r="A224" s="1" t="s">
        <v>563</v>
      </c>
      <c r="B224" s="2">
        <v>45324</v>
      </c>
      <c r="C224" s="1" t="s">
        <v>27</v>
      </c>
      <c r="D224" s="1" t="s">
        <v>144</v>
      </c>
      <c r="E224" s="1" t="s">
        <v>132</v>
      </c>
      <c r="F224" s="1" t="s">
        <v>37</v>
      </c>
      <c r="G224" s="1" t="s">
        <v>22</v>
      </c>
      <c r="H224" s="1" t="s">
        <v>277</v>
      </c>
      <c r="I224" s="1">
        <v>595.44000000000005</v>
      </c>
      <c r="J224" s="1">
        <v>1</v>
      </c>
      <c r="K224" s="1">
        <v>595.44000000000005</v>
      </c>
      <c r="L224" s="1">
        <v>0</v>
      </c>
      <c r="M224" s="1">
        <v>0</v>
      </c>
      <c r="N224" s="1">
        <v>595.44000000000005</v>
      </c>
      <c r="O224" s="1" t="s">
        <v>64</v>
      </c>
      <c r="P224" s="1" t="s">
        <v>564</v>
      </c>
      <c r="Q224" s="1">
        <v>2</v>
      </c>
      <c r="R224" s="1">
        <f>Retail_Sales_Analyis[[#This Row],[Final_Price]]-Retail_Sales_Analyis[[#This Row],[Total_Price]]</f>
        <v>0</v>
      </c>
      <c r="S2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5" spans="1:19" x14ac:dyDescent="0.25">
      <c r="A225" s="1" t="s">
        <v>565</v>
      </c>
      <c r="B225" s="2">
        <v>45465</v>
      </c>
      <c r="C225" s="1" t="s">
        <v>173</v>
      </c>
      <c r="D225" s="1" t="s">
        <v>19</v>
      </c>
      <c r="E225" s="1" t="s">
        <v>312</v>
      </c>
      <c r="F225" s="1" t="s">
        <v>21</v>
      </c>
      <c r="G225" s="1" t="s">
        <v>85</v>
      </c>
      <c r="H225" s="1" t="s">
        <v>98</v>
      </c>
      <c r="I225" s="1">
        <v>2811.9</v>
      </c>
      <c r="J225" s="1">
        <v>5</v>
      </c>
      <c r="K225" s="1">
        <v>14059.5</v>
      </c>
      <c r="L225" s="1">
        <v>5</v>
      </c>
      <c r="M225" s="1">
        <v>702.98</v>
      </c>
      <c r="N225" s="1">
        <v>13356.52</v>
      </c>
      <c r="O225" s="1" t="s">
        <v>80</v>
      </c>
      <c r="P225" s="1" t="s">
        <v>566</v>
      </c>
      <c r="Q225" s="1">
        <v>5</v>
      </c>
      <c r="R225" s="1">
        <f>Retail_Sales_Analyis[[#This Row],[Final_Price]]-Retail_Sales_Analyis[[#This Row],[Total_Price]]</f>
        <v>-702.97999999999956</v>
      </c>
      <c r="S2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6" spans="1:19" x14ac:dyDescent="0.25">
      <c r="A226" s="1" t="s">
        <v>567</v>
      </c>
      <c r="B226" s="2">
        <v>45302</v>
      </c>
      <c r="C226" s="1" t="s">
        <v>36</v>
      </c>
      <c r="D226" s="1" t="s">
        <v>67</v>
      </c>
      <c r="E226" s="1" t="s">
        <v>132</v>
      </c>
      <c r="F226" s="1" t="s">
        <v>37</v>
      </c>
      <c r="G226" s="1" t="s">
        <v>78</v>
      </c>
      <c r="H226" s="1" t="s">
        <v>323</v>
      </c>
      <c r="I226" s="1">
        <v>406.62</v>
      </c>
      <c r="J226" s="1">
        <v>5</v>
      </c>
      <c r="K226" s="1">
        <v>2033.1</v>
      </c>
      <c r="L226" s="1">
        <v>5</v>
      </c>
      <c r="M226" s="1">
        <v>101.66</v>
      </c>
      <c r="N226" s="1">
        <v>1931.44</v>
      </c>
      <c r="O226" s="1" t="s">
        <v>46</v>
      </c>
      <c r="P226" s="1" t="s">
        <v>568</v>
      </c>
      <c r="Q226" s="1">
        <v>1</v>
      </c>
      <c r="R226" s="1">
        <f>Retail_Sales_Analyis[[#This Row],[Final_Price]]-Retail_Sales_Analyis[[#This Row],[Total_Price]]</f>
        <v>-101.65999999999985</v>
      </c>
      <c r="S22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7" spans="1:19" x14ac:dyDescent="0.25">
      <c r="A227" s="1" t="s">
        <v>569</v>
      </c>
      <c r="B227" s="2">
        <v>45593</v>
      </c>
      <c r="C227" s="1" t="s">
        <v>76</v>
      </c>
      <c r="D227" s="1" t="s">
        <v>43</v>
      </c>
      <c r="E227" s="1" t="s">
        <v>157</v>
      </c>
      <c r="F227" s="1" t="s">
        <v>84</v>
      </c>
      <c r="G227" s="1" t="s">
        <v>22</v>
      </c>
      <c r="H227" s="1" t="s">
        <v>23</v>
      </c>
      <c r="I227" s="1">
        <v>882</v>
      </c>
      <c r="J227" s="1">
        <v>1</v>
      </c>
      <c r="K227" s="1">
        <v>882</v>
      </c>
      <c r="L227" s="1">
        <v>0</v>
      </c>
      <c r="M227" s="1">
        <v>0</v>
      </c>
      <c r="N227" s="1">
        <v>882</v>
      </c>
      <c r="O227" s="1" t="s">
        <v>80</v>
      </c>
      <c r="P227" s="1" t="s">
        <v>570</v>
      </c>
      <c r="Q227" s="1">
        <v>1</v>
      </c>
      <c r="R227" s="1">
        <f>Retail_Sales_Analyis[[#This Row],[Final_Price]]-Retail_Sales_Analyis[[#This Row],[Total_Price]]</f>
        <v>0</v>
      </c>
      <c r="S2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" spans="1:19" x14ac:dyDescent="0.25">
      <c r="A228" s="1" t="s">
        <v>571</v>
      </c>
      <c r="B228" s="2">
        <v>45575</v>
      </c>
      <c r="C228" s="1" t="s">
        <v>76</v>
      </c>
      <c r="D228" s="1" t="s">
        <v>67</v>
      </c>
      <c r="E228" s="1" t="s">
        <v>207</v>
      </c>
      <c r="F228" s="1" t="s">
        <v>30</v>
      </c>
      <c r="G228" s="1" t="s">
        <v>78</v>
      </c>
      <c r="H228" s="1" t="s">
        <v>79</v>
      </c>
      <c r="I228" s="1">
        <v>537.55999999999995</v>
      </c>
      <c r="J228" s="1">
        <v>1</v>
      </c>
      <c r="K228" s="1">
        <v>537.55999999999995</v>
      </c>
      <c r="L228" s="1">
        <v>0</v>
      </c>
      <c r="M228" s="1">
        <v>0</v>
      </c>
      <c r="N228" s="1">
        <v>537.55999999999995</v>
      </c>
      <c r="O228" s="1" t="s">
        <v>33</v>
      </c>
      <c r="P228" s="1" t="s">
        <v>572</v>
      </c>
      <c r="Q228" s="1">
        <v>5</v>
      </c>
      <c r="R228" s="1">
        <f>Retail_Sales_Analyis[[#This Row],[Final_Price]]-Retail_Sales_Analyis[[#This Row],[Total_Price]]</f>
        <v>0</v>
      </c>
      <c r="S2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" spans="1:19" x14ac:dyDescent="0.25">
      <c r="A229" s="1" t="s">
        <v>573</v>
      </c>
      <c r="B229" s="2">
        <v>45409</v>
      </c>
      <c r="C229" s="1" t="s">
        <v>54</v>
      </c>
      <c r="D229" s="1" t="s">
        <v>19</v>
      </c>
      <c r="E229" s="1" t="s">
        <v>68</v>
      </c>
      <c r="F229" s="1" t="s">
        <v>21</v>
      </c>
      <c r="G229" s="1" t="s">
        <v>22</v>
      </c>
      <c r="H229" s="1" t="s">
        <v>51</v>
      </c>
      <c r="I229" s="1">
        <v>505.25</v>
      </c>
      <c r="J229" s="1">
        <v>9</v>
      </c>
      <c r="K229" s="1">
        <v>4547.25</v>
      </c>
      <c r="L229" s="1">
        <v>0</v>
      </c>
      <c r="M229" s="1">
        <v>0</v>
      </c>
      <c r="N229" s="1">
        <v>4547.25</v>
      </c>
      <c r="O229" s="1" t="s">
        <v>64</v>
      </c>
      <c r="P229" s="1" t="s">
        <v>574</v>
      </c>
      <c r="Q229" s="1">
        <v>4</v>
      </c>
      <c r="R229" s="1">
        <f>Retail_Sales_Analyis[[#This Row],[Final_Price]]-Retail_Sales_Analyis[[#This Row],[Total_Price]]</f>
        <v>0</v>
      </c>
      <c r="S2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0" spans="1:19" x14ac:dyDescent="0.25">
      <c r="A230" s="1" t="s">
        <v>575</v>
      </c>
      <c r="B230" s="2">
        <v>45593</v>
      </c>
      <c r="C230" s="1" t="s">
        <v>76</v>
      </c>
      <c r="D230" s="1" t="s">
        <v>43</v>
      </c>
      <c r="E230" s="1" t="s">
        <v>157</v>
      </c>
      <c r="F230" s="1" t="s">
        <v>37</v>
      </c>
      <c r="G230" s="1" t="s">
        <v>22</v>
      </c>
      <c r="H230" s="1" t="s">
        <v>277</v>
      </c>
      <c r="I230" s="1">
        <v>871.97</v>
      </c>
      <c r="J230" s="1">
        <v>3</v>
      </c>
      <c r="K230" s="1">
        <v>2615.91</v>
      </c>
      <c r="L230" s="1">
        <v>0</v>
      </c>
      <c r="M230" s="1">
        <v>0</v>
      </c>
      <c r="N230" s="1">
        <v>2615.91</v>
      </c>
      <c r="O230" s="1" t="s">
        <v>64</v>
      </c>
      <c r="P230" s="1" t="s">
        <v>576</v>
      </c>
      <c r="Q230" s="1">
        <v>2</v>
      </c>
      <c r="R230" s="1">
        <f>Retail_Sales_Analyis[[#This Row],[Final_Price]]-Retail_Sales_Analyis[[#This Row],[Total_Price]]</f>
        <v>0</v>
      </c>
      <c r="S2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1" spans="1:19" x14ac:dyDescent="0.25">
      <c r="A231" s="1" t="s">
        <v>577</v>
      </c>
      <c r="B231" s="2">
        <v>45404</v>
      </c>
      <c r="C231" s="1" t="s">
        <v>54</v>
      </c>
      <c r="D231" s="1" t="s">
        <v>43</v>
      </c>
      <c r="E231" s="1" t="s">
        <v>239</v>
      </c>
      <c r="F231" s="1" t="s">
        <v>21</v>
      </c>
      <c r="G231" s="1" t="s">
        <v>112</v>
      </c>
      <c r="H231" s="1" t="s">
        <v>113</v>
      </c>
      <c r="I231" s="1">
        <v>1582.01</v>
      </c>
      <c r="J231" s="1">
        <v>8</v>
      </c>
      <c r="K231" s="1">
        <v>12656.08</v>
      </c>
      <c r="L231" s="1">
        <v>15</v>
      </c>
      <c r="M231" s="1">
        <v>1898.41</v>
      </c>
      <c r="N231" s="1">
        <v>10757.67</v>
      </c>
      <c r="O231" s="1" t="s">
        <v>33</v>
      </c>
      <c r="P231" s="1" t="s">
        <v>578</v>
      </c>
      <c r="Q231" s="1">
        <v>2</v>
      </c>
      <c r="R231" s="1">
        <f>Retail_Sales_Analyis[[#This Row],[Final_Price]]-Retail_Sales_Analyis[[#This Row],[Total_Price]]</f>
        <v>-1898.4099999999999</v>
      </c>
      <c r="S2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" spans="1:19" x14ac:dyDescent="0.25">
      <c r="A232" s="1" t="s">
        <v>579</v>
      </c>
      <c r="B232" s="2">
        <v>45295</v>
      </c>
      <c r="C232" s="1" t="s">
        <v>36</v>
      </c>
      <c r="D232" s="1" t="s">
        <v>67</v>
      </c>
      <c r="E232" s="1" t="s">
        <v>56</v>
      </c>
      <c r="F232" s="1" t="s">
        <v>84</v>
      </c>
      <c r="G232" s="1" t="s">
        <v>22</v>
      </c>
      <c r="H232" s="1" t="s">
        <v>51</v>
      </c>
      <c r="I232" s="1">
        <v>914.87</v>
      </c>
      <c r="J232" s="1">
        <v>10</v>
      </c>
      <c r="K232" s="1">
        <v>9148.7000000000007</v>
      </c>
      <c r="L232" s="1">
        <v>5</v>
      </c>
      <c r="M232" s="1">
        <v>457.44</v>
      </c>
      <c r="N232" s="1">
        <v>8691.26</v>
      </c>
      <c r="O232" s="1" t="s">
        <v>80</v>
      </c>
      <c r="P232" s="1" t="s">
        <v>580</v>
      </c>
      <c r="Q232" s="1">
        <v>2</v>
      </c>
      <c r="R232" s="1">
        <f>Retail_Sales_Analyis[[#This Row],[Final_Price]]-Retail_Sales_Analyis[[#This Row],[Total_Price]]</f>
        <v>-457.44000000000051</v>
      </c>
      <c r="S2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3" spans="1:19" x14ac:dyDescent="0.25">
      <c r="A233" s="1" t="s">
        <v>581</v>
      </c>
      <c r="B233" s="2">
        <v>45328</v>
      </c>
      <c r="C233" s="1" t="s">
        <v>27</v>
      </c>
      <c r="D233" s="1" t="s">
        <v>28</v>
      </c>
      <c r="E233" s="1" t="s">
        <v>196</v>
      </c>
      <c r="F233" s="1" t="s">
        <v>69</v>
      </c>
      <c r="G233" s="1" t="s">
        <v>31</v>
      </c>
      <c r="H233" s="1" t="s">
        <v>32</v>
      </c>
      <c r="I233" s="1">
        <v>209.89</v>
      </c>
      <c r="J233" s="1">
        <v>3</v>
      </c>
      <c r="K233" s="1">
        <v>629.66999999999996</v>
      </c>
      <c r="L233" s="1">
        <v>5</v>
      </c>
      <c r="M233" s="1">
        <v>31.48</v>
      </c>
      <c r="N233" s="1">
        <v>598.19000000000005</v>
      </c>
      <c r="O233" s="1" t="s">
        <v>80</v>
      </c>
      <c r="P233" s="1" t="s">
        <v>582</v>
      </c>
      <c r="Q233" s="1">
        <v>1</v>
      </c>
      <c r="R233" s="1">
        <f>Retail_Sales_Analyis[[#This Row],[Final_Price]]-Retail_Sales_Analyis[[#This Row],[Total_Price]]</f>
        <v>-31.479999999999905</v>
      </c>
      <c r="S2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4" spans="1:19" x14ac:dyDescent="0.25">
      <c r="A234" s="1" t="s">
        <v>583</v>
      </c>
      <c r="B234" s="2">
        <v>45654</v>
      </c>
      <c r="C234" s="1" t="s">
        <v>73</v>
      </c>
      <c r="D234" s="1" t="s">
        <v>19</v>
      </c>
      <c r="E234" s="1" t="s">
        <v>342</v>
      </c>
      <c r="F234" s="1" t="s">
        <v>84</v>
      </c>
      <c r="G234" s="1" t="s">
        <v>57</v>
      </c>
      <c r="H234" s="1" t="s">
        <v>122</v>
      </c>
      <c r="I234" s="1">
        <v>953.9</v>
      </c>
      <c r="J234" s="1">
        <v>9</v>
      </c>
      <c r="K234" s="1">
        <v>8585.1</v>
      </c>
      <c r="L234" s="1">
        <v>10</v>
      </c>
      <c r="M234" s="1">
        <v>858.51</v>
      </c>
      <c r="N234" s="1">
        <v>7726.59</v>
      </c>
      <c r="O234" s="1" t="s">
        <v>46</v>
      </c>
      <c r="P234" s="1" t="s">
        <v>584</v>
      </c>
      <c r="Q234" s="1">
        <v>1</v>
      </c>
      <c r="R234" s="1">
        <f>Retail_Sales_Analyis[[#This Row],[Final_Price]]-Retail_Sales_Analyis[[#This Row],[Total_Price]]</f>
        <v>-858.51000000000022</v>
      </c>
      <c r="S2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" spans="1:19" x14ac:dyDescent="0.25">
      <c r="A235" s="1" t="s">
        <v>585</v>
      </c>
      <c r="B235" s="2">
        <v>45615</v>
      </c>
      <c r="C235" s="1" t="s">
        <v>18</v>
      </c>
      <c r="D235" s="1" t="s">
        <v>28</v>
      </c>
      <c r="E235" s="1" t="s">
        <v>56</v>
      </c>
      <c r="F235" s="1" t="s">
        <v>84</v>
      </c>
      <c r="G235" s="1" t="s">
        <v>78</v>
      </c>
      <c r="H235" s="1" t="s">
        <v>79</v>
      </c>
      <c r="I235" s="1">
        <v>411.12</v>
      </c>
      <c r="J235" s="1">
        <v>2</v>
      </c>
      <c r="K235" s="1">
        <v>822.24</v>
      </c>
      <c r="L235" s="1">
        <v>0</v>
      </c>
      <c r="M235" s="1">
        <v>0</v>
      </c>
      <c r="N235" s="1">
        <v>822.24</v>
      </c>
      <c r="O235" s="1" t="s">
        <v>80</v>
      </c>
      <c r="P235" s="1" t="s">
        <v>586</v>
      </c>
      <c r="Q235" s="1">
        <v>3</v>
      </c>
      <c r="R235" s="1">
        <f>Retail_Sales_Analyis[[#This Row],[Final_Price]]-Retail_Sales_Analyis[[#This Row],[Total_Price]]</f>
        <v>0</v>
      </c>
      <c r="S2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6" spans="1:19" x14ac:dyDescent="0.25">
      <c r="A236" s="1" t="s">
        <v>587</v>
      </c>
      <c r="B236" s="2">
        <v>45322</v>
      </c>
      <c r="C236" s="1" t="s">
        <v>36</v>
      </c>
      <c r="D236" s="1" t="s">
        <v>55</v>
      </c>
      <c r="E236" s="1" t="s">
        <v>351</v>
      </c>
      <c r="F236" s="1" t="s">
        <v>84</v>
      </c>
      <c r="G236" s="1" t="s">
        <v>169</v>
      </c>
      <c r="H236" s="1" t="s">
        <v>366</v>
      </c>
      <c r="I236" s="1">
        <v>866.94</v>
      </c>
      <c r="J236" s="1">
        <v>2</v>
      </c>
      <c r="K236" s="1">
        <v>1733.88</v>
      </c>
      <c r="L236" s="1">
        <v>15</v>
      </c>
      <c r="M236" s="1">
        <v>260.08</v>
      </c>
      <c r="N236" s="1">
        <v>1473.8</v>
      </c>
      <c r="O236" s="1" t="s">
        <v>80</v>
      </c>
      <c r="P236" s="1" t="s">
        <v>588</v>
      </c>
      <c r="Q236" s="1">
        <v>5</v>
      </c>
      <c r="R236" s="1">
        <f>Retail_Sales_Analyis[[#This Row],[Final_Price]]-Retail_Sales_Analyis[[#This Row],[Total_Price]]</f>
        <v>-260.08000000000015</v>
      </c>
      <c r="S2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7" spans="1:19" x14ac:dyDescent="0.25">
      <c r="A237" s="1" t="s">
        <v>589</v>
      </c>
      <c r="B237" s="2">
        <v>45409</v>
      </c>
      <c r="C237" s="1" t="s">
        <v>54</v>
      </c>
      <c r="D237" s="1" t="s">
        <v>19</v>
      </c>
      <c r="E237" s="1" t="s">
        <v>196</v>
      </c>
      <c r="F237" s="1" t="s">
        <v>30</v>
      </c>
      <c r="G237" s="1" t="s">
        <v>78</v>
      </c>
      <c r="H237" s="1" t="s">
        <v>126</v>
      </c>
      <c r="I237" s="1">
        <v>500.34</v>
      </c>
      <c r="J237" s="1">
        <v>8</v>
      </c>
      <c r="K237" s="1">
        <v>4002.72</v>
      </c>
      <c r="L237" s="1">
        <v>5</v>
      </c>
      <c r="M237" s="1">
        <v>200.14</v>
      </c>
      <c r="N237" s="1">
        <v>3802.58</v>
      </c>
      <c r="O237" s="1" t="s">
        <v>80</v>
      </c>
      <c r="P237" s="1" t="s">
        <v>330</v>
      </c>
      <c r="Q237" s="1">
        <v>4</v>
      </c>
      <c r="R237" s="1">
        <f>Retail_Sales_Analyis[[#This Row],[Final_Price]]-Retail_Sales_Analyis[[#This Row],[Total_Price]]</f>
        <v>-200.13999999999987</v>
      </c>
      <c r="S2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8" spans="1:19" x14ac:dyDescent="0.25">
      <c r="A238" s="1" t="s">
        <v>590</v>
      </c>
      <c r="B238" s="2">
        <v>45326</v>
      </c>
      <c r="C238" s="1" t="s">
        <v>27</v>
      </c>
      <c r="D238" s="1" t="s">
        <v>49</v>
      </c>
      <c r="E238" s="1" t="s">
        <v>204</v>
      </c>
      <c r="F238" s="1" t="s">
        <v>84</v>
      </c>
      <c r="G238" s="1" t="s">
        <v>78</v>
      </c>
      <c r="H238" s="1" t="s">
        <v>323</v>
      </c>
      <c r="I238" s="1">
        <v>280.14</v>
      </c>
      <c r="J238" s="1">
        <v>1</v>
      </c>
      <c r="K238" s="1">
        <v>280.14</v>
      </c>
      <c r="L238" s="1">
        <v>15</v>
      </c>
      <c r="M238" s="1">
        <v>42.02</v>
      </c>
      <c r="N238" s="1">
        <v>238.12</v>
      </c>
      <c r="O238" s="1" t="s">
        <v>80</v>
      </c>
      <c r="P238" s="1" t="s">
        <v>320</v>
      </c>
      <c r="Q238" s="1">
        <v>3</v>
      </c>
      <c r="R238" s="1">
        <f>Retail_Sales_Analyis[[#This Row],[Final_Price]]-Retail_Sales_Analyis[[#This Row],[Total_Price]]</f>
        <v>-42.019999999999982</v>
      </c>
      <c r="S2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9" spans="1:19" x14ac:dyDescent="0.25">
      <c r="A239" s="1" t="s">
        <v>591</v>
      </c>
      <c r="B239" s="2">
        <v>45308</v>
      </c>
      <c r="C239" s="1" t="s">
        <v>36</v>
      </c>
      <c r="D239" s="1" t="s">
        <v>55</v>
      </c>
      <c r="E239" s="1" t="s">
        <v>337</v>
      </c>
      <c r="F239" s="1" t="s">
        <v>30</v>
      </c>
      <c r="G239" s="1" t="s">
        <v>112</v>
      </c>
      <c r="H239" s="1" t="s">
        <v>288</v>
      </c>
      <c r="I239" s="1">
        <v>1367.21</v>
      </c>
      <c r="J239" s="1">
        <v>10</v>
      </c>
      <c r="K239" s="1">
        <v>13672.1</v>
      </c>
      <c r="L239" s="1">
        <v>0</v>
      </c>
      <c r="M239" s="1">
        <v>0</v>
      </c>
      <c r="N239" s="1">
        <v>13672.1</v>
      </c>
      <c r="O239" s="1" t="s">
        <v>46</v>
      </c>
      <c r="P239" s="1" t="s">
        <v>592</v>
      </c>
      <c r="Q239" s="1">
        <v>5</v>
      </c>
      <c r="R239" s="1">
        <f>Retail_Sales_Analyis[[#This Row],[Final_Price]]-Retail_Sales_Analyis[[#This Row],[Total_Price]]</f>
        <v>0</v>
      </c>
      <c r="S2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" spans="1:19" x14ac:dyDescent="0.25">
      <c r="A240" s="1" t="s">
        <v>593</v>
      </c>
      <c r="B240" s="2">
        <v>45461</v>
      </c>
      <c r="C240" s="1" t="s">
        <v>173</v>
      </c>
      <c r="D240" s="1" t="s">
        <v>28</v>
      </c>
      <c r="E240" s="1" t="s">
        <v>199</v>
      </c>
      <c r="F240" s="1" t="s">
        <v>30</v>
      </c>
      <c r="G240" s="1" t="s">
        <v>169</v>
      </c>
      <c r="H240" s="1" t="s">
        <v>366</v>
      </c>
      <c r="I240" s="1">
        <v>906.72</v>
      </c>
      <c r="J240" s="1">
        <v>5</v>
      </c>
      <c r="K240" s="1">
        <v>4533.6000000000004</v>
      </c>
      <c r="L240" s="1">
        <v>0</v>
      </c>
      <c r="M240" s="1">
        <v>0</v>
      </c>
      <c r="N240" s="1">
        <v>4533.6000000000004</v>
      </c>
      <c r="O240" s="1" t="s">
        <v>64</v>
      </c>
      <c r="P240" s="1" t="s">
        <v>594</v>
      </c>
      <c r="Q240" s="1">
        <v>5</v>
      </c>
      <c r="R240" s="1">
        <f>Retail_Sales_Analyis[[#This Row],[Final_Price]]-Retail_Sales_Analyis[[#This Row],[Total_Price]]</f>
        <v>0</v>
      </c>
      <c r="S2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" spans="1:19" x14ac:dyDescent="0.25">
      <c r="A241" s="1" t="s">
        <v>595</v>
      </c>
      <c r="B241" s="2">
        <v>45328</v>
      </c>
      <c r="C241" s="1" t="s">
        <v>27</v>
      </c>
      <c r="D241" s="1" t="s">
        <v>28</v>
      </c>
      <c r="E241" s="1" t="s">
        <v>104</v>
      </c>
      <c r="F241" s="1" t="s">
        <v>69</v>
      </c>
      <c r="G241" s="1" t="s">
        <v>38</v>
      </c>
      <c r="H241" s="1" t="s">
        <v>39</v>
      </c>
      <c r="I241" s="1">
        <v>619</v>
      </c>
      <c r="J241" s="1">
        <v>10</v>
      </c>
      <c r="K241" s="1">
        <v>6190</v>
      </c>
      <c r="L241" s="1">
        <v>0</v>
      </c>
      <c r="M241" s="1">
        <v>0</v>
      </c>
      <c r="N241" s="1">
        <v>6190</v>
      </c>
      <c r="O241" s="1" t="s">
        <v>80</v>
      </c>
      <c r="P241" s="1" t="s">
        <v>219</v>
      </c>
      <c r="Q241" s="1">
        <v>2</v>
      </c>
      <c r="R241" s="1">
        <f>Retail_Sales_Analyis[[#This Row],[Final_Price]]-Retail_Sales_Analyis[[#This Row],[Total_Price]]</f>
        <v>0</v>
      </c>
      <c r="S2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" spans="1:19" x14ac:dyDescent="0.25">
      <c r="A242" s="1" t="s">
        <v>596</v>
      </c>
      <c r="B242" s="2">
        <v>45555</v>
      </c>
      <c r="C242" s="1" t="s">
        <v>116</v>
      </c>
      <c r="D242" s="1" t="s">
        <v>144</v>
      </c>
      <c r="E242" s="1" t="s">
        <v>342</v>
      </c>
      <c r="F242" s="1" t="s">
        <v>30</v>
      </c>
      <c r="G242" s="1" t="s">
        <v>85</v>
      </c>
      <c r="H242" s="1" t="s">
        <v>180</v>
      </c>
      <c r="I242" s="1">
        <v>4130.1099999999997</v>
      </c>
      <c r="J242" s="1">
        <v>4</v>
      </c>
      <c r="K242" s="1">
        <v>16520.439999999999</v>
      </c>
      <c r="L242" s="1">
        <v>5</v>
      </c>
      <c r="M242" s="1">
        <v>826.02</v>
      </c>
      <c r="N242" s="1">
        <v>15694.42</v>
      </c>
      <c r="O242" s="1" t="s">
        <v>64</v>
      </c>
      <c r="P242" s="1" t="s">
        <v>597</v>
      </c>
      <c r="Q242" s="1">
        <v>5</v>
      </c>
      <c r="R242" s="1">
        <f>Retail_Sales_Analyis[[#This Row],[Final_Price]]-Retail_Sales_Analyis[[#This Row],[Total_Price]]</f>
        <v>-826.01999999999862</v>
      </c>
      <c r="S2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3" spans="1:19" x14ac:dyDescent="0.25">
      <c r="A243" s="1" t="s">
        <v>598</v>
      </c>
      <c r="B243" s="2">
        <v>45413</v>
      </c>
      <c r="C243" s="1" t="s">
        <v>42</v>
      </c>
      <c r="D243" s="1" t="s">
        <v>55</v>
      </c>
      <c r="E243" s="1" t="s">
        <v>77</v>
      </c>
      <c r="F243" s="1" t="s">
        <v>69</v>
      </c>
      <c r="G243" s="1" t="s">
        <v>85</v>
      </c>
      <c r="H243" s="1" t="s">
        <v>90</v>
      </c>
      <c r="I243" s="1">
        <v>4735.7700000000004</v>
      </c>
      <c r="J243" s="1">
        <v>3</v>
      </c>
      <c r="K243" s="1">
        <v>14207.31</v>
      </c>
      <c r="L243" s="1">
        <v>20</v>
      </c>
      <c r="M243" s="1">
        <v>2841.46</v>
      </c>
      <c r="N243" s="1">
        <v>11365.85</v>
      </c>
      <c r="O243" s="1" t="s">
        <v>33</v>
      </c>
      <c r="P243" s="1" t="s">
        <v>599</v>
      </c>
      <c r="Q243" s="1">
        <v>4</v>
      </c>
      <c r="R243" s="1">
        <f>Retail_Sales_Analyis[[#This Row],[Final_Price]]-Retail_Sales_Analyis[[#This Row],[Total_Price]]</f>
        <v>-2841.4599999999991</v>
      </c>
      <c r="S2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4" spans="1:19" x14ac:dyDescent="0.25">
      <c r="A244" s="1" t="s">
        <v>600</v>
      </c>
      <c r="B244" s="2">
        <v>45434</v>
      </c>
      <c r="C244" s="1" t="s">
        <v>42</v>
      </c>
      <c r="D244" s="1" t="s">
        <v>55</v>
      </c>
      <c r="E244" s="1" t="s">
        <v>111</v>
      </c>
      <c r="F244" s="1" t="s">
        <v>21</v>
      </c>
      <c r="G244" s="1" t="s">
        <v>31</v>
      </c>
      <c r="H244" s="1" t="s">
        <v>250</v>
      </c>
      <c r="I244" s="1">
        <v>144.88999999999999</v>
      </c>
      <c r="J244" s="1">
        <v>6</v>
      </c>
      <c r="K244" s="1">
        <v>869.34</v>
      </c>
      <c r="L244" s="1">
        <v>0</v>
      </c>
      <c r="M244" s="1">
        <v>0</v>
      </c>
      <c r="N244" s="1">
        <v>869.34</v>
      </c>
      <c r="O244" s="1" t="s">
        <v>46</v>
      </c>
      <c r="P244" s="1" t="s">
        <v>601</v>
      </c>
      <c r="Q244" s="1">
        <v>1</v>
      </c>
      <c r="R244" s="1">
        <f>Retail_Sales_Analyis[[#This Row],[Final_Price]]-Retail_Sales_Analyis[[#This Row],[Total_Price]]</f>
        <v>0</v>
      </c>
      <c r="S2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" spans="1:19" x14ac:dyDescent="0.25">
      <c r="A245" s="1" t="s">
        <v>602</v>
      </c>
      <c r="B245" s="2">
        <v>45634</v>
      </c>
      <c r="C245" s="1" t="s">
        <v>73</v>
      </c>
      <c r="D245" s="1" t="s">
        <v>49</v>
      </c>
      <c r="E245" s="1" t="s">
        <v>83</v>
      </c>
      <c r="F245" s="1" t="s">
        <v>30</v>
      </c>
      <c r="G245" s="1" t="s">
        <v>22</v>
      </c>
      <c r="H245" s="1" t="s">
        <v>51</v>
      </c>
      <c r="I245" s="1">
        <v>441.09</v>
      </c>
      <c r="J245" s="1">
        <v>9</v>
      </c>
      <c r="K245" s="1">
        <v>3969.81</v>
      </c>
      <c r="L245" s="1">
        <v>0</v>
      </c>
      <c r="M245" s="1">
        <v>0</v>
      </c>
      <c r="N245" s="1">
        <v>3969.81</v>
      </c>
      <c r="O245" s="1" t="s">
        <v>33</v>
      </c>
      <c r="P245" s="1" t="s">
        <v>603</v>
      </c>
      <c r="Q245" s="1">
        <v>4</v>
      </c>
      <c r="R245" s="1">
        <f>Retail_Sales_Analyis[[#This Row],[Final_Price]]-Retail_Sales_Analyis[[#This Row],[Total_Price]]</f>
        <v>0</v>
      </c>
      <c r="S2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6" spans="1:19" x14ac:dyDescent="0.25">
      <c r="A246" s="1" t="s">
        <v>604</v>
      </c>
      <c r="B246" s="2">
        <v>45540</v>
      </c>
      <c r="C246" s="1" t="s">
        <v>116</v>
      </c>
      <c r="D246" s="1" t="s">
        <v>67</v>
      </c>
      <c r="E246" s="1" t="s">
        <v>285</v>
      </c>
      <c r="F246" s="1" t="s">
        <v>37</v>
      </c>
      <c r="G246" s="1" t="s">
        <v>22</v>
      </c>
      <c r="H246" s="1" t="s">
        <v>133</v>
      </c>
      <c r="I246" s="1">
        <v>431.03</v>
      </c>
      <c r="J246" s="1">
        <v>8</v>
      </c>
      <c r="K246" s="1">
        <v>3448.24</v>
      </c>
      <c r="L246" s="1">
        <v>5</v>
      </c>
      <c r="M246" s="1">
        <v>172.41</v>
      </c>
      <c r="N246" s="1">
        <v>3275.83</v>
      </c>
      <c r="O246" s="1" t="s">
        <v>46</v>
      </c>
      <c r="P246" s="1" t="s">
        <v>547</v>
      </c>
      <c r="Q246" s="1">
        <v>5</v>
      </c>
      <c r="R246" s="1">
        <f>Retail_Sales_Analyis[[#This Row],[Final_Price]]-Retail_Sales_Analyis[[#This Row],[Total_Price]]</f>
        <v>-172.40999999999985</v>
      </c>
      <c r="S2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7" spans="1:19" x14ac:dyDescent="0.25">
      <c r="A247" s="1" t="s">
        <v>605</v>
      </c>
      <c r="B247" s="2">
        <v>45401</v>
      </c>
      <c r="C247" s="1" t="s">
        <v>54</v>
      </c>
      <c r="D247" s="1" t="s">
        <v>144</v>
      </c>
      <c r="E247" s="1" t="s">
        <v>542</v>
      </c>
      <c r="F247" s="1" t="s">
        <v>30</v>
      </c>
      <c r="G247" s="1" t="s">
        <v>78</v>
      </c>
      <c r="H247" s="1" t="s">
        <v>136</v>
      </c>
      <c r="I247" s="1">
        <v>424.72</v>
      </c>
      <c r="J247" s="1">
        <v>5</v>
      </c>
      <c r="K247" s="1">
        <v>2123.6</v>
      </c>
      <c r="L247" s="1">
        <v>0</v>
      </c>
      <c r="M247" s="1">
        <v>0</v>
      </c>
      <c r="N247" s="1">
        <v>2123.6</v>
      </c>
      <c r="O247" s="1" t="s">
        <v>46</v>
      </c>
      <c r="P247" s="1" t="s">
        <v>451</v>
      </c>
      <c r="Q247" s="1">
        <v>3</v>
      </c>
      <c r="R247" s="1">
        <f>Retail_Sales_Analyis[[#This Row],[Final_Price]]-Retail_Sales_Analyis[[#This Row],[Total_Price]]</f>
        <v>0</v>
      </c>
      <c r="S2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" spans="1:19" x14ac:dyDescent="0.25">
      <c r="A248" s="1" t="s">
        <v>606</v>
      </c>
      <c r="B248" s="2">
        <v>45568</v>
      </c>
      <c r="C248" s="1" t="s">
        <v>76</v>
      </c>
      <c r="D248" s="1" t="s">
        <v>67</v>
      </c>
      <c r="E248" s="1" t="s">
        <v>139</v>
      </c>
      <c r="F248" s="1" t="s">
        <v>30</v>
      </c>
      <c r="G248" s="1" t="s">
        <v>22</v>
      </c>
      <c r="H248" s="1" t="s">
        <v>51</v>
      </c>
      <c r="I248" s="1">
        <v>818.52</v>
      </c>
      <c r="J248" s="1">
        <v>4</v>
      </c>
      <c r="K248" s="1">
        <v>3274.08</v>
      </c>
      <c r="L248" s="1">
        <v>15</v>
      </c>
      <c r="M248" s="1">
        <v>491.11</v>
      </c>
      <c r="N248" s="1">
        <v>2782.97</v>
      </c>
      <c r="O248" s="1" t="s">
        <v>80</v>
      </c>
      <c r="P248" s="1" t="s">
        <v>607</v>
      </c>
      <c r="Q248" s="1">
        <v>2</v>
      </c>
      <c r="R248" s="1">
        <f>Retail_Sales_Analyis[[#This Row],[Final_Price]]-Retail_Sales_Analyis[[#This Row],[Total_Price]]</f>
        <v>-491.11000000000013</v>
      </c>
      <c r="S2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9" spans="1:19" x14ac:dyDescent="0.25">
      <c r="A249" s="1" t="s">
        <v>608</v>
      </c>
      <c r="B249" s="2">
        <v>45359</v>
      </c>
      <c r="C249" s="1" t="s">
        <v>61</v>
      </c>
      <c r="D249" s="1" t="s">
        <v>144</v>
      </c>
      <c r="E249" s="1" t="s">
        <v>261</v>
      </c>
      <c r="F249" s="1" t="s">
        <v>37</v>
      </c>
      <c r="G249" s="1" t="s">
        <v>85</v>
      </c>
      <c r="H249" s="1" t="s">
        <v>180</v>
      </c>
      <c r="I249" s="1">
        <v>3190.45</v>
      </c>
      <c r="J249" s="1">
        <v>1</v>
      </c>
      <c r="K249" s="1">
        <v>3190.45</v>
      </c>
      <c r="L249" s="1">
        <v>20</v>
      </c>
      <c r="M249" s="1">
        <v>638.09</v>
      </c>
      <c r="N249" s="1">
        <v>2552.36</v>
      </c>
      <c r="O249" s="1" t="s">
        <v>24</v>
      </c>
      <c r="P249" s="1" t="s">
        <v>526</v>
      </c>
      <c r="Q249" s="1">
        <v>1</v>
      </c>
      <c r="R249" s="1">
        <f>Retail_Sales_Analyis[[#This Row],[Final_Price]]-Retail_Sales_Analyis[[#This Row],[Total_Price]]</f>
        <v>-638.08999999999969</v>
      </c>
      <c r="S2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0" spans="1:19" x14ac:dyDescent="0.25">
      <c r="A250" s="1" t="s">
        <v>609</v>
      </c>
      <c r="B250" s="2">
        <v>45584</v>
      </c>
      <c r="C250" s="1" t="s">
        <v>76</v>
      </c>
      <c r="D250" s="1" t="s">
        <v>19</v>
      </c>
      <c r="E250" s="1" t="s">
        <v>337</v>
      </c>
      <c r="F250" s="1" t="s">
        <v>84</v>
      </c>
      <c r="G250" s="1" t="s">
        <v>169</v>
      </c>
      <c r="H250" s="1" t="s">
        <v>348</v>
      </c>
      <c r="I250" s="1">
        <v>721.82</v>
      </c>
      <c r="J250" s="1">
        <v>5</v>
      </c>
      <c r="K250" s="1">
        <v>3609.1</v>
      </c>
      <c r="L250" s="1">
        <v>0</v>
      </c>
      <c r="M250" s="1">
        <v>0</v>
      </c>
      <c r="N250" s="1">
        <v>3609.1</v>
      </c>
      <c r="O250" s="1" t="s">
        <v>64</v>
      </c>
      <c r="P250" s="1" t="s">
        <v>142</v>
      </c>
      <c r="Q250" s="1">
        <v>1</v>
      </c>
      <c r="R250" s="1">
        <f>Retail_Sales_Analyis[[#This Row],[Final_Price]]-Retail_Sales_Analyis[[#This Row],[Total_Price]]</f>
        <v>0</v>
      </c>
      <c r="S2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" spans="1:19" x14ac:dyDescent="0.25">
      <c r="A251" s="1" t="s">
        <v>610</v>
      </c>
      <c r="B251" s="2">
        <v>45587</v>
      </c>
      <c r="C251" s="1" t="s">
        <v>76</v>
      </c>
      <c r="D251" s="1" t="s">
        <v>28</v>
      </c>
      <c r="E251" s="1" t="s">
        <v>239</v>
      </c>
      <c r="F251" s="1" t="s">
        <v>84</v>
      </c>
      <c r="G251" s="1" t="s">
        <v>112</v>
      </c>
      <c r="H251" s="1" t="s">
        <v>183</v>
      </c>
      <c r="I251" s="1">
        <v>1484.91</v>
      </c>
      <c r="J251" s="1">
        <v>4</v>
      </c>
      <c r="K251" s="1">
        <v>5939.64</v>
      </c>
      <c r="L251" s="1">
        <v>10</v>
      </c>
      <c r="M251" s="1">
        <v>593.96</v>
      </c>
      <c r="N251" s="1">
        <v>5345.68</v>
      </c>
      <c r="O251" s="1" t="s">
        <v>24</v>
      </c>
      <c r="P251" s="1" t="s">
        <v>611</v>
      </c>
      <c r="Q251" s="1">
        <v>1</v>
      </c>
      <c r="R251" s="1">
        <f>Retail_Sales_Analyis[[#This Row],[Final_Price]]-Retail_Sales_Analyis[[#This Row],[Total_Price]]</f>
        <v>-593.96</v>
      </c>
      <c r="S2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2" spans="1:19" x14ac:dyDescent="0.25">
      <c r="A252" s="1" t="s">
        <v>612</v>
      </c>
      <c r="B252" s="2">
        <v>45534</v>
      </c>
      <c r="C252" s="1" t="s">
        <v>93</v>
      </c>
      <c r="D252" s="1" t="s">
        <v>144</v>
      </c>
      <c r="E252" s="1" t="s">
        <v>94</v>
      </c>
      <c r="F252" s="1" t="s">
        <v>69</v>
      </c>
      <c r="G252" s="1" t="s">
        <v>22</v>
      </c>
      <c r="H252" s="1" t="s">
        <v>187</v>
      </c>
      <c r="I252" s="1">
        <v>842.56</v>
      </c>
      <c r="J252" s="1">
        <v>3</v>
      </c>
      <c r="K252" s="1">
        <v>2527.6799999999998</v>
      </c>
      <c r="L252" s="1">
        <v>0</v>
      </c>
      <c r="M252" s="1">
        <v>0</v>
      </c>
      <c r="N252" s="1">
        <v>2527.6799999999998</v>
      </c>
      <c r="O252" s="1" t="s">
        <v>64</v>
      </c>
      <c r="P252" s="1" t="s">
        <v>613</v>
      </c>
      <c r="Q252" s="1">
        <v>3</v>
      </c>
      <c r="R252" s="1">
        <f>Retail_Sales_Analyis[[#This Row],[Final_Price]]-Retail_Sales_Analyis[[#This Row],[Total_Price]]</f>
        <v>0</v>
      </c>
      <c r="S2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" spans="1:19" x14ac:dyDescent="0.25">
      <c r="A253" s="1" t="s">
        <v>614</v>
      </c>
      <c r="B253" s="2">
        <v>45416</v>
      </c>
      <c r="C253" s="1" t="s">
        <v>42</v>
      </c>
      <c r="D253" s="1" t="s">
        <v>19</v>
      </c>
      <c r="E253" s="1" t="s">
        <v>151</v>
      </c>
      <c r="F253" s="1" t="s">
        <v>21</v>
      </c>
      <c r="G253" s="1" t="s">
        <v>169</v>
      </c>
      <c r="H253" s="1" t="s">
        <v>348</v>
      </c>
      <c r="I253" s="1">
        <v>1407.23</v>
      </c>
      <c r="J253" s="1">
        <v>5</v>
      </c>
      <c r="K253" s="1">
        <v>7036.15</v>
      </c>
      <c r="L253" s="1">
        <v>20</v>
      </c>
      <c r="M253" s="1">
        <v>1407.23</v>
      </c>
      <c r="N253" s="1">
        <v>5628.92</v>
      </c>
      <c r="O253" s="1" t="s">
        <v>33</v>
      </c>
      <c r="P253" s="1" t="s">
        <v>87</v>
      </c>
      <c r="Q253" s="1">
        <v>3</v>
      </c>
      <c r="R253" s="1">
        <f>Retail_Sales_Analyis[[#This Row],[Final_Price]]-Retail_Sales_Analyis[[#This Row],[Total_Price]]</f>
        <v>-1407.2299999999996</v>
      </c>
      <c r="S2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4" spans="1:19" x14ac:dyDescent="0.25">
      <c r="A254" s="1" t="s">
        <v>615</v>
      </c>
      <c r="B254" s="2">
        <v>45534</v>
      </c>
      <c r="C254" s="1" t="s">
        <v>93</v>
      </c>
      <c r="D254" s="1" t="s">
        <v>144</v>
      </c>
      <c r="E254" s="1" t="s">
        <v>151</v>
      </c>
      <c r="F254" s="1" t="s">
        <v>30</v>
      </c>
      <c r="G254" s="1" t="s">
        <v>169</v>
      </c>
      <c r="H254" s="1" t="s">
        <v>175</v>
      </c>
      <c r="I254" s="1">
        <v>1232.53</v>
      </c>
      <c r="J254" s="1">
        <v>7</v>
      </c>
      <c r="K254" s="1">
        <v>8627.7099999999991</v>
      </c>
      <c r="L254" s="1">
        <v>5</v>
      </c>
      <c r="M254" s="1">
        <v>431.39</v>
      </c>
      <c r="N254" s="1">
        <v>8196.32</v>
      </c>
      <c r="O254" s="1" t="s">
        <v>46</v>
      </c>
      <c r="P254" s="1" t="s">
        <v>395</v>
      </c>
      <c r="Q254" s="1">
        <v>1</v>
      </c>
      <c r="R254" s="1">
        <f>Retail_Sales_Analyis[[#This Row],[Final_Price]]-Retail_Sales_Analyis[[#This Row],[Total_Price]]</f>
        <v>-431.38999999999942</v>
      </c>
      <c r="S2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5" spans="1:19" x14ac:dyDescent="0.25">
      <c r="A255" s="1" t="s">
        <v>616</v>
      </c>
      <c r="B255" s="2">
        <v>45500</v>
      </c>
      <c r="C255" s="1" t="s">
        <v>195</v>
      </c>
      <c r="D255" s="1" t="s">
        <v>19</v>
      </c>
      <c r="E255" s="1" t="s">
        <v>20</v>
      </c>
      <c r="F255" s="1" t="s">
        <v>69</v>
      </c>
      <c r="G255" s="1" t="s">
        <v>31</v>
      </c>
      <c r="H255" s="1" t="s">
        <v>329</v>
      </c>
      <c r="I255" s="1">
        <v>271.27</v>
      </c>
      <c r="J255" s="1">
        <v>4</v>
      </c>
      <c r="K255" s="1">
        <v>1085.08</v>
      </c>
      <c r="L255" s="1">
        <v>10</v>
      </c>
      <c r="M255" s="1">
        <v>108.51</v>
      </c>
      <c r="N255" s="1">
        <v>976.57</v>
      </c>
      <c r="O255" s="1" t="s">
        <v>33</v>
      </c>
      <c r="P255" s="1" t="s">
        <v>562</v>
      </c>
      <c r="Q255" s="1">
        <v>2</v>
      </c>
      <c r="R255" s="1">
        <f>Retail_Sales_Analyis[[#This Row],[Final_Price]]-Retail_Sales_Analyis[[#This Row],[Total_Price]]</f>
        <v>-108.50999999999988</v>
      </c>
      <c r="S2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6" spans="1:19" x14ac:dyDescent="0.25">
      <c r="A256" s="1" t="s">
        <v>617</v>
      </c>
      <c r="B256" s="2">
        <v>45389</v>
      </c>
      <c r="C256" s="1" t="s">
        <v>54</v>
      </c>
      <c r="D256" s="1" t="s">
        <v>49</v>
      </c>
      <c r="E256" s="1" t="s">
        <v>97</v>
      </c>
      <c r="F256" s="1" t="s">
        <v>30</v>
      </c>
      <c r="G256" s="1" t="s">
        <v>85</v>
      </c>
      <c r="H256" s="1" t="s">
        <v>90</v>
      </c>
      <c r="I256" s="1">
        <v>4074.83</v>
      </c>
      <c r="J256" s="1">
        <v>4</v>
      </c>
      <c r="K256" s="1">
        <v>16299.32</v>
      </c>
      <c r="L256" s="1">
        <v>10</v>
      </c>
      <c r="M256" s="1">
        <v>1629.93</v>
      </c>
      <c r="N256" s="1">
        <v>14669.39</v>
      </c>
      <c r="O256" s="1" t="s">
        <v>24</v>
      </c>
      <c r="P256" s="1" t="s">
        <v>47</v>
      </c>
      <c r="Q256" s="1">
        <v>4</v>
      </c>
      <c r="R256" s="1">
        <f>Retail_Sales_Analyis[[#This Row],[Final_Price]]-Retail_Sales_Analyis[[#This Row],[Total_Price]]</f>
        <v>-1629.9300000000003</v>
      </c>
      <c r="S2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7" spans="1:19" x14ac:dyDescent="0.25">
      <c r="A257" s="1" t="s">
        <v>618</v>
      </c>
      <c r="B257" s="2">
        <v>45340</v>
      </c>
      <c r="C257" s="1" t="s">
        <v>27</v>
      </c>
      <c r="D257" s="1" t="s">
        <v>49</v>
      </c>
      <c r="E257" s="1" t="s">
        <v>44</v>
      </c>
      <c r="F257" s="1" t="s">
        <v>21</v>
      </c>
      <c r="G257" s="1" t="s">
        <v>112</v>
      </c>
      <c r="H257" s="1" t="s">
        <v>223</v>
      </c>
      <c r="I257" s="1">
        <v>605.62</v>
      </c>
      <c r="J257" s="1">
        <v>5</v>
      </c>
      <c r="K257" s="1">
        <v>3028.1</v>
      </c>
      <c r="L257" s="1">
        <v>20</v>
      </c>
      <c r="M257" s="1">
        <v>605.62</v>
      </c>
      <c r="N257" s="1">
        <v>2422.48</v>
      </c>
      <c r="O257" s="1" t="s">
        <v>33</v>
      </c>
      <c r="P257" s="1" t="s">
        <v>619</v>
      </c>
      <c r="Q257" s="1">
        <v>1</v>
      </c>
      <c r="R257" s="1">
        <f>Retail_Sales_Analyis[[#This Row],[Final_Price]]-Retail_Sales_Analyis[[#This Row],[Total_Price]]</f>
        <v>-605.61999999999989</v>
      </c>
      <c r="S2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8" spans="1:19" x14ac:dyDescent="0.25">
      <c r="A258" s="1" t="s">
        <v>620</v>
      </c>
      <c r="B258" s="2">
        <v>45341</v>
      </c>
      <c r="C258" s="1" t="s">
        <v>27</v>
      </c>
      <c r="D258" s="1" t="s">
        <v>43</v>
      </c>
      <c r="E258" s="1" t="s">
        <v>196</v>
      </c>
      <c r="F258" s="1" t="s">
        <v>37</v>
      </c>
      <c r="G258" s="1" t="s">
        <v>112</v>
      </c>
      <c r="H258" s="1" t="s">
        <v>223</v>
      </c>
      <c r="I258" s="1">
        <v>1496.91</v>
      </c>
      <c r="J258" s="1">
        <v>5</v>
      </c>
      <c r="K258" s="1">
        <v>7484.55</v>
      </c>
      <c r="L258" s="1">
        <v>0</v>
      </c>
      <c r="M258" s="1">
        <v>0</v>
      </c>
      <c r="N258" s="1">
        <v>7484.55</v>
      </c>
      <c r="O258" s="1" t="s">
        <v>46</v>
      </c>
      <c r="P258" s="1" t="s">
        <v>621</v>
      </c>
      <c r="Q258" s="1">
        <v>4</v>
      </c>
      <c r="R258" s="1">
        <f>Retail_Sales_Analyis[[#This Row],[Final_Price]]-Retail_Sales_Analyis[[#This Row],[Total_Price]]</f>
        <v>0</v>
      </c>
      <c r="S2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" spans="1:19" x14ac:dyDescent="0.25">
      <c r="A259" s="1" t="s">
        <v>622</v>
      </c>
      <c r="B259" s="2">
        <v>45629</v>
      </c>
      <c r="C259" s="1" t="s">
        <v>73</v>
      </c>
      <c r="D259" s="1" t="s">
        <v>28</v>
      </c>
      <c r="E259" s="1" t="s">
        <v>121</v>
      </c>
      <c r="F259" s="1" t="s">
        <v>69</v>
      </c>
      <c r="G259" s="1" t="s">
        <v>31</v>
      </c>
      <c r="H259" s="1" t="s">
        <v>32</v>
      </c>
      <c r="I259" s="1">
        <v>246.23</v>
      </c>
      <c r="J259" s="1">
        <v>2</v>
      </c>
      <c r="K259" s="1">
        <v>492.46</v>
      </c>
      <c r="L259" s="1">
        <v>10</v>
      </c>
      <c r="M259" s="1">
        <v>49.25</v>
      </c>
      <c r="N259" s="1">
        <v>443.21</v>
      </c>
      <c r="O259" s="1" t="s">
        <v>64</v>
      </c>
      <c r="P259" s="1" t="s">
        <v>623</v>
      </c>
      <c r="Q259" s="1">
        <v>1</v>
      </c>
      <c r="R259" s="1">
        <f>Retail_Sales_Analyis[[#This Row],[Final_Price]]-Retail_Sales_Analyis[[#This Row],[Total_Price]]</f>
        <v>-49.25</v>
      </c>
      <c r="S2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0" spans="1:19" x14ac:dyDescent="0.25">
      <c r="A260" s="1" t="s">
        <v>624</v>
      </c>
      <c r="B260" s="2">
        <v>45512</v>
      </c>
      <c r="C260" s="1" t="s">
        <v>93</v>
      </c>
      <c r="D260" s="1" t="s">
        <v>67</v>
      </c>
      <c r="E260" s="1" t="s">
        <v>141</v>
      </c>
      <c r="F260" s="1" t="s">
        <v>30</v>
      </c>
      <c r="G260" s="1" t="s">
        <v>78</v>
      </c>
      <c r="H260" s="1" t="s">
        <v>323</v>
      </c>
      <c r="I260" s="1">
        <v>456.83</v>
      </c>
      <c r="J260" s="1">
        <v>7</v>
      </c>
      <c r="K260" s="1">
        <v>3197.81</v>
      </c>
      <c r="L260" s="1">
        <v>0</v>
      </c>
      <c r="M260" s="1">
        <v>0</v>
      </c>
      <c r="N260" s="1">
        <v>3197.81</v>
      </c>
      <c r="O260" s="1" t="s">
        <v>24</v>
      </c>
      <c r="P260" s="1" t="s">
        <v>625</v>
      </c>
      <c r="Q260" s="1">
        <v>3</v>
      </c>
      <c r="R260" s="1">
        <f>Retail_Sales_Analyis[[#This Row],[Final_Price]]-Retail_Sales_Analyis[[#This Row],[Total_Price]]</f>
        <v>0</v>
      </c>
      <c r="S2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1" spans="1:19" x14ac:dyDescent="0.25">
      <c r="A261" s="1" t="s">
        <v>626</v>
      </c>
      <c r="B261" s="2">
        <v>45473</v>
      </c>
      <c r="C261" s="1" t="s">
        <v>173</v>
      </c>
      <c r="D261" s="1" t="s">
        <v>49</v>
      </c>
      <c r="E261" s="1" t="s">
        <v>104</v>
      </c>
      <c r="F261" s="1" t="s">
        <v>21</v>
      </c>
      <c r="G261" s="1" t="s">
        <v>31</v>
      </c>
      <c r="H261" s="1" t="s">
        <v>63</v>
      </c>
      <c r="I261" s="1">
        <v>341.51</v>
      </c>
      <c r="J261" s="1">
        <v>3</v>
      </c>
      <c r="K261" s="1">
        <v>1024.53</v>
      </c>
      <c r="L261" s="1">
        <v>10</v>
      </c>
      <c r="M261" s="1">
        <v>102.45</v>
      </c>
      <c r="N261" s="1">
        <v>922.08</v>
      </c>
      <c r="O261" s="1" t="s">
        <v>24</v>
      </c>
      <c r="P261" s="1" t="s">
        <v>627</v>
      </c>
      <c r="Q261" s="1">
        <v>4</v>
      </c>
      <c r="R261" s="1">
        <f>Retail_Sales_Analyis[[#This Row],[Final_Price]]-Retail_Sales_Analyis[[#This Row],[Total_Price]]</f>
        <v>-102.44999999999993</v>
      </c>
      <c r="S2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2" spans="1:19" x14ac:dyDescent="0.25">
      <c r="A262" s="1" t="s">
        <v>628</v>
      </c>
      <c r="B262" s="2">
        <v>45508</v>
      </c>
      <c r="C262" s="1" t="s">
        <v>93</v>
      </c>
      <c r="D262" s="1" t="s">
        <v>49</v>
      </c>
      <c r="E262" s="1" t="s">
        <v>117</v>
      </c>
      <c r="F262" s="1" t="s">
        <v>21</v>
      </c>
      <c r="G262" s="1" t="s">
        <v>22</v>
      </c>
      <c r="H262" s="1" t="s">
        <v>133</v>
      </c>
      <c r="I262" s="1">
        <v>704.49</v>
      </c>
      <c r="J262" s="1">
        <v>6</v>
      </c>
      <c r="K262" s="1">
        <v>4226.9399999999996</v>
      </c>
      <c r="L262" s="1">
        <v>5</v>
      </c>
      <c r="M262" s="1">
        <v>211.35</v>
      </c>
      <c r="N262" s="1">
        <v>4015.59</v>
      </c>
      <c r="O262" s="1" t="s">
        <v>24</v>
      </c>
      <c r="P262" s="1" t="s">
        <v>629</v>
      </c>
      <c r="Q262" s="1">
        <v>4</v>
      </c>
      <c r="R262" s="1">
        <f>Retail_Sales_Analyis[[#This Row],[Final_Price]]-Retail_Sales_Analyis[[#This Row],[Total_Price]]</f>
        <v>-211.34999999999945</v>
      </c>
      <c r="S2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3" spans="1:19" x14ac:dyDescent="0.25">
      <c r="A263" s="1" t="s">
        <v>630</v>
      </c>
      <c r="B263" s="2">
        <v>45502</v>
      </c>
      <c r="C263" s="1" t="s">
        <v>195</v>
      </c>
      <c r="D263" s="1" t="s">
        <v>43</v>
      </c>
      <c r="E263" s="1" t="s">
        <v>192</v>
      </c>
      <c r="F263" s="1" t="s">
        <v>84</v>
      </c>
      <c r="G263" s="1" t="s">
        <v>112</v>
      </c>
      <c r="H263" s="1" t="s">
        <v>113</v>
      </c>
      <c r="I263" s="1">
        <v>538.04999999999995</v>
      </c>
      <c r="J263" s="1">
        <v>10</v>
      </c>
      <c r="K263" s="1">
        <v>5380.5</v>
      </c>
      <c r="L263" s="1">
        <v>0</v>
      </c>
      <c r="M263" s="1">
        <v>0</v>
      </c>
      <c r="N263" s="1">
        <v>5380.5</v>
      </c>
      <c r="O263" s="1" t="s">
        <v>33</v>
      </c>
      <c r="P263" s="1" t="s">
        <v>631</v>
      </c>
      <c r="Q263" s="1">
        <v>4</v>
      </c>
      <c r="R263" s="1">
        <f>Retail_Sales_Analyis[[#This Row],[Final_Price]]-Retail_Sales_Analyis[[#This Row],[Total_Price]]</f>
        <v>0</v>
      </c>
      <c r="S2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" spans="1:19" x14ac:dyDescent="0.25">
      <c r="A264" s="1" t="s">
        <v>632</v>
      </c>
      <c r="B264" s="2">
        <v>45531</v>
      </c>
      <c r="C264" s="1" t="s">
        <v>93</v>
      </c>
      <c r="D264" s="1" t="s">
        <v>28</v>
      </c>
      <c r="E264" s="1" t="s">
        <v>111</v>
      </c>
      <c r="F264" s="1" t="s">
        <v>30</v>
      </c>
      <c r="G264" s="1" t="s">
        <v>38</v>
      </c>
      <c r="H264" s="1" t="s">
        <v>108</v>
      </c>
      <c r="I264" s="1">
        <v>473.76</v>
      </c>
      <c r="J264" s="1">
        <v>8</v>
      </c>
      <c r="K264" s="1">
        <v>3790.08</v>
      </c>
      <c r="L264" s="1">
        <v>0</v>
      </c>
      <c r="M264" s="1">
        <v>0</v>
      </c>
      <c r="N264" s="1">
        <v>3790.08</v>
      </c>
      <c r="O264" s="1" t="s">
        <v>24</v>
      </c>
      <c r="P264" s="1" t="s">
        <v>633</v>
      </c>
      <c r="Q264" s="1">
        <v>3</v>
      </c>
      <c r="R264" s="1">
        <f>Retail_Sales_Analyis[[#This Row],[Final_Price]]-Retail_Sales_Analyis[[#This Row],[Total_Price]]</f>
        <v>0</v>
      </c>
      <c r="S2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5" spans="1:19" x14ac:dyDescent="0.25">
      <c r="A265" s="1" t="s">
        <v>634</v>
      </c>
      <c r="B265" s="2">
        <v>45319</v>
      </c>
      <c r="C265" s="1" t="s">
        <v>36</v>
      </c>
      <c r="D265" s="1" t="s">
        <v>49</v>
      </c>
      <c r="E265" s="1" t="s">
        <v>117</v>
      </c>
      <c r="F265" s="1" t="s">
        <v>84</v>
      </c>
      <c r="G265" s="1" t="s">
        <v>112</v>
      </c>
      <c r="H265" s="1" t="s">
        <v>288</v>
      </c>
      <c r="I265" s="1">
        <v>677.28</v>
      </c>
      <c r="J265" s="1">
        <v>9</v>
      </c>
      <c r="K265" s="1">
        <v>6095.52</v>
      </c>
      <c r="L265" s="1">
        <v>5</v>
      </c>
      <c r="M265" s="1">
        <v>304.77999999999997</v>
      </c>
      <c r="N265" s="1">
        <v>5790.74</v>
      </c>
      <c r="O265" s="1" t="s">
        <v>80</v>
      </c>
      <c r="P265" s="1" t="s">
        <v>364</v>
      </c>
      <c r="Q265" s="1">
        <v>2</v>
      </c>
      <c r="R265" s="1">
        <f>Retail_Sales_Analyis[[#This Row],[Final_Price]]-Retail_Sales_Analyis[[#This Row],[Total_Price]]</f>
        <v>-304.78000000000065</v>
      </c>
      <c r="S2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6" spans="1:19" x14ac:dyDescent="0.25">
      <c r="A266" s="1" t="s">
        <v>635</v>
      </c>
      <c r="B266" s="2">
        <v>45636</v>
      </c>
      <c r="C266" s="1" t="s">
        <v>73</v>
      </c>
      <c r="D266" s="1" t="s">
        <v>28</v>
      </c>
      <c r="E266" s="1" t="s">
        <v>50</v>
      </c>
      <c r="F266" s="1" t="s">
        <v>37</v>
      </c>
      <c r="G266" s="1" t="s">
        <v>169</v>
      </c>
      <c r="H266" s="1" t="s">
        <v>208</v>
      </c>
      <c r="I266" s="1">
        <v>1182.55</v>
      </c>
      <c r="J266" s="1">
        <v>8</v>
      </c>
      <c r="K266" s="1">
        <v>9460.4</v>
      </c>
      <c r="L266" s="1">
        <v>15</v>
      </c>
      <c r="M266" s="1">
        <v>1419.06</v>
      </c>
      <c r="N266" s="1">
        <v>8041.34</v>
      </c>
      <c r="O266" s="1" t="s">
        <v>24</v>
      </c>
      <c r="P266" s="1" t="s">
        <v>636</v>
      </c>
      <c r="Q266" s="1">
        <v>4</v>
      </c>
      <c r="R266" s="1">
        <f>Retail_Sales_Analyis[[#This Row],[Final_Price]]-Retail_Sales_Analyis[[#This Row],[Total_Price]]</f>
        <v>-1419.0599999999995</v>
      </c>
      <c r="S2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7" spans="1:19" x14ac:dyDescent="0.25">
      <c r="A267" s="1" t="s">
        <v>637</v>
      </c>
      <c r="B267" s="2">
        <v>45626</v>
      </c>
      <c r="C267" s="1" t="s">
        <v>18</v>
      </c>
      <c r="D267" s="1" t="s">
        <v>19</v>
      </c>
      <c r="E267" s="1" t="s">
        <v>50</v>
      </c>
      <c r="F267" s="1" t="s">
        <v>21</v>
      </c>
      <c r="G267" s="1" t="s">
        <v>85</v>
      </c>
      <c r="H267" s="1" t="s">
        <v>297</v>
      </c>
      <c r="I267" s="1">
        <v>1689</v>
      </c>
      <c r="J267" s="1">
        <v>1</v>
      </c>
      <c r="K267" s="1">
        <v>1689</v>
      </c>
      <c r="L267" s="1">
        <v>0</v>
      </c>
      <c r="M267" s="1">
        <v>0</v>
      </c>
      <c r="N267" s="1">
        <v>1689</v>
      </c>
      <c r="O267" s="1" t="s">
        <v>24</v>
      </c>
      <c r="P267" s="1" t="s">
        <v>518</v>
      </c>
      <c r="Q267" s="1">
        <v>4</v>
      </c>
      <c r="R267" s="1">
        <f>Retail_Sales_Analyis[[#This Row],[Final_Price]]-Retail_Sales_Analyis[[#This Row],[Total_Price]]</f>
        <v>0</v>
      </c>
      <c r="S2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" spans="1:19" x14ac:dyDescent="0.25">
      <c r="A268" s="1" t="s">
        <v>638</v>
      </c>
      <c r="B268" s="2">
        <v>45622</v>
      </c>
      <c r="C268" s="1" t="s">
        <v>18</v>
      </c>
      <c r="D268" s="1" t="s">
        <v>28</v>
      </c>
      <c r="E268" s="1" t="s">
        <v>192</v>
      </c>
      <c r="F268" s="1" t="s">
        <v>21</v>
      </c>
      <c r="G268" s="1" t="s">
        <v>169</v>
      </c>
      <c r="H268" s="1" t="s">
        <v>208</v>
      </c>
      <c r="I268" s="1">
        <v>437.02</v>
      </c>
      <c r="J268" s="1">
        <v>10</v>
      </c>
      <c r="K268" s="1">
        <v>4370.2</v>
      </c>
      <c r="L268" s="1">
        <v>20</v>
      </c>
      <c r="M268" s="1">
        <v>874.04</v>
      </c>
      <c r="N268" s="1">
        <v>3496.16</v>
      </c>
      <c r="O268" s="1" t="s">
        <v>80</v>
      </c>
      <c r="P268" s="1" t="s">
        <v>639</v>
      </c>
      <c r="Q268" s="1">
        <v>2</v>
      </c>
      <c r="R268" s="1">
        <f>Retail_Sales_Analyis[[#This Row],[Final_Price]]-Retail_Sales_Analyis[[#This Row],[Total_Price]]</f>
        <v>-874.04</v>
      </c>
      <c r="S26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9" spans="1:19" x14ac:dyDescent="0.25">
      <c r="A269" s="1" t="s">
        <v>640</v>
      </c>
      <c r="B269" s="2">
        <v>45342</v>
      </c>
      <c r="C269" s="1" t="s">
        <v>27</v>
      </c>
      <c r="D269" s="1" t="s">
        <v>28</v>
      </c>
      <c r="E269" s="1" t="s">
        <v>145</v>
      </c>
      <c r="F269" s="1" t="s">
        <v>37</v>
      </c>
      <c r="G269" s="1" t="s">
        <v>78</v>
      </c>
      <c r="H269" s="1" t="s">
        <v>136</v>
      </c>
      <c r="I269" s="1">
        <v>295.91000000000003</v>
      </c>
      <c r="J269" s="1">
        <v>10</v>
      </c>
      <c r="K269" s="1">
        <v>2959.1</v>
      </c>
      <c r="L269" s="1">
        <v>10</v>
      </c>
      <c r="M269" s="1">
        <v>295.91000000000003</v>
      </c>
      <c r="N269" s="1">
        <v>2663.19</v>
      </c>
      <c r="O269" s="1" t="s">
        <v>64</v>
      </c>
      <c r="P269" s="1" t="s">
        <v>641</v>
      </c>
      <c r="Q269" s="1">
        <v>3</v>
      </c>
      <c r="R269" s="1">
        <f>Retail_Sales_Analyis[[#This Row],[Final_Price]]-Retail_Sales_Analyis[[#This Row],[Total_Price]]</f>
        <v>-295.90999999999985</v>
      </c>
      <c r="S2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0" spans="1:19" x14ac:dyDescent="0.25">
      <c r="A270" s="1" t="s">
        <v>642</v>
      </c>
      <c r="B270" s="2">
        <v>45323</v>
      </c>
      <c r="C270" s="1" t="s">
        <v>27</v>
      </c>
      <c r="D270" s="1" t="s">
        <v>67</v>
      </c>
      <c r="E270" s="1" t="s">
        <v>168</v>
      </c>
      <c r="F270" s="1" t="s">
        <v>30</v>
      </c>
      <c r="G270" s="1" t="s">
        <v>85</v>
      </c>
      <c r="H270" s="1" t="s">
        <v>180</v>
      </c>
      <c r="I270" s="1">
        <v>1252.8900000000001</v>
      </c>
      <c r="J270" s="1">
        <v>5</v>
      </c>
      <c r="K270" s="1">
        <v>6264.45</v>
      </c>
      <c r="L270" s="1">
        <v>0</v>
      </c>
      <c r="M270" s="1">
        <v>0</v>
      </c>
      <c r="N270" s="1">
        <v>6264.45</v>
      </c>
      <c r="O270" s="1" t="s">
        <v>33</v>
      </c>
      <c r="P270" s="1" t="s">
        <v>643</v>
      </c>
      <c r="Q270" s="1">
        <v>2</v>
      </c>
      <c r="R270" s="1">
        <f>Retail_Sales_Analyis[[#This Row],[Final_Price]]-Retail_Sales_Analyis[[#This Row],[Total_Price]]</f>
        <v>0</v>
      </c>
      <c r="S2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1" spans="1:19" x14ac:dyDescent="0.25">
      <c r="A271" s="1" t="s">
        <v>644</v>
      </c>
      <c r="B271" s="2">
        <v>45498</v>
      </c>
      <c r="C271" s="1" t="s">
        <v>195</v>
      </c>
      <c r="D271" s="1" t="s">
        <v>67</v>
      </c>
      <c r="E271" s="1" t="s">
        <v>328</v>
      </c>
      <c r="F271" s="1" t="s">
        <v>84</v>
      </c>
      <c r="G271" s="1" t="s">
        <v>85</v>
      </c>
      <c r="H271" s="1" t="s">
        <v>86</v>
      </c>
      <c r="I271" s="1">
        <v>1974.58</v>
      </c>
      <c r="J271" s="1">
        <v>10</v>
      </c>
      <c r="K271" s="1">
        <v>19745.8</v>
      </c>
      <c r="L271" s="1">
        <v>0</v>
      </c>
      <c r="M271" s="1">
        <v>0</v>
      </c>
      <c r="N271" s="1">
        <v>19745.8</v>
      </c>
      <c r="O271" s="1" t="s">
        <v>64</v>
      </c>
      <c r="P271" s="1" t="s">
        <v>645</v>
      </c>
      <c r="Q271" s="1">
        <v>1</v>
      </c>
      <c r="R271" s="1">
        <f>Retail_Sales_Analyis[[#This Row],[Final_Price]]-Retail_Sales_Analyis[[#This Row],[Total_Price]]</f>
        <v>0</v>
      </c>
      <c r="S2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" spans="1:19" x14ac:dyDescent="0.25">
      <c r="A272" s="1" t="s">
        <v>646</v>
      </c>
      <c r="B272" s="2">
        <v>45465</v>
      </c>
      <c r="C272" s="1" t="s">
        <v>173</v>
      </c>
      <c r="D272" s="1" t="s">
        <v>19</v>
      </c>
      <c r="E272" s="1" t="s">
        <v>239</v>
      </c>
      <c r="F272" s="1" t="s">
        <v>84</v>
      </c>
      <c r="G272" s="1" t="s">
        <v>85</v>
      </c>
      <c r="H272" s="1" t="s">
        <v>297</v>
      </c>
      <c r="I272" s="1">
        <v>4518.51</v>
      </c>
      <c r="J272" s="1">
        <v>2</v>
      </c>
      <c r="K272" s="1">
        <v>9037.02</v>
      </c>
      <c r="L272" s="1">
        <v>0</v>
      </c>
      <c r="M272" s="1">
        <v>0</v>
      </c>
      <c r="N272" s="1">
        <v>9037.02</v>
      </c>
      <c r="O272" s="1" t="s">
        <v>24</v>
      </c>
      <c r="P272" s="1" t="s">
        <v>647</v>
      </c>
      <c r="Q272" s="1">
        <v>2</v>
      </c>
      <c r="R272" s="1">
        <f>Retail_Sales_Analyis[[#This Row],[Final_Price]]-Retail_Sales_Analyis[[#This Row],[Total_Price]]</f>
        <v>0</v>
      </c>
      <c r="S2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3" spans="1:19" x14ac:dyDescent="0.25">
      <c r="A273" s="1" t="s">
        <v>648</v>
      </c>
      <c r="B273" s="2">
        <v>45347</v>
      </c>
      <c r="C273" s="1" t="s">
        <v>27</v>
      </c>
      <c r="D273" s="1" t="s">
        <v>49</v>
      </c>
      <c r="E273" s="1" t="s">
        <v>107</v>
      </c>
      <c r="F273" s="1" t="s">
        <v>30</v>
      </c>
      <c r="G273" s="1" t="s">
        <v>38</v>
      </c>
      <c r="H273" s="1" t="s">
        <v>108</v>
      </c>
      <c r="I273" s="1">
        <v>585.45000000000005</v>
      </c>
      <c r="J273" s="1">
        <v>8</v>
      </c>
      <c r="K273" s="1">
        <v>4683.6000000000004</v>
      </c>
      <c r="L273" s="1">
        <v>15</v>
      </c>
      <c r="M273" s="1">
        <v>702.54</v>
      </c>
      <c r="N273" s="1">
        <v>3981.06</v>
      </c>
      <c r="O273" s="1" t="s">
        <v>64</v>
      </c>
      <c r="P273" s="1" t="s">
        <v>349</v>
      </c>
      <c r="Q273" s="1">
        <v>2</v>
      </c>
      <c r="R273" s="1">
        <f>Retail_Sales_Analyis[[#This Row],[Final_Price]]-Retail_Sales_Analyis[[#This Row],[Total_Price]]</f>
        <v>-702.54000000000042</v>
      </c>
      <c r="S2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4" spans="1:19" x14ac:dyDescent="0.25">
      <c r="A274" s="1" t="s">
        <v>649</v>
      </c>
      <c r="B274" s="2">
        <v>45419</v>
      </c>
      <c r="C274" s="1" t="s">
        <v>42</v>
      </c>
      <c r="D274" s="1" t="s">
        <v>28</v>
      </c>
      <c r="E274" s="1" t="s">
        <v>129</v>
      </c>
      <c r="F274" s="1" t="s">
        <v>69</v>
      </c>
      <c r="G274" s="1" t="s">
        <v>31</v>
      </c>
      <c r="H274" s="1" t="s">
        <v>32</v>
      </c>
      <c r="I274" s="1">
        <v>157.66</v>
      </c>
      <c r="J274" s="1">
        <v>3</v>
      </c>
      <c r="K274" s="1">
        <v>472.98</v>
      </c>
      <c r="L274" s="1">
        <v>10</v>
      </c>
      <c r="M274" s="1">
        <v>47.3</v>
      </c>
      <c r="N274" s="1">
        <v>425.68</v>
      </c>
      <c r="O274" s="1" t="s">
        <v>24</v>
      </c>
      <c r="P274" s="1" t="s">
        <v>568</v>
      </c>
      <c r="Q274" s="1">
        <v>5</v>
      </c>
      <c r="R274" s="1">
        <f>Retail_Sales_Analyis[[#This Row],[Final_Price]]-Retail_Sales_Analyis[[#This Row],[Total_Price]]</f>
        <v>-47.300000000000011</v>
      </c>
      <c r="S2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" spans="1:19" x14ac:dyDescent="0.25">
      <c r="A275" s="1" t="s">
        <v>650</v>
      </c>
      <c r="B275" s="2">
        <v>45390</v>
      </c>
      <c r="C275" s="1" t="s">
        <v>54</v>
      </c>
      <c r="D275" s="1" t="s">
        <v>43</v>
      </c>
      <c r="E275" s="1" t="s">
        <v>322</v>
      </c>
      <c r="F275" s="1" t="s">
        <v>84</v>
      </c>
      <c r="G275" s="1" t="s">
        <v>169</v>
      </c>
      <c r="H275" s="1" t="s">
        <v>175</v>
      </c>
      <c r="I275" s="1">
        <v>717.42</v>
      </c>
      <c r="J275" s="1">
        <v>1</v>
      </c>
      <c r="K275" s="1">
        <v>717.42</v>
      </c>
      <c r="L275" s="1">
        <v>10</v>
      </c>
      <c r="M275" s="1">
        <v>71.739999999999995</v>
      </c>
      <c r="N275" s="1">
        <v>645.67999999999995</v>
      </c>
      <c r="O275" s="1" t="s">
        <v>64</v>
      </c>
      <c r="P275" s="1" t="s">
        <v>651</v>
      </c>
      <c r="Q275" s="1">
        <v>2</v>
      </c>
      <c r="R275" s="1">
        <f>Retail_Sales_Analyis[[#This Row],[Final_Price]]-Retail_Sales_Analyis[[#This Row],[Total_Price]]</f>
        <v>-71.740000000000009</v>
      </c>
      <c r="S2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6" spans="1:19" x14ac:dyDescent="0.25">
      <c r="A276" s="1" t="s">
        <v>652</v>
      </c>
      <c r="B276" s="2">
        <v>45389</v>
      </c>
      <c r="C276" s="1" t="s">
        <v>54</v>
      </c>
      <c r="D276" s="1" t="s">
        <v>49</v>
      </c>
      <c r="E276" s="1" t="s">
        <v>111</v>
      </c>
      <c r="F276" s="1" t="s">
        <v>21</v>
      </c>
      <c r="G276" s="1" t="s">
        <v>78</v>
      </c>
      <c r="H276" s="1" t="s">
        <v>126</v>
      </c>
      <c r="I276" s="1">
        <v>378.39</v>
      </c>
      <c r="J276" s="1">
        <v>8</v>
      </c>
      <c r="K276" s="1">
        <v>3027.12</v>
      </c>
      <c r="L276" s="1">
        <v>20</v>
      </c>
      <c r="M276" s="1">
        <v>605.41999999999996</v>
      </c>
      <c r="N276" s="1">
        <v>2421.6999999999998</v>
      </c>
      <c r="O276" s="1" t="s">
        <v>64</v>
      </c>
      <c r="P276" s="1" t="s">
        <v>653</v>
      </c>
      <c r="Q276" s="1">
        <v>3</v>
      </c>
      <c r="R276" s="1">
        <f>Retail_Sales_Analyis[[#This Row],[Final_Price]]-Retail_Sales_Analyis[[#This Row],[Total_Price]]</f>
        <v>-605.42000000000007</v>
      </c>
      <c r="S2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7" spans="1:19" x14ac:dyDescent="0.25">
      <c r="A277" s="1" t="s">
        <v>654</v>
      </c>
      <c r="B277" s="2">
        <v>45566</v>
      </c>
      <c r="C277" s="1" t="s">
        <v>76</v>
      </c>
      <c r="D277" s="1" t="s">
        <v>28</v>
      </c>
      <c r="E277" s="1" t="s">
        <v>20</v>
      </c>
      <c r="F277" s="1" t="s">
        <v>30</v>
      </c>
      <c r="G277" s="1" t="s">
        <v>85</v>
      </c>
      <c r="H277" s="1" t="s">
        <v>86</v>
      </c>
      <c r="I277" s="1">
        <v>2990.06</v>
      </c>
      <c r="J277" s="1">
        <v>3</v>
      </c>
      <c r="K277" s="1">
        <v>8970.18</v>
      </c>
      <c r="L277" s="1">
        <v>15</v>
      </c>
      <c r="M277" s="1">
        <v>1345.53</v>
      </c>
      <c r="N277" s="1">
        <v>7624.65</v>
      </c>
      <c r="O277" s="1" t="s">
        <v>24</v>
      </c>
      <c r="P277" s="1" t="s">
        <v>655</v>
      </c>
      <c r="Q277" s="1">
        <v>1</v>
      </c>
      <c r="R277" s="1">
        <f>Retail_Sales_Analyis[[#This Row],[Final_Price]]-Retail_Sales_Analyis[[#This Row],[Total_Price]]</f>
        <v>-1345.5300000000007</v>
      </c>
      <c r="S2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8" spans="1:19" x14ac:dyDescent="0.25">
      <c r="A278" s="1" t="s">
        <v>656</v>
      </c>
      <c r="B278" s="2">
        <v>45521</v>
      </c>
      <c r="C278" s="1" t="s">
        <v>93</v>
      </c>
      <c r="D278" s="1" t="s">
        <v>19</v>
      </c>
      <c r="E278" s="1" t="s">
        <v>542</v>
      </c>
      <c r="F278" s="1" t="s">
        <v>37</v>
      </c>
      <c r="G278" s="1" t="s">
        <v>57</v>
      </c>
      <c r="H278" s="1" t="s">
        <v>58</v>
      </c>
      <c r="I278" s="1">
        <v>903.87</v>
      </c>
      <c r="J278" s="1">
        <v>10</v>
      </c>
      <c r="K278" s="1">
        <v>9038.7000000000007</v>
      </c>
      <c r="L278" s="1">
        <v>20</v>
      </c>
      <c r="M278" s="1">
        <v>1807.74</v>
      </c>
      <c r="N278" s="1">
        <v>7230.96</v>
      </c>
      <c r="O278" s="1" t="s">
        <v>33</v>
      </c>
      <c r="P278" s="1" t="s">
        <v>657</v>
      </c>
      <c r="Q278" s="1">
        <v>1</v>
      </c>
      <c r="R278" s="1">
        <f>Retail_Sales_Analyis[[#This Row],[Final_Price]]-Retail_Sales_Analyis[[#This Row],[Total_Price]]</f>
        <v>-1807.7400000000007</v>
      </c>
      <c r="S2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9" spans="1:19" x14ac:dyDescent="0.25">
      <c r="A279" s="1" t="s">
        <v>658</v>
      </c>
      <c r="B279" s="2">
        <v>45363</v>
      </c>
      <c r="C279" s="1" t="s">
        <v>61</v>
      </c>
      <c r="D279" s="1" t="s">
        <v>28</v>
      </c>
      <c r="E279" s="1" t="s">
        <v>29</v>
      </c>
      <c r="F279" s="1" t="s">
        <v>69</v>
      </c>
      <c r="G279" s="1" t="s">
        <v>85</v>
      </c>
      <c r="H279" s="1" t="s">
        <v>98</v>
      </c>
      <c r="I279" s="1">
        <v>4141.97</v>
      </c>
      <c r="J279" s="1">
        <v>8</v>
      </c>
      <c r="K279" s="1">
        <v>33135.760000000002</v>
      </c>
      <c r="L279" s="1">
        <v>10</v>
      </c>
      <c r="M279" s="1">
        <v>3313.58</v>
      </c>
      <c r="N279" s="1">
        <v>29822.18</v>
      </c>
      <c r="O279" s="1" t="s">
        <v>24</v>
      </c>
      <c r="P279" s="1" t="s">
        <v>659</v>
      </c>
      <c r="Q279" s="1">
        <v>1</v>
      </c>
      <c r="R279" s="1">
        <f>Retail_Sales_Analyis[[#This Row],[Final_Price]]-Retail_Sales_Analyis[[#This Row],[Total_Price]]</f>
        <v>-3313.5800000000017</v>
      </c>
      <c r="S2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0" spans="1:19" x14ac:dyDescent="0.25">
      <c r="A280" s="1" t="s">
        <v>660</v>
      </c>
      <c r="B280" s="2">
        <v>45508</v>
      </c>
      <c r="C280" s="1" t="s">
        <v>93</v>
      </c>
      <c r="D280" s="1" t="s">
        <v>49</v>
      </c>
      <c r="E280" s="1" t="s">
        <v>125</v>
      </c>
      <c r="F280" s="1" t="s">
        <v>37</v>
      </c>
      <c r="G280" s="1" t="s">
        <v>78</v>
      </c>
      <c r="H280" s="1" t="s">
        <v>136</v>
      </c>
      <c r="I280" s="1">
        <v>239.44</v>
      </c>
      <c r="J280" s="1">
        <v>6</v>
      </c>
      <c r="K280" s="1">
        <v>1436.64</v>
      </c>
      <c r="L280" s="1">
        <v>0</v>
      </c>
      <c r="M280" s="1">
        <v>0</v>
      </c>
      <c r="N280" s="1">
        <v>1436.64</v>
      </c>
      <c r="O280" s="1" t="s">
        <v>24</v>
      </c>
      <c r="P280" s="1" t="s">
        <v>661</v>
      </c>
      <c r="Q280" s="1">
        <v>3</v>
      </c>
      <c r="R280" s="1">
        <f>Retail_Sales_Analyis[[#This Row],[Final_Price]]-Retail_Sales_Analyis[[#This Row],[Total_Price]]</f>
        <v>0</v>
      </c>
      <c r="S2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" spans="1:19" x14ac:dyDescent="0.25">
      <c r="A281" s="1" t="s">
        <v>662</v>
      </c>
      <c r="B281" s="2">
        <v>45385</v>
      </c>
      <c r="C281" s="1" t="s">
        <v>54</v>
      </c>
      <c r="D281" s="1" t="s">
        <v>55</v>
      </c>
      <c r="E281" s="1" t="s">
        <v>44</v>
      </c>
      <c r="F281" s="1" t="s">
        <v>37</v>
      </c>
      <c r="G281" s="1" t="s">
        <v>22</v>
      </c>
      <c r="H281" s="1" t="s">
        <v>23</v>
      </c>
      <c r="I281" s="1">
        <v>500.43</v>
      </c>
      <c r="J281" s="1">
        <v>4</v>
      </c>
      <c r="K281" s="1">
        <v>2001.72</v>
      </c>
      <c r="L281" s="1">
        <v>0</v>
      </c>
      <c r="M281" s="1">
        <v>0</v>
      </c>
      <c r="N281" s="1">
        <v>2001.72</v>
      </c>
      <c r="O281" s="1" t="s">
        <v>33</v>
      </c>
      <c r="P281" s="1" t="s">
        <v>52</v>
      </c>
      <c r="Q281" s="1">
        <v>5</v>
      </c>
      <c r="R281" s="1">
        <f>Retail_Sales_Analyis[[#This Row],[Final_Price]]-Retail_Sales_Analyis[[#This Row],[Total_Price]]</f>
        <v>0</v>
      </c>
      <c r="S2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" spans="1:19" x14ac:dyDescent="0.25">
      <c r="A282" s="1" t="s">
        <v>663</v>
      </c>
      <c r="B282" s="2">
        <v>45434</v>
      </c>
      <c r="C282" s="1" t="s">
        <v>42</v>
      </c>
      <c r="D282" s="1" t="s">
        <v>55</v>
      </c>
      <c r="E282" s="1" t="s">
        <v>307</v>
      </c>
      <c r="F282" s="1" t="s">
        <v>21</v>
      </c>
      <c r="G282" s="1" t="s">
        <v>22</v>
      </c>
      <c r="H282" s="1" t="s">
        <v>23</v>
      </c>
      <c r="I282" s="1">
        <v>372.93</v>
      </c>
      <c r="J282" s="1">
        <v>10</v>
      </c>
      <c r="K282" s="1">
        <v>3729.3</v>
      </c>
      <c r="L282" s="1">
        <v>5</v>
      </c>
      <c r="M282" s="1">
        <v>186.47</v>
      </c>
      <c r="N282" s="1">
        <v>3542.83</v>
      </c>
      <c r="O282" s="1" t="s">
        <v>64</v>
      </c>
      <c r="P282" s="1" t="s">
        <v>81</v>
      </c>
      <c r="Q282" s="1">
        <v>4</v>
      </c>
      <c r="R282" s="1">
        <f>Retail_Sales_Analyis[[#This Row],[Final_Price]]-Retail_Sales_Analyis[[#This Row],[Total_Price]]</f>
        <v>-186.47000000000025</v>
      </c>
      <c r="S2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3" spans="1:19" x14ac:dyDescent="0.25">
      <c r="A283" s="1" t="s">
        <v>664</v>
      </c>
      <c r="B283" s="2">
        <v>45528</v>
      </c>
      <c r="C283" s="1" t="s">
        <v>93</v>
      </c>
      <c r="D283" s="1" t="s">
        <v>19</v>
      </c>
      <c r="E283" s="1" t="s">
        <v>168</v>
      </c>
      <c r="F283" s="1" t="s">
        <v>84</v>
      </c>
      <c r="G283" s="1" t="s">
        <v>57</v>
      </c>
      <c r="H283" s="1" t="s">
        <v>158</v>
      </c>
      <c r="I283" s="1">
        <v>2931.56</v>
      </c>
      <c r="J283" s="1">
        <v>4</v>
      </c>
      <c r="K283" s="1">
        <v>11726.24</v>
      </c>
      <c r="L283" s="1">
        <v>0</v>
      </c>
      <c r="M283" s="1">
        <v>0</v>
      </c>
      <c r="N283" s="1">
        <v>11726.24</v>
      </c>
      <c r="O283" s="1" t="s">
        <v>64</v>
      </c>
      <c r="P283" s="1" t="s">
        <v>665</v>
      </c>
      <c r="Q283" s="1">
        <v>1</v>
      </c>
      <c r="R283" s="1">
        <f>Retail_Sales_Analyis[[#This Row],[Final_Price]]-Retail_Sales_Analyis[[#This Row],[Total_Price]]</f>
        <v>0</v>
      </c>
      <c r="S2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4" spans="1:19" x14ac:dyDescent="0.25">
      <c r="A284" s="1" t="s">
        <v>666</v>
      </c>
      <c r="B284" s="2">
        <v>45419</v>
      </c>
      <c r="C284" s="1" t="s">
        <v>42</v>
      </c>
      <c r="D284" s="1" t="s">
        <v>28</v>
      </c>
      <c r="E284" s="1" t="s">
        <v>174</v>
      </c>
      <c r="F284" s="1" t="s">
        <v>30</v>
      </c>
      <c r="G284" s="1" t="s">
        <v>38</v>
      </c>
      <c r="H284" s="1" t="s">
        <v>214</v>
      </c>
      <c r="I284" s="1">
        <v>177.78</v>
      </c>
      <c r="J284" s="1">
        <v>8</v>
      </c>
      <c r="K284" s="1">
        <v>1422.24</v>
      </c>
      <c r="L284" s="1">
        <v>5</v>
      </c>
      <c r="M284" s="1">
        <v>71.11</v>
      </c>
      <c r="N284" s="1">
        <v>1351.13</v>
      </c>
      <c r="O284" s="1" t="s">
        <v>33</v>
      </c>
      <c r="P284" s="1" t="s">
        <v>667</v>
      </c>
      <c r="Q284" s="1">
        <v>2</v>
      </c>
      <c r="R284" s="1">
        <f>Retail_Sales_Analyis[[#This Row],[Final_Price]]-Retail_Sales_Analyis[[#This Row],[Total_Price]]</f>
        <v>-71.1099999999999</v>
      </c>
      <c r="S2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5" spans="1:19" x14ac:dyDescent="0.25">
      <c r="A285" s="1" t="s">
        <v>668</v>
      </c>
      <c r="B285" s="2">
        <v>45330</v>
      </c>
      <c r="C285" s="1" t="s">
        <v>27</v>
      </c>
      <c r="D285" s="1" t="s">
        <v>67</v>
      </c>
      <c r="E285" s="1" t="s">
        <v>125</v>
      </c>
      <c r="F285" s="1" t="s">
        <v>37</v>
      </c>
      <c r="G285" s="1" t="s">
        <v>38</v>
      </c>
      <c r="H285" s="1" t="s">
        <v>70</v>
      </c>
      <c r="I285" s="1">
        <v>209.75</v>
      </c>
      <c r="J285" s="1">
        <v>10</v>
      </c>
      <c r="K285" s="1">
        <v>2097.5</v>
      </c>
      <c r="L285" s="1">
        <v>0</v>
      </c>
      <c r="M285" s="1">
        <v>0</v>
      </c>
      <c r="N285" s="1">
        <v>2097.5</v>
      </c>
      <c r="O285" s="1" t="s">
        <v>80</v>
      </c>
      <c r="P285" s="1" t="s">
        <v>669</v>
      </c>
      <c r="Q285" s="1">
        <v>5</v>
      </c>
      <c r="R285" s="1">
        <f>Retail_Sales_Analyis[[#This Row],[Final_Price]]-Retail_Sales_Analyis[[#This Row],[Total_Price]]</f>
        <v>0</v>
      </c>
      <c r="S2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" spans="1:19" x14ac:dyDescent="0.25">
      <c r="A286" s="1" t="s">
        <v>670</v>
      </c>
      <c r="B286" s="2">
        <v>45518</v>
      </c>
      <c r="C286" s="1" t="s">
        <v>93</v>
      </c>
      <c r="D286" s="1" t="s">
        <v>55</v>
      </c>
      <c r="E286" s="1" t="s">
        <v>117</v>
      </c>
      <c r="F286" s="1" t="s">
        <v>21</v>
      </c>
      <c r="G286" s="1" t="s">
        <v>31</v>
      </c>
      <c r="H286" s="1" t="s">
        <v>250</v>
      </c>
      <c r="I286" s="1">
        <v>316.20999999999998</v>
      </c>
      <c r="J286" s="1">
        <v>8</v>
      </c>
      <c r="K286" s="1">
        <v>2529.6799999999998</v>
      </c>
      <c r="L286" s="1">
        <v>0</v>
      </c>
      <c r="M286" s="1">
        <v>0</v>
      </c>
      <c r="N286" s="1">
        <v>2529.6799999999998</v>
      </c>
      <c r="O286" s="1" t="s">
        <v>24</v>
      </c>
      <c r="P286" s="1" t="s">
        <v>671</v>
      </c>
      <c r="Q286" s="1">
        <v>4</v>
      </c>
      <c r="R286" s="1">
        <f>Retail_Sales_Analyis[[#This Row],[Final_Price]]-Retail_Sales_Analyis[[#This Row],[Total_Price]]</f>
        <v>0</v>
      </c>
      <c r="S2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7" spans="1:19" x14ac:dyDescent="0.25">
      <c r="A287" s="1" t="s">
        <v>672</v>
      </c>
      <c r="B287" s="2">
        <v>45573</v>
      </c>
      <c r="C287" s="1" t="s">
        <v>76</v>
      </c>
      <c r="D287" s="1" t="s">
        <v>28</v>
      </c>
      <c r="E287" s="1" t="s">
        <v>261</v>
      </c>
      <c r="F287" s="1" t="s">
        <v>37</v>
      </c>
      <c r="G287" s="1" t="s">
        <v>78</v>
      </c>
      <c r="H287" s="1" t="s">
        <v>136</v>
      </c>
      <c r="I287" s="1">
        <v>410.76</v>
      </c>
      <c r="J287" s="1">
        <v>10</v>
      </c>
      <c r="K287" s="1">
        <v>4107.6000000000004</v>
      </c>
      <c r="L287" s="1">
        <v>0</v>
      </c>
      <c r="M287" s="1">
        <v>0</v>
      </c>
      <c r="N287" s="1">
        <v>4107.6000000000004</v>
      </c>
      <c r="O287" s="1" t="s">
        <v>80</v>
      </c>
      <c r="P287" s="1" t="s">
        <v>673</v>
      </c>
      <c r="Q287" s="1">
        <v>1</v>
      </c>
      <c r="R287" s="1">
        <f>Retail_Sales_Analyis[[#This Row],[Final_Price]]-Retail_Sales_Analyis[[#This Row],[Total_Price]]</f>
        <v>0</v>
      </c>
      <c r="S2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" spans="1:19" x14ac:dyDescent="0.25">
      <c r="A288" s="1" t="s">
        <v>674</v>
      </c>
      <c r="B288" s="2">
        <v>45342</v>
      </c>
      <c r="C288" s="1" t="s">
        <v>27</v>
      </c>
      <c r="D288" s="1" t="s">
        <v>28</v>
      </c>
      <c r="E288" s="1" t="s">
        <v>312</v>
      </c>
      <c r="F288" s="1" t="s">
        <v>69</v>
      </c>
      <c r="G288" s="1" t="s">
        <v>31</v>
      </c>
      <c r="H288" s="1" t="s">
        <v>45</v>
      </c>
      <c r="I288" s="1">
        <v>65.13</v>
      </c>
      <c r="J288" s="1">
        <v>9</v>
      </c>
      <c r="K288" s="1">
        <v>586.16999999999996</v>
      </c>
      <c r="L288" s="1">
        <v>5</v>
      </c>
      <c r="M288" s="1">
        <v>29.31</v>
      </c>
      <c r="N288" s="1">
        <v>556.86</v>
      </c>
      <c r="O288" s="1" t="s">
        <v>33</v>
      </c>
      <c r="P288" s="1" t="s">
        <v>675</v>
      </c>
      <c r="Q288" s="1">
        <v>1</v>
      </c>
      <c r="R288" s="1">
        <f>Retail_Sales_Analyis[[#This Row],[Final_Price]]-Retail_Sales_Analyis[[#This Row],[Total_Price]]</f>
        <v>-29.309999999999945</v>
      </c>
      <c r="S28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9" spans="1:19" x14ac:dyDescent="0.25">
      <c r="A289" s="1" t="s">
        <v>676</v>
      </c>
      <c r="B289" s="2">
        <v>45317</v>
      </c>
      <c r="C289" s="1" t="s">
        <v>36</v>
      </c>
      <c r="D289" s="1" t="s">
        <v>144</v>
      </c>
      <c r="E289" s="1" t="s">
        <v>94</v>
      </c>
      <c r="F289" s="1" t="s">
        <v>21</v>
      </c>
      <c r="G289" s="1" t="s">
        <v>169</v>
      </c>
      <c r="H289" s="1" t="s">
        <v>170</v>
      </c>
      <c r="I289" s="1">
        <v>1203.69</v>
      </c>
      <c r="J289" s="1">
        <v>7</v>
      </c>
      <c r="K289" s="1">
        <v>8425.83</v>
      </c>
      <c r="L289" s="1">
        <v>0</v>
      </c>
      <c r="M289" s="1">
        <v>0</v>
      </c>
      <c r="N289" s="1">
        <v>8425.83</v>
      </c>
      <c r="O289" s="1" t="s">
        <v>64</v>
      </c>
      <c r="P289" s="1" t="s">
        <v>576</v>
      </c>
      <c r="Q289" s="1">
        <v>3</v>
      </c>
      <c r="R289" s="1">
        <f>Retail_Sales_Analyis[[#This Row],[Final_Price]]-Retail_Sales_Analyis[[#This Row],[Total_Price]]</f>
        <v>0</v>
      </c>
      <c r="S2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" spans="1:19" x14ac:dyDescent="0.25">
      <c r="A290" s="1" t="s">
        <v>677</v>
      </c>
      <c r="B290" s="2">
        <v>45625</v>
      </c>
      <c r="C290" s="1" t="s">
        <v>18</v>
      </c>
      <c r="D290" s="1" t="s">
        <v>144</v>
      </c>
      <c r="E290" s="1" t="s">
        <v>117</v>
      </c>
      <c r="F290" s="1" t="s">
        <v>84</v>
      </c>
      <c r="G290" s="1" t="s">
        <v>169</v>
      </c>
      <c r="H290" s="1" t="s">
        <v>208</v>
      </c>
      <c r="I290" s="1">
        <v>875.74</v>
      </c>
      <c r="J290" s="1">
        <v>5</v>
      </c>
      <c r="K290" s="1">
        <v>4378.7</v>
      </c>
      <c r="L290" s="1">
        <v>0</v>
      </c>
      <c r="M290" s="1">
        <v>0</v>
      </c>
      <c r="N290" s="1">
        <v>4378.7</v>
      </c>
      <c r="O290" s="1" t="s">
        <v>33</v>
      </c>
      <c r="P290" s="1" t="s">
        <v>161</v>
      </c>
      <c r="Q290" s="1">
        <v>5</v>
      </c>
      <c r="R290" s="1">
        <f>Retail_Sales_Analyis[[#This Row],[Final_Price]]-Retail_Sales_Analyis[[#This Row],[Total_Price]]</f>
        <v>0</v>
      </c>
      <c r="S2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1" spans="1:19" x14ac:dyDescent="0.25">
      <c r="A291" s="1" t="s">
        <v>678</v>
      </c>
      <c r="B291" s="2">
        <v>45568</v>
      </c>
      <c r="C291" s="1" t="s">
        <v>76</v>
      </c>
      <c r="D291" s="1" t="s">
        <v>67</v>
      </c>
      <c r="E291" s="1" t="s">
        <v>97</v>
      </c>
      <c r="F291" s="1" t="s">
        <v>37</v>
      </c>
      <c r="G291" s="1" t="s">
        <v>31</v>
      </c>
      <c r="H291" s="1" t="s">
        <v>32</v>
      </c>
      <c r="I291" s="1">
        <v>397.33</v>
      </c>
      <c r="J291" s="1">
        <v>7</v>
      </c>
      <c r="K291" s="1">
        <v>2781.31</v>
      </c>
      <c r="L291" s="1">
        <v>0</v>
      </c>
      <c r="M291" s="1">
        <v>0</v>
      </c>
      <c r="N291" s="1">
        <v>2781.31</v>
      </c>
      <c r="O291" s="1" t="s">
        <v>46</v>
      </c>
      <c r="P291" s="1" t="s">
        <v>343</v>
      </c>
      <c r="Q291" s="1">
        <v>4</v>
      </c>
      <c r="R291" s="1">
        <f>Retail_Sales_Analyis[[#This Row],[Final_Price]]-Retail_Sales_Analyis[[#This Row],[Total_Price]]</f>
        <v>0</v>
      </c>
      <c r="S2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" spans="1:19" x14ac:dyDescent="0.25">
      <c r="A292" s="1" t="s">
        <v>679</v>
      </c>
      <c r="B292" s="2">
        <v>45299</v>
      </c>
      <c r="C292" s="1" t="s">
        <v>36</v>
      </c>
      <c r="D292" s="1" t="s">
        <v>43</v>
      </c>
      <c r="E292" s="1" t="s">
        <v>302</v>
      </c>
      <c r="F292" s="1" t="s">
        <v>30</v>
      </c>
      <c r="G292" s="1" t="s">
        <v>169</v>
      </c>
      <c r="H292" s="1" t="s">
        <v>348</v>
      </c>
      <c r="I292" s="1">
        <v>1372.12</v>
      </c>
      <c r="J292" s="1">
        <v>6</v>
      </c>
      <c r="K292" s="1">
        <v>8232.7199999999993</v>
      </c>
      <c r="L292" s="1">
        <v>10</v>
      </c>
      <c r="M292" s="1">
        <v>823.27</v>
      </c>
      <c r="N292" s="1">
        <v>7409.45</v>
      </c>
      <c r="O292" s="1" t="s">
        <v>24</v>
      </c>
      <c r="P292" s="1" t="s">
        <v>680</v>
      </c>
      <c r="Q292" s="1">
        <v>3</v>
      </c>
      <c r="R292" s="1">
        <f>Retail_Sales_Analyis[[#This Row],[Final_Price]]-Retail_Sales_Analyis[[#This Row],[Total_Price]]</f>
        <v>-823.26999999999953</v>
      </c>
      <c r="S2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3" spans="1:19" x14ac:dyDescent="0.25">
      <c r="A293" s="1" t="s">
        <v>681</v>
      </c>
      <c r="B293" s="2">
        <v>45339</v>
      </c>
      <c r="C293" s="1" t="s">
        <v>27</v>
      </c>
      <c r="D293" s="1" t="s">
        <v>19</v>
      </c>
      <c r="E293" s="1" t="s">
        <v>285</v>
      </c>
      <c r="F293" s="1" t="s">
        <v>30</v>
      </c>
      <c r="G293" s="1" t="s">
        <v>57</v>
      </c>
      <c r="H293" s="1" t="s">
        <v>152</v>
      </c>
      <c r="I293" s="1">
        <v>1937.27</v>
      </c>
      <c r="J293" s="1">
        <v>6</v>
      </c>
      <c r="K293" s="1">
        <v>11623.62</v>
      </c>
      <c r="L293" s="1">
        <v>15</v>
      </c>
      <c r="M293" s="1">
        <v>1743.54</v>
      </c>
      <c r="N293" s="1">
        <v>9880.08</v>
      </c>
      <c r="O293" s="1" t="s">
        <v>24</v>
      </c>
      <c r="P293" s="1" t="s">
        <v>682</v>
      </c>
      <c r="Q293" s="1">
        <v>5</v>
      </c>
      <c r="R293" s="1">
        <f>Retail_Sales_Analyis[[#This Row],[Final_Price]]-Retail_Sales_Analyis[[#This Row],[Total_Price]]</f>
        <v>-1743.5400000000009</v>
      </c>
      <c r="S2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4" spans="1:19" x14ac:dyDescent="0.25">
      <c r="A294" s="1" t="s">
        <v>683</v>
      </c>
      <c r="B294" s="2">
        <v>45413</v>
      </c>
      <c r="C294" s="1" t="s">
        <v>42</v>
      </c>
      <c r="D294" s="1" t="s">
        <v>55</v>
      </c>
      <c r="E294" s="1" t="s">
        <v>307</v>
      </c>
      <c r="F294" s="1" t="s">
        <v>21</v>
      </c>
      <c r="G294" s="1" t="s">
        <v>112</v>
      </c>
      <c r="H294" s="1" t="s">
        <v>223</v>
      </c>
      <c r="I294" s="1">
        <v>1074.43</v>
      </c>
      <c r="J294" s="1">
        <v>8</v>
      </c>
      <c r="K294" s="1">
        <v>8595.44</v>
      </c>
      <c r="L294" s="1">
        <v>10</v>
      </c>
      <c r="M294" s="1">
        <v>859.54</v>
      </c>
      <c r="N294" s="1">
        <v>7735.9</v>
      </c>
      <c r="O294" s="1" t="s">
        <v>24</v>
      </c>
      <c r="P294" s="1" t="s">
        <v>576</v>
      </c>
      <c r="Q294" s="1">
        <v>3</v>
      </c>
      <c r="R294" s="1">
        <f>Retail_Sales_Analyis[[#This Row],[Final_Price]]-Retail_Sales_Analyis[[#This Row],[Total_Price]]</f>
        <v>-859.54000000000087</v>
      </c>
      <c r="S2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5" spans="1:19" x14ac:dyDescent="0.25">
      <c r="A295" s="1" t="s">
        <v>684</v>
      </c>
      <c r="B295" s="2">
        <v>45377</v>
      </c>
      <c r="C295" s="1" t="s">
        <v>61</v>
      </c>
      <c r="D295" s="1" t="s">
        <v>28</v>
      </c>
      <c r="E295" s="1" t="s">
        <v>141</v>
      </c>
      <c r="F295" s="1" t="s">
        <v>37</v>
      </c>
      <c r="G295" s="1" t="s">
        <v>169</v>
      </c>
      <c r="H295" s="1" t="s">
        <v>170</v>
      </c>
      <c r="I295" s="1">
        <v>1151.2</v>
      </c>
      <c r="J295" s="1">
        <v>4</v>
      </c>
      <c r="K295" s="1">
        <v>4604.8</v>
      </c>
      <c r="L295" s="1">
        <v>0</v>
      </c>
      <c r="M295" s="1">
        <v>0</v>
      </c>
      <c r="N295" s="1">
        <v>4604.8</v>
      </c>
      <c r="O295" s="1" t="s">
        <v>46</v>
      </c>
      <c r="P295" s="1" t="s">
        <v>685</v>
      </c>
      <c r="Q295" s="1">
        <v>2</v>
      </c>
      <c r="R295" s="1">
        <f>Retail_Sales_Analyis[[#This Row],[Final_Price]]-Retail_Sales_Analyis[[#This Row],[Total_Price]]</f>
        <v>0</v>
      </c>
      <c r="S2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6" spans="1:19" x14ac:dyDescent="0.25">
      <c r="A296" s="1" t="s">
        <v>686</v>
      </c>
      <c r="B296" s="2">
        <v>45500</v>
      </c>
      <c r="C296" s="1" t="s">
        <v>195</v>
      </c>
      <c r="D296" s="1" t="s">
        <v>19</v>
      </c>
      <c r="E296" s="1" t="s">
        <v>411</v>
      </c>
      <c r="F296" s="1" t="s">
        <v>30</v>
      </c>
      <c r="G296" s="1" t="s">
        <v>31</v>
      </c>
      <c r="H296" s="1" t="s">
        <v>45</v>
      </c>
      <c r="I296" s="1">
        <v>442.01</v>
      </c>
      <c r="J296" s="1">
        <v>4</v>
      </c>
      <c r="K296" s="1">
        <v>1768.04</v>
      </c>
      <c r="L296" s="1">
        <v>20</v>
      </c>
      <c r="M296" s="1">
        <v>353.61</v>
      </c>
      <c r="N296" s="1">
        <v>1414.43</v>
      </c>
      <c r="O296" s="1" t="s">
        <v>64</v>
      </c>
      <c r="P296" s="1" t="s">
        <v>102</v>
      </c>
      <c r="Q296" s="1">
        <v>3</v>
      </c>
      <c r="R296" s="1">
        <f>Retail_Sales_Analyis[[#This Row],[Final_Price]]-Retail_Sales_Analyis[[#This Row],[Total_Price]]</f>
        <v>-353.6099999999999</v>
      </c>
      <c r="S2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7" spans="1:19" x14ac:dyDescent="0.25">
      <c r="A297" s="1" t="s">
        <v>687</v>
      </c>
      <c r="B297" s="2">
        <v>45540</v>
      </c>
      <c r="C297" s="1" t="s">
        <v>116</v>
      </c>
      <c r="D297" s="1" t="s">
        <v>67</v>
      </c>
      <c r="E297" s="1" t="s">
        <v>213</v>
      </c>
      <c r="F297" s="1" t="s">
        <v>84</v>
      </c>
      <c r="G297" s="1" t="s">
        <v>22</v>
      </c>
      <c r="H297" s="1" t="s">
        <v>277</v>
      </c>
      <c r="I297" s="1">
        <v>243.57</v>
      </c>
      <c r="J297" s="1">
        <v>6</v>
      </c>
      <c r="K297" s="1">
        <v>1461.42</v>
      </c>
      <c r="L297" s="1">
        <v>0</v>
      </c>
      <c r="M297" s="1">
        <v>0</v>
      </c>
      <c r="N297" s="1">
        <v>1461.42</v>
      </c>
      <c r="O297" s="1" t="s">
        <v>33</v>
      </c>
      <c r="P297" s="1" t="s">
        <v>65</v>
      </c>
      <c r="Q297" s="1">
        <v>4</v>
      </c>
      <c r="R297" s="1">
        <f>Retail_Sales_Analyis[[#This Row],[Final_Price]]-Retail_Sales_Analyis[[#This Row],[Total_Price]]</f>
        <v>0</v>
      </c>
      <c r="S2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8" spans="1:19" x14ac:dyDescent="0.25">
      <c r="A298" s="1" t="s">
        <v>688</v>
      </c>
      <c r="B298" s="2">
        <v>45538</v>
      </c>
      <c r="C298" s="1" t="s">
        <v>116</v>
      </c>
      <c r="D298" s="1" t="s">
        <v>28</v>
      </c>
      <c r="E298" s="1" t="s">
        <v>307</v>
      </c>
      <c r="F298" s="1" t="s">
        <v>37</v>
      </c>
      <c r="G298" s="1" t="s">
        <v>169</v>
      </c>
      <c r="H298" s="1" t="s">
        <v>348</v>
      </c>
      <c r="I298" s="1">
        <v>1151.79</v>
      </c>
      <c r="J298" s="1">
        <v>9</v>
      </c>
      <c r="K298" s="1">
        <v>10366.11</v>
      </c>
      <c r="L298" s="1">
        <v>0</v>
      </c>
      <c r="M298" s="1">
        <v>0</v>
      </c>
      <c r="N298" s="1">
        <v>10366.11</v>
      </c>
      <c r="O298" s="1" t="s">
        <v>33</v>
      </c>
      <c r="P298" s="1" t="s">
        <v>689</v>
      </c>
      <c r="Q298" s="1">
        <v>5</v>
      </c>
      <c r="R298" s="1">
        <f>Retail_Sales_Analyis[[#This Row],[Final_Price]]-Retail_Sales_Analyis[[#This Row],[Total_Price]]</f>
        <v>0</v>
      </c>
      <c r="S2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9" spans="1:19" x14ac:dyDescent="0.25">
      <c r="A299" s="1" t="s">
        <v>690</v>
      </c>
      <c r="B299" s="2">
        <v>45401</v>
      </c>
      <c r="C299" s="1" t="s">
        <v>54</v>
      </c>
      <c r="D299" s="1" t="s">
        <v>144</v>
      </c>
      <c r="E299" s="1" t="s">
        <v>236</v>
      </c>
      <c r="F299" s="1" t="s">
        <v>30</v>
      </c>
      <c r="G299" s="1" t="s">
        <v>31</v>
      </c>
      <c r="H299" s="1" t="s">
        <v>329</v>
      </c>
      <c r="I299" s="1">
        <v>86.08</v>
      </c>
      <c r="J299" s="1">
        <v>3</v>
      </c>
      <c r="K299" s="1">
        <v>258.24</v>
      </c>
      <c r="L299" s="1">
        <v>0</v>
      </c>
      <c r="M299" s="1">
        <v>0</v>
      </c>
      <c r="N299" s="1">
        <v>258.24</v>
      </c>
      <c r="O299" s="1" t="s">
        <v>24</v>
      </c>
      <c r="P299" s="1" t="s">
        <v>691</v>
      </c>
      <c r="Q299" s="1">
        <v>1</v>
      </c>
      <c r="R299" s="1">
        <f>Retail_Sales_Analyis[[#This Row],[Final_Price]]-Retail_Sales_Analyis[[#This Row],[Total_Price]]</f>
        <v>0</v>
      </c>
      <c r="S2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" spans="1:19" x14ac:dyDescent="0.25">
      <c r="A300" s="1" t="s">
        <v>692</v>
      </c>
      <c r="B300" s="2">
        <v>45497</v>
      </c>
      <c r="C300" s="1" t="s">
        <v>195</v>
      </c>
      <c r="D300" s="1" t="s">
        <v>55</v>
      </c>
      <c r="E300" s="1" t="s">
        <v>261</v>
      </c>
      <c r="F300" s="1" t="s">
        <v>84</v>
      </c>
      <c r="G300" s="1" t="s">
        <v>85</v>
      </c>
      <c r="H300" s="1" t="s">
        <v>86</v>
      </c>
      <c r="I300" s="1">
        <v>1601.99</v>
      </c>
      <c r="J300" s="1">
        <v>4</v>
      </c>
      <c r="K300" s="1">
        <v>6407.96</v>
      </c>
      <c r="L300" s="1">
        <v>10</v>
      </c>
      <c r="M300" s="1">
        <v>640.79999999999995</v>
      </c>
      <c r="N300" s="1">
        <v>5767.16</v>
      </c>
      <c r="O300" s="1" t="s">
        <v>24</v>
      </c>
      <c r="P300" s="1" t="s">
        <v>693</v>
      </c>
      <c r="Q300" s="1">
        <v>3</v>
      </c>
      <c r="R300" s="1">
        <f>Retail_Sales_Analyis[[#This Row],[Final_Price]]-Retail_Sales_Analyis[[#This Row],[Total_Price]]</f>
        <v>-640.80000000000018</v>
      </c>
      <c r="S3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1" spans="1:19" x14ac:dyDescent="0.25">
      <c r="A301" s="1" t="s">
        <v>694</v>
      </c>
      <c r="B301" s="2">
        <v>45322</v>
      </c>
      <c r="C301" s="1" t="s">
        <v>36</v>
      </c>
      <c r="D301" s="1" t="s">
        <v>55</v>
      </c>
      <c r="E301" s="1" t="s">
        <v>186</v>
      </c>
      <c r="F301" s="1" t="s">
        <v>37</v>
      </c>
      <c r="G301" s="1" t="s">
        <v>85</v>
      </c>
      <c r="H301" s="1" t="s">
        <v>86</v>
      </c>
      <c r="I301" s="1">
        <v>2386.8000000000002</v>
      </c>
      <c r="J301" s="1">
        <v>8</v>
      </c>
      <c r="K301" s="1">
        <v>19094.400000000001</v>
      </c>
      <c r="L301" s="1">
        <v>15</v>
      </c>
      <c r="M301" s="1">
        <v>2864.16</v>
      </c>
      <c r="N301" s="1">
        <v>16230.24</v>
      </c>
      <c r="O301" s="1" t="s">
        <v>24</v>
      </c>
      <c r="P301" s="1" t="s">
        <v>695</v>
      </c>
      <c r="Q301" s="1">
        <v>3</v>
      </c>
      <c r="R301" s="1">
        <f>Retail_Sales_Analyis[[#This Row],[Final_Price]]-Retail_Sales_Analyis[[#This Row],[Total_Price]]</f>
        <v>-2864.1600000000017</v>
      </c>
      <c r="S3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2" spans="1:19" x14ac:dyDescent="0.25">
      <c r="A302" s="1" t="s">
        <v>696</v>
      </c>
      <c r="B302" s="2">
        <v>45376</v>
      </c>
      <c r="C302" s="1" t="s">
        <v>61</v>
      </c>
      <c r="D302" s="1" t="s">
        <v>43</v>
      </c>
      <c r="E302" s="1" t="s">
        <v>44</v>
      </c>
      <c r="F302" s="1" t="s">
        <v>84</v>
      </c>
      <c r="G302" s="1" t="s">
        <v>57</v>
      </c>
      <c r="H302" s="1" t="s">
        <v>122</v>
      </c>
      <c r="I302" s="1">
        <v>2005.08</v>
      </c>
      <c r="J302" s="1">
        <v>7</v>
      </c>
      <c r="K302" s="1">
        <v>14035.56</v>
      </c>
      <c r="L302" s="1">
        <v>10</v>
      </c>
      <c r="M302" s="1">
        <v>1403.56</v>
      </c>
      <c r="N302" s="1">
        <v>12632</v>
      </c>
      <c r="O302" s="1" t="s">
        <v>46</v>
      </c>
      <c r="P302" s="1" t="s">
        <v>697</v>
      </c>
      <c r="Q302" s="1">
        <v>3</v>
      </c>
      <c r="R302" s="1">
        <f>Retail_Sales_Analyis[[#This Row],[Final_Price]]-Retail_Sales_Analyis[[#This Row],[Total_Price]]</f>
        <v>-1403.5599999999995</v>
      </c>
      <c r="S3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3" spans="1:19" x14ac:dyDescent="0.25">
      <c r="A303" s="1" t="s">
        <v>698</v>
      </c>
      <c r="B303" s="2">
        <v>45486</v>
      </c>
      <c r="C303" s="1" t="s">
        <v>195</v>
      </c>
      <c r="D303" s="1" t="s">
        <v>19</v>
      </c>
      <c r="E303" s="1" t="s">
        <v>151</v>
      </c>
      <c r="F303" s="1" t="s">
        <v>21</v>
      </c>
      <c r="G303" s="1" t="s">
        <v>31</v>
      </c>
      <c r="H303" s="1" t="s">
        <v>32</v>
      </c>
      <c r="I303" s="1">
        <v>186.84</v>
      </c>
      <c r="J303" s="1">
        <v>3</v>
      </c>
      <c r="K303" s="1">
        <v>560.52</v>
      </c>
      <c r="L303" s="1">
        <v>20</v>
      </c>
      <c r="M303" s="1">
        <v>112.1</v>
      </c>
      <c r="N303" s="1">
        <v>448.42</v>
      </c>
      <c r="O303" s="1" t="s">
        <v>46</v>
      </c>
      <c r="P303" s="1" t="s">
        <v>699</v>
      </c>
      <c r="Q303" s="1">
        <v>2</v>
      </c>
      <c r="R303" s="1">
        <f>Retail_Sales_Analyis[[#This Row],[Final_Price]]-Retail_Sales_Analyis[[#This Row],[Total_Price]]</f>
        <v>-112.09999999999997</v>
      </c>
      <c r="S3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4" spans="1:19" x14ac:dyDescent="0.25">
      <c r="A304" s="1" t="s">
        <v>700</v>
      </c>
      <c r="B304" s="2">
        <v>45293</v>
      </c>
      <c r="C304" s="1" t="s">
        <v>36</v>
      </c>
      <c r="D304" s="1" t="s">
        <v>28</v>
      </c>
      <c r="E304" s="1" t="s">
        <v>56</v>
      </c>
      <c r="F304" s="1" t="s">
        <v>21</v>
      </c>
      <c r="G304" s="1" t="s">
        <v>78</v>
      </c>
      <c r="H304" s="1" t="s">
        <v>323</v>
      </c>
      <c r="I304" s="1">
        <v>496.39</v>
      </c>
      <c r="J304" s="1">
        <v>1</v>
      </c>
      <c r="K304" s="1">
        <v>496.39</v>
      </c>
      <c r="L304" s="1">
        <v>0</v>
      </c>
      <c r="M304" s="1">
        <v>0</v>
      </c>
      <c r="N304" s="1">
        <v>496.39</v>
      </c>
      <c r="O304" s="1" t="s">
        <v>46</v>
      </c>
      <c r="P304" s="1" t="s">
        <v>701</v>
      </c>
      <c r="Q304" s="1">
        <v>3</v>
      </c>
      <c r="R304" s="1">
        <f>Retail_Sales_Analyis[[#This Row],[Final_Price]]-Retail_Sales_Analyis[[#This Row],[Total_Price]]</f>
        <v>0</v>
      </c>
      <c r="S3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" spans="1:19" x14ac:dyDescent="0.25">
      <c r="A305" s="1" t="s">
        <v>702</v>
      </c>
      <c r="B305" s="2">
        <v>45491</v>
      </c>
      <c r="C305" s="1" t="s">
        <v>195</v>
      </c>
      <c r="D305" s="1" t="s">
        <v>67</v>
      </c>
      <c r="E305" s="1" t="s">
        <v>29</v>
      </c>
      <c r="F305" s="1" t="s">
        <v>37</v>
      </c>
      <c r="G305" s="1" t="s">
        <v>85</v>
      </c>
      <c r="H305" s="1" t="s">
        <v>90</v>
      </c>
      <c r="I305" s="1">
        <v>2140.9899999999998</v>
      </c>
      <c r="J305" s="1">
        <v>3</v>
      </c>
      <c r="K305" s="1">
        <v>6422.97</v>
      </c>
      <c r="L305" s="1">
        <v>20</v>
      </c>
      <c r="M305" s="1">
        <v>1284.5899999999999</v>
      </c>
      <c r="N305" s="1">
        <v>5138.38</v>
      </c>
      <c r="O305" s="1" t="s">
        <v>64</v>
      </c>
      <c r="P305" s="1" t="s">
        <v>181</v>
      </c>
      <c r="Q305" s="1">
        <v>2</v>
      </c>
      <c r="R305" s="1">
        <f>Retail_Sales_Analyis[[#This Row],[Final_Price]]-Retail_Sales_Analyis[[#This Row],[Total_Price]]</f>
        <v>-1284.5900000000001</v>
      </c>
      <c r="S3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6" spans="1:19" x14ac:dyDescent="0.25">
      <c r="A306" s="1" t="s">
        <v>703</v>
      </c>
      <c r="B306" s="2">
        <v>45427</v>
      </c>
      <c r="C306" s="1" t="s">
        <v>42</v>
      </c>
      <c r="D306" s="1" t="s">
        <v>55</v>
      </c>
      <c r="E306" s="1" t="s">
        <v>163</v>
      </c>
      <c r="F306" s="1" t="s">
        <v>37</v>
      </c>
      <c r="G306" s="1" t="s">
        <v>78</v>
      </c>
      <c r="H306" s="1" t="s">
        <v>126</v>
      </c>
      <c r="I306" s="1">
        <v>206.91</v>
      </c>
      <c r="J306" s="1">
        <v>5</v>
      </c>
      <c r="K306" s="1">
        <v>1034.55</v>
      </c>
      <c r="L306" s="1">
        <v>0</v>
      </c>
      <c r="M306" s="1">
        <v>0</v>
      </c>
      <c r="N306" s="1">
        <v>1034.55</v>
      </c>
      <c r="O306" s="1" t="s">
        <v>64</v>
      </c>
      <c r="P306" s="1" t="s">
        <v>697</v>
      </c>
      <c r="Q306" s="1">
        <v>2</v>
      </c>
      <c r="R306" s="1">
        <f>Retail_Sales_Analyis[[#This Row],[Final_Price]]-Retail_Sales_Analyis[[#This Row],[Total_Price]]</f>
        <v>0</v>
      </c>
      <c r="S3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" spans="1:19" x14ac:dyDescent="0.25">
      <c r="A307" s="1" t="s">
        <v>704</v>
      </c>
      <c r="B307" s="2">
        <v>45524</v>
      </c>
      <c r="C307" s="1" t="s">
        <v>93</v>
      </c>
      <c r="D307" s="1" t="s">
        <v>28</v>
      </c>
      <c r="E307" s="1" t="s">
        <v>351</v>
      </c>
      <c r="F307" s="1" t="s">
        <v>37</v>
      </c>
      <c r="G307" s="1" t="s">
        <v>78</v>
      </c>
      <c r="H307" s="1" t="s">
        <v>323</v>
      </c>
      <c r="I307" s="1">
        <v>216.57</v>
      </c>
      <c r="J307" s="1">
        <v>8</v>
      </c>
      <c r="K307" s="1">
        <v>1732.56</v>
      </c>
      <c r="L307" s="1">
        <v>10</v>
      </c>
      <c r="M307" s="1">
        <v>173.26</v>
      </c>
      <c r="N307" s="1">
        <v>1559.3</v>
      </c>
      <c r="O307" s="1" t="s">
        <v>64</v>
      </c>
      <c r="P307" s="1" t="s">
        <v>705</v>
      </c>
      <c r="Q307" s="1">
        <v>5</v>
      </c>
      <c r="R307" s="1">
        <f>Retail_Sales_Analyis[[#This Row],[Final_Price]]-Retail_Sales_Analyis[[#This Row],[Total_Price]]</f>
        <v>-173.26</v>
      </c>
      <c r="S3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8" spans="1:19" x14ac:dyDescent="0.25">
      <c r="A308" s="1" t="s">
        <v>706</v>
      </c>
      <c r="B308" s="2">
        <v>45438</v>
      </c>
      <c r="C308" s="1" t="s">
        <v>42</v>
      </c>
      <c r="D308" s="1" t="s">
        <v>49</v>
      </c>
      <c r="E308" s="1" t="s">
        <v>157</v>
      </c>
      <c r="F308" s="1" t="s">
        <v>84</v>
      </c>
      <c r="G308" s="1" t="s">
        <v>112</v>
      </c>
      <c r="H308" s="1" t="s">
        <v>288</v>
      </c>
      <c r="I308" s="1">
        <v>1896.6</v>
      </c>
      <c r="J308" s="1">
        <v>3</v>
      </c>
      <c r="K308" s="1">
        <v>5689.8</v>
      </c>
      <c r="L308" s="1">
        <v>5</v>
      </c>
      <c r="M308" s="1">
        <v>284.49</v>
      </c>
      <c r="N308" s="1">
        <v>5405.31</v>
      </c>
      <c r="O308" s="1" t="s">
        <v>46</v>
      </c>
      <c r="P308" s="1" t="s">
        <v>707</v>
      </c>
      <c r="Q308" s="1">
        <v>2</v>
      </c>
      <c r="R308" s="1">
        <f>Retail_Sales_Analyis[[#This Row],[Final_Price]]-Retail_Sales_Analyis[[#This Row],[Total_Price]]</f>
        <v>-284.48999999999978</v>
      </c>
      <c r="S3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9" spans="1:19" x14ac:dyDescent="0.25">
      <c r="A309" s="1" t="s">
        <v>708</v>
      </c>
      <c r="B309" s="2">
        <v>45508</v>
      </c>
      <c r="C309" s="1" t="s">
        <v>93</v>
      </c>
      <c r="D309" s="1" t="s">
        <v>49</v>
      </c>
      <c r="E309" s="1" t="s">
        <v>196</v>
      </c>
      <c r="F309" s="1" t="s">
        <v>69</v>
      </c>
      <c r="G309" s="1" t="s">
        <v>78</v>
      </c>
      <c r="H309" s="1" t="s">
        <v>323</v>
      </c>
      <c r="I309" s="1">
        <v>363.26</v>
      </c>
      <c r="J309" s="1">
        <v>5</v>
      </c>
      <c r="K309" s="1">
        <v>1816.3</v>
      </c>
      <c r="L309" s="1">
        <v>20</v>
      </c>
      <c r="M309" s="1">
        <v>363.26</v>
      </c>
      <c r="N309" s="1">
        <v>1453.04</v>
      </c>
      <c r="O309" s="1" t="s">
        <v>80</v>
      </c>
      <c r="P309" s="1" t="s">
        <v>381</v>
      </c>
      <c r="Q309" s="1">
        <v>2</v>
      </c>
      <c r="R309" s="1">
        <f>Retail_Sales_Analyis[[#This Row],[Final_Price]]-Retail_Sales_Analyis[[#This Row],[Total_Price]]</f>
        <v>-363.26</v>
      </c>
      <c r="S3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0" spans="1:19" x14ac:dyDescent="0.25">
      <c r="A310" s="1" t="s">
        <v>709</v>
      </c>
      <c r="B310" s="2">
        <v>45648</v>
      </c>
      <c r="C310" s="1" t="s">
        <v>73</v>
      </c>
      <c r="D310" s="1" t="s">
        <v>49</v>
      </c>
      <c r="E310" s="1" t="s">
        <v>351</v>
      </c>
      <c r="F310" s="1" t="s">
        <v>37</v>
      </c>
      <c r="G310" s="1" t="s">
        <v>169</v>
      </c>
      <c r="H310" s="1" t="s">
        <v>348</v>
      </c>
      <c r="I310" s="1">
        <v>1380.21</v>
      </c>
      <c r="J310" s="1">
        <v>3</v>
      </c>
      <c r="K310" s="1">
        <v>4140.63</v>
      </c>
      <c r="L310" s="1">
        <v>15</v>
      </c>
      <c r="M310" s="1">
        <v>621.09</v>
      </c>
      <c r="N310" s="1">
        <v>3519.54</v>
      </c>
      <c r="O310" s="1" t="s">
        <v>80</v>
      </c>
      <c r="P310" s="1" t="s">
        <v>710</v>
      </c>
      <c r="Q310" s="1">
        <v>1</v>
      </c>
      <c r="R310" s="1">
        <f>Retail_Sales_Analyis[[#This Row],[Final_Price]]-Retail_Sales_Analyis[[#This Row],[Total_Price]]</f>
        <v>-621.09000000000015</v>
      </c>
      <c r="S3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1" spans="1:19" x14ac:dyDescent="0.25">
      <c r="A311" s="1" t="s">
        <v>711</v>
      </c>
      <c r="B311" s="2">
        <v>45576</v>
      </c>
      <c r="C311" s="1" t="s">
        <v>76</v>
      </c>
      <c r="D311" s="1" t="s">
        <v>144</v>
      </c>
      <c r="E311" s="1" t="s">
        <v>132</v>
      </c>
      <c r="F311" s="1" t="s">
        <v>84</v>
      </c>
      <c r="G311" s="1" t="s">
        <v>57</v>
      </c>
      <c r="H311" s="1" t="s">
        <v>58</v>
      </c>
      <c r="I311" s="1">
        <v>1200.7</v>
      </c>
      <c r="J311" s="1">
        <v>6</v>
      </c>
      <c r="K311" s="1">
        <v>7204.2</v>
      </c>
      <c r="L311" s="1">
        <v>0</v>
      </c>
      <c r="M311" s="1">
        <v>0</v>
      </c>
      <c r="N311" s="1">
        <v>7204.2</v>
      </c>
      <c r="O311" s="1" t="s">
        <v>80</v>
      </c>
      <c r="P311" s="1" t="s">
        <v>431</v>
      </c>
      <c r="Q311" s="1">
        <v>2</v>
      </c>
      <c r="R311" s="1">
        <f>Retail_Sales_Analyis[[#This Row],[Final_Price]]-Retail_Sales_Analyis[[#This Row],[Total_Price]]</f>
        <v>0</v>
      </c>
      <c r="S3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" spans="1:19" x14ac:dyDescent="0.25">
      <c r="A312" s="1" t="s">
        <v>712</v>
      </c>
      <c r="B312" s="2">
        <v>45630</v>
      </c>
      <c r="C312" s="1" t="s">
        <v>73</v>
      </c>
      <c r="D312" s="1" t="s">
        <v>55</v>
      </c>
      <c r="E312" s="1" t="s">
        <v>213</v>
      </c>
      <c r="F312" s="1" t="s">
        <v>69</v>
      </c>
      <c r="G312" s="1" t="s">
        <v>38</v>
      </c>
      <c r="H312" s="1" t="s">
        <v>214</v>
      </c>
      <c r="I312" s="1">
        <v>115.78</v>
      </c>
      <c r="J312" s="1">
        <v>9</v>
      </c>
      <c r="K312" s="1">
        <v>1042.02</v>
      </c>
      <c r="L312" s="1">
        <v>20</v>
      </c>
      <c r="M312" s="1">
        <v>208.4</v>
      </c>
      <c r="N312" s="1">
        <v>833.62</v>
      </c>
      <c r="O312" s="1" t="s">
        <v>33</v>
      </c>
      <c r="P312" s="1" t="s">
        <v>713</v>
      </c>
      <c r="Q312" s="1">
        <v>1</v>
      </c>
      <c r="R312" s="1">
        <f>Retail_Sales_Analyis[[#This Row],[Final_Price]]-Retail_Sales_Analyis[[#This Row],[Total_Price]]</f>
        <v>-208.39999999999998</v>
      </c>
      <c r="S3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3" spans="1:19" x14ac:dyDescent="0.25">
      <c r="A313" s="1" t="s">
        <v>714</v>
      </c>
      <c r="B313" s="2">
        <v>45541</v>
      </c>
      <c r="C313" s="1" t="s">
        <v>116</v>
      </c>
      <c r="D313" s="1" t="s">
        <v>144</v>
      </c>
      <c r="E313" s="1" t="s">
        <v>107</v>
      </c>
      <c r="F313" s="1" t="s">
        <v>69</v>
      </c>
      <c r="G313" s="1" t="s">
        <v>31</v>
      </c>
      <c r="H313" s="1" t="s">
        <v>63</v>
      </c>
      <c r="I313" s="1">
        <v>321.43</v>
      </c>
      <c r="J313" s="1">
        <v>9</v>
      </c>
      <c r="K313" s="1">
        <v>2892.87</v>
      </c>
      <c r="L313" s="1">
        <v>0</v>
      </c>
      <c r="M313" s="1">
        <v>0</v>
      </c>
      <c r="N313" s="1">
        <v>2892.87</v>
      </c>
      <c r="O313" s="1" t="s">
        <v>46</v>
      </c>
      <c r="P313" s="1" t="s">
        <v>219</v>
      </c>
      <c r="Q313" s="1">
        <v>4</v>
      </c>
      <c r="R313" s="1">
        <f>Retail_Sales_Analyis[[#This Row],[Final_Price]]-Retail_Sales_Analyis[[#This Row],[Total_Price]]</f>
        <v>0</v>
      </c>
      <c r="S3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4" spans="1:19" x14ac:dyDescent="0.25">
      <c r="A314" s="1" t="s">
        <v>715</v>
      </c>
      <c r="B314" s="2">
        <v>45371</v>
      </c>
      <c r="C314" s="1" t="s">
        <v>61</v>
      </c>
      <c r="D314" s="1" t="s">
        <v>55</v>
      </c>
      <c r="E314" s="1" t="s">
        <v>163</v>
      </c>
      <c r="F314" s="1" t="s">
        <v>37</v>
      </c>
      <c r="G314" s="1" t="s">
        <v>22</v>
      </c>
      <c r="H314" s="1" t="s">
        <v>277</v>
      </c>
      <c r="I314" s="1">
        <v>209.75</v>
      </c>
      <c r="J314" s="1">
        <v>6</v>
      </c>
      <c r="K314" s="1">
        <v>1258.5</v>
      </c>
      <c r="L314" s="1">
        <v>0</v>
      </c>
      <c r="M314" s="1">
        <v>0</v>
      </c>
      <c r="N314" s="1">
        <v>1258.5</v>
      </c>
      <c r="O314" s="1" t="s">
        <v>46</v>
      </c>
      <c r="P314" s="1" t="s">
        <v>716</v>
      </c>
      <c r="Q314" s="1">
        <v>4</v>
      </c>
      <c r="R314" s="1">
        <f>Retail_Sales_Analyis[[#This Row],[Final_Price]]-Retail_Sales_Analyis[[#This Row],[Total_Price]]</f>
        <v>0</v>
      </c>
      <c r="S3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5" spans="1:19" x14ac:dyDescent="0.25">
      <c r="A315" s="1" t="s">
        <v>717</v>
      </c>
      <c r="B315" s="2">
        <v>45389</v>
      </c>
      <c r="C315" s="1" t="s">
        <v>54</v>
      </c>
      <c r="D315" s="1" t="s">
        <v>49</v>
      </c>
      <c r="E315" s="1" t="s">
        <v>68</v>
      </c>
      <c r="F315" s="1" t="s">
        <v>84</v>
      </c>
      <c r="G315" s="1" t="s">
        <v>31</v>
      </c>
      <c r="H315" s="1" t="s">
        <v>32</v>
      </c>
      <c r="I315" s="1">
        <v>411.66</v>
      </c>
      <c r="J315" s="1">
        <v>5</v>
      </c>
      <c r="K315" s="1">
        <v>2058.3000000000002</v>
      </c>
      <c r="L315" s="1">
        <v>0</v>
      </c>
      <c r="M315" s="1">
        <v>0</v>
      </c>
      <c r="N315" s="1">
        <v>2058.3000000000002</v>
      </c>
      <c r="O315" s="1" t="s">
        <v>33</v>
      </c>
      <c r="P315" s="1" t="s">
        <v>718</v>
      </c>
      <c r="Q315" s="1">
        <v>4</v>
      </c>
      <c r="R315" s="1">
        <f>Retail_Sales_Analyis[[#This Row],[Final_Price]]-Retail_Sales_Analyis[[#This Row],[Total_Price]]</f>
        <v>0</v>
      </c>
      <c r="S3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" spans="1:19" x14ac:dyDescent="0.25">
      <c r="A316" s="1" t="s">
        <v>719</v>
      </c>
      <c r="B316" s="2">
        <v>45443</v>
      </c>
      <c r="C316" s="1" t="s">
        <v>42</v>
      </c>
      <c r="D316" s="1" t="s">
        <v>144</v>
      </c>
      <c r="E316" s="1" t="s">
        <v>192</v>
      </c>
      <c r="F316" s="1" t="s">
        <v>84</v>
      </c>
      <c r="G316" s="1" t="s">
        <v>169</v>
      </c>
      <c r="H316" s="1" t="s">
        <v>366</v>
      </c>
      <c r="I316" s="1">
        <v>549.34</v>
      </c>
      <c r="J316" s="1">
        <v>8</v>
      </c>
      <c r="K316" s="1">
        <v>4394.72</v>
      </c>
      <c r="L316" s="1">
        <v>20</v>
      </c>
      <c r="M316" s="1">
        <v>878.94</v>
      </c>
      <c r="N316" s="1">
        <v>3515.78</v>
      </c>
      <c r="O316" s="1" t="s">
        <v>80</v>
      </c>
      <c r="P316" s="1" t="s">
        <v>720</v>
      </c>
      <c r="Q316" s="1">
        <v>3</v>
      </c>
      <c r="R316" s="1">
        <f>Retail_Sales_Analyis[[#This Row],[Final_Price]]-Retail_Sales_Analyis[[#This Row],[Total_Price]]</f>
        <v>-878.94</v>
      </c>
      <c r="S3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7" spans="1:19" x14ac:dyDescent="0.25">
      <c r="A317" s="1" t="s">
        <v>721</v>
      </c>
      <c r="B317" s="2">
        <v>45403</v>
      </c>
      <c r="C317" s="1" t="s">
        <v>54</v>
      </c>
      <c r="D317" s="1" t="s">
        <v>49</v>
      </c>
      <c r="E317" s="1" t="s">
        <v>56</v>
      </c>
      <c r="F317" s="1" t="s">
        <v>84</v>
      </c>
      <c r="G317" s="1" t="s">
        <v>22</v>
      </c>
      <c r="H317" s="1" t="s">
        <v>133</v>
      </c>
      <c r="I317" s="1">
        <v>205.3</v>
      </c>
      <c r="J317" s="1">
        <v>5</v>
      </c>
      <c r="K317" s="1">
        <v>1026.5</v>
      </c>
      <c r="L317" s="1">
        <v>5</v>
      </c>
      <c r="M317" s="1">
        <v>51.33</v>
      </c>
      <c r="N317" s="1">
        <v>975.17</v>
      </c>
      <c r="O317" s="1" t="s">
        <v>64</v>
      </c>
      <c r="P317" s="1" t="s">
        <v>127</v>
      </c>
      <c r="Q317" s="1">
        <v>5</v>
      </c>
      <c r="R317" s="1">
        <f>Retail_Sales_Analyis[[#This Row],[Final_Price]]-Retail_Sales_Analyis[[#This Row],[Total_Price]]</f>
        <v>-51.330000000000041</v>
      </c>
      <c r="S3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8" spans="1:19" x14ac:dyDescent="0.25">
      <c r="A318" s="1" t="s">
        <v>722</v>
      </c>
      <c r="B318" s="2">
        <v>45321</v>
      </c>
      <c r="C318" s="1" t="s">
        <v>36</v>
      </c>
      <c r="D318" s="1" t="s">
        <v>28</v>
      </c>
      <c r="E318" s="1" t="s">
        <v>342</v>
      </c>
      <c r="F318" s="1" t="s">
        <v>30</v>
      </c>
      <c r="G318" s="1" t="s">
        <v>85</v>
      </c>
      <c r="H318" s="1" t="s">
        <v>98</v>
      </c>
      <c r="I318" s="1">
        <v>1744.03</v>
      </c>
      <c r="J318" s="1">
        <v>7</v>
      </c>
      <c r="K318" s="1">
        <v>12208.21</v>
      </c>
      <c r="L318" s="1">
        <v>0</v>
      </c>
      <c r="M318" s="1">
        <v>0</v>
      </c>
      <c r="N318" s="1">
        <v>12208.21</v>
      </c>
      <c r="O318" s="1" t="s">
        <v>80</v>
      </c>
      <c r="P318" s="1" t="s">
        <v>723</v>
      </c>
      <c r="Q318" s="1">
        <v>4</v>
      </c>
      <c r="R318" s="1">
        <f>Retail_Sales_Analyis[[#This Row],[Final_Price]]-Retail_Sales_Analyis[[#This Row],[Total_Price]]</f>
        <v>0</v>
      </c>
      <c r="S3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9" spans="1:19" x14ac:dyDescent="0.25">
      <c r="A319" s="1" t="s">
        <v>724</v>
      </c>
      <c r="B319" s="2">
        <v>45588</v>
      </c>
      <c r="C319" s="1" t="s">
        <v>76</v>
      </c>
      <c r="D319" s="1" t="s">
        <v>55</v>
      </c>
      <c r="E319" s="1" t="s">
        <v>107</v>
      </c>
      <c r="F319" s="1" t="s">
        <v>30</v>
      </c>
      <c r="G319" s="1" t="s">
        <v>38</v>
      </c>
      <c r="H319" s="1" t="s">
        <v>108</v>
      </c>
      <c r="I319" s="1">
        <v>491.5</v>
      </c>
      <c r="J319" s="1">
        <v>8</v>
      </c>
      <c r="K319" s="1">
        <v>3932</v>
      </c>
      <c r="L319" s="1">
        <v>0</v>
      </c>
      <c r="M319" s="1">
        <v>0</v>
      </c>
      <c r="N319" s="1">
        <v>3932</v>
      </c>
      <c r="O319" s="1" t="s">
        <v>24</v>
      </c>
      <c r="P319" s="1" t="s">
        <v>725</v>
      </c>
      <c r="Q319" s="1">
        <v>1</v>
      </c>
      <c r="R319" s="1">
        <f>Retail_Sales_Analyis[[#This Row],[Final_Price]]-Retail_Sales_Analyis[[#This Row],[Total_Price]]</f>
        <v>0</v>
      </c>
      <c r="S3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0" spans="1:19" x14ac:dyDescent="0.25">
      <c r="A320" s="1" t="s">
        <v>726</v>
      </c>
      <c r="B320" s="2">
        <v>45569</v>
      </c>
      <c r="C320" s="1" t="s">
        <v>76</v>
      </c>
      <c r="D320" s="1" t="s">
        <v>144</v>
      </c>
      <c r="E320" s="1" t="s">
        <v>168</v>
      </c>
      <c r="F320" s="1" t="s">
        <v>21</v>
      </c>
      <c r="G320" s="1" t="s">
        <v>31</v>
      </c>
      <c r="H320" s="1" t="s">
        <v>329</v>
      </c>
      <c r="I320" s="1">
        <v>344.22</v>
      </c>
      <c r="J320" s="1">
        <v>5</v>
      </c>
      <c r="K320" s="1">
        <v>1721.1</v>
      </c>
      <c r="L320" s="1">
        <v>5</v>
      </c>
      <c r="M320" s="1">
        <v>86.06</v>
      </c>
      <c r="N320" s="1">
        <v>1635.04</v>
      </c>
      <c r="O320" s="1" t="s">
        <v>64</v>
      </c>
      <c r="P320" s="1" t="s">
        <v>727</v>
      </c>
      <c r="Q320" s="1">
        <v>4</v>
      </c>
      <c r="R320" s="1">
        <f>Retail_Sales_Analyis[[#This Row],[Final_Price]]-Retail_Sales_Analyis[[#This Row],[Total_Price]]</f>
        <v>-86.059999999999945</v>
      </c>
      <c r="S3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1" spans="1:19" x14ac:dyDescent="0.25">
      <c r="A321" s="1" t="s">
        <v>728</v>
      </c>
      <c r="B321" s="2">
        <v>45323</v>
      </c>
      <c r="C321" s="1" t="s">
        <v>27</v>
      </c>
      <c r="D321" s="1" t="s">
        <v>67</v>
      </c>
      <c r="E321" s="1" t="s">
        <v>83</v>
      </c>
      <c r="F321" s="1" t="s">
        <v>84</v>
      </c>
      <c r="G321" s="1" t="s">
        <v>169</v>
      </c>
      <c r="H321" s="1" t="s">
        <v>175</v>
      </c>
      <c r="I321" s="1">
        <v>891.66</v>
      </c>
      <c r="J321" s="1">
        <v>2</v>
      </c>
      <c r="K321" s="1">
        <v>1783.32</v>
      </c>
      <c r="L321" s="1">
        <v>10</v>
      </c>
      <c r="M321" s="1">
        <v>178.33</v>
      </c>
      <c r="N321" s="1">
        <v>1604.99</v>
      </c>
      <c r="O321" s="1" t="s">
        <v>46</v>
      </c>
      <c r="P321" s="1" t="s">
        <v>729</v>
      </c>
      <c r="Q321" s="1">
        <v>5</v>
      </c>
      <c r="R321" s="1">
        <f>Retail_Sales_Analyis[[#This Row],[Final_Price]]-Retail_Sales_Analyis[[#This Row],[Total_Price]]</f>
        <v>-178.32999999999993</v>
      </c>
      <c r="S3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2" spans="1:19" x14ac:dyDescent="0.25">
      <c r="A322" s="1" t="s">
        <v>730</v>
      </c>
      <c r="B322" s="2">
        <v>45452</v>
      </c>
      <c r="C322" s="1" t="s">
        <v>173</v>
      </c>
      <c r="D322" s="1" t="s">
        <v>49</v>
      </c>
      <c r="E322" s="1" t="s">
        <v>337</v>
      </c>
      <c r="F322" s="1" t="s">
        <v>30</v>
      </c>
      <c r="G322" s="1" t="s">
        <v>38</v>
      </c>
      <c r="H322" s="1" t="s">
        <v>108</v>
      </c>
      <c r="I322" s="1">
        <v>781.98</v>
      </c>
      <c r="J322" s="1">
        <v>2</v>
      </c>
      <c r="K322" s="1">
        <v>1563.96</v>
      </c>
      <c r="L322" s="1">
        <v>0</v>
      </c>
      <c r="M322" s="1">
        <v>0</v>
      </c>
      <c r="N322" s="1">
        <v>1563.96</v>
      </c>
      <c r="O322" s="1" t="s">
        <v>80</v>
      </c>
      <c r="P322" s="1" t="s">
        <v>490</v>
      </c>
      <c r="Q322" s="1">
        <v>5</v>
      </c>
      <c r="R322" s="1">
        <f>Retail_Sales_Analyis[[#This Row],[Final_Price]]-Retail_Sales_Analyis[[#This Row],[Total_Price]]</f>
        <v>0</v>
      </c>
      <c r="S3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3" spans="1:19" x14ac:dyDescent="0.25">
      <c r="A323" s="1" t="s">
        <v>731</v>
      </c>
      <c r="B323" s="2">
        <v>45321</v>
      </c>
      <c r="C323" s="1" t="s">
        <v>36</v>
      </c>
      <c r="D323" s="1" t="s">
        <v>28</v>
      </c>
      <c r="E323" s="1" t="s">
        <v>199</v>
      </c>
      <c r="F323" s="1" t="s">
        <v>30</v>
      </c>
      <c r="G323" s="1" t="s">
        <v>112</v>
      </c>
      <c r="H323" s="1" t="s">
        <v>113</v>
      </c>
      <c r="I323" s="1">
        <v>979.52</v>
      </c>
      <c r="J323" s="1">
        <v>3</v>
      </c>
      <c r="K323" s="1">
        <v>2938.56</v>
      </c>
      <c r="L323" s="1">
        <v>0</v>
      </c>
      <c r="M323" s="1">
        <v>0</v>
      </c>
      <c r="N323" s="1">
        <v>2938.56</v>
      </c>
      <c r="O323" s="1" t="s">
        <v>64</v>
      </c>
      <c r="P323" s="1" t="s">
        <v>732</v>
      </c>
      <c r="Q323" s="1">
        <v>1</v>
      </c>
      <c r="R323" s="1">
        <f>Retail_Sales_Analyis[[#This Row],[Final_Price]]-Retail_Sales_Analyis[[#This Row],[Total_Price]]</f>
        <v>0</v>
      </c>
      <c r="S3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4" spans="1:19" x14ac:dyDescent="0.25">
      <c r="A324" s="1" t="s">
        <v>733</v>
      </c>
      <c r="B324" s="2">
        <v>45317</v>
      </c>
      <c r="C324" s="1" t="s">
        <v>36</v>
      </c>
      <c r="D324" s="1" t="s">
        <v>144</v>
      </c>
      <c r="E324" s="1" t="s">
        <v>186</v>
      </c>
      <c r="F324" s="1" t="s">
        <v>21</v>
      </c>
      <c r="G324" s="1" t="s">
        <v>78</v>
      </c>
      <c r="H324" s="1" t="s">
        <v>79</v>
      </c>
      <c r="I324" s="1">
        <v>280.44</v>
      </c>
      <c r="J324" s="1">
        <v>9</v>
      </c>
      <c r="K324" s="1">
        <v>2523.96</v>
      </c>
      <c r="L324" s="1">
        <v>15</v>
      </c>
      <c r="M324" s="1">
        <v>378.59</v>
      </c>
      <c r="N324" s="1">
        <v>2145.37</v>
      </c>
      <c r="O324" s="1" t="s">
        <v>24</v>
      </c>
      <c r="P324" s="1" t="s">
        <v>734</v>
      </c>
      <c r="Q324" s="1">
        <v>5</v>
      </c>
      <c r="R324" s="1">
        <f>Retail_Sales_Analyis[[#This Row],[Final_Price]]-Retail_Sales_Analyis[[#This Row],[Total_Price]]</f>
        <v>-378.59000000000015</v>
      </c>
      <c r="S3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5" spans="1:19" x14ac:dyDescent="0.25">
      <c r="A325" s="1" t="s">
        <v>735</v>
      </c>
      <c r="B325" s="2">
        <v>45591</v>
      </c>
      <c r="C325" s="1" t="s">
        <v>76</v>
      </c>
      <c r="D325" s="1" t="s">
        <v>19</v>
      </c>
      <c r="E325" s="1" t="s">
        <v>199</v>
      </c>
      <c r="F325" s="1" t="s">
        <v>30</v>
      </c>
      <c r="G325" s="1" t="s">
        <v>169</v>
      </c>
      <c r="H325" s="1" t="s">
        <v>170</v>
      </c>
      <c r="I325" s="1">
        <v>1203.1500000000001</v>
      </c>
      <c r="J325" s="1">
        <v>9</v>
      </c>
      <c r="K325" s="1">
        <v>10828.35</v>
      </c>
      <c r="L325" s="1">
        <v>0</v>
      </c>
      <c r="M325" s="1">
        <v>0</v>
      </c>
      <c r="N325" s="1">
        <v>10828.35</v>
      </c>
      <c r="O325" s="1" t="s">
        <v>46</v>
      </c>
      <c r="P325" s="1" t="s">
        <v>246</v>
      </c>
      <c r="Q325" s="1">
        <v>3</v>
      </c>
      <c r="R325" s="1">
        <f>Retail_Sales_Analyis[[#This Row],[Final_Price]]-Retail_Sales_Analyis[[#This Row],[Total_Price]]</f>
        <v>0</v>
      </c>
      <c r="S3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6" spans="1:19" x14ac:dyDescent="0.25">
      <c r="A326" s="1" t="s">
        <v>736</v>
      </c>
      <c r="B326" s="2">
        <v>45536</v>
      </c>
      <c r="C326" s="1" t="s">
        <v>116</v>
      </c>
      <c r="D326" s="1" t="s">
        <v>49</v>
      </c>
      <c r="E326" s="1" t="s">
        <v>261</v>
      </c>
      <c r="F326" s="1" t="s">
        <v>30</v>
      </c>
      <c r="G326" s="1" t="s">
        <v>78</v>
      </c>
      <c r="H326" s="1" t="s">
        <v>146</v>
      </c>
      <c r="I326" s="1">
        <v>155.80000000000001</v>
      </c>
      <c r="J326" s="1">
        <v>9</v>
      </c>
      <c r="K326" s="1">
        <v>1402.2</v>
      </c>
      <c r="L326" s="1">
        <v>0</v>
      </c>
      <c r="M326" s="1">
        <v>0</v>
      </c>
      <c r="N326" s="1">
        <v>1402.2</v>
      </c>
      <c r="O326" s="1" t="s">
        <v>46</v>
      </c>
      <c r="P326" s="1" t="s">
        <v>737</v>
      </c>
      <c r="Q326" s="1">
        <v>4</v>
      </c>
      <c r="R326" s="1">
        <f>Retail_Sales_Analyis[[#This Row],[Final_Price]]-Retail_Sales_Analyis[[#This Row],[Total_Price]]</f>
        <v>0</v>
      </c>
      <c r="S3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" spans="1:19" x14ac:dyDescent="0.25">
      <c r="A327" s="1" t="s">
        <v>738</v>
      </c>
      <c r="B327" s="2">
        <v>45549</v>
      </c>
      <c r="C327" s="1" t="s">
        <v>116</v>
      </c>
      <c r="D327" s="1" t="s">
        <v>19</v>
      </c>
      <c r="E327" s="1" t="s">
        <v>50</v>
      </c>
      <c r="F327" s="1" t="s">
        <v>84</v>
      </c>
      <c r="G327" s="1" t="s">
        <v>85</v>
      </c>
      <c r="H327" s="1" t="s">
        <v>297</v>
      </c>
      <c r="I327" s="1">
        <v>1871.5</v>
      </c>
      <c r="J327" s="1">
        <v>9</v>
      </c>
      <c r="K327" s="1">
        <v>16843.5</v>
      </c>
      <c r="L327" s="1">
        <v>0</v>
      </c>
      <c r="M327" s="1">
        <v>0</v>
      </c>
      <c r="N327" s="1">
        <v>16843.5</v>
      </c>
      <c r="O327" s="1" t="s">
        <v>64</v>
      </c>
      <c r="P327" s="1" t="s">
        <v>739</v>
      </c>
      <c r="Q327" s="1">
        <v>5</v>
      </c>
      <c r="R327" s="1">
        <f>Retail_Sales_Analyis[[#This Row],[Final_Price]]-Retail_Sales_Analyis[[#This Row],[Total_Price]]</f>
        <v>0</v>
      </c>
      <c r="S3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8" spans="1:19" x14ac:dyDescent="0.25">
      <c r="A328" s="1" t="s">
        <v>740</v>
      </c>
      <c r="B328" s="2">
        <v>45563</v>
      </c>
      <c r="C328" s="1" t="s">
        <v>116</v>
      </c>
      <c r="D328" s="1" t="s">
        <v>19</v>
      </c>
      <c r="E328" s="1" t="s">
        <v>83</v>
      </c>
      <c r="F328" s="1" t="s">
        <v>30</v>
      </c>
      <c r="G328" s="1" t="s">
        <v>169</v>
      </c>
      <c r="H328" s="1" t="s">
        <v>348</v>
      </c>
      <c r="I328" s="1">
        <v>852.59</v>
      </c>
      <c r="J328" s="1">
        <v>2</v>
      </c>
      <c r="K328" s="1">
        <v>1705.18</v>
      </c>
      <c r="L328" s="1">
        <v>0</v>
      </c>
      <c r="M328" s="1">
        <v>0</v>
      </c>
      <c r="N328" s="1">
        <v>1705.18</v>
      </c>
      <c r="O328" s="1" t="s">
        <v>64</v>
      </c>
      <c r="P328" s="1" t="s">
        <v>741</v>
      </c>
      <c r="Q328" s="1">
        <v>1</v>
      </c>
      <c r="R328" s="1">
        <f>Retail_Sales_Analyis[[#This Row],[Final_Price]]-Retail_Sales_Analyis[[#This Row],[Total_Price]]</f>
        <v>0</v>
      </c>
      <c r="S3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9" spans="1:19" x14ac:dyDescent="0.25">
      <c r="A329" s="1" t="s">
        <v>742</v>
      </c>
      <c r="B329" s="2">
        <v>45372</v>
      </c>
      <c r="C329" s="1" t="s">
        <v>61</v>
      </c>
      <c r="D329" s="1" t="s">
        <v>67</v>
      </c>
      <c r="E329" s="1" t="s">
        <v>97</v>
      </c>
      <c r="F329" s="1" t="s">
        <v>30</v>
      </c>
      <c r="G329" s="1" t="s">
        <v>78</v>
      </c>
      <c r="H329" s="1" t="s">
        <v>146</v>
      </c>
      <c r="I329" s="1">
        <v>517.66999999999996</v>
      </c>
      <c r="J329" s="1">
        <v>10</v>
      </c>
      <c r="K329" s="1">
        <v>5176.7</v>
      </c>
      <c r="L329" s="1">
        <v>10</v>
      </c>
      <c r="M329" s="1">
        <v>517.66999999999996</v>
      </c>
      <c r="N329" s="1">
        <v>4659.03</v>
      </c>
      <c r="O329" s="1" t="s">
        <v>46</v>
      </c>
      <c r="P329" s="1" t="s">
        <v>727</v>
      </c>
      <c r="Q329" s="1">
        <v>2</v>
      </c>
      <c r="R329" s="1">
        <f>Retail_Sales_Analyis[[#This Row],[Final_Price]]-Retail_Sales_Analyis[[#This Row],[Total_Price]]</f>
        <v>-517.67000000000007</v>
      </c>
      <c r="S3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" spans="1:19" x14ac:dyDescent="0.25">
      <c r="A330" s="1" t="s">
        <v>743</v>
      </c>
      <c r="B330" s="2">
        <v>45321</v>
      </c>
      <c r="C330" s="1" t="s">
        <v>36</v>
      </c>
      <c r="D330" s="1" t="s">
        <v>28</v>
      </c>
      <c r="E330" s="1" t="s">
        <v>68</v>
      </c>
      <c r="F330" s="1" t="s">
        <v>21</v>
      </c>
      <c r="G330" s="1" t="s">
        <v>169</v>
      </c>
      <c r="H330" s="1" t="s">
        <v>366</v>
      </c>
      <c r="I330" s="1">
        <v>454.46</v>
      </c>
      <c r="J330" s="1">
        <v>3</v>
      </c>
      <c r="K330" s="1">
        <v>1363.38</v>
      </c>
      <c r="L330" s="1">
        <v>15</v>
      </c>
      <c r="M330" s="1">
        <v>204.51</v>
      </c>
      <c r="N330" s="1">
        <v>1158.8699999999999</v>
      </c>
      <c r="O330" s="1" t="s">
        <v>64</v>
      </c>
      <c r="P330" s="1" t="s">
        <v>611</v>
      </c>
      <c r="Q330" s="1">
        <v>3</v>
      </c>
      <c r="R330" s="1">
        <f>Retail_Sales_Analyis[[#This Row],[Final_Price]]-Retail_Sales_Analyis[[#This Row],[Total_Price]]</f>
        <v>-204.51000000000022</v>
      </c>
      <c r="S3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1" spans="1:19" x14ac:dyDescent="0.25">
      <c r="A331" s="1" t="s">
        <v>744</v>
      </c>
      <c r="B331" s="2">
        <v>45552</v>
      </c>
      <c r="C331" s="1" t="s">
        <v>116</v>
      </c>
      <c r="D331" s="1" t="s">
        <v>28</v>
      </c>
      <c r="E331" s="1" t="s">
        <v>174</v>
      </c>
      <c r="F331" s="1" t="s">
        <v>69</v>
      </c>
      <c r="G331" s="1" t="s">
        <v>169</v>
      </c>
      <c r="H331" s="1" t="s">
        <v>348</v>
      </c>
      <c r="I331" s="1">
        <v>1128.98</v>
      </c>
      <c r="J331" s="1">
        <v>2</v>
      </c>
      <c r="K331" s="1">
        <v>2257.96</v>
      </c>
      <c r="L331" s="1">
        <v>0</v>
      </c>
      <c r="M331" s="1">
        <v>0</v>
      </c>
      <c r="N331" s="1">
        <v>2257.96</v>
      </c>
      <c r="O331" s="1" t="s">
        <v>24</v>
      </c>
      <c r="P331" s="1" t="s">
        <v>745</v>
      </c>
      <c r="Q331" s="1">
        <v>4</v>
      </c>
      <c r="R331" s="1">
        <f>Retail_Sales_Analyis[[#This Row],[Final_Price]]-Retail_Sales_Analyis[[#This Row],[Total_Price]]</f>
        <v>0</v>
      </c>
      <c r="S3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2" spans="1:19" x14ac:dyDescent="0.25">
      <c r="A332" s="1" t="s">
        <v>746</v>
      </c>
      <c r="B332" s="2">
        <v>45333</v>
      </c>
      <c r="C332" s="1" t="s">
        <v>27</v>
      </c>
      <c r="D332" s="1" t="s">
        <v>49</v>
      </c>
      <c r="E332" s="1" t="s">
        <v>322</v>
      </c>
      <c r="F332" s="1" t="s">
        <v>30</v>
      </c>
      <c r="G332" s="1" t="s">
        <v>57</v>
      </c>
      <c r="H332" s="1" t="s">
        <v>152</v>
      </c>
      <c r="I332" s="1">
        <v>291.82</v>
      </c>
      <c r="J332" s="1">
        <v>9</v>
      </c>
      <c r="K332" s="1">
        <v>2626.38</v>
      </c>
      <c r="L332" s="1">
        <v>10</v>
      </c>
      <c r="M332" s="1">
        <v>262.64</v>
      </c>
      <c r="N332" s="1">
        <v>2363.7399999999998</v>
      </c>
      <c r="O332" s="1" t="s">
        <v>24</v>
      </c>
      <c r="P332" s="1" t="s">
        <v>449</v>
      </c>
      <c r="Q332" s="1">
        <v>4</v>
      </c>
      <c r="R332" s="1">
        <f>Retail_Sales_Analyis[[#This Row],[Final_Price]]-Retail_Sales_Analyis[[#This Row],[Total_Price]]</f>
        <v>-262.64000000000033</v>
      </c>
      <c r="S3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3" spans="1:19" x14ac:dyDescent="0.25">
      <c r="A333" s="1" t="s">
        <v>747</v>
      </c>
      <c r="B333" s="2">
        <v>45387</v>
      </c>
      <c r="C333" s="1" t="s">
        <v>54</v>
      </c>
      <c r="D333" s="1" t="s">
        <v>144</v>
      </c>
      <c r="E333" s="1" t="s">
        <v>145</v>
      </c>
      <c r="F333" s="1" t="s">
        <v>84</v>
      </c>
      <c r="G333" s="1" t="s">
        <v>169</v>
      </c>
      <c r="H333" s="1" t="s">
        <v>175</v>
      </c>
      <c r="I333" s="1">
        <v>1101.0999999999999</v>
      </c>
      <c r="J333" s="1">
        <v>2</v>
      </c>
      <c r="K333" s="1">
        <v>2202.1999999999998</v>
      </c>
      <c r="L333" s="1">
        <v>20</v>
      </c>
      <c r="M333" s="1">
        <v>440.44</v>
      </c>
      <c r="N333" s="1">
        <v>1761.76</v>
      </c>
      <c r="O333" s="1" t="s">
        <v>24</v>
      </c>
      <c r="P333" s="1" t="s">
        <v>748</v>
      </c>
      <c r="Q333" s="1">
        <v>5</v>
      </c>
      <c r="R333" s="1">
        <f>Retail_Sales_Analyis[[#This Row],[Final_Price]]-Retail_Sales_Analyis[[#This Row],[Total_Price]]</f>
        <v>-440.43999999999983</v>
      </c>
      <c r="S3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4" spans="1:19" x14ac:dyDescent="0.25">
      <c r="A334" s="1" t="s">
        <v>749</v>
      </c>
      <c r="B334" s="2">
        <v>45327</v>
      </c>
      <c r="C334" s="1" t="s">
        <v>27</v>
      </c>
      <c r="D334" s="1" t="s">
        <v>43</v>
      </c>
      <c r="E334" s="1" t="s">
        <v>132</v>
      </c>
      <c r="F334" s="1" t="s">
        <v>30</v>
      </c>
      <c r="G334" s="1" t="s">
        <v>57</v>
      </c>
      <c r="H334" s="1" t="s">
        <v>101</v>
      </c>
      <c r="I334" s="1">
        <v>2077.6799999999998</v>
      </c>
      <c r="J334" s="1">
        <v>1</v>
      </c>
      <c r="K334" s="1">
        <v>2077.6799999999998</v>
      </c>
      <c r="L334" s="1">
        <v>0</v>
      </c>
      <c r="M334" s="1">
        <v>0</v>
      </c>
      <c r="N334" s="1">
        <v>2077.6799999999998</v>
      </c>
      <c r="O334" s="1" t="s">
        <v>64</v>
      </c>
      <c r="P334" s="1" t="s">
        <v>750</v>
      </c>
      <c r="Q334" s="1">
        <v>3</v>
      </c>
      <c r="R334" s="1">
        <f>Retail_Sales_Analyis[[#This Row],[Final_Price]]-Retail_Sales_Analyis[[#This Row],[Total_Price]]</f>
        <v>0</v>
      </c>
      <c r="S3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" spans="1:19" x14ac:dyDescent="0.25">
      <c r="A335" s="1" t="s">
        <v>751</v>
      </c>
      <c r="B335" s="2">
        <v>45596</v>
      </c>
      <c r="C335" s="1" t="s">
        <v>76</v>
      </c>
      <c r="D335" s="1" t="s">
        <v>67</v>
      </c>
      <c r="E335" s="1" t="s">
        <v>192</v>
      </c>
      <c r="F335" s="1" t="s">
        <v>37</v>
      </c>
      <c r="G335" s="1" t="s">
        <v>85</v>
      </c>
      <c r="H335" s="1" t="s">
        <v>90</v>
      </c>
      <c r="I335" s="1">
        <v>4123.21</v>
      </c>
      <c r="J335" s="1">
        <v>10</v>
      </c>
      <c r="K335" s="1">
        <v>41232.1</v>
      </c>
      <c r="L335" s="1">
        <v>0</v>
      </c>
      <c r="M335" s="1">
        <v>0</v>
      </c>
      <c r="N335" s="1">
        <v>41232.1</v>
      </c>
      <c r="O335" s="1" t="s">
        <v>80</v>
      </c>
      <c r="P335" s="1" t="s">
        <v>752</v>
      </c>
      <c r="Q335" s="1">
        <v>5</v>
      </c>
      <c r="R335" s="1">
        <f>Retail_Sales_Analyis[[#This Row],[Final_Price]]-Retail_Sales_Analyis[[#This Row],[Total_Price]]</f>
        <v>0</v>
      </c>
      <c r="S3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" spans="1:19" x14ac:dyDescent="0.25">
      <c r="A336" s="1" t="s">
        <v>753</v>
      </c>
      <c r="B336" s="2">
        <v>45326</v>
      </c>
      <c r="C336" s="1" t="s">
        <v>27</v>
      </c>
      <c r="D336" s="1" t="s">
        <v>49</v>
      </c>
      <c r="E336" s="1" t="s">
        <v>157</v>
      </c>
      <c r="F336" s="1" t="s">
        <v>37</v>
      </c>
      <c r="G336" s="1" t="s">
        <v>112</v>
      </c>
      <c r="H336" s="1" t="s">
        <v>183</v>
      </c>
      <c r="I336" s="1">
        <v>825.5</v>
      </c>
      <c r="J336" s="1">
        <v>4</v>
      </c>
      <c r="K336" s="1">
        <v>3302</v>
      </c>
      <c r="L336" s="1">
        <v>0</v>
      </c>
      <c r="M336" s="1">
        <v>0</v>
      </c>
      <c r="N336" s="1">
        <v>3302</v>
      </c>
      <c r="O336" s="1" t="s">
        <v>64</v>
      </c>
      <c r="P336" s="1" t="s">
        <v>754</v>
      </c>
      <c r="Q336" s="1">
        <v>5</v>
      </c>
      <c r="R336" s="1">
        <f>Retail_Sales_Analyis[[#This Row],[Final_Price]]-Retail_Sales_Analyis[[#This Row],[Total_Price]]</f>
        <v>0</v>
      </c>
      <c r="S3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" spans="1:19" x14ac:dyDescent="0.25">
      <c r="A337" s="1" t="s">
        <v>755</v>
      </c>
      <c r="B337" s="2">
        <v>45637</v>
      </c>
      <c r="C337" s="1" t="s">
        <v>73</v>
      </c>
      <c r="D337" s="1" t="s">
        <v>55</v>
      </c>
      <c r="E337" s="1" t="s">
        <v>312</v>
      </c>
      <c r="F337" s="1" t="s">
        <v>37</v>
      </c>
      <c r="G337" s="1" t="s">
        <v>57</v>
      </c>
      <c r="H337" s="1" t="s">
        <v>122</v>
      </c>
      <c r="I337" s="1">
        <v>2583.63</v>
      </c>
      <c r="J337" s="1">
        <v>8</v>
      </c>
      <c r="K337" s="1">
        <v>20669.04</v>
      </c>
      <c r="L337" s="1">
        <v>0</v>
      </c>
      <c r="M337" s="1">
        <v>0</v>
      </c>
      <c r="N337" s="1">
        <v>20669.04</v>
      </c>
      <c r="O337" s="1" t="s">
        <v>80</v>
      </c>
      <c r="P337" s="1" t="s">
        <v>188</v>
      </c>
      <c r="Q337" s="1">
        <v>2</v>
      </c>
      <c r="R337" s="1">
        <f>Retail_Sales_Analyis[[#This Row],[Final_Price]]-Retail_Sales_Analyis[[#This Row],[Total_Price]]</f>
        <v>0</v>
      </c>
      <c r="S3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" spans="1:19" x14ac:dyDescent="0.25">
      <c r="A338" s="1" t="s">
        <v>756</v>
      </c>
      <c r="B338" s="2">
        <v>45412</v>
      </c>
      <c r="C338" s="1" t="s">
        <v>54</v>
      </c>
      <c r="D338" s="1" t="s">
        <v>28</v>
      </c>
      <c r="E338" s="1" t="s">
        <v>174</v>
      </c>
      <c r="F338" s="1" t="s">
        <v>30</v>
      </c>
      <c r="G338" s="1" t="s">
        <v>78</v>
      </c>
      <c r="H338" s="1" t="s">
        <v>136</v>
      </c>
      <c r="I338" s="1">
        <v>340.84</v>
      </c>
      <c r="J338" s="1">
        <v>9</v>
      </c>
      <c r="K338" s="1">
        <v>3067.56</v>
      </c>
      <c r="L338" s="1">
        <v>0</v>
      </c>
      <c r="M338" s="1">
        <v>0</v>
      </c>
      <c r="N338" s="1">
        <v>3067.56</v>
      </c>
      <c r="O338" s="1" t="s">
        <v>33</v>
      </c>
      <c r="P338" s="1" t="s">
        <v>757</v>
      </c>
      <c r="Q338" s="1">
        <v>1</v>
      </c>
      <c r="R338" s="1">
        <f>Retail_Sales_Analyis[[#This Row],[Final_Price]]-Retail_Sales_Analyis[[#This Row],[Total_Price]]</f>
        <v>0</v>
      </c>
      <c r="S3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9" spans="1:19" x14ac:dyDescent="0.25">
      <c r="A339" s="1" t="s">
        <v>758</v>
      </c>
      <c r="B339" s="2">
        <v>45498</v>
      </c>
      <c r="C339" s="1" t="s">
        <v>195</v>
      </c>
      <c r="D339" s="1" t="s">
        <v>67</v>
      </c>
      <c r="E339" s="1" t="s">
        <v>163</v>
      </c>
      <c r="F339" s="1" t="s">
        <v>37</v>
      </c>
      <c r="G339" s="1" t="s">
        <v>31</v>
      </c>
      <c r="H339" s="1" t="s">
        <v>329</v>
      </c>
      <c r="I339" s="1">
        <v>283.88</v>
      </c>
      <c r="J339" s="1">
        <v>8</v>
      </c>
      <c r="K339" s="1">
        <v>2271.04</v>
      </c>
      <c r="L339" s="1">
        <v>20</v>
      </c>
      <c r="M339" s="1">
        <v>454.21</v>
      </c>
      <c r="N339" s="1">
        <v>1816.83</v>
      </c>
      <c r="O339" s="1" t="s">
        <v>46</v>
      </c>
      <c r="P339" s="1" t="s">
        <v>759</v>
      </c>
      <c r="Q339" s="1">
        <v>3</v>
      </c>
      <c r="R339" s="1">
        <f>Retail_Sales_Analyis[[#This Row],[Final_Price]]-Retail_Sales_Analyis[[#This Row],[Total_Price]]</f>
        <v>-454.21000000000004</v>
      </c>
      <c r="S3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0" spans="1:19" x14ac:dyDescent="0.25">
      <c r="A340" s="1" t="s">
        <v>760</v>
      </c>
      <c r="B340" s="2">
        <v>45353</v>
      </c>
      <c r="C340" s="1" t="s">
        <v>61</v>
      </c>
      <c r="D340" s="1" t="s">
        <v>19</v>
      </c>
      <c r="E340" s="1" t="s">
        <v>285</v>
      </c>
      <c r="F340" s="1" t="s">
        <v>69</v>
      </c>
      <c r="G340" s="1" t="s">
        <v>78</v>
      </c>
      <c r="H340" s="1" t="s">
        <v>136</v>
      </c>
      <c r="I340" s="1">
        <v>202.08</v>
      </c>
      <c r="J340" s="1">
        <v>5</v>
      </c>
      <c r="K340" s="1">
        <v>1010.4</v>
      </c>
      <c r="L340" s="1">
        <v>5</v>
      </c>
      <c r="M340" s="1">
        <v>50.52</v>
      </c>
      <c r="N340" s="1">
        <v>959.88</v>
      </c>
      <c r="O340" s="1" t="s">
        <v>80</v>
      </c>
      <c r="P340" s="1" t="s">
        <v>761</v>
      </c>
      <c r="Q340" s="1">
        <v>3</v>
      </c>
      <c r="R340" s="1">
        <f>Retail_Sales_Analyis[[#This Row],[Final_Price]]-Retail_Sales_Analyis[[#This Row],[Total_Price]]</f>
        <v>-50.519999999999982</v>
      </c>
      <c r="S34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1" spans="1:19" x14ac:dyDescent="0.25">
      <c r="A341" s="1" t="s">
        <v>762</v>
      </c>
      <c r="B341" s="2">
        <v>45583</v>
      </c>
      <c r="C341" s="1" t="s">
        <v>76</v>
      </c>
      <c r="D341" s="1" t="s">
        <v>144</v>
      </c>
      <c r="E341" s="1" t="s">
        <v>285</v>
      </c>
      <c r="F341" s="1" t="s">
        <v>30</v>
      </c>
      <c r="G341" s="1" t="s">
        <v>22</v>
      </c>
      <c r="H341" s="1" t="s">
        <v>277</v>
      </c>
      <c r="I341" s="1">
        <v>987.97</v>
      </c>
      <c r="J341" s="1">
        <v>7</v>
      </c>
      <c r="K341" s="1">
        <v>6915.79</v>
      </c>
      <c r="L341" s="1">
        <v>0</v>
      </c>
      <c r="M341" s="1">
        <v>0</v>
      </c>
      <c r="N341" s="1">
        <v>6915.79</v>
      </c>
      <c r="O341" s="1" t="s">
        <v>24</v>
      </c>
      <c r="P341" s="1" t="s">
        <v>763</v>
      </c>
      <c r="Q341" s="1">
        <v>4</v>
      </c>
      <c r="R341" s="1">
        <f>Retail_Sales_Analyis[[#This Row],[Final_Price]]-Retail_Sales_Analyis[[#This Row],[Total_Price]]</f>
        <v>0</v>
      </c>
      <c r="S3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2" spans="1:19" x14ac:dyDescent="0.25">
      <c r="A342" s="1" t="s">
        <v>764</v>
      </c>
      <c r="B342" s="2">
        <v>45418</v>
      </c>
      <c r="C342" s="1" t="s">
        <v>42</v>
      </c>
      <c r="D342" s="1" t="s">
        <v>43</v>
      </c>
      <c r="E342" s="1" t="s">
        <v>322</v>
      </c>
      <c r="F342" s="1" t="s">
        <v>21</v>
      </c>
      <c r="G342" s="1" t="s">
        <v>112</v>
      </c>
      <c r="H342" s="1" t="s">
        <v>288</v>
      </c>
      <c r="I342" s="1">
        <v>1508.14</v>
      </c>
      <c r="J342" s="1">
        <v>7</v>
      </c>
      <c r="K342" s="1">
        <v>10556.98</v>
      </c>
      <c r="L342" s="1">
        <v>5</v>
      </c>
      <c r="M342" s="1">
        <v>527.85</v>
      </c>
      <c r="N342" s="1">
        <v>10029.129999999999</v>
      </c>
      <c r="O342" s="1" t="s">
        <v>80</v>
      </c>
      <c r="P342" s="1" t="s">
        <v>765</v>
      </c>
      <c r="Q342" s="1">
        <v>1</v>
      </c>
      <c r="R342" s="1">
        <f>Retail_Sales_Analyis[[#This Row],[Final_Price]]-Retail_Sales_Analyis[[#This Row],[Total_Price]]</f>
        <v>-527.85000000000036</v>
      </c>
      <c r="S3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3" spans="1:19" x14ac:dyDescent="0.25">
      <c r="A343" s="1" t="s">
        <v>766</v>
      </c>
      <c r="B343" s="2">
        <v>45588</v>
      </c>
      <c r="C343" s="1" t="s">
        <v>76</v>
      </c>
      <c r="D343" s="1" t="s">
        <v>55</v>
      </c>
      <c r="E343" s="1" t="s">
        <v>62</v>
      </c>
      <c r="F343" s="1" t="s">
        <v>21</v>
      </c>
      <c r="G343" s="1" t="s">
        <v>22</v>
      </c>
      <c r="H343" s="1" t="s">
        <v>187</v>
      </c>
      <c r="I343" s="1">
        <v>982.06</v>
      </c>
      <c r="J343" s="1">
        <v>3</v>
      </c>
      <c r="K343" s="1">
        <v>2946.18</v>
      </c>
      <c r="L343" s="1">
        <v>0</v>
      </c>
      <c r="M343" s="1">
        <v>0</v>
      </c>
      <c r="N343" s="1">
        <v>2946.18</v>
      </c>
      <c r="O343" s="1" t="s">
        <v>46</v>
      </c>
      <c r="P343" s="1" t="s">
        <v>767</v>
      </c>
      <c r="Q343" s="1">
        <v>2</v>
      </c>
      <c r="R343" s="1">
        <f>Retail_Sales_Analyis[[#This Row],[Final_Price]]-Retail_Sales_Analyis[[#This Row],[Total_Price]]</f>
        <v>0</v>
      </c>
      <c r="S3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4" spans="1:19" x14ac:dyDescent="0.25">
      <c r="A344" s="1" t="s">
        <v>768</v>
      </c>
      <c r="B344" s="2">
        <v>45596</v>
      </c>
      <c r="C344" s="1" t="s">
        <v>76</v>
      </c>
      <c r="D344" s="1" t="s">
        <v>67</v>
      </c>
      <c r="E344" s="1" t="s">
        <v>174</v>
      </c>
      <c r="F344" s="1" t="s">
        <v>84</v>
      </c>
      <c r="G344" s="1" t="s">
        <v>22</v>
      </c>
      <c r="H344" s="1" t="s">
        <v>133</v>
      </c>
      <c r="I344" s="1">
        <v>386.3</v>
      </c>
      <c r="J344" s="1">
        <v>7</v>
      </c>
      <c r="K344" s="1">
        <v>2704.1</v>
      </c>
      <c r="L344" s="1">
        <v>15</v>
      </c>
      <c r="M344" s="1">
        <v>405.61</v>
      </c>
      <c r="N344" s="1">
        <v>2298.4899999999998</v>
      </c>
      <c r="O344" s="1" t="s">
        <v>33</v>
      </c>
      <c r="P344" s="1" t="s">
        <v>641</v>
      </c>
      <c r="Q344" s="1">
        <v>3</v>
      </c>
      <c r="R344" s="1">
        <f>Retail_Sales_Analyis[[#This Row],[Final_Price]]-Retail_Sales_Analyis[[#This Row],[Total_Price]]</f>
        <v>-405.61000000000013</v>
      </c>
      <c r="S3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5" spans="1:19" x14ac:dyDescent="0.25">
      <c r="A345" s="1" t="s">
        <v>769</v>
      </c>
      <c r="B345" s="2">
        <v>45312</v>
      </c>
      <c r="C345" s="1" t="s">
        <v>36</v>
      </c>
      <c r="D345" s="1" t="s">
        <v>49</v>
      </c>
      <c r="E345" s="1" t="s">
        <v>199</v>
      </c>
      <c r="F345" s="1" t="s">
        <v>21</v>
      </c>
      <c r="G345" s="1" t="s">
        <v>38</v>
      </c>
      <c r="H345" s="1" t="s">
        <v>108</v>
      </c>
      <c r="I345" s="1">
        <v>349.27</v>
      </c>
      <c r="J345" s="1">
        <v>10</v>
      </c>
      <c r="K345" s="1">
        <v>3492.7</v>
      </c>
      <c r="L345" s="1">
        <v>5</v>
      </c>
      <c r="M345" s="1">
        <v>174.63</v>
      </c>
      <c r="N345" s="1">
        <v>3318.07</v>
      </c>
      <c r="O345" s="1" t="s">
        <v>33</v>
      </c>
      <c r="P345" s="1" t="s">
        <v>770</v>
      </c>
      <c r="Q345" s="1">
        <v>5</v>
      </c>
      <c r="R345" s="1">
        <f>Retail_Sales_Analyis[[#This Row],[Final_Price]]-Retail_Sales_Analyis[[#This Row],[Total_Price]]</f>
        <v>-174.62999999999965</v>
      </c>
      <c r="S34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6" spans="1:19" x14ac:dyDescent="0.25">
      <c r="A346" s="1" t="s">
        <v>771</v>
      </c>
      <c r="B346" s="2">
        <v>45609</v>
      </c>
      <c r="C346" s="1" t="s">
        <v>18</v>
      </c>
      <c r="D346" s="1" t="s">
        <v>55</v>
      </c>
      <c r="E346" s="1" t="s">
        <v>337</v>
      </c>
      <c r="F346" s="1" t="s">
        <v>37</v>
      </c>
      <c r="G346" s="1" t="s">
        <v>31</v>
      </c>
      <c r="H346" s="1" t="s">
        <v>329</v>
      </c>
      <c r="I346" s="1">
        <v>104.99</v>
      </c>
      <c r="J346" s="1">
        <v>8</v>
      </c>
      <c r="K346" s="1">
        <v>839.92</v>
      </c>
      <c r="L346" s="1">
        <v>5</v>
      </c>
      <c r="M346" s="1">
        <v>42</v>
      </c>
      <c r="N346" s="1">
        <v>797.92</v>
      </c>
      <c r="O346" s="1" t="s">
        <v>64</v>
      </c>
      <c r="P346" s="1" t="s">
        <v>340</v>
      </c>
      <c r="Q346" s="1">
        <v>2</v>
      </c>
      <c r="R346" s="1">
        <f>Retail_Sales_Analyis[[#This Row],[Final_Price]]-Retail_Sales_Analyis[[#This Row],[Total_Price]]</f>
        <v>-42</v>
      </c>
      <c r="S3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7" spans="1:19" x14ac:dyDescent="0.25">
      <c r="A347" s="1" t="s">
        <v>772</v>
      </c>
      <c r="B347" s="2">
        <v>45333</v>
      </c>
      <c r="C347" s="1" t="s">
        <v>27</v>
      </c>
      <c r="D347" s="1" t="s">
        <v>49</v>
      </c>
      <c r="E347" s="1" t="s">
        <v>285</v>
      </c>
      <c r="F347" s="1" t="s">
        <v>30</v>
      </c>
      <c r="G347" s="1" t="s">
        <v>112</v>
      </c>
      <c r="H347" s="1" t="s">
        <v>223</v>
      </c>
      <c r="I347" s="1">
        <v>1247.2</v>
      </c>
      <c r="J347" s="1">
        <v>1</v>
      </c>
      <c r="K347" s="1">
        <v>1247.2</v>
      </c>
      <c r="L347" s="1">
        <v>0</v>
      </c>
      <c r="M347" s="1">
        <v>0</v>
      </c>
      <c r="N347" s="1">
        <v>1247.2</v>
      </c>
      <c r="O347" s="1" t="s">
        <v>33</v>
      </c>
      <c r="P347" s="1" t="s">
        <v>773</v>
      </c>
      <c r="Q347" s="1">
        <v>5</v>
      </c>
      <c r="R347" s="1">
        <f>Retail_Sales_Analyis[[#This Row],[Final_Price]]-Retail_Sales_Analyis[[#This Row],[Total_Price]]</f>
        <v>0</v>
      </c>
      <c r="S3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" spans="1:19" x14ac:dyDescent="0.25">
      <c r="A348" s="1" t="s">
        <v>774</v>
      </c>
      <c r="B348" s="2">
        <v>45506</v>
      </c>
      <c r="C348" s="1" t="s">
        <v>93</v>
      </c>
      <c r="D348" s="1" t="s">
        <v>144</v>
      </c>
      <c r="E348" s="1" t="s">
        <v>56</v>
      </c>
      <c r="F348" s="1" t="s">
        <v>21</v>
      </c>
      <c r="G348" s="1" t="s">
        <v>38</v>
      </c>
      <c r="H348" s="1" t="s">
        <v>70</v>
      </c>
      <c r="I348" s="1">
        <v>536.26</v>
      </c>
      <c r="J348" s="1">
        <v>2</v>
      </c>
      <c r="K348" s="1">
        <v>1072.52</v>
      </c>
      <c r="L348" s="1">
        <v>15</v>
      </c>
      <c r="M348" s="1">
        <v>160.88</v>
      </c>
      <c r="N348" s="1">
        <v>911.64</v>
      </c>
      <c r="O348" s="1" t="s">
        <v>80</v>
      </c>
      <c r="P348" s="1" t="s">
        <v>775</v>
      </c>
      <c r="Q348" s="1">
        <v>4</v>
      </c>
      <c r="R348" s="1">
        <f>Retail_Sales_Analyis[[#This Row],[Final_Price]]-Retail_Sales_Analyis[[#This Row],[Total_Price]]</f>
        <v>-160.88</v>
      </c>
      <c r="S3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9" spans="1:19" x14ac:dyDescent="0.25">
      <c r="A349" s="1" t="s">
        <v>776</v>
      </c>
      <c r="B349" s="2">
        <v>45628</v>
      </c>
      <c r="C349" s="1" t="s">
        <v>73</v>
      </c>
      <c r="D349" s="1" t="s">
        <v>43</v>
      </c>
      <c r="E349" s="1" t="s">
        <v>337</v>
      </c>
      <c r="F349" s="1" t="s">
        <v>37</v>
      </c>
      <c r="G349" s="1" t="s">
        <v>31</v>
      </c>
      <c r="H349" s="1" t="s">
        <v>32</v>
      </c>
      <c r="I349" s="1">
        <v>277.16000000000003</v>
      </c>
      <c r="J349" s="1">
        <v>9</v>
      </c>
      <c r="K349" s="1">
        <v>2494.44</v>
      </c>
      <c r="L349" s="1">
        <v>0</v>
      </c>
      <c r="M349" s="1">
        <v>0</v>
      </c>
      <c r="N349" s="1">
        <v>2494.44</v>
      </c>
      <c r="O349" s="1" t="s">
        <v>80</v>
      </c>
      <c r="P349" s="1" t="s">
        <v>777</v>
      </c>
      <c r="Q349" s="1">
        <v>5</v>
      </c>
      <c r="R349" s="1">
        <f>Retail_Sales_Analyis[[#This Row],[Final_Price]]-Retail_Sales_Analyis[[#This Row],[Total_Price]]</f>
        <v>0</v>
      </c>
      <c r="S3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" spans="1:19" x14ac:dyDescent="0.25">
      <c r="A350" s="1" t="s">
        <v>778</v>
      </c>
      <c r="B350" s="2">
        <v>45590</v>
      </c>
      <c r="C350" s="1" t="s">
        <v>76</v>
      </c>
      <c r="D350" s="1" t="s">
        <v>144</v>
      </c>
      <c r="E350" s="1" t="s">
        <v>342</v>
      </c>
      <c r="F350" s="1" t="s">
        <v>21</v>
      </c>
      <c r="G350" s="1" t="s">
        <v>169</v>
      </c>
      <c r="H350" s="1" t="s">
        <v>348</v>
      </c>
      <c r="I350" s="1">
        <v>840.14</v>
      </c>
      <c r="J350" s="1">
        <v>7</v>
      </c>
      <c r="K350" s="1">
        <v>5880.98</v>
      </c>
      <c r="L350" s="1">
        <v>5</v>
      </c>
      <c r="M350" s="1">
        <v>294.05</v>
      </c>
      <c r="N350" s="1">
        <v>5586.93</v>
      </c>
      <c r="O350" s="1" t="s">
        <v>33</v>
      </c>
      <c r="P350" s="1" t="s">
        <v>467</v>
      </c>
      <c r="Q350" s="1">
        <v>1</v>
      </c>
      <c r="R350" s="1">
        <f>Retail_Sales_Analyis[[#This Row],[Final_Price]]-Retail_Sales_Analyis[[#This Row],[Total_Price]]</f>
        <v>-294.04999999999927</v>
      </c>
      <c r="S3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1" spans="1:19" x14ac:dyDescent="0.25">
      <c r="A351" s="1" t="s">
        <v>779</v>
      </c>
      <c r="B351" s="2">
        <v>45581</v>
      </c>
      <c r="C351" s="1" t="s">
        <v>76</v>
      </c>
      <c r="D351" s="1" t="s">
        <v>55</v>
      </c>
      <c r="E351" s="1" t="s">
        <v>174</v>
      </c>
      <c r="F351" s="1" t="s">
        <v>37</v>
      </c>
      <c r="G351" s="1" t="s">
        <v>38</v>
      </c>
      <c r="H351" s="1" t="s">
        <v>214</v>
      </c>
      <c r="I351" s="1">
        <v>444.04</v>
      </c>
      <c r="J351" s="1">
        <v>3</v>
      </c>
      <c r="K351" s="1">
        <v>1332.12</v>
      </c>
      <c r="L351" s="1">
        <v>0</v>
      </c>
      <c r="M351" s="1">
        <v>0</v>
      </c>
      <c r="N351" s="1">
        <v>1332.12</v>
      </c>
      <c r="O351" s="1" t="s">
        <v>33</v>
      </c>
      <c r="P351" s="1" t="s">
        <v>780</v>
      </c>
      <c r="Q351" s="1">
        <v>4</v>
      </c>
      <c r="R351" s="1">
        <f>Retail_Sales_Analyis[[#This Row],[Final_Price]]-Retail_Sales_Analyis[[#This Row],[Total_Price]]</f>
        <v>0</v>
      </c>
      <c r="S3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2" spans="1:19" x14ac:dyDescent="0.25">
      <c r="A352" s="1" t="s">
        <v>781</v>
      </c>
      <c r="B352" s="2">
        <v>45559</v>
      </c>
      <c r="C352" s="1" t="s">
        <v>116</v>
      </c>
      <c r="D352" s="1" t="s">
        <v>28</v>
      </c>
      <c r="E352" s="1" t="s">
        <v>236</v>
      </c>
      <c r="F352" s="1" t="s">
        <v>84</v>
      </c>
      <c r="G352" s="1" t="s">
        <v>31</v>
      </c>
      <c r="H352" s="1" t="s">
        <v>45</v>
      </c>
      <c r="I352" s="1">
        <v>358.42</v>
      </c>
      <c r="J352" s="1">
        <v>10</v>
      </c>
      <c r="K352" s="1">
        <v>3584.2</v>
      </c>
      <c r="L352" s="1">
        <v>5</v>
      </c>
      <c r="M352" s="1">
        <v>179.21</v>
      </c>
      <c r="N352" s="1">
        <v>3404.99</v>
      </c>
      <c r="O352" s="1" t="s">
        <v>33</v>
      </c>
      <c r="P352" s="1" t="s">
        <v>782</v>
      </c>
      <c r="Q352" s="1">
        <v>5</v>
      </c>
      <c r="R352" s="1">
        <f>Retail_Sales_Analyis[[#This Row],[Final_Price]]-Retail_Sales_Analyis[[#This Row],[Total_Price]]</f>
        <v>-179.21000000000004</v>
      </c>
      <c r="S3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3" spans="1:19" x14ac:dyDescent="0.25">
      <c r="A353" s="1" t="s">
        <v>783</v>
      </c>
      <c r="B353" s="2">
        <v>45453</v>
      </c>
      <c r="C353" s="1" t="s">
        <v>173</v>
      </c>
      <c r="D353" s="1" t="s">
        <v>43</v>
      </c>
      <c r="E353" s="1" t="s">
        <v>166</v>
      </c>
      <c r="F353" s="1" t="s">
        <v>37</v>
      </c>
      <c r="G353" s="1" t="s">
        <v>22</v>
      </c>
      <c r="H353" s="1" t="s">
        <v>277</v>
      </c>
      <c r="I353" s="1">
        <v>595.75</v>
      </c>
      <c r="J353" s="1">
        <v>7</v>
      </c>
      <c r="K353" s="1">
        <v>4170.25</v>
      </c>
      <c r="L353" s="1">
        <v>10</v>
      </c>
      <c r="M353" s="1">
        <v>417.03</v>
      </c>
      <c r="N353" s="1">
        <v>3753.22</v>
      </c>
      <c r="O353" s="1" t="s">
        <v>46</v>
      </c>
      <c r="P353" s="1" t="s">
        <v>784</v>
      </c>
      <c r="Q353" s="1">
        <v>3</v>
      </c>
      <c r="R353" s="1">
        <f>Retail_Sales_Analyis[[#This Row],[Final_Price]]-Retail_Sales_Analyis[[#This Row],[Total_Price]]</f>
        <v>-417.0300000000002</v>
      </c>
      <c r="S3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" spans="1:19" x14ac:dyDescent="0.25">
      <c r="A354" s="1" t="s">
        <v>785</v>
      </c>
      <c r="B354" s="2">
        <v>45425</v>
      </c>
      <c r="C354" s="1" t="s">
        <v>42</v>
      </c>
      <c r="D354" s="1" t="s">
        <v>43</v>
      </c>
      <c r="E354" s="1" t="s">
        <v>174</v>
      </c>
      <c r="F354" s="1" t="s">
        <v>30</v>
      </c>
      <c r="G354" s="1" t="s">
        <v>112</v>
      </c>
      <c r="H354" s="1" t="s">
        <v>113</v>
      </c>
      <c r="I354" s="1">
        <v>1755.4</v>
      </c>
      <c r="J354" s="1">
        <v>6</v>
      </c>
      <c r="K354" s="1">
        <v>10532.4</v>
      </c>
      <c r="L354" s="1">
        <v>20</v>
      </c>
      <c r="M354" s="1">
        <v>2106.48</v>
      </c>
      <c r="N354" s="1">
        <v>8425.92</v>
      </c>
      <c r="O354" s="1" t="s">
        <v>80</v>
      </c>
      <c r="P354" s="1" t="s">
        <v>786</v>
      </c>
      <c r="Q354" s="1">
        <v>1</v>
      </c>
      <c r="R354" s="1">
        <f>Retail_Sales_Analyis[[#This Row],[Final_Price]]-Retail_Sales_Analyis[[#This Row],[Total_Price]]</f>
        <v>-2106.4799999999996</v>
      </c>
      <c r="S3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5" spans="1:19" x14ac:dyDescent="0.25">
      <c r="A355" s="1" t="s">
        <v>787</v>
      </c>
      <c r="B355" s="2">
        <v>45396</v>
      </c>
      <c r="C355" s="1" t="s">
        <v>54</v>
      </c>
      <c r="D355" s="1" t="s">
        <v>49</v>
      </c>
      <c r="E355" s="1" t="s">
        <v>104</v>
      </c>
      <c r="F355" s="1" t="s">
        <v>21</v>
      </c>
      <c r="G355" s="1" t="s">
        <v>169</v>
      </c>
      <c r="H355" s="1" t="s">
        <v>348</v>
      </c>
      <c r="I355" s="1">
        <v>714.17</v>
      </c>
      <c r="J355" s="1">
        <v>6</v>
      </c>
      <c r="K355" s="1">
        <v>4285.0200000000004</v>
      </c>
      <c r="L355" s="1">
        <v>5</v>
      </c>
      <c r="M355" s="1">
        <v>214.25</v>
      </c>
      <c r="N355" s="1">
        <v>4070.77</v>
      </c>
      <c r="O355" s="1" t="s">
        <v>46</v>
      </c>
      <c r="P355" s="1" t="s">
        <v>671</v>
      </c>
      <c r="Q355" s="1">
        <v>1</v>
      </c>
      <c r="R355" s="1">
        <f>Retail_Sales_Analyis[[#This Row],[Final_Price]]-Retail_Sales_Analyis[[#This Row],[Total_Price]]</f>
        <v>-214.25000000000045</v>
      </c>
      <c r="S3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6" spans="1:19" x14ac:dyDescent="0.25">
      <c r="A356" s="1" t="s">
        <v>788</v>
      </c>
      <c r="B356" s="2">
        <v>45634</v>
      </c>
      <c r="C356" s="1" t="s">
        <v>73</v>
      </c>
      <c r="D356" s="1" t="s">
        <v>49</v>
      </c>
      <c r="E356" s="1" t="s">
        <v>62</v>
      </c>
      <c r="F356" s="1" t="s">
        <v>21</v>
      </c>
      <c r="G356" s="1" t="s">
        <v>57</v>
      </c>
      <c r="H356" s="1" t="s">
        <v>158</v>
      </c>
      <c r="I356" s="1">
        <v>1859.09</v>
      </c>
      <c r="J356" s="1">
        <v>2</v>
      </c>
      <c r="K356" s="1">
        <v>3718.18</v>
      </c>
      <c r="L356" s="1">
        <v>20</v>
      </c>
      <c r="M356" s="1">
        <v>743.64</v>
      </c>
      <c r="N356" s="1">
        <v>2974.54</v>
      </c>
      <c r="O356" s="1" t="s">
        <v>46</v>
      </c>
      <c r="P356" s="1" t="s">
        <v>789</v>
      </c>
      <c r="Q356" s="1">
        <v>1</v>
      </c>
      <c r="R356" s="1">
        <f>Retail_Sales_Analyis[[#This Row],[Final_Price]]-Retail_Sales_Analyis[[#This Row],[Total_Price]]</f>
        <v>-743.63999999999987</v>
      </c>
      <c r="S3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7" spans="1:19" x14ac:dyDescent="0.25">
      <c r="A357" s="1" t="s">
        <v>790</v>
      </c>
      <c r="B357" s="2">
        <v>45452</v>
      </c>
      <c r="C357" s="1" t="s">
        <v>173</v>
      </c>
      <c r="D357" s="1" t="s">
        <v>49</v>
      </c>
      <c r="E357" s="1" t="s">
        <v>199</v>
      </c>
      <c r="F357" s="1" t="s">
        <v>37</v>
      </c>
      <c r="G357" s="1" t="s">
        <v>78</v>
      </c>
      <c r="H357" s="1" t="s">
        <v>79</v>
      </c>
      <c r="I357" s="1">
        <v>357.41</v>
      </c>
      <c r="J357" s="1">
        <v>7</v>
      </c>
      <c r="K357" s="1">
        <v>2501.87</v>
      </c>
      <c r="L357" s="1">
        <v>10</v>
      </c>
      <c r="M357" s="1">
        <v>250.19</v>
      </c>
      <c r="N357" s="1">
        <v>2251.6799999999998</v>
      </c>
      <c r="O357" s="1" t="s">
        <v>80</v>
      </c>
      <c r="P357" s="1" t="s">
        <v>791</v>
      </c>
      <c r="Q357" s="1">
        <v>4</v>
      </c>
      <c r="R357" s="1">
        <f>Retail_Sales_Analyis[[#This Row],[Final_Price]]-Retail_Sales_Analyis[[#This Row],[Total_Price]]</f>
        <v>-250.19000000000005</v>
      </c>
      <c r="S3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8" spans="1:19" x14ac:dyDescent="0.25">
      <c r="A358" s="1" t="s">
        <v>792</v>
      </c>
      <c r="B358" s="2">
        <v>45414</v>
      </c>
      <c r="C358" s="1" t="s">
        <v>42</v>
      </c>
      <c r="D358" s="1" t="s">
        <v>67</v>
      </c>
      <c r="E358" s="1" t="s">
        <v>166</v>
      </c>
      <c r="F358" s="1" t="s">
        <v>84</v>
      </c>
      <c r="G358" s="1" t="s">
        <v>31</v>
      </c>
      <c r="H358" s="1" t="s">
        <v>45</v>
      </c>
      <c r="I358" s="1">
        <v>60.01</v>
      </c>
      <c r="J358" s="1">
        <v>6</v>
      </c>
      <c r="K358" s="1">
        <v>360.06</v>
      </c>
      <c r="L358" s="1">
        <v>5</v>
      </c>
      <c r="M358" s="1">
        <v>18</v>
      </c>
      <c r="N358" s="1">
        <v>342.06</v>
      </c>
      <c r="O358" s="1" t="s">
        <v>80</v>
      </c>
      <c r="P358" s="1" t="s">
        <v>253</v>
      </c>
      <c r="Q358" s="1">
        <v>4</v>
      </c>
      <c r="R358" s="1">
        <f>Retail_Sales_Analyis[[#This Row],[Final_Price]]-Retail_Sales_Analyis[[#This Row],[Total_Price]]</f>
        <v>-18</v>
      </c>
      <c r="S3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9" spans="1:19" x14ac:dyDescent="0.25">
      <c r="A359" s="1" t="s">
        <v>793</v>
      </c>
      <c r="B359" s="2">
        <v>45427</v>
      </c>
      <c r="C359" s="1" t="s">
        <v>42</v>
      </c>
      <c r="D359" s="1" t="s">
        <v>55</v>
      </c>
      <c r="E359" s="1" t="s">
        <v>174</v>
      </c>
      <c r="F359" s="1" t="s">
        <v>30</v>
      </c>
      <c r="G359" s="1" t="s">
        <v>31</v>
      </c>
      <c r="H359" s="1" t="s">
        <v>329</v>
      </c>
      <c r="I359" s="1">
        <v>360.89</v>
      </c>
      <c r="J359" s="1">
        <v>4</v>
      </c>
      <c r="K359" s="1">
        <v>1443.56</v>
      </c>
      <c r="L359" s="1">
        <v>0</v>
      </c>
      <c r="M359" s="1">
        <v>0</v>
      </c>
      <c r="N359" s="1">
        <v>1443.56</v>
      </c>
      <c r="O359" s="1" t="s">
        <v>33</v>
      </c>
      <c r="P359" s="1" t="s">
        <v>794</v>
      </c>
      <c r="Q359" s="1">
        <v>5</v>
      </c>
      <c r="R359" s="1">
        <f>Retail_Sales_Analyis[[#This Row],[Final_Price]]-Retail_Sales_Analyis[[#This Row],[Total_Price]]</f>
        <v>0</v>
      </c>
      <c r="S3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" spans="1:19" x14ac:dyDescent="0.25">
      <c r="A360" s="1" t="s">
        <v>795</v>
      </c>
      <c r="B360" s="2">
        <v>45494</v>
      </c>
      <c r="C360" s="1" t="s">
        <v>195</v>
      </c>
      <c r="D360" s="1" t="s">
        <v>49</v>
      </c>
      <c r="E360" s="1" t="s">
        <v>145</v>
      </c>
      <c r="F360" s="1" t="s">
        <v>30</v>
      </c>
      <c r="G360" s="1" t="s">
        <v>38</v>
      </c>
      <c r="H360" s="1" t="s">
        <v>422</v>
      </c>
      <c r="I360" s="1">
        <v>778.6</v>
      </c>
      <c r="J360" s="1">
        <v>4</v>
      </c>
      <c r="K360" s="1">
        <v>3114.4</v>
      </c>
      <c r="L360" s="1">
        <v>5</v>
      </c>
      <c r="M360" s="1">
        <v>155.72</v>
      </c>
      <c r="N360" s="1">
        <v>2958.68</v>
      </c>
      <c r="O360" s="1" t="s">
        <v>24</v>
      </c>
      <c r="P360" s="1" t="s">
        <v>796</v>
      </c>
      <c r="Q360" s="1">
        <v>5</v>
      </c>
      <c r="R360" s="1">
        <f>Retail_Sales_Analyis[[#This Row],[Final_Price]]-Retail_Sales_Analyis[[#This Row],[Total_Price]]</f>
        <v>-155.72000000000025</v>
      </c>
      <c r="S3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1" spans="1:19" x14ac:dyDescent="0.25">
      <c r="A361" s="1" t="s">
        <v>797</v>
      </c>
      <c r="B361" s="2">
        <v>45359</v>
      </c>
      <c r="C361" s="1" t="s">
        <v>61</v>
      </c>
      <c r="D361" s="1" t="s">
        <v>144</v>
      </c>
      <c r="E361" s="1" t="s">
        <v>117</v>
      </c>
      <c r="F361" s="1" t="s">
        <v>37</v>
      </c>
      <c r="G361" s="1" t="s">
        <v>112</v>
      </c>
      <c r="H361" s="1" t="s">
        <v>118</v>
      </c>
      <c r="I361" s="1">
        <v>1994.34</v>
      </c>
      <c r="J361" s="1">
        <v>7</v>
      </c>
      <c r="K361" s="1">
        <v>13960.38</v>
      </c>
      <c r="L361" s="1">
        <v>20</v>
      </c>
      <c r="M361" s="1">
        <v>2792.08</v>
      </c>
      <c r="N361" s="1">
        <v>11168.3</v>
      </c>
      <c r="O361" s="1" t="s">
        <v>64</v>
      </c>
      <c r="P361" s="1" t="s">
        <v>798</v>
      </c>
      <c r="Q361" s="1">
        <v>5</v>
      </c>
      <c r="R361" s="1">
        <f>Retail_Sales_Analyis[[#This Row],[Final_Price]]-Retail_Sales_Analyis[[#This Row],[Total_Price]]</f>
        <v>-2792.08</v>
      </c>
      <c r="S3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2" spans="1:19" x14ac:dyDescent="0.25">
      <c r="A362" s="1" t="s">
        <v>799</v>
      </c>
      <c r="B362" s="2">
        <v>45635</v>
      </c>
      <c r="C362" s="1" t="s">
        <v>73</v>
      </c>
      <c r="D362" s="1" t="s">
        <v>43</v>
      </c>
      <c r="E362" s="1" t="s">
        <v>302</v>
      </c>
      <c r="F362" s="1" t="s">
        <v>21</v>
      </c>
      <c r="G362" s="1" t="s">
        <v>169</v>
      </c>
      <c r="H362" s="1" t="s">
        <v>170</v>
      </c>
      <c r="I362" s="1">
        <v>704.21</v>
      </c>
      <c r="J362" s="1">
        <v>2</v>
      </c>
      <c r="K362" s="1">
        <v>1408.42</v>
      </c>
      <c r="L362" s="1">
        <v>10</v>
      </c>
      <c r="M362" s="1">
        <v>140.84</v>
      </c>
      <c r="N362" s="1">
        <v>1267.58</v>
      </c>
      <c r="O362" s="1" t="s">
        <v>80</v>
      </c>
      <c r="P362" s="1" t="s">
        <v>800</v>
      </c>
      <c r="Q362" s="1">
        <v>4</v>
      </c>
      <c r="R362" s="1">
        <f>Retail_Sales_Analyis[[#This Row],[Final_Price]]-Retail_Sales_Analyis[[#This Row],[Total_Price]]</f>
        <v>-140.84000000000015</v>
      </c>
      <c r="S3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3" spans="1:19" x14ac:dyDescent="0.25">
      <c r="A363" s="1" t="s">
        <v>801</v>
      </c>
      <c r="B363" s="2">
        <v>45622</v>
      </c>
      <c r="C363" s="1" t="s">
        <v>18</v>
      </c>
      <c r="D363" s="1" t="s">
        <v>28</v>
      </c>
      <c r="E363" s="1" t="s">
        <v>186</v>
      </c>
      <c r="F363" s="1" t="s">
        <v>69</v>
      </c>
      <c r="G363" s="1" t="s">
        <v>169</v>
      </c>
      <c r="H363" s="1" t="s">
        <v>175</v>
      </c>
      <c r="I363" s="1">
        <v>905.57</v>
      </c>
      <c r="J363" s="1">
        <v>5</v>
      </c>
      <c r="K363" s="1">
        <v>4527.8500000000004</v>
      </c>
      <c r="L363" s="1">
        <v>5</v>
      </c>
      <c r="M363" s="1">
        <v>226.39</v>
      </c>
      <c r="N363" s="1">
        <v>4301.46</v>
      </c>
      <c r="O363" s="1" t="s">
        <v>80</v>
      </c>
      <c r="P363" s="1" t="s">
        <v>710</v>
      </c>
      <c r="Q363" s="1">
        <v>3</v>
      </c>
      <c r="R363" s="1">
        <f>Retail_Sales_Analyis[[#This Row],[Final_Price]]-Retail_Sales_Analyis[[#This Row],[Total_Price]]</f>
        <v>-226.39000000000033</v>
      </c>
      <c r="S3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4" spans="1:19" x14ac:dyDescent="0.25">
      <c r="A364" s="1" t="s">
        <v>802</v>
      </c>
      <c r="B364" s="2">
        <v>45445</v>
      </c>
      <c r="C364" s="1" t="s">
        <v>173</v>
      </c>
      <c r="D364" s="1" t="s">
        <v>49</v>
      </c>
      <c r="E364" s="1" t="s">
        <v>129</v>
      </c>
      <c r="F364" s="1" t="s">
        <v>84</v>
      </c>
      <c r="G364" s="1" t="s">
        <v>38</v>
      </c>
      <c r="H364" s="1" t="s">
        <v>70</v>
      </c>
      <c r="I364" s="1">
        <v>460.76</v>
      </c>
      <c r="J364" s="1">
        <v>9</v>
      </c>
      <c r="K364" s="1">
        <v>4146.84</v>
      </c>
      <c r="L364" s="1">
        <v>0</v>
      </c>
      <c r="M364" s="1">
        <v>0</v>
      </c>
      <c r="N364" s="1">
        <v>4146.84</v>
      </c>
      <c r="O364" s="1" t="s">
        <v>24</v>
      </c>
      <c r="P364" s="1" t="s">
        <v>803</v>
      </c>
      <c r="Q364" s="1">
        <v>5</v>
      </c>
      <c r="R364" s="1">
        <f>Retail_Sales_Analyis[[#This Row],[Final_Price]]-Retail_Sales_Analyis[[#This Row],[Total_Price]]</f>
        <v>0</v>
      </c>
      <c r="S3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5" spans="1:19" x14ac:dyDescent="0.25">
      <c r="A365" s="1" t="s">
        <v>804</v>
      </c>
      <c r="B365" s="2">
        <v>45526</v>
      </c>
      <c r="C365" s="1" t="s">
        <v>93</v>
      </c>
      <c r="D365" s="1" t="s">
        <v>67</v>
      </c>
      <c r="E365" s="1" t="s">
        <v>196</v>
      </c>
      <c r="F365" s="1" t="s">
        <v>37</v>
      </c>
      <c r="G365" s="1" t="s">
        <v>57</v>
      </c>
      <c r="H365" s="1" t="s">
        <v>58</v>
      </c>
      <c r="I365" s="1">
        <v>950.22</v>
      </c>
      <c r="J365" s="1">
        <v>9</v>
      </c>
      <c r="K365" s="1">
        <v>8551.98</v>
      </c>
      <c r="L365" s="1">
        <v>20</v>
      </c>
      <c r="M365" s="1">
        <v>1710.4</v>
      </c>
      <c r="N365" s="1">
        <v>6841.58</v>
      </c>
      <c r="O365" s="1" t="s">
        <v>80</v>
      </c>
      <c r="P365" s="1" t="s">
        <v>805</v>
      </c>
      <c r="Q365" s="1">
        <v>4</v>
      </c>
      <c r="R365" s="1">
        <f>Retail_Sales_Analyis[[#This Row],[Final_Price]]-Retail_Sales_Analyis[[#This Row],[Total_Price]]</f>
        <v>-1710.3999999999996</v>
      </c>
      <c r="S36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6" spans="1:19" x14ac:dyDescent="0.25">
      <c r="A366" s="1" t="s">
        <v>806</v>
      </c>
      <c r="B366" s="2">
        <v>45453</v>
      </c>
      <c r="C366" s="1" t="s">
        <v>173</v>
      </c>
      <c r="D366" s="1" t="s">
        <v>43</v>
      </c>
      <c r="E366" s="1" t="s">
        <v>261</v>
      </c>
      <c r="F366" s="1" t="s">
        <v>30</v>
      </c>
      <c r="G366" s="1" t="s">
        <v>57</v>
      </c>
      <c r="H366" s="1" t="s">
        <v>158</v>
      </c>
      <c r="I366" s="1">
        <v>1494.96</v>
      </c>
      <c r="J366" s="1">
        <v>4</v>
      </c>
      <c r="K366" s="1">
        <v>5979.84</v>
      </c>
      <c r="L366" s="1">
        <v>0</v>
      </c>
      <c r="M366" s="1">
        <v>0</v>
      </c>
      <c r="N366" s="1">
        <v>5979.84</v>
      </c>
      <c r="O366" s="1" t="s">
        <v>46</v>
      </c>
      <c r="P366" s="1" t="s">
        <v>807</v>
      </c>
      <c r="Q366" s="1">
        <v>4</v>
      </c>
      <c r="R366" s="1">
        <f>Retail_Sales_Analyis[[#This Row],[Final_Price]]-Retail_Sales_Analyis[[#This Row],[Total_Price]]</f>
        <v>0</v>
      </c>
      <c r="S3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7" spans="1:19" x14ac:dyDescent="0.25">
      <c r="A367" s="1" t="s">
        <v>808</v>
      </c>
      <c r="B367" s="2">
        <v>45329</v>
      </c>
      <c r="C367" s="1" t="s">
        <v>27</v>
      </c>
      <c r="D367" s="1" t="s">
        <v>55</v>
      </c>
      <c r="E367" s="1" t="s">
        <v>151</v>
      </c>
      <c r="F367" s="1" t="s">
        <v>84</v>
      </c>
      <c r="G367" s="1" t="s">
        <v>169</v>
      </c>
      <c r="H367" s="1" t="s">
        <v>366</v>
      </c>
      <c r="I367" s="1">
        <v>1315.16</v>
      </c>
      <c r="J367" s="1">
        <v>5</v>
      </c>
      <c r="K367" s="1">
        <v>6575.8</v>
      </c>
      <c r="L367" s="1">
        <v>20</v>
      </c>
      <c r="M367" s="1">
        <v>1315.16</v>
      </c>
      <c r="N367" s="1">
        <v>5260.64</v>
      </c>
      <c r="O367" s="1" t="s">
        <v>46</v>
      </c>
      <c r="P367" s="1" t="s">
        <v>457</v>
      </c>
      <c r="Q367" s="1">
        <v>2</v>
      </c>
      <c r="R367" s="1">
        <f>Retail_Sales_Analyis[[#This Row],[Final_Price]]-Retail_Sales_Analyis[[#This Row],[Total_Price]]</f>
        <v>-1315.1599999999999</v>
      </c>
      <c r="S3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8" spans="1:19" x14ac:dyDescent="0.25">
      <c r="A368" s="1" t="s">
        <v>809</v>
      </c>
      <c r="B368" s="2">
        <v>45296</v>
      </c>
      <c r="C368" s="1" t="s">
        <v>36</v>
      </c>
      <c r="D368" s="1" t="s">
        <v>144</v>
      </c>
      <c r="E368" s="1" t="s">
        <v>56</v>
      </c>
      <c r="F368" s="1" t="s">
        <v>69</v>
      </c>
      <c r="G368" s="1" t="s">
        <v>22</v>
      </c>
      <c r="H368" s="1" t="s">
        <v>23</v>
      </c>
      <c r="I368" s="1">
        <v>290.85000000000002</v>
      </c>
      <c r="J368" s="1">
        <v>4</v>
      </c>
      <c r="K368" s="1">
        <v>1163.4000000000001</v>
      </c>
      <c r="L368" s="1">
        <v>0</v>
      </c>
      <c r="M368" s="1">
        <v>0</v>
      </c>
      <c r="N368" s="1">
        <v>1163.4000000000001</v>
      </c>
      <c r="O368" s="1" t="s">
        <v>64</v>
      </c>
      <c r="P368" s="1" t="s">
        <v>59</v>
      </c>
      <c r="Q368" s="1">
        <v>3</v>
      </c>
      <c r="R368" s="1">
        <f>Retail_Sales_Analyis[[#This Row],[Final_Price]]-Retail_Sales_Analyis[[#This Row],[Total_Price]]</f>
        <v>0</v>
      </c>
      <c r="S3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9" spans="1:19" x14ac:dyDescent="0.25">
      <c r="A369" s="1" t="s">
        <v>810</v>
      </c>
      <c r="B369" s="2">
        <v>45526</v>
      </c>
      <c r="C369" s="1" t="s">
        <v>93</v>
      </c>
      <c r="D369" s="1" t="s">
        <v>67</v>
      </c>
      <c r="E369" s="1" t="s">
        <v>68</v>
      </c>
      <c r="F369" s="1" t="s">
        <v>37</v>
      </c>
      <c r="G369" s="1" t="s">
        <v>22</v>
      </c>
      <c r="H369" s="1" t="s">
        <v>51</v>
      </c>
      <c r="I369" s="1">
        <v>717.54</v>
      </c>
      <c r="J369" s="1">
        <v>1</v>
      </c>
      <c r="K369" s="1">
        <v>717.54</v>
      </c>
      <c r="L369" s="1">
        <v>0</v>
      </c>
      <c r="M369" s="1">
        <v>0</v>
      </c>
      <c r="N369" s="1">
        <v>717.54</v>
      </c>
      <c r="O369" s="1" t="s">
        <v>64</v>
      </c>
      <c r="P369" s="1" t="s">
        <v>549</v>
      </c>
      <c r="Q369" s="1">
        <v>3</v>
      </c>
      <c r="R369" s="1">
        <f>Retail_Sales_Analyis[[#This Row],[Final_Price]]-Retail_Sales_Analyis[[#This Row],[Total_Price]]</f>
        <v>0</v>
      </c>
      <c r="S3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" spans="1:19" x14ac:dyDescent="0.25">
      <c r="A370" s="1" t="s">
        <v>811</v>
      </c>
      <c r="B370" s="2">
        <v>45610</v>
      </c>
      <c r="C370" s="1" t="s">
        <v>18</v>
      </c>
      <c r="D370" s="1" t="s">
        <v>67</v>
      </c>
      <c r="E370" s="1" t="s">
        <v>111</v>
      </c>
      <c r="F370" s="1" t="s">
        <v>37</v>
      </c>
      <c r="G370" s="1" t="s">
        <v>38</v>
      </c>
      <c r="H370" s="1" t="s">
        <v>70</v>
      </c>
      <c r="I370" s="1">
        <v>223.19</v>
      </c>
      <c r="J370" s="1">
        <v>1</v>
      </c>
      <c r="K370" s="1">
        <v>223.19</v>
      </c>
      <c r="L370" s="1">
        <v>15</v>
      </c>
      <c r="M370" s="1">
        <v>33.479999999999997</v>
      </c>
      <c r="N370" s="1">
        <v>189.71</v>
      </c>
      <c r="O370" s="1" t="s">
        <v>33</v>
      </c>
      <c r="P370" s="1" t="s">
        <v>812</v>
      </c>
      <c r="Q370" s="1">
        <v>1</v>
      </c>
      <c r="R370" s="1">
        <f>Retail_Sales_Analyis[[#This Row],[Final_Price]]-Retail_Sales_Analyis[[#This Row],[Total_Price]]</f>
        <v>-33.47999999999999</v>
      </c>
      <c r="S3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1" spans="1:19" x14ac:dyDescent="0.25">
      <c r="A371" s="1" t="s">
        <v>813</v>
      </c>
      <c r="B371" s="2">
        <v>45580</v>
      </c>
      <c r="C371" s="1" t="s">
        <v>76</v>
      </c>
      <c r="D371" s="1" t="s">
        <v>28</v>
      </c>
      <c r="E371" s="1" t="s">
        <v>204</v>
      </c>
      <c r="F371" s="1" t="s">
        <v>21</v>
      </c>
      <c r="G371" s="1" t="s">
        <v>38</v>
      </c>
      <c r="H371" s="1" t="s">
        <v>39</v>
      </c>
      <c r="I371" s="1">
        <v>730.4</v>
      </c>
      <c r="J371" s="1">
        <v>7</v>
      </c>
      <c r="K371" s="1">
        <v>5112.8</v>
      </c>
      <c r="L371" s="1">
        <v>0</v>
      </c>
      <c r="M371" s="1">
        <v>0</v>
      </c>
      <c r="N371" s="1">
        <v>5112.8</v>
      </c>
      <c r="O371" s="1" t="s">
        <v>24</v>
      </c>
      <c r="P371" s="1" t="s">
        <v>457</v>
      </c>
      <c r="Q371" s="1">
        <v>4</v>
      </c>
      <c r="R371" s="1">
        <f>Retail_Sales_Analyis[[#This Row],[Final_Price]]-Retail_Sales_Analyis[[#This Row],[Total_Price]]</f>
        <v>0</v>
      </c>
      <c r="S3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2" spans="1:19" x14ac:dyDescent="0.25">
      <c r="A372" s="1" t="s">
        <v>814</v>
      </c>
      <c r="B372" s="2">
        <v>45343</v>
      </c>
      <c r="C372" s="1" t="s">
        <v>27</v>
      </c>
      <c r="D372" s="1" t="s">
        <v>55</v>
      </c>
      <c r="E372" s="1" t="s">
        <v>151</v>
      </c>
      <c r="F372" s="1" t="s">
        <v>69</v>
      </c>
      <c r="G372" s="1" t="s">
        <v>169</v>
      </c>
      <c r="H372" s="1" t="s">
        <v>170</v>
      </c>
      <c r="I372" s="1">
        <v>1181.3800000000001</v>
      </c>
      <c r="J372" s="1">
        <v>2</v>
      </c>
      <c r="K372" s="1">
        <v>2362.7600000000002</v>
      </c>
      <c r="L372" s="1">
        <v>10</v>
      </c>
      <c r="M372" s="1">
        <v>236.28</v>
      </c>
      <c r="N372" s="1">
        <v>2126.48</v>
      </c>
      <c r="O372" s="1" t="s">
        <v>80</v>
      </c>
      <c r="P372" s="1" t="s">
        <v>815</v>
      </c>
      <c r="Q372" s="1">
        <v>5</v>
      </c>
      <c r="R372" s="1">
        <f>Retail_Sales_Analyis[[#This Row],[Final_Price]]-Retail_Sales_Analyis[[#This Row],[Total_Price]]</f>
        <v>-236.2800000000002</v>
      </c>
      <c r="S3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" spans="1:19" x14ac:dyDescent="0.25">
      <c r="A373" s="1" t="s">
        <v>816</v>
      </c>
      <c r="B373" s="2">
        <v>45329</v>
      </c>
      <c r="C373" s="1" t="s">
        <v>27</v>
      </c>
      <c r="D373" s="1" t="s">
        <v>55</v>
      </c>
      <c r="E373" s="1" t="s">
        <v>117</v>
      </c>
      <c r="F373" s="1" t="s">
        <v>21</v>
      </c>
      <c r="G373" s="1" t="s">
        <v>169</v>
      </c>
      <c r="H373" s="1" t="s">
        <v>366</v>
      </c>
      <c r="I373" s="1">
        <v>1019.79</v>
      </c>
      <c r="J373" s="1">
        <v>6</v>
      </c>
      <c r="K373" s="1">
        <v>6118.74</v>
      </c>
      <c r="L373" s="1">
        <v>0</v>
      </c>
      <c r="M373" s="1">
        <v>0</v>
      </c>
      <c r="N373" s="1">
        <v>6118.74</v>
      </c>
      <c r="O373" s="1" t="s">
        <v>80</v>
      </c>
      <c r="P373" s="1" t="s">
        <v>817</v>
      </c>
      <c r="Q373" s="1">
        <v>4</v>
      </c>
      <c r="R373" s="1">
        <f>Retail_Sales_Analyis[[#This Row],[Final_Price]]-Retail_Sales_Analyis[[#This Row],[Total_Price]]</f>
        <v>0</v>
      </c>
      <c r="S3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" spans="1:19" x14ac:dyDescent="0.25">
      <c r="A374" s="1" t="s">
        <v>818</v>
      </c>
      <c r="B374" s="2">
        <v>45567</v>
      </c>
      <c r="C374" s="1" t="s">
        <v>76</v>
      </c>
      <c r="D374" s="1" t="s">
        <v>55</v>
      </c>
      <c r="E374" s="1" t="s">
        <v>261</v>
      </c>
      <c r="F374" s="1" t="s">
        <v>30</v>
      </c>
      <c r="G374" s="1" t="s">
        <v>22</v>
      </c>
      <c r="H374" s="1" t="s">
        <v>23</v>
      </c>
      <c r="I374" s="1">
        <v>315.42</v>
      </c>
      <c r="J374" s="1">
        <v>3</v>
      </c>
      <c r="K374" s="1">
        <v>946.26</v>
      </c>
      <c r="L374" s="1">
        <v>0</v>
      </c>
      <c r="M374" s="1">
        <v>0</v>
      </c>
      <c r="N374" s="1">
        <v>946.26</v>
      </c>
      <c r="O374" s="1" t="s">
        <v>46</v>
      </c>
      <c r="P374" s="1" t="s">
        <v>819</v>
      </c>
      <c r="Q374" s="1">
        <v>4</v>
      </c>
      <c r="R374" s="1">
        <f>Retail_Sales_Analyis[[#This Row],[Final_Price]]-Retail_Sales_Analyis[[#This Row],[Total_Price]]</f>
        <v>0</v>
      </c>
      <c r="S3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" spans="1:19" x14ac:dyDescent="0.25">
      <c r="A375" s="1" t="s">
        <v>820</v>
      </c>
      <c r="B375" s="2">
        <v>45401</v>
      </c>
      <c r="C375" s="1" t="s">
        <v>54</v>
      </c>
      <c r="D375" s="1" t="s">
        <v>144</v>
      </c>
      <c r="E375" s="1" t="s">
        <v>83</v>
      </c>
      <c r="F375" s="1" t="s">
        <v>21</v>
      </c>
      <c r="G375" s="1" t="s">
        <v>112</v>
      </c>
      <c r="H375" s="1" t="s">
        <v>288</v>
      </c>
      <c r="I375" s="1">
        <v>1300.2</v>
      </c>
      <c r="J375" s="1">
        <v>2</v>
      </c>
      <c r="K375" s="1">
        <v>2600.4</v>
      </c>
      <c r="L375" s="1">
        <v>0</v>
      </c>
      <c r="M375" s="1">
        <v>0</v>
      </c>
      <c r="N375" s="1">
        <v>2600.4</v>
      </c>
      <c r="O375" s="1" t="s">
        <v>80</v>
      </c>
      <c r="P375" s="1" t="s">
        <v>821</v>
      </c>
      <c r="Q375" s="1">
        <v>4</v>
      </c>
      <c r="R375" s="1">
        <f>Retail_Sales_Analyis[[#This Row],[Final_Price]]-Retail_Sales_Analyis[[#This Row],[Total_Price]]</f>
        <v>0</v>
      </c>
      <c r="S3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" spans="1:19" x14ac:dyDescent="0.25">
      <c r="A376" s="1" t="s">
        <v>822</v>
      </c>
      <c r="B376" s="2">
        <v>45551</v>
      </c>
      <c r="C376" s="1" t="s">
        <v>116</v>
      </c>
      <c r="D376" s="1" t="s">
        <v>43</v>
      </c>
      <c r="E376" s="1" t="s">
        <v>20</v>
      </c>
      <c r="F376" s="1" t="s">
        <v>84</v>
      </c>
      <c r="G376" s="1" t="s">
        <v>38</v>
      </c>
      <c r="H376" s="1" t="s">
        <v>214</v>
      </c>
      <c r="I376" s="1">
        <v>354.1</v>
      </c>
      <c r="J376" s="1">
        <v>6</v>
      </c>
      <c r="K376" s="1">
        <v>2124.6</v>
      </c>
      <c r="L376" s="1">
        <v>20</v>
      </c>
      <c r="M376" s="1">
        <v>424.92</v>
      </c>
      <c r="N376" s="1">
        <v>1699.68</v>
      </c>
      <c r="O376" s="1" t="s">
        <v>46</v>
      </c>
      <c r="P376" s="1" t="s">
        <v>823</v>
      </c>
      <c r="Q376" s="1">
        <v>1</v>
      </c>
      <c r="R376" s="1">
        <f>Retail_Sales_Analyis[[#This Row],[Final_Price]]-Retail_Sales_Analyis[[#This Row],[Total_Price]]</f>
        <v>-424.91999999999985</v>
      </c>
      <c r="S3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7" spans="1:19" x14ac:dyDescent="0.25">
      <c r="A377" s="1" t="s">
        <v>824</v>
      </c>
      <c r="B377" s="2">
        <v>45427</v>
      </c>
      <c r="C377" s="1" t="s">
        <v>42</v>
      </c>
      <c r="D377" s="1" t="s">
        <v>55</v>
      </c>
      <c r="E377" s="1" t="s">
        <v>141</v>
      </c>
      <c r="F377" s="1" t="s">
        <v>21</v>
      </c>
      <c r="G377" s="1" t="s">
        <v>112</v>
      </c>
      <c r="H377" s="1" t="s">
        <v>113</v>
      </c>
      <c r="I377" s="1">
        <v>879.47</v>
      </c>
      <c r="J377" s="1">
        <v>7</v>
      </c>
      <c r="K377" s="1">
        <v>6156.29</v>
      </c>
      <c r="L377" s="1">
        <v>0</v>
      </c>
      <c r="M377" s="1">
        <v>0</v>
      </c>
      <c r="N377" s="1">
        <v>6156.29</v>
      </c>
      <c r="O377" s="1" t="s">
        <v>46</v>
      </c>
      <c r="P377" s="1" t="s">
        <v>594</v>
      </c>
      <c r="Q377" s="1">
        <v>1</v>
      </c>
      <c r="R377" s="1">
        <f>Retail_Sales_Analyis[[#This Row],[Final_Price]]-Retail_Sales_Analyis[[#This Row],[Total_Price]]</f>
        <v>0</v>
      </c>
      <c r="S3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8" spans="1:19" x14ac:dyDescent="0.25">
      <c r="A378" s="1" t="s">
        <v>825</v>
      </c>
      <c r="B378" s="2">
        <v>45359</v>
      </c>
      <c r="C378" s="1" t="s">
        <v>61</v>
      </c>
      <c r="D378" s="1" t="s">
        <v>144</v>
      </c>
      <c r="E378" s="1" t="s">
        <v>174</v>
      </c>
      <c r="F378" s="1" t="s">
        <v>21</v>
      </c>
      <c r="G378" s="1" t="s">
        <v>31</v>
      </c>
      <c r="H378" s="1" t="s">
        <v>32</v>
      </c>
      <c r="I378" s="1">
        <v>53.54</v>
      </c>
      <c r="J378" s="1">
        <v>7</v>
      </c>
      <c r="K378" s="1">
        <v>374.78</v>
      </c>
      <c r="L378" s="1">
        <v>0</v>
      </c>
      <c r="M378" s="1">
        <v>0</v>
      </c>
      <c r="N378" s="1">
        <v>374.78</v>
      </c>
      <c r="O378" s="1" t="s">
        <v>46</v>
      </c>
      <c r="P378" s="1" t="s">
        <v>826</v>
      </c>
      <c r="Q378" s="1">
        <v>1</v>
      </c>
      <c r="R378" s="1">
        <f>Retail_Sales_Analyis[[#This Row],[Final_Price]]-Retail_Sales_Analyis[[#This Row],[Total_Price]]</f>
        <v>0</v>
      </c>
      <c r="S3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9" spans="1:19" x14ac:dyDescent="0.25">
      <c r="A379" s="1" t="s">
        <v>827</v>
      </c>
      <c r="B379" s="2">
        <v>45470</v>
      </c>
      <c r="C379" s="1" t="s">
        <v>173</v>
      </c>
      <c r="D379" s="1" t="s">
        <v>67</v>
      </c>
      <c r="E379" s="1" t="s">
        <v>199</v>
      </c>
      <c r="F379" s="1" t="s">
        <v>37</v>
      </c>
      <c r="G379" s="1" t="s">
        <v>57</v>
      </c>
      <c r="H379" s="1" t="s">
        <v>101</v>
      </c>
      <c r="I379" s="1">
        <v>2764.49</v>
      </c>
      <c r="J379" s="1">
        <v>6</v>
      </c>
      <c r="K379" s="1">
        <v>16586.939999999999</v>
      </c>
      <c r="L379" s="1">
        <v>20</v>
      </c>
      <c r="M379" s="1">
        <v>3317.39</v>
      </c>
      <c r="N379" s="1">
        <v>13269.55</v>
      </c>
      <c r="O379" s="1" t="s">
        <v>33</v>
      </c>
      <c r="P379" s="1" t="s">
        <v>828</v>
      </c>
      <c r="Q379" s="1">
        <v>1</v>
      </c>
      <c r="R379" s="1">
        <f>Retail_Sales_Analyis[[#This Row],[Final_Price]]-Retail_Sales_Analyis[[#This Row],[Total_Price]]</f>
        <v>-3317.3899999999994</v>
      </c>
      <c r="S3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0" spans="1:19" x14ac:dyDescent="0.25">
      <c r="A380" s="1" t="s">
        <v>829</v>
      </c>
      <c r="B380" s="2">
        <v>45327</v>
      </c>
      <c r="C380" s="1" t="s">
        <v>27</v>
      </c>
      <c r="D380" s="1" t="s">
        <v>43</v>
      </c>
      <c r="E380" s="1" t="s">
        <v>236</v>
      </c>
      <c r="F380" s="1" t="s">
        <v>30</v>
      </c>
      <c r="G380" s="1" t="s">
        <v>31</v>
      </c>
      <c r="H380" s="1" t="s">
        <v>32</v>
      </c>
      <c r="I380" s="1">
        <v>381.62</v>
      </c>
      <c r="J380" s="1">
        <v>6</v>
      </c>
      <c r="K380" s="1">
        <v>2289.7199999999998</v>
      </c>
      <c r="L380" s="1">
        <v>15</v>
      </c>
      <c r="M380" s="1">
        <v>343.46</v>
      </c>
      <c r="N380" s="1">
        <v>1946.26</v>
      </c>
      <c r="O380" s="1" t="s">
        <v>33</v>
      </c>
      <c r="P380" s="1" t="s">
        <v>830</v>
      </c>
      <c r="Q380" s="1">
        <v>1</v>
      </c>
      <c r="R380" s="1">
        <f>Retail_Sales_Analyis[[#This Row],[Final_Price]]-Retail_Sales_Analyis[[#This Row],[Total_Price]]</f>
        <v>-343.45999999999981</v>
      </c>
      <c r="S3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1" spans="1:19" x14ac:dyDescent="0.25">
      <c r="A381" s="1" t="s">
        <v>831</v>
      </c>
      <c r="B381" s="2">
        <v>45417</v>
      </c>
      <c r="C381" s="1" t="s">
        <v>42</v>
      </c>
      <c r="D381" s="1" t="s">
        <v>49</v>
      </c>
      <c r="E381" s="1" t="s">
        <v>168</v>
      </c>
      <c r="F381" s="1" t="s">
        <v>37</v>
      </c>
      <c r="G381" s="1" t="s">
        <v>169</v>
      </c>
      <c r="H381" s="1" t="s">
        <v>175</v>
      </c>
      <c r="I381" s="1">
        <v>805.04</v>
      </c>
      <c r="J381" s="1">
        <v>9</v>
      </c>
      <c r="K381" s="1">
        <v>7245.36</v>
      </c>
      <c r="L381" s="1">
        <v>15</v>
      </c>
      <c r="M381" s="1">
        <v>1086.8</v>
      </c>
      <c r="N381" s="1">
        <v>6158.56</v>
      </c>
      <c r="O381" s="1" t="s">
        <v>46</v>
      </c>
      <c r="P381" s="1" t="s">
        <v>435</v>
      </c>
      <c r="Q381" s="1">
        <v>4</v>
      </c>
      <c r="R381" s="1">
        <f>Retail_Sales_Analyis[[#This Row],[Final_Price]]-Retail_Sales_Analyis[[#This Row],[Total_Price]]</f>
        <v>-1086.7999999999993</v>
      </c>
      <c r="S3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2" spans="1:19" x14ac:dyDescent="0.25">
      <c r="A382" s="1" t="s">
        <v>832</v>
      </c>
      <c r="B382" s="2">
        <v>45481</v>
      </c>
      <c r="C382" s="1" t="s">
        <v>195</v>
      </c>
      <c r="D382" s="1" t="s">
        <v>43</v>
      </c>
      <c r="E382" s="1" t="s">
        <v>328</v>
      </c>
      <c r="F382" s="1" t="s">
        <v>30</v>
      </c>
      <c r="G382" s="1" t="s">
        <v>112</v>
      </c>
      <c r="H382" s="1" t="s">
        <v>113</v>
      </c>
      <c r="I382" s="1">
        <v>1445.23</v>
      </c>
      <c r="J382" s="1">
        <v>3</v>
      </c>
      <c r="K382" s="1">
        <v>4335.6899999999996</v>
      </c>
      <c r="L382" s="1">
        <v>0</v>
      </c>
      <c r="M382" s="1">
        <v>0</v>
      </c>
      <c r="N382" s="1">
        <v>4335.6899999999996</v>
      </c>
      <c r="O382" s="1" t="s">
        <v>33</v>
      </c>
      <c r="P382" s="1" t="s">
        <v>812</v>
      </c>
      <c r="Q382" s="1">
        <v>2</v>
      </c>
      <c r="R382" s="1">
        <f>Retail_Sales_Analyis[[#This Row],[Final_Price]]-Retail_Sales_Analyis[[#This Row],[Total_Price]]</f>
        <v>0</v>
      </c>
      <c r="S3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" spans="1:19" x14ac:dyDescent="0.25">
      <c r="A383" s="1" t="s">
        <v>833</v>
      </c>
      <c r="B383" s="2">
        <v>45437</v>
      </c>
      <c r="C383" s="1" t="s">
        <v>42</v>
      </c>
      <c r="D383" s="1" t="s">
        <v>19</v>
      </c>
      <c r="E383" s="1" t="s">
        <v>285</v>
      </c>
      <c r="F383" s="1" t="s">
        <v>69</v>
      </c>
      <c r="G383" s="1" t="s">
        <v>169</v>
      </c>
      <c r="H383" s="1" t="s">
        <v>208</v>
      </c>
      <c r="I383" s="1">
        <v>489.39</v>
      </c>
      <c r="J383" s="1">
        <v>9</v>
      </c>
      <c r="K383" s="1">
        <v>4404.51</v>
      </c>
      <c r="L383" s="1">
        <v>15</v>
      </c>
      <c r="M383" s="1">
        <v>660.68</v>
      </c>
      <c r="N383" s="1">
        <v>3743.83</v>
      </c>
      <c r="O383" s="1" t="s">
        <v>64</v>
      </c>
      <c r="P383" s="1" t="s">
        <v>423</v>
      </c>
      <c r="Q383" s="1">
        <v>5</v>
      </c>
      <c r="R383" s="1">
        <f>Retail_Sales_Analyis[[#This Row],[Final_Price]]-Retail_Sales_Analyis[[#This Row],[Total_Price]]</f>
        <v>-660.68000000000029</v>
      </c>
      <c r="S3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4" spans="1:19" x14ac:dyDescent="0.25">
      <c r="A384" s="1" t="s">
        <v>834</v>
      </c>
      <c r="B384" s="2">
        <v>45372</v>
      </c>
      <c r="C384" s="1" t="s">
        <v>61</v>
      </c>
      <c r="D384" s="1" t="s">
        <v>67</v>
      </c>
      <c r="E384" s="1" t="s">
        <v>166</v>
      </c>
      <c r="F384" s="1" t="s">
        <v>30</v>
      </c>
      <c r="G384" s="1" t="s">
        <v>78</v>
      </c>
      <c r="H384" s="1" t="s">
        <v>136</v>
      </c>
      <c r="I384" s="1">
        <v>365.26</v>
      </c>
      <c r="J384" s="1">
        <v>3</v>
      </c>
      <c r="K384" s="1">
        <v>1095.78</v>
      </c>
      <c r="L384" s="1">
        <v>0</v>
      </c>
      <c r="M384" s="1">
        <v>0</v>
      </c>
      <c r="N384" s="1">
        <v>1095.78</v>
      </c>
      <c r="O384" s="1" t="s">
        <v>64</v>
      </c>
      <c r="P384" s="1" t="s">
        <v>835</v>
      </c>
      <c r="Q384" s="1">
        <v>5</v>
      </c>
      <c r="R384" s="1">
        <f>Retail_Sales_Analyis[[#This Row],[Final_Price]]-Retail_Sales_Analyis[[#This Row],[Total_Price]]</f>
        <v>0</v>
      </c>
      <c r="S3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" spans="1:19" x14ac:dyDescent="0.25">
      <c r="A385" s="1" t="s">
        <v>836</v>
      </c>
      <c r="B385" s="2">
        <v>45516</v>
      </c>
      <c r="C385" s="1" t="s">
        <v>93</v>
      </c>
      <c r="D385" s="1" t="s">
        <v>43</v>
      </c>
      <c r="E385" s="1" t="s">
        <v>337</v>
      </c>
      <c r="F385" s="1" t="s">
        <v>37</v>
      </c>
      <c r="G385" s="1" t="s">
        <v>169</v>
      </c>
      <c r="H385" s="1" t="s">
        <v>348</v>
      </c>
      <c r="I385" s="1">
        <v>741.12</v>
      </c>
      <c r="J385" s="1">
        <v>7</v>
      </c>
      <c r="K385" s="1">
        <v>5187.84</v>
      </c>
      <c r="L385" s="1">
        <v>5</v>
      </c>
      <c r="M385" s="1">
        <v>259.39</v>
      </c>
      <c r="N385" s="1">
        <v>4928.45</v>
      </c>
      <c r="O385" s="1" t="s">
        <v>80</v>
      </c>
      <c r="P385" s="1" t="s">
        <v>837</v>
      </c>
      <c r="Q385" s="1">
        <v>2</v>
      </c>
      <c r="R385" s="1">
        <f>Retail_Sales_Analyis[[#This Row],[Final_Price]]-Retail_Sales_Analyis[[#This Row],[Total_Price]]</f>
        <v>-259.39000000000033</v>
      </c>
      <c r="S3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6" spans="1:19" x14ac:dyDescent="0.25">
      <c r="A386" s="1" t="s">
        <v>838</v>
      </c>
      <c r="B386" s="2">
        <v>45570</v>
      </c>
      <c r="C386" s="1" t="s">
        <v>76</v>
      </c>
      <c r="D386" s="1" t="s">
        <v>19</v>
      </c>
      <c r="E386" s="1" t="s">
        <v>207</v>
      </c>
      <c r="F386" s="1" t="s">
        <v>84</v>
      </c>
      <c r="G386" s="1" t="s">
        <v>57</v>
      </c>
      <c r="H386" s="1" t="s">
        <v>152</v>
      </c>
      <c r="I386" s="1">
        <v>2927.56</v>
      </c>
      <c r="J386" s="1">
        <v>4</v>
      </c>
      <c r="K386" s="1">
        <v>11710.24</v>
      </c>
      <c r="L386" s="1">
        <v>0</v>
      </c>
      <c r="M386" s="1">
        <v>0</v>
      </c>
      <c r="N386" s="1">
        <v>11710.24</v>
      </c>
      <c r="O386" s="1" t="s">
        <v>64</v>
      </c>
      <c r="P386" s="1" t="s">
        <v>839</v>
      </c>
      <c r="Q386" s="1">
        <v>1</v>
      </c>
      <c r="R386" s="1">
        <f>Retail_Sales_Analyis[[#This Row],[Final_Price]]-Retail_Sales_Analyis[[#This Row],[Total_Price]]</f>
        <v>0</v>
      </c>
      <c r="S3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" spans="1:19" x14ac:dyDescent="0.25">
      <c r="A387" s="1" t="s">
        <v>840</v>
      </c>
      <c r="B387" s="2">
        <v>45652</v>
      </c>
      <c r="C387" s="1" t="s">
        <v>73</v>
      </c>
      <c r="D387" s="1" t="s">
        <v>67</v>
      </c>
      <c r="E387" s="1" t="s">
        <v>157</v>
      </c>
      <c r="F387" s="1" t="s">
        <v>84</v>
      </c>
      <c r="G387" s="1" t="s">
        <v>38</v>
      </c>
      <c r="H387" s="1" t="s">
        <v>214</v>
      </c>
      <c r="I387" s="1">
        <v>162.34</v>
      </c>
      <c r="J387" s="1">
        <v>6</v>
      </c>
      <c r="K387" s="1">
        <v>974.04</v>
      </c>
      <c r="L387" s="1">
        <v>0</v>
      </c>
      <c r="M387" s="1">
        <v>0</v>
      </c>
      <c r="N387" s="1">
        <v>974.04</v>
      </c>
      <c r="O387" s="1" t="s">
        <v>80</v>
      </c>
      <c r="P387" s="1" t="s">
        <v>841</v>
      </c>
      <c r="Q387" s="1">
        <v>1</v>
      </c>
      <c r="R387" s="1">
        <f>Retail_Sales_Analyis[[#This Row],[Final_Price]]-Retail_Sales_Analyis[[#This Row],[Total_Price]]</f>
        <v>0</v>
      </c>
      <c r="S3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" spans="1:19" x14ac:dyDescent="0.25">
      <c r="A388" s="1" t="s">
        <v>842</v>
      </c>
      <c r="B388" s="2">
        <v>45446</v>
      </c>
      <c r="C388" s="1" t="s">
        <v>173</v>
      </c>
      <c r="D388" s="1" t="s">
        <v>43</v>
      </c>
      <c r="E388" s="1" t="s">
        <v>117</v>
      </c>
      <c r="F388" s="1" t="s">
        <v>69</v>
      </c>
      <c r="G388" s="1" t="s">
        <v>31</v>
      </c>
      <c r="H388" s="1" t="s">
        <v>32</v>
      </c>
      <c r="I388" s="1">
        <v>103.33</v>
      </c>
      <c r="J388" s="1">
        <v>4</v>
      </c>
      <c r="K388" s="1">
        <v>413.32</v>
      </c>
      <c r="L388" s="1">
        <v>0</v>
      </c>
      <c r="M388" s="1">
        <v>0</v>
      </c>
      <c r="N388" s="1">
        <v>413.32</v>
      </c>
      <c r="O388" s="1" t="s">
        <v>46</v>
      </c>
      <c r="P388" s="1" t="s">
        <v>843</v>
      </c>
      <c r="Q388" s="1">
        <v>3</v>
      </c>
      <c r="R388" s="1">
        <f>Retail_Sales_Analyis[[#This Row],[Final_Price]]-Retail_Sales_Analyis[[#This Row],[Total_Price]]</f>
        <v>0</v>
      </c>
      <c r="S3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" spans="1:19" x14ac:dyDescent="0.25">
      <c r="A389" s="1" t="s">
        <v>844</v>
      </c>
      <c r="B389" s="2">
        <v>45605</v>
      </c>
      <c r="C389" s="1" t="s">
        <v>18</v>
      </c>
      <c r="D389" s="1" t="s">
        <v>19</v>
      </c>
      <c r="E389" s="1" t="s">
        <v>261</v>
      </c>
      <c r="F389" s="1" t="s">
        <v>21</v>
      </c>
      <c r="G389" s="1" t="s">
        <v>85</v>
      </c>
      <c r="H389" s="1" t="s">
        <v>86</v>
      </c>
      <c r="I389" s="1">
        <v>4425.3500000000004</v>
      </c>
      <c r="J389" s="1">
        <v>10</v>
      </c>
      <c r="K389" s="1">
        <v>44253.5</v>
      </c>
      <c r="L389" s="1">
        <v>0</v>
      </c>
      <c r="M389" s="1">
        <v>0</v>
      </c>
      <c r="N389" s="1">
        <v>44253.5</v>
      </c>
      <c r="O389" s="1" t="s">
        <v>46</v>
      </c>
      <c r="P389" s="1" t="s">
        <v>255</v>
      </c>
      <c r="Q389" s="1">
        <v>2</v>
      </c>
      <c r="R389" s="1">
        <f>Retail_Sales_Analyis[[#This Row],[Final_Price]]-Retail_Sales_Analyis[[#This Row],[Total_Price]]</f>
        <v>0</v>
      </c>
      <c r="S3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" spans="1:19" x14ac:dyDescent="0.25">
      <c r="A390" s="1" t="s">
        <v>845</v>
      </c>
      <c r="B390" s="2">
        <v>45626</v>
      </c>
      <c r="C390" s="1" t="s">
        <v>18</v>
      </c>
      <c r="D390" s="1" t="s">
        <v>19</v>
      </c>
      <c r="E390" s="1" t="s">
        <v>29</v>
      </c>
      <c r="F390" s="1" t="s">
        <v>30</v>
      </c>
      <c r="G390" s="1" t="s">
        <v>85</v>
      </c>
      <c r="H390" s="1" t="s">
        <v>297</v>
      </c>
      <c r="I390" s="1">
        <v>2160.77</v>
      </c>
      <c r="J390" s="1">
        <v>5</v>
      </c>
      <c r="K390" s="1">
        <v>10803.85</v>
      </c>
      <c r="L390" s="1">
        <v>0</v>
      </c>
      <c r="M390" s="1">
        <v>0</v>
      </c>
      <c r="N390" s="1">
        <v>10803.85</v>
      </c>
      <c r="O390" s="1" t="s">
        <v>80</v>
      </c>
      <c r="P390" s="1" t="s">
        <v>846</v>
      </c>
      <c r="Q390" s="1">
        <v>4</v>
      </c>
      <c r="R390" s="1">
        <f>Retail_Sales_Analyis[[#This Row],[Final_Price]]-Retail_Sales_Analyis[[#This Row],[Total_Price]]</f>
        <v>0</v>
      </c>
      <c r="S3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" spans="1:19" x14ac:dyDescent="0.25">
      <c r="A391" s="1" t="s">
        <v>847</v>
      </c>
      <c r="B391" s="2">
        <v>45562</v>
      </c>
      <c r="C391" s="1" t="s">
        <v>116</v>
      </c>
      <c r="D391" s="1" t="s">
        <v>144</v>
      </c>
      <c r="E391" s="1" t="s">
        <v>285</v>
      </c>
      <c r="F391" s="1" t="s">
        <v>21</v>
      </c>
      <c r="G391" s="1" t="s">
        <v>31</v>
      </c>
      <c r="H391" s="1" t="s">
        <v>329</v>
      </c>
      <c r="I391" s="1">
        <v>54.64</v>
      </c>
      <c r="J391" s="1">
        <v>3</v>
      </c>
      <c r="K391" s="1">
        <v>163.92</v>
      </c>
      <c r="L391" s="1">
        <v>20</v>
      </c>
      <c r="M391" s="1">
        <v>32.78</v>
      </c>
      <c r="N391" s="1">
        <v>131.13999999999999</v>
      </c>
      <c r="O391" s="1" t="s">
        <v>46</v>
      </c>
      <c r="P391" s="1" t="s">
        <v>848</v>
      </c>
      <c r="Q391" s="1">
        <v>4</v>
      </c>
      <c r="R391" s="1">
        <f>Retail_Sales_Analyis[[#This Row],[Final_Price]]-Retail_Sales_Analyis[[#This Row],[Total_Price]]</f>
        <v>-32.78</v>
      </c>
      <c r="S3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2" spans="1:19" x14ac:dyDescent="0.25">
      <c r="A392" s="1" t="s">
        <v>849</v>
      </c>
      <c r="B392" s="2">
        <v>45296</v>
      </c>
      <c r="C392" s="1" t="s">
        <v>36</v>
      </c>
      <c r="D392" s="1" t="s">
        <v>144</v>
      </c>
      <c r="E392" s="1" t="s">
        <v>111</v>
      </c>
      <c r="F392" s="1" t="s">
        <v>37</v>
      </c>
      <c r="G392" s="1" t="s">
        <v>22</v>
      </c>
      <c r="H392" s="1" t="s">
        <v>51</v>
      </c>
      <c r="I392" s="1">
        <v>788.88</v>
      </c>
      <c r="J392" s="1">
        <v>5</v>
      </c>
      <c r="K392" s="1">
        <v>3944.4</v>
      </c>
      <c r="L392" s="1">
        <v>0</v>
      </c>
      <c r="M392" s="1">
        <v>0</v>
      </c>
      <c r="N392" s="1">
        <v>3944.4</v>
      </c>
      <c r="O392" s="1" t="s">
        <v>24</v>
      </c>
      <c r="P392" s="1" t="s">
        <v>545</v>
      </c>
      <c r="Q392" s="1">
        <v>5</v>
      </c>
      <c r="R392" s="1">
        <f>Retail_Sales_Analyis[[#This Row],[Final_Price]]-Retail_Sales_Analyis[[#This Row],[Total_Price]]</f>
        <v>0</v>
      </c>
      <c r="S3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" spans="1:19" x14ac:dyDescent="0.25">
      <c r="A393" s="1" t="s">
        <v>850</v>
      </c>
      <c r="B393" s="2">
        <v>45633</v>
      </c>
      <c r="C393" s="1" t="s">
        <v>73</v>
      </c>
      <c r="D393" s="1" t="s">
        <v>19</v>
      </c>
      <c r="E393" s="1" t="s">
        <v>157</v>
      </c>
      <c r="F393" s="1" t="s">
        <v>30</v>
      </c>
      <c r="G393" s="1" t="s">
        <v>57</v>
      </c>
      <c r="H393" s="1" t="s">
        <v>58</v>
      </c>
      <c r="I393" s="1">
        <v>2743.03</v>
      </c>
      <c r="J393" s="1">
        <v>10</v>
      </c>
      <c r="K393" s="1">
        <v>27430.3</v>
      </c>
      <c r="L393" s="1">
        <v>15</v>
      </c>
      <c r="M393" s="1">
        <v>4114.55</v>
      </c>
      <c r="N393" s="1">
        <v>23315.75</v>
      </c>
      <c r="O393" s="1" t="s">
        <v>80</v>
      </c>
      <c r="P393" s="1" t="s">
        <v>91</v>
      </c>
      <c r="Q393" s="1">
        <v>1</v>
      </c>
      <c r="R393" s="1">
        <f>Retail_Sales_Analyis[[#This Row],[Final_Price]]-Retail_Sales_Analyis[[#This Row],[Total_Price]]</f>
        <v>-4114.5499999999993</v>
      </c>
      <c r="S3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4" spans="1:19" x14ac:dyDescent="0.25">
      <c r="A394" s="1" t="s">
        <v>851</v>
      </c>
      <c r="B394" s="2">
        <v>45575</v>
      </c>
      <c r="C394" s="1" t="s">
        <v>76</v>
      </c>
      <c r="D394" s="1" t="s">
        <v>67</v>
      </c>
      <c r="E394" s="1" t="s">
        <v>132</v>
      </c>
      <c r="F394" s="1" t="s">
        <v>21</v>
      </c>
      <c r="G394" s="1" t="s">
        <v>22</v>
      </c>
      <c r="H394" s="1" t="s">
        <v>277</v>
      </c>
      <c r="I394" s="1">
        <v>982.02</v>
      </c>
      <c r="J394" s="1">
        <v>6</v>
      </c>
      <c r="K394" s="1">
        <v>5892.12</v>
      </c>
      <c r="L394" s="1">
        <v>0</v>
      </c>
      <c r="M394" s="1">
        <v>0</v>
      </c>
      <c r="N394" s="1">
        <v>5892.12</v>
      </c>
      <c r="O394" s="1" t="s">
        <v>80</v>
      </c>
      <c r="P394" s="1" t="s">
        <v>320</v>
      </c>
      <c r="Q394" s="1">
        <v>1</v>
      </c>
      <c r="R394" s="1">
        <f>Retail_Sales_Analyis[[#This Row],[Final_Price]]-Retail_Sales_Analyis[[#This Row],[Total_Price]]</f>
        <v>0</v>
      </c>
      <c r="S3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" spans="1:19" x14ac:dyDescent="0.25">
      <c r="A395" s="1" t="s">
        <v>852</v>
      </c>
      <c r="B395" s="2">
        <v>45445</v>
      </c>
      <c r="C395" s="1" t="s">
        <v>173</v>
      </c>
      <c r="D395" s="1" t="s">
        <v>49</v>
      </c>
      <c r="E395" s="1" t="s">
        <v>166</v>
      </c>
      <c r="F395" s="1" t="s">
        <v>84</v>
      </c>
      <c r="G395" s="1" t="s">
        <v>85</v>
      </c>
      <c r="H395" s="1" t="s">
        <v>90</v>
      </c>
      <c r="I395" s="1">
        <v>2971.36</v>
      </c>
      <c r="J395" s="1">
        <v>6</v>
      </c>
      <c r="K395" s="1">
        <v>17828.16</v>
      </c>
      <c r="L395" s="1">
        <v>5</v>
      </c>
      <c r="M395" s="1">
        <v>891.41</v>
      </c>
      <c r="N395" s="1">
        <v>16936.75</v>
      </c>
      <c r="O395" s="1" t="s">
        <v>64</v>
      </c>
      <c r="P395" s="1" t="s">
        <v>853</v>
      </c>
      <c r="Q395" s="1">
        <v>1</v>
      </c>
      <c r="R395" s="1">
        <f>Retail_Sales_Analyis[[#This Row],[Final_Price]]-Retail_Sales_Analyis[[#This Row],[Total_Price]]</f>
        <v>-891.40999999999985</v>
      </c>
      <c r="S3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6" spans="1:19" x14ac:dyDescent="0.25">
      <c r="A396" s="1" t="s">
        <v>854</v>
      </c>
      <c r="B396" s="2">
        <v>45631</v>
      </c>
      <c r="C396" s="1" t="s">
        <v>73</v>
      </c>
      <c r="D396" s="1" t="s">
        <v>67</v>
      </c>
      <c r="E396" s="1" t="s">
        <v>117</v>
      </c>
      <c r="F396" s="1" t="s">
        <v>30</v>
      </c>
      <c r="G396" s="1" t="s">
        <v>85</v>
      </c>
      <c r="H396" s="1" t="s">
        <v>180</v>
      </c>
      <c r="I396" s="1">
        <v>1467.37</v>
      </c>
      <c r="J396" s="1">
        <v>1</v>
      </c>
      <c r="K396" s="1">
        <v>1467.37</v>
      </c>
      <c r="L396" s="1">
        <v>0</v>
      </c>
      <c r="M396" s="1">
        <v>0</v>
      </c>
      <c r="N396" s="1">
        <v>1467.37</v>
      </c>
      <c r="O396" s="1" t="s">
        <v>33</v>
      </c>
      <c r="P396" s="1" t="s">
        <v>855</v>
      </c>
      <c r="Q396" s="1">
        <v>3</v>
      </c>
      <c r="R396" s="1">
        <f>Retail_Sales_Analyis[[#This Row],[Final_Price]]-Retail_Sales_Analyis[[#This Row],[Total_Price]]</f>
        <v>0</v>
      </c>
      <c r="S3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" spans="1:19" x14ac:dyDescent="0.25">
      <c r="A397" s="1" t="s">
        <v>856</v>
      </c>
      <c r="B397" s="2">
        <v>45345</v>
      </c>
      <c r="C397" s="1" t="s">
        <v>27</v>
      </c>
      <c r="D397" s="1" t="s">
        <v>144</v>
      </c>
      <c r="E397" s="1" t="s">
        <v>166</v>
      </c>
      <c r="F397" s="1" t="s">
        <v>69</v>
      </c>
      <c r="G397" s="1" t="s">
        <v>22</v>
      </c>
      <c r="H397" s="1" t="s">
        <v>277</v>
      </c>
      <c r="I397" s="1">
        <v>922.23</v>
      </c>
      <c r="J397" s="1">
        <v>5</v>
      </c>
      <c r="K397" s="1">
        <v>4611.1499999999996</v>
      </c>
      <c r="L397" s="1">
        <v>10</v>
      </c>
      <c r="M397" s="1">
        <v>461.12</v>
      </c>
      <c r="N397" s="1">
        <v>4150.03</v>
      </c>
      <c r="O397" s="1" t="s">
        <v>46</v>
      </c>
      <c r="P397" s="1" t="s">
        <v>857</v>
      </c>
      <c r="Q397" s="1">
        <v>5</v>
      </c>
      <c r="R397" s="1">
        <f>Retail_Sales_Analyis[[#This Row],[Final_Price]]-Retail_Sales_Analyis[[#This Row],[Total_Price]]</f>
        <v>-461.11999999999989</v>
      </c>
      <c r="S3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8" spans="1:19" x14ac:dyDescent="0.25">
      <c r="A398" s="1" t="s">
        <v>858</v>
      </c>
      <c r="B398" s="2">
        <v>45360</v>
      </c>
      <c r="C398" s="1" t="s">
        <v>61</v>
      </c>
      <c r="D398" s="1" t="s">
        <v>19</v>
      </c>
      <c r="E398" s="1" t="s">
        <v>104</v>
      </c>
      <c r="F398" s="1" t="s">
        <v>69</v>
      </c>
      <c r="G398" s="1" t="s">
        <v>85</v>
      </c>
      <c r="H398" s="1" t="s">
        <v>180</v>
      </c>
      <c r="I398" s="1">
        <v>3947.48</v>
      </c>
      <c r="J398" s="1">
        <v>8</v>
      </c>
      <c r="K398" s="1">
        <v>31579.84</v>
      </c>
      <c r="L398" s="1">
        <v>20</v>
      </c>
      <c r="M398" s="1">
        <v>6315.97</v>
      </c>
      <c r="N398" s="1">
        <v>25263.87</v>
      </c>
      <c r="O398" s="1" t="s">
        <v>64</v>
      </c>
      <c r="P398" s="1" t="s">
        <v>588</v>
      </c>
      <c r="Q398" s="1">
        <v>5</v>
      </c>
      <c r="R398" s="1">
        <f>Retail_Sales_Analyis[[#This Row],[Final_Price]]-Retail_Sales_Analyis[[#This Row],[Total_Price]]</f>
        <v>-6315.9700000000012</v>
      </c>
      <c r="S3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9" spans="1:19" x14ac:dyDescent="0.25">
      <c r="A399" s="1" t="s">
        <v>859</v>
      </c>
      <c r="B399" s="2">
        <v>45427</v>
      </c>
      <c r="C399" s="1" t="s">
        <v>42</v>
      </c>
      <c r="D399" s="1" t="s">
        <v>55</v>
      </c>
      <c r="E399" s="1" t="s">
        <v>236</v>
      </c>
      <c r="F399" s="1" t="s">
        <v>69</v>
      </c>
      <c r="G399" s="1" t="s">
        <v>57</v>
      </c>
      <c r="H399" s="1" t="s">
        <v>101</v>
      </c>
      <c r="I399" s="1">
        <v>352.79</v>
      </c>
      <c r="J399" s="1">
        <v>3</v>
      </c>
      <c r="K399" s="1">
        <v>1058.3699999999999</v>
      </c>
      <c r="L399" s="1">
        <v>0</v>
      </c>
      <c r="M399" s="1">
        <v>0</v>
      </c>
      <c r="N399" s="1">
        <v>1058.3699999999999</v>
      </c>
      <c r="O399" s="1" t="s">
        <v>33</v>
      </c>
      <c r="P399" s="1" t="s">
        <v>729</v>
      </c>
      <c r="Q399" s="1">
        <v>3</v>
      </c>
      <c r="R399" s="1">
        <f>Retail_Sales_Analyis[[#This Row],[Final_Price]]-Retail_Sales_Analyis[[#This Row],[Total_Price]]</f>
        <v>0</v>
      </c>
      <c r="S3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0" spans="1:19" x14ac:dyDescent="0.25">
      <c r="A400" s="1" t="s">
        <v>860</v>
      </c>
      <c r="B400" s="2">
        <v>45351</v>
      </c>
      <c r="C400" s="1" t="s">
        <v>27</v>
      </c>
      <c r="D400" s="1" t="s">
        <v>67</v>
      </c>
      <c r="E400" s="1" t="s">
        <v>56</v>
      </c>
      <c r="F400" s="1" t="s">
        <v>69</v>
      </c>
      <c r="G400" s="1" t="s">
        <v>169</v>
      </c>
      <c r="H400" s="1" t="s">
        <v>348</v>
      </c>
      <c r="I400" s="1">
        <v>348.95</v>
      </c>
      <c r="J400" s="1">
        <v>6</v>
      </c>
      <c r="K400" s="1">
        <v>2093.6999999999998</v>
      </c>
      <c r="L400" s="1">
        <v>15</v>
      </c>
      <c r="M400" s="1">
        <v>314.05</v>
      </c>
      <c r="N400" s="1">
        <v>1779.65</v>
      </c>
      <c r="O400" s="1" t="s">
        <v>80</v>
      </c>
      <c r="P400" s="1" t="s">
        <v>653</v>
      </c>
      <c r="Q400" s="1">
        <v>4</v>
      </c>
      <c r="R400" s="1">
        <f>Retail_Sales_Analyis[[#This Row],[Final_Price]]-Retail_Sales_Analyis[[#This Row],[Total_Price]]</f>
        <v>-314.04999999999973</v>
      </c>
      <c r="S4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1" spans="1:19" x14ac:dyDescent="0.25">
      <c r="A401" s="1" t="s">
        <v>861</v>
      </c>
      <c r="B401" s="2">
        <v>45346</v>
      </c>
      <c r="C401" s="1" t="s">
        <v>27</v>
      </c>
      <c r="D401" s="1" t="s">
        <v>19</v>
      </c>
      <c r="E401" s="1" t="s">
        <v>236</v>
      </c>
      <c r="F401" s="1" t="s">
        <v>84</v>
      </c>
      <c r="G401" s="1" t="s">
        <v>85</v>
      </c>
      <c r="H401" s="1" t="s">
        <v>297</v>
      </c>
      <c r="I401" s="1">
        <v>2398.42</v>
      </c>
      <c r="J401" s="1">
        <v>4</v>
      </c>
      <c r="K401" s="1">
        <v>9593.68</v>
      </c>
      <c r="L401" s="1">
        <v>20</v>
      </c>
      <c r="M401" s="1">
        <v>1918.74</v>
      </c>
      <c r="N401" s="1">
        <v>7674.94</v>
      </c>
      <c r="O401" s="1" t="s">
        <v>46</v>
      </c>
      <c r="P401" s="1" t="s">
        <v>828</v>
      </c>
      <c r="Q401" s="1">
        <v>2</v>
      </c>
      <c r="R401" s="1">
        <f>Retail_Sales_Analyis[[#This Row],[Final_Price]]-Retail_Sales_Analyis[[#This Row],[Total_Price]]</f>
        <v>-1918.7400000000007</v>
      </c>
      <c r="S4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2" spans="1:19" x14ac:dyDescent="0.25">
      <c r="A402" s="1" t="s">
        <v>862</v>
      </c>
      <c r="B402" s="2">
        <v>45575</v>
      </c>
      <c r="C402" s="1" t="s">
        <v>76</v>
      </c>
      <c r="D402" s="1" t="s">
        <v>67</v>
      </c>
      <c r="E402" s="1" t="s">
        <v>139</v>
      </c>
      <c r="F402" s="1" t="s">
        <v>84</v>
      </c>
      <c r="G402" s="1" t="s">
        <v>38</v>
      </c>
      <c r="H402" s="1" t="s">
        <v>70</v>
      </c>
      <c r="I402" s="1">
        <v>723.63</v>
      </c>
      <c r="J402" s="1">
        <v>10</v>
      </c>
      <c r="K402" s="1">
        <v>7236.3</v>
      </c>
      <c r="L402" s="1">
        <v>0</v>
      </c>
      <c r="M402" s="1">
        <v>0</v>
      </c>
      <c r="N402" s="1">
        <v>7236.3</v>
      </c>
      <c r="O402" s="1" t="s">
        <v>80</v>
      </c>
      <c r="P402" s="1" t="s">
        <v>863</v>
      </c>
      <c r="Q402" s="1">
        <v>1</v>
      </c>
      <c r="R402" s="1">
        <f>Retail_Sales_Analyis[[#This Row],[Final_Price]]-Retail_Sales_Analyis[[#This Row],[Total_Price]]</f>
        <v>0</v>
      </c>
      <c r="S4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3" spans="1:19" x14ac:dyDescent="0.25">
      <c r="A403" s="1" t="s">
        <v>864</v>
      </c>
      <c r="B403" s="2">
        <v>45371</v>
      </c>
      <c r="C403" s="1" t="s">
        <v>61</v>
      </c>
      <c r="D403" s="1" t="s">
        <v>55</v>
      </c>
      <c r="E403" s="1" t="s">
        <v>337</v>
      </c>
      <c r="F403" s="1" t="s">
        <v>30</v>
      </c>
      <c r="G403" s="1" t="s">
        <v>22</v>
      </c>
      <c r="H403" s="1" t="s">
        <v>133</v>
      </c>
      <c r="I403" s="1">
        <v>396.93</v>
      </c>
      <c r="J403" s="1">
        <v>8</v>
      </c>
      <c r="K403" s="1">
        <v>3175.44</v>
      </c>
      <c r="L403" s="1">
        <v>15</v>
      </c>
      <c r="M403" s="1">
        <v>476.32</v>
      </c>
      <c r="N403" s="1">
        <v>2699.12</v>
      </c>
      <c r="O403" s="1" t="s">
        <v>24</v>
      </c>
      <c r="P403" s="1" t="s">
        <v>865</v>
      </c>
      <c r="Q403" s="1">
        <v>3</v>
      </c>
      <c r="R403" s="1">
        <f>Retail_Sales_Analyis[[#This Row],[Final_Price]]-Retail_Sales_Analyis[[#This Row],[Total_Price]]</f>
        <v>-476.32000000000016</v>
      </c>
      <c r="S4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4" spans="1:19" x14ac:dyDescent="0.25">
      <c r="A404" s="1" t="s">
        <v>866</v>
      </c>
      <c r="B404" s="2">
        <v>45431</v>
      </c>
      <c r="C404" s="1" t="s">
        <v>42</v>
      </c>
      <c r="D404" s="1" t="s">
        <v>49</v>
      </c>
      <c r="E404" s="1" t="s">
        <v>337</v>
      </c>
      <c r="F404" s="1" t="s">
        <v>37</v>
      </c>
      <c r="G404" s="1" t="s">
        <v>169</v>
      </c>
      <c r="H404" s="1" t="s">
        <v>348</v>
      </c>
      <c r="I404" s="1">
        <v>748.27</v>
      </c>
      <c r="J404" s="1">
        <v>2</v>
      </c>
      <c r="K404" s="1">
        <v>1496.54</v>
      </c>
      <c r="L404" s="1">
        <v>20</v>
      </c>
      <c r="M404" s="1">
        <v>299.31</v>
      </c>
      <c r="N404" s="1">
        <v>1197.23</v>
      </c>
      <c r="O404" s="1" t="s">
        <v>46</v>
      </c>
      <c r="P404" s="1" t="s">
        <v>867</v>
      </c>
      <c r="Q404" s="1">
        <v>2</v>
      </c>
      <c r="R404" s="1">
        <f>Retail_Sales_Analyis[[#This Row],[Final_Price]]-Retail_Sales_Analyis[[#This Row],[Total_Price]]</f>
        <v>-299.30999999999995</v>
      </c>
      <c r="S4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5" spans="1:19" x14ac:dyDescent="0.25">
      <c r="A405" s="1" t="s">
        <v>868</v>
      </c>
      <c r="B405" s="2">
        <v>45436</v>
      </c>
      <c r="C405" s="1" t="s">
        <v>42</v>
      </c>
      <c r="D405" s="1" t="s">
        <v>144</v>
      </c>
      <c r="E405" s="1" t="s">
        <v>342</v>
      </c>
      <c r="F405" s="1" t="s">
        <v>84</v>
      </c>
      <c r="G405" s="1" t="s">
        <v>31</v>
      </c>
      <c r="H405" s="1" t="s">
        <v>32</v>
      </c>
      <c r="I405" s="1">
        <v>332.76</v>
      </c>
      <c r="J405" s="1">
        <v>5</v>
      </c>
      <c r="K405" s="1">
        <v>1663.8</v>
      </c>
      <c r="L405" s="1">
        <v>10</v>
      </c>
      <c r="M405" s="1">
        <v>166.38</v>
      </c>
      <c r="N405" s="1">
        <v>1497.42</v>
      </c>
      <c r="O405" s="1" t="s">
        <v>24</v>
      </c>
      <c r="P405" s="1" t="s">
        <v>869</v>
      </c>
      <c r="Q405" s="1">
        <v>3</v>
      </c>
      <c r="R405" s="1">
        <f>Retail_Sales_Analyis[[#This Row],[Final_Price]]-Retail_Sales_Analyis[[#This Row],[Total_Price]]</f>
        <v>-166.37999999999988</v>
      </c>
      <c r="S4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6" spans="1:19" x14ac:dyDescent="0.25">
      <c r="A406" s="1" t="s">
        <v>870</v>
      </c>
      <c r="B406" s="2">
        <v>45601</v>
      </c>
      <c r="C406" s="1" t="s">
        <v>18</v>
      </c>
      <c r="D406" s="1" t="s">
        <v>28</v>
      </c>
      <c r="E406" s="1" t="s">
        <v>20</v>
      </c>
      <c r="F406" s="1" t="s">
        <v>30</v>
      </c>
      <c r="G406" s="1" t="s">
        <v>31</v>
      </c>
      <c r="H406" s="1" t="s">
        <v>63</v>
      </c>
      <c r="I406" s="1">
        <v>476.34</v>
      </c>
      <c r="J406" s="1">
        <v>10</v>
      </c>
      <c r="K406" s="1">
        <v>4763.3999999999996</v>
      </c>
      <c r="L406" s="1">
        <v>0</v>
      </c>
      <c r="M406" s="1">
        <v>0</v>
      </c>
      <c r="N406" s="1">
        <v>4763.3999999999996</v>
      </c>
      <c r="O406" s="1" t="s">
        <v>64</v>
      </c>
      <c r="P406" s="1" t="s">
        <v>871</v>
      </c>
      <c r="Q406" s="1">
        <v>1</v>
      </c>
      <c r="R406" s="1">
        <f>Retail_Sales_Analyis[[#This Row],[Final_Price]]-Retail_Sales_Analyis[[#This Row],[Total_Price]]</f>
        <v>0</v>
      </c>
      <c r="S4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" spans="1:19" x14ac:dyDescent="0.25">
      <c r="A407" s="1" t="s">
        <v>872</v>
      </c>
      <c r="B407" s="2">
        <v>45399</v>
      </c>
      <c r="C407" s="1" t="s">
        <v>54</v>
      </c>
      <c r="D407" s="1" t="s">
        <v>55</v>
      </c>
      <c r="E407" s="1" t="s">
        <v>151</v>
      </c>
      <c r="F407" s="1" t="s">
        <v>21</v>
      </c>
      <c r="G407" s="1" t="s">
        <v>112</v>
      </c>
      <c r="H407" s="1" t="s">
        <v>223</v>
      </c>
      <c r="I407" s="1">
        <v>1320.73</v>
      </c>
      <c r="J407" s="1">
        <v>10</v>
      </c>
      <c r="K407" s="1">
        <v>13207.3</v>
      </c>
      <c r="L407" s="1">
        <v>5</v>
      </c>
      <c r="M407" s="1">
        <v>660.37</v>
      </c>
      <c r="N407" s="1">
        <v>12546.93</v>
      </c>
      <c r="O407" s="1" t="s">
        <v>24</v>
      </c>
      <c r="P407" s="1" t="s">
        <v>873</v>
      </c>
      <c r="Q407" s="1">
        <v>4</v>
      </c>
      <c r="R407" s="1">
        <f>Retail_Sales_Analyis[[#This Row],[Final_Price]]-Retail_Sales_Analyis[[#This Row],[Total_Price]]</f>
        <v>-660.36999999999898</v>
      </c>
      <c r="S4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8" spans="1:19" x14ac:dyDescent="0.25">
      <c r="A408" s="1" t="s">
        <v>874</v>
      </c>
      <c r="B408" s="2">
        <v>45467</v>
      </c>
      <c r="C408" s="1" t="s">
        <v>173</v>
      </c>
      <c r="D408" s="1" t="s">
        <v>43</v>
      </c>
      <c r="E408" s="1" t="s">
        <v>94</v>
      </c>
      <c r="F408" s="1" t="s">
        <v>21</v>
      </c>
      <c r="G408" s="1" t="s">
        <v>22</v>
      </c>
      <c r="H408" s="1" t="s">
        <v>133</v>
      </c>
      <c r="I408" s="1">
        <v>216.41</v>
      </c>
      <c r="J408" s="1">
        <v>4</v>
      </c>
      <c r="K408" s="1">
        <v>865.64</v>
      </c>
      <c r="L408" s="1">
        <v>0</v>
      </c>
      <c r="M408" s="1">
        <v>0</v>
      </c>
      <c r="N408" s="1">
        <v>865.64</v>
      </c>
      <c r="O408" s="1" t="s">
        <v>33</v>
      </c>
      <c r="P408" s="1" t="s">
        <v>875</v>
      </c>
      <c r="Q408" s="1">
        <v>4</v>
      </c>
      <c r="R408" s="1">
        <f>Retail_Sales_Analyis[[#This Row],[Final_Price]]-Retail_Sales_Analyis[[#This Row],[Total_Price]]</f>
        <v>0</v>
      </c>
      <c r="S4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" spans="1:19" x14ac:dyDescent="0.25">
      <c r="A409" s="1" t="s">
        <v>876</v>
      </c>
      <c r="B409" s="2">
        <v>45396</v>
      </c>
      <c r="C409" s="1" t="s">
        <v>54</v>
      </c>
      <c r="D409" s="1" t="s">
        <v>49</v>
      </c>
      <c r="E409" s="1" t="s">
        <v>411</v>
      </c>
      <c r="F409" s="1" t="s">
        <v>37</v>
      </c>
      <c r="G409" s="1" t="s">
        <v>38</v>
      </c>
      <c r="H409" s="1" t="s">
        <v>108</v>
      </c>
      <c r="I409" s="1">
        <v>660.77</v>
      </c>
      <c r="J409" s="1">
        <v>5</v>
      </c>
      <c r="K409" s="1">
        <v>3303.85</v>
      </c>
      <c r="L409" s="1">
        <v>15</v>
      </c>
      <c r="M409" s="1">
        <v>495.58</v>
      </c>
      <c r="N409" s="1">
        <v>2808.27</v>
      </c>
      <c r="O409" s="1" t="s">
        <v>80</v>
      </c>
      <c r="P409" s="1" t="s">
        <v>877</v>
      </c>
      <c r="Q409" s="1">
        <v>2</v>
      </c>
      <c r="R409" s="1">
        <f>Retail_Sales_Analyis[[#This Row],[Final_Price]]-Retail_Sales_Analyis[[#This Row],[Total_Price]]</f>
        <v>-495.57999999999993</v>
      </c>
      <c r="S4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0" spans="1:19" x14ac:dyDescent="0.25">
      <c r="A410" s="1" t="s">
        <v>878</v>
      </c>
      <c r="B410" s="2">
        <v>45643</v>
      </c>
      <c r="C410" s="1" t="s">
        <v>73</v>
      </c>
      <c r="D410" s="1" t="s">
        <v>28</v>
      </c>
      <c r="E410" s="1" t="s">
        <v>196</v>
      </c>
      <c r="F410" s="1" t="s">
        <v>84</v>
      </c>
      <c r="G410" s="1" t="s">
        <v>78</v>
      </c>
      <c r="H410" s="1" t="s">
        <v>126</v>
      </c>
      <c r="I410" s="1">
        <v>239.94</v>
      </c>
      <c r="J410" s="1">
        <v>8</v>
      </c>
      <c r="K410" s="1">
        <v>1919.52</v>
      </c>
      <c r="L410" s="1">
        <v>5</v>
      </c>
      <c r="M410" s="1">
        <v>95.98</v>
      </c>
      <c r="N410" s="1">
        <v>1823.54</v>
      </c>
      <c r="O410" s="1" t="s">
        <v>33</v>
      </c>
      <c r="P410" s="1" t="s">
        <v>439</v>
      </c>
      <c r="Q410" s="1">
        <v>3</v>
      </c>
      <c r="R410" s="1">
        <f>Retail_Sales_Analyis[[#This Row],[Final_Price]]-Retail_Sales_Analyis[[#This Row],[Total_Price]]</f>
        <v>-95.980000000000018</v>
      </c>
      <c r="S4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1" spans="1:19" x14ac:dyDescent="0.25">
      <c r="A411" s="1" t="s">
        <v>879</v>
      </c>
      <c r="B411" s="2">
        <v>45616</v>
      </c>
      <c r="C411" s="1" t="s">
        <v>18</v>
      </c>
      <c r="D411" s="1" t="s">
        <v>55</v>
      </c>
      <c r="E411" s="1" t="s">
        <v>239</v>
      </c>
      <c r="F411" s="1" t="s">
        <v>37</v>
      </c>
      <c r="G411" s="1" t="s">
        <v>169</v>
      </c>
      <c r="H411" s="1" t="s">
        <v>348</v>
      </c>
      <c r="I411" s="1">
        <v>1273.19</v>
      </c>
      <c r="J411" s="1">
        <v>10</v>
      </c>
      <c r="K411" s="1">
        <v>12731.9</v>
      </c>
      <c r="L411" s="1">
        <v>0</v>
      </c>
      <c r="M411" s="1">
        <v>0</v>
      </c>
      <c r="N411" s="1">
        <v>12731.9</v>
      </c>
      <c r="O411" s="1" t="s">
        <v>33</v>
      </c>
      <c r="P411" s="1" t="s">
        <v>880</v>
      </c>
      <c r="Q411" s="1">
        <v>4</v>
      </c>
      <c r="R411" s="1">
        <f>Retail_Sales_Analyis[[#This Row],[Final_Price]]-Retail_Sales_Analyis[[#This Row],[Total_Price]]</f>
        <v>0</v>
      </c>
      <c r="S4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2" spans="1:19" x14ac:dyDescent="0.25">
      <c r="A412" s="1" t="s">
        <v>881</v>
      </c>
      <c r="B412" s="2">
        <v>45427</v>
      </c>
      <c r="C412" s="1" t="s">
        <v>42</v>
      </c>
      <c r="D412" s="1" t="s">
        <v>55</v>
      </c>
      <c r="E412" s="1" t="s">
        <v>239</v>
      </c>
      <c r="F412" s="1" t="s">
        <v>30</v>
      </c>
      <c r="G412" s="1" t="s">
        <v>78</v>
      </c>
      <c r="H412" s="1" t="s">
        <v>136</v>
      </c>
      <c r="I412" s="1">
        <v>454.4</v>
      </c>
      <c r="J412" s="1">
        <v>3</v>
      </c>
      <c r="K412" s="1">
        <v>1363.2</v>
      </c>
      <c r="L412" s="1">
        <v>5</v>
      </c>
      <c r="M412" s="1">
        <v>68.16</v>
      </c>
      <c r="N412" s="1">
        <v>1295.04</v>
      </c>
      <c r="O412" s="1" t="s">
        <v>80</v>
      </c>
      <c r="P412" s="1" t="s">
        <v>882</v>
      </c>
      <c r="Q412" s="1">
        <v>5</v>
      </c>
      <c r="R412" s="1">
        <f>Retail_Sales_Analyis[[#This Row],[Final_Price]]-Retail_Sales_Analyis[[#This Row],[Total_Price]]</f>
        <v>-68.160000000000082</v>
      </c>
      <c r="S4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3" spans="1:19" x14ac:dyDescent="0.25">
      <c r="A413" s="1" t="s">
        <v>883</v>
      </c>
      <c r="B413" s="2">
        <v>45550</v>
      </c>
      <c r="C413" s="1" t="s">
        <v>116</v>
      </c>
      <c r="D413" s="1" t="s">
        <v>49</v>
      </c>
      <c r="E413" s="1" t="s">
        <v>285</v>
      </c>
      <c r="F413" s="1" t="s">
        <v>30</v>
      </c>
      <c r="G413" s="1" t="s">
        <v>22</v>
      </c>
      <c r="H413" s="1" t="s">
        <v>133</v>
      </c>
      <c r="I413" s="1">
        <v>925.77</v>
      </c>
      <c r="J413" s="1">
        <v>8</v>
      </c>
      <c r="K413" s="1">
        <v>7406.16</v>
      </c>
      <c r="L413" s="1">
        <v>0</v>
      </c>
      <c r="M413" s="1">
        <v>0</v>
      </c>
      <c r="N413" s="1">
        <v>7406.16</v>
      </c>
      <c r="O413" s="1" t="s">
        <v>64</v>
      </c>
      <c r="P413" s="1" t="s">
        <v>884</v>
      </c>
      <c r="Q413" s="1">
        <v>2</v>
      </c>
      <c r="R413" s="1">
        <f>Retail_Sales_Analyis[[#This Row],[Final_Price]]-Retail_Sales_Analyis[[#This Row],[Total_Price]]</f>
        <v>0</v>
      </c>
      <c r="S4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" spans="1:19" x14ac:dyDescent="0.25">
      <c r="A414" s="1" t="s">
        <v>885</v>
      </c>
      <c r="B414" s="2">
        <v>45542</v>
      </c>
      <c r="C414" s="1" t="s">
        <v>116</v>
      </c>
      <c r="D414" s="1" t="s">
        <v>19</v>
      </c>
      <c r="E414" s="1" t="s">
        <v>342</v>
      </c>
      <c r="F414" s="1" t="s">
        <v>84</v>
      </c>
      <c r="G414" s="1" t="s">
        <v>57</v>
      </c>
      <c r="H414" s="1" t="s">
        <v>122</v>
      </c>
      <c r="I414" s="1">
        <v>1397.65</v>
      </c>
      <c r="J414" s="1">
        <v>10</v>
      </c>
      <c r="K414" s="1">
        <v>13976.5</v>
      </c>
      <c r="L414" s="1">
        <v>0</v>
      </c>
      <c r="M414" s="1">
        <v>0</v>
      </c>
      <c r="N414" s="1">
        <v>13976.5</v>
      </c>
      <c r="O414" s="1" t="s">
        <v>80</v>
      </c>
      <c r="P414" s="1" t="s">
        <v>886</v>
      </c>
      <c r="Q414" s="1">
        <v>1</v>
      </c>
      <c r="R414" s="1">
        <f>Retail_Sales_Analyis[[#This Row],[Final_Price]]-Retail_Sales_Analyis[[#This Row],[Total_Price]]</f>
        <v>0</v>
      </c>
      <c r="S4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5" spans="1:19" x14ac:dyDescent="0.25">
      <c r="A415" s="1" t="s">
        <v>887</v>
      </c>
      <c r="B415" s="2">
        <v>45420</v>
      </c>
      <c r="C415" s="1" t="s">
        <v>42</v>
      </c>
      <c r="D415" s="1" t="s">
        <v>55</v>
      </c>
      <c r="E415" s="1" t="s">
        <v>151</v>
      </c>
      <c r="F415" s="1" t="s">
        <v>84</v>
      </c>
      <c r="G415" s="1" t="s">
        <v>22</v>
      </c>
      <c r="H415" s="1" t="s">
        <v>51</v>
      </c>
      <c r="I415" s="1">
        <v>275.58999999999997</v>
      </c>
      <c r="J415" s="1">
        <v>10</v>
      </c>
      <c r="K415" s="1">
        <v>2755.9</v>
      </c>
      <c r="L415" s="1">
        <v>20</v>
      </c>
      <c r="M415" s="1">
        <v>551.17999999999995</v>
      </c>
      <c r="N415" s="1">
        <v>2204.7199999999998</v>
      </c>
      <c r="O415" s="1" t="s">
        <v>46</v>
      </c>
      <c r="P415" s="1" t="s">
        <v>888</v>
      </c>
      <c r="Q415" s="1">
        <v>3</v>
      </c>
      <c r="R415" s="1">
        <f>Retail_Sales_Analyis[[#This Row],[Final_Price]]-Retail_Sales_Analyis[[#This Row],[Total_Price]]</f>
        <v>-551.18000000000029</v>
      </c>
      <c r="S4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6" spans="1:19" x14ac:dyDescent="0.25">
      <c r="A416" s="1" t="s">
        <v>889</v>
      </c>
      <c r="B416" s="2">
        <v>45318</v>
      </c>
      <c r="C416" s="1" t="s">
        <v>36</v>
      </c>
      <c r="D416" s="1" t="s">
        <v>19</v>
      </c>
      <c r="E416" s="1" t="s">
        <v>342</v>
      </c>
      <c r="F416" s="1" t="s">
        <v>37</v>
      </c>
      <c r="G416" s="1" t="s">
        <v>112</v>
      </c>
      <c r="H416" s="1" t="s">
        <v>223</v>
      </c>
      <c r="I416" s="1">
        <v>1610.77</v>
      </c>
      <c r="J416" s="1">
        <v>8</v>
      </c>
      <c r="K416" s="1">
        <v>12886.16</v>
      </c>
      <c r="L416" s="1">
        <v>0</v>
      </c>
      <c r="M416" s="1">
        <v>0</v>
      </c>
      <c r="N416" s="1">
        <v>12886.16</v>
      </c>
      <c r="O416" s="1" t="s">
        <v>64</v>
      </c>
      <c r="P416" s="1" t="s">
        <v>890</v>
      </c>
      <c r="Q416" s="1">
        <v>4</v>
      </c>
      <c r="R416" s="1">
        <f>Retail_Sales_Analyis[[#This Row],[Final_Price]]-Retail_Sales_Analyis[[#This Row],[Total_Price]]</f>
        <v>0</v>
      </c>
      <c r="S4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7" spans="1:19" x14ac:dyDescent="0.25">
      <c r="A417" s="1" t="s">
        <v>891</v>
      </c>
      <c r="B417" s="2">
        <v>45339</v>
      </c>
      <c r="C417" s="1" t="s">
        <v>27</v>
      </c>
      <c r="D417" s="1" t="s">
        <v>19</v>
      </c>
      <c r="E417" s="1" t="s">
        <v>151</v>
      </c>
      <c r="F417" s="1" t="s">
        <v>30</v>
      </c>
      <c r="G417" s="1" t="s">
        <v>38</v>
      </c>
      <c r="H417" s="1" t="s">
        <v>422</v>
      </c>
      <c r="I417" s="1">
        <v>511.05</v>
      </c>
      <c r="J417" s="1">
        <v>8</v>
      </c>
      <c r="K417" s="1">
        <v>4088.4</v>
      </c>
      <c r="L417" s="1">
        <v>20</v>
      </c>
      <c r="M417" s="1">
        <v>817.68</v>
      </c>
      <c r="N417" s="1">
        <v>3270.72</v>
      </c>
      <c r="O417" s="1" t="s">
        <v>33</v>
      </c>
      <c r="P417" s="1" t="s">
        <v>892</v>
      </c>
      <c r="Q417" s="1">
        <v>5</v>
      </c>
      <c r="R417" s="1">
        <f>Retail_Sales_Analyis[[#This Row],[Final_Price]]-Retail_Sales_Analyis[[#This Row],[Total_Price]]</f>
        <v>-817.68000000000029</v>
      </c>
      <c r="S4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8" spans="1:19" x14ac:dyDescent="0.25">
      <c r="A418" s="1" t="s">
        <v>893</v>
      </c>
      <c r="B418" s="2">
        <v>45616</v>
      </c>
      <c r="C418" s="1" t="s">
        <v>18</v>
      </c>
      <c r="D418" s="1" t="s">
        <v>55</v>
      </c>
      <c r="E418" s="1" t="s">
        <v>141</v>
      </c>
      <c r="F418" s="1" t="s">
        <v>37</v>
      </c>
      <c r="G418" s="1" t="s">
        <v>85</v>
      </c>
      <c r="H418" s="1" t="s">
        <v>98</v>
      </c>
      <c r="I418" s="1">
        <v>1740.35</v>
      </c>
      <c r="J418" s="1">
        <v>10</v>
      </c>
      <c r="K418" s="1">
        <v>17403.5</v>
      </c>
      <c r="L418" s="1">
        <v>0</v>
      </c>
      <c r="M418" s="1">
        <v>0</v>
      </c>
      <c r="N418" s="1">
        <v>17403.5</v>
      </c>
      <c r="O418" s="1" t="s">
        <v>24</v>
      </c>
      <c r="P418" s="1" t="s">
        <v>134</v>
      </c>
      <c r="Q418" s="1">
        <v>4</v>
      </c>
      <c r="R418" s="1">
        <f>Retail_Sales_Analyis[[#This Row],[Final_Price]]-Retail_Sales_Analyis[[#This Row],[Total_Price]]</f>
        <v>0</v>
      </c>
      <c r="S4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" spans="1:19" x14ac:dyDescent="0.25">
      <c r="A419" s="1" t="s">
        <v>894</v>
      </c>
      <c r="B419" s="2">
        <v>45508</v>
      </c>
      <c r="C419" s="1" t="s">
        <v>93</v>
      </c>
      <c r="D419" s="1" t="s">
        <v>49</v>
      </c>
      <c r="E419" s="1" t="s">
        <v>204</v>
      </c>
      <c r="F419" s="1" t="s">
        <v>69</v>
      </c>
      <c r="G419" s="1" t="s">
        <v>22</v>
      </c>
      <c r="H419" s="1" t="s">
        <v>133</v>
      </c>
      <c r="I419" s="1">
        <v>210.64</v>
      </c>
      <c r="J419" s="1">
        <v>8</v>
      </c>
      <c r="K419" s="1">
        <v>1685.12</v>
      </c>
      <c r="L419" s="1">
        <v>5</v>
      </c>
      <c r="M419" s="1">
        <v>84.26</v>
      </c>
      <c r="N419" s="1">
        <v>1600.86</v>
      </c>
      <c r="O419" s="1" t="s">
        <v>33</v>
      </c>
      <c r="P419" s="1" t="s">
        <v>469</v>
      </c>
      <c r="Q419" s="1">
        <v>5</v>
      </c>
      <c r="R419" s="1">
        <f>Retail_Sales_Analyis[[#This Row],[Final_Price]]-Retail_Sales_Analyis[[#This Row],[Total_Price]]</f>
        <v>-84.259999999999991</v>
      </c>
      <c r="S4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0" spans="1:19" x14ac:dyDescent="0.25">
      <c r="A420" s="1" t="s">
        <v>895</v>
      </c>
      <c r="B420" s="2">
        <v>45433</v>
      </c>
      <c r="C420" s="1" t="s">
        <v>42</v>
      </c>
      <c r="D420" s="1" t="s">
        <v>28</v>
      </c>
      <c r="E420" s="1" t="s">
        <v>186</v>
      </c>
      <c r="F420" s="1" t="s">
        <v>37</v>
      </c>
      <c r="G420" s="1" t="s">
        <v>78</v>
      </c>
      <c r="H420" s="1" t="s">
        <v>136</v>
      </c>
      <c r="I420" s="1">
        <v>512.09</v>
      </c>
      <c r="J420" s="1">
        <v>2</v>
      </c>
      <c r="K420" s="1">
        <v>1024.18</v>
      </c>
      <c r="L420" s="1">
        <v>0</v>
      </c>
      <c r="M420" s="1">
        <v>0</v>
      </c>
      <c r="N420" s="1">
        <v>1024.18</v>
      </c>
      <c r="O420" s="1" t="s">
        <v>64</v>
      </c>
      <c r="P420" s="1" t="s">
        <v>896</v>
      </c>
      <c r="Q420" s="1">
        <v>1</v>
      </c>
      <c r="R420" s="1">
        <f>Retail_Sales_Analyis[[#This Row],[Final_Price]]-Retail_Sales_Analyis[[#This Row],[Total_Price]]</f>
        <v>0</v>
      </c>
      <c r="S4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1" spans="1:19" x14ac:dyDescent="0.25">
      <c r="A421" s="1" t="s">
        <v>897</v>
      </c>
      <c r="B421" s="2">
        <v>45314</v>
      </c>
      <c r="C421" s="1" t="s">
        <v>36</v>
      </c>
      <c r="D421" s="1" t="s">
        <v>28</v>
      </c>
      <c r="E421" s="1" t="s">
        <v>302</v>
      </c>
      <c r="F421" s="1" t="s">
        <v>84</v>
      </c>
      <c r="G421" s="1" t="s">
        <v>112</v>
      </c>
      <c r="H421" s="1" t="s">
        <v>113</v>
      </c>
      <c r="I421" s="1">
        <v>1788.52</v>
      </c>
      <c r="J421" s="1">
        <v>4</v>
      </c>
      <c r="K421" s="1">
        <v>7154.08</v>
      </c>
      <c r="L421" s="1">
        <v>5</v>
      </c>
      <c r="M421" s="1">
        <v>357.7</v>
      </c>
      <c r="N421" s="1">
        <v>6796.38</v>
      </c>
      <c r="O421" s="1" t="s">
        <v>64</v>
      </c>
      <c r="P421" s="1" t="s">
        <v>898</v>
      </c>
      <c r="Q421" s="1">
        <v>2</v>
      </c>
      <c r="R421" s="1">
        <f>Retail_Sales_Analyis[[#This Row],[Final_Price]]-Retail_Sales_Analyis[[#This Row],[Total_Price]]</f>
        <v>-357.69999999999982</v>
      </c>
      <c r="S4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2" spans="1:19" x14ac:dyDescent="0.25">
      <c r="A422" s="1" t="s">
        <v>899</v>
      </c>
      <c r="B422" s="2">
        <v>45293</v>
      </c>
      <c r="C422" s="1" t="s">
        <v>36</v>
      </c>
      <c r="D422" s="1" t="s">
        <v>28</v>
      </c>
      <c r="E422" s="1" t="s">
        <v>322</v>
      </c>
      <c r="F422" s="1" t="s">
        <v>21</v>
      </c>
      <c r="G422" s="1" t="s">
        <v>169</v>
      </c>
      <c r="H422" s="1" t="s">
        <v>175</v>
      </c>
      <c r="I422" s="1">
        <v>1223.67</v>
      </c>
      <c r="J422" s="1">
        <v>3</v>
      </c>
      <c r="K422" s="1">
        <v>3671.01</v>
      </c>
      <c r="L422" s="1">
        <v>5</v>
      </c>
      <c r="M422" s="1">
        <v>183.55</v>
      </c>
      <c r="N422" s="1">
        <v>3487.46</v>
      </c>
      <c r="O422" s="1" t="s">
        <v>33</v>
      </c>
      <c r="P422" s="1" t="s">
        <v>900</v>
      </c>
      <c r="Q422" s="1">
        <v>1</v>
      </c>
      <c r="R422" s="1">
        <f>Retail_Sales_Analyis[[#This Row],[Final_Price]]-Retail_Sales_Analyis[[#This Row],[Total_Price]]</f>
        <v>-183.55000000000018</v>
      </c>
      <c r="S42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3" spans="1:19" x14ac:dyDescent="0.25">
      <c r="A423" s="1" t="s">
        <v>901</v>
      </c>
      <c r="B423" s="2">
        <v>45462</v>
      </c>
      <c r="C423" s="1" t="s">
        <v>173</v>
      </c>
      <c r="D423" s="1" t="s">
        <v>55</v>
      </c>
      <c r="E423" s="1" t="s">
        <v>29</v>
      </c>
      <c r="F423" s="1" t="s">
        <v>21</v>
      </c>
      <c r="G423" s="1" t="s">
        <v>85</v>
      </c>
      <c r="H423" s="1" t="s">
        <v>86</v>
      </c>
      <c r="I423" s="1">
        <v>4855.47</v>
      </c>
      <c r="J423" s="1">
        <v>8</v>
      </c>
      <c r="K423" s="1">
        <v>38843.760000000002</v>
      </c>
      <c r="L423" s="1">
        <v>0</v>
      </c>
      <c r="M423" s="1">
        <v>0</v>
      </c>
      <c r="N423" s="1">
        <v>38843.760000000002</v>
      </c>
      <c r="O423" s="1" t="s">
        <v>33</v>
      </c>
      <c r="P423" s="1" t="s">
        <v>902</v>
      </c>
      <c r="Q423" s="1">
        <v>5</v>
      </c>
      <c r="R423" s="1">
        <f>Retail_Sales_Analyis[[#This Row],[Final_Price]]-Retail_Sales_Analyis[[#This Row],[Total_Price]]</f>
        <v>0</v>
      </c>
      <c r="S4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4" spans="1:19" x14ac:dyDescent="0.25">
      <c r="A424" s="1" t="s">
        <v>903</v>
      </c>
      <c r="B424" s="2">
        <v>45358</v>
      </c>
      <c r="C424" s="1" t="s">
        <v>61</v>
      </c>
      <c r="D424" s="1" t="s">
        <v>67</v>
      </c>
      <c r="E424" s="1" t="s">
        <v>44</v>
      </c>
      <c r="F424" s="1" t="s">
        <v>84</v>
      </c>
      <c r="G424" s="1" t="s">
        <v>22</v>
      </c>
      <c r="H424" s="1" t="s">
        <v>133</v>
      </c>
      <c r="I424" s="1">
        <v>467.08</v>
      </c>
      <c r="J424" s="1">
        <v>2</v>
      </c>
      <c r="K424" s="1">
        <v>934.16</v>
      </c>
      <c r="L424" s="1">
        <v>15</v>
      </c>
      <c r="M424" s="1">
        <v>140.12</v>
      </c>
      <c r="N424" s="1">
        <v>794.04</v>
      </c>
      <c r="O424" s="1" t="s">
        <v>33</v>
      </c>
      <c r="P424" s="1" t="s">
        <v>560</v>
      </c>
      <c r="Q424" s="1">
        <v>4</v>
      </c>
      <c r="R424" s="1">
        <f>Retail_Sales_Analyis[[#This Row],[Final_Price]]-Retail_Sales_Analyis[[#This Row],[Total_Price]]</f>
        <v>-140.12</v>
      </c>
      <c r="S4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5" spans="1:19" x14ac:dyDescent="0.25">
      <c r="A425" s="1" t="s">
        <v>904</v>
      </c>
      <c r="B425" s="2">
        <v>45618</v>
      </c>
      <c r="C425" s="1" t="s">
        <v>18</v>
      </c>
      <c r="D425" s="1" t="s">
        <v>144</v>
      </c>
      <c r="E425" s="1" t="s">
        <v>285</v>
      </c>
      <c r="F425" s="1" t="s">
        <v>69</v>
      </c>
      <c r="G425" s="1" t="s">
        <v>38</v>
      </c>
      <c r="H425" s="1" t="s">
        <v>39</v>
      </c>
      <c r="I425" s="1">
        <v>441.25</v>
      </c>
      <c r="J425" s="1">
        <v>8</v>
      </c>
      <c r="K425" s="1">
        <v>3530</v>
      </c>
      <c r="L425" s="1">
        <v>10</v>
      </c>
      <c r="M425" s="1">
        <v>353</v>
      </c>
      <c r="N425" s="1">
        <v>3177</v>
      </c>
      <c r="O425" s="1" t="s">
        <v>80</v>
      </c>
      <c r="P425" s="1" t="s">
        <v>905</v>
      </c>
      <c r="Q425" s="1">
        <v>5</v>
      </c>
      <c r="R425" s="1">
        <f>Retail_Sales_Analyis[[#This Row],[Final_Price]]-Retail_Sales_Analyis[[#This Row],[Total_Price]]</f>
        <v>-353</v>
      </c>
      <c r="S4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6" spans="1:19" x14ac:dyDescent="0.25">
      <c r="A426" s="1" t="s">
        <v>906</v>
      </c>
      <c r="B426" s="2">
        <v>45426</v>
      </c>
      <c r="C426" s="1" t="s">
        <v>42</v>
      </c>
      <c r="D426" s="1" t="s">
        <v>28</v>
      </c>
      <c r="E426" s="1" t="s">
        <v>199</v>
      </c>
      <c r="F426" s="1" t="s">
        <v>69</v>
      </c>
      <c r="G426" s="1" t="s">
        <v>112</v>
      </c>
      <c r="H426" s="1" t="s">
        <v>183</v>
      </c>
      <c r="I426" s="1">
        <v>528.53</v>
      </c>
      <c r="J426" s="1">
        <v>10</v>
      </c>
      <c r="K426" s="1">
        <v>5285.3</v>
      </c>
      <c r="L426" s="1">
        <v>0</v>
      </c>
      <c r="M426" s="1">
        <v>0</v>
      </c>
      <c r="N426" s="1">
        <v>5285.3</v>
      </c>
      <c r="O426" s="1" t="s">
        <v>80</v>
      </c>
      <c r="P426" s="1" t="s">
        <v>907</v>
      </c>
      <c r="Q426" s="1">
        <v>1</v>
      </c>
      <c r="R426" s="1">
        <f>Retail_Sales_Analyis[[#This Row],[Final_Price]]-Retail_Sales_Analyis[[#This Row],[Total_Price]]</f>
        <v>0</v>
      </c>
      <c r="S4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7" spans="1:19" x14ac:dyDescent="0.25">
      <c r="A427" s="1" t="s">
        <v>908</v>
      </c>
      <c r="B427" s="2">
        <v>45374</v>
      </c>
      <c r="C427" s="1" t="s">
        <v>61</v>
      </c>
      <c r="D427" s="1" t="s">
        <v>19</v>
      </c>
      <c r="E427" s="1" t="s">
        <v>236</v>
      </c>
      <c r="F427" s="1" t="s">
        <v>30</v>
      </c>
      <c r="G427" s="1" t="s">
        <v>31</v>
      </c>
      <c r="H427" s="1" t="s">
        <v>329</v>
      </c>
      <c r="I427" s="1">
        <v>272.64999999999998</v>
      </c>
      <c r="J427" s="1">
        <v>6</v>
      </c>
      <c r="K427" s="1">
        <v>1635.9</v>
      </c>
      <c r="L427" s="1">
        <v>5</v>
      </c>
      <c r="M427" s="1">
        <v>81.8</v>
      </c>
      <c r="N427" s="1">
        <v>1554.1</v>
      </c>
      <c r="O427" s="1" t="s">
        <v>33</v>
      </c>
      <c r="P427" s="1" t="s">
        <v>415</v>
      </c>
      <c r="Q427" s="1">
        <v>1</v>
      </c>
      <c r="R427" s="1">
        <f>Retail_Sales_Analyis[[#This Row],[Final_Price]]-Retail_Sales_Analyis[[#This Row],[Total_Price]]</f>
        <v>-81.800000000000182</v>
      </c>
      <c r="S4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8" spans="1:19" x14ac:dyDescent="0.25">
      <c r="A428" s="1" t="s">
        <v>909</v>
      </c>
      <c r="B428" s="2">
        <v>45518</v>
      </c>
      <c r="C428" s="1" t="s">
        <v>93</v>
      </c>
      <c r="D428" s="1" t="s">
        <v>55</v>
      </c>
      <c r="E428" s="1" t="s">
        <v>285</v>
      </c>
      <c r="F428" s="1" t="s">
        <v>30</v>
      </c>
      <c r="G428" s="1" t="s">
        <v>57</v>
      </c>
      <c r="H428" s="1" t="s">
        <v>58</v>
      </c>
      <c r="I428" s="1">
        <v>1162.77</v>
      </c>
      <c r="J428" s="1">
        <v>4</v>
      </c>
      <c r="K428" s="1">
        <v>4651.08</v>
      </c>
      <c r="L428" s="1">
        <v>10</v>
      </c>
      <c r="M428" s="1">
        <v>465.11</v>
      </c>
      <c r="N428" s="1">
        <v>4185.97</v>
      </c>
      <c r="O428" s="1" t="s">
        <v>64</v>
      </c>
      <c r="P428" s="1" t="s">
        <v>737</v>
      </c>
      <c r="Q428" s="1">
        <v>5</v>
      </c>
      <c r="R428" s="1">
        <f>Retail_Sales_Analyis[[#This Row],[Final_Price]]-Retail_Sales_Analyis[[#This Row],[Total_Price]]</f>
        <v>-465.10999999999967</v>
      </c>
      <c r="S4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9" spans="1:19" x14ac:dyDescent="0.25">
      <c r="A429" s="1" t="s">
        <v>910</v>
      </c>
      <c r="B429" s="2">
        <v>45574</v>
      </c>
      <c r="C429" s="1" t="s">
        <v>76</v>
      </c>
      <c r="D429" s="1" t="s">
        <v>55</v>
      </c>
      <c r="E429" s="1" t="s">
        <v>236</v>
      </c>
      <c r="F429" s="1" t="s">
        <v>84</v>
      </c>
      <c r="G429" s="1" t="s">
        <v>31</v>
      </c>
      <c r="H429" s="1" t="s">
        <v>250</v>
      </c>
      <c r="I429" s="1">
        <v>447.43</v>
      </c>
      <c r="J429" s="1">
        <v>7</v>
      </c>
      <c r="K429" s="1">
        <v>3132.01</v>
      </c>
      <c r="L429" s="1">
        <v>5</v>
      </c>
      <c r="M429" s="1">
        <v>156.6</v>
      </c>
      <c r="N429" s="1">
        <v>2975.41</v>
      </c>
      <c r="O429" s="1" t="s">
        <v>46</v>
      </c>
      <c r="P429" s="1" t="s">
        <v>911</v>
      </c>
      <c r="Q429" s="1">
        <v>4</v>
      </c>
      <c r="R429" s="1">
        <f>Retail_Sales_Analyis[[#This Row],[Final_Price]]-Retail_Sales_Analyis[[#This Row],[Total_Price]]</f>
        <v>-156.60000000000036</v>
      </c>
      <c r="S4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0" spans="1:19" x14ac:dyDescent="0.25">
      <c r="A430" s="1" t="s">
        <v>912</v>
      </c>
      <c r="B430" s="2">
        <v>45653</v>
      </c>
      <c r="C430" s="1" t="s">
        <v>73</v>
      </c>
      <c r="D430" s="1" t="s">
        <v>144</v>
      </c>
      <c r="E430" s="1" t="s">
        <v>89</v>
      </c>
      <c r="F430" s="1" t="s">
        <v>69</v>
      </c>
      <c r="G430" s="1" t="s">
        <v>38</v>
      </c>
      <c r="H430" s="1" t="s">
        <v>39</v>
      </c>
      <c r="I430" s="1">
        <v>566.94000000000005</v>
      </c>
      <c r="J430" s="1">
        <v>3</v>
      </c>
      <c r="K430" s="1">
        <v>1700.82</v>
      </c>
      <c r="L430" s="1">
        <v>0</v>
      </c>
      <c r="M430" s="1">
        <v>0</v>
      </c>
      <c r="N430" s="1">
        <v>1700.82</v>
      </c>
      <c r="O430" s="1" t="s">
        <v>64</v>
      </c>
      <c r="P430" s="1" t="s">
        <v>913</v>
      </c>
      <c r="Q430" s="1">
        <v>2</v>
      </c>
      <c r="R430" s="1">
        <f>Retail_Sales_Analyis[[#This Row],[Final_Price]]-Retail_Sales_Analyis[[#This Row],[Total_Price]]</f>
        <v>0</v>
      </c>
      <c r="S4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1" spans="1:19" x14ac:dyDescent="0.25">
      <c r="A431" s="1" t="s">
        <v>914</v>
      </c>
      <c r="B431" s="2">
        <v>45510</v>
      </c>
      <c r="C431" s="1" t="s">
        <v>93</v>
      </c>
      <c r="D431" s="1" t="s">
        <v>28</v>
      </c>
      <c r="E431" s="1" t="s">
        <v>411</v>
      </c>
      <c r="F431" s="1" t="s">
        <v>30</v>
      </c>
      <c r="G431" s="1" t="s">
        <v>22</v>
      </c>
      <c r="H431" s="1" t="s">
        <v>51</v>
      </c>
      <c r="I431" s="1">
        <v>442.92</v>
      </c>
      <c r="J431" s="1">
        <v>4</v>
      </c>
      <c r="K431" s="1">
        <v>1771.68</v>
      </c>
      <c r="L431" s="1">
        <v>10</v>
      </c>
      <c r="M431" s="1">
        <v>177.17</v>
      </c>
      <c r="N431" s="1">
        <v>1594.51</v>
      </c>
      <c r="O431" s="1" t="s">
        <v>24</v>
      </c>
      <c r="P431" s="1" t="s">
        <v>915</v>
      </c>
      <c r="Q431" s="1">
        <v>1</v>
      </c>
      <c r="R431" s="1">
        <f>Retail_Sales_Analyis[[#This Row],[Final_Price]]-Retail_Sales_Analyis[[#This Row],[Total_Price]]</f>
        <v>-177.17000000000007</v>
      </c>
      <c r="S4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2" spans="1:19" x14ac:dyDescent="0.25">
      <c r="A432" s="1" t="s">
        <v>916</v>
      </c>
      <c r="B432" s="2">
        <v>45579</v>
      </c>
      <c r="C432" s="1" t="s">
        <v>76</v>
      </c>
      <c r="D432" s="1" t="s">
        <v>43</v>
      </c>
      <c r="E432" s="1" t="s">
        <v>302</v>
      </c>
      <c r="F432" s="1" t="s">
        <v>37</v>
      </c>
      <c r="G432" s="1" t="s">
        <v>85</v>
      </c>
      <c r="H432" s="1" t="s">
        <v>98</v>
      </c>
      <c r="I432" s="1">
        <v>4311.79</v>
      </c>
      <c r="J432" s="1">
        <v>9</v>
      </c>
      <c r="K432" s="1">
        <v>38806.11</v>
      </c>
      <c r="L432" s="1">
        <v>0</v>
      </c>
      <c r="M432" s="1">
        <v>0</v>
      </c>
      <c r="N432" s="1">
        <v>38806.11</v>
      </c>
      <c r="O432" s="1" t="s">
        <v>24</v>
      </c>
      <c r="P432" s="1" t="s">
        <v>360</v>
      </c>
      <c r="Q432" s="1">
        <v>3</v>
      </c>
      <c r="R432" s="1">
        <f>Retail_Sales_Analyis[[#This Row],[Final_Price]]-Retail_Sales_Analyis[[#This Row],[Total_Price]]</f>
        <v>0</v>
      </c>
      <c r="S4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3" spans="1:19" x14ac:dyDescent="0.25">
      <c r="A433" s="1" t="s">
        <v>917</v>
      </c>
      <c r="B433" s="2">
        <v>45296</v>
      </c>
      <c r="C433" s="1" t="s">
        <v>36</v>
      </c>
      <c r="D433" s="1" t="s">
        <v>144</v>
      </c>
      <c r="E433" s="1" t="s">
        <v>77</v>
      </c>
      <c r="F433" s="1" t="s">
        <v>37</v>
      </c>
      <c r="G433" s="1" t="s">
        <v>57</v>
      </c>
      <c r="H433" s="1" t="s">
        <v>152</v>
      </c>
      <c r="I433" s="1">
        <v>1773.55</v>
      </c>
      <c r="J433" s="1">
        <v>8</v>
      </c>
      <c r="K433" s="1">
        <v>14188.4</v>
      </c>
      <c r="L433" s="1">
        <v>0</v>
      </c>
      <c r="M433" s="1">
        <v>0</v>
      </c>
      <c r="N433" s="1">
        <v>14188.4</v>
      </c>
      <c r="O433" s="1" t="s">
        <v>46</v>
      </c>
      <c r="P433" s="1" t="s">
        <v>918</v>
      </c>
      <c r="Q433" s="1">
        <v>3</v>
      </c>
      <c r="R433" s="1">
        <f>Retail_Sales_Analyis[[#This Row],[Final_Price]]-Retail_Sales_Analyis[[#This Row],[Total_Price]]</f>
        <v>0</v>
      </c>
      <c r="S4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4" spans="1:19" x14ac:dyDescent="0.25">
      <c r="A434" s="1" t="s">
        <v>919</v>
      </c>
      <c r="B434" s="2">
        <v>45349</v>
      </c>
      <c r="C434" s="1" t="s">
        <v>27</v>
      </c>
      <c r="D434" s="1" t="s">
        <v>28</v>
      </c>
      <c r="E434" s="1" t="s">
        <v>312</v>
      </c>
      <c r="F434" s="1" t="s">
        <v>69</v>
      </c>
      <c r="G434" s="1" t="s">
        <v>38</v>
      </c>
      <c r="H434" s="1" t="s">
        <v>214</v>
      </c>
      <c r="I434" s="1">
        <v>697.39</v>
      </c>
      <c r="J434" s="1">
        <v>9</v>
      </c>
      <c r="K434" s="1">
        <v>6276.51</v>
      </c>
      <c r="L434" s="1">
        <v>10</v>
      </c>
      <c r="M434" s="1">
        <v>627.65</v>
      </c>
      <c r="N434" s="1">
        <v>5648.86</v>
      </c>
      <c r="O434" s="1" t="s">
        <v>24</v>
      </c>
      <c r="P434" s="1" t="s">
        <v>920</v>
      </c>
      <c r="Q434" s="1">
        <v>1</v>
      </c>
      <c r="R434" s="1">
        <f>Retail_Sales_Analyis[[#This Row],[Final_Price]]-Retail_Sales_Analyis[[#This Row],[Total_Price]]</f>
        <v>-627.65000000000055</v>
      </c>
      <c r="S4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5" spans="1:19" x14ac:dyDescent="0.25">
      <c r="A435" s="1" t="s">
        <v>921</v>
      </c>
      <c r="B435" s="2">
        <v>45330</v>
      </c>
      <c r="C435" s="1" t="s">
        <v>27</v>
      </c>
      <c r="D435" s="1" t="s">
        <v>67</v>
      </c>
      <c r="E435" s="1" t="s">
        <v>342</v>
      </c>
      <c r="F435" s="1" t="s">
        <v>84</v>
      </c>
      <c r="G435" s="1" t="s">
        <v>169</v>
      </c>
      <c r="H435" s="1" t="s">
        <v>208</v>
      </c>
      <c r="I435" s="1">
        <v>1237.98</v>
      </c>
      <c r="J435" s="1">
        <v>10</v>
      </c>
      <c r="K435" s="1">
        <v>12379.8</v>
      </c>
      <c r="L435" s="1">
        <v>20</v>
      </c>
      <c r="M435" s="1">
        <v>2475.96</v>
      </c>
      <c r="N435" s="1">
        <v>9903.84</v>
      </c>
      <c r="O435" s="1" t="s">
        <v>24</v>
      </c>
      <c r="P435" s="1" t="s">
        <v>922</v>
      </c>
      <c r="Q435" s="1">
        <v>5</v>
      </c>
      <c r="R435" s="1">
        <f>Retail_Sales_Analyis[[#This Row],[Final_Price]]-Retail_Sales_Analyis[[#This Row],[Total_Price]]</f>
        <v>-2475.9599999999991</v>
      </c>
      <c r="S4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6" spans="1:19" x14ac:dyDescent="0.25">
      <c r="A436" s="1" t="s">
        <v>923</v>
      </c>
      <c r="B436" s="2">
        <v>45645</v>
      </c>
      <c r="C436" s="1" t="s">
        <v>73</v>
      </c>
      <c r="D436" s="1" t="s">
        <v>67</v>
      </c>
      <c r="E436" s="1" t="s">
        <v>174</v>
      </c>
      <c r="F436" s="1" t="s">
        <v>84</v>
      </c>
      <c r="G436" s="1" t="s">
        <v>85</v>
      </c>
      <c r="H436" s="1" t="s">
        <v>297</v>
      </c>
      <c r="I436" s="1">
        <v>4483.4799999999996</v>
      </c>
      <c r="J436" s="1">
        <v>6</v>
      </c>
      <c r="K436" s="1">
        <v>26900.880000000001</v>
      </c>
      <c r="L436" s="1">
        <v>0</v>
      </c>
      <c r="M436" s="1">
        <v>0</v>
      </c>
      <c r="N436" s="1">
        <v>26900.880000000001</v>
      </c>
      <c r="O436" s="1" t="s">
        <v>46</v>
      </c>
      <c r="P436" s="1" t="s">
        <v>293</v>
      </c>
      <c r="Q436" s="1">
        <v>4</v>
      </c>
      <c r="R436" s="1">
        <f>Retail_Sales_Analyis[[#This Row],[Final_Price]]-Retail_Sales_Analyis[[#This Row],[Total_Price]]</f>
        <v>0</v>
      </c>
      <c r="S4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" spans="1:19" x14ac:dyDescent="0.25">
      <c r="A437" s="1" t="s">
        <v>924</v>
      </c>
      <c r="B437" s="2">
        <v>45368</v>
      </c>
      <c r="C437" s="1" t="s">
        <v>61</v>
      </c>
      <c r="D437" s="1" t="s">
        <v>49</v>
      </c>
      <c r="E437" s="1" t="s">
        <v>186</v>
      </c>
      <c r="F437" s="1" t="s">
        <v>69</v>
      </c>
      <c r="G437" s="1" t="s">
        <v>169</v>
      </c>
      <c r="H437" s="1" t="s">
        <v>366</v>
      </c>
      <c r="I437" s="1">
        <v>1076.51</v>
      </c>
      <c r="J437" s="1">
        <v>6</v>
      </c>
      <c r="K437" s="1">
        <v>6459.06</v>
      </c>
      <c r="L437" s="1">
        <v>20</v>
      </c>
      <c r="M437" s="1">
        <v>1291.81</v>
      </c>
      <c r="N437" s="1">
        <v>5167.25</v>
      </c>
      <c r="O437" s="1" t="s">
        <v>64</v>
      </c>
      <c r="P437" s="1" t="s">
        <v>362</v>
      </c>
      <c r="Q437" s="1">
        <v>1</v>
      </c>
      <c r="R437" s="1">
        <f>Retail_Sales_Analyis[[#This Row],[Final_Price]]-Retail_Sales_Analyis[[#This Row],[Total_Price]]</f>
        <v>-1291.8100000000004</v>
      </c>
      <c r="S4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8" spans="1:19" x14ac:dyDescent="0.25">
      <c r="A438" s="1" t="s">
        <v>925</v>
      </c>
      <c r="B438" s="2">
        <v>45571</v>
      </c>
      <c r="C438" s="1" t="s">
        <v>76</v>
      </c>
      <c r="D438" s="1" t="s">
        <v>49</v>
      </c>
      <c r="E438" s="1" t="s">
        <v>236</v>
      </c>
      <c r="F438" s="1" t="s">
        <v>37</v>
      </c>
      <c r="G438" s="1" t="s">
        <v>22</v>
      </c>
      <c r="H438" s="1" t="s">
        <v>133</v>
      </c>
      <c r="I438" s="1">
        <v>396.25</v>
      </c>
      <c r="J438" s="1">
        <v>8</v>
      </c>
      <c r="K438" s="1">
        <v>3170</v>
      </c>
      <c r="L438" s="1">
        <v>0</v>
      </c>
      <c r="M438" s="1">
        <v>0</v>
      </c>
      <c r="N438" s="1">
        <v>3170</v>
      </c>
      <c r="O438" s="1" t="s">
        <v>46</v>
      </c>
      <c r="P438" s="1" t="s">
        <v>926</v>
      </c>
      <c r="Q438" s="1">
        <v>5</v>
      </c>
      <c r="R438" s="1">
        <f>Retail_Sales_Analyis[[#This Row],[Final_Price]]-Retail_Sales_Analyis[[#This Row],[Total_Price]]</f>
        <v>0</v>
      </c>
      <c r="S4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9" spans="1:19" x14ac:dyDescent="0.25">
      <c r="A439" s="1" t="s">
        <v>927</v>
      </c>
      <c r="B439" s="2">
        <v>45310</v>
      </c>
      <c r="C439" s="1" t="s">
        <v>36</v>
      </c>
      <c r="D439" s="1" t="s">
        <v>144</v>
      </c>
      <c r="E439" s="1" t="s">
        <v>125</v>
      </c>
      <c r="F439" s="1" t="s">
        <v>21</v>
      </c>
      <c r="G439" s="1" t="s">
        <v>78</v>
      </c>
      <c r="H439" s="1" t="s">
        <v>136</v>
      </c>
      <c r="I439" s="1">
        <v>312.29000000000002</v>
      </c>
      <c r="J439" s="1">
        <v>4</v>
      </c>
      <c r="K439" s="1">
        <v>1249.1600000000001</v>
      </c>
      <c r="L439" s="1">
        <v>0</v>
      </c>
      <c r="M439" s="1">
        <v>0</v>
      </c>
      <c r="N439" s="1">
        <v>1249.1600000000001</v>
      </c>
      <c r="O439" s="1" t="s">
        <v>80</v>
      </c>
      <c r="P439" s="1" t="s">
        <v>928</v>
      </c>
      <c r="Q439" s="1">
        <v>4</v>
      </c>
      <c r="R439" s="1">
        <f>Retail_Sales_Analyis[[#This Row],[Final_Price]]-Retail_Sales_Analyis[[#This Row],[Total_Price]]</f>
        <v>0</v>
      </c>
      <c r="S4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" spans="1:19" x14ac:dyDescent="0.25">
      <c r="A440" s="1" t="s">
        <v>929</v>
      </c>
      <c r="B440" s="2">
        <v>45481</v>
      </c>
      <c r="C440" s="1" t="s">
        <v>195</v>
      </c>
      <c r="D440" s="1" t="s">
        <v>43</v>
      </c>
      <c r="E440" s="1" t="s">
        <v>337</v>
      </c>
      <c r="F440" s="1" t="s">
        <v>69</v>
      </c>
      <c r="G440" s="1" t="s">
        <v>22</v>
      </c>
      <c r="H440" s="1" t="s">
        <v>51</v>
      </c>
      <c r="I440" s="1">
        <v>934.42</v>
      </c>
      <c r="J440" s="1">
        <v>8</v>
      </c>
      <c r="K440" s="1">
        <v>7475.36</v>
      </c>
      <c r="L440" s="1">
        <v>20</v>
      </c>
      <c r="M440" s="1">
        <v>1495.07</v>
      </c>
      <c r="N440" s="1">
        <v>5980.29</v>
      </c>
      <c r="O440" s="1" t="s">
        <v>80</v>
      </c>
      <c r="P440" s="1" t="s">
        <v>930</v>
      </c>
      <c r="Q440" s="1">
        <v>3</v>
      </c>
      <c r="R440" s="1">
        <f>Retail_Sales_Analyis[[#This Row],[Final_Price]]-Retail_Sales_Analyis[[#This Row],[Total_Price]]</f>
        <v>-1495.0699999999997</v>
      </c>
      <c r="S4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1" spans="1:19" x14ac:dyDescent="0.25">
      <c r="A441" s="1" t="s">
        <v>931</v>
      </c>
      <c r="B441" s="2">
        <v>45590</v>
      </c>
      <c r="C441" s="1" t="s">
        <v>76</v>
      </c>
      <c r="D441" s="1" t="s">
        <v>144</v>
      </c>
      <c r="E441" s="1" t="s">
        <v>77</v>
      </c>
      <c r="F441" s="1" t="s">
        <v>21</v>
      </c>
      <c r="G441" s="1" t="s">
        <v>112</v>
      </c>
      <c r="H441" s="1" t="s">
        <v>183</v>
      </c>
      <c r="I441" s="1">
        <v>1915.46</v>
      </c>
      <c r="J441" s="1">
        <v>2</v>
      </c>
      <c r="K441" s="1">
        <v>3830.92</v>
      </c>
      <c r="L441" s="1">
        <v>0</v>
      </c>
      <c r="M441" s="1">
        <v>0</v>
      </c>
      <c r="N441" s="1">
        <v>3830.92</v>
      </c>
      <c r="O441" s="1" t="s">
        <v>46</v>
      </c>
      <c r="P441" s="1" t="s">
        <v>932</v>
      </c>
      <c r="Q441" s="1">
        <v>4</v>
      </c>
      <c r="R441" s="1">
        <f>Retail_Sales_Analyis[[#This Row],[Final_Price]]-Retail_Sales_Analyis[[#This Row],[Total_Price]]</f>
        <v>0</v>
      </c>
      <c r="S4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" spans="1:19" x14ac:dyDescent="0.25">
      <c r="A442" s="1" t="s">
        <v>933</v>
      </c>
      <c r="B442" s="2">
        <v>45574</v>
      </c>
      <c r="C442" s="1" t="s">
        <v>76</v>
      </c>
      <c r="D442" s="1" t="s">
        <v>55</v>
      </c>
      <c r="E442" s="1" t="s">
        <v>94</v>
      </c>
      <c r="F442" s="1" t="s">
        <v>69</v>
      </c>
      <c r="G442" s="1" t="s">
        <v>112</v>
      </c>
      <c r="H442" s="1" t="s">
        <v>288</v>
      </c>
      <c r="I442" s="1">
        <v>1638.79</v>
      </c>
      <c r="J442" s="1">
        <v>3</v>
      </c>
      <c r="K442" s="1">
        <v>4916.37</v>
      </c>
      <c r="L442" s="1">
        <v>10</v>
      </c>
      <c r="M442" s="1">
        <v>491.64</v>
      </c>
      <c r="N442" s="1">
        <v>4424.7299999999996</v>
      </c>
      <c r="O442" s="1" t="s">
        <v>24</v>
      </c>
      <c r="P442" s="1" t="s">
        <v>710</v>
      </c>
      <c r="Q442" s="1">
        <v>5</v>
      </c>
      <c r="R442" s="1">
        <f>Retail_Sales_Analyis[[#This Row],[Final_Price]]-Retail_Sales_Analyis[[#This Row],[Total_Price]]</f>
        <v>-491.64000000000033</v>
      </c>
      <c r="S4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3" spans="1:19" x14ac:dyDescent="0.25">
      <c r="A443" s="1" t="s">
        <v>934</v>
      </c>
      <c r="B443" s="2">
        <v>45367</v>
      </c>
      <c r="C443" s="1" t="s">
        <v>61</v>
      </c>
      <c r="D443" s="1" t="s">
        <v>19</v>
      </c>
      <c r="E443" s="1" t="s">
        <v>50</v>
      </c>
      <c r="F443" s="1" t="s">
        <v>21</v>
      </c>
      <c r="G443" s="1" t="s">
        <v>38</v>
      </c>
      <c r="H443" s="1" t="s">
        <v>422</v>
      </c>
      <c r="I443" s="1">
        <v>736.46</v>
      </c>
      <c r="J443" s="1">
        <v>1</v>
      </c>
      <c r="K443" s="1">
        <v>736.46</v>
      </c>
      <c r="L443" s="1">
        <v>20</v>
      </c>
      <c r="M443" s="1">
        <v>147.29</v>
      </c>
      <c r="N443" s="1">
        <v>589.16999999999996</v>
      </c>
      <c r="O443" s="1" t="s">
        <v>46</v>
      </c>
      <c r="P443" s="1" t="s">
        <v>935</v>
      </c>
      <c r="Q443" s="1">
        <v>5</v>
      </c>
      <c r="R443" s="1">
        <f>Retail_Sales_Analyis[[#This Row],[Final_Price]]-Retail_Sales_Analyis[[#This Row],[Total_Price]]</f>
        <v>-147.29000000000008</v>
      </c>
      <c r="S4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4" spans="1:19" x14ac:dyDescent="0.25">
      <c r="A444" s="1" t="s">
        <v>936</v>
      </c>
      <c r="B444" s="2">
        <v>45512</v>
      </c>
      <c r="C444" s="1" t="s">
        <v>93</v>
      </c>
      <c r="D444" s="1" t="s">
        <v>67</v>
      </c>
      <c r="E444" s="1" t="s">
        <v>168</v>
      </c>
      <c r="F444" s="1" t="s">
        <v>30</v>
      </c>
      <c r="G444" s="1" t="s">
        <v>22</v>
      </c>
      <c r="H444" s="1" t="s">
        <v>51</v>
      </c>
      <c r="I444" s="1">
        <v>715.1</v>
      </c>
      <c r="J444" s="1">
        <v>9</v>
      </c>
      <c r="K444" s="1">
        <v>6435.9</v>
      </c>
      <c r="L444" s="1">
        <v>10</v>
      </c>
      <c r="M444" s="1">
        <v>643.59</v>
      </c>
      <c r="N444" s="1">
        <v>5792.31</v>
      </c>
      <c r="O444" s="1" t="s">
        <v>80</v>
      </c>
      <c r="P444" s="1" t="s">
        <v>647</v>
      </c>
      <c r="Q444" s="1">
        <v>4</v>
      </c>
      <c r="R444" s="1">
        <f>Retail_Sales_Analyis[[#This Row],[Final_Price]]-Retail_Sales_Analyis[[#This Row],[Total_Price]]</f>
        <v>-643.58999999999924</v>
      </c>
      <c r="S4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" spans="1:19" x14ac:dyDescent="0.25">
      <c r="A445" s="1" t="s">
        <v>937</v>
      </c>
      <c r="B445" s="2">
        <v>45357</v>
      </c>
      <c r="C445" s="1" t="s">
        <v>61</v>
      </c>
      <c r="D445" s="1" t="s">
        <v>55</v>
      </c>
      <c r="E445" s="1" t="s">
        <v>121</v>
      </c>
      <c r="F445" s="1" t="s">
        <v>21</v>
      </c>
      <c r="G445" s="1" t="s">
        <v>22</v>
      </c>
      <c r="H445" s="1" t="s">
        <v>23</v>
      </c>
      <c r="I445" s="1">
        <v>904.78</v>
      </c>
      <c r="J445" s="1">
        <v>2</v>
      </c>
      <c r="K445" s="1">
        <v>1809.56</v>
      </c>
      <c r="L445" s="1">
        <v>0</v>
      </c>
      <c r="M445" s="1">
        <v>0</v>
      </c>
      <c r="N445" s="1">
        <v>1809.56</v>
      </c>
      <c r="O445" s="1" t="s">
        <v>80</v>
      </c>
      <c r="P445" s="1" t="s">
        <v>938</v>
      </c>
      <c r="Q445" s="1">
        <v>3</v>
      </c>
      <c r="R445" s="1">
        <f>Retail_Sales_Analyis[[#This Row],[Final_Price]]-Retail_Sales_Analyis[[#This Row],[Total_Price]]</f>
        <v>0</v>
      </c>
      <c r="S4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6" spans="1:19" x14ac:dyDescent="0.25">
      <c r="A446" s="1" t="s">
        <v>939</v>
      </c>
      <c r="B446" s="2">
        <v>45313</v>
      </c>
      <c r="C446" s="1" t="s">
        <v>36</v>
      </c>
      <c r="D446" s="1" t="s">
        <v>43</v>
      </c>
      <c r="E446" s="1" t="s">
        <v>174</v>
      </c>
      <c r="F446" s="1" t="s">
        <v>21</v>
      </c>
      <c r="G446" s="1" t="s">
        <v>38</v>
      </c>
      <c r="H446" s="1" t="s">
        <v>214</v>
      </c>
      <c r="I446" s="1">
        <v>164.97</v>
      </c>
      <c r="J446" s="1">
        <v>9</v>
      </c>
      <c r="K446" s="1">
        <v>1484.73</v>
      </c>
      <c r="L446" s="1">
        <v>0</v>
      </c>
      <c r="M446" s="1">
        <v>0</v>
      </c>
      <c r="N446" s="1">
        <v>1484.73</v>
      </c>
      <c r="O446" s="1" t="s">
        <v>80</v>
      </c>
      <c r="P446" s="1" t="s">
        <v>940</v>
      </c>
      <c r="Q446" s="1">
        <v>3</v>
      </c>
      <c r="R446" s="1">
        <f>Retail_Sales_Analyis[[#This Row],[Final_Price]]-Retail_Sales_Analyis[[#This Row],[Total_Price]]</f>
        <v>0</v>
      </c>
      <c r="S4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" spans="1:19" x14ac:dyDescent="0.25">
      <c r="A447" s="1" t="s">
        <v>941</v>
      </c>
      <c r="B447" s="2">
        <v>45449</v>
      </c>
      <c r="C447" s="1" t="s">
        <v>173</v>
      </c>
      <c r="D447" s="1" t="s">
        <v>67</v>
      </c>
      <c r="E447" s="1" t="s">
        <v>213</v>
      </c>
      <c r="F447" s="1" t="s">
        <v>37</v>
      </c>
      <c r="G447" s="1" t="s">
        <v>112</v>
      </c>
      <c r="H447" s="1" t="s">
        <v>183</v>
      </c>
      <c r="I447" s="1">
        <v>1388.76</v>
      </c>
      <c r="J447" s="1">
        <v>4</v>
      </c>
      <c r="K447" s="1">
        <v>5555.04</v>
      </c>
      <c r="L447" s="1">
        <v>20</v>
      </c>
      <c r="M447" s="1">
        <v>1111.01</v>
      </c>
      <c r="N447" s="1">
        <v>4444.03</v>
      </c>
      <c r="O447" s="1" t="s">
        <v>46</v>
      </c>
      <c r="P447" s="1" t="s">
        <v>942</v>
      </c>
      <c r="Q447" s="1">
        <v>4</v>
      </c>
      <c r="R447" s="1">
        <f>Retail_Sales_Analyis[[#This Row],[Final_Price]]-Retail_Sales_Analyis[[#This Row],[Total_Price]]</f>
        <v>-1111.0100000000002</v>
      </c>
      <c r="S44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8" spans="1:19" x14ac:dyDescent="0.25">
      <c r="A448" s="1" t="s">
        <v>943</v>
      </c>
      <c r="B448" s="2">
        <v>45478</v>
      </c>
      <c r="C448" s="1" t="s">
        <v>195</v>
      </c>
      <c r="D448" s="1" t="s">
        <v>144</v>
      </c>
      <c r="E448" s="1" t="s">
        <v>174</v>
      </c>
      <c r="F448" s="1" t="s">
        <v>37</v>
      </c>
      <c r="G448" s="1" t="s">
        <v>112</v>
      </c>
      <c r="H448" s="1" t="s">
        <v>118</v>
      </c>
      <c r="I448" s="1">
        <v>889.63</v>
      </c>
      <c r="J448" s="1">
        <v>9</v>
      </c>
      <c r="K448" s="1">
        <v>8006.67</v>
      </c>
      <c r="L448" s="1">
        <v>0</v>
      </c>
      <c r="M448" s="1">
        <v>0</v>
      </c>
      <c r="N448" s="1">
        <v>8006.67</v>
      </c>
      <c r="O448" s="1" t="s">
        <v>24</v>
      </c>
      <c r="P448" s="1" t="s">
        <v>240</v>
      </c>
      <c r="Q448" s="1">
        <v>1</v>
      </c>
      <c r="R448" s="1">
        <f>Retail_Sales_Analyis[[#This Row],[Final_Price]]-Retail_Sales_Analyis[[#This Row],[Total_Price]]</f>
        <v>0</v>
      </c>
      <c r="S4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9" spans="1:19" x14ac:dyDescent="0.25">
      <c r="A449" s="1" t="s">
        <v>944</v>
      </c>
      <c r="B449" s="2">
        <v>45312</v>
      </c>
      <c r="C449" s="1" t="s">
        <v>36</v>
      </c>
      <c r="D449" s="1" t="s">
        <v>49</v>
      </c>
      <c r="E449" s="1" t="s">
        <v>196</v>
      </c>
      <c r="F449" s="1" t="s">
        <v>84</v>
      </c>
      <c r="G449" s="1" t="s">
        <v>38</v>
      </c>
      <c r="H449" s="1" t="s">
        <v>70</v>
      </c>
      <c r="I449" s="1">
        <v>615.79999999999995</v>
      </c>
      <c r="J449" s="1">
        <v>8</v>
      </c>
      <c r="K449" s="1">
        <v>4926.3999999999996</v>
      </c>
      <c r="L449" s="1">
        <v>0</v>
      </c>
      <c r="M449" s="1">
        <v>0</v>
      </c>
      <c r="N449" s="1">
        <v>4926.3999999999996</v>
      </c>
      <c r="O449" s="1" t="s">
        <v>64</v>
      </c>
      <c r="P449" s="1" t="s">
        <v>945</v>
      </c>
      <c r="Q449" s="1">
        <v>5</v>
      </c>
      <c r="R449" s="1">
        <f>Retail_Sales_Analyis[[#This Row],[Final_Price]]-Retail_Sales_Analyis[[#This Row],[Total_Price]]</f>
        <v>0</v>
      </c>
      <c r="S4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" spans="1:19" x14ac:dyDescent="0.25">
      <c r="A450" s="1" t="s">
        <v>946</v>
      </c>
      <c r="B450" s="2">
        <v>45475</v>
      </c>
      <c r="C450" s="1" t="s">
        <v>195</v>
      </c>
      <c r="D450" s="1" t="s">
        <v>28</v>
      </c>
      <c r="E450" s="1" t="s">
        <v>139</v>
      </c>
      <c r="F450" s="1" t="s">
        <v>21</v>
      </c>
      <c r="G450" s="1" t="s">
        <v>57</v>
      </c>
      <c r="H450" s="1" t="s">
        <v>158</v>
      </c>
      <c r="I450" s="1">
        <v>1037.76</v>
      </c>
      <c r="J450" s="1">
        <v>10</v>
      </c>
      <c r="K450" s="1">
        <v>10377.6</v>
      </c>
      <c r="L450" s="1">
        <v>15</v>
      </c>
      <c r="M450" s="1">
        <v>1556.64</v>
      </c>
      <c r="N450" s="1">
        <v>8820.9599999999991</v>
      </c>
      <c r="O450" s="1" t="s">
        <v>64</v>
      </c>
      <c r="P450" s="1" t="s">
        <v>922</v>
      </c>
      <c r="Q450" s="1">
        <v>4</v>
      </c>
      <c r="R450" s="1">
        <f>Retail_Sales_Analyis[[#This Row],[Final_Price]]-Retail_Sales_Analyis[[#This Row],[Total_Price]]</f>
        <v>-1556.6400000000012</v>
      </c>
      <c r="S4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1" spans="1:19" x14ac:dyDescent="0.25">
      <c r="A451" s="1" t="s">
        <v>947</v>
      </c>
      <c r="B451" s="2">
        <v>45399</v>
      </c>
      <c r="C451" s="1" t="s">
        <v>54</v>
      </c>
      <c r="D451" s="1" t="s">
        <v>55</v>
      </c>
      <c r="E451" s="1" t="s">
        <v>97</v>
      </c>
      <c r="F451" s="1" t="s">
        <v>69</v>
      </c>
      <c r="G451" s="1" t="s">
        <v>78</v>
      </c>
      <c r="H451" s="1" t="s">
        <v>126</v>
      </c>
      <c r="I451" s="1">
        <v>412.07</v>
      </c>
      <c r="J451" s="1">
        <v>6</v>
      </c>
      <c r="K451" s="1">
        <v>2472.42</v>
      </c>
      <c r="L451" s="1">
        <v>5</v>
      </c>
      <c r="M451" s="1">
        <v>123.62</v>
      </c>
      <c r="N451" s="1">
        <v>2348.8000000000002</v>
      </c>
      <c r="O451" s="1" t="s">
        <v>24</v>
      </c>
      <c r="P451" s="1" t="s">
        <v>948</v>
      </c>
      <c r="Q451" s="1">
        <v>2</v>
      </c>
      <c r="R451" s="1">
        <f>Retail_Sales_Analyis[[#This Row],[Final_Price]]-Retail_Sales_Analyis[[#This Row],[Total_Price]]</f>
        <v>-123.61999999999989</v>
      </c>
      <c r="S4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2" spans="1:19" x14ac:dyDescent="0.25">
      <c r="A452" s="1" t="s">
        <v>949</v>
      </c>
      <c r="B452" s="2">
        <v>45641</v>
      </c>
      <c r="C452" s="1" t="s">
        <v>73</v>
      </c>
      <c r="D452" s="1" t="s">
        <v>49</v>
      </c>
      <c r="E452" s="1" t="s">
        <v>312</v>
      </c>
      <c r="F452" s="1" t="s">
        <v>37</v>
      </c>
      <c r="G452" s="1" t="s">
        <v>22</v>
      </c>
      <c r="H452" s="1" t="s">
        <v>133</v>
      </c>
      <c r="I452" s="1">
        <v>273.8</v>
      </c>
      <c r="J452" s="1">
        <v>7</v>
      </c>
      <c r="K452" s="1">
        <v>1916.6</v>
      </c>
      <c r="L452" s="1">
        <v>0</v>
      </c>
      <c r="M452" s="1">
        <v>0</v>
      </c>
      <c r="N452" s="1">
        <v>1916.6</v>
      </c>
      <c r="O452" s="1" t="s">
        <v>33</v>
      </c>
      <c r="P452" s="1" t="s">
        <v>219</v>
      </c>
      <c r="Q452" s="1">
        <v>2</v>
      </c>
      <c r="R452" s="1">
        <f>Retail_Sales_Analyis[[#This Row],[Final_Price]]-Retail_Sales_Analyis[[#This Row],[Total_Price]]</f>
        <v>0</v>
      </c>
      <c r="S4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3" spans="1:19" x14ac:dyDescent="0.25">
      <c r="A453" s="1" t="s">
        <v>950</v>
      </c>
      <c r="B453" s="2">
        <v>45419</v>
      </c>
      <c r="C453" s="1" t="s">
        <v>42</v>
      </c>
      <c r="D453" s="1" t="s">
        <v>28</v>
      </c>
      <c r="E453" s="1" t="s">
        <v>44</v>
      </c>
      <c r="F453" s="1" t="s">
        <v>69</v>
      </c>
      <c r="G453" s="1" t="s">
        <v>22</v>
      </c>
      <c r="H453" s="1" t="s">
        <v>187</v>
      </c>
      <c r="I453" s="1">
        <v>647.16999999999996</v>
      </c>
      <c r="J453" s="1">
        <v>7</v>
      </c>
      <c r="K453" s="1">
        <v>4530.1899999999996</v>
      </c>
      <c r="L453" s="1">
        <v>20</v>
      </c>
      <c r="M453" s="1">
        <v>906.04</v>
      </c>
      <c r="N453" s="1">
        <v>3624.15</v>
      </c>
      <c r="O453" s="1" t="s">
        <v>46</v>
      </c>
      <c r="P453" s="1" t="s">
        <v>951</v>
      </c>
      <c r="Q453" s="1">
        <v>5</v>
      </c>
      <c r="R453" s="1">
        <f>Retail_Sales_Analyis[[#This Row],[Final_Price]]-Retail_Sales_Analyis[[#This Row],[Total_Price]]</f>
        <v>-906.03999999999951</v>
      </c>
      <c r="S4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4" spans="1:19" x14ac:dyDescent="0.25">
      <c r="A454" s="1" t="s">
        <v>952</v>
      </c>
      <c r="B454" s="2">
        <v>45633</v>
      </c>
      <c r="C454" s="1" t="s">
        <v>73</v>
      </c>
      <c r="D454" s="1" t="s">
        <v>19</v>
      </c>
      <c r="E454" s="1" t="s">
        <v>97</v>
      </c>
      <c r="F454" s="1" t="s">
        <v>69</v>
      </c>
      <c r="G454" s="1" t="s">
        <v>31</v>
      </c>
      <c r="H454" s="1" t="s">
        <v>32</v>
      </c>
      <c r="I454" s="1">
        <v>420.72</v>
      </c>
      <c r="J454" s="1">
        <v>3</v>
      </c>
      <c r="K454" s="1">
        <v>1262.1600000000001</v>
      </c>
      <c r="L454" s="1">
        <v>10</v>
      </c>
      <c r="M454" s="1">
        <v>126.22</v>
      </c>
      <c r="N454" s="1">
        <v>1135.94</v>
      </c>
      <c r="O454" s="1" t="s">
        <v>64</v>
      </c>
      <c r="P454" s="1" t="s">
        <v>953</v>
      </c>
      <c r="Q454" s="1">
        <v>4</v>
      </c>
      <c r="R454" s="1">
        <f>Retail_Sales_Analyis[[#This Row],[Final_Price]]-Retail_Sales_Analyis[[#This Row],[Total_Price]]</f>
        <v>-126.22000000000003</v>
      </c>
      <c r="S4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5" spans="1:19" x14ac:dyDescent="0.25">
      <c r="A455" s="1" t="s">
        <v>954</v>
      </c>
      <c r="B455" s="2">
        <v>45344</v>
      </c>
      <c r="C455" s="1" t="s">
        <v>27</v>
      </c>
      <c r="D455" s="1" t="s">
        <v>67</v>
      </c>
      <c r="E455" s="1" t="s">
        <v>307</v>
      </c>
      <c r="F455" s="1" t="s">
        <v>37</v>
      </c>
      <c r="G455" s="1" t="s">
        <v>169</v>
      </c>
      <c r="H455" s="1" t="s">
        <v>366</v>
      </c>
      <c r="I455" s="1">
        <v>846.52</v>
      </c>
      <c r="J455" s="1">
        <v>1</v>
      </c>
      <c r="K455" s="1">
        <v>846.52</v>
      </c>
      <c r="L455" s="1">
        <v>15</v>
      </c>
      <c r="M455" s="1">
        <v>126.98</v>
      </c>
      <c r="N455" s="1">
        <v>719.54</v>
      </c>
      <c r="O455" s="1" t="s">
        <v>64</v>
      </c>
      <c r="P455" s="1" t="s">
        <v>955</v>
      </c>
      <c r="Q455" s="1">
        <v>5</v>
      </c>
      <c r="R455" s="1">
        <f>Retail_Sales_Analyis[[#This Row],[Final_Price]]-Retail_Sales_Analyis[[#This Row],[Total_Price]]</f>
        <v>-126.98000000000002</v>
      </c>
      <c r="S4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6" spans="1:19" x14ac:dyDescent="0.25">
      <c r="A456" s="1" t="s">
        <v>956</v>
      </c>
      <c r="B456" s="2">
        <v>45473</v>
      </c>
      <c r="C456" s="1" t="s">
        <v>173</v>
      </c>
      <c r="D456" s="1" t="s">
        <v>49</v>
      </c>
      <c r="E456" s="1" t="s">
        <v>107</v>
      </c>
      <c r="F456" s="1" t="s">
        <v>37</v>
      </c>
      <c r="G456" s="1" t="s">
        <v>22</v>
      </c>
      <c r="H456" s="1" t="s">
        <v>133</v>
      </c>
      <c r="I456" s="1">
        <v>296.69</v>
      </c>
      <c r="J456" s="1">
        <v>10</v>
      </c>
      <c r="K456" s="1">
        <v>2966.9</v>
      </c>
      <c r="L456" s="1">
        <v>0</v>
      </c>
      <c r="M456" s="1">
        <v>0</v>
      </c>
      <c r="N456" s="1">
        <v>2966.9</v>
      </c>
      <c r="O456" s="1" t="s">
        <v>24</v>
      </c>
      <c r="P456" s="1" t="s">
        <v>957</v>
      </c>
      <c r="Q456" s="1">
        <v>5</v>
      </c>
      <c r="R456" s="1">
        <f>Retail_Sales_Analyis[[#This Row],[Final_Price]]-Retail_Sales_Analyis[[#This Row],[Total_Price]]</f>
        <v>0</v>
      </c>
      <c r="S4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7" spans="1:19" x14ac:dyDescent="0.25">
      <c r="A457" s="1" t="s">
        <v>958</v>
      </c>
      <c r="B457" s="2">
        <v>45578</v>
      </c>
      <c r="C457" s="1" t="s">
        <v>76</v>
      </c>
      <c r="D457" s="1" t="s">
        <v>49</v>
      </c>
      <c r="E457" s="1" t="s">
        <v>132</v>
      </c>
      <c r="F457" s="1" t="s">
        <v>69</v>
      </c>
      <c r="G457" s="1" t="s">
        <v>38</v>
      </c>
      <c r="H457" s="1" t="s">
        <v>422</v>
      </c>
      <c r="I457" s="1">
        <v>312.27999999999997</v>
      </c>
      <c r="J457" s="1">
        <v>8</v>
      </c>
      <c r="K457" s="1">
        <v>2498.2399999999998</v>
      </c>
      <c r="L457" s="1">
        <v>0</v>
      </c>
      <c r="M457" s="1">
        <v>0</v>
      </c>
      <c r="N457" s="1">
        <v>2498.2399999999998</v>
      </c>
      <c r="O457" s="1" t="s">
        <v>64</v>
      </c>
      <c r="P457" s="1" t="s">
        <v>959</v>
      </c>
      <c r="Q457" s="1">
        <v>2</v>
      </c>
      <c r="R457" s="1">
        <f>Retail_Sales_Analyis[[#This Row],[Final_Price]]-Retail_Sales_Analyis[[#This Row],[Total_Price]]</f>
        <v>0</v>
      </c>
      <c r="S4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" spans="1:19" x14ac:dyDescent="0.25">
      <c r="A458" s="1" t="s">
        <v>960</v>
      </c>
      <c r="B458" s="2">
        <v>45500</v>
      </c>
      <c r="C458" s="1" t="s">
        <v>195</v>
      </c>
      <c r="D458" s="1" t="s">
        <v>19</v>
      </c>
      <c r="E458" s="1" t="s">
        <v>411</v>
      </c>
      <c r="F458" s="1" t="s">
        <v>37</v>
      </c>
      <c r="G458" s="1" t="s">
        <v>38</v>
      </c>
      <c r="H458" s="1" t="s">
        <v>422</v>
      </c>
      <c r="I458" s="1">
        <v>250.91</v>
      </c>
      <c r="J458" s="1">
        <v>8</v>
      </c>
      <c r="K458" s="1">
        <v>2007.28</v>
      </c>
      <c r="L458" s="1">
        <v>0</v>
      </c>
      <c r="M458" s="1">
        <v>0</v>
      </c>
      <c r="N458" s="1">
        <v>2007.28</v>
      </c>
      <c r="O458" s="1" t="s">
        <v>24</v>
      </c>
      <c r="P458" s="1" t="s">
        <v>961</v>
      </c>
      <c r="Q458" s="1">
        <v>5</v>
      </c>
      <c r="R458" s="1">
        <f>Retail_Sales_Analyis[[#This Row],[Final_Price]]-Retail_Sales_Analyis[[#This Row],[Total_Price]]</f>
        <v>0</v>
      </c>
      <c r="S4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9" spans="1:19" x14ac:dyDescent="0.25">
      <c r="A459" s="1" t="s">
        <v>962</v>
      </c>
      <c r="B459" s="2">
        <v>45609</v>
      </c>
      <c r="C459" s="1" t="s">
        <v>18</v>
      </c>
      <c r="D459" s="1" t="s">
        <v>55</v>
      </c>
      <c r="E459" s="1" t="s">
        <v>121</v>
      </c>
      <c r="F459" s="1" t="s">
        <v>69</v>
      </c>
      <c r="G459" s="1" t="s">
        <v>112</v>
      </c>
      <c r="H459" s="1" t="s">
        <v>288</v>
      </c>
      <c r="I459" s="1">
        <v>1221.76</v>
      </c>
      <c r="J459" s="1">
        <v>5</v>
      </c>
      <c r="K459" s="1">
        <v>6108.8</v>
      </c>
      <c r="L459" s="1">
        <v>10</v>
      </c>
      <c r="M459" s="1">
        <v>610.88</v>
      </c>
      <c r="N459" s="1">
        <v>5497.92</v>
      </c>
      <c r="O459" s="1" t="s">
        <v>33</v>
      </c>
      <c r="P459" s="1" t="s">
        <v>723</v>
      </c>
      <c r="Q459" s="1">
        <v>3</v>
      </c>
      <c r="R459" s="1">
        <f>Retail_Sales_Analyis[[#This Row],[Final_Price]]-Retail_Sales_Analyis[[#This Row],[Total_Price]]</f>
        <v>-610.88000000000011</v>
      </c>
      <c r="S4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0" spans="1:19" x14ac:dyDescent="0.25">
      <c r="A460" s="1" t="s">
        <v>963</v>
      </c>
      <c r="B460" s="2">
        <v>45371</v>
      </c>
      <c r="C460" s="1" t="s">
        <v>61</v>
      </c>
      <c r="D460" s="1" t="s">
        <v>55</v>
      </c>
      <c r="E460" s="1" t="s">
        <v>107</v>
      </c>
      <c r="F460" s="1" t="s">
        <v>30</v>
      </c>
      <c r="G460" s="1" t="s">
        <v>85</v>
      </c>
      <c r="H460" s="1" t="s">
        <v>98</v>
      </c>
      <c r="I460" s="1">
        <v>3019.06</v>
      </c>
      <c r="J460" s="1">
        <v>8</v>
      </c>
      <c r="K460" s="1">
        <v>24152.48</v>
      </c>
      <c r="L460" s="1">
        <v>20</v>
      </c>
      <c r="M460" s="1">
        <v>4830.5</v>
      </c>
      <c r="N460" s="1">
        <v>19321.98</v>
      </c>
      <c r="O460" s="1" t="s">
        <v>33</v>
      </c>
      <c r="P460" s="1" t="s">
        <v>964</v>
      </c>
      <c r="Q460" s="1">
        <v>4</v>
      </c>
      <c r="R460" s="1">
        <f>Retail_Sales_Analyis[[#This Row],[Final_Price]]-Retail_Sales_Analyis[[#This Row],[Total_Price]]</f>
        <v>-4830.5</v>
      </c>
      <c r="S4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1" spans="1:19" x14ac:dyDescent="0.25">
      <c r="A461" s="1" t="s">
        <v>965</v>
      </c>
      <c r="B461" s="2">
        <v>45413</v>
      </c>
      <c r="C461" s="1" t="s">
        <v>42</v>
      </c>
      <c r="D461" s="1" t="s">
        <v>55</v>
      </c>
      <c r="E461" s="1" t="s">
        <v>104</v>
      </c>
      <c r="F461" s="1" t="s">
        <v>69</v>
      </c>
      <c r="G461" s="1" t="s">
        <v>22</v>
      </c>
      <c r="H461" s="1" t="s">
        <v>51</v>
      </c>
      <c r="I461" s="1">
        <v>386.26</v>
      </c>
      <c r="J461" s="1">
        <v>7</v>
      </c>
      <c r="K461" s="1">
        <v>2703.82</v>
      </c>
      <c r="L461" s="1">
        <v>0</v>
      </c>
      <c r="M461" s="1">
        <v>0</v>
      </c>
      <c r="N461" s="1">
        <v>2703.82</v>
      </c>
      <c r="O461" s="1" t="s">
        <v>80</v>
      </c>
      <c r="P461" s="1" t="s">
        <v>437</v>
      </c>
      <c r="Q461" s="1">
        <v>1</v>
      </c>
      <c r="R461" s="1">
        <f>Retail_Sales_Analyis[[#This Row],[Final_Price]]-Retail_Sales_Analyis[[#This Row],[Total_Price]]</f>
        <v>0</v>
      </c>
      <c r="S4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2" spans="1:19" x14ac:dyDescent="0.25">
      <c r="A462" s="1" t="s">
        <v>966</v>
      </c>
      <c r="B462" s="2">
        <v>45375</v>
      </c>
      <c r="C462" s="1" t="s">
        <v>61</v>
      </c>
      <c r="D462" s="1" t="s">
        <v>49</v>
      </c>
      <c r="E462" s="1" t="s">
        <v>20</v>
      </c>
      <c r="F462" s="1" t="s">
        <v>37</v>
      </c>
      <c r="G462" s="1" t="s">
        <v>38</v>
      </c>
      <c r="H462" s="1" t="s">
        <v>39</v>
      </c>
      <c r="I462" s="1">
        <v>706.17</v>
      </c>
      <c r="J462" s="1">
        <v>1</v>
      </c>
      <c r="K462" s="1">
        <v>706.17</v>
      </c>
      <c r="L462" s="1">
        <v>10</v>
      </c>
      <c r="M462" s="1">
        <v>70.62</v>
      </c>
      <c r="N462" s="1">
        <v>635.54999999999995</v>
      </c>
      <c r="O462" s="1" t="s">
        <v>46</v>
      </c>
      <c r="P462" s="1" t="s">
        <v>967</v>
      </c>
      <c r="Q462" s="1">
        <v>5</v>
      </c>
      <c r="R462" s="1">
        <f>Retail_Sales_Analyis[[#This Row],[Final_Price]]-Retail_Sales_Analyis[[#This Row],[Total_Price]]</f>
        <v>-70.62</v>
      </c>
      <c r="S4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" spans="1:19" x14ac:dyDescent="0.25">
      <c r="A463" s="1" t="s">
        <v>968</v>
      </c>
      <c r="B463" s="2">
        <v>45382</v>
      </c>
      <c r="C463" s="1" t="s">
        <v>61</v>
      </c>
      <c r="D463" s="1" t="s">
        <v>49</v>
      </c>
      <c r="E463" s="1" t="s">
        <v>139</v>
      </c>
      <c r="F463" s="1" t="s">
        <v>21</v>
      </c>
      <c r="G463" s="1" t="s">
        <v>169</v>
      </c>
      <c r="H463" s="1" t="s">
        <v>366</v>
      </c>
      <c r="I463" s="1">
        <v>1446.2</v>
      </c>
      <c r="J463" s="1">
        <v>9</v>
      </c>
      <c r="K463" s="1">
        <v>13015.8</v>
      </c>
      <c r="L463" s="1">
        <v>10</v>
      </c>
      <c r="M463" s="1">
        <v>1301.58</v>
      </c>
      <c r="N463" s="1">
        <v>11714.22</v>
      </c>
      <c r="O463" s="1" t="s">
        <v>24</v>
      </c>
      <c r="P463" s="1" t="s">
        <v>969</v>
      </c>
      <c r="Q463" s="1">
        <v>5</v>
      </c>
      <c r="R463" s="1">
        <f>Retail_Sales_Analyis[[#This Row],[Final_Price]]-Retail_Sales_Analyis[[#This Row],[Total_Price]]</f>
        <v>-1301.58</v>
      </c>
      <c r="S4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" spans="1:19" x14ac:dyDescent="0.25">
      <c r="A464" s="1" t="s">
        <v>970</v>
      </c>
      <c r="B464" s="2">
        <v>45503</v>
      </c>
      <c r="C464" s="1" t="s">
        <v>195</v>
      </c>
      <c r="D464" s="1" t="s">
        <v>28</v>
      </c>
      <c r="E464" s="1" t="s">
        <v>337</v>
      </c>
      <c r="F464" s="1" t="s">
        <v>30</v>
      </c>
      <c r="G464" s="1" t="s">
        <v>31</v>
      </c>
      <c r="H464" s="1" t="s">
        <v>45</v>
      </c>
      <c r="I464" s="1">
        <v>453.59</v>
      </c>
      <c r="J464" s="1">
        <v>2</v>
      </c>
      <c r="K464" s="1">
        <v>907.18</v>
      </c>
      <c r="L464" s="1">
        <v>15</v>
      </c>
      <c r="M464" s="1">
        <v>136.08000000000001</v>
      </c>
      <c r="N464" s="1">
        <v>771.1</v>
      </c>
      <c r="O464" s="1" t="s">
        <v>80</v>
      </c>
      <c r="P464" s="1" t="s">
        <v>971</v>
      </c>
      <c r="Q464" s="1">
        <v>2</v>
      </c>
      <c r="R464" s="1">
        <f>Retail_Sales_Analyis[[#This Row],[Final_Price]]-Retail_Sales_Analyis[[#This Row],[Total_Price]]</f>
        <v>-136.07999999999993</v>
      </c>
      <c r="S4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5" spans="1:19" x14ac:dyDescent="0.25">
      <c r="A465" s="1" t="s">
        <v>972</v>
      </c>
      <c r="B465" s="2">
        <v>45304</v>
      </c>
      <c r="C465" s="1" t="s">
        <v>36</v>
      </c>
      <c r="D465" s="1" t="s">
        <v>19</v>
      </c>
      <c r="E465" s="1" t="s">
        <v>89</v>
      </c>
      <c r="F465" s="1" t="s">
        <v>30</v>
      </c>
      <c r="G465" s="1" t="s">
        <v>57</v>
      </c>
      <c r="H465" s="1" t="s">
        <v>101</v>
      </c>
      <c r="I465" s="1">
        <v>2523.13</v>
      </c>
      <c r="J465" s="1">
        <v>10</v>
      </c>
      <c r="K465" s="1">
        <v>25231.3</v>
      </c>
      <c r="L465" s="1">
        <v>5</v>
      </c>
      <c r="M465" s="1">
        <v>1261.57</v>
      </c>
      <c r="N465" s="1">
        <v>23969.73</v>
      </c>
      <c r="O465" s="1" t="s">
        <v>24</v>
      </c>
      <c r="P465" s="1" t="s">
        <v>710</v>
      </c>
      <c r="Q465" s="1">
        <v>5</v>
      </c>
      <c r="R465" s="1">
        <f>Retail_Sales_Analyis[[#This Row],[Final_Price]]-Retail_Sales_Analyis[[#This Row],[Total_Price]]</f>
        <v>-1261.5699999999997</v>
      </c>
      <c r="S4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6" spans="1:19" x14ac:dyDescent="0.25">
      <c r="A466" s="1" t="s">
        <v>973</v>
      </c>
      <c r="B466" s="2">
        <v>45383</v>
      </c>
      <c r="C466" s="1" t="s">
        <v>54</v>
      </c>
      <c r="D466" s="1" t="s">
        <v>43</v>
      </c>
      <c r="E466" s="1" t="s">
        <v>261</v>
      </c>
      <c r="F466" s="1" t="s">
        <v>37</v>
      </c>
      <c r="G466" s="1" t="s">
        <v>112</v>
      </c>
      <c r="H466" s="1" t="s">
        <v>288</v>
      </c>
      <c r="I466" s="1">
        <v>1792.96</v>
      </c>
      <c r="J466" s="1">
        <v>1</v>
      </c>
      <c r="K466" s="1">
        <v>1792.96</v>
      </c>
      <c r="L466" s="1">
        <v>0</v>
      </c>
      <c r="M466" s="1">
        <v>0</v>
      </c>
      <c r="N466" s="1">
        <v>1792.96</v>
      </c>
      <c r="O466" s="1" t="s">
        <v>33</v>
      </c>
      <c r="P466" s="1" t="s">
        <v>807</v>
      </c>
      <c r="Q466" s="1">
        <v>2</v>
      </c>
      <c r="R466" s="1">
        <f>Retail_Sales_Analyis[[#This Row],[Final_Price]]-Retail_Sales_Analyis[[#This Row],[Total_Price]]</f>
        <v>0</v>
      </c>
      <c r="S4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" spans="1:19" x14ac:dyDescent="0.25">
      <c r="A467" s="1" t="s">
        <v>974</v>
      </c>
      <c r="B467" s="2">
        <v>45462</v>
      </c>
      <c r="C467" s="1" t="s">
        <v>173</v>
      </c>
      <c r="D467" s="1" t="s">
        <v>55</v>
      </c>
      <c r="E467" s="1" t="s">
        <v>94</v>
      </c>
      <c r="F467" s="1" t="s">
        <v>21</v>
      </c>
      <c r="G467" s="1" t="s">
        <v>78</v>
      </c>
      <c r="H467" s="1" t="s">
        <v>136</v>
      </c>
      <c r="I467" s="1">
        <v>265.73</v>
      </c>
      <c r="J467" s="1">
        <v>2</v>
      </c>
      <c r="K467" s="1">
        <v>531.46</v>
      </c>
      <c r="L467" s="1">
        <v>0</v>
      </c>
      <c r="M467" s="1">
        <v>0</v>
      </c>
      <c r="N467" s="1">
        <v>531.46</v>
      </c>
      <c r="O467" s="1" t="s">
        <v>80</v>
      </c>
      <c r="P467" s="1" t="s">
        <v>975</v>
      </c>
      <c r="Q467" s="1">
        <v>2</v>
      </c>
      <c r="R467" s="1">
        <f>Retail_Sales_Analyis[[#This Row],[Final_Price]]-Retail_Sales_Analyis[[#This Row],[Total_Price]]</f>
        <v>0</v>
      </c>
      <c r="S4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8" spans="1:19" x14ac:dyDescent="0.25">
      <c r="A468" s="1" t="s">
        <v>976</v>
      </c>
      <c r="B468" s="2">
        <v>45502</v>
      </c>
      <c r="C468" s="1" t="s">
        <v>195</v>
      </c>
      <c r="D468" s="1" t="s">
        <v>43</v>
      </c>
      <c r="E468" s="1" t="s">
        <v>50</v>
      </c>
      <c r="F468" s="1" t="s">
        <v>30</v>
      </c>
      <c r="G468" s="1" t="s">
        <v>38</v>
      </c>
      <c r="H468" s="1" t="s">
        <v>39</v>
      </c>
      <c r="I468" s="1">
        <v>207.96</v>
      </c>
      <c r="J468" s="1">
        <v>7</v>
      </c>
      <c r="K468" s="1">
        <v>1455.72</v>
      </c>
      <c r="L468" s="1">
        <v>15</v>
      </c>
      <c r="M468" s="1">
        <v>218.36</v>
      </c>
      <c r="N468" s="1">
        <v>1237.3599999999999</v>
      </c>
      <c r="O468" s="1" t="s">
        <v>64</v>
      </c>
      <c r="P468" s="1" t="s">
        <v>188</v>
      </c>
      <c r="Q468" s="1">
        <v>1</v>
      </c>
      <c r="R468" s="1">
        <f>Retail_Sales_Analyis[[#This Row],[Final_Price]]-Retail_Sales_Analyis[[#This Row],[Total_Price]]</f>
        <v>-218.36000000000013</v>
      </c>
      <c r="S4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9" spans="1:19" x14ac:dyDescent="0.25">
      <c r="A469" s="1" t="s">
        <v>977</v>
      </c>
      <c r="B469" s="2">
        <v>45634</v>
      </c>
      <c r="C469" s="1" t="s">
        <v>73</v>
      </c>
      <c r="D469" s="1" t="s">
        <v>49</v>
      </c>
      <c r="E469" s="1" t="s">
        <v>166</v>
      </c>
      <c r="F469" s="1" t="s">
        <v>30</v>
      </c>
      <c r="G469" s="1" t="s">
        <v>112</v>
      </c>
      <c r="H469" s="1" t="s">
        <v>223</v>
      </c>
      <c r="I469" s="1">
        <v>947.04</v>
      </c>
      <c r="J469" s="1">
        <v>2</v>
      </c>
      <c r="K469" s="1">
        <v>1894.08</v>
      </c>
      <c r="L469" s="1">
        <v>0</v>
      </c>
      <c r="M469" s="1">
        <v>0</v>
      </c>
      <c r="N469" s="1">
        <v>1894.08</v>
      </c>
      <c r="O469" s="1" t="s">
        <v>64</v>
      </c>
      <c r="P469" s="1" t="s">
        <v>257</v>
      </c>
      <c r="Q469" s="1">
        <v>4</v>
      </c>
      <c r="R469" s="1">
        <f>Retail_Sales_Analyis[[#This Row],[Final_Price]]-Retail_Sales_Analyis[[#This Row],[Total_Price]]</f>
        <v>0</v>
      </c>
      <c r="S4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" spans="1:19" x14ac:dyDescent="0.25">
      <c r="A470" s="1" t="s">
        <v>978</v>
      </c>
      <c r="B470" s="2">
        <v>45419</v>
      </c>
      <c r="C470" s="1" t="s">
        <v>42</v>
      </c>
      <c r="D470" s="1" t="s">
        <v>28</v>
      </c>
      <c r="E470" s="1" t="s">
        <v>213</v>
      </c>
      <c r="F470" s="1" t="s">
        <v>84</v>
      </c>
      <c r="G470" s="1" t="s">
        <v>169</v>
      </c>
      <c r="H470" s="1" t="s">
        <v>208</v>
      </c>
      <c r="I470" s="1">
        <v>543.07000000000005</v>
      </c>
      <c r="J470" s="1">
        <v>10</v>
      </c>
      <c r="K470" s="1">
        <v>5430.7</v>
      </c>
      <c r="L470" s="1">
        <v>10</v>
      </c>
      <c r="M470" s="1">
        <v>543.07000000000005</v>
      </c>
      <c r="N470" s="1">
        <v>4887.63</v>
      </c>
      <c r="O470" s="1" t="s">
        <v>64</v>
      </c>
      <c r="P470" s="1" t="s">
        <v>371</v>
      </c>
      <c r="Q470" s="1">
        <v>4</v>
      </c>
      <c r="R470" s="1">
        <f>Retail_Sales_Analyis[[#This Row],[Final_Price]]-Retail_Sales_Analyis[[#This Row],[Total_Price]]</f>
        <v>-543.06999999999971</v>
      </c>
      <c r="S4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1" spans="1:19" x14ac:dyDescent="0.25">
      <c r="A471" s="1" t="s">
        <v>979</v>
      </c>
      <c r="B471" s="2">
        <v>45428</v>
      </c>
      <c r="C471" s="1" t="s">
        <v>42</v>
      </c>
      <c r="D471" s="1" t="s">
        <v>67</v>
      </c>
      <c r="E471" s="1" t="s">
        <v>83</v>
      </c>
      <c r="F471" s="1" t="s">
        <v>37</v>
      </c>
      <c r="G471" s="1" t="s">
        <v>169</v>
      </c>
      <c r="H471" s="1" t="s">
        <v>175</v>
      </c>
      <c r="I471" s="1">
        <v>372.76</v>
      </c>
      <c r="J471" s="1">
        <v>8</v>
      </c>
      <c r="K471" s="1">
        <v>2982.08</v>
      </c>
      <c r="L471" s="1">
        <v>10</v>
      </c>
      <c r="M471" s="1">
        <v>298.20999999999998</v>
      </c>
      <c r="N471" s="1">
        <v>2683.87</v>
      </c>
      <c r="O471" s="1" t="s">
        <v>33</v>
      </c>
      <c r="P471" s="1" t="s">
        <v>980</v>
      </c>
      <c r="Q471" s="1">
        <v>1</v>
      </c>
      <c r="R471" s="1">
        <f>Retail_Sales_Analyis[[#This Row],[Final_Price]]-Retail_Sales_Analyis[[#This Row],[Total_Price]]</f>
        <v>-298.21000000000004</v>
      </c>
      <c r="S4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2" spans="1:19" x14ac:dyDescent="0.25">
      <c r="A472" s="1" t="s">
        <v>981</v>
      </c>
      <c r="B472" s="2">
        <v>45373</v>
      </c>
      <c r="C472" s="1" t="s">
        <v>61</v>
      </c>
      <c r="D472" s="1" t="s">
        <v>144</v>
      </c>
      <c r="E472" s="1" t="s">
        <v>174</v>
      </c>
      <c r="F472" s="1" t="s">
        <v>84</v>
      </c>
      <c r="G472" s="1" t="s">
        <v>57</v>
      </c>
      <c r="H472" s="1" t="s">
        <v>152</v>
      </c>
      <c r="I472" s="1">
        <v>953.65</v>
      </c>
      <c r="J472" s="1">
        <v>10</v>
      </c>
      <c r="K472" s="1">
        <v>9536.5</v>
      </c>
      <c r="L472" s="1">
        <v>15</v>
      </c>
      <c r="M472" s="1">
        <v>1430.47</v>
      </c>
      <c r="N472" s="1">
        <v>8106.03</v>
      </c>
      <c r="O472" s="1" t="s">
        <v>24</v>
      </c>
      <c r="P472" s="1" t="s">
        <v>982</v>
      </c>
      <c r="Q472" s="1">
        <v>2</v>
      </c>
      <c r="R472" s="1">
        <f>Retail_Sales_Analyis[[#This Row],[Final_Price]]-Retail_Sales_Analyis[[#This Row],[Total_Price]]</f>
        <v>-1430.4700000000003</v>
      </c>
      <c r="S4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3" spans="1:19" x14ac:dyDescent="0.25">
      <c r="A473" s="1" t="s">
        <v>983</v>
      </c>
      <c r="B473" s="2">
        <v>45651</v>
      </c>
      <c r="C473" s="1" t="s">
        <v>73</v>
      </c>
      <c r="D473" s="1" t="s">
        <v>55</v>
      </c>
      <c r="E473" s="1" t="s">
        <v>107</v>
      </c>
      <c r="F473" s="1" t="s">
        <v>30</v>
      </c>
      <c r="G473" s="1" t="s">
        <v>85</v>
      </c>
      <c r="H473" s="1" t="s">
        <v>180</v>
      </c>
      <c r="I473" s="1">
        <v>3272.98</v>
      </c>
      <c r="J473" s="1">
        <v>8</v>
      </c>
      <c r="K473" s="1">
        <v>26183.84</v>
      </c>
      <c r="L473" s="1">
        <v>0</v>
      </c>
      <c r="M473" s="1">
        <v>0</v>
      </c>
      <c r="N473" s="1">
        <v>26183.84</v>
      </c>
      <c r="O473" s="1" t="s">
        <v>80</v>
      </c>
      <c r="P473" s="1" t="s">
        <v>984</v>
      </c>
      <c r="Q473" s="1">
        <v>2</v>
      </c>
      <c r="R473" s="1">
        <f>Retail_Sales_Analyis[[#This Row],[Final_Price]]-Retail_Sales_Analyis[[#This Row],[Total_Price]]</f>
        <v>0</v>
      </c>
      <c r="S4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4" spans="1:19" x14ac:dyDescent="0.25">
      <c r="A474" s="1" t="s">
        <v>985</v>
      </c>
      <c r="B474" s="2">
        <v>45347</v>
      </c>
      <c r="C474" s="1" t="s">
        <v>27</v>
      </c>
      <c r="D474" s="1" t="s">
        <v>49</v>
      </c>
      <c r="E474" s="1" t="s">
        <v>157</v>
      </c>
      <c r="F474" s="1" t="s">
        <v>69</v>
      </c>
      <c r="G474" s="1" t="s">
        <v>85</v>
      </c>
      <c r="H474" s="1" t="s">
        <v>98</v>
      </c>
      <c r="I474" s="1">
        <v>3150.14</v>
      </c>
      <c r="J474" s="1">
        <v>7</v>
      </c>
      <c r="K474" s="1">
        <v>22050.98</v>
      </c>
      <c r="L474" s="1">
        <v>10</v>
      </c>
      <c r="M474" s="1">
        <v>2205.1</v>
      </c>
      <c r="N474" s="1">
        <v>19845.88</v>
      </c>
      <c r="O474" s="1" t="s">
        <v>33</v>
      </c>
      <c r="P474" s="1" t="s">
        <v>986</v>
      </c>
      <c r="Q474" s="1">
        <v>1</v>
      </c>
      <c r="R474" s="1">
        <f>Retail_Sales_Analyis[[#This Row],[Final_Price]]-Retail_Sales_Analyis[[#This Row],[Total_Price]]</f>
        <v>-2205.0999999999985</v>
      </c>
      <c r="S4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5" spans="1:19" x14ac:dyDescent="0.25">
      <c r="A475" s="1" t="s">
        <v>987</v>
      </c>
      <c r="B475" s="2">
        <v>45487</v>
      </c>
      <c r="C475" s="1" t="s">
        <v>195</v>
      </c>
      <c r="D475" s="1" t="s">
        <v>49</v>
      </c>
      <c r="E475" s="1" t="s">
        <v>285</v>
      </c>
      <c r="F475" s="1" t="s">
        <v>69</v>
      </c>
      <c r="G475" s="1" t="s">
        <v>38</v>
      </c>
      <c r="H475" s="1" t="s">
        <v>214</v>
      </c>
      <c r="I475" s="1">
        <v>100.38</v>
      </c>
      <c r="J475" s="1">
        <v>8</v>
      </c>
      <c r="K475" s="1">
        <v>803.04</v>
      </c>
      <c r="L475" s="1">
        <v>0</v>
      </c>
      <c r="M475" s="1">
        <v>0</v>
      </c>
      <c r="N475" s="1">
        <v>803.04</v>
      </c>
      <c r="O475" s="1" t="s">
        <v>80</v>
      </c>
      <c r="P475" s="1" t="s">
        <v>988</v>
      </c>
      <c r="Q475" s="1">
        <v>3</v>
      </c>
      <c r="R475" s="1">
        <f>Retail_Sales_Analyis[[#This Row],[Final_Price]]-Retail_Sales_Analyis[[#This Row],[Total_Price]]</f>
        <v>0</v>
      </c>
      <c r="S4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" spans="1:19" x14ac:dyDescent="0.25">
      <c r="A476" s="1" t="s">
        <v>989</v>
      </c>
      <c r="B476" s="2">
        <v>45311</v>
      </c>
      <c r="C476" s="1" t="s">
        <v>36</v>
      </c>
      <c r="D476" s="1" t="s">
        <v>19</v>
      </c>
      <c r="E476" s="1" t="s">
        <v>196</v>
      </c>
      <c r="F476" s="1" t="s">
        <v>37</v>
      </c>
      <c r="G476" s="1" t="s">
        <v>57</v>
      </c>
      <c r="H476" s="1" t="s">
        <v>122</v>
      </c>
      <c r="I476" s="1">
        <v>2553.92</v>
      </c>
      <c r="J476" s="1">
        <v>5</v>
      </c>
      <c r="K476" s="1">
        <v>12769.6</v>
      </c>
      <c r="L476" s="1">
        <v>0</v>
      </c>
      <c r="M476" s="1">
        <v>0</v>
      </c>
      <c r="N476" s="1">
        <v>12769.6</v>
      </c>
      <c r="O476" s="1" t="s">
        <v>64</v>
      </c>
      <c r="P476" s="1" t="s">
        <v>725</v>
      </c>
      <c r="Q476" s="1">
        <v>5</v>
      </c>
      <c r="R476" s="1">
        <f>Retail_Sales_Analyis[[#This Row],[Final_Price]]-Retail_Sales_Analyis[[#This Row],[Total_Price]]</f>
        <v>0</v>
      </c>
      <c r="S4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7" spans="1:19" x14ac:dyDescent="0.25">
      <c r="A477" s="1" t="s">
        <v>990</v>
      </c>
      <c r="B477" s="2">
        <v>45532</v>
      </c>
      <c r="C477" s="1" t="s">
        <v>93</v>
      </c>
      <c r="D477" s="1" t="s">
        <v>55</v>
      </c>
      <c r="E477" s="1" t="s">
        <v>302</v>
      </c>
      <c r="F477" s="1" t="s">
        <v>21</v>
      </c>
      <c r="G477" s="1" t="s">
        <v>169</v>
      </c>
      <c r="H477" s="1" t="s">
        <v>348</v>
      </c>
      <c r="I477" s="1">
        <v>1138.1199999999999</v>
      </c>
      <c r="J477" s="1">
        <v>3</v>
      </c>
      <c r="K477" s="1">
        <v>3414.36</v>
      </c>
      <c r="L477" s="1">
        <v>15</v>
      </c>
      <c r="M477" s="1">
        <v>512.15</v>
      </c>
      <c r="N477" s="1">
        <v>2902.21</v>
      </c>
      <c r="O477" s="1" t="s">
        <v>80</v>
      </c>
      <c r="P477" s="1" t="s">
        <v>502</v>
      </c>
      <c r="Q477" s="1">
        <v>3</v>
      </c>
      <c r="R477" s="1">
        <f>Retail_Sales_Analyis[[#This Row],[Final_Price]]-Retail_Sales_Analyis[[#This Row],[Total_Price]]</f>
        <v>-512.15000000000009</v>
      </c>
      <c r="S4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" spans="1:19" x14ac:dyDescent="0.25">
      <c r="A478" s="1" t="s">
        <v>991</v>
      </c>
      <c r="B478" s="2">
        <v>45405</v>
      </c>
      <c r="C478" s="1" t="s">
        <v>54</v>
      </c>
      <c r="D478" s="1" t="s">
        <v>28</v>
      </c>
      <c r="E478" s="1" t="s">
        <v>62</v>
      </c>
      <c r="F478" s="1" t="s">
        <v>21</v>
      </c>
      <c r="G478" s="1" t="s">
        <v>78</v>
      </c>
      <c r="H478" s="1" t="s">
        <v>323</v>
      </c>
      <c r="I478" s="1">
        <v>435.83</v>
      </c>
      <c r="J478" s="1">
        <v>8</v>
      </c>
      <c r="K478" s="1">
        <v>3486.64</v>
      </c>
      <c r="L478" s="1">
        <v>0</v>
      </c>
      <c r="M478" s="1">
        <v>0</v>
      </c>
      <c r="N478" s="1">
        <v>3486.64</v>
      </c>
      <c r="O478" s="1" t="s">
        <v>64</v>
      </c>
      <c r="P478" s="1" t="s">
        <v>40</v>
      </c>
      <c r="Q478" s="1">
        <v>3</v>
      </c>
      <c r="R478" s="1">
        <f>Retail_Sales_Analyis[[#This Row],[Final_Price]]-Retail_Sales_Analyis[[#This Row],[Total_Price]]</f>
        <v>0</v>
      </c>
      <c r="S4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9" spans="1:19" x14ac:dyDescent="0.25">
      <c r="A479" s="1" t="s">
        <v>992</v>
      </c>
      <c r="B479" s="2">
        <v>45394</v>
      </c>
      <c r="C479" s="1" t="s">
        <v>54</v>
      </c>
      <c r="D479" s="1" t="s">
        <v>144</v>
      </c>
      <c r="E479" s="1" t="s">
        <v>83</v>
      </c>
      <c r="F479" s="1" t="s">
        <v>37</v>
      </c>
      <c r="G479" s="1" t="s">
        <v>78</v>
      </c>
      <c r="H479" s="1" t="s">
        <v>79</v>
      </c>
      <c r="I479" s="1">
        <v>561.30999999999995</v>
      </c>
      <c r="J479" s="1">
        <v>3</v>
      </c>
      <c r="K479" s="1">
        <v>1683.93</v>
      </c>
      <c r="L479" s="1">
        <v>15</v>
      </c>
      <c r="M479" s="1">
        <v>252.59</v>
      </c>
      <c r="N479" s="1">
        <v>1431.34</v>
      </c>
      <c r="O479" s="1" t="s">
        <v>24</v>
      </c>
      <c r="P479" s="1" t="s">
        <v>993</v>
      </c>
      <c r="Q479" s="1">
        <v>5</v>
      </c>
      <c r="R479" s="1">
        <f>Retail_Sales_Analyis[[#This Row],[Final_Price]]-Retail_Sales_Analyis[[#This Row],[Total_Price]]</f>
        <v>-252.59000000000015</v>
      </c>
      <c r="S4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0" spans="1:19" x14ac:dyDescent="0.25">
      <c r="A480" s="1" t="s">
        <v>994</v>
      </c>
      <c r="B480" s="2">
        <v>45527</v>
      </c>
      <c r="C480" s="1" t="s">
        <v>93</v>
      </c>
      <c r="D480" s="1" t="s">
        <v>144</v>
      </c>
      <c r="E480" s="1" t="s">
        <v>239</v>
      </c>
      <c r="F480" s="1" t="s">
        <v>37</v>
      </c>
      <c r="G480" s="1" t="s">
        <v>112</v>
      </c>
      <c r="H480" s="1" t="s">
        <v>113</v>
      </c>
      <c r="I480" s="1">
        <v>1119.74</v>
      </c>
      <c r="J480" s="1">
        <v>8</v>
      </c>
      <c r="K480" s="1">
        <v>8957.92</v>
      </c>
      <c r="L480" s="1">
        <v>20</v>
      </c>
      <c r="M480" s="1">
        <v>1791.58</v>
      </c>
      <c r="N480" s="1">
        <v>7166.34</v>
      </c>
      <c r="O480" s="1" t="s">
        <v>33</v>
      </c>
      <c r="P480" s="1" t="s">
        <v>995</v>
      </c>
      <c r="Q480" s="1">
        <v>5</v>
      </c>
      <c r="R480" s="1">
        <f>Retail_Sales_Analyis[[#This Row],[Final_Price]]-Retail_Sales_Analyis[[#This Row],[Total_Price]]</f>
        <v>-1791.58</v>
      </c>
      <c r="S4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1" spans="1:19" x14ac:dyDescent="0.25">
      <c r="A481" s="1" t="s">
        <v>996</v>
      </c>
      <c r="B481" s="2">
        <v>45471</v>
      </c>
      <c r="C481" s="1" t="s">
        <v>173</v>
      </c>
      <c r="D481" s="1" t="s">
        <v>144</v>
      </c>
      <c r="E481" s="1" t="s">
        <v>411</v>
      </c>
      <c r="F481" s="1" t="s">
        <v>69</v>
      </c>
      <c r="G481" s="1" t="s">
        <v>112</v>
      </c>
      <c r="H481" s="1" t="s">
        <v>288</v>
      </c>
      <c r="I481" s="1">
        <v>1508.37</v>
      </c>
      <c r="J481" s="1">
        <v>6</v>
      </c>
      <c r="K481" s="1">
        <v>9050.2199999999993</v>
      </c>
      <c r="L481" s="1">
        <v>20</v>
      </c>
      <c r="M481" s="1">
        <v>1810.04</v>
      </c>
      <c r="N481" s="1">
        <v>7240.18</v>
      </c>
      <c r="O481" s="1" t="s">
        <v>33</v>
      </c>
      <c r="P481" s="1" t="s">
        <v>345</v>
      </c>
      <c r="Q481" s="1">
        <v>5</v>
      </c>
      <c r="R481" s="1">
        <f>Retail_Sales_Analyis[[#This Row],[Final_Price]]-Retail_Sales_Analyis[[#This Row],[Total_Price]]</f>
        <v>-1810.0399999999991</v>
      </c>
      <c r="S4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2" spans="1:19" x14ac:dyDescent="0.25">
      <c r="A482" s="1" t="s">
        <v>997</v>
      </c>
      <c r="B482" s="2">
        <v>45448</v>
      </c>
      <c r="C482" s="1" t="s">
        <v>173</v>
      </c>
      <c r="D482" s="1" t="s">
        <v>55</v>
      </c>
      <c r="E482" s="1" t="s">
        <v>117</v>
      </c>
      <c r="F482" s="1" t="s">
        <v>37</v>
      </c>
      <c r="G482" s="1" t="s">
        <v>112</v>
      </c>
      <c r="H482" s="1" t="s">
        <v>223</v>
      </c>
      <c r="I482" s="1">
        <v>1194.04</v>
      </c>
      <c r="J482" s="1">
        <v>4</v>
      </c>
      <c r="K482" s="1">
        <v>4776.16</v>
      </c>
      <c r="L482" s="1">
        <v>5</v>
      </c>
      <c r="M482" s="1">
        <v>238.81</v>
      </c>
      <c r="N482" s="1">
        <v>4537.3500000000004</v>
      </c>
      <c r="O482" s="1" t="s">
        <v>24</v>
      </c>
      <c r="P482" s="1" t="s">
        <v>998</v>
      </c>
      <c r="Q482" s="1">
        <v>2</v>
      </c>
      <c r="R482" s="1">
        <f>Retail_Sales_Analyis[[#This Row],[Final_Price]]-Retail_Sales_Analyis[[#This Row],[Total_Price]]</f>
        <v>-238.80999999999949</v>
      </c>
      <c r="S4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3" spans="1:19" x14ac:dyDescent="0.25">
      <c r="A483" s="1" t="s">
        <v>999</v>
      </c>
      <c r="B483" s="2">
        <v>45408</v>
      </c>
      <c r="C483" s="1" t="s">
        <v>54</v>
      </c>
      <c r="D483" s="1" t="s">
        <v>144</v>
      </c>
      <c r="E483" s="1" t="s">
        <v>125</v>
      </c>
      <c r="F483" s="1" t="s">
        <v>69</v>
      </c>
      <c r="G483" s="1" t="s">
        <v>38</v>
      </c>
      <c r="H483" s="1" t="s">
        <v>422</v>
      </c>
      <c r="I483" s="1">
        <v>234.06</v>
      </c>
      <c r="J483" s="1">
        <v>10</v>
      </c>
      <c r="K483" s="1">
        <v>2340.6</v>
      </c>
      <c r="L483" s="1">
        <v>15</v>
      </c>
      <c r="M483" s="1">
        <v>351.09</v>
      </c>
      <c r="N483" s="1">
        <v>1989.51</v>
      </c>
      <c r="O483" s="1" t="s">
        <v>46</v>
      </c>
      <c r="P483" s="1" t="s">
        <v>1000</v>
      </c>
      <c r="Q483" s="1">
        <v>2</v>
      </c>
      <c r="R483" s="1">
        <f>Retail_Sales_Analyis[[#This Row],[Final_Price]]-Retail_Sales_Analyis[[#This Row],[Total_Price]]</f>
        <v>-351.08999999999992</v>
      </c>
      <c r="S4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" spans="1:19" x14ac:dyDescent="0.25">
      <c r="A484" s="1" t="s">
        <v>1001</v>
      </c>
      <c r="B484" s="2">
        <v>45406</v>
      </c>
      <c r="C484" s="1" t="s">
        <v>54</v>
      </c>
      <c r="D484" s="1" t="s">
        <v>55</v>
      </c>
      <c r="E484" s="1" t="s">
        <v>328</v>
      </c>
      <c r="F484" s="1" t="s">
        <v>69</v>
      </c>
      <c r="G484" s="1" t="s">
        <v>78</v>
      </c>
      <c r="H484" s="1" t="s">
        <v>79</v>
      </c>
      <c r="I484" s="1">
        <v>276.33999999999997</v>
      </c>
      <c r="J484" s="1">
        <v>10</v>
      </c>
      <c r="K484" s="1">
        <v>2763.4</v>
      </c>
      <c r="L484" s="1">
        <v>0</v>
      </c>
      <c r="M484" s="1">
        <v>0</v>
      </c>
      <c r="N484" s="1">
        <v>2763.4</v>
      </c>
      <c r="O484" s="1" t="s">
        <v>24</v>
      </c>
      <c r="P484" s="1" t="s">
        <v>1002</v>
      </c>
      <c r="Q484" s="1">
        <v>2</v>
      </c>
      <c r="R484" s="1">
        <f>Retail_Sales_Analyis[[#This Row],[Final_Price]]-Retail_Sales_Analyis[[#This Row],[Total_Price]]</f>
        <v>0</v>
      </c>
      <c r="S4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" spans="1:19" x14ac:dyDescent="0.25">
      <c r="A485" s="1" t="s">
        <v>1003</v>
      </c>
      <c r="B485" s="2">
        <v>45304</v>
      </c>
      <c r="C485" s="1" t="s">
        <v>36</v>
      </c>
      <c r="D485" s="1" t="s">
        <v>19</v>
      </c>
      <c r="E485" s="1" t="s">
        <v>285</v>
      </c>
      <c r="F485" s="1" t="s">
        <v>84</v>
      </c>
      <c r="G485" s="1" t="s">
        <v>38</v>
      </c>
      <c r="H485" s="1" t="s">
        <v>70</v>
      </c>
      <c r="I485" s="1">
        <v>450.23</v>
      </c>
      <c r="J485" s="1">
        <v>3</v>
      </c>
      <c r="K485" s="1">
        <v>1350.69</v>
      </c>
      <c r="L485" s="1">
        <v>10</v>
      </c>
      <c r="M485" s="1">
        <v>135.07</v>
      </c>
      <c r="N485" s="1">
        <v>1215.6199999999999</v>
      </c>
      <c r="O485" s="1" t="s">
        <v>64</v>
      </c>
      <c r="P485" s="1" t="s">
        <v>1004</v>
      </c>
      <c r="Q485" s="1">
        <v>5</v>
      </c>
      <c r="R485" s="1">
        <f>Retail_Sales_Analyis[[#This Row],[Final_Price]]-Retail_Sales_Analyis[[#This Row],[Total_Price]]</f>
        <v>-135.07000000000016</v>
      </c>
      <c r="S4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" spans="1:19" x14ac:dyDescent="0.25">
      <c r="A486" s="1" t="s">
        <v>1005</v>
      </c>
      <c r="B486" s="2">
        <v>45629</v>
      </c>
      <c r="C486" s="1" t="s">
        <v>73</v>
      </c>
      <c r="D486" s="1" t="s">
        <v>28</v>
      </c>
      <c r="E486" s="1" t="s">
        <v>125</v>
      </c>
      <c r="F486" s="1" t="s">
        <v>84</v>
      </c>
      <c r="G486" s="1" t="s">
        <v>85</v>
      </c>
      <c r="H486" s="1" t="s">
        <v>297</v>
      </c>
      <c r="I486" s="1">
        <v>3352.66</v>
      </c>
      <c r="J486" s="1">
        <v>2</v>
      </c>
      <c r="K486" s="1">
        <v>6705.32</v>
      </c>
      <c r="L486" s="1">
        <v>0</v>
      </c>
      <c r="M486" s="1">
        <v>0</v>
      </c>
      <c r="N486" s="1">
        <v>6705.32</v>
      </c>
      <c r="O486" s="1" t="s">
        <v>46</v>
      </c>
      <c r="P486" s="1" t="s">
        <v>1006</v>
      </c>
      <c r="Q486" s="1">
        <v>5</v>
      </c>
      <c r="R486" s="1">
        <f>Retail_Sales_Analyis[[#This Row],[Final_Price]]-Retail_Sales_Analyis[[#This Row],[Total_Price]]</f>
        <v>0</v>
      </c>
      <c r="S4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" spans="1:19" x14ac:dyDescent="0.25">
      <c r="A487" s="1" t="s">
        <v>1007</v>
      </c>
      <c r="B487" s="2">
        <v>45390</v>
      </c>
      <c r="C487" s="1" t="s">
        <v>54</v>
      </c>
      <c r="D487" s="1" t="s">
        <v>43</v>
      </c>
      <c r="E487" s="1" t="s">
        <v>151</v>
      </c>
      <c r="F487" s="1" t="s">
        <v>84</v>
      </c>
      <c r="G487" s="1" t="s">
        <v>38</v>
      </c>
      <c r="H487" s="1" t="s">
        <v>214</v>
      </c>
      <c r="I487" s="1">
        <v>693.37</v>
      </c>
      <c r="J487" s="1">
        <v>1</v>
      </c>
      <c r="K487" s="1">
        <v>693.37</v>
      </c>
      <c r="L487" s="1">
        <v>15</v>
      </c>
      <c r="M487" s="1">
        <v>104.01</v>
      </c>
      <c r="N487" s="1">
        <v>589.36</v>
      </c>
      <c r="O487" s="1" t="s">
        <v>80</v>
      </c>
      <c r="P487" s="1" t="s">
        <v>1008</v>
      </c>
      <c r="Q487" s="1">
        <v>5</v>
      </c>
      <c r="R487" s="1">
        <f>Retail_Sales_Analyis[[#This Row],[Final_Price]]-Retail_Sales_Analyis[[#This Row],[Total_Price]]</f>
        <v>-104.00999999999999</v>
      </c>
      <c r="S4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8" spans="1:19" x14ac:dyDescent="0.25">
      <c r="A488" s="1" t="s">
        <v>1009</v>
      </c>
      <c r="B488" s="2">
        <v>45496</v>
      </c>
      <c r="C488" s="1" t="s">
        <v>195</v>
      </c>
      <c r="D488" s="1" t="s">
        <v>28</v>
      </c>
      <c r="E488" s="1" t="s">
        <v>261</v>
      </c>
      <c r="F488" s="1" t="s">
        <v>30</v>
      </c>
      <c r="G488" s="1" t="s">
        <v>31</v>
      </c>
      <c r="H488" s="1" t="s">
        <v>329</v>
      </c>
      <c r="I488" s="1">
        <v>472.05</v>
      </c>
      <c r="J488" s="1">
        <v>1</v>
      </c>
      <c r="K488" s="1">
        <v>472.05</v>
      </c>
      <c r="L488" s="1">
        <v>20</v>
      </c>
      <c r="M488" s="1">
        <v>94.41</v>
      </c>
      <c r="N488" s="1">
        <v>377.64</v>
      </c>
      <c r="O488" s="1" t="s">
        <v>46</v>
      </c>
      <c r="P488" s="1" t="s">
        <v>623</v>
      </c>
      <c r="Q488" s="1">
        <v>4</v>
      </c>
      <c r="R488" s="1">
        <f>Retail_Sales_Analyis[[#This Row],[Final_Price]]-Retail_Sales_Analyis[[#This Row],[Total_Price]]</f>
        <v>-94.410000000000025</v>
      </c>
      <c r="S4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9" spans="1:19" x14ac:dyDescent="0.25">
      <c r="A489" s="1" t="s">
        <v>1010</v>
      </c>
      <c r="B489" s="2">
        <v>45460</v>
      </c>
      <c r="C489" s="1" t="s">
        <v>173</v>
      </c>
      <c r="D489" s="1" t="s">
        <v>43</v>
      </c>
      <c r="E489" s="1" t="s">
        <v>199</v>
      </c>
      <c r="F489" s="1" t="s">
        <v>69</v>
      </c>
      <c r="G489" s="1" t="s">
        <v>31</v>
      </c>
      <c r="H489" s="1" t="s">
        <v>32</v>
      </c>
      <c r="I489" s="1">
        <v>212.66</v>
      </c>
      <c r="J489" s="1">
        <v>1</v>
      </c>
      <c r="K489" s="1">
        <v>212.66</v>
      </c>
      <c r="L489" s="1">
        <v>15</v>
      </c>
      <c r="M489" s="1">
        <v>31.9</v>
      </c>
      <c r="N489" s="1">
        <v>180.76</v>
      </c>
      <c r="O489" s="1" t="s">
        <v>64</v>
      </c>
      <c r="P489" s="1" t="s">
        <v>1011</v>
      </c>
      <c r="Q489" s="1">
        <v>1</v>
      </c>
      <c r="R489" s="1">
        <f>Retail_Sales_Analyis[[#This Row],[Final_Price]]-Retail_Sales_Analyis[[#This Row],[Total_Price]]</f>
        <v>-31.900000000000006</v>
      </c>
      <c r="S4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" spans="1:19" x14ac:dyDescent="0.25">
      <c r="A490" s="1" t="s">
        <v>1012</v>
      </c>
      <c r="B490" s="2">
        <v>45434</v>
      </c>
      <c r="C490" s="1" t="s">
        <v>42</v>
      </c>
      <c r="D490" s="1" t="s">
        <v>55</v>
      </c>
      <c r="E490" s="1" t="s">
        <v>337</v>
      </c>
      <c r="F490" s="1" t="s">
        <v>21</v>
      </c>
      <c r="G490" s="1" t="s">
        <v>31</v>
      </c>
      <c r="H490" s="1" t="s">
        <v>63</v>
      </c>
      <c r="I490" s="1">
        <v>52.32</v>
      </c>
      <c r="J490" s="1">
        <v>4</v>
      </c>
      <c r="K490" s="1">
        <v>209.28</v>
      </c>
      <c r="L490" s="1">
        <v>0</v>
      </c>
      <c r="M490" s="1">
        <v>0</v>
      </c>
      <c r="N490" s="1">
        <v>209.28</v>
      </c>
      <c r="O490" s="1" t="s">
        <v>24</v>
      </c>
      <c r="P490" s="1" t="s">
        <v>1013</v>
      </c>
      <c r="Q490" s="1">
        <v>5</v>
      </c>
      <c r="R490" s="1">
        <f>Retail_Sales_Analyis[[#This Row],[Final_Price]]-Retail_Sales_Analyis[[#This Row],[Total_Price]]</f>
        <v>0</v>
      </c>
      <c r="S4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" spans="1:19" x14ac:dyDescent="0.25">
      <c r="A491" s="1" t="s">
        <v>1014</v>
      </c>
      <c r="B491" s="2">
        <v>45327</v>
      </c>
      <c r="C491" s="1" t="s">
        <v>27</v>
      </c>
      <c r="D491" s="1" t="s">
        <v>43</v>
      </c>
      <c r="E491" s="1" t="s">
        <v>192</v>
      </c>
      <c r="F491" s="1" t="s">
        <v>37</v>
      </c>
      <c r="G491" s="1" t="s">
        <v>22</v>
      </c>
      <c r="H491" s="1" t="s">
        <v>133</v>
      </c>
      <c r="I491" s="1">
        <v>933.6</v>
      </c>
      <c r="J491" s="1">
        <v>4</v>
      </c>
      <c r="K491" s="1">
        <v>3734.4</v>
      </c>
      <c r="L491" s="1">
        <v>0</v>
      </c>
      <c r="M491" s="1">
        <v>0</v>
      </c>
      <c r="N491" s="1">
        <v>3734.4</v>
      </c>
      <c r="O491" s="1" t="s">
        <v>46</v>
      </c>
      <c r="P491" s="1" t="s">
        <v>784</v>
      </c>
      <c r="Q491" s="1">
        <v>3</v>
      </c>
      <c r="R491" s="1">
        <f>Retail_Sales_Analyis[[#This Row],[Final_Price]]-Retail_Sales_Analyis[[#This Row],[Total_Price]]</f>
        <v>0</v>
      </c>
      <c r="S4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2" spans="1:19" x14ac:dyDescent="0.25">
      <c r="A492" s="1" t="s">
        <v>1015</v>
      </c>
      <c r="B492" s="2">
        <v>45434</v>
      </c>
      <c r="C492" s="1" t="s">
        <v>42</v>
      </c>
      <c r="D492" s="1" t="s">
        <v>55</v>
      </c>
      <c r="E492" s="1" t="s">
        <v>29</v>
      </c>
      <c r="F492" s="1" t="s">
        <v>37</v>
      </c>
      <c r="G492" s="1" t="s">
        <v>31</v>
      </c>
      <c r="H492" s="1" t="s">
        <v>32</v>
      </c>
      <c r="I492" s="1">
        <v>413.63</v>
      </c>
      <c r="J492" s="1">
        <v>10</v>
      </c>
      <c r="K492" s="1">
        <v>4136.3</v>
      </c>
      <c r="L492" s="1">
        <v>20</v>
      </c>
      <c r="M492" s="1">
        <v>827.26</v>
      </c>
      <c r="N492" s="1">
        <v>3309.04</v>
      </c>
      <c r="O492" s="1" t="s">
        <v>46</v>
      </c>
      <c r="P492" s="1" t="s">
        <v>373</v>
      </c>
      <c r="Q492" s="1">
        <v>3</v>
      </c>
      <c r="R492" s="1">
        <f>Retail_Sales_Analyis[[#This Row],[Final_Price]]-Retail_Sales_Analyis[[#This Row],[Total_Price]]</f>
        <v>-827.26000000000022</v>
      </c>
      <c r="S4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3" spans="1:19" x14ac:dyDescent="0.25">
      <c r="A493" s="1" t="s">
        <v>1016</v>
      </c>
      <c r="B493" s="2">
        <v>45471</v>
      </c>
      <c r="C493" s="1" t="s">
        <v>173</v>
      </c>
      <c r="D493" s="1" t="s">
        <v>144</v>
      </c>
      <c r="E493" s="1" t="s">
        <v>77</v>
      </c>
      <c r="F493" s="1" t="s">
        <v>84</v>
      </c>
      <c r="G493" s="1" t="s">
        <v>57</v>
      </c>
      <c r="H493" s="1" t="s">
        <v>158</v>
      </c>
      <c r="I493" s="1">
        <v>2531.0500000000002</v>
      </c>
      <c r="J493" s="1">
        <v>6</v>
      </c>
      <c r="K493" s="1">
        <v>15186.3</v>
      </c>
      <c r="L493" s="1">
        <v>10</v>
      </c>
      <c r="M493" s="1">
        <v>1518.63</v>
      </c>
      <c r="N493" s="1">
        <v>13667.67</v>
      </c>
      <c r="O493" s="1" t="s">
        <v>64</v>
      </c>
      <c r="P493" s="1" t="s">
        <v>1017</v>
      </c>
      <c r="Q493" s="1">
        <v>1</v>
      </c>
      <c r="R493" s="1">
        <f>Retail_Sales_Analyis[[#This Row],[Final_Price]]-Retail_Sales_Analyis[[#This Row],[Total_Price]]</f>
        <v>-1518.6299999999992</v>
      </c>
      <c r="S4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4" spans="1:19" x14ac:dyDescent="0.25">
      <c r="A494" s="1" t="s">
        <v>1018</v>
      </c>
      <c r="B494" s="2">
        <v>45620</v>
      </c>
      <c r="C494" s="1" t="s">
        <v>18</v>
      </c>
      <c r="D494" s="1" t="s">
        <v>49</v>
      </c>
      <c r="E494" s="1" t="s">
        <v>342</v>
      </c>
      <c r="F494" s="1" t="s">
        <v>69</v>
      </c>
      <c r="G494" s="1" t="s">
        <v>31</v>
      </c>
      <c r="H494" s="1" t="s">
        <v>329</v>
      </c>
      <c r="I494" s="1">
        <v>331.41</v>
      </c>
      <c r="J494" s="1">
        <v>10</v>
      </c>
      <c r="K494" s="1">
        <v>3314.1</v>
      </c>
      <c r="L494" s="1">
        <v>0</v>
      </c>
      <c r="M494" s="1">
        <v>0</v>
      </c>
      <c r="N494" s="1">
        <v>3314.1</v>
      </c>
      <c r="O494" s="1" t="s">
        <v>24</v>
      </c>
      <c r="P494" s="1" t="s">
        <v>1019</v>
      </c>
      <c r="Q494" s="1">
        <v>1</v>
      </c>
      <c r="R494" s="1">
        <f>Retail_Sales_Analyis[[#This Row],[Final_Price]]-Retail_Sales_Analyis[[#This Row],[Total_Price]]</f>
        <v>0</v>
      </c>
      <c r="S4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" spans="1:19" x14ac:dyDescent="0.25">
      <c r="A495" s="1" t="s">
        <v>1020</v>
      </c>
      <c r="B495" s="2">
        <v>45552</v>
      </c>
      <c r="C495" s="1" t="s">
        <v>116</v>
      </c>
      <c r="D495" s="1" t="s">
        <v>28</v>
      </c>
      <c r="E495" s="1" t="s">
        <v>328</v>
      </c>
      <c r="F495" s="1" t="s">
        <v>69</v>
      </c>
      <c r="G495" s="1" t="s">
        <v>169</v>
      </c>
      <c r="H495" s="1" t="s">
        <v>366</v>
      </c>
      <c r="I495" s="1">
        <v>374.4</v>
      </c>
      <c r="J495" s="1">
        <v>8</v>
      </c>
      <c r="K495" s="1">
        <v>2995.2</v>
      </c>
      <c r="L495" s="1">
        <v>0</v>
      </c>
      <c r="M495" s="1">
        <v>0</v>
      </c>
      <c r="N495" s="1">
        <v>2995.2</v>
      </c>
      <c r="O495" s="1" t="s">
        <v>46</v>
      </c>
      <c r="P495" s="1" t="s">
        <v>557</v>
      </c>
      <c r="Q495" s="1">
        <v>5</v>
      </c>
      <c r="R495" s="1">
        <f>Retail_Sales_Analyis[[#This Row],[Final_Price]]-Retail_Sales_Analyis[[#This Row],[Total_Price]]</f>
        <v>0</v>
      </c>
      <c r="S4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6" spans="1:19" x14ac:dyDescent="0.25">
      <c r="A496" s="1" t="s">
        <v>1021</v>
      </c>
      <c r="B496" s="2">
        <v>45496</v>
      </c>
      <c r="C496" s="1" t="s">
        <v>195</v>
      </c>
      <c r="D496" s="1" t="s">
        <v>28</v>
      </c>
      <c r="E496" s="1" t="s">
        <v>542</v>
      </c>
      <c r="F496" s="1" t="s">
        <v>84</v>
      </c>
      <c r="G496" s="1" t="s">
        <v>169</v>
      </c>
      <c r="H496" s="1" t="s">
        <v>208</v>
      </c>
      <c r="I496" s="1">
        <v>971.11</v>
      </c>
      <c r="J496" s="1">
        <v>5</v>
      </c>
      <c r="K496" s="1">
        <v>4855.55</v>
      </c>
      <c r="L496" s="1">
        <v>20</v>
      </c>
      <c r="M496" s="1">
        <v>971.11</v>
      </c>
      <c r="N496" s="1">
        <v>3884.44</v>
      </c>
      <c r="O496" s="1" t="s">
        <v>33</v>
      </c>
      <c r="P496" s="1" t="s">
        <v>1022</v>
      </c>
      <c r="Q496" s="1">
        <v>4</v>
      </c>
      <c r="R496" s="1">
        <f>Retail_Sales_Analyis[[#This Row],[Final_Price]]-Retail_Sales_Analyis[[#This Row],[Total_Price]]</f>
        <v>-971.11000000000013</v>
      </c>
      <c r="S4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7" spans="1:19" x14ac:dyDescent="0.25">
      <c r="A497" s="1" t="s">
        <v>1023</v>
      </c>
      <c r="B497" s="2">
        <v>45639</v>
      </c>
      <c r="C497" s="1" t="s">
        <v>73</v>
      </c>
      <c r="D497" s="1" t="s">
        <v>144</v>
      </c>
      <c r="E497" s="1" t="s">
        <v>56</v>
      </c>
      <c r="F497" s="1" t="s">
        <v>69</v>
      </c>
      <c r="G497" s="1" t="s">
        <v>22</v>
      </c>
      <c r="H497" s="1" t="s">
        <v>23</v>
      </c>
      <c r="I497" s="1">
        <v>891.67</v>
      </c>
      <c r="J497" s="1">
        <v>10</v>
      </c>
      <c r="K497" s="1">
        <v>8916.7000000000007</v>
      </c>
      <c r="L497" s="1">
        <v>0</v>
      </c>
      <c r="M497" s="1">
        <v>0</v>
      </c>
      <c r="N497" s="1">
        <v>8916.7000000000007</v>
      </c>
      <c r="O497" s="1" t="s">
        <v>33</v>
      </c>
      <c r="P497" s="1" t="s">
        <v>1024</v>
      </c>
      <c r="Q497" s="1">
        <v>4</v>
      </c>
      <c r="R497" s="1">
        <f>Retail_Sales_Analyis[[#This Row],[Final_Price]]-Retail_Sales_Analyis[[#This Row],[Total_Price]]</f>
        <v>0</v>
      </c>
      <c r="S4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8" spans="1:19" x14ac:dyDescent="0.25">
      <c r="A498" s="1" t="s">
        <v>1025</v>
      </c>
      <c r="B498" s="2">
        <v>45566</v>
      </c>
      <c r="C498" s="1" t="s">
        <v>76</v>
      </c>
      <c r="D498" s="1" t="s">
        <v>28</v>
      </c>
      <c r="E498" s="1" t="s">
        <v>132</v>
      </c>
      <c r="F498" s="1" t="s">
        <v>21</v>
      </c>
      <c r="G498" s="1" t="s">
        <v>169</v>
      </c>
      <c r="H498" s="1" t="s">
        <v>175</v>
      </c>
      <c r="I498" s="1">
        <v>1081.1099999999999</v>
      </c>
      <c r="J498" s="1">
        <v>1</v>
      </c>
      <c r="K498" s="1">
        <v>1081.1099999999999</v>
      </c>
      <c r="L498" s="1">
        <v>5</v>
      </c>
      <c r="M498" s="1">
        <v>54.06</v>
      </c>
      <c r="N498" s="1">
        <v>1027.05</v>
      </c>
      <c r="O498" s="1" t="s">
        <v>80</v>
      </c>
      <c r="P498" s="1" t="s">
        <v>886</v>
      </c>
      <c r="Q498" s="1">
        <v>3</v>
      </c>
      <c r="R498" s="1">
        <f>Retail_Sales_Analyis[[#This Row],[Final_Price]]-Retail_Sales_Analyis[[#This Row],[Total_Price]]</f>
        <v>-54.059999999999945</v>
      </c>
      <c r="S4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9" spans="1:19" x14ac:dyDescent="0.25">
      <c r="A499" s="1" t="s">
        <v>1026</v>
      </c>
      <c r="B499" s="2">
        <v>45461</v>
      </c>
      <c r="C499" s="1" t="s">
        <v>173</v>
      </c>
      <c r="D499" s="1" t="s">
        <v>28</v>
      </c>
      <c r="E499" s="1" t="s">
        <v>68</v>
      </c>
      <c r="F499" s="1" t="s">
        <v>84</v>
      </c>
      <c r="G499" s="1" t="s">
        <v>169</v>
      </c>
      <c r="H499" s="1" t="s">
        <v>208</v>
      </c>
      <c r="I499" s="1">
        <v>1014.21</v>
      </c>
      <c r="J499" s="1">
        <v>2</v>
      </c>
      <c r="K499" s="1">
        <v>2028.42</v>
      </c>
      <c r="L499" s="1">
        <v>10</v>
      </c>
      <c r="M499" s="1">
        <v>202.84</v>
      </c>
      <c r="N499" s="1">
        <v>1825.58</v>
      </c>
      <c r="O499" s="1" t="s">
        <v>64</v>
      </c>
      <c r="P499" s="1" t="s">
        <v>1027</v>
      </c>
      <c r="Q499" s="1">
        <v>5</v>
      </c>
      <c r="R499" s="1">
        <f>Retail_Sales_Analyis[[#This Row],[Final_Price]]-Retail_Sales_Analyis[[#This Row],[Total_Price]]</f>
        <v>-202.84000000000015</v>
      </c>
      <c r="S4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00" spans="1:19" x14ac:dyDescent="0.25">
      <c r="A500" s="1" t="s">
        <v>1028</v>
      </c>
      <c r="B500" s="2">
        <v>45306</v>
      </c>
      <c r="C500" s="1" t="s">
        <v>36</v>
      </c>
      <c r="D500" s="1" t="s">
        <v>43</v>
      </c>
      <c r="E500" s="1" t="s">
        <v>68</v>
      </c>
      <c r="F500" s="1" t="s">
        <v>37</v>
      </c>
      <c r="G500" s="1" t="s">
        <v>78</v>
      </c>
      <c r="H500" s="1" t="s">
        <v>136</v>
      </c>
      <c r="I500" s="1">
        <v>366.63</v>
      </c>
      <c r="J500" s="1">
        <v>10</v>
      </c>
      <c r="K500" s="1">
        <v>3666.3</v>
      </c>
      <c r="L500" s="1">
        <v>5</v>
      </c>
      <c r="M500" s="1">
        <v>183.32</v>
      </c>
      <c r="N500" s="1">
        <v>3482.98</v>
      </c>
      <c r="O500" s="1" t="s">
        <v>64</v>
      </c>
      <c r="P500" s="1" t="s">
        <v>665</v>
      </c>
      <c r="Q500" s="1">
        <v>2</v>
      </c>
      <c r="R500" s="1">
        <f>Retail_Sales_Analyis[[#This Row],[Final_Price]]-Retail_Sales_Analyis[[#This Row],[Total_Price]]</f>
        <v>-183.32000000000016</v>
      </c>
      <c r="S5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01" spans="1:19" x14ac:dyDescent="0.25">
      <c r="A501" s="1" t="s">
        <v>1029</v>
      </c>
      <c r="B501" s="2">
        <v>45351</v>
      </c>
      <c r="C501" s="1" t="s">
        <v>27</v>
      </c>
      <c r="D501" s="1" t="s">
        <v>67</v>
      </c>
      <c r="E501" s="1" t="s">
        <v>132</v>
      </c>
      <c r="F501" s="1" t="s">
        <v>84</v>
      </c>
      <c r="G501" s="1" t="s">
        <v>85</v>
      </c>
      <c r="H501" s="1" t="s">
        <v>180</v>
      </c>
      <c r="I501" s="1">
        <v>3338.09</v>
      </c>
      <c r="J501" s="1">
        <v>9</v>
      </c>
      <c r="K501" s="1">
        <v>30042.81</v>
      </c>
      <c r="L501" s="1">
        <v>15</v>
      </c>
      <c r="M501" s="1">
        <v>4506.42</v>
      </c>
      <c r="N501" s="1">
        <v>25536.39</v>
      </c>
      <c r="O501" s="1" t="s">
        <v>46</v>
      </c>
      <c r="P501" s="1" t="s">
        <v>1030</v>
      </c>
      <c r="Q501" s="1">
        <v>3</v>
      </c>
      <c r="R501" s="1">
        <f>Retail_Sales_Analyis[[#This Row],[Final_Price]]-Retail_Sales_Analyis[[#This Row],[Total_Price]]</f>
        <v>-4506.4200000000019</v>
      </c>
      <c r="S5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02" spans="1:19" x14ac:dyDescent="0.25">
      <c r="A502" s="1" t="s">
        <v>1031</v>
      </c>
      <c r="B502" s="2">
        <v>45425</v>
      </c>
      <c r="C502" s="1" t="s">
        <v>42</v>
      </c>
      <c r="D502" s="1" t="s">
        <v>43</v>
      </c>
      <c r="E502" s="1" t="s">
        <v>157</v>
      </c>
      <c r="F502" s="1" t="s">
        <v>84</v>
      </c>
      <c r="G502" s="1" t="s">
        <v>85</v>
      </c>
      <c r="H502" s="1" t="s">
        <v>98</v>
      </c>
      <c r="I502" s="1">
        <v>2878.1</v>
      </c>
      <c r="J502" s="1">
        <v>10</v>
      </c>
      <c r="K502" s="1">
        <v>28781</v>
      </c>
      <c r="L502" s="1">
        <v>0</v>
      </c>
      <c r="M502" s="1">
        <v>0</v>
      </c>
      <c r="N502" s="1">
        <v>28781</v>
      </c>
      <c r="O502" s="1" t="s">
        <v>46</v>
      </c>
      <c r="P502" s="1" t="s">
        <v>1032</v>
      </c>
      <c r="Q502" s="1">
        <v>3</v>
      </c>
      <c r="R502" s="1">
        <f>Retail_Sales_Analyis[[#This Row],[Final_Price]]-Retail_Sales_Analyis[[#This Row],[Total_Price]]</f>
        <v>0</v>
      </c>
      <c r="S5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03" spans="1:19" x14ac:dyDescent="0.25">
      <c r="A503" s="1" t="s">
        <v>1033</v>
      </c>
      <c r="B503" s="2">
        <v>45383</v>
      </c>
      <c r="C503" s="1" t="s">
        <v>54</v>
      </c>
      <c r="D503" s="1" t="s">
        <v>43</v>
      </c>
      <c r="E503" s="1" t="s">
        <v>411</v>
      </c>
      <c r="F503" s="1" t="s">
        <v>21</v>
      </c>
      <c r="G503" s="1" t="s">
        <v>85</v>
      </c>
      <c r="H503" s="1" t="s">
        <v>297</v>
      </c>
      <c r="I503" s="1">
        <v>1949.55</v>
      </c>
      <c r="J503" s="1">
        <v>9</v>
      </c>
      <c r="K503" s="1">
        <v>17545.95</v>
      </c>
      <c r="L503" s="1">
        <v>20</v>
      </c>
      <c r="M503" s="1">
        <v>3509.19</v>
      </c>
      <c r="N503" s="1">
        <v>14036.76</v>
      </c>
      <c r="O503" s="1" t="s">
        <v>24</v>
      </c>
      <c r="P503" s="1" t="s">
        <v>707</v>
      </c>
      <c r="Q503" s="1">
        <v>4</v>
      </c>
      <c r="R503" s="1">
        <f>Retail_Sales_Analyis[[#This Row],[Final_Price]]-Retail_Sales_Analyis[[#This Row],[Total_Price]]</f>
        <v>-3509.1900000000005</v>
      </c>
      <c r="S5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04" spans="1:19" x14ac:dyDescent="0.25">
      <c r="A504" s="1" t="s">
        <v>1034</v>
      </c>
      <c r="B504" s="2">
        <v>45589</v>
      </c>
      <c r="C504" s="1" t="s">
        <v>76</v>
      </c>
      <c r="D504" s="1" t="s">
        <v>67</v>
      </c>
      <c r="E504" s="1" t="s">
        <v>89</v>
      </c>
      <c r="F504" s="1" t="s">
        <v>30</v>
      </c>
      <c r="G504" s="1" t="s">
        <v>57</v>
      </c>
      <c r="H504" s="1" t="s">
        <v>101</v>
      </c>
      <c r="I504" s="1">
        <v>2398.7399999999998</v>
      </c>
      <c r="J504" s="1">
        <v>6</v>
      </c>
      <c r="K504" s="1">
        <v>14392.44</v>
      </c>
      <c r="L504" s="1">
        <v>0</v>
      </c>
      <c r="M504" s="1">
        <v>0</v>
      </c>
      <c r="N504" s="1">
        <v>14392.44</v>
      </c>
      <c r="O504" s="1" t="s">
        <v>33</v>
      </c>
      <c r="P504" s="1" t="s">
        <v>1035</v>
      </c>
      <c r="Q504" s="1">
        <v>4</v>
      </c>
      <c r="R504" s="1">
        <f>Retail_Sales_Analyis[[#This Row],[Final_Price]]-Retail_Sales_Analyis[[#This Row],[Total_Price]]</f>
        <v>0</v>
      </c>
      <c r="S5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05" spans="1:19" x14ac:dyDescent="0.25">
      <c r="A505" s="1" t="s">
        <v>1036</v>
      </c>
      <c r="B505" s="2">
        <v>45427</v>
      </c>
      <c r="C505" s="1" t="s">
        <v>42</v>
      </c>
      <c r="D505" s="1" t="s">
        <v>55</v>
      </c>
      <c r="E505" s="1" t="s">
        <v>342</v>
      </c>
      <c r="F505" s="1" t="s">
        <v>69</v>
      </c>
      <c r="G505" s="1" t="s">
        <v>78</v>
      </c>
      <c r="H505" s="1" t="s">
        <v>126</v>
      </c>
      <c r="I505" s="1">
        <v>284.83</v>
      </c>
      <c r="J505" s="1">
        <v>6</v>
      </c>
      <c r="K505" s="1">
        <v>1708.98</v>
      </c>
      <c r="L505" s="1">
        <v>0</v>
      </c>
      <c r="M505" s="1">
        <v>0</v>
      </c>
      <c r="N505" s="1">
        <v>1708.98</v>
      </c>
      <c r="O505" s="1" t="s">
        <v>24</v>
      </c>
      <c r="P505" s="1" t="s">
        <v>1037</v>
      </c>
      <c r="Q505" s="1">
        <v>4</v>
      </c>
      <c r="R505" s="1">
        <f>Retail_Sales_Analyis[[#This Row],[Final_Price]]-Retail_Sales_Analyis[[#This Row],[Total_Price]]</f>
        <v>0</v>
      </c>
      <c r="S5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06" spans="1:19" x14ac:dyDescent="0.25">
      <c r="A506" s="1" t="s">
        <v>1038</v>
      </c>
      <c r="B506" s="2">
        <v>45311</v>
      </c>
      <c r="C506" s="1" t="s">
        <v>36</v>
      </c>
      <c r="D506" s="1" t="s">
        <v>19</v>
      </c>
      <c r="E506" s="1" t="s">
        <v>83</v>
      </c>
      <c r="F506" s="1" t="s">
        <v>30</v>
      </c>
      <c r="G506" s="1" t="s">
        <v>112</v>
      </c>
      <c r="H506" s="1" t="s">
        <v>113</v>
      </c>
      <c r="I506" s="1">
        <v>1539.83</v>
      </c>
      <c r="J506" s="1">
        <v>8</v>
      </c>
      <c r="K506" s="1">
        <v>12318.64</v>
      </c>
      <c r="L506" s="1">
        <v>10</v>
      </c>
      <c r="M506" s="1">
        <v>1231.8599999999999</v>
      </c>
      <c r="N506" s="1">
        <v>11086.78</v>
      </c>
      <c r="O506" s="1" t="s">
        <v>64</v>
      </c>
      <c r="P506" s="1" t="s">
        <v>1039</v>
      </c>
      <c r="Q506" s="1">
        <v>2</v>
      </c>
      <c r="R506" s="1">
        <f>Retail_Sales_Analyis[[#This Row],[Final_Price]]-Retail_Sales_Analyis[[#This Row],[Total_Price]]</f>
        <v>-1231.8599999999988</v>
      </c>
      <c r="S5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07" spans="1:19" x14ac:dyDescent="0.25">
      <c r="A507" s="1" t="s">
        <v>1040</v>
      </c>
      <c r="B507" s="2">
        <v>45347</v>
      </c>
      <c r="C507" s="1" t="s">
        <v>27</v>
      </c>
      <c r="D507" s="1" t="s">
        <v>49</v>
      </c>
      <c r="E507" s="1" t="s">
        <v>411</v>
      </c>
      <c r="F507" s="1" t="s">
        <v>37</v>
      </c>
      <c r="G507" s="1" t="s">
        <v>22</v>
      </c>
      <c r="H507" s="1" t="s">
        <v>23</v>
      </c>
      <c r="I507" s="1">
        <v>520.25</v>
      </c>
      <c r="J507" s="1">
        <v>1</v>
      </c>
      <c r="K507" s="1">
        <v>520.25</v>
      </c>
      <c r="L507" s="1">
        <v>0</v>
      </c>
      <c r="M507" s="1">
        <v>0</v>
      </c>
      <c r="N507" s="1">
        <v>520.25</v>
      </c>
      <c r="O507" s="1" t="s">
        <v>24</v>
      </c>
      <c r="P507" s="1" t="s">
        <v>574</v>
      </c>
      <c r="Q507" s="1">
        <v>1</v>
      </c>
      <c r="R507" s="1">
        <f>Retail_Sales_Analyis[[#This Row],[Final_Price]]-Retail_Sales_Analyis[[#This Row],[Total_Price]]</f>
        <v>0</v>
      </c>
      <c r="S5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08" spans="1:19" x14ac:dyDescent="0.25">
      <c r="A508" s="1" t="s">
        <v>1041</v>
      </c>
      <c r="B508" s="2">
        <v>45597</v>
      </c>
      <c r="C508" s="1" t="s">
        <v>18</v>
      </c>
      <c r="D508" s="1" t="s">
        <v>144</v>
      </c>
      <c r="E508" s="1" t="s">
        <v>342</v>
      </c>
      <c r="F508" s="1" t="s">
        <v>37</v>
      </c>
      <c r="G508" s="1" t="s">
        <v>169</v>
      </c>
      <c r="H508" s="1" t="s">
        <v>366</v>
      </c>
      <c r="I508" s="1">
        <v>648.69000000000005</v>
      </c>
      <c r="J508" s="1">
        <v>4</v>
      </c>
      <c r="K508" s="1">
        <v>2594.7600000000002</v>
      </c>
      <c r="L508" s="1">
        <v>15</v>
      </c>
      <c r="M508" s="1">
        <v>389.21</v>
      </c>
      <c r="N508" s="1">
        <v>2205.5500000000002</v>
      </c>
      <c r="O508" s="1" t="s">
        <v>80</v>
      </c>
      <c r="P508" s="1" t="s">
        <v>835</v>
      </c>
      <c r="Q508" s="1">
        <v>3</v>
      </c>
      <c r="R508" s="1">
        <f>Retail_Sales_Analyis[[#This Row],[Final_Price]]-Retail_Sales_Analyis[[#This Row],[Total_Price]]</f>
        <v>-389.21000000000004</v>
      </c>
      <c r="S5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09" spans="1:19" x14ac:dyDescent="0.25">
      <c r="A509" s="1" t="s">
        <v>1042</v>
      </c>
      <c r="B509" s="2">
        <v>45514</v>
      </c>
      <c r="C509" s="1" t="s">
        <v>93</v>
      </c>
      <c r="D509" s="1" t="s">
        <v>19</v>
      </c>
      <c r="E509" s="1" t="s">
        <v>163</v>
      </c>
      <c r="F509" s="1" t="s">
        <v>21</v>
      </c>
      <c r="G509" s="1" t="s">
        <v>57</v>
      </c>
      <c r="H509" s="1" t="s">
        <v>158</v>
      </c>
      <c r="I509" s="1">
        <v>687.61</v>
      </c>
      <c r="J509" s="1">
        <v>5</v>
      </c>
      <c r="K509" s="1">
        <v>3438.05</v>
      </c>
      <c r="L509" s="1">
        <v>15</v>
      </c>
      <c r="M509" s="1">
        <v>515.71</v>
      </c>
      <c r="N509" s="1">
        <v>2922.34</v>
      </c>
      <c r="O509" s="1" t="s">
        <v>64</v>
      </c>
      <c r="P509" s="1" t="s">
        <v>395</v>
      </c>
      <c r="Q509" s="1">
        <v>3</v>
      </c>
      <c r="R509" s="1">
        <f>Retail_Sales_Analyis[[#This Row],[Final_Price]]-Retail_Sales_Analyis[[#This Row],[Total_Price]]</f>
        <v>-515.71</v>
      </c>
      <c r="S5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10" spans="1:19" x14ac:dyDescent="0.25">
      <c r="A510" s="1" t="s">
        <v>1043</v>
      </c>
      <c r="B510" s="2">
        <v>45468</v>
      </c>
      <c r="C510" s="1" t="s">
        <v>173</v>
      </c>
      <c r="D510" s="1" t="s">
        <v>28</v>
      </c>
      <c r="E510" s="1" t="s">
        <v>121</v>
      </c>
      <c r="F510" s="1" t="s">
        <v>37</v>
      </c>
      <c r="G510" s="1" t="s">
        <v>57</v>
      </c>
      <c r="H510" s="1" t="s">
        <v>152</v>
      </c>
      <c r="I510" s="1">
        <v>693.02</v>
      </c>
      <c r="J510" s="1">
        <v>5</v>
      </c>
      <c r="K510" s="1">
        <v>3465.1</v>
      </c>
      <c r="L510" s="1">
        <v>0</v>
      </c>
      <c r="M510" s="1">
        <v>0</v>
      </c>
      <c r="N510" s="1">
        <v>3465.1</v>
      </c>
      <c r="O510" s="1" t="s">
        <v>24</v>
      </c>
      <c r="P510" s="1" t="s">
        <v>381</v>
      </c>
      <c r="Q510" s="1">
        <v>2</v>
      </c>
      <c r="R510" s="1">
        <f>Retail_Sales_Analyis[[#This Row],[Final_Price]]-Retail_Sales_Analyis[[#This Row],[Total_Price]]</f>
        <v>0</v>
      </c>
      <c r="S5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11" spans="1:19" x14ac:dyDescent="0.25">
      <c r="A511" s="1" t="s">
        <v>1044</v>
      </c>
      <c r="B511" s="2">
        <v>45452</v>
      </c>
      <c r="C511" s="1" t="s">
        <v>173</v>
      </c>
      <c r="D511" s="1" t="s">
        <v>49</v>
      </c>
      <c r="E511" s="1" t="s">
        <v>139</v>
      </c>
      <c r="F511" s="1" t="s">
        <v>84</v>
      </c>
      <c r="G511" s="1" t="s">
        <v>57</v>
      </c>
      <c r="H511" s="1" t="s">
        <v>158</v>
      </c>
      <c r="I511" s="1">
        <v>1477.37</v>
      </c>
      <c r="J511" s="1">
        <v>6</v>
      </c>
      <c r="K511" s="1">
        <v>8864.2199999999993</v>
      </c>
      <c r="L511" s="1">
        <v>20</v>
      </c>
      <c r="M511" s="1">
        <v>1772.84</v>
      </c>
      <c r="N511" s="1">
        <v>7091.38</v>
      </c>
      <c r="O511" s="1" t="s">
        <v>46</v>
      </c>
      <c r="P511" s="1" t="s">
        <v>221</v>
      </c>
      <c r="Q511" s="1">
        <v>2</v>
      </c>
      <c r="R511" s="1">
        <f>Retail_Sales_Analyis[[#This Row],[Final_Price]]-Retail_Sales_Analyis[[#This Row],[Total_Price]]</f>
        <v>-1772.8399999999992</v>
      </c>
      <c r="S51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12" spans="1:19" x14ac:dyDescent="0.25">
      <c r="A512" s="1" t="s">
        <v>1045</v>
      </c>
      <c r="B512" s="2">
        <v>45515</v>
      </c>
      <c r="C512" s="1" t="s">
        <v>93</v>
      </c>
      <c r="D512" s="1" t="s">
        <v>49</v>
      </c>
      <c r="E512" s="1" t="s">
        <v>141</v>
      </c>
      <c r="F512" s="1" t="s">
        <v>69</v>
      </c>
      <c r="G512" s="1" t="s">
        <v>22</v>
      </c>
      <c r="H512" s="1" t="s">
        <v>133</v>
      </c>
      <c r="I512" s="1">
        <v>294.79000000000002</v>
      </c>
      <c r="J512" s="1">
        <v>3</v>
      </c>
      <c r="K512" s="1">
        <v>884.37</v>
      </c>
      <c r="L512" s="1">
        <v>20</v>
      </c>
      <c r="M512" s="1">
        <v>176.87</v>
      </c>
      <c r="N512" s="1">
        <v>707.5</v>
      </c>
      <c r="O512" s="1" t="s">
        <v>64</v>
      </c>
      <c r="P512" s="1" t="s">
        <v>506</v>
      </c>
      <c r="Q512" s="1">
        <v>2</v>
      </c>
      <c r="R512" s="1">
        <f>Retail_Sales_Analyis[[#This Row],[Final_Price]]-Retail_Sales_Analyis[[#This Row],[Total_Price]]</f>
        <v>-176.87</v>
      </c>
      <c r="S5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13" spans="1:19" x14ac:dyDescent="0.25">
      <c r="A513" s="1" t="s">
        <v>1046</v>
      </c>
      <c r="B513" s="2">
        <v>45602</v>
      </c>
      <c r="C513" s="1" t="s">
        <v>18</v>
      </c>
      <c r="D513" s="1" t="s">
        <v>55</v>
      </c>
      <c r="E513" s="1" t="s">
        <v>186</v>
      </c>
      <c r="F513" s="1" t="s">
        <v>84</v>
      </c>
      <c r="G513" s="1" t="s">
        <v>78</v>
      </c>
      <c r="H513" s="1" t="s">
        <v>323</v>
      </c>
      <c r="I513" s="1">
        <v>419.8</v>
      </c>
      <c r="J513" s="1">
        <v>4</v>
      </c>
      <c r="K513" s="1">
        <v>1679.2</v>
      </c>
      <c r="L513" s="1">
        <v>0</v>
      </c>
      <c r="M513" s="1">
        <v>0</v>
      </c>
      <c r="N513" s="1">
        <v>1679.2</v>
      </c>
      <c r="O513" s="1" t="s">
        <v>80</v>
      </c>
      <c r="P513" s="1" t="s">
        <v>902</v>
      </c>
      <c r="Q513" s="1">
        <v>5</v>
      </c>
      <c r="R513" s="1">
        <f>Retail_Sales_Analyis[[#This Row],[Final_Price]]-Retail_Sales_Analyis[[#This Row],[Total_Price]]</f>
        <v>0</v>
      </c>
      <c r="S5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14" spans="1:19" x14ac:dyDescent="0.25">
      <c r="A514" s="1" t="s">
        <v>1047</v>
      </c>
      <c r="B514" s="2">
        <v>45553</v>
      </c>
      <c r="C514" s="1" t="s">
        <v>116</v>
      </c>
      <c r="D514" s="1" t="s">
        <v>55</v>
      </c>
      <c r="E514" s="1" t="s">
        <v>132</v>
      </c>
      <c r="F514" s="1" t="s">
        <v>69</v>
      </c>
      <c r="G514" s="1" t="s">
        <v>85</v>
      </c>
      <c r="H514" s="1" t="s">
        <v>180</v>
      </c>
      <c r="I514" s="1">
        <v>1988.69</v>
      </c>
      <c r="J514" s="1">
        <v>5</v>
      </c>
      <c r="K514" s="1">
        <v>9943.4500000000007</v>
      </c>
      <c r="L514" s="1">
        <v>20</v>
      </c>
      <c r="M514" s="1">
        <v>1988.69</v>
      </c>
      <c r="N514" s="1">
        <v>7954.76</v>
      </c>
      <c r="O514" s="1" t="s">
        <v>64</v>
      </c>
      <c r="P514" s="1" t="s">
        <v>1048</v>
      </c>
      <c r="Q514" s="1">
        <v>5</v>
      </c>
      <c r="R514" s="1">
        <f>Retail_Sales_Analyis[[#This Row],[Final_Price]]-Retail_Sales_Analyis[[#This Row],[Total_Price]]</f>
        <v>-1988.6900000000005</v>
      </c>
      <c r="S5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15" spans="1:19" x14ac:dyDescent="0.25">
      <c r="A515" s="1" t="s">
        <v>1049</v>
      </c>
      <c r="B515" s="2">
        <v>45351</v>
      </c>
      <c r="C515" s="1" t="s">
        <v>27</v>
      </c>
      <c r="D515" s="1" t="s">
        <v>67</v>
      </c>
      <c r="E515" s="1" t="s">
        <v>121</v>
      </c>
      <c r="F515" s="1" t="s">
        <v>84</v>
      </c>
      <c r="G515" s="1" t="s">
        <v>169</v>
      </c>
      <c r="H515" s="1" t="s">
        <v>348</v>
      </c>
      <c r="I515" s="1">
        <v>1249.2</v>
      </c>
      <c r="J515" s="1">
        <v>10</v>
      </c>
      <c r="K515" s="1">
        <v>12492</v>
      </c>
      <c r="L515" s="1">
        <v>0</v>
      </c>
      <c r="M515" s="1">
        <v>0</v>
      </c>
      <c r="N515" s="1">
        <v>12492</v>
      </c>
      <c r="O515" s="1" t="s">
        <v>64</v>
      </c>
      <c r="P515" s="1" t="s">
        <v>1050</v>
      </c>
      <c r="Q515" s="1">
        <v>5</v>
      </c>
      <c r="R515" s="1">
        <f>Retail_Sales_Analyis[[#This Row],[Final_Price]]-Retail_Sales_Analyis[[#This Row],[Total_Price]]</f>
        <v>0</v>
      </c>
      <c r="S5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16" spans="1:19" x14ac:dyDescent="0.25">
      <c r="A516" s="1" t="s">
        <v>1051</v>
      </c>
      <c r="B516" s="2">
        <v>45489</v>
      </c>
      <c r="C516" s="1" t="s">
        <v>195</v>
      </c>
      <c r="D516" s="1" t="s">
        <v>28</v>
      </c>
      <c r="E516" s="1" t="s">
        <v>168</v>
      </c>
      <c r="F516" s="1" t="s">
        <v>69</v>
      </c>
      <c r="G516" s="1" t="s">
        <v>31</v>
      </c>
      <c r="H516" s="1" t="s">
        <v>45</v>
      </c>
      <c r="I516" s="1">
        <v>258.92</v>
      </c>
      <c r="J516" s="1">
        <v>6</v>
      </c>
      <c r="K516" s="1">
        <v>1553.52</v>
      </c>
      <c r="L516" s="1">
        <v>15</v>
      </c>
      <c r="M516" s="1">
        <v>233.03</v>
      </c>
      <c r="N516" s="1">
        <v>1320.49</v>
      </c>
      <c r="O516" s="1" t="s">
        <v>46</v>
      </c>
      <c r="P516" s="1" t="s">
        <v>1052</v>
      </c>
      <c r="Q516" s="1">
        <v>5</v>
      </c>
      <c r="R516" s="1">
        <f>Retail_Sales_Analyis[[#This Row],[Final_Price]]-Retail_Sales_Analyis[[#This Row],[Total_Price]]</f>
        <v>-233.02999999999997</v>
      </c>
      <c r="S5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17" spans="1:19" x14ac:dyDescent="0.25">
      <c r="A517" s="1" t="s">
        <v>1053</v>
      </c>
      <c r="B517" s="2">
        <v>45587</v>
      </c>
      <c r="C517" s="1" t="s">
        <v>76</v>
      </c>
      <c r="D517" s="1" t="s">
        <v>28</v>
      </c>
      <c r="E517" s="1" t="s">
        <v>145</v>
      </c>
      <c r="F517" s="1" t="s">
        <v>21</v>
      </c>
      <c r="G517" s="1" t="s">
        <v>31</v>
      </c>
      <c r="H517" s="1" t="s">
        <v>32</v>
      </c>
      <c r="I517" s="1">
        <v>170.75</v>
      </c>
      <c r="J517" s="1">
        <v>7</v>
      </c>
      <c r="K517" s="1">
        <v>1195.25</v>
      </c>
      <c r="L517" s="1">
        <v>15</v>
      </c>
      <c r="M517" s="1">
        <v>179.29</v>
      </c>
      <c r="N517" s="1">
        <v>1015.96</v>
      </c>
      <c r="O517" s="1" t="s">
        <v>80</v>
      </c>
      <c r="P517" s="1" t="s">
        <v>1054</v>
      </c>
      <c r="Q517" s="1">
        <v>1</v>
      </c>
      <c r="R517" s="1">
        <f>Retail_Sales_Analyis[[#This Row],[Final_Price]]-Retail_Sales_Analyis[[#This Row],[Total_Price]]</f>
        <v>-179.28999999999996</v>
      </c>
      <c r="S5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18" spans="1:19" x14ac:dyDescent="0.25">
      <c r="A518" s="1" t="s">
        <v>1055</v>
      </c>
      <c r="B518" s="2">
        <v>45389</v>
      </c>
      <c r="C518" s="1" t="s">
        <v>54</v>
      </c>
      <c r="D518" s="1" t="s">
        <v>49</v>
      </c>
      <c r="E518" s="1" t="s">
        <v>121</v>
      </c>
      <c r="F518" s="1" t="s">
        <v>84</v>
      </c>
      <c r="G518" s="1" t="s">
        <v>57</v>
      </c>
      <c r="H518" s="1" t="s">
        <v>58</v>
      </c>
      <c r="I518" s="1">
        <v>2616.87</v>
      </c>
      <c r="J518" s="1">
        <v>7</v>
      </c>
      <c r="K518" s="1">
        <v>18318.09</v>
      </c>
      <c r="L518" s="1">
        <v>0</v>
      </c>
      <c r="M518" s="1">
        <v>0</v>
      </c>
      <c r="N518" s="1">
        <v>18318.09</v>
      </c>
      <c r="O518" s="1" t="s">
        <v>46</v>
      </c>
      <c r="P518" s="1" t="s">
        <v>1056</v>
      </c>
      <c r="Q518" s="1">
        <v>4</v>
      </c>
      <c r="R518" s="1">
        <f>Retail_Sales_Analyis[[#This Row],[Final_Price]]-Retail_Sales_Analyis[[#This Row],[Total_Price]]</f>
        <v>0</v>
      </c>
      <c r="S5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19" spans="1:19" x14ac:dyDescent="0.25">
      <c r="A519" s="1" t="s">
        <v>1057</v>
      </c>
      <c r="B519" s="2">
        <v>45422</v>
      </c>
      <c r="C519" s="1" t="s">
        <v>42</v>
      </c>
      <c r="D519" s="1" t="s">
        <v>144</v>
      </c>
      <c r="E519" s="1" t="s">
        <v>312</v>
      </c>
      <c r="F519" s="1" t="s">
        <v>84</v>
      </c>
      <c r="G519" s="1" t="s">
        <v>78</v>
      </c>
      <c r="H519" s="1" t="s">
        <v>323</v>
      </c>
      <c r="I519" s="1">
        <v>397.75</v>
      </c>
      <c r="J519" s="1">
        <v>3</v>
      </c>
      <c r="K519" s="1">
        <v>1193.25</v>
      </c>
      <c r="L519" s="1">
        <v>20</v>
      </c>
      <c r="M519" s="1">
        <v>238.65</v>
      </c>
      <c r="N519" s="1">
        <v>954.6</v>
      </c>
      <c r="O519" s="1" t="s">
        <v>24</v>
      </c>
      <c r="P519" s="1" t="s">
        <v>750</v>
      </c>
      <c r="Q519" s="1">
        <v>3</v>
      </c>
      <c r="R519" s="1">
        <f>Retail_Sales_Analyis[[#This Row],[Final_Price]]-Retail_Sales_Analyis[[#This Row],[Total_Price]]</f>
        <v>-238.64999999999998</v>
      </c>
      <c r="S5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20" spans="1:19" x14ac:dyDescent="0.25">
      <c r="A520" s="1" t="s">
        <v>1058</v>
      </c>
      <c r="B520" s="2">
        <v>45314</v>
      </c>
      <c r="C520" s="1" t="s">
        <v>36</v>
      </c>
      <c r="D520" s="1" t="s">
        <v>28</v>
      </c>
      <c r="E520" s="1" t="s">
        <v>312</v>
      </c>
      <c r="F520" s="1" t="s">
        <v>69</v>
      </c>
      <c r="G520" s="1" t="s">
        <v>57</v>
      </c>
      <c r="H520" s="1" t="s">
        <v>122</v>
      </c>
      <c r="I520" s="1">
        <v>315.2</v>
      </c>
      <c r="J520" s="1">
        <v>9</v>
      </c>
      <c r="K520" s="1">
        <v>2836.8</v>
      </c>
      <c r="L520" s="1">
        <v>10</v>
      </c>
      <c r="M520" s="1">
        <v>283.68</v>
      </c>
      <c r="N520" s="1">
        <v>2553.12</v>
      </c>
      <c r="O520" s="1" t="s">
        <v>46</v>
      </c>
      <c r="P520" s="1" t="s">
        <v>1059</v>
      </c>
      <c r="Q520" s="1">
        <v>4</v>
      </c>
      <c r="R520" s="1">
        <f>Retail_Sales_Analyis[[#This Row],[Final_Price]]-Retail_Sales_Analyis[[#This Row],[Total_Price]]</f>
        <v>-283.68000000000029</v>
      </c>
      <c r="S5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21" spans="1:19" x14ac:dyDescent="0.25">
      <c r="A521" s="1" t="s">
        <v>1060</v>
      </c>
      <c r="B521" s="2">
        <v>45654</v>
      </c>
      <c r="C521" s="1" t="s">
        <v>73</v>
      </c>
      <c r="D521" s="1" t="s">
        <v>19</v>
      </c>
      <c r="E521" s="1" t="s">
        <v>129</v>
      </c>
      <c r="F521" s="1" t="s">
        <v>69</v>
      </c>
      <c r="G521" s="1" t="s">
        <v>22</v>
      </c>
      <c r="H521" s="1" t="s">
        <v>277</v>
      </c>
      <c r="I521" s="1">
        <v>843.6</v>
      </c>
      <c r="J521" s="1">
        <v>6</v>
      </c>
      <c r="K521" s="1">
        <v>5061.6000000000004</v>
      </c>
      <c r="L521" s="1">
        <v>0</v>
      </c>
      <c r="M521" s="1">
        <v>0</v>
      </c>
      <c r="N521" s="1">
        <v>5061.6000000000004</v>
      </c>
      <c r="O521" s="1" t="s">
        <v>33</v>
      </c>
      <c r="P521" s="1" t="s">
        <v>1061</v>
      </c>
      <c r="Q521" s="1">
        <v>1</v>
      </c>
      <c r="R521" s="1">
        <f>Retail_Sales_Analyis[[#This Row],[Final_Price]]-Retail_Sales_Analyis[[#This Row],[Total_Price]]</f>
        <v>0</v>
      </c>
      <c r="S5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2" spans="1:19" x14ac:dyDescent="0.25">
      <c r="A522" s="1" t="s">
        <v>1062</v>
      </c>
      <c r="B522" s="2">
        <v>45515</v>
      </c>
      <c r="C522" s="1" t="s">
        <v>93</v>
      </c>
      <c r="D522" s="1" t="s">
        <v>49</v>
      </c>
      <c r="E522" s="1" t="s">
        <v>141</v>
      </c>
      <c r="F522" s="1" t="s">
        <v>37</v>
      </c>
      <c r="G522" s="1" t="s">
        <v>38</v>
      </c>
      <c r="H522" s="1" t="s">
        <v>39</v>
      </c>
      <c r="I522" s="1">
        <v>351.37</v>
      </c>
      <c r="J522" s="1">
        <v>2</v>
      </c>
      <c r="K522" s="1">
        <v>702.74</v>
      </c>
      <c r="L522" s="1">
        <v>0</v>
      </c>
      <c r="M522" s="1">
        <v>0</v>
      </c>
      <c r="N522" s="1">
        <v>702.74</v>
      </c>
      <c r="O522" s="1" t="s">
        <v>80</v>
      </c>
      <c r="P522" s="1" t="s">
        <v>1063</v>
      </c>
      <c r="Q522" s="1">
        <v>5</v>
      </c>
      <c r="R522" s="1">
        <f>Retail_Sales_Analyis[[#This Row],[Final_Price]]-Retail_Sales_Analyis[[#This Row],[Total_Price]]</f>
        <v>0</v>
      </c>
      <c r="S5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3" spans="1:19" x14ac:dyDescent="0.25">
      <c r="A523" s="1" t="s">
        <v>1064</v>
      </c>
      <c r="B523" s="2">
        <v>45292</v>
      </c>
      <c r="C523" s="1" t="s">
        <v>36</v>
      </c>
      <c r="D523" s="1" t="s">
        <v>43</v>
      </c>
      <c r="E523" s="1" t="s">
        <v>186</v>
      </c>
      <c r="F523" s="1" t="s">
        <v>30</v>
      </c>
      <c r="G523" s="1" t="s">
        <v>38</v>
      </c>
      <c r="H523" s="1" t="s">
        <v>214</v>
      </c>
      <c r="I523" s="1">
        <v>168.89</v>
      </c>
      <c r="J523" s="1">
        <v>2</v>
      </c>
      <c r="K523" s="1">
        <v>337.78</v>
      </c>
      <c r="L523" s="1">
        <v>0</v>
      </c>
      <c r="M523" s="1">
        <v>0</v>
      </c>
      <c r="N523" s="1">
        <v>337.78</v>
      </c>
      <c r="O523" s="1" t="s">
        <v>24</v>
      </c>
      <c r="P523" s="1" t="s">
        <v>1065</v>
      </c>
      <c r="Q523" s="1">
        <v>5</v>
      </c>
      <c r="R523" s="1">
        <f>Retail_Sales_Analyis[[#This Row],[Final_Price]]-Retail_Sales_Analyis[[#This Row],[Total_Price]]</f>
        <v>0</v>
      </c>
      <c r="S5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4" spans="1:19" x14ac:dyDescent="0.25">
      <c r="A524" s="1" t="s">
        <v>1066</v>
      </c>
      <c r="B524" s="2">
        <v>45558</v>
      </c>
      <c r="C524" s="1" t="s">
        <v>116</v>
      </c>
      <c r="D524" s="1" t="s">
        <v>43</v>
      </c>
      <c r="E524" s="1" t="s">
        <v>174</v>
      </c>
      <c r="F524" s="1" t="s">
        <v>84</v>
      </c>
      <c r="G524" s="1" t="s">
        <v>78</v>
      </c>
      <c r="H524" s="1" t="s">
        <v>323</v>
      </c>
      <c r="I524" s="1">
        <v>286.22000000000003</v>
      </c>
      <c r="J524" s="1">
        <v>5</v>
      </c>
      <c r="K524" s="1">
        <v>1431.1</v>
      </c>
      <c r="L524" s="1">
        <v>0</v>
      </c>
      <c r="M524" s="1">
        <v>0</v>
      </c>
      <c r="N524" s="1">
        <v>1431.1</v>
      </c>
      <c r="O524" s="1" t="s">
        <v>80</v>
      </c>
      <c r="P524" s="1" t="s">
        <v>1067</v>
      </c>
      <c r="Q524" s="1">
        <v>2</v>
      </c>
      <c r="R524" s="1">
        <f>Retail_Sales_Analyis[[#This Row],[Final_Price]]-Retail_Sales_Analyis[[#This Row],[Total_Price]]</f>
        <v>0</v>
      </c>
      <c r="S5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5" spans="1:19" x14ac:dyDescent="0.25">
      <c r="A525" s="1" t="s">
        <v>1068</v>
      </c>
      <c r="B525" s="2">
        <v>45567</v>
      </c>
      <c r="C525" s="1" t="s">
        <v>76</v>
      </c>
      <c r="D525" s="1" t="s">
        <v>55</v>
      </c>
      <c r="E525" s="1" t="s">
        <v>207</v>
      </c>
      <c r="F525" s="1" t="s">
        <v>84</v>
      </c>
      <c r="G525" s="1" t="s">
        <v>38</v>
      </c>
      <c r="H525" s="1" t="s">
        <v>39</v>
      </c>
      <c r="I525" s="1">
        <v>639.04999999999995</v>
      </c>
      <c r="J525" s="1">
        <v>5</v>
      </c>
      <c r="K525" s="1">
        <v>3195.25</v>
      </c>
      <c r="L525" s="1">
        <v>20</v>
      </c>
      <c r="M525" s="1">
        <v>639.04999999999995</v>
      </c>
      <c r="N525" s="1">
        <v>2556.1999999999998</v>
      </c>
      <c r="O525" s="1" t="s">
        <v>46</v>
      </c>
      <c r="P525" s="1" t="s">
        <v>564</v>
      </c>
      <c r="Q525" s="1">
        <v>4</v>
      </c>
      <c r="R525" s="1">
        <f>Retail_Sales_Analyis[[#This Row],[Final_Price]]-Retail_Sales_Analyis[[#This Row],[Total_Price]]</f>
        <v>-639.05000000000018</v>
      </c>
      <c r="S5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26" spans="1:19" x14ac:dyDescent="0.25">
      <c r="A526" s="1" t="s">
        <v>1069</v>
      </c>
      <c r="B526" s="2">
        <v>45643</v>
      </c>
      <c r="C526" s="1" t="s">
        <v>73</v>
      </c>
      <c r="D526" s="1" t="s">
        <v>28</v>
      </c>
      <c r="E526" s="1" t="s">
        <v>125</v>
      </c>
      <c r="F526" s="1" t="s">
        <v>21</v>
      </c>
      <c r="G526" s="1" t="s">
        <v>112</v>
      </c>
      <c r="H526" s="1" t="s">
        <v>288</v>
      </c>
      <c r="I526" s="1">
        <v>1481.14</v>
      </c>
      <c r="J526" s="1">
        <v>3</v>
      </c>
      <c r="K526" s="1">
        <v>4443.42</v>
      </c>
      <c r="L526" s="1">
        <v>20</v>
      </c>
      <c r="M526" s="1">
        <v>888.68</v>
      </c>
      <c r="N526" s="1">
        <v>3554.74</v>
      </c>
      <c r="O526" s="1" t="s">
        <v>33</v>
      </c>
      <c r="P526" s="1" t="s">
        <v>474</v>
      </c>
      <c r="Q526" s="1">
        <v>2</v>
      </c>
      <c r="R526" s="1">
        <f>Retail_Sales_Analyis[[#This Row],[Final_Price]]-Retail_Sales_Analyis[[#This Row],[Total_Price]]</f>
        <v>-888.68000000000029</v>
      </c>
      <c r="S5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27" spans="1:19" x14ac:dyDescent="0.25">
      <c r="A527" s="1" t="s">
        <v>1070</v>
      </c>
      <c r="B527" s="2">
        <v>45635</v>
      </c>
      <c r="C527" s="1" t="s">
        <v>73</v>
      </c>
      <c r="D527" s="1" t="s">
        <v>43</v>
      </c>
      <c r="E527" s="1" t="s">
        <v>62</v>
      </c>
      <c r="F527" s="1" t="s">
        <v>37</v>
      </c>
      <c r="G527" s="1" t="s">
        <v>57</v>
      </c>
      <c r="H527" s="1" t="s">
        <v>122</v>
      </c>
      <c r="I527" s="1">
        <v>1843.61</v>
      </c>
      <c r="J527" s="1">
        <v>9</v>
      </c>
      <c r="K527" s="1">
        <v>16592.490000000002</v>
      </c>
      <c r="L527" s="1">
        <v>20</v>
      </c>
      <c r="M527" s="1">
        <v>3318.5</v>
      </c>
      <c r="N527" s="1">
        <v>13273.99</v>
      </c>
      <c r="O527" s="1" t="s">
        <v>33</v>
      </c>
      <c r="P527" s="1" t="s">
        <v>1019</v>
      </c>
      <c r="Q527" s="1">
        <v>4</v>
      </c>
      <c r="R527" s="1">
        <f>Retail_Sales_Analyis[[#This Row],[Final_Price]]-Retail_Sales_Analyis[[#This Row],[Total_Price]]</f>
        <v>-3318.5000000000018</v>
      </c>
      <c r="S5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28" spans="1:19" x14ac:dyDescent="0.25">
      <c r="A528" s="1" t="s">
        <v>1071</v>
      </c>
      <c r="B528" s="2">
        <v>45392</v>
      </c>
      <c r="C528" s="1" t="s">
        <v>54</v>
      </c>
      <c r="D528" s="1" t="s">
        <v>55</v>
      </c>
      <c r="E528" s="1" t="s">
        <v>163</v>
      </c>
      <c r="F528" s="1" t="s">
        <v>37</v>
      </c>
      <c r="G528" s="1" t="s">
        <v>57</v>
      </c>
      <c r="H528" s="1" t="s">
        <v>58</v>
      </c>
      <c r="I528" s="1">
        <v>2356.37</v>
      </c>
      <c r="J528" s="1">
        <v>7</v>
      </c>
      <c r="K528" s="1">
        <v>16494.59</v>
      </c>
      <c r="L528" s="1">
        <v>0</v>
      </c>
      <c r="M528" s="1">
        <v>0</v>
      </c>
      <c r="N528" s="1">
        <v>16494.59</v>
      </c>
      <c r="O528" s="1" t="s">
        <v>33</v>
      </c>
      <c r="P528" s="1" t="s">
        <v>1050</v>
      </c>
      <c r="Q528" s="1">
        <v>4</v>
      </c>
      <c r="R528" s="1">
        <f>Retail_Sales_Analyis[[#This Row],[Final_Price]]-Retail_Sales_Analyis[[#This Row],[Total_Price]]</f>
        <v>0</v>
      </c>
      <c r="S5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29" spans="1:19" x14ac:dyDescent="0.25">
      <c r="A529" s="1" t="s">
        <v>1072</v>
      </c>
      <c r="B529" s="2">
        <v>45478</v>
      </c>
      <c r="C529" s="1" t="s">
        <v>195</v>
      </c>
      <c r="D529" s="1" t="s">
        <v>144</v>
      </c>
      <c r="E529" s="1" t="s">
        <v>104</v>
      </c>
      <c r="F529" s="1" t="s">
        <v>30</v>
      </c>
      <c r="G529" s="1" t="s">
        <v>85</v>
      </c>
      <c r="H529" s="1" t="s">
        <v>90</v>
      </c>
      <c r="I529" s="1">
        <v>4495</v>
      </c>
      <c r="J529" s="1">
        <v>5</v>
      </c>
      <c r="K529" s="1">
        <v>22475</v>
      </c>
      <c r="L529" s="1">
        <v>15</v>
      </c>
      <c r="M529" s="1">
        <v>3371.25</v>
      </c>
      <c r="N529" s="1">
        <v>19103.75</v>
      </c>
      <c r="O529" s="1" t="s">
        <v>24</v>
      </c>
      <c r="P529" s="1" t="s">
        <v>1073</v>
      </c>
      <c r="Q529" s="1">
        <v>4</v>
      </c>
      <c r="R529" s="1">
        <f>Retail_Sales_Analyis[[#This Row],[Final_Price]]-Retail_Sales_Analyis[[#This Row],[Total_Price]]</f>
        <v>-3371.25</v>
      </c>
      <c r="S5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30" spans="1:19" x14ac:dyDescent="0.25">
      <c r="A530" s="1" t="s">
        <v>1074</v>
      </c>
      <c r="B530" s="2">
        <v>45512</v>
      </c>
      <c r="C530" s="1" t="s">
        <v>93</v>
      </c>
      <c r="D530" s="1" t="s">
        <v>67</v>
      </c>
      <c r="E530" s="1" t="s">
        <v>166</v>
      </c>
      <c r="F530" s="1" t="s">
        <v>84</v>
      </c>
      <c r="G530" s="1" t="s">
        <v>57</v>
      </c>
      <c r="H530" s="1" t="s">
        <v>58</v>
      </c>
      <c r="I530" s="1">
        <v>1392.01</v>
      </c>
      <c r="J530" s="1">
        <v>7</v>
      </c>
      <c r="K530" s="1">
        <v>9744.07</v>
      </c>
      <c r="L530" s="1">
        <v>20</v>
      </c>
      <c r="M530" s="1">
        <v>1948.81</v>
      </c>
      <c r="N530" s="1">
        <v>7795.26</v>
      </c>
      <c r="O530" s="1" t="s">
        <v>80</v>
      </c>
      <c r="P530" s="1" t="s">
        <v>940</v>
      </c>
      <c r="Q530" s="1">
        <v>3</v>
      </c>
      <c r="R530" s="1">
        <f>Retail_Sales_Analyis[[#This Row],[Final_Price]]-Retail_Sales_Analyis[[#This Row],[Total_Price]]</f>
        <v>-1948.8099999999995</v>
      </c>
      <c r="S5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31" spans="1:19" x14ac:dyDescent="0.25">
      <c r="A531" s="1" t="s">
        <v>1075</v>
      </c>
      <c r="B531" s="2">
        <v>45327</v>
      </c>
      <c r="C531" s="1" t="s">
        <v>27</v>
      </c>
      <c r="D531" s="1" t="s">
        <v>43</v>
      </c>
      <c r="E531" s="1" t="s">
        <v>196</v>
      </c>
      <c r="F531" s="1" t="s">
        <v>69</v>
      </c>
      <c r="G531" s="1" t="s">
        <v>112</v>
      </c>
      <c r="H531" s="1" t="s">
        <v>113</v>
      </c>
      <c r="I531" s="1">
        <v>730.54</v>
      </c>
      <c r="J531" s="1">
        <v>6</v>
      </c>
      <c r="K531" s="1">
        <v>4383.24</v>
      </c>
      <c r="L531" s="1">
        <v>10</v>
      </c>
      <c r="M531" s="1">
        <v>438.32</v>
      </c>
      <c r="N531" s="1">
        <v>3944.92</v>
      </c>
      <c r="O531" s="1" t="s">
        <v>80</v>
      </c>
      <c r="P531" s="1" t="s">
        <v>176</v>
      </c>
      <c r="Q531" s="1">
        <v>5</v>
      </c>
      <c r="R531" s="1">
        <f>Retail_Sales_Analyis[[#This Row],[Final_Price]]-Retail_Sales_Analyis[[#This Row],[Total_Price]]</f>
        <v>-438.31999999999971</v>
      </c>
      <c r="S5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32" spans="1:19" x14ac:dyDescent="0.25">
      <c r="A532" s="1" t="s">
        <v>1076</v>
      </c>
      <c r="B532" s="2">
        <v>45632</v>
      </c>
      <c r="C532" s="1" t="s">
        <v>73</v>
      </c>
      <c r="D532" s="1" t="s">
        <v>144</v>
      </c>
      <c r="E532" s="1" t="s">
        <v>62</v>
      </c>
      <c r="F532" s="1" t="s">
        <v>84</v>
      </c>
      <c r="G532" s="1" t="s">
        <v>57</v>
      </c>
      <c r="H532" s="1" t="s">
        <v>58</v>
      </c>
      <c r="I532" s="1">
        <v>378.39</v>
      </c>
      <c r="J532" s="1">
        <v>7</v>
      </c>
      <c r="K532" s="1">
        <v>2648.73</v>
      </c>
      <c r="L532" s="1">
        <v>0</v>
      </c>
      <c r="M532" s="1">
        <v>0</v>
      </c>
      <c r="N532" s="1">
        <v>2648.73</v>
      </c>
      <c r="O532" s="1" t="s">
        <v>33</v>
      </c>
      <c r="P532" s="1" t="s">
        <v>920</v>
      </c>
      <c r="Q532" s="1">
        <v>1</v>
      </c>
      <c r="R532" s="1">
        <f>Retail_Sales_Analyis[[#This Row],[Final_Price]]-Retail_Sales_Analyis[[#This Row],[Total_Price]]</f>
        <v>0</v>
      </c>
      <c r="S5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33" spans="1:19" x14ac:dyDescent="0.25">
      <c r="A533" s="1" t="s">
        <v>1077</v>
      </c>
      <c r="B533" s="2">
        <v>45461</v>
      </c>
      <c r="C533" s="1" t="s">
        <v>173</v>
      </c>
      <c r="D533" s="1" t="s">
        <v>28</v>
      </c>
      <c r="E533" s="1" t="s">
        <v>342</v>
      </c>
      <c r="F533" s="1" t="s">
        <v>84</v>
      </c>
      <c r="G533" s="1" t="s">
        <v>31</v>
      </c>
      <c r="H533" s="1" t="s">
        <v>63</v>
      </c>
      <c r="I533" s="1">
        <v>91.96</v>
      </c>
      <c r="J533" s="1">
        <v>2</v>
      </c>
      <c r="K533" s="1">
        <v>183.92</v>
      </c>
      <c r="L533" s="1">
        <v>15</v>
      </c>
      <c r="M533" s="1">
        <v>27.59</v>
      </c>
      <c r="N533" s="1">
        <v>156.33000000000001</v>
      </c>
      <c r="O533" s="1" t="s">
        <v>80</v>
      </c>
      <c r="P533" s="1" t="s">
        <v>1078</v>
      </c>
      <c r="Q533" s="1">
        <v>2</v>
      </c>
      <c r="R533" s="1">
        <f>Retail_Sales_Analyis[[#This Row],[Final_Price]]-Retail_Sales_Analyis[[#This Row],[Total_Price]]</f>
        <v>-27.589999999999975</v>
      </c>
      <c r="S5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34" spans="1:19" x14ac:dyDescent="0.25">
      <c r="A534" s="1" t="s">
        <v>1079</v>
      </c>
      <c r="B534" s="2">
        <v>45611</v>
      </c>
      <c r="C534" s="1" t="s">
        <v>18</v>
      </c>
      <c r="D534" s="1" t="s">
        <v>144</v>
      </c>
      <c r="E534" s="1" t="s">
        <v>94</v>
      </c>
      <c r="F534" s="1" t="s">
        <v>84</v>
      </c>
      <c r="G534" s="1" t="s">
        <v>112</v>
      </c>
      <c r="H534" s="1" t="s">
        <v>113</v>
      </c>
      <c r="I534" s="1">
        <v>798.5</v>
      </c>
      <c r="J534" s="1">
        <v>7</v>
      </c>
      <c r="K534" s="1">
        <v>5589.5</v>
      </c>
      <c r="L534" s="1">
        <v>0</v>
      </c>
      <c r="M534" s="1">
        <v>0</v>
      </c>
      <c r="N534" s="1">
        <v>5589.5</v>
      </c>
      <c r="O534" s="1" t="s">
        <v>64</v>
      </c>
      <c r="P534" s="1" t="s">
        <v>1080</v>
      </c>
      <c r="Q534" s="1">
        <v>2</v>
      </c>
      <c r="R534" s="1">
        <f>Retail_Sales_Analyis[[#This Row],[Final_Price]]-Retail_Sales_Analyis[[#This Row],[Total_Price]]</f>
        <v>0</v>
      </c>
      <c r="S5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35" spans="1:19" x14ac:dyDescent="0.25">
      <c r="A535" s="1" t="s">
        <v>1081</v>
      </c>
      <c r="B535" s="2">
        <v>45452</v>
      </c>
      <c r="C535" s="1" t="s">
        <v>173</v>
      </c>
      <c r="D535" s="1" t="s">
        <v>49</v>
      </c>
      <c r="E535" s="1" t="s">
        <v>207</v>
      </c>
      <c r="F535" s="1" t="s">
        <v>21</v>
      </c>
      <c r="G535" s="1" t="s">
        <v>31</v>
      </c>
      <c r="H535" s="1" t="s">
        <v>329</v>
      </c>
      <c r="I535" s="1">
        <v>215.89</v>
      </c>
      <c r="J535" s="1">
        <v>1</v>
      </c>
      <c r="K535" s="1">
        <v>215.89</v>
      </c>
      <c r="L535" s="1">
        <v>0</v>
      </c>
      <c r="M535" s="1">
        <v>0</v>
      </c>
      <c r="N535" s="1">
        <v>215.89</v>
      </c>
      <c r="O535" s="1" t="s">
        <v>46</v>
      </c>
      <c r="P535" s="1" t="s">
        <v>1002</v>
      </c>
      <c r="Q535" s="1">
        <v>4</v>
      </c>
      <c r="R535" s="1">
        <f>Retail_Sales_Analyis[[#This Row],[Final_Price]]-Retail_Sales_Analyis[[#This Row],[Total_Price]]</f>
        <v>0</v>
      </c>
      <c r="S5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36" spans="1:19" x14ac:dyDescent="0.25">
      <c r="A536" s="1" t="s">
        <v>1082</v>
      </c>
      <c r="B536" s="2">
        <v>45631</v>
      </c>
      <c r="C536" s="1" t="s">
        <v>73</v>
      </c>
      <c r="D536" s="1" t="s">
        <v>67</v>
      </c>
      <c r="E536" s="1" t="s">
        <v>145</v>
      </c>
      <c r="F536" s="1" t="s">
        <v>30</v>
      </c>
      <c r="G536" s="1" t="s">
        <v>85</v>
      </c>
      <c r="H536" s="1" t="s">
        <v>90</v>
      </c>
      <c r="I536" s="1">
        <v>2673.65</v>
      </c>
      <c r="J536" s="1">
        <v>2</v>
      </c>
      <c r="K536" s="1">
        <v>5347.3</v>
      </c>
      <c r="L536" s="1">
        <v>5</v>
      </c>
      <c r="M536" s="1">
        <v>267.37</v>
      </c>
      <c r="N536" s="1">
        <v>5079.93</v>
      </c>
      <c r="O536" s="1" t="s">
        <v>64</v>
      </c>
      <c r="P536" s="1" t="s">
        <v>1059</v>
      </c>
      <c r="Q536" s="1">
        <v>2</v>
      </c>
      <c r="R536" s="1">
        <f>Retail_Sales_Analyis[[#This Row],[Final_Price]]-Retail_Sales_Analyis[[#This Row],[Total_Price]]</f>
        <v>-267.36999999999989</v>
      </c>
      <c r="S53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37" spans="1:19" x14ac:dyDescent="0.25">
      <c r="A537" s="1" t="s">
        <v>1083</v>
      </c>
      <c r="B537" s="2">
        <v>45355</v>
      </c>
      <c r="C537" s="1" t="s">
        <v>61</v>
      </c>
      <c r="D537" s="1" t="s">
        <v>43</v>
      </c>
      <c r="E537" s="1" t="s">
        <v>97</v>
      </c>
      <c r="F537" s="1" t="s">
        <v>69</v>
      </c>
      <c r="G537" s="1" t="s">
        <v>31</v>
      </c>
      <c r="H537" s="1" t="s">
        <v>250</v>
      </c>
      <c r="I537" s="1">
        <v>321.67</v>
      </c>
      <c r="J537" s="1">
        <v>5</v>
      </c>
      <c r="K537" s="1">
        <v>1608.35</v>
      </c>
      <c r="L537" s="1">
        <v>10</v>
      </c>
      <c r="M537" s="1">
        <v>160.84</v>
      </c>
      <c r="N537" s="1">
        <v>1447.51</v>
      </c>
      <c r="O537" s="1" t="s">
        <v>64</v>
      </c>
      <c r="P537" s="1" t="s">
        <v>275</v>
      </c>
      <c r="Q537" s="1">
        <v>5</v>
      </c>
      <c r="R537" s="1">
        <f>Retail_Sales_Analyis[[#This Row],[Final_Price]]-Retail_Sales_Analyis[[#This Row],[Total_Price]]</f>
        <v>-160.83999999999992</v>
      </c>
      <c r="S5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38" spans="1:19" x14ac:dyDescent="0.25">
      <c r="A538" s="1" t="s">
        <v>1084</v>
      </c>
      <c r="B538" s="2">
        <v>45445</v>
      </c>
      <c r="C538" s="1" t="s">
        <v>173</v>
      </c>
      <c r="D538" s="1" t="s">
        <v>49</v>
      </c>
      <c r="E538" s="1" t="s">
        <v>29</v>
      </c>
      <c r="F538" s="1" t="s">
        <v>84</v>
      </c>
      <c r="G538" s="1" t="s">
        <v>57</v>
      </c>
      <c r="H538" s="1" t="s">
        <v>152</v>
      </c>
      <c r="I538" s="1">
        <v>2975.04</v>
      </c>
      <c r="J538" s="1">
        <v>8</v>
      </c>
      <c r="K538" s="1">
        <v>23800.32</v>
      </c>
      <c r="L538" s="1">
        <v>0</v>
      </c>
      <c r="M538" s="1">
        <v>0</v>
      </c>
      <c r="N538" s="1">
        <v>23800.32</v>
      </c>
      <c r="O538" s="1" t="s">
        <v>33</v>
      </c>
      <c r="P538" s="1" t="s">
        <v>1085</v>
      </c>
      <c r="Q538" s="1">
        <v>5</v>
      </c>
      <c r="R538" s="1">
        <f>Retail_Sales_Analyis[[#This Row],[Final_Price]]-Retail_Sales_Analyis[[#This Row],[Total_Price]]</f>
        <v>0</v>
      </c>
      <c r="S5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39" spans="1:19" x14ac:dyDescent="0.25">
      <c r="A539" s="1" t="s">
        <v>1086</v>
      </c>
      <c r="B539" s="2">
        <v>45551</v>
      </c>
      <c r="C539" s="1" t="s">
        <v>116</v>
      </c>
      <c r="D539" s="1" t="s">
        <v>43</v>
      </c>
      <c r="E539" s="1" t="s">
        <v>20</v>
      </c>
      <c r="F539" s="1" t="s">
        <v>69</v>
      </c>
      <c r="G539" s="1" t="s">
        <v>31</v>
      </c>
      <c r="H539" s="1" t="s">
        <v>32</v>
      </c>
      <c r="I539" s="1">
        <v>258.20999999999998</v>
      </c>
      <c r="J539" s="1">
        <v>1</v>
      </c>
      <c r="K539" s="1">
        <v>258.20999999999998</v>
      </c>
      <c r="L539" s="1">
        <v>15</v>
      </c>
      <c r="M539" s="1">
        <v>38.729999999999997</v>
      </c>
      <c r="N539" s="1">
        <v>219.48</v>
      </c>
      <c r="O539" s="1" t="s">
        <v>24</v>
      </c>
      <c r="P539" s="1" t="s">
        <v>800</v>
      </c>
      <c r="Q539" s="1">
        <v>3</v>
      </c>
      <c r="R539" s="1">
        <f>Retail_Sales_Analyis[[#This Row],[Final_Price]]-Retail_Sales_Analyis[[#This Row],[Total_Price]]</f>
        <v>-38.72999999999999</v>
      </c>
      <c r="S5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40" spans="1:19" x14ac:dyDescent="0.25">
      <c r="A540" s="1" t="s">
        <v>1087</v>
      </c>
      <c r="B540" s="2">
        <v>45450</v>
      </c>
      <c r="C540" s="1" t="s">
        <v>173</v>
      </c>
      <c r="D540" s="1" t="s">
        <v>144</v>
      </c>
      <c r="E540" s="1" t="s">
        <v>50</v>
      </c>
      <c r="F540" s="1" t="s">
        <v>69</v>
      </c>
      <c r="G540" s="1" t="s">
        <v>38</v>
      </c>
      <c r="H540" s="1" t="s">
        <v>108</v>
      </c>
      <c r="I540" s="1">
        <v>529.12</v>
      </c>
      <c r="J540" s="1">
        <v>3</v>
      </c>
      <c r="K540" s="1">
        <v>1587.36</v>
      </c>
      <c r="L540" s="1">
        <v>5</v>
      </c>
      <c r="M540" s="1">
        <v>79.37</v>
      </c>
      <c r="N540" s="1">
        <v>1507.99</v>
      </c>
      <c r="O540" s="1" t="s">
        <v>64</v>
      </c>
      <c r="P540" s="1" t="s">
        <v>81</v>
      </c>
      <c r="Q540" s="1">
        <v>2</v>
      </c>
      <c r="R540" s="1">
        <f>Retail_Sales_Analyis[[#This Row],[Final_Price]]-Retail_Sales_Analyis[[#This Row],[Total_Price]]</f>
        <v>-79.369999999999891</v>
      </c>
      <c r="S54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41" spans="1:19" x14ac:dyDescent="0.25">
      <c r="A541" s="1" t="s">
        <v>1088</v>
      </c>
      <c r="B541" s="2">
        <v>45633</v>
      </c>
      <c r="C541" s="1" t="s">
        <v>73</v>
      </c>
      <c r="D541" s="1" t="s">
        <v>19</v>
      </c>
      <c r="E541" s="1" t="s">
        <v>236</v>
      </c>
      <c r="F541" s="1" t="s">
        <v>30</v>
      </c>
      <c r="G541" s="1" t="s">
        <v>22</v>
      </c>
      <c r="H541" s="1" t="s">
        <v>23</v>
      </c>
      <c r="I541" s="1">
        <v>758.82</v>
      </c>
      <c r="J541" s="1">
        <v>2</v>
      </c>
      <c r="K541" s="1">
        <v>1517.64</v>
      </c>
      <c r="L541" s="1">
        <v>5</v>
      </c>
      <c r="M541" s="1">
        <v>75.88</v>
      </c>
      <c r="N541" s="1">
        <v>1441.76</v>
      </c>
      <c r="O541" s="1" t="s">
        <v>24</v>
      </c>
      <c r="P541" s="1" t="s">
        <v>228</v>
      </c>
      <c r="Q541" s="1">
        <v>2</v>
      </c>
      <c r="R541" s="1">
        <f>Retail_Sales_Analyis[[#This Row],[Final_Price]]-Retail_Sales_Analyis[[#This Row],[Total_Price]]</f>
        <v>-75.880000000000109</v>
      </c>
      <c r="S54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42" spans="1:19" x14ac:dyDescent="0.25">
      <c r="A542" s="1" t="s">
        <v>1089</v>
      </c>
      <c r="B542" s="2">
        <v>45501</v>
      </c>
      <c r="C542" s="1" t="s">
        <v>195</v>
      </c>
      <c r="D542" s="1" t="s">
        <v>49</v>
      </c>
      <c r="E542" s="1" t="s">
        <v>322</v>
      </c>
      <c r="F542" s="1" t="s">
        <v>30</v>
      </c>
      <c r="G542" s="1" t="s">
        <v>38</v>
      </c>
      <c r="H542" s="1" t="s">
        <v>39</v>
      </c>
      <c r="I542" s="1">
        <v>588.63</v>
      </c>
      <c r="J542" s="1">
        <v>4</v>
      </c>
      <c r="K542" s="1">
        <v>2354.52</v>
      </c>
      <c r="L542" s="1">
        <v>5</v>
      </c>
      <c r="M542" s="1">
        <v>117.73</v>
      </c>
      <c r="N542" s="1">
        <v>2236.79</v>
      </c>
      <c r="O542" s="1" t="s">
        <v>33</v>
      </c>
      <c r="P542" s="1" t="s">
        <v>1090</v>
      </c>
      <c r="Q542" s="1">
        <v>5</v>
      </c>
      <c r="R542" s="1">
        <f>Retail_Sales_Analyis[[#This Row],[Final_Price]]-Retail_Sales_Analyis[[#This Row],[Total_Price]]</f>
        <v>-117.73000000000002</v>
      </c>
      <c r="S5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43" spans="1:19" x14ac:dyDescent="0.25">
      <c r="A543" s="1" t="s">
        <v>1091</v>
      </c>
      <c r="B543" s="2">
        <v>45459</v>
      </c>
      <c r="C543" s="1" t="s">
        <v>173</v>
      </c>
      <c r="D543" s="1" t="s">
        <v>49</v>
      </c>
      <c r="E543" s="1" t="s">
        <v>151</v>
      </c>
      <c r="F543" s="1" t="s">
        <v>21</v>
      </c>
      <c r="G543" s="1" t="s">
        <v>169</v>
      </c>
      <c r="H543" s="1" t="s">
        <v>170</v>
      </c>
      <c r="I543" s="1">
        <v>1219.8499999999999</v>
      </c>
      <c r="J543" s="1">
        <v>6</v>
      </c>
      <c r="K543" s="1">
        <v>7319.1</v>
      </c>
      <c r="L543" s="1">
        <v>5</v>
      </c>
      <c r="M543" s="1">
        <v>365.96</v>
      </c>
      <c r="N543" s="1">
        <v>6953.14</v>
      </c>
      <c r="O543" s="1" t="s">
        <v>33</v>
      </c>
      <c r="P543" s="1" t="s">
        <v>830</v>
      </c>
      <c r="Q543" s="1">
        <v>2</v>
      </c>
      <c r="R543" s="1">
        <f>Retail_Sales_Analyis[[#This Row],[Final_Price]]-Retail_Sales_Analyis[[#This Row],[Total_Price]]</f>
        <v>-365.96000000000004</v>
      </c>
      <c r="S5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44" spans="1:19" x14ac:dyDescent="0.25">
      <c r="A544" s="1" t="s">
        <v>1092</v>
      </c>
      <c r="B544" s="2">
        <v>45498</v>
      </c>
      <c r="C544" s="1" t="s">
        <v>195</v>
      </c>
      <c r="D544" s="1" t="s">
        <v>67</v>
      </c>
      <c r="E544" s="1" t="s">
        <v>186</v>
      </c>
      <c r="F544" s="1" t="s">
        <v>69</v>
      </c>
      <c r="G544" s="1" t="s">
        <v>112</v>
      </c>
      <c r="H544" s="1" t="s">
        <v>288</v>
      </c>
      <c r="I544" s="1">
        <v>540.08000000000004</v>
      </c>
      <c r="J544" s="1">
        <v>8</v>
      </c>
      <c r="K544" s="1">
        <v>4320.6400000000003</v>
      </c>
      <c r="L544" s="1">
        <v>5</v>
      </c>
      <c r="M544" s="1">
        <v>216.03</v>
      </c>
      <c r="N544" s="1">
        <v>4104.6099999999997</v>
      </c>
      <c r="O544" s="1" t="s">
        <v>46</v>
      </c>
      <c r="P544" s="1" t="s">
        <v>425</v>
      </c>
      <c r="Q544" s="1">
        <v>4</v>
      </c>
      <c r="R544" s="1">
        <f>Retail_Sales_Analyis[[#This Row],[Final_Price]]-Retail_Sales_Analyis[[#This Row],[Total_Price]]</f>
        <v>-216.03000000000065</v>
      </c>
      <c r="S5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45" spans="1:19" x14ac:dyDescent="0.25">
      <c r="A545" s="1" t="s">
        <v>1093</v>
      </c>
      <c r="B545" s="2">
        <v>45648</v>
      </c>
      <c r="C545" s="1" t="s">
        <v>73</v>
      </c>
      <c r="D545" s="1" t="s">
        <v>49</v>
      </c>
      <c r="E545" s="1" t="s">
        <v>56</v>
      </c>
      <c r="F545" s="1" t="s">
        <v>37</v>
      </c>
      <c r="G545" s="1" t="s">
        <v>112</v>
      </c>
      <c r="H545" s="1" t="s">
        <v>118</v>
      </c>
      <c r="I545" s="1">
        <v>672.02</v>
      </c>
      <c r="J545" s="1">
        <v>3</v>
      </c>
      <c r="K545" s="1">
        <v>2016.06</v>
      </c>
      <c r="L545" s="1">
        <v>0</v>
      </c>
      <c r="M545" s="1">
        <v>0</v>
      </c>
      <c r="N545" s="1">
        <v>2016.06</v>
      </c>
      <c r="O545" s="1" t="s">
        <v>33</v>
      </c>
      <c r="P545" s="1" t="s">
        <v>759</v>
      </c>
      <c r="Q545" s="1">
        <v>4</v>
      </c>
      <c r="R545" s="1">
        <f>Retail_Sales_Analyis[[#This Row],[Final_Price]]-Retail_Sales_Analyis[[#This Row],[Total_Price]]</f>
        <v>0</v>
      </c>
      <c r="S5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46" spans="1:19" x14ac:dyDescent="0.25">
      <c r="A546" s="1" t="s">
        <v>1094</v>
      </c>
      <c r="B546" s="2">
        <v>45443</v>
      </c>
      <c r="C546" s="1" t="s">
        <v>42</v>
      </c>
      <c r="D546" s="1" t="s">
        <v>144</v>
      </c>
      <c r="E546" s="1" t="s">
        <v>337</v>
      </c>
      <c r="F546" s="1" t="s">
        <v>84</v>
      </c>
      <c r="G546" s="1" t="s">
        <v>57</v>
      </c>
      <c r="H546" s="1" t="s">
        <v>58</v>
      </c>
      <c r="I546" s="1">
        <v>592.72</v>
      </c>
      <c r="J546" s="1">
        <v>5</v>
      </c>
      <c r="K546" s="1">
        <v>2963.6</v>
      </c>
      <c r="L546" s="1">
        <v>20</v>
      </c>
      <c r="M546" s="1">
        <v>592.72</v>
      </c>
      <c r="N546" s="1">
        <v>2370.88</v>
      </c>
      <c r="O546" s="1" t="s">
        <v>64</v>
      </c>
      <c r="P546" s="1" t="s">
        <v>265</v>
      </c>
      <c r="Q546" s="1">
        <v>2</v>
      </c>
      <c r="R546" s="1">
        <f>Retail_Sales_Analyis[[#This Row],[Final_Price]]-Retail_Sales_Analyis[[#This Row],[Total_Price]]</f>
        <v>-592.7199999999998</v>
      </c>
      <c r="S5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47" spans="1:19" x14ac:dyDescent="0.25">
      <c r="A547" s="1" t="s">
        <v>1095</v>
      </c>
      <c r="B547" s="2">
        <v>45575</v>
      </c>
      <c r="C547" s="1" t="s">
        <v>76</v>
      </c>
      <c r="D547" s="1" t="s">
        <v>67</v>
      </c>
      <c r="E547" s="1" t="s">
        <v>285</v>
      </c>
      <c r="F547" s="1" t="s">
        <v>30</v>
      </c>
      <c r="G547" s="1" t="s">
        <v>85</v>
      </c>
      <c r="H547" s="1" t="s">
        <v>180</v>
      </c>
      <c r="I547" s="1">
        <v>1496.61</v>
      </c>
      <c r="J547" s="1">
        <v>7</v>
      </c>
      <c r="K547" s="1">
        <v>10476.27</v>
      </c>
      <c r="L547" s="1">
        <v>0</v>
      </c>
      <c r="M547" s="1">
        <v>0</v>
      </c>
      <c r="N547" s="1">
        <v>10476.27</v>
      </c>
      <c r="O547" s="1" t="s">
        <v>24</v>
      </c>
      <c r="P547" s="1" t="s">
        <v>1096</v>
      </c>
      <c r="Q547" s="1">
        <v>1</v>
      </c>
      <c r="R547" s="1">
        <f>Retail_Sales_Analyis[[#This Row],[Final_Price]]-Retail_Sales_Analyis[[#This Row],[Total_Price]]</f>
        <v>0</v>
      </c>
      <c r="S5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48" spans="1:19" x14ac:dyDescent="0.25">
      <c r="A548" s="1" t="s">
        <v>1097</v>
      </c>
      <c r="B548" s="2">
        <v>45357</v>
      </c>
      <c r="C548" s="1" t="s">
        <v>61</v>
      </c>
      <c r="D548" s="1" t="s">
        <v>55</v>
      </c>
      <c r="E548" s="1" t="s">
        <v>312</v>
      </c>
      <c r="F548" s="1" t="s">
        <v>37</v>
      </c>
      <c r="G548" s="1" t="s">
        <v>31</v>
      </c>
      <c r="H548" s="1" t="s">
        <v>63</v>
      </c>
      <c r="I548" s="1">
        <v>130.07</v>
      </c>
      <c r="J548" s="1">
        <v>1</v>
      </c>
      <c r="K548" s="1">
        <v>130.07</v>
      </c>
      <c r="L548" s="1">
        <v>15</v>
      </c>
      <c r="M548" s="1">
        <v>19.510000000000002</v>
      </c>
      <c r="N548" s="1">
        <v>110.56</v>
      </c>
      <c r="O548" s="1" t="s">
        <v>80</v>
      </c>
      <c r="P548" s="1" t="s">
        <v>1098</v>
      </c>
      <c r="Q548" s="1">
        <v>2</v>
      </c>
      <c r="R548" s="1">
        <f>Retail_Sales_Analyis[[#This Row],[Final_Price]]-Retail_Sales_Analyis[[#This Row],[Total_Price]]</f>
        <v>-19.509999999999991</v>
      </c>
      <c r="S5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49" spans="1:19" x14ac:dyDescent="0.25">
      <c r="A549" s="1" t="s">
        <v>1099</v>
      </c>
      <c r="B549" s="2">
        <v>45390</v>
      </c>
      <c r="C549" s="1" t="s">
        <v>54</v>
      </c>
      <c r="D549" s="1" t="s">
        <v>43</v>
      </c>
      <c r="E549" s="1" t="s">
        <v>111</v>
      </c>
      <c r="F549" s="1" t="s">
        <v>69</v>
      </c>
      <c r="G549" s="1" t="s">
        <v>169</v>
      </c>
      <c r="H549" s="1" t="s">
        <v>348</v>
      </c>
      <c r="I549" s="1">
        <v>1128.42</v>
      </c>
      <c r="J549" s="1">
        <v>8</v>
      </c>
      <c r="K549" s="1">
        <v>9027.36</v>
      </c>
      <c r="L549" s="1">
        <v>0</v>
      </c>
      <c r="M549" s="1">
        <v>0</v>
      </c>
      <c r="N549" s="1">
        <v>9027.36</v>
      </c>
      <c r="O549" s="1" t="s">
        <v>80</v>
      </c>
      <c r="P549" s="1" t="s">
        <v>1100</v>
      </c>
      <c r="Q549" s="1">
        <v>1</v>
      </c>
      <c r="R549" s="1">
        <f>Retail_Sales_Analyis[[#This Row],[Final_Price]]-Retail_Sales_Analyis[[#This Row],[Total_Price]]</f>
        <v>0</v>
      </c>
      <c r="S5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0" spans="1:19" x14ac:dyDescent="0.25">
      <c r="A550" s="1" t="s">
        <v>1101</v>
      </c>
      <c r="B550" s="2">
        <v>45507</v>
      </c>
      <c r="C550" s="1" t="s">
        <v>93</v>
      </c>
      <c r="D550" s="1" t="s">
        <v>19</v>
      </c>
      <c r="E550" s="1" t="s">
        <v>261</v>
      </c>
      <c r="F550" s="1" t="s">
        <v>37</v>
      </c>
      <c r="G550" s="1" t="s">
        <v>57</v>
      </c>
      <c r="H550" s="1" t="s">
        <v>101</v>
      </c>
      <c r="I550" s="1">
        <v>1249.01</v>
      </c>
      <c r="J550" s="1">
        <v>4</v>
      </c>
      <c r="K550" s="1">
        <v>4996.04</v>
      </c>
      <c r="L550" s="1">
        <v>0</v>
      </c>
      <c r="M550" s="1">
        <v>0</v>
      </c>
      <c r="N550" s="1">
        <v>4996.04</v>
      </c>
      <c r="O550" s="1" t="s">
        <v>24</v>
      </c>
      <c r="P550" s="1" t="s">
        <v>1102</v>
      </c>
      <c r="Q550" s="1">
        <v>1</v>
      </c>
      <c r="R550" s="1">
        <f>Retail_Sales_Analyis[[#This Row],[Final_Price]]-Retail_Sales_Analyis[[#This Row],[Total_Price]]</f>
        <v>0</v>
      </c>
      <c r="S5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1" spans="1:19" x14ac:dyDescent="0.25">
      <c r="A551" s="1" t="s">
        <v>1103</v>
      </c>
      <c r="B551" s="2">
        <v>45632</v>
      </c>
      <c r="C551" s="1" t="s">
        <v>73</v>
      </c>
      <c r="D551" s="1" t="s">
        <v>144</v>
      </c>
      <c r="E551" s="1" t="s">
        <v>204</v>
      </c>
      <c r="F551" s="1" t="s">
        <v>21</v>
      </c>
      <c r="G551" s="1" t="s">
        <v>78</v>
      </c>
      <c r="H551" s="1" t="s">
        <v>146</v>
      </c>
      <c r="I551" s="1">
        <v>455.98</v>
      </c>
      <c r="J551" s="1">
        <v>2</v>
      </c>
      <c r="K551" s="1">
        <v>911.96</v>
      </c>
      <c r="L551" s="1">
        <v>0</v>
      </c>
      <c r="M551" s="1">
        <v>0</v>
      </c>
      <c r="N551" s="1">
        <v>911.96</v>
      </c>
      <c r="O551" s="1" t="s">
        <v>24</v>
      </c>
      <c r="P551" s="1" t="s">
        <v>1104</v>
      </c>
      <c r="Q551" s="1">
        <v>2</v>
      </c>
      <c r="R551" s="1">
        <f>Retail_Sales_Analyis[[#This Row],[Final_Price]]-Retail_Sales_Analyis[[#This Row],[Total_Price]]</f>
        <v>0</v>
      </c>
      <c r="S5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2" spans="1:19" x14ac:dyDescent="0.25">
      <c r="A552" s="1" t="s">
        <v>1105</v>
      </c>
      <c r="B552" s="2">
        <v>45486</v>
      </c>
      <c r="C552" s="1" t="s">
        <v>195</v>
      </c>
      <c r="D552" s="1" t="s">
        <v>19</v>
      </c>
      <c r="E552" s="1" t="s">
        <v>50</v>
      </c>
      <c r="F552" s="1" t="s">
        <v>21</v>
      </c>
      <c r="G552" s="1" t="s">
        <v>22</v>
      </c>
      <c r="H552" s="1" t="s">
        <v>187</v>
      </c>
      <c r="I552" s="1">
        <v>286.14999999999998</v>
      </c>
      <c r="J552" s="1">
        <v>6</v>
      </c>
      <c r="K552" s="1">
        <v>1716.9</v>
      </c>
      <c r="L552" s="1">
        <v>0</v>
      </c>
      <c r="M552" s="1">
        <v>0</v>
      </c>
      <c r="N552" s="1">
        <v>1716.9</v>
      </c>
      <c r="O552" s="1" t="s">
        <v>80</v>
      </c>
      <c r="P552" s="1" t="s">
        <v>1106</v>
      </c>
      <c r="Q552" s="1">
        <v>2</v>
      </c>
      <c r="R552" s="1">
        <f>Retail_Sales_Analyis[[#This Row],[Final_Price]]-Retail_Sales_Analyis[[#This Row],[Total_Price]]</f>
        <v>0</v>
      </c>
      <c r="S5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3" spans="1:19" x14ac:dyDescent="0.25">
      <c r="A553" s="1" t="s">
        <v>1107</v>
      </c>
      <c r="B553" s="2">
        <v>45638</v>
      </c>
      <c r="C553" s="1" t="s">
        <v>73</v>
      </c>
      <c r="D553" s="1" t="s">
        <v>67</v>
      </c>
      <c r="E553" s="1" t="s">
        <v>129</v>
      </c>
      <c r="F553" s="1" t="s">
        <v>37</v>
      </c>
      <c r="G553" s="1" t="s">
        <v>22</v>
      </c>
      <c r="H553" s="1" t="s">
        <v>51</v>
      </c>
      <c r="I553" s="1">
        <v>296.64</v>
      </c>
      <c r="J553" s="1">
        <v>4</v>
      </c>
      <c r="K553" s="1">
        <v>1186.56</v>
      </c>
      <c r="L553" s="1">
        <v>0</v>
      </c>
      <c r="M553" s="1">
        <v>0</v>
      </c>
      <c r="N553" s="1">
        <v>1186.56</v>
      </c>
      <c r="O553" s="1" t="s">
        <v>46</v>
      </c>
      <c r="P553" s="1" t="s">
        <v>710</v>
      </c>
      <c r="Q553" s="1">
        <v>3</v>
      </c>
      <c r="R553" s="1">
        <f>Retail_Sales_Analyis[[#This Row],[Final_Price]]-Retail_Sales_Analyis[[#This Row],[Total_Price]]</f>
        <v>0</v>
      </c>
      <c r="S5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4" spans="1:19" x14ac:dyDescent="0.25">
      <c r="A554" s="1" t="s">
        <v>1108</v>
      </c>
      <c r="B554" s="2">
        <v>45381</v>
      </c>
      <c r="C554" s="1" t="s">
        <v>61</v>
      </c>
      <c r="D554" s="1" t="s">
        <v>19</v>
      </c>
      <c r="E554" s="1" t="s">
        <v>20</v>
      </c>
      <c r="F554" s="1" t="s">
        <v>84</v>
      </c>
      <c r="G554" s="1" t="s">
        <v>78</v>
      </c>
      <c r="H554" s="1" t="s">
        <v>79</v>
      </c>
      <c r="I554" s="1">
        <v>325.13</v>
      </c>
      <c r="J554" s="1">
        <v>8</v>
      </c>
      <c r="K554" s="1">
        <v>2601.04</v>
      </c>
      <c r="L554" s="1">
        <v>0</v>
      </c>
      <c r="M554" s="1">
        <v>0</v>
      </c>
      <c r="N554" s="1">
        <v>2601.04</v>
      </c>
      <c r="O554" s="1" t="s">
        <v>24</v>
      </c>
      <c r="P554" s="1" t="s">
        <v>1109</v>
      </c>
      <c r="Q554" s="1">
        <v>3</v>
      </c>
      <c r="R554" s="1">
        <f>Retail_Sales_Analyis[[#This Row],[Final_Price]]-Retail_Sales_Analyis[[#This Row],[Total_Price]]</f>
        <v>0</v>
      </c>
      <c r="S5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5" spans="1:19" x14ac:dyDescent="0.25">
      <c r="A555" s="1" t="s">
        <v>1110</v>
      </c>
      <c r="B555" s="2">
        <v>45607</v>
      </c>
      <c r="C555" s="1" t="s">
        <v>18</v>
      </c>
      <c r="D555" s="1" t="s">
        <v>43</v>
      </c>
      <c r="E555" s="1" t="s">
        <v>542</v>
      </c>
      <c r="F555" s="1" t="s">
        <v>84</v>
      </c>
      <c r="G555" s="1" t="s">
        <v>112</v>
      </c>
      <c r="H555" s="1" t="s">
        <v>223</v>
      </c>
      <c r="I555" s="1">
        <v>1828.19</v>
      </c>
      <c r="J555" s="1">
        <v>7</v>
      </c>
      <c r="K555" s="1">
        <v>12797.33</v>
      </c>
      <c r="L555" s="1">
        <v>0</v>
      </c>
      <c r="M555" s="1">
        <v>0</v>
      </c>
      <c r="N555" s="1">
        <v>12797.33</v>
      </c>
      <c r="O555" s="1" t="s">
        <v>80</v>
      </c>
      <c r="P555" s="1" t="s">
        <v>1111</v>
      </c>
      <c r="Q555" s="1">
        <v>4</v>
      </c>
      <c r="R555" s="1">
        <f>Retail_Sales_Analyis[[#This Row],[Final_Price]]-Retail_Sales_Analyis[[#This Row],[Total_Price]]</f>
        <v>0</v>
      </c>
      <c r="S5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6" spans="1:19" x14ac:dyDescent="0.25">
      <c r="A556" s="1" t="s">
        <v>1112</v>
      </c>
      <c r="B556" s="2">
        <v>45583</v>
      </c>
      <c r="C556" s="1" t="s">
        <v>76</v>
      </c>
      <c r="D556" s="1" t="s">
        <v>144</v>
      </c>
      <c r="E556" s="1" t="s">
        <v>62</v>
      </c>
      <c r="F556" s="1" t="s">
        <v>21</v>
      </c>
      <c r="G556" s="1" t="s">
        <v>85</v>
      </c>
      <c r="H556" s="1" t="s">
        <v>180</v>
      </c>
      <c r="I556" s="1">
        <v>4836.1400000000003</v>
      </c>
      <c r="J556" s="1">
        <v>10</v>
      </c>
      <c r="K556" s="1">
        <v>48361.4</v>
      </c>
      <c r="L556" s="1">
        <v>0</v>
      </c>
      <c r="M556" s="1">
        <v>0</v>
      </c>
      <c r="N556" s="1">
        <v>48361.4</v>
      </c>
      <c r="O556" s="1" t="s">
        <v>33</v>
      </c>
      <c r="P556" s="1" t="s">
        <v>1113</v>
      </c>
      <c r="Q556" s="1">
        <v>2</v>
      </c>
      <c r="R556" s="1">
        <f>Retail_Sales_Analyis[[#This Row],[Final_Price]]-Retail_Sales_Analyis[[#This Row],[Total_Price]]</f>
        <v>0</v>
      </c>
      <c r="S5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7" spans="1:19" x14ac:dyDescent="0.25">
      <c r="A557" s="1" t="s">
        <v>1114</v>
      </c>
      <c r="B557" s="2">
        <v>45446</v>
      </c>
      <c r="C557" s="1" t="s">
        <v>173</v>
      </c>
      <c r="D557" s="1" t="s">
        <v>43</v>
      </c>
      <c r="E557" s="1" t="s">
        <v>121</v>
      </c>
      <c r="F557" s="1" t="s">
        <v>84</v>
      </c>
      <c r="G557" s="1" t="s">
        <v>78</v>
      </c>
      <c r="H557" s="1" t="s">
        <v>136</v>
      </c>
      <c r="I557" s="1">
        <v>180.38</v>
      </c>
      <c r="J557" s="1">
        <v>1</v>
      </c>
      <c r="K557" s="1">
        <v>180.38</v>
      </c>
      <c r="L557" s="1">
        <v>10</v>
      </c>
      <c r="M557" s="1">
        <v>18.04</v>
      </c>
      <c r="N557" s="1">
        <v>162.34</v>
      </c>
      <c r="O557" s="1" t="s">
        <v>80</v>
      </c>
      <c r="P557" s="1" t="s">
        <v>1115</v>
      </c>
      <c r="Q557" s="1">
        <v>4</v>
      </c>
      <c r="R557" s="1">
        <f>Retail_Sales_Analyis[[#This Row],[Final_Price]]-Retail_Sales_Analyis[[#This Row],[Total_Price]]</f>
        <v>-18.039999999999992</v>
      </c>
      <c r="S5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58" spans="1:19" x14ac:dyDescent="0.25">
      <c r="A558" s="1" t="s">
        <v>1116</v>
      </c>
      <c r="B558" s="2">
        <v>45499</v>
      </c>
      <c r="C558" s="1" t="s">
        <v>195</v>
      </c>
      <c r="D558" s="1" t="s">
        <v>144</v>
      </c>
      <c r="E558" s="1" t="s">
        <v>174</v>
      </c>
      <c r="F558" s="1" t="s">
        <v>37</v>
      </c>
      <c r="G558" s="1" t="s">
        <v>57</v>
      </c>
      <c r="H558" s="1" t="s">
        <v>122</v>
      </c>
      <c r="I558" s="1">
        <v>1844.91</v>
      </c>
      <c r="J558" s="1">
        <v>1</v>
      </c>
      <c r="K558" s="1">
        <v>1844.91</v>
      </c>
      <c r="L558" s="1">
        <v>0</v>
      </c>
      <c r="M558" s="1">
        <v>0</v>
      </c>
      <c r="N558" s="1">
        <v>1844.91</v>
      </c>
      <c r="O558" s="1" t="s">
        <v>24</v>
      </c>
      <c r="P558" s="1" t="s">
        <v>1117</v>
      </c>
      <c r="Q558" s="1">
        <v>5</v>
      </c>
      <c r="R558" s="1">
        <f>Retail_Sales_Analyis[[#This Row],[Final_Price]]-Retail_Sales_Analyis[[#This Row],[Total_Price]]</f>
        <v>0</v>
      </c>
      <c r="S5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59" spans="1:19" x14ac:dyDescent="0.25">
      <c r="A559" s="1" t="s">
        <v>1118</v>
      </c>
      <c r="B559" s="2">
        <v>45572</v>
      </c>
      <c r="C559" s="1" t="s">
        <v>76</v>
      </c>
      <c r="D559" s="1" t="s">
        <v>43</v>
      </c>
      <c r="E559" s="1" t="s">
        <v>307</v>
      </c>
      <c r="F559" s="1" t="s">
        <v>69</v>
      </c>
      <c r="G559" s="1" t="s">
        <v>57</v>
      </c>
      <c r="H559" s="1" t="s">
        <v>58</v>
      </c>
      <c r="I559" s="1">
        <v>2320.29</v>
      </c>
      <c r="J559" s="1">
        <v>10</v>
      </c>
      <c r="K559" s="1">
        <v>23202.9</v>
      </c>
      <c r="L559" s="1">
        <v>0</v>
      </c>
      <c r="M559" s="1">
        <v>0</v>
      </c>
      <c r="N559" s="1">
        <v>23202.9</v>
      </c>
      <c r="O559" s="1" t="s">
        <v>24</v>
      </c>
      <c r="P559" s="1" t="s">
        <v>155</v>
      </c>
      <c r="Q559" s="1">
        <v>2</v>
      </c>
      <c r="R559" s="1">
        <f>Retail_Sales_Analyis[[#This Row],[Final_Price]]-Retail_Sales_Analyis[[#This Row],[Total_Price]]</f>
        <v>0</v>
      </c>
      <c r="S5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0" spans="1:19" x14ac:dyDescent="0.25">
      <c r="A560" s="1" t="s">
        <v>1119</v>
      </c>
      <c r="B560" s="2">
        <v>45292</v>
      </c>
      <c r="C560" s="1" t="s">
        <v>36</v>
      </c>
      <c r="D560" s="1" t="s">
        <v>43</v>
      </c>
      <c r="E560" s="1" t="s">
        <v>117</v>
      </c>
      <c r="F560" s="1" t="s">
        <v>30</v>
      </c>
      <c r="G560" s="1" t="s">
        <v>57</v>
      </c>
      <c r="H560" s="1" t="s">
        <v>101</v>
      </c>
      <c r="I560" s="1">
        <v>1252.0899999999999</v>
      </c>
      <c r="J560" s="1">
        <v>1</v>
      </c>
      <c r="K560" s="1">
        <v>1252.0899999999999</v>
      </c>
      <c r="L560" s="1">
        <v>0</v>
      </c>
      <c r="M560" s="1">
        <v>0</v>
      </c>
      <c r="N560" s="1">
        <v>1252.0899999999999</v>
      </c>
      <c r="O560" s="1" t="s">
        <v>80</v>
      </c>
      <c r="P560" s="1" t="s">
        <v>200</v>
      </c>
      <c r="Q560" s="1">
        <v>4</v>
      </c>
      <c r="R560" s="1">
        <f>Retail_Sales_Analyis[[#This Row],[Final_Price]]-Retail_Sales_Analyis[[#This Row],[Total_Price]]</f>
        <v>0</v>
      </c>
      <c r="S5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1" spans="1:19" x14ac:dyDescent="0.25">
      <c r="A561" s="1" t="s">
        <v>1120</v>
      </c>
      <c r="B561" s="2">
        <v>45447</v>
      </c>
      <c r="C561" s="1" t="s">
        <v>173</v>
      </c>
      <c r="D561" s="1" t="s">
        <v>28</v>
      </c>
      <c r="E561" s="1" t="s">
        <v>174</v>
      </c>
      <c r="F561" s="1" t="s">
        <v>37</v>
      </c>
      <c r="G561" s="1" t="s">
        <v>38</v>
      </c>
      <c r="H561" s="1" t="s">
        <v>422</v>
      </c>
      <c r="I561" s="1">
        <v>550.52</v>
      </c>
      <c r="J561" s="1">
        <v>1</v>
      </c>
      <c r="K561" s="1">
        <v>550.52</v>
      </c>
      <c r="L561" s="1">
        <v>10</v>
      </c>
      <c r="M561" s="1">
        <v>55.05</v>
      </c>
      <c r="N561" s="1">
        <v>495.47</v>
      </c>
      <c r="O561" s="1" t="s">
        <v>33</v>
      </c>
      <c r="P561" s="1" t="s">
        <v>1121</v>
      </c>
      <c r="Q561" s="1">
        <v>3</v>
      </c>
      <c r="R561" s="1">
        <f>Retail_Sales_Analyis[[#This Row],[Final_Price]]-Retail_Sales_Analyis[[#This Row],[Total_Price]]</f>
        <v>-55.049999999999955</v>
      </c>
      <c r="S5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62" spans="1:19" x14ac:dyDescent="0.25">
      <c r="A562" s="1" t="s">
        <v>1122</v>
      </c>
      <c r="B562" s="2">
        <v>45438</v>
      </c>
      <c r="C562" s="1" t="s">
        <v>42</v>
      </c>
      <c r="D562" s="1" t="s">
        <v>49</v>
      </c>
      <c r="E562" s="1" t="s">
        <v>89</v>
      </c>
      <c r="F562" s="1" t="s">
        <v>69</v>
      </c>
      <c r="G562" s="1" t="s">
        <v>78</v>
      </c>
      <c r="H562" s="1" t="s">
        <v>323</v>
      </c>
      <c r="I562" s="1">
        <v>259.01</v>
      </c>
      <c r="J562" s="1">
        <v>9</v>
      </c>
      <c r="K562" s="1">
        <v>2331.09</v>
      </c>
      <c r="L562" s="1">
        <v>0</v>
      </c>
      <c r="M562" s="1">
        <v>0</v>
      </c>
      <c r="N562" s="1">
        <v>2331.09</v>
      </c>
      <c r="O562" s="1" t="s">
        <v>64</v>
      </c>
      <c r="P562" s="1" t="s">
        <v>1123</v>
      </c>
      <c r="Q562" s="1">
        <v>2</v>
      </c>
      <c r="R562" s="1">
        <f>Retail_Sales_Analyis[[#This Row],[Final_Price]]-Retail_Sales_Analyis[[#This Row],[Total_Price]]</f>
        <v>0</v>
      </c>
      <c r="S5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3" spans="1:19" x14ac:dyDescent="0.25">
      <c r="A563" s="1" t="s">
        <v>1124</v>
      </c>
      <c r="B563" s="2">
        <v>45399</v>
      </c>
      <c r="C563" s="1" t="s">
        <v>54</v>
      </c>
      <c r="D563" s="1" t="s">
        <v>55</v>
      </c>
      <c r="E563" s="1" t="s">
        <v>186</v>
      </c>
      <c r="F563" s="1" t="s">
        <v>37</v>
      </c>
      <c r="G563" s="1" t="s">
        <v>78</v>
      </c>
      <c r="H563" s="1" t="s">
        <v>146</v>
      </c>
      <c r="I563" s="1">
        <v>349.06</v>
      </c>
      <c r="J563" s="1">
        <v>1</v>
      </c>
      <c r="K563" s="1">
        <v>349.06</v>
      </c>
      <c r="L563" s="1">
        <v>0</v>
      </c>
      <c r="M563" s="1">
        <v>0</v>
      </c>
      <c r="N563" s="1">
        <v>349.06</v>
      </c>
      <c r="O563" s="1" t="s">
        <v>33</v>
      </c>
      <c r="P563" s="1" t="s">
        <v>1125</v>
      </c>
      <c r="Q563" s="1">
        <v>1</v>
      </c>
      <c r="R563" s="1">
        <f>Retail_Sales_Analyis[[#This Row],[Final_Price]]-Retail_Sales_Analyis[[#This Row],[Total_Price]]</f>
        <v>0</v>
      </c>
      <c r="S5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4" spans="1:19" x14ac:dyDescent="0.25">
      <c r="A564" s="1" t="s">
        <v>1126</v>
      </c>
      <c r="B564" s="2">
        <v>45512</v>
      </c>
      <c r="C564" s="1" t="s">
        <v>93</v>
      </c>
      <c r="D564" s="1" t="s">
        <v>67</v>
      </c>
      <c r="E564" s="1" t="s">
        <v>29</v>
      </c>
      <c r="F564" s="1" t="s">
        <v>84</v>
      </c>
      <c r="G564" s="1" t="s">
        <v>85</v>
      </c>
      <c r="H564" s="1" t="s">
        <v>98</v>
      </c>
      <c r="I564" s="1">
        <v>1502.24</v>
      </c>
      <c r="J564" s="1">
        <v>3</v>
      </c>
      <c r="K564" s="1">
        <v>4506.72</v>
      </c>
      <c r="L564" s="1">
        <v>10</v>
      </c>
      <c r="M564" s="1">
        <v>450.67</v>
      </c>
      <c r="N564" s="1">
        <v>4056.05</v>
      </c>
      <c r="O564" s="1" t="s">
        <v>80</v>
      </c>
      <c r="P564" s="1" t="s">
        <v>586</v>
      </c>
      <c r="Q564" s="1">
        <v>2</v>
      </c>
      <c r="R564" s="1">
        <f>Retail_Sales_Analyis[[#This Row],[Final_Price]]-Retail_Sales_Analyis[[#This Row],[Total_Price]]</f>
        <v>-450.67000000000007</v>
      </c>
      <c r="S5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65" spans="1:19" x14ac:dyDescent="0.25">
      <c r="A565" s="1" t="s">
        <v>1127</v>
      </c>
      <c r="B565" s="2">
        <v>45588</v>
      </c>
      <c r="C565" s="1" t="s">
        <v>76</v>
      </c>
      <c r="D565" s="1" t="s">
        <v>55</v>
      </c>
      <c r="E565" s="1" t="s">
        <v>89</v>
      </c>
      <c r="F565" s="1" t="s">
        <v>21</v>
      </c>
      <c r="G565" s="1" t="s">
        <v>22</v>
      </c>
      <c r="H565" s="1" t="s">
        <v>51</v>
      </c>
      <c r="I565" s="1">
        <v>449.17</v>
      </c>
      <c r="J565" s="1">
        <v>4</v>
      </c>
      <c r="K565" s="1">
        <v>1796.68</v>
      </c>
      <c r="L565" s="1">
        <v>0</v>
      </c>
      <c r="M565" s="1">
        <v>0</v>
      </c>
      <c r="N565" s="1">
        <v>1796.68</v>
      </c>
      <c r="O565" s="1" t="s">
        <v>33</v>
      </c>
      <c r="P565" s="1" t="s">
        <v>469</v>
      </c>
      <c r="Q565" s="1">
        <v>2</v>
      </c>
      <c r="R565" s="1">
        <f>Retail_Sales_Analyis[[#This Row],[Final_Price]]-Retail_Sales_Analyis[[#This Row],[Total_Price]]</f>
        <v>0</v>
      </c>
      <c r="S5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6" spans="1:19" x14ac:dyDescent="0.25">
      <c r="A566" s="1" t="s">
        <v>1128</v>
      </c>
      <c r="B566" s="2">
        <v>45602</v>
      </c>
      <c r="C566" s="1" t="s">
        <v>18</v>
      </c>
      <c r="D566" s="1" t="s">
        <v>55</v>
      </c>
      <c r="E566" s="1" t="s">
        <v>307</v>
      </c>
      <c r="F566" s="1" t="s">
        <v>69</v>
      </c>
      <c r="G566" s="1" t="s">
        <v>38</v>
      </c>
      <c r="H566" s="1" t="s">
        <v>70</v>
      </c>
      <c r="I566" s="1">
        <v>413.79</v>
      </c>
      <c r="J566" s="1">
        <v>4</v>
      </c>
      <c r="K566" s="1">
        <v>1655.16</v>
      </c>
      <c r="L566" s="1">
        <v>0</v>
      </c>
      <c r="M566" s="1">
        <v>0</v>
      </c>
      <c r="N566" s="1">
        <v>1655.16</v>
      </c>
      <c r="O566" s="1" t="s">
        <v>33</v>
      </c>
      <c r="P566" s="1" t="s">
        <v>1129</v>
      </c>
      <c r="Q566" s="1">
        <v>1</v>
      </c>
      <c r="R566" s="1">
        <f>Retail_Sales_Analyis[[#This Row],[Final_Price]]-Retail_Sales_Analyis[[#This Row],[Total_Price]]</f>
        <v>0</v>
      </c>
      <c r="S5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67" spans="1:19" x14ac:dyDescent="0.25">
      <c r="A567" s="1" t="s">
        <v>1130</v>
      </c>
      <c r="B567" s="2">
        <v>45627</v>
      </c>
      <c r="C567" s="1" t="s">
        <v>73</v>
      </c>
      <c r="D567" s="1" t="s">
        <v>49</v>
      </c>
      <c r="E567" s="1" t="s">
        <v>83</v>
      </c>
      <c r="F567" s="1" t="s">
        <v>37</v>
      </c>
      <c r="G567" s="1" t="s">
        <v>85</v>
      </c>
      <c r="H567" s="1" t="s">
        <v>86</v>
      </c>
      <c r="I567" s="1">
        <v>2765.5</v>
      </c>
      <c r="J567" s="1">
        <v>9</v>
      </c>
      <c r="K567" s="1">
        <v>24889.5</v>
      </c>
      <c r="L567" s="1">
        <v>10</v>
      </c>
      <c r="M567" s="1">
        <v>2488.9499999999998</v>
      </c>
      <c r="N567" s="1">
        <v>22400.55</v>
      </c>
      <c r="O567" s="1" t="s">
        <v>33</v>
      </c>
      <c r="P567" s="1" t="s">
        <v>435</v>
      </c>
      <c r="Q567" s="1">
        <v>2</v>
      </c>
      <c r="R567" s="1">
        <f>Retail_Sales_Analyis[[#This Row],[Final_Price]]-Retail_Sales_Analyis[[#This Row],[Total_Price]]</f>
        <v>-2488.9500000000007</v>
      </c>
      <c r="S5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68" spans="1:19" x14ac:dyDescent="0.25">
      <c r="A568" s="1" t="s">
        <v>1131</v>
      </c>
      <c r="B568" s="2">
        <v>45456</v>
      </c>
      <c r="C568" s="1" t="s">
        <v>173</v>
      </c>
      <c r="D568" s="1" t="s">
        <v>67</v>
      </c>
      <c r="E568" s="1" t="s">
        <v>163</v>
      </c>
      <c r="F568" s="1" t="s">
        <v>21</v>
      </c>
      <c r="G568" s="1" t="s">
        <v>22</v>
      </c>
      <c r="H568" s="1" t="s">
        <v>51</v>
      </c>
      <c r="I568" s="1">
        <v>883.23</v>
      </c>
      <c r="J568" s="1">
        <v>5</v>
      </c>
      <c r="K568" s="1">
        <v>4416.1499999999996</v>
      </c>
      <c r="L568" s="1">
        <v>10</v>
      </c>
      <c r="M568" s="1">
        <v>441.62</v>
      </c>
      <c r="N568" s="1">
        <v>3974.53</v>
      </c>
      <c r="O568" s="1" t="s">
        <v>80</v>
      </c>
      <c r="P568" s="1" t="s">
        <v>1132</v>
      </c>
      <c r="Q568" s="1">
        <v>2</v>
      </c>
      <c r="R568" s="1">
        <f>Retail_Sales_Analyis[[#This Row],[Final_Price]]-Retail_Sales_Analyis[[#This Row],[Total_Price]]</f>
        <v>-441.61999999999944</v>
      </c>
      <c r="S5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69" spans="1:19" x14ac:dyDescent="0.25">
      <c r="A569" s="1" t="s">
        <v>1133</v>
      </c>
      <c r="B569" s="2">
        <v>45530</v>
      </c>
      <c r="C569" s="1" t="s">
        <v>93</v>
      </c>
      <c r="D569" s="1" t="s">
        <v>43</v>
      </c>
      <c r="E569" s="1" t="s">
        <v>83</v>
      </c>
      <c r="F569" s="1" t="s">
        <v>37</v>
      </c>
      <c r="G569" s="1" t="s">
        <v>22</v>
      </c>
      <c r="H569" s="1" t="s">
        <v>51</v>
      </c>
      <c r="I569" s="1">
        <v>444.68</v>
      </c>
      <c r="J569" s="1">
        <v>5</v>
      </c>
      <c r="K569" s="1">
        <v>2223.4</v>
      </c>
      <c r="L569" s="1">
        <v>5</v>
      </c>
      <c r="M569" s="1">
        <v>111.17</v>
      </c>
      <c r="N569" s="1">
        <v>2112.23</v>
      </c>
      <c r="O569" s="1" t="s">
        <v>80</v>
      </c>
      <c r="P569" s="1" t="s">
        <v>1134</v>
      </c>
      <c r="Q569" s="1">
        <v>5</v>
      </c>
      <c r="R569" s="1">
        <f>Retail_Sales_Analyis[[#This Row],[Final_Price]]-Retail_Sales_Analyis[[#This Row],[Total_Price]]</f>
        <v>-111.17000000000007</v>
      </c>
      <c r="S5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70" spans="1:19" x14ac:dyDescent="0.25">
      <c r="A570" s="1" t="s">
        <v>1135</v>
      </c>
      <c r="B570" s="2">
        <v>45518</v>
      </c>
      <c r="C570" s="1" t="s">
        <v>93</v>
      </c>
      <c r="D570" s="1" t="s">
        <v>55</v>
      </c>
      <c r="E570" s="1" t="s">
        <v>204</v>
      </c>
      <c r="F570" s="1" t="s">
        <v>30</v>
      </c>
      <c r="G570" s="1" t="s">
        <v>85</v>
      </c>
      <c r="H570" s="1" t="s">
        <v>86</v>
      </c>
      <c r="I570" s="1">
        <v>1782.86</v>
      </c>
      <c r="J570" s="1">
        <v>4</v>
      </c>
      <c r="K570" s="1">
        <v>7131.44</v>
      </c>
      <c r="L570" s="1">
        <v>0</v>
      </c>
      <c r="M570" s="1">
        <v>0</v>
      </c>
      <c r="N570" s="1">
        <v>7131.44</v>
      </c>
      <c r="O570" s="1" t="s">
        <v>24</v>
      </c>
      <c r="P570" s="1" t="s">
        <v>1136</v>
      </c>
      <c r="Q570" s="1">
        <v>5</v>
      </c>
      <c r="R570" s="1">
        <f>Retail_Sales_Analyis[[#This Row],[Final_Price]]-Retail_Sales_Analyis[[#This Row],[Total_Price]]</f>
        <v>0</v>
      </c>
      <c r="S5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71" spans="1:19" x14ac:dyDescent="0.25">
      <c r="A571" s="1" t="s">
        <v>1137</v>
      </c>
      <c r="B571" s="2">
        <v>45518</v>
      </c>
      <c r="C571" s="1" t="s">
        <v>93</v>
      </c>
      <c r="D571" s="1" t="s">
        <v>55</v>
      </c>
      <c r="E571" s="1" t="s">
        <v>20</v>
      </c>
      <c r="F571" s="1" t="s">
        <v>84</v>
      </c>
      <c r="G571" s="1" t="s">
        <v>22</v>
      </c>
      <c r="H571" s="1" t="s">
        <v>51</v>
      </c>
      <c r="I571" s="1">
        <v>952.23</v>
      </c>
      <c r="J571" s="1">
        <v>6</v>
      </c>
      <c r="K571" s="1">
        <v>5713.38</v>
      </c>
      <c r="L571" s="1">
        <v>5</v>
      </c>
      <c r="M571" s="1">
        <v>285.67</v>
      </c>
      <c r="N571" s="1">
        <v>5427.71</v>
      </c>
      <c r="O571" s="1" t="s">
        <v>33</v>
      </c>
      <c r="P571" s="1" t="s">
        <v>1138</v>
      </c>
      <c r="Q571" s="1">
        <v>3</v>
      </c>
      <c r="R571" s="1">
        <f>Retail_Sales_Analyis[[#This Row],[Final_Price]]-Retail_Sales_Analyis[[#This Row],[Total_Price]]</f>
        <v>-285.67000000000007</v>
      </c>
      <c r="S5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72" spans="1:19" x14ac:dyDescent="0.25">
      <c r="A572" s="1" t="s">
        <v>1139</v>
      </c>
      <c r="B572" s="2">
        <v>45637</v>
      </c>
      <c r="C572" s="1" t="s">
        <v>73</v>
      </c>
      <c r="D572" s="1" t="s">
        <v>55</v>
      </c>
      <c r="E572" s="1" t="s">
        <v>186</v>
      </c>
      <c r="F572" s="1" t="s">
        <v>69</v>
      </c>
      <c r="G572" s="1" t="s">
        <v>22</v>
      </c>
      <c r="H572" s="1" t="s">
        <v>133</v>
      </c>
      <c r="I572" s="1">
        <v>993.98</v>
      </c>
      <c r="J572" s="1">
        <v>2</v>
      </c>
      <c r="K572" s="1">
        <v>1987.96</v>
      </c>
      <c r="L572" s="1">
        <v>5</v>
      </c>
      <c r="M572" s="1">
        <v>99.4</v>
      </c>
      <c r="N572" s="1">
        <v>1888.56</v>
      </c>
      <c r="O572" s="1" t="s">
        <v>80</v>
      </c>
      <c r="P572" s="1" t="s">
        <v>298</v>
      </c>
      <c r="Q572" s="1">
        <v>2</v>
      </c>
      <c r="R572" s="1">
        <f>Retail_Sales_Analyis[[#This Row],[Final_Price]]-Retail_Sales_Analyis[[#This Row],[Total_Price]]</f>
        <v>-99.400000000000091</v>
      </c>
      <c r="S5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73" spans="1:19" x14ac:dyDescent="0.25">
      <c r="A573" s="1" t="s">
        <v>1140</v>
      </c>
      <c r="B573" s="2">
        <v>45401</v>
      </c>
      <c r="C573" s="1" t="s">
        <v>54</v>
      </c>
      <c r="D573" s="1" t="s">
        <v>144</v>
      </c>
      <c r="E573" s="1" t="s">
        <v>20</v>
      </c>
      <c r="F573" s="1" t="s">
        <v>69</v>
      </c>
      <c r="G573" s="1" t="s">
        <v>38</v>
      </c>
      <c r="H573" s="1" t="s">
        <v>422</v>
      </c>
      <c r="I573" s="1">
        <v>456.73</v>
      </c>
      <c r="J573" s="1">
        <v>8</v>
      </c>
      <c r="K573" s="1">
        <v>3653.84</v>
      </c>
      <c r="L573" s="1">
        <v>15</v>
      </c>
      <c r="M573" s="1">
        <v>548.08000000000004</v>
      </c>
      <c r="N573" s="1">
        <v>3105.76</v>
      </c>
      <c r="O573" s="1" t="s">
        <v>46</v>
      </c>
      <c r="P573" s="1" t="s">
        <v>855</v>
      </c>
      <c r="Q573" s="1">
        <v>1</v>
      </c>
      <c r="R573" s="1">
        <f>Retail_Sales_Analyis[[#This Row],[Final_Price]]-Retail_Sales_Analyis[[#This Row],[Total_Price]]</f>
        <v>-548.07999999999993</v>
      </c>
      <c r="S5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74" spans="1:19" x14ac:dyDescent="0.25">
      <c r="A574" s="1" t="s">
        <v>1141</v>
      </c>
      <c r="B574" s="2">
        <v>45553</v>
      </c>
      <c r="C574" s="1" t="s">
        <v>116</v>
      </c>
      <c r="D574" s="1" t="s">
        <v>55</v>
      </c>
      <c r="E574" s="1" t="s">
        <v>168</v>
      </c>
      <c r="F574" s="1" t="s">
        <v>21</v>
      </c>
      <c r="G574" s="1" t="s">
        <v>22</v>
      </c>
      <c r="H574" s="1" t="s">
        <v>23</v>
      </c>
      <c r="I574" s="1">
        <v>393.88</v>
      </c>
      <c r="J574" s="1">
        <v>1</v>
      </c>
      <c r="K574" s="1">
        <v>393.88</v>
      </c>
      <c r="L574" s="1">
        <v>20</v>
      </c>
      <c r="M574" s="1">
        <v>78.78</v>
      </c>
      <c r="N574" s="1">
        <v>315.10000000000002</v>
      </c>
      <c r="O574" s="1" t="s">
        <v>46</v>
      </c>
      <c r="P574" s="1" t="s">
        <v>1142</v>
      </c>
      <c r="Q574" s="1">
        <v>1</v>
      </c>
      <c r="R574" s="1">
        <f>Retail_Sales_Analyis[[#This Row],[Final_Price]]-Retail_Sales_Analyis[[#This Row],[Total_Price]]</f>
        <v>-78.779999999999973</v>
      </c>
      <c r="S57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75" spans="1:19" x14ac:dyDescent="0.25">
      <c r="A575" s="1" t="s">
        <v>1143</v>
      </c>
      <c r="B575" s="2">
        <v>45534</v>
      </c>
      <c r="C575" s="1" t="s">
        <v>93</v>
      </c>
      <c r="D575" s="1" t="s">
        <v>144</v>
      </c>
      <c r="E575" s="1" t="s">
        <v>322</v>
      </c>
      <c r="F575" s="1" t="s">
        <v>37</v>
      </c>
      <c r="G575" s="1" t="s">
        <v>31</v>
      </c>
      <c r="H575" s="1" t="s">
        <v>250</v>
      </c>
      <c r="I575" s="1">
        <v>164.43</v>
      </c>
      <c r="J575" s="1">
        <v>10</v>
      </c>
      <c r="K575" s="1">
        <v>1644.3</v>
      </c>
      <c r="L575" s="1">
        <v>10</v>
      </c>
      <c r="M575" s="1">
        <v>164.43</v>
      </c>
      <c r="N575" s="1">
        <v>1479.87</v>
      </c>
      <c r="O575" s="1" t="s">
        <v>64</v>
      </c>
      <c r="P575" s="1" t="s">
        <v>967</v>
      </c>
      <c r="Q575" s="1">
        <v>1</v>
      </c>
      <c r="R575" s="1">
        <f>Retail_Sales_Analyis[[#This Row],[Final_Price]]-Retail_Sales_Analyis[[#This Row],[Total_Price]]</f>
        <v>-164.43000000000006</v>
      </c>
      <c r="S5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76" spans="1:19" x14ac:dyDescent="0.25">
      <c r="A576" s="1" t="s">
        <v>1144</v>
      </c>
      <c r="B576" s="2">
        <v>45378</v>
      </c>
      <c r="C576" s="1" t="s">
        <v>61</v>
      </c>
      <c r="D576" s="1" t="s">
        <v>55</v>
      </c>
      <c r="E576" s="1" t="s">
        <v>236</v>
      </c>
      <c r="F576" s="1" t="s">
        <v>69</v>
      </c>
      <c r="G576" s="1" t="s">
        <v>22</v>
      </c>
      <c r="H576" s="1" t="s">
        <v>51</v>
      </c>
      <c r="I576" s="1">
        <v>764.86</v>
      </c>
      <c r="J576" s="1">
        <v>2</v>
      </c>
      <c r="K576" s="1">
        <v>1529.72</v>
      </c>
      <c r="L576" s="1">
        <v>10</v>
      </c>
      <c r="M576" s="1">
        <v>152.97</v>
      </c>
      <c r="N576" s="1">
        <v>1376.75</v>
      </c>
      <c r="O576" s="1" t="s">
        <v>64</v>
      </c>
      <c r="P576" s="1" t="s">
        <v>1145</v>
      </c>
      <c r="Q576" s="1">
        <v>4</v>
      </c>
      <c r="R576" s="1">
        <f>Retail_Sales_Analyis[[#This Row],[Final_Price]]-Retail_Sales_Analyis[[#This Row],[Total_Price]]</f>
        <v>-152.97000000000003</v>
      </c>
      <c r="S5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77" spans="1:19" x14ac:dyDescent="0.25">
      <c r="A577" s="1" t="s">
        <v>1146</v>
      </c>
      <c r="B577" s="2">
        <v>45629</v>
      </c>
      <c r="C577" s="1" t="s">
        <v>73</v>
      </c>
      <c r="D577" s="1" t="s">
        <v>28</v>
      </c>
      <c r="E577" s="1" t="s">
        <v>174</v>
      </c>
      <c r="F577" s="1" t="s">
        <v>37</v>
      </c>
      <c r="G577" s="1" t="s">
        <v>38</v>
      </c>
      <c r="H577" s="1" t="s">
        <v>70</v>
      </c>
      <c r="I577" s="1">
        <v>777.38</v>
      </c>
      <c r="J577" s="1">
        <v>7</v>
      </c>
      <c r="K577" s="1">
        <v>5441.66</v>
      </c>
      <c r="L577" s="1">
        <v>10</v>
      </c>
      <c r="M577" s="1">
        <v>544.16999999999996</v>
      </c>
      <c r="N577" s="1">
        <v>4897.49</v>
      </c>
      <c r="O577" s="1" t="s">
        <v>46</v>
      </c>
      <c r="P577" s="1" t="s">
        <v>562</v>
      </c>
      <c r="Q577" s="1">
        <v>4</v>
      </c>
      <c r="R577" s="1">
        <f>Retail_Sales_Analyis[[#This Row],[Final_Price]]-Retail_Sales_Analyis[[#This Row],[Total_Price]]</f>
        <v>-544.17000000000007</v>
      </c>
      <c r="S5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78" spans="1:19" x14ac:dyDescent="0.25">
      <c r="A578" s="1" t="s">
        <v>1147</v>
      </c>
      <c r="B578" s="2">
        <v>45335</v>
      </c>
      <c r="C578" s="1" t="s">
        <v>27</v>
      </c>
      <c r="D578" s="1" t="s">
        <v>28</v>
      </c>
      <c r="E578" s="1" t="s">
        <v>157</v>
      </c>
      <c r="F578" s="1" t="s">
        <v>21</v>
      </c>
      <c r="G578" s="1" t="s">
        <v>78</v>
      </c>
      <c r="H578" s="1" t="s">
        <v>146</v>
      </c>
      <c r="I578" s="1">
        <v>271.06</v>
      </c>
      <c r="J578" s="1">
        <v>4</v>
      </c>
      <c r="K578" s="1">
        <v>1084.24</v>
      </c>
      <c r="L578" s="1">
        <v>15</v>
      </c>
      <c r="M578" s="1">
        <v>162.63999999999999</v>
      </c>
      <c r="N578" s="1">
        <v>921.6</v>
      </c>
      <c r="O578" s="1" t="s">
        <v>33</v>
      </c>
      <c r="P578" s="1" t="s">
        <v>896</v>
      </c>
      <c r="Q578" s="1">
        <v>3</v>
      </c>
      <c r="R578" s="1">
        <f>Retail_Sales_Analyis[[#This Row],[Final_Price]]-Retail_Sales_Analyis[[#This Row],[Total_Price]]</f>
        <v>-162.63999999999999</v>
      </c>
      <c r="S5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79" spans="1:19" x14ac:dyDescent="0.25">
      <c r="A579" s="1" t="s">
        <v>1148</v>
      </c>
      <c r="B579" s="2">
        <v>45437</v>
      </c>
      <c r="C579" s="1" t="s">
        <v>42</v>
      </c>
      <c r="D579" s="1" t="s">
        <v>19</v>
      </c>
      <c r="E579" s="1" t="s">
        <v>204</v>
      </c>
      <c r="F579" s="1" t="s">
        <v>69</v>
      </c>
      <c r="G579" s="1" t="s">
        <v>31</v>
      </c>
      <c r="H579" s="1" t="s">
        <v>329</v>
      </c>
      <c r="I579" s="1">
        <v>93.59</v>
      </c>
      <c r="J579" s="1">
        <v>7</v>
      </c>
      <c r="K579" s="1">
        <v>655.13</v>
      </c>
      <c r="L579" s="1">
        <v>10</v>
      </c>
      <c r="M579" s="1">
        <v>65.510000000000005</v>
      </c>
      <c r="N579" s="1">
        <v>589.62</v>
      </c>
      <c r="O579" s="1" t="s">
        <v>33</v>
      </c>
      <c r="P579" s="1" t="s">
        <v>1149</v>
      </c>
      <c r="Q579" s="1">
        <v>3</v>
      </c>
      <c r="R579" s="1">
        <f>Retail_Sales_Analyis[[#This Row],[Final_Price]]-Retail_Sales_Analyis[[#This Row],[Total_Price]]</f>
        <v>-65.509999999999991</v>
      </c>
      <c r="S5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80" spans="1:19" x14ac:dyDescent="0.25">
      <c r="A580" s="1" t="s">
        <v>1150</v>
      </c>
      <c r="B580" s="2">
        <v>45555</v>
      </c>
      <c r="C580" s="1" t="s">
        <v>116</v>
      </c>
      <c r="D580" s="1" t="s">
        <v>144</v>
      </c>
      <c r="E580" s="1" t="s">
        <v>213</v>
      </c>
      <c r="F580" s="1" t="s">
        <v>37</v>
      </c>
      <c r="G580" s="1" t="s">
        <v>85</v>
      </c>
      <c r="H580" s="1" t="s">
        <v>180</v>
      </c>
      <c r="I580" s="1">
        <v>1745.6</v>
      </c>
      <c r="J580" s="1">
        <v>3</v>
      </c>
      <c r="K580" s="1">
        <v>5236.8</v>
      </c>
      <c r="L580" s="1">
        <v>0</v>
      </c>
      <c r="M580" s="1">
        <v>0</v>
      </c>
      <c r="N580" s="1">
        <v>5236.8</v>
      </c>
      <c r="O580" s="1" t="s">
        <v>33</v>
      </c>
      <c r="P580" s="1" t="s">
        <v>1151</v>
      </c>
      <c r="Q580" s="1">
        <v>2</v>
      </c>
      <c r="R580" s="1">
        <f>Retail_Sales_Analyis[[#This Row],[Final_Price]]-Retail_Sales_Analyis[[#This Row],[Total_Price]]</f>
        <v>0</v>
      </c>
      <c r="S5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81" spans="1:19" x14ac:dyDescent="0.25">
      <c r="A581" s="1" t="s">
        <v>1152</v>
      </c>
      <c r="B581" s="2">
        <v>45631</v>
      </c>
      <c r="C581" s="1" t="s">
        <v>73</v>
      </c>
      <c r="D581" s="1" t="s">
        <v>67</v>
      </c>
      <c r="E581" s="1" t="s">
        <v>261</v>
      </c>
      <c r="F581" s="1" t="s">
        <v>69</v>
      </c>
      <c r="G581" s="1" t="s">
        <v>57</v>
      </c>
      <c r="H581" s="1" t="s">
        <v>101</v>
      </c>
      <c r="I581" s="1">
        <v>762.63</v>
      </c>
      <c r="J581" s="1">
        <v>3</v>
      </c>
      <c r="K581" s="1">
        <v>2287.89</v>
      </c>
      <c r="L581" s="1">
        <v>20</v>
      </c>
      <c r="M581" s="1">
        <v>457.58</v>
      </c>
      <c r="N581" s="1">
        <v>1830.31</v>
      </c>
      <c r="O581" s="1" t="s">
        <v>64</v>
      </c>
      <c r="P581" s="1" t="s">
        <v>1153</v>
      </c>
      <c r="Q581" s="1">
        <v>3</v>
      </c>
      <c r="R581" s="1">
        <f>Retail_Sales_Analyis[[#This Row],[Final_Price]]-Retail_Sales_Analyis[[#This Row],[Total_Price]]</f>
        <v>-457.57999999999993</v>
      </c>
      <c r="S5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82" spans="1:19" x14ac:dyDescent="0.25">
      <c r="A582" s="1" t="s">
        <v>1154</v>
      </c>
      <c r="B582" s="2">
        <v>45616</v>
      </c>
      <c r="C582" s="1" t="s">
        <v>18</v>
      </c>
      <c r="D582" s="1" t="s">
        <v>55</v>
      </c>
      <c r="E582" s="1" t="s">
        <v>192</v>
      </c>
      <c r="F582" s="1" t="s">
        <v>30</v>
      </c>
      <c r="G582" s="1" t="s">
        <v>169</v>
      </c>
      <c r="H582" s="1" t="s">
        <v>366</v>
      </c>
      <c r="I582" s="1">
        <v>395.77</v>
      </c>
      <c r="J582" s="1">
        <v>2</v>
      </c>
      <c r="K582" s="1">
        <v>791.54</v>
      </c>
      <c r="L582" s="1">
        <v>5</v>
      </c>
      <c r="M582" s="1">
        <v>39.58</v>
      </c>
      <c r="N582" s="1">
        <v>751.96</v>
      </c>
      <c r="O582" s="1" t="s">
        <v>24</v>
      </c>
      <c r="P582" s="1" t="s">
        <v>1155</v>
      </c>
      <c r="Q582" s="1">
        <v>3</v>
      </c>
      <c r="R582" s="1">
        <f>Retail_Sales_Analyis[[#This Row],[Final_Price]]-Retail_Sales_Analyis[[#This Row],[Total_Price]]</f>
        <v>-39.579999999999927</v>
      </c>
      <c r="S5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83" spans="1:19" x14ac:dyDescent="0.25">
      <c r="A583" s="1" t="s">
        <v>1156</v>
      </c>
      <c r="B583" s="2">
        <v>45609</v>
      </c>
      <c r="C583" s="1" t="s">
        <v>18</v>
      </c>
      <c r="D583" s="1" t="s">
        <v>55</v>
      </c>
      <c r="E583" s="1" t="s">
        <v>174</v>
      </c>
      <c r="F583" s="1" t="s">
        <v>37</v>
      </c>
      <c r="G583" s="1" t="s">
        <v>57</v>
      </c>
      <c r="H583" s="1" t="s">
        <v>58</v>
      </c>
      <c r="I583" s="1">
        <v>1558.54</v>
      </c>
      <c r="J583" s="1">
        <v>2</v>
      </c>
      <c r="K583" s="1">
        <v>3117.08</v>
      </c>
      <c r="L583" s="1">
        <v>0</v>
      </c>
      <c r="M583" s="1">
        <v>0</v>
      </c>
      <c r="N583" s="1">
        <v>3117.08</v>
      </c>
      <c r="O583" s="1" t="s">
        <v>24</v>
      </c>
      <c r="P583" s="1" t="s">
        <v>697</v>
      </c>
      <c r="Q583" s="1">
        <v>3</v>
      </c>
      <c r="R583" s="1">
        <f>Retail_Sales_Analyis[[#This Row],[Final_Price]]-Retail_Sales_Analyis[[#This Row],[Total_Price]]</f>
        <v>0</v>
      </c>
      <c r="S5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84" spans="1:19" x14ac:dyDescent="0.25">
      <c r="A584" s="1" t="s">
        <v>1157</v>
      </c>
      <c r="B584" s="2">
        <v>45463</v>
      </c>
      <c r="C584" s="1" t="s">
        <v>173</v>
      </c>
      <c r="D584" s="1" t="s">
        <v>67</v>
      </c>
      <c r="E584" s="1" t="s">
        <v>174</v>
      </c>
      <c r="F584" s="1" t="s">
        <v>30</v>
      </c>
      <c r="G584" s="1" t="s">
        <v>112</v>
      </c>
      <c r="H584" s="1" t="s">
        <v>223</v>
      </c>
      <c r="I584" s="1">
        <v>816.6</v>
      </c>
      <c r="J584" s="1">
        <v>1</v>
      </c>
      <c r="K584" s="1">
        <v>816.6</v>
      </c>
      <c r="L584" s="1">
        <v>5</v>
      </c>
      <c r="M584" s="1">
        <v>40.83</v>
      </c>
      <c r="N584" s="1">
        <v>775.77</v>
      </c>
      <c r="O584" s="1" t="s">
        <v>80</v>
      </c>
      <c r="P584" s="1" t="s">
        <v>693</v>
      </c>
      <c r="Q584" s="1">
        <v>5</v>
      </c>
      <c r="R584" s="1">
        <f>Retail_Sales_Analyis[[#This Row],[Final_Price]]-Retail_Sales_Analyis[[#This Row],[Total_Price]]</f>
        <v>-40.830000000000041</v>
      </c>
      <c r="S5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85" spans="1:19" x14ac:dyDescent="0.25">
      <c r="A585" s="1" t="s">
        <v>1158</v>
      </c>
      <c r="B585" s="2">
        <v>45339</v>
      </c>
      <c r="C585" s="1" t="s">
        <v>27</v>
      </c>
      <c r="D585" s="1" t="s">
        <v>19</v>
      </c>
      <c r="E585" s="1" t="s">
        <v>285</v>
      </c>
      <c r="F585" s="1" t="s">
        <v>30</v>
      </c>
      <c r="G585" s="1" t="s">
        <v>31</v>
      </c>
      <c r="H585" s="1" t="s">
        <v>32</v>
      </c>
      <c r="I585" s="1">
        <v>390.61</v>
      </c>
      <c r="J585" s="1">
        <v>10</v>
      </c>
      <c r="K585" s="1">
        <v>3906.1</v>
      </c>
      <c r="L585" s="1">
        <v>5</v>
      </c>
      <c r="M585" s="1">
        <v>195.31</v>
      </c>
      <c r="N585" s="1">
        <v>3710.79</v>
      </c>
      <c r="O585" s="1" t="s">
        <v>46</v>
      </c>
      <c r="P585" s="1" t="s">
        <v>1159</v>
      </c>
      <c r="Q585" s="1">
        <v>3</v>
      </c>
      <c r="R585" s="1">
        <f>Retail_Sales_Analyis[[#This Row],[Final_Price]]-Retail_Sales_Analyis[[#This Row],[Total_Price]]</f>
        <v>-195.30999999999995</v>
      </c>
      <c r="S5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86" spans="1:19" x14ac:dyDescent="0.25">
      <c r="A586" s="1" t="s">
        <v>1160</v>
      </c>
      <c r="B586" s="2">
        <v>45412</v>
      </c>
      <c r="C586" s="1" t="s">
        <v>54</v>
      </c>
      <c r="D586" s="1" t="s">
        <v>28</v>
      </c>
      <c r="E586" s="1" t="s">
        <v>62</v>
      </c>
      <c r="F586" s="1" t="s">
        <v>37</v>
      </c>
      <c r="G586" s="1" t="s">
        <v>57</v>
      </c>
      <c r="H586" s="1" t="s">
        <v>158</v>
      </c>
      <c r="I586" s="1">
        <v>2062.2199999999998</v>
      </c>
      <c r="J586" s="1">
        <v>7</v>
      </c>
      <c r="K586" s="1">
        <v>14435.54</v>
      </c>
      <c r="L586" s="1">
        <v>10</v>
      </c>
      <c r="M586" s="1">
        <v>1443.55</v>
      </c>
      <c r="N586" s="1">
        <v>12991.99</v>
      </c>
      <c r="O586" s="1" t="s">
        <v>24</v>
      </c>
      <c r="P586" s="1" t="s">
        <v>1161</v>
      </c>
      <c r="Q586" s="1">
        <v>3</v>
      </c>
      <c r="R586" s="1">
        <f>Retail_Sales_Analyis[[#This Row],[Final_Price]]-Retail_Sales_Analyis[[#This Row],[Total_Price]]</f>
        <v>-1443.5500000000011</v>
      </c>
      <c r="S5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87" spans="1:19" x14ac:dyDescent="0.25">
      <c r="A587" s="1" t="s">
        <v>1162</v>
      </c>
      <c r="B587" s="2">
        <v>45636</v>
      </c>
      <c r="C587" s="1" t="s">
        <v>73</v>
      </c>
      <c r="D587" s="1" t="s">
        <v>28</v>
      </c>
      <c r="E587" s="1" t="s">
        <v>139</v>
      </c>
      <c r="F587" s="1" t="s">
        <v>30</v>
      </c>
      <c r="G587" s="1" t="s">
        <v>31</v>
      </c>
      <c r="H587" s="1" t="s">
        <v>32</v>
      </c>
      <c r="I587" s="1">
        <v>376.35</v>
      </c>
      <c r="J587" s="1">
        <v>3</v>
      </c>
      <c r="K587" s="1">
        <v>1129.05</v>
      </c>
      <c r="L587" s="1">
        <v>0</v>
      </c>
      <c r="M587" s="1">
        <v>0</v>
      </c>
      <c r="N587" s="1">
        <v>1129.05</v>
      </c>
      <c r="O587" s="1" t="s">
        <v>80</v>
      </c>
      <c r="P587" s="1" t="s">
        <v>869</v>
      </c>
      <c r="Q587" s="1">
        <v>1</v>
      </c>
      <c r="R587" s="1">
        <f>Retail_Sales_Analyis[[#This Row],[Final_Price]]-Retail_Sales_Analyis[[#This Row],[Total_Price]]</f>
        <v>0</v>
      </c>
      <c r="S5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88" spans="1:19" x14ac:dyDescent="0.25">
      <c r="A588" s="1" t="s">
        <v>1163</v>
      </c>
      <c r="B588" s="2">
        <v>45450</v>
      </c>
      <c r="C588" s="1" t="s">
        <v>173</v>
      </c>
      <c r="D588" s="1" t="s">
        <v>144</v>
      </c>
      <c r="E588" s="1" t="s">
        <v>157</v>
      </c>
      <c r="F588" s="1" t="s">
        <v>30</v>
      </c>
      <c r="G588" s="1" t="s">
        <v>57</v>
      </c>
      <c r="H588" s="1" t="s">
        <v>158</v>
      </c>
      <c r="I588" s="1">
        <v>1465.37</v>
      </c>
      <c r="J588" s="1">
        <v>8</v>
      </c>
      <c r="K588" s="1">
        <v>11722.96</v>
      </c>
      <c r="L588" s="1">
        <v>10</v>
      </c>
      <c r="M588" s="1">
        <v>1172.3</v>
      </c>
      <c r="N588" s="1">
        <v>10550.66</v>
      </c>
      <c r="O588" s="1" t="s">
        <v>33</v>
      </c>
      <c r="P588" s="1" t="s">
        <v>1164</v>
      </c>
      <c r="Q588" s="1">
        <v>2</v>
      </c>
      <c r="R588" s="1">
        <f>Retail_Sales_Analyis[[#This Row],[Final_Price]]-Retail_Sales_Analyis[[#This Row],[Total_Price]]</f>
        <v>-1172.2999999999993</v>
      </c>
      <c r="S5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89" spans="1:19" x14ac:dyDescent="0.25">
      <c r="A589" s="1" t="s">
        <v>1165</v>
      </c>
      <c r="B589" s="2">
        <v>45407</v>
      </c>
      <c r="C589" s="1" t="s">
        <v>54</v>
      </c>
      <c r="D589" s="1" t="s">
        <v>67</v>
      </c>
      <c r="E589" s="1" t="s">
        <v>89</v>
      </c>
      <c r="F589" s="1" t="s">
        <v>69</v>
      </c>
      <c r="G589" s="1" t="s">
        <v>78</v>
      </c>
      <c r="H589" s="1" t="s">
        <v>79</v>
      </c>
      <c r="I589" s="1">
        <v>586.32000000000005</v>
      </c>
      <c r="J589" s="1">
        <v>6</v>
      </c>
      <c r="K589" s="1">
        <v>3517.92</v>
      </c>
      <c r="L589" s="1">
        <v>15</v>
      </c>
      <c r="M589" s="1">
        <v>527.69000000000005</v>
      </c>
      <c r="N589" s="1">
        <v>2990.23</v>
      </c>
      <c r="O589" s="1" t="s">
        <v>33</v>
      </c>
      <c r="P589" s="1" t="s">
        <v>1166</v>
      </c>
      <c r="Q589" s="1">
        <v>2</v>
      </c>
      <c r="R589" s="1">
        <f>Retail_Sales_Analyis[[#This Row],[Final_Price]]-Retail_Sales_Analyis[[#This Row],[Total_Price]]</f>
        <v>-527.69000000000005</v>
      </c>
      <c r="S5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90" spans="1:19" x14ac:dyDescent="0.25">
      <c r="A590" s="1" t="s">
        <v>1167</v>
      </c>
      <c r="B590" s="2">
        <v>45393</v>
      </c>
      <c r="C590" s="1" t="s">
        <v>54</v>
      </c>
      <c r="D590" s="1" t="s">
        <v>67</v>
      </c>
      <c r="E590" s="1" t="s">
        <v>94</v>
      </c>
      <c r="F590" s="1" t="s">
        <v>84</v>
      </c>
      <c r="G590" s="1" t="s">
        <v>169</v>
      </c>
      <c r="H590" s="1" t="s">
        <v>175</v>
      </c>
      <c r="I590" s="1">
        <v>813.5</v>
      </c>
      <c r="J590" s="1">
        <v>8</v>
      </c>
      <c r="K590" s="1">
        <v>6508</v>
      </c>
      <c r="L590" s="1">
        <v>15</v>
      </c>
      <c r="M590" s="1">
        <v>976.2</v>
      </c>
      <c r="N590" s="1">
        <v>5531.8</v>
      </c>
      <c r="O590" s="1" t="s">
        <v>24</v>
      </c>
      <c r="P590" s="1" t="s">
        <v>713</v>
      </c>
      <c r="Q590" s="1">
        <v>4</v>
      </c>
      <c r="R590" s="1">
        <f>Retail_Sales_Analyis[[#This Row],[Final_Price]]-Retail_Sales_Analyis[[#This Row],[Total_Price]]</f>
        <v>-976.19999999999982</v>
      </c>
      <c r="S5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91" spans="1:19" x14ac:dyDescent="0.25">
      <c r="A591" s="1" t="s">
        <v>1168</v>
      </c>
      <c r="B591" s="2">
        <v>45367</v>
      </c>
      <c r="C591" s="1" t="s">
        <v>61</v>
      </c>
      <c r="D591" s="1" t="s">
        <v>19</v>
      </c>
      <c r="E591" s="1" t="s">
        <v>239</v>
      </c>
      <c r="F591" s="1" t="s">
        <v>30</v>
      </c>
      <c r="G591" s="1" t="s">
        <v>85</v>
      </c>
      <c r="H591" s="1" t="s">
        <v>90</v>
      </c>
      <c r="I591" s="1">
        <v>4504.9399999999996</v>
      </c>
      <c r="J591" s="1">
        <v>9</v>
      </c>
      <c r="K591" s="1">
        <v>40544.46</v>
      </c>
      <c r="L591" s="1">
        <v>0</v>
      </c>
      <c r="M591" s="1">
        <v>0</v>
      </c>
      <c r="N591" s="1">
        <v>40544.46</v>
      </c>
      <c r="O591" s="1" t="s">
        <v>64</v>
      </c>
      <c r="P591" s="1" t="s">
        <v>877</v>
      </c>
      <c r="Q591" s="1">
        <v>4</v>
      </c>
      <c r="R591" s="1">
        <f>Retail_Sales_Analyis[[#This Row],[Final_Price]]-Retail_Sales_Analyis[[#This Row],[Total_Price]]</f>
        <v>0</v>
      </c>
      <c r="S5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92" spans="1:19" x14ac:dyDescent="0.25">
      <c r="A592" s="1" t="s">
        <v>1169</v>
      </c>
      <c r="B592" s="2">
        <v>45304</v>
      </c>
      <c r="C592" s="1" t="s">
        <v>36</v>
      </c>
      <c r="D592" s="1" t="s">
        <v>19</v>
      </c>
      <c r="E592" s="1" t="s">
        <v>29</v>
      </c>
      <c r="F592" s="1" t="s">
        <v>21</v>
      </c>
      <c r="G592" s="1" t="s">
        <v>31</v>
      </c>
      <c r="H592" s="1" t="s">
        <v>250</v>
      </c>
      <c r="I592" s="1">
        <v>453.38</v>
      </c>
      <c r="J592" s="1">
        <v>2</v>
      </c>
      <c r="K592" s="1">
        <v>906.76</v>
      </c>
      <c r="L592" s="1">
        <v>5</v>
      </c>
      <c r="M592" s="1">
        <v>45.34</v>
      </c>
      <c r="N592" s="1">
        <v>861.42</v>
      </c>
      <c r="O592" s="1" t="s">
        <v>80</v>
      </c>
      <c r="P592" s="1" t="s">
        <v>1149</v>
      </c>
      <c r="Q592" s="1">
        <v>2</v>
      </c>
      <c r="R592" s="1">
        <f>Retail_Sales_Analyis[[#This Row],[Final_Price]]-Retail_Sales_Analyis[[#This Row],[Total_Price]]</f>
        <v>-45.340000000000032</v>
      </c>
      <c r="S5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93" spans="1:19" x14ac:dyDescent="0.25">
      <c r="A593" s="1" t="s">
        <v>1170</v>
      </c>
      <c r="B593" s="2">
        <v>45315</v>
      </c>
      <c r="C593" s="1" t="s">
        <v>36</v>
      </c>
      <c r="D593" s="1" t="s">
        <v>55</v>
      </c>
      <c r="E593" s="1" t="s">
        <v>77</v>
      </c>
      <c r="F593" s="1" t="s">
        <v>30</v>
      </c>
      <c r="G593" s="1" t="s">
        <v>169</v>
      </c>
      <c r="H593" s="1" t="s">
        <v>208</v>
      </c>
      <c r="I593" s="1">
        <v>821.87</v>
      </c>
      <c r="J593" s="1">
        <v>1</v>
      </c>
      <c r="K593" s="1">
        <v>821.87</v>
      </c>
      <c r="L593" s="1">
        <v>0</v>
      </c>
      <c r="M593" s="1">
        <v>0</v>
      </c>
      <c r="N593" s="1">
        <v>821.87</v>
      </c>
      <c r="O593" s="1" t="s">
        <v>46</v>
      </c>
      <c r="P593" s="1" t="s">
        <v>667</v>
      </c>
      <c r="Q593" s="1">
        <v>4</v>
      </c>
      <c r="R593" s="1">
        <f>Retail_Sales_Analyis[[#This Row],[Final_Price]]-Retail_Sales_Analyis[[#This Row],[Total_Price]]</f>
        <v>0</v>
      </c>
      <c r="S5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94" spans="1:19" x14ac:dyDescent="0.25">
      <c r="A594" s="1" t="s">
        <v>1171</v>
      </c>
      <c r="B594" s="2">
        <v>45417</v>
      </c>
      <c r="C594" s="1" t="s">
        <v>42</v>
      </c>
      <c r="D594" s="1" t="s">
        <v>49</v>
      </c>
      <c r="E594" s="1" t="s">
        <v>328</v>
      </c>
      <c r="F594" s="1" t="s">
        <v>69</v>
      </c>
      <c r="G594" s="1" t="s">
        <v>38</v>
      </c>
      <c r="H594" s="1" t="s">
        <v>108</v>
      </c>
      <c r="I594" s="1">
        <v>766.05</v>
      </c>
      <c r="J594" s="1">
        <v>2</v>
      </c>
      <c r="K594" s="1">
        <v>1532.1</v>
      </c>
      <c r="L594" s="1">
        <v>15</v>
      </c>
      <c r="M594" s="1">
        <v>229.81</v>
      </c>
      <c r="N594" s="1">
        <v>1302.29</v>
      </c>
      <c r="O594" s="1" t="s">
        <v>64</v>
      </c>
      <c r="P594" s="1" t="s">
        <v>1172</v>
      </c>
      <c r="Q594" s="1">
        <v>5</v>
      </c>
      <c r="R594" s="1">
        <f>Retail_Sales_Analyis[[#This Row],[Final_Price]]-Retail_Sales_Analyis[[#This Row],[Total_Price]]</f>
        <v>-229.80999999999995</v>
      </c>
      <c r="S5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95" spans="1:19" x14ac:dyDescent="0.25">
      <c r="A595" s="1" t="s">
        <v>1173</v>
      </c>
      <c r="B595" s="2">
        <v>45535</v>
      </c>
      <c r="C595" s="1" t="s">
        <v>93</v>
      </c>
      <c r="D595" s="1" t="s">
        <v>19</v>
      </c>
      <c r="E595" s="1" t="s">
        <v>97</v>
      </c>
      <c r="F595" s="1" t="s">
        <v>69</v>
      </c>
      <c r="G595" s="1" t="s">
        <v>78</v>
      </c>
      <c r="H595" s="1" t="s">
        <v>146</v>
      </c>
      <c r="I595" s="1">
        <v>569.29999999999995</v>
      </c>
      <c r="J595" s="1">
        <v>10</v>
      </c>
      <c r="K595" s="1">
        <v>5693</v>
      </c>
      <c r="L595" s="1">
        <v>0</v>
      </c>
      <c r="M595" s="1">
        <v>0</v>
      </c>
      <c r="N595" s="1">
        <v>5693</v>
      </c>
      <c r="O595" s="1" t="s">
        <v>46</v>
      </c>
      <c r="P595" s="1" t="s">
        <v>1174</v>
      </c>
      <c r="Q595" s="1">
        <v>4</v>
      </c>
      <c r="R595" s="1">
        <f>Retail_Sales_Analyis[[#This Row],[Final_Price]]-Retail_Sales_Analyis[[#This Row],[Total_Price]]</f>
        <v>0</v>
      </c>
      <c r="S5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96" spans="1:19" x14ac:dyDescent="0.25">
      <c r="A596" s="1" t="s">
        <v>1175</v>
      </c>
      <c r="B596" s="2">
        <v>45604</v>
      </c>
      <c r="C596" s="1" t="s">
        <v>18</v>
      </c>
      <c r="D596" s="1" t="s">
        <v>144</v>
      </c>
      <c r="E596" s="1" t="s">
        <v>239</v>
      </c>
      <c r="F596" s="1" t="s">
        <v>30</v>
      </c>
      <c r="G596" s="1" t="s">
        <v>22</v>
      </c>
      <c r="H596" s="1" t="s">
        <v>23</v>
      </c>
      <c r="I596" s="1">
        <v>378.84</v>
      </c>
      <c r="J596" s="1">
        <v>2</v>
      </c>
      <c r="K596" s="1">
        <v>757.68</v>
      </c>
      <c r="L596" s="1">
        <v>0</v>
      </c>
      <c r="M596" s="1">
        <v>0</v>
      </c>
      <c r="N596" s="1">
        <v>757.68</v>
      </c>
      <c r="O596" s="1" t="s">
        <v>24</v>
      </c>
      <c r="P596" s="1" t="s">
        <v>1176</v>
      </c>
      <c r="Q596" s="1">
        <v>1</v>
      </c>
      <c r="R596" s="1">
        <f>Retail_Sales_Analyis[[#This Row],[Final_Price]]-Retail_Sales_Analyis[[#This Row],[Total_Price]]</f>
        <v>0</v>
      </c>
      <c r="S5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597" spans="1:19" x14ac:dyDescent="0.25">
      <c r="A597" s="1" t="s">
        <v>1177</v>
      </c>
      <c r="B597" s="2">
        <v>45329</v>
      </c>
      <c r="C597" s="1" t="s">
        <v>27</v>
      </c>
      <c r="D597" s="1" t="s">
        <v>55</v>
      </c>
      <c r="E597" s="1" t="s">
        <v>196</v>
      </c>
      <c r="F597" s="1" t="s">
        <v>37</v>
      </c>
      <c r="G597" s="1" t="s">
        <v>57</v>
      </c>
      <c r="H597" s="1" t="s">
        <v>152</v>
      </c>
      <c r="I597" s="1">
        <v>1803.95</v>
      </c>
      <c r="J597" s="1">
        <v>3</v>
      </c>
      <c r="K597" s="1">
        <v>5411.85</v>
      </c>
      <c r="L597" s="1">
        <v>20</v>
      </c>
      <c r="M597" s="1">
        <v>1082.3699999999999</v>
      </c>
      <c r="N597" s="1">
        <v>4329.4799999999996</v>
      </c>
      <c r="O597" s="1" t="s">
        <v>46</v>
      </c>
      <c r="P597" s="1" t="s">
        <v>1178</v>
      </c>
      <c r="Q597" s="1">
        <v>4</v>
      </c>
      <c r="R597" s="1">
        <f>Retail_Sales_Analyis[[#This Row],[Final_Price]]-Retail_Sales_Analyis[[#This Row],[Total_Price]]</f>
        <v>-1082.3700000000008</v>
      </c>
      <c r="S5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98" spans="1:19" x14ac:dyDescent="0.25">
      <c r="A598" s="1" t="s">
        <v>1179</v>
      </c>
      <c r="B598" s="2">
        <v>45525</v>
      </c>
      <c r="C598" s="1" t="s">
        <v>93</v>
      </c>
      <c r="D598" s="1" t="s">
        <v>55</v>
      </c>
      <c r="E598" s="1" t="s">
        <v>285</v>
      </c>
      <c r="F598" s="1" t="s">
        <v>21</v>
      </c>
      <c r="G598" s="1" t="s">
        <v>112</v>
      </c>
      <c r="H598" s="1" t="s">
        <v>183</v>
      </c>
      <c r="I598" s="1">
        <v>1303.4000000000001</v>
      </c>
      <c r="J598" s="1">
        <v>7</v>
      </c>
      <c r="K598" s="1">
        <v>9123.7999999999993</v>
      </c>
      <c r="L598" s="1">
        <v>5</v>
      </c>
      <c r="M598" s="1">
        <v>456.19</v>
      </c>
      <c r="N598" s="1">
        <v>8667.61</v>
      </c>
      <c r="O598" s="1" t="s">
        <v>46</v>
      </c>
      <c r="P598" s="1" t="s">
        <v>938</v>
      </c>
      <c r="Q598" s="1">
        <v>3</v>
      </c>
      <c r="R598" s="1">
        <f>Retail_Sales_Analyis[[#This Row],[Final_Price]]-Retail_Sales_Analyis[[#This Row],[Total_Price]]</f>
        <v>-456.18999999999869</v>
      </c>
      <c r="S5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599" spans="1:19" x14ac:dyDescent="0.25">
      <c r="A599" s="1" t="s">
        <v>1180</v>
      </c>
      <c r="B599" s="2">
        <v>45504</v>
      </c>
      <c r="C599" s="1" t="s">
        <v>195</v>
      </c>
      <c r="D599" s="1" t="s">
        <v>55</v>
      </c>
      <c r="E599" s="1" t="s">
        <v>107</v>
      </c>
      <c r="F599" s="1" t="s">
        <v>30</v>
      </c>
      <c r="G599" s="1" t="s">
        <v>57</v>
      </c>
      <c r="H599" s="1" t="s">
        <v>152</v>
      </c>
      <c r="I599" s="1">
        <v>1306.8699999999999</v>
      </c>
      <c r="J599" s="1">
        <v>9</v>
      </c>
      <c r="K599" s="1">
        <v>11761.83</v>
      </c>
      <c r="L599" s="1">
        <v>20</v>
      </c>
      <c r="M599" s="1">
        <v>2352.37</v>
      </c>
      <c r="N599" s="1">
        <v>9409.4599999999991</v>
      </c>
      <c r="O599" s="1" t="s">
        <v>33</v>
      </c>
      <c r="P599" s="1" t="s">
        <v>1181</v>
      </c>
      <c r="Q599" s="1">
        <v>3</v>
      </c>
      <c r="R599" s="1">
        <f>Retail_Sales_Analyis[[#This Row],[Final_Price]]-Retail_Sales_Analyis[[#This Row],[Total_Price]]</f>
        <v>-2352.3700000000008</v>
      </c>
      <c r="S59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00" spans="1:19" x14ac:dyDescent="0.25">
      <c r="A600" s="1" t="s">
        <v>1182</v>
      </c>
      <c r="B600" s="2">
        <v>45614</v>
      </c>
      <c r="C600" s="1" t="s">
        <v>18</v>
      </c>
      <c r="D600" s="1" t="s">
        <v>43</v>
      </c>
      <c r="E600" s="1" t="s">
        <v>117</v>
      </c>
      <c r="F600" s="1" t="s">
        <v>37</v>
      </c>
      <c r="G600" s="1" t="s">
        <v>57</v>
      </c>
      <c r="H600" s="1" t="s">
        <v>58</v>
      </c>
      <c r="I600" s="1">
        <v>2103.9499999999998</v>
      </c>
      <c r="J600" s="1">
        <v>3</v>
      </c>
      <c r="K600" s="1">
        <v>6311.85</v>
      </c>
      <c r="L600" s="1">
        <v>10</v>
      </c>
      <c r="M600" s="1">
        <v>631.19000000000005</v>
      </c>
      <c r="N600" s="1">
        <v>5680.66</v>
      </c>
      <c r="O600" s="1" t="s">
        <v>46</v>
      </c>
      <c r="P600" s="1" t="s">
        <v>1183</v>
      </c>
      <c r="Q600" s="1">
        <v>2</v>
      </c>
      <c r="R600" s="1">
        <f>Retail_Sales_Analyis[[#This Row],[Final_Price]]-Retail_Sales_Analyis[[#This Row],[Total_Price]]</f>
        <v>-631.19000000000051</v>
      </c>
      <c r="S6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01" spans="1:19" x14ac:dyDescent="0.25">
      <c r="A601" s="1" t="s">
        <v>1184</v>
      </c>
      <c r="B601" s="2">
        <v>45586</v>
      </c>
      <c r="C601" s="1" t="s">
        <v>76</v>
      </c>
      <c r="D601" s="1" t="s">
        <v>43</v>
      </c>
      <c r="E601" s="1" t="s">
        <v>328</v>
      </c>
      <c r="F601" s="1" t="s">
        <v>21</v>
      </c>
      <c r="G601" s="1" t="s">
        <v>78</v>
      </c>
      <c r="H601" s="1" t="s">
        <v>323</v>
      </c>
      <c r="I601" s="1">
        <v>376.07</v>
      </c>
      <c r="J601" s="1">
        <v>2</v>
      </c>
      <c r="K601" s="1">
        <v>752.14</v>
      </c>
      <c r="L601" s="1">
        <v>0</v>
      </c>
      <c r="M601" s="1">
        <v>0</v>
      </c>
      <c r="N601" s="1">
        <v>752.14</v>
      </c>
      <c r="O601" s="1" t="s">
        <v>80</v>
      </c>
      <c r="P601" s="1" t="s">
        <v>1185</v>
      </c>
      <c r="Q601" s="1">
        <v>4</v>
      </c>
      <c r="R601" s="1">
        <f>Retail_Sales_Analyis[[#This Row],[Final_Price]]-Retail_Sales_Analyis[[#This Row],[Total_Price]]</f>
        <v>0</v>
      </c>
      <c r="S6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2" spans="1:19" x14ac:dyDescent="0.25">
      <c r="A602" s="1" t="s">
        <v>1186</v>
      </c>
      <c r="B602" s="2">
        <v>45391</v>
      </c>
      <c r="C602" s="1" t="s">
        <v>54</v>
      </c>
      <c r="D602" s="1" t="s">
        <v>28</v>
      </c>
      <c r="E602" s="1" t="s">
        <v>168</v>
      </c>
      <c r="F602" s="1" t="s">
        <v>37</v>
      </c>
      <c r="G602" s="1" t="s">
        <v>38</v>
      </c>
      <c r="H602" s="1" t="s">
        <v>108</v>
      </c>
      <c r="I602" s="1">
        <v>141.16999999999999</v>
      </c>
      <c r="J602" s="1">
        <v>6</v>
      </c>
      <c r="K602" s="1">
        <v>847.02</v>
      </c>
      <c r="L602" s="1">
        <v>0</v>
      </c>
      <c r="M602" s="1">
        <v>0</v>
      </c>
      <c r="N602" s="1">
        <v>847.02</v>
      </c>
      <c r="O602" s="1" t="s">
        <v>64</v>
      </c>
      <c r="P602" s="1" t="s">
        <v>837</v>
      </c>
      <c r="Q602" s="1">
        <v>2</v>
      </c>
      <c r="R602" s="1">
        <f>Retail_Sales_Analyis[[#This Row],[Final_Price]]-Retail_Sales_Analyis[[#This Row],[Total_Price]]</f>
        <v>0</v>
      </c>
      <c r="S6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3" spans="1:19" x14ac:dyDescent="0.25">
      <c r="A603" s="1" t="s">
        <v>1187</v>
      </c>
      <c r="B603" s="2">
        <v>45648</v>
      </c>
      <c r="C603" s="1" t="s">
        <v>73</v>
      </c>
      <c r="D603" s="1" t="s">
        <v>49</v>
      </c>
      <c r="E603" s="1" t="s">
        <v>163</v>
      </c>
      <c r="F603" s="1" t="s">
        <v>69</v>
      </c>
      <c r="G603" s="1" t="s">
        <v>85</v>
      </c>
      <c r="H603" s="1" t="s">
        <v>86</v>
      </c>
      <c r="I603" s="1">
        <v>3909.58</v>
      </c>
      <c r="J603" s="1">
        <v>5</v>
      </c>
      <c r="K603" s="1">
        <v>19547.900000000001</v>
      </c>
      <c r="L603" s="1">
        <v>20</v>
      </c>
      <c r="M603" s="1">
        <v>3909.58</v>
      </c>
      <c r="N603" s="1">
        <v>15638.32</v>
      </c>
      <c r="O603" s="1" t="s">
        <v>64</v>
      </c>
      <c r="P603" s="1" t="s">
        <v>1188</v>
      </c>
      <c r="Q603" s="1">
        <v>1</v>
      </c>
      <c r="R603" s="1">
        <f>Retail_Sales_Analyis[[#This Row],[Final_Price]]-Retail_Sales_Analyis[[#This Row],[Total_Price]]</f>
        <v>-3909.5800000000017</v>
      </c>
      <c r="S6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04" spans="1:19" x14ac:dyDescent="0.25">
      <c r="A604" s="1" t="s">
        <v>1189</v>
      </c>
      <c r="B604" s="2">
        <v>45488</v>
      </c>
      <c r="C604" s="1" t="s">
        <v>195</v>
      </c>
      <c r="D604" s="1" t="s">
        <v>43</v>
      </c>
      <c r="E604" s="1" t="s">
        <v>204</v>
      </c>
      <c r="F604" s="1" t="s">
        <v>30</v>
      </c>
      <c r="G604" s="1" t="s">
        <v>22</v>
      </c>
      <c r="H604" s="1" t="s">
        <v>51</v>
      </c>
      <c r="I604" s="1">
        <v>992.25</v>
      </c>
      <c r="J604" s="1">
        <v>7</v>
      </c>
      <c r="K604" s="1">
        <v>6945.75</v>
      </c>
      <c r="L604" s="1">
        <v>5</v>
      </c>
      <c r="M604" s="1">
        <v>347.29</v>
      </c>
      <c r="N604" s="1">
        <v>6598.46</v>
      </c>
      <c r="O604" s="1" t="s">
        <v>24</v>
      </c>
      <c r="P604" s="1" t="s">
        <v>393</v>
      </c>
      <c r="Q604" s="1">
        <v>5</v>
      </c>
      <c r="R604" s="1">
        <f>Retail_Sales_Analyis[[#This Row],[Final_Price]]-Retail_Sales_Analyis[[#This Row],[Total_Price]]</f>
        <v>-347.28999999999996</v>
      </c>
      <c r="S6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05" spans="1:19" x14ac:dyDescent="0.25">
      <c r="A605" s="1" t="s">
        <v>1190</v>
      </c>
      <c r="B605" s="2">
        <v>45545</v>
      </c>
      <c r="C605" s="1" t="s">
        <v>116</v>
      </c>
      <c r="D605" s="1" t="s">
        <v>28</v>
      </c>
      <c r="E605" s="1" t="s">
        <v>97</v>
      </c>
      <c r="F605" s="1" t="s">
        <v>30</v>
      </c>
      <c r="G605" s="1" t="s">
        <v>57</v>
      </c>
      <c r="H605" s="1" t="s">
        <v>122</v>
      </c>
      <c r="I605" s="1">
        <v>1302.56</v>
      </c>
      <c r="J605" s="1">
        <v>3</v>
      </c>
      <c r="K605" s="1">
        <v>3907.68</v>
      </c>
      <c r="L605" s="1">
        <v>0</v>
      </c>
      <c r="M605" s="1">
        <v>0</v>
      </c>
      <c r="N605" s="1">
        <v>3907.68</v>
      </c>
      <c r="O605" s="1" t="s">
        <v>80</v>
      </c>
      <c r="P605" s="1" t="s">
        <v>81</v>
      </c>
      <c r="Q605" s="1">
        <v>1</v>
      </c>
      <c r="R605" s="1">
        <f>Retail_Sales_Analyis[[#This Row],[Final_Price]]-Retail_Sales_Analyis[[#This Row],[Total_Price]]</f>
        <v>0</v>
      </c>
      <c r="S6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6" spans="1:19" x14ac:dyDescent="0.25">
      <c r="A606" s="1" t="s">
        <v>1191</v>
      </c>
      <c r="B606" s="2">
        <v>45496</v>
      </c>
      <c r="C606" s="1" t="s">
        <v>195</v>
      </c>
      <c r="D606" s="1" t="s">
        <v>28</v>
      </c>
      <c r="E606" s="1" t="s">
        <v>145</v>
      </c>
      <c r="F606" s="1" t="s">
        <v>21</v>
      </c>
      <c r="G606" s="1" t="s">
        <v>85</v>
      </c>
      <c r="H606" s="1" t="s">
        <v>90</v>
      </c>
      <c r="I606" s="1">
        <v>1550.24</v>
      </c>
      <c r="J606" s="1">
        <v>8</v>
      </c>
      <c r="K606" s="1">
        <v>12401.92</v>
      </c>
      <c r="L606" s="1">
        <v>0</v>
      </c>
      <c r="M606" s="1">
        <v>0</v>
      </c>
      <c r="N606" s="1">
        <v>12401.92</v>
      </c>
      <c r="O606" s="1" t="s">
        <v>64</v>
      </c>
      <c r="P606" s="1" t="s">
        <v>1192</v>
      </c>
      <c r="Q606" s="1">
        <v>2</v>
      </c>
      <c r="R606" s="1">
        <f>Retail_Sales_Analyis[[#This Row],[Final_Price]]-Retail_Sales_Analyis[[#This Row],[Total_Price]]</f>
        <v>0</v>
      </c>
      <c r="S6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7" spans="1:19" x14ac:dyDescent="0.25">
      <c r="A607" s="1" t="s">
        <v>1193</v>
      </c>
      <c r="B607" s="2">
        <v>45416</v>
      </c>
      <c r="C607" s="1" t="s">
        <v>42</v>
      </c>
      <c r="D607" s="1" t="s">
        <v>19</v>
      </c>
      <c r="E607" s="1" t="s">
        <v>302</v>
      </c>
      <c r="F607" s="1" t="s">
        <v>21</v>
      </c>
      <c r="G607" s="1" t="s">
        <v>112</v>
      </c>
      <c r="H607" s="1" t="s">
        <v>118</v>
      </c>
      <c r="I607" s="1">
        <v>1588.94</v>
      </c>
      <c r="J607" s="1">
        <v>10</v>
      </c>
      <c r="K607" s="1">
        <v>15889.4</v>
      </c>
      <c r="L607" s="1">
        <v>0</v>
      </c>
      <c r="M607" s="1">
        <v>0</v>
      </c>
      <c r="N607" s="1">
        <v>15889.4</v>
      </c>
      <c r="O607" s="1" t="s">
        <v>64</v>
      </c>
      <c r="P607" s="1" t="s">
        <v>855</v>
      </c>
      <c r="Q607" s="1">
        <v>4</v>
      </c>
      <c r="R607" s="1">
        <f>Retail_Sales_Analyis[[#This Row],[Final_Price]]-Retail_Sales_Analyis[[#This Row],[Total_Price]]</f>
        <v>0</v>
      </c>
      <c r="S6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8" spans="1:19" x14ac:dyDescent="0.25">
      <c r="A608" s="1" t="s">
        <v>1194</v>
      </c>
      <c r="B608" s="2">
        <v>45367</v>
      </c>
      <c r="C608" s="1" t="s">
        <v>61</v>
      </c>
      <c r="D608" s="1" t="s">
        <v>19</v>
      </c>
      <c r="E608" s="1" t="s">
        <v>213</v>
      </c>
      <c r="F608" s="1" t="s">
        <v>30</v>
      </c>
      <c r="G608" s="1" t="s">
        <v>112</v>
      </c>
      <c r="H608" s="1" t="s">
        <v>223</v>
      </c>
      <c r="I608" s="1">
        <v>1033.3800000000001</v>
      </c>
      <c r="J608" s="1">
        <v>8</v>
      </c>
      <c r="K608" s="1">
        <v>8267.0400000000009</v>
      </c>
      <c r="L608" s="1">
        <v>0</v>
      </c>
      <c r="M608" s="1">
        <v>0</v>
      </c>
      <c r="N608" s="1">
        <v>8267.0400000000009</v>
      </c>
      <c r="O608" s="1" t="s">
        <v>24</v>
      </c>
      <c r="P608" s="1" t="s">
        <v>641</v>
      </c>
      <c r="Q608" s="1">
        <v>1</v>
      </c>
      <c r="R608" s="1">
        <f>Retail_Sales_Analyis[[#This Row],[Final_Price]]-Retail_Sales_Analyis[[#This Row],[Total_Price]]</f>
        <v>0</v>
      </c>
      <c r="S6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09" spans="1:19" x14ac:dyDescent="0.25">
      <c r="A609" s="1" t="s">
        <v>1195</v>
      </c>
      <c r="B609" s="2">
        <v>45627</v>
      </c>
      <c r="C609" s="1" t="s">
        <v>73</v>
      </c>
      <c r="D609" s="1" t="s">
        <v>49</v>
      </c>
      <c r="E609" s="1" t="s">
        <v>29</v>
      </c>
      <c r="F609" s="1" t="s">
        <v>69</v>
      </c>
      <c r="G609" s="1" t="s">
        <v>22</v>
      </c>
      <c r="H609" s="1" t="s">
        <v>23</v>
      </c>
      <c r="I609" s="1">
        <v>701.58</v>
      </c>
      <c r="J609" s="1">
        <v>7</v>
      </c>
      <c r="K609" s="1">
        <v>4911.0600000000004</v>
      </c>
      <c r="L609" s="1">
        <v>0</v>
      </c>
      <c r="M609" s="1">
        <v>0</v>
      </c>
      <c r="N609" s="1">
        <v>4911.0600000000004</v>
      </c>
      <c r="O609" s="1" t="s">
        <v>24</v>
      </c>
      <c r="P609" s="1" t="s">
        <v>1078</v>
      </c>
      <c r="Q609" s="1">
        <v>1</v>
      </c>
      <c r="R609" s="1">
        <f>Retail_Sales_Analyis[[#This Row],[Final_Price]]-Retail_Sales_Analyis[[#This Row],[Total_Price]]</f>
        <v>0</v>
      </c>
      <c r="S6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0" spans="1:19" x14ac:dyDescent="0.25">
      <c r="A610" s="1" t="s">
        <v>1196</v>
      </c>
      <c r="B610" s="2">
        <v>45644</v>
      </c>
      <c r="C610" s="1" t="s">
        <v>73</v>
      </c>
      <c r="D610" s="1" t="s">
        <v>55</v>
      </c>
      <c r="E610" s="1" t="s">
        <v>20</v>
      </c>
      <c r="F610" s="1" t="s">
        <v>69</v>
      </c>
      <c r="G610" s="1" t="s">
        <v>38</v>
      </c>
      <c r="H610" s="1" t="s">
        <v>70</v>
      </c>
      <c r="I610" s="1">
        <v>768.19</v>
      </c>
      <c r="J610" s="1">
        <v>7</v>
      </c>
      <c r="K610" s="1">
        <v>5377.33</v>
      </c>
      <c r="L610" s="1">
        <v>20</v>
      </c>
      <c r="M610" s="1">
        <v>1075.47</v>
      </c>
      <c r="N610" s="1">
        <v>4301.8599999999997</v>
      </c>
      <c r="O610" s="1" t="s">
        <v>24</v>
      </c>
      <c r="P610" s="1" t="s">
        <v>1197</v>
      </c>
      <c r="Q610" s="1">
        <v>4</v>
      </c>
      <c r="R610" s="1">
        <f>Retail_Sales_Analyis[[#This Row],[Final_Price]]-Retail_Sales_Analyis[[#This Row],[Total_Price]]</f>
        <v>-1075.4700000000003</v>
      </c>
      <c r="S6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11" spans="1:19" x14ac:dyDescent="0.25">
      <c r="A611" s="1" t="s">
        <v>1198</v>
      </c>
      <c r="B611" s="2">
        <v>45294</v>
      </c>
      <c r="C611" s="1" t="s">
        <v>36</v>
      </c>
      <c r="D611" s="1" t="s">
        <v>55</v>
      </c>
      <c r="E611" s="1" t="s">
        <v>20</v>
      </c>
      <c r="F611" s="1" t="s">
        <v>84</v>
      </c>
      <c r="G611" s="1" t="s">
        <v>31</v>
      </c>
      <c r="H611" s="1" t="s">
        <v>63</v>
      </c>
      <c r="I611" s="1">
        <v>55.22</v>
      </c>
      <c r="J611" s="1">
        <v>2</v>
      </c>
      <c r="K611" s="1">
        <v>110.44</v>
      </c>
      <c r="L611" s="1">
        <v>0</v>
      </c>
      <c r="M611" s="1">
        <v>0</v>
      </c>
      <c r="N611" s="1">
        <v>110.44</v>
      </c>
      <c r="O611" s="1" t="s">
        <v>24</v>
      </c>
      <c r="P611" s="1" t="s">
        <v>1199</v>
      </c>
      <c r="Q611" s="1">
        <v>4</v>
      </c>
      <c r="R611" s="1">
        <f>Retail_Sales_Analyis[[#This Row],[Final_Price]]-Retail_Sales_Analyis[[#This Row],[Total_Price]]</f>
        <v>0</v>
      </c>
      <c r="S6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2" spans="1:19" x14ac:dyDescent="0.25">
      <c r="A612" s="1" t="s">
        <v>1200</v>
      </c>
      <c r="B612" s="2">
        <v>45346</v>
      </c>
      <c r="C612" s="1" t="s">
        <v>27</v>
      </c>
      <c r="D612" s="1" t="s">
        <v>19</v>
      </c>
      <c r="E612" s="1" t="s">
        <v>132</v>
      </c>
      <c r="F612" s="1" t="s">
        <v>21</v>
      </c>
      <c r="G612" s="1" t="s">
        <v>112</v>
      </c>
      <c r="H612" s="1" t="s">
        <v>183</v>
      </c>
      <c r="I612" s="1">
        <v>1359.47</v>
      </c>
      <c r="J612" s="1">
        <v>10</v>
      </c>
      <c r="K612" s="1">
        <v>13594.7</v>
      </c>
      <c r="L612" s="1">
        <v>5</v>
      </c>
      <c r="M612" s="1">
        <v>679.74</v>
      </c>
      <c r="N612" s="1">
        <v>12914.96</v>
      </c>
      <c r="O612" s="1" t="s">
        <v>46</v>
      </c>
      <c r="P612" s="1" t="s">
        <v>1201</v>
      </c>
      <c r="Q612" s="1">
        <v>1</v>
      </c>
      <c r="R612" s="1">
        <f>Retail_Sales_Analyis[[#This Row],[Final_Price]]-Retail_Sales_Analyis[[#This Row],[Total_Price]]</f>
        <v>-679.7400000000016</v>
      </c>
      <c r="S6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13" spans="1:19" x14ac:dyDescent="0.25">
      <c r="A613" s="1" t="s">
        <v>1202</v>
      </c>
      <c r="B613" s="2">
        <v>45509</v>
      </c>
      <c r="C613" s="1" t="s">
        <v>93</v>
      </c>
      <c r="D613" s="1" t="s">
        <v>43</v>
      </c>
      <c r="E613" s="1" t="s">
        <v>97</v>
      </c>
      <c r="F613" s="1" t="s">
        <v>84</v>
      </c>
      <c r="G613" s="1" t="s">
        <v>31</v>
      </c>
      <c r="H613" s="1" t="s">
        <v>32</v>
      </c>
      <c r="I613" s="1">
        <v>184.26</v>
      </c>
      <c r="J613" s="1">
        <v>3</v>
      </c>
      <c r="K613" s="1">
        <v>552.78</v>
      </c>
      <c r="L613" s="1">
        <v>0</v>
      </c>
      <c r="M613" s="1">
        <v>0</v>
      </c>
      <c r="N613" s="1">
        <v>552.78</v>
      </c>
      <c r="O613" s="1" t="s">
        <v>46</v>
      </c>
      <c r="P613" s="1" t="s">
        <v>1203</v>
      </c>
      <c r="Q613" s="1">
        <v>1</v>
      </c>
      <c r="R613" s="1">
        <f>Retail_Sales_Analyis[[#This Row],[Final_Price]]-Retail_Sales_Analyis[[#This Row],[Total_Price]]</f>
        <v>0</v>
      </c>
      <c r="S6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4" spans="1:19" x14ac:dyDescent="0.25">
      <c r="A614" s="1" t="s">
        <v>1204</v>
      </c>
      <c r="B614" s="2">
        <v>45404</v>
      </c>
      <c r="C614" s="1" t="s">
        <v>54</v>
      </c>
      <c r="D614" s="1" t="s">
        <v>43</v>
      </c>
      <c r="E614" s="1" t="s">
        <v>192</v>
      </c>
      <c r="F614" s="1" t="s">
        <v>84</v>
      </c>
      <c r="G614" s="1" t="s">
        <v>22</v>
      </c>
      <c r="H614" s="1" t="s">
        <v>133</v>
      </c>
      <c r="I614" s="1">
        <v>515.04</v>
      </c>
      <c r="J614" s="1">
        <v>9</v>
      </c>
      <c r="K614" s="1">
        <v>4635.3599999999997</v>
      </c>
      <c r="L614" s="1">
        <v>20</v>
      </c>
      <c r="M614" s="1">
        <v>927.07</v>
      </c>
      <c r="N614" s="1">
        <v>3708.29</v>
      </c>
      <c r="O614" s="1" t="s">
        <v>80</v>
      </c>
      <c r="P614" s="1" t="s">
        <v>1181</v>
      </c>
      <c r="Q614" s="1">
        <v>4</v>
      </c>
      <c r="R614" s="1">
        <f>Retail_Sales_Analyis[[#This Row],[Final_Price]]-Retail_Sales_Analyis[[#This Row],[Total_Price]]</f>
        <v>-927.06999999999971</v>
      </c>
      <c r="S6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15" spans="1:19" x14ac:dyDescent="0.25">
      <c r="A615" s="1" t="s">
        <v>1205</v>
      </c>
      <c r="B615" s="2">
        <v>45382</v>
      </c>
      <c r="C615" s="1" t="s">
        <v>61</v>
      </c>
      <c r="D615" s="1" t="s">
        <v>49</v>
      </c>
      <c r="E615" s="1" t="s">
        <v>157</v>
      </c>
      <c r="F615" s="1" t="s">
        <v>84</v>
      </c>
      <c r="G615" s="1" t="s">
        <v>169</v>
      </c>
      <c r="H615" s="1" t="s">
        <v>366</v>
      </c>
      <c r="I615" s="1">
        <v>1458.82</v>
      </c>
      <c r="J615" s="1">
        <v>2</v>
      </c>
      <c r="K615" s="1">
        <v>2917.64</v>
      </c>
      <c r="L615" s="1">
        <v>0</v>
      </c>
      <c r="M615" s="1">
        <v>0</v>
      </c>
      <c r="N615" s="1">
        <v>2917.64</v>
      </c>
      <c r="O615" s="1" t="s">
        <v>80</v>
      </c>
      <c r="P615" s="1" t="s">
        <v>1206</v>
      </c>
      <c r="Q615" s="1">
        <v>2</v>
      </c>
      <c r="R615" s="1">
        <f>Retail_Sales_Analyis[[#This Row],[Final_Price]]-Retail_Sales_Analyis[[#This Row],[Total_Price]]</f>
        <v>0</v>
      </c>
      <c r="S6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6" spans="1:19" x14ac:dyDescent="0.25">
      <c r="A616" s="1" t="s">
        <v>1207</v>
      </c>
      <c r="B616" s="2">
        <v>45648</v>
      </c>
      <c r="C616" s="1" t="s">
        <v>73</v>
      </c>
      <c r="D616" s="1" t="s">
        <v>49</v>
      </c>
      <c r="E616" s="1" t="s">
        <v>163</v>
      </c>
      <c r="F616" s="1" t="s">
        <v>30</v>
      </c>
      <c r="G616" s="1" t="s">
        <v>78</v>
      </c>
      <c r="H616" s="1" t="s">
        <v>79</v>
      </c>
      <c r="I616" s="1">
        <v>167.61</v>
      </c>
      <c r="J616" s="1">
        <v>10</v>
      </c>
      <c r="K616" s="1">
        <v>1676.1</v>
      </c>
      <c r="L616" s="1">
        <v>0</v>
      </c>
      <c r="M616" s="1">
        <v>0</v>
      </c>
      <c r="N616" s="1">
        <v>1676.1</v>
      </c>
      <c r="O616" s="1" t="s">
        <v>64</v>
      </c>
      <c r="P616" s="1" t="s">
        <v>1208</v>
      </c>
      <c r="Q616" s="1">
        <v>1</v>
      </c>
      <c r="R616" s="1">
        <f>Retail_Sales_Analyis[[#This Row],[Final_Price]]-Retail_Sales_Analyis[[#This Row],[Total_Price]]</f>
        <v>0</v>
      </c>
      <c r="S6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7" spans="1:19" x14ac:dyDescent="0.25">
      <c r="A617" s="1" t="s">
        <v>1209</v>
      </c>
      <c r="B617" s="2">
        <v>45557</v>
      </c>
      <c r="C617" s="1" t="s">
        <v>116</v>
      </c>
      <c r="D617" s="1" t="s">
        <v>49</v>
      </c>
      <c r="E617" s="1" t="s">
        <v>236</v>
      </c>
      <c r="F617" s="1" t="s">
        <v>69</v>
      </c>
      <c r="G617" s="1" t="s">
        <v>112</v>
      </c>
      <c r="H617" s="1" t="s">
        <v>223</v>
      </c>
      <c r="I617" s="1">
        <v>1969.89</v>
      </c>
      <c r="J617" s="1">
        <v>9</v>
      </c>
      <c r="K617" s="1">
        <v>17729.009999999998</v>
      </c>
      <c r="L617" s="1">
        <v>0</v>
      </c>
      <c r="M617" s="1">
        <v>0</v>
      </c>
      <c r="N617" s="1">
        <v>17729.009999999998</v>
      </c>
      <c r="O617" s="1" t="s">
        <v>46</v>
      </c>
      <c r="P617" s="1" t="s">
        <v>1210</v>
      </c>
      <c r="Q617" s="1">
        <v>5</v>
      </c>
      <c r="R617" s="1">
        <f>Retail_Sales_Analyis[[#This Row],[Final_Price]]-Retail_Sales_Analyis[[#This Row],[Total_Price]]</f>
        <v>0</v>
      </c>
      <c r="S6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18" spans="1:19" x14ac:dyDescent="0.25">
      <c r="A618" s="1" t="s">
        <v>1211</v>
      </c>
      <c r="B618" s="2">
        <v>45529</v>
      </c>
      <c r="C618" s="1" t="s">
        <v>93</v>
      </c>
      <c r="D618" s="1" t="s">
        <v>49</v>
      </c>
      <c r="E618" s="1" t="s">
        <v>312</v>
      </c>
      <c r="F618" s="1" t="s">
        <v>21</v>
      </c>
      <c r="G618" s="1" t="s">
        <v>112</v>
      </c>
      <c r="H618" s="1" t="s">
        <v>113</v>
      </c>
      <c r="I618" s="1">
        <v>950.9</v>
      </c>
      <c r="J618" s="1">
        <v>9</v>
      </c>
      <c r="K618" s="1">
        <v>8558.1</v>
      </c>
      <c r="L618" s="1">
        <v>20</v>
      </c>
      <c r="M618" s="1">
        <v>1711.62</v>
      </c>
      <c r="N618" s="1">
        <v>6846.48</v>
      </c>
      <c r="O618" s="1" t="s">
        <v>46</v>
      </c>
      <c r="P618" s="1" t="s">
        <v>1212</v>
      </c>
      <c r="Q618" s="1">
        <v>5</v>
      </c>
      <c r="R618" s="1">
        <f>Retail_Sales_Analyis[[#This Row],[Final_Price]]-Retail_Sales_Analyis[[#This Row],[Total_Price]]</f>
        <v>-1711.6200000000008</v>
      </c>
      <c r="S6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19" spans="1:19" x14ac:dyDescent="0.25">
      <c r="A619" s="1" t="s">
        <v>1213</v>
      </c>
      <c r="B619" s="2">
        <v>45317</v>
      </c>
      <c r="C619" s="1" t="s">
        <v>36</v>
      </c>
      <c r="D619" s="1" t="s">
        <v>144</v>
      </c>
      <c r="E619" s="1" t="s">
        <v>145</v>
      </c>
      <c r="F619" s="1" t="s">
        <v>37</v>
      </c>
      <c r="G619" s="1" t="s">
        <v>31</v>
      </c>
      <c r="H619" s="1" t="s">
        <v>63</v>
      </c>
      <c r="I619" s="1">
        <v>285.2</v>
      </c>
      <c r="J619" s="1">
        <v>6</v>
      </c>
      <c r="K619" s="1">
        <v>1711.2</v>
      </c>
      <c r="L619" s="1">
        <v>10</v>
      </c>
      <c r="M619" s="1">
        <v>171.12</v>
      </c>
      <c r="N619" s="1">
        <v>1540.08</v>
      </c>
      <c r="O619" s="1" t="s">
        <v>80</v>
      </c>
      <c r="P619" s="1" t="s">
        <v>215</v>
      </c>
      <c r="Q619" s="1">
        <v>5</v>
      </c>
      <c r="R619" s="1">
        <f>Retail_Sales_Analyis[[#This Row],[Final_Price]]-Retail_Sales_Analyis[[#This Row],[Total_Price]]</f>
        <v>-171.12000000000012</v>
      </c>
      <c r="S6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20" spans="1:19" x14ac:dyDescent="0.25">
      <c r="A620" s="1" t="s">
        <v>1214</v>
      </c>
      <c r="B620" s="2">
        <v>45577</v>
      </c>
      <c r="C620" s="1" t="s">
        <v>76</v>
      </c>
      <c r="D620" s="1" t="s">
        <v>19</v>
      </c>
      <c r="E620" s="1" t="s">
        <v>89</v>
      </c>
      <c r="F620" s="1" t="s">
        <v>84</v>
      </c>
      <c r="G620" s="1" t="s">
        <v>112</v>
      </c>
      <c r="H620" s="1" t="s">
        <v>113</v>
      </c>
      <c r="I620" s="1">
        <v>555.1</v>
      </c>
      <c r="J620" s="1">
        <v>3</v>
      </c>
      <c r="K620" s="1">
        <v>1665.3</v>
      </c>
      <c r="L620" s="1">
        <v>0</v>
      </c>
      <c r="M620" s="1">
        <v>0</v>
      </c>
      <c r="N620" s="1">
        <v>1665.3</v>
      </c>
      <c r="O620" s="1" t="s">
        <v>64</v>
      </c>
      <c r="P620" s="1" t="s">
        <v>1215</v>
      </c>
      <c r="Q620" s="1">
        <v>2</v>
      </c>
      <c r="R620" s="1">
        <f>Retail_Sales_Analyis[[#This Row],[Final_Price]]-Retail_Sales_Analyis[[#This Row],[Total_Price]]</f>
        <v>0</v>
      </c>
      <c r="S6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21" spans="1:19" x14ac:dyDescent="0.25">
      <c r="A621" s="1" t="s">
        <v>1216</v>
      </c>
      <c r="B621" s="2">
        <v>45419</v>
      </c>
      <c r="C621" s="1" t="s">
        <v>42</v>
      </c>
      <c r="D621" s="1" t="s">
        <v>28</v>
      </c>
      <c r="E621" s="1" t="s">
        <v>151</v>
      </c>
      <c r="F621" s="1" t="s">
        <v>30</v>
      </c>
      <c r="G621" s="1" t="s">
        <v>78</v>
      </c>
      <c r="H621" s="1" t="s">
        <v>323</v>
      </c>
      <c r="I621" s="1">
        <v>207.82</v>
      </c>
      <c r="J621" s="1">
        <v>10</v>
      </c>
      <c r="K621" s="1">
        <v>2078.1999999999998</v>
      </c>
      <c r="L621" s="1">
        <v>5</v>
      </c>
      <c r="M621" s="1">
        <v>103.91</v>
      </c>
      <c r="N621" s="1">
        <v>1974.29</v>
      </c>
      <c r="O621" s="1" t="s">
        <v>24</v>
      </c>
      <c r="P621" s="1" t="s">
        <v>176</v>
      </c>
      <c r="Q621" s="1">
        <v>5</v>
      </c>
      <c r="R621" s="1">
        <f>Retail_Sales_Analyis[[#This Row],[Final_Price]]-Retail_Sales_Analyis[[#This Row],[Total_Price]]</f>
        <v>-103.90999999999985</v>
      </c>
      <c r="S6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22" spans="1:19" x14ac:dyDescent="0.25">
      <c r="A622" s="1" t="s">
        <v>1217</v>
      </c>
      <c r="B622" s="2">
        <v>45354</v>
      </c>
      <c r="C622" s="1" t="s">
        <v>61</v>
      </c>
      <c r="D622" s="1" t="s">
        <v>49</v>
      </c>
      <c r="E622" s="1" t="s">
        <v>141</v>
      </c>
      <c r="F622" s="1" t="s">
        <v>21</v>
      </c>
      <c r="G622" s="1" t="s">
        <v>85</v>
      </c>
      <c r="H622" s="1" t="s">
        <v>86</v>
      </c>
      <c r="I622" s="1">
        <v>2824.27</v>
      </c>
      <c r="J622" s="1">
        <v>5</v>
      </c>
      <c r="K622" s="1">
        <v>14121.35</v>
      </c>
      <c r="L622" s="1">
        <v>15</v>
      </c>
      <c r="M622" s="1">
        <v>2118.1999999999998</v>
      </c>
      <c r="N622" s="1">
        <v>12003.15</v>
      </c>
      <c r="O622" s="1" t="s">
        <v>33</v>
      </c>
      <c r="P622" s="1" t="s">
        <v>1138</v>
      </c>
      <c r="Q622" s="1">
        <v>2</v>
      </c>
      <c r="R622" s="1">
        <f>Retail_Sales_Analyis[[#This Row],[Final_Price]]-Retail_Sales_Analyis[[#This Row],[Total_Price]]</f>
        <v>-2118.2000000000007</v>
      </c>
      <c r="S6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23" spans="1:19" x14ac:dyDescent="0.25">
      <c r="A623" s="1" t="s">
        <v>1218</v>
      </c>
      <c r="B623" s="2">
        <v>45525</v>
      </c>
      <c r="C623" s="1" t="s">
        <v>93</v>
      </c>
      <c r="D623" s="1" t="s">
        <v>55</v>
      </c>
      <c r="E623" s="1" t="s">
        <v>236</v>
      </c>
      <c r="F623" s="1" t="s">
        <v>69</v>
      </c>
      <c r="G623" s="1" t="s">
        <v>38</v>
      </c>
      <c r="H623" s="1" t="s">
        <v>214</v>
      </c>
      <c r="I623" s="1">
        <v>600.11</v>
      </c>
      <c r="J623" s="1">
        <v>10</v>
      </c>
      <c r="K623" s="1">
        <v>6001.1</v>
      </c>
      <c r="L623" s="1">
        <v>15</v>
      </c>
      <c r="M623" s="1">
        <v>900.17</v>
      </c>
      <c r="N623" s="1">
        <v>5100.93</v>
      </c>
      <c r="O623" s="1" t="s">
        <v>80</v>
      </c>
      <c r="P623" s="1" t="s">
        <v>1219</v>
      </c>
      <c r="Q623" s="1">
        <v>5</v>
      </c>
      <c r="R623" s="1">
        <f>Retail_Sales_Analyis[[#This Row],[Final_Price]]-Retail_Sales_Analyis[[#This Row],[Total_Price]]</f>
        <v>-900.17000000000007</v>
      </c>
      <c r="S6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24" spans="1:19" x14ac:dyDescent="0.25">
      <c r="A624" s="1" t="s">
        <v>1220</v>
      </c>
      <c r="B624" s="2">
        <v>45360</v>
      </c>
      <c r="C624" s="1" t="s">
        <v>61</v>
      </c>
      <c r="D624" s="1" t="s">
        <v>19</v>
      </c>
      <c r="E624" s="1" t="s">
        <v>29</v>
      </c>
      <c r="F624" s="1" t="s">
        <v>37</v>
      </c>
      <c r="G624" s="1" t="s">
        <v>85</v>
      </c>
      <c r="H624" s="1" t="s">
        <v>180</v>
      </c>
      <c r="I624" s="1">
        <v>4969.8</v>
      </c>
      <c r="J624" s="1">
        <v>7</v>
      </c>
      <c r="K624" s="1">
        <v>34788.6</v>
      </c>
      <c r="L624" s="1">
        <v>5</v>
      </c>
      <c r="M624" s="1">
        <v>1739.43</v>
      </c>
      <c r="N624" s="1">
        <v>33049.17</v>
      </c>
      <c r="O624" s="1" t="s">
        <v>24</v>
      </c>
      <c r="P624" s="1" t="s">
        <v>1221</v>
      </c>
      <c r="Q624" s="1">
        <v>5</v>
      </c>
      <c r="R624" s="1">
        <f>Retail_Sales_Analyis[[#This Row],[Final_Price]]-Retail_Sales_Analyis[[#This Row],[Total_Price]]</f>
        <v>-1739.4300000000003</v>
      </c>
      <c r="S62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25" spans="1:19" x14ac:dyDescent="0.25">
      <c r="A625" s="1" t="s">
        <v>1222</v>
      </c>
      <c r="B625" s="2">
        <v>45529</v>
      </c>
      <c r="C625" s="1" t="s">
        <v>93</v>
      </c>
      <c r="D625" s="1" t="s">
        <v>49</v>
      </c>
      <c r="E625" s="1" t="s">
        <v>328</v>
      </c>
      <c r="F625" s="1" t="s">
        <v>37</v>
      </c>
      <c r="G625" s="1" t="s">
        <v>169</v>
      </c>
      <c r="H625" s="1" t="s">
        <v>170</v>
      </c>
      <c r="I625" s="1">
        <v>431.99</v>
      </c>
      <c r="J625" s="1">
        <v>9</v>
      </c>
      <c r="K625" s="1">
        <v>3887.91</v>
      </c>
      <c r="L625" s="1">
        <v>5</v>
      </c>
      <c r="M625" s="1">
        <v>194.4</v>
      </c>
      <c r="N625" s="1">
        <v>3693.51</v>
      </c>
      <c r="O625" s="1" t="s">
        <v>24</v>
      </c>
      <c r="P625" s="1" t="s">
        <v>1223</v>
      </c>
      <c r="Q625" s="1">
        <v>3</v>
      </c>
      <c r="R625" s="1">
        <f>Retail_Sales_Analyis[[#This Row],[Final_Price]]-Retail_Sales_Analyis[[#This Row],[Total_Price]]</f>
        <v>-194.39999999999964</v>
      </c>
      <c r="S6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26" spans="1:19" x14ac:dyDescent="0.25">
      <c r="A626" s="1" t="s">
        <v>1224</v>
      </c>
      <c r="B626" s="2">
        <v>45633</v>
      </c>
      <c r="C626" s="1" t="s">
        <v>73</v>
      </c>
      <c r="D626" s="1" t="s">
        <v>19</v>
      </c>
      <c r="E626" s="1" t="s">
        <v>121</v>
      </c>
      <c r="F626" s="1" t="s">
        <v>21</v>
      </c>
      <c r="G626" s="1" t="s">
        <v>78</v>
      </c>
      <c r="H626" s="1" t="s">
        <v>323</v>
      </c>
      <c r="I626" s="1">
        <v>215.85</v>
      </c>
      <c r="J626" s="1">
        <v>4</v>
      </c>
      <c r="K626" s="1">
        <v>863.4</v>
      </c>
      <c r="L626" s="1">
        <v>0</v>
      </c>
      <c r="M626" s="1">
        <v>0</v>
      </c>
      <c r="N626" s="1">
        <v>863.4</v>
      </c>
      <c r="O626" s="1" t="s">
        <v>24</v>
      </c>
      <c r="P626" s="1" t="s">
        <v>244</v>
      </c>
      <c r="Q626" s="1">
        <v>1</v>
      </c>
      <c r="R626" s="1">
        <f>Retail_Sales_Analyis[[#This Row],[Final_Price]]-Retail_Sales_Analyis[[#This Row],[Total_Price]]</f>
        <v>0</v>
      </c>
      <c r="S6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27" spans="1:19" x14ac:dyDescent="0.25">
      <c r="A627" s="1" t="s">
        <v>1225</v>
      </c>
      <c r="B627" s="2">
        <v>45563</v>
      </c>
      <c r="C627" s="1" t="s">
        <v>116</v>
      </c>
      <c r="D627" s="1" t="s">
        <v>19</v>
      </c>
      <c r="E627" s="1" t="s">
        <v>139</v>
      </c>
      <c r="F627" s="1" t="s">
        <v>30</v>
      </c>
      <c r="G627" s="1" t="s">
        <v>169</v>
      </c>
      <c r="H627" s="1" t="s">
        <v>208</v>
      </c>
      <c r="I627" s="1">
        <v>510.88</v>
      </c>
      <c r="J627" s="1">
        <v>5</v>
      </c>
      <c r="K627" s="1">
        <v>2554.4</v>
      </c>
      <c r="L627" s="1">
        <v>10</v>
      </c>
      <c r="M627" s="1">
        <v>255.44</v>
      </c>
      <c r="N627" s="1">
        <v>2298.96</v>
      </c>
      <c r="O627" s="1" t="s">
        <v>33</v>
      </c>
      <c r="P627" s="1" t="s">
        <v>935</v>
      </c>
      <c r="Q627" s="1">
        <v>1</v>
      </c>
      <c r="R627" s="1">
        <f>Retail_Sales_Analyis[[#This Row],[Final_Price]]-Retail_Sales_Analyis[[#This Row],[Total_Price]]</f>
        <v>-255.44000000000005</v>
      </c>
      <c r="S6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28" spans="1:19" x14ac:dyDescent="0.25">
      <c r="A628" s="1" t="s">
        <v>1226</v>
      </c>
      <c r="B628" s="2">
        <v>45578</v>
      </c>
      <c r="C628" s="1" t="s">
        <v>76</v>
      </c>
      <c r="D628" s="1" t="s">
        <v>49</v>
      </c>
      <c r="E628" s="1" t="s">
        <v>174</v>
      </c>
      <c r="F628" s="1" t="s">
        <v>69</v>
      </c>
      <c r="G628" s="1" t="s">
        <v>38</v>
      </c>
      <c r="H628" s="1" t="s">
        <v>70</v>
      </c>
      <c r="I628" s="1">
        <v>289.74</v>
      </c>
      <c r="J628" s="1">
        <v>2</v>
      </c>
      <c r="K628" s="1">
        <v>579.48</v>
      </c>
      <c r="L628" s="1">
        <v>0</v>
      </c>
      <c r="M628" s="1">
        <v>0</v>
      </c>
      <c r="N628" s="1">
        <v>579.48</v>
      </c>
      <c r="O628" s="1" t="s">
        <v>64</v>
      </c>
      <c r="P628" s="1" t="s">
        <v>188</v>
      </c>
      <c r="Q628" s="1">
        <v>3</v>
      </c>
      <c r="R628" s="1">
        <f>Retail_Sales_Analyis[[#This Row],[Final_Price]]-Retail_Sales_Analyis[[#This Row],[Total_Price]]</f>
        <v>0</v>
      </c>
      <c r="S6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29" spans="1:19" x14ac:dyDescent="0.25">
      <c r="A629" s="1" t="s">
        <v>1227</v>
      </c>
      <c r="B629" s="2">
        <v>45596</v>
      </c>
      <c r="C629" s="1" t="s">
        <v>76</v>
      </c>
      <c r="D629" s="1" t="s">
        <v>67</v>
      </c>
      <c r="E629" s="1" t="s">
        <v>151</v>
      </c>
      <c r="F629" s="1" t="s">
        <v>37</v>
      </c>
      <c r="G629" s="1" t="s">
        <v>78</v>
      </c>
      <c r="H629" s="1" t="s">
        <v>126</v>
      </c>
      <c r="I629" s="1">
        <v>398.25</v>
      </c>
      <c r="J629" s="1">
        <v>7</v>
      </c>
      <c r="K629" s="1">
        <v>2787.75</v>
      </c>
      <c r="L629" s="1">
        <v>5</v>
      </c>
      <c r="M629" s="1">
        <v>139.38999999999999</v>
      </c>
      <c r="N629" s="1">
        <v>2648.36</v>
      </c>
      <c r="O629" s="1" t="s">
        <v>80</v>
      </c>
      <c r="P629" s="1" t="s">
        <v>1228</v>
      </c>
      <c r="Q629" s="1">
        <v>2</v>
      </c>
      <c r="R629" s="1">
        <f>Retail_Sales_Analyis[[#This Row],[Final_Price]]-Retail_Sales_Analyis[[#This Row],[Total_Price]]</f>
        <v>-139.38999999999987</v>
      </c>
      <c r="S6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30" spans="1:19" x14ac:dyDescent="0.25">
      <c r="A630" s="1" t="s">
        <v>1229</v>
      </c>
      <c r="B630" s="2">
        <v>45454</v>
      </c>
      <c r="C630" s="1" t="s">
        <v>173</v>
      </c>
      <c r="D630" s="1" t="s">
        <v>28</v>
      </c>
      <c r="E630" s="1" t="s">
        <v>204</v>
      </c>
      <c r="F630" s="1" t="s">
        <v>30</v>
      </c>
      <c r="G630" s="1" t="s">
        <v>85</v>
      </c>
      <c r="H630" s="1" t="s">
        <v>98</v>
      </c>
      <c r="I630" s="1">
        <v>1570.68</v>
      </c>
      <c r="J630" s="1">
        <v>10</v>
      </c>
      <c r="K630" s="1">
        <v>15706.8</v>
      </c>
      <c r="L630" s="1">
        <v>15</v>
      </c>
      <c r="M630" s="1">
        <v>2356.02</v>
      </c>
      <c r="N630" s="1">
        <v>13350.78</v>
      </c>
      <c r="O630" s="1" t="s">
        <v>46</v>
      </c>
      <c r="P630" s="1" t="s">
        <v>1230</v>
      </c>
      <c r="Q630" s="1">
        <v>1</v>
      </c>
      <c r="R630" s="1">
        <f>Retail_Sales_Analyis[[#This Row],[Final_Price]]-Retail_Sales_Analyis[[#This Row],[Total_Price]]</f>
        <v>-2356.0199999999986</v>
      </c>
      <c r="S6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31" spans="1:19" x14ac:dyDescent="0.25">
      <c r="A631" s="1" t="s">
        <v>1231</v>
      </c>
      <c r="B631" s="2">
        <v>45518</v>
      </c>
      <c r="C631" s="1" t="s">
        <v>93</v>
      </c>
      <c r="D631" s="1" t="s">
        <v>55</v>
      </c>
      <c r="E631" s="1" t="s">
        <v>56</v>
      </c>
      <c r="F631" s="1" t="s">
        <v>84</v>
      </c>
      <c r="G631" s="1" t="s">
        <v>57</v>
      </c>
      <c r="H631" s="1" t="s">
        <v>122</v>
      </c>
      <c r="I631" s="1">
        <v>1371.08</v>
      </c>
      <c r="J631" s="1">
        <v>8</v>
      </c>
      <c r="K631" s="1">
        <v>10968.64</v>
      </c>
      <c r="L631" s="1">
        <v>0</v>
      </c>
      <c r="M631" s="1">
        <v>0</v>
      </c>
      <c r="N631" s="1">
        <v>10968.64</v>
      </c>
      <c r="O631" s="1" t="s">
        <v>33</v>
      </c>
      <c r="P631" s="1" t="s">
        <v>271</v>
      </c>
      <c r="Q631" s="1">
        <v>3</v>
      </c>
      <c r="R631" s="1">
        <f>Retail_Sales_Analyis[[#This Row],[Final_Price]]-Retail_Sales_Analyis[[#This Row],[Total_Price]]</f>
        <v>0</v>
      </c>
      <c r="S6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32" spans="1:19" x14ac:dyDescent="0.25">
      <c r="A632" s="1" t="s">
        <v>1232</v>
      </c>
      <c r="B632" s="2">
        <v>45605</v>
      </c>
      <c r="C632" s="1" t="s">
        <v>18</v>
      </c>
      <c r="D632" s="1" t="s">
        <v>19</v>
      </c>
      <c r="E632" s="1" t="s">
        <v>261</v>
      </c>
      <c r="F632" s="1" t="s">
        <v>30</v>
      </c>
      <c r="G632" s="1" t="s">
        <v>38</v>
      </c>
      <c r="H632" s="1" t="s">
        <v>108</v>
      </c>
      <c r="I632" s="1">
        <v>464.42</v>
      </c>
      <c r="J632" s="1">
        <v>4</v>
      </c>
      <c r="K632" s="1">
        <v>1857.68</v>
      </c>
      <c r="L632" s="1">
        <v>0</v>
      </c>
      <c r="M632" s="1">
        <v>0</v>
      </c>
      <c r="N632" s="1">
        <v>1857.68</v>
      </c>
      <c r="O632" s="1" t="s">
        <v>24</v>
      </c>
      <c r="P632" s="1" t="s">
        <v>1233</v>
      </c>
      <c r="Q632" s="1">
        <v>3</v>
      </c>
      <c r="R632" s="1">
        <f>Retail_Sales_Analyis[[#This Row],[Final_Price]]-Retail_Sales_Analyis[[#This Row],[Total_Price]]</f>
        <v>0</v>
      </c>
      <c r="S6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33" spans="1:19" x14ac:dyDescent="0.25">
      <c r="A633" s="1" t="s">
        <v>1234</v>
      </c>
      <c r="B633" s="2">
        <v>45550</v>
      </c>
      <c r="C633" s="1" t="s">
        <v>116</v>
      </c>
      <c r="D633" s="1" t="s">
        <v>49</v>
      </c>
      <c r="E633" s="1" t="s">
        <v>111</v>
      </c>
      <c r="F633" s="1" t="s">
        <v>37</v>
      </c>
      <c r="G633" s="1" t="s">
        <v>169</v>
      </c>
      <c r="H633" s="1" t="s">
        <v>208</v>
      </c>
      <c r="I633" s="1">
        <v>392.03</v>
      </c>
      <c r="J633" s="1">
        <v>4</v>
      </c>
      <c r="K633" s="1">
        <v>1568.12</v>
      </c>
      <c r="L633" s="1">
        <v>0</v>
      </c>
      <c r="M633" s="1">
        <v>0</v>
      </c>
      <c r="N633" s="1">
        <v>1568.12</v>
      </c>
      <c r="O633" s="1" t="s">
        <v>64</v>
      </c>
      <c r="P633" s="1" t="s">
        <v>1235</v>
      </c>
      <c r="Q633" s="1">
        <v>5</v>
      </c>
      <c r="R633" s="1">
        <f>Retail_Sales_Analyis[[#This Row],[Final_Price]]-Retail_Sales_Analyis[[#This Row],[Total_Price]]</f>
        <v>0</v>
      </c>
      <c r="S6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34" spans="1:19" x14ac:dyDescent="0.25">
      <c r="A634" s="1" t="s">
        <v>1236</v>
      </c>
      <c r="B634" s="2">
        <v>45510</v>
      </c>
      <c r="C634" s="1" t="s">
        <v>93</v>
      </c>
      <c r="D634" s="1" t="s">
        <v>28</v>
      </c>
      <c r="E634" s="1" t="s">
        <v>83</v>
      </c>
      <c r="F634" s="1" t="s">
        <v>69</v>
      </c>
      <c r="G634" s="1" t="s">
        <v>38</v>
      </c>
      <c r="H634" s="1" t="s">
        <v>70</v>
      </c>
      <c r="I634" s="1">
        <v>750.71</v>
      </c>
      <c r="J634" s="1">
        <v>1</v>
      </c>
      <c r="K634" s="1">
        <v>750.71</v>
      </c>
      <c r="L634" s="1">
        <v>5</v>
      </c>
      <c r="M634" s="1">
        <v>37.54</v>
      </c>
      <c r="N634" s="1">
        <v>713.17</v>
      </c>
      <c r="O634" s="1" t="s">
        <v>80</v>
      </c>
      <c r="P634" s="1" t="s">
        <v>621</v>
      </c>
      <c r="Q634" s="1">
        <v>2</v>
      </c>
      <c r="R634" s="1">
        <f>Retail_Sales_Analyis[[#This Row],[Final_Price]]-Retail_Sales_Analyis[[#This Row],[Total_Price]]</f>
        <v>-37.540000000000077</v>
      </c>
      <c r="S6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35" spans="1:19" x14ac:dyDescent="0.25">
      <c r="A635" s="1" t="s">
        <v>1237</v>
      </c>
      <c r="B635" s="2">
        <v>45572</v>
      </c>
      <c r="C635" s="1" t="s">
        <v>76</v>
      </c>
      <c r="D635" s="1" t="s">
        <v>43</v>
      </c>
      <c r="E635" s="1" t="s">
        <v>168</v>
      </c>
      <c r="F635" s="1" t="s">
        <v>84</v>
      </c>
      <c r="G635" s="1" t="s">
        <v>169</v>
      </c>
      <c r="H635" s="1" t="s">
        <v>348</v>
      </c>
      <c r="I635" s="1">
        <v>316.68</v>
      </c>
      <c r="J635" s="1">
        <v>4</v>
      </c>
      <c r="K635" s="1">
        <v>1266.72</v>
      </c>
      <c r="L635" s="1">
        <v>20</v>
      </c>
      <c r="M635" s="1">
        <v>253.34</v>
      </c>
      <c r="N635" s="1">
        <v>1013.38</v>
      </c>
      <c r="O635" s="1" t="s">
        <v>24</v>
      </c>
      <c r="P635" s="1" t="s">
        <v>1238</v>
      </c>
      <c r="Q635" s="1">
        <v>4</v>
      </c>
      <c r="R635" s="1">
        <f>Retail_Sales_Analyis[[#This Row],[Final_Price]]-Retail_Sales_Analyis[[#This Row],[Total_Price]]</f>
        <v>-253.34000000000003</v>
      </c>
      <c r="S6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36" spans="1:19" x14ac:dyDescent="0.25">
      <c r="A636" s="1" t="s">
        <v>1239</v>
      </c>
      <c r="B636" s="2">
        <v>45520</v>
      </c>
      <c r="C636" s="1" t="s">
        <v>93</v>
      </c>
      <c r="D636" s="1" t="s">
        <v>144</v>
      </c>
      <c r="E636" s="1" t="s">
        <v>89</v>
      </c>
      <c r="F636" s="1" t="s">
        <v>69</v>
      </c>
      <c r="G636" s="1" t="s">
        <v>78</v>
      </c>
      <c r="H636" s="1" t="s">
        <v>146</v>
      </c>
      <c r="I636" s="1">
        <v>597.4</v>
      </c>
      <c r="J636" s="1">
        <v>9</v>
      </c>
      <c r="K636" s="1">
        <v>5376.6</v>
      </c>
      <c r="L636" s="1">
        <v>15</v>
      </c>
      <c r="M636" s="1">
        <v>806.49</v>
      </c>
      <c r="N636" s="1">
        <v>4570.1099999999997</v>
      </c>
      <c r="O636" s="1" t="s">
        <v>80</v>
      </c>
      <c r="P636" s="1" t="s">
        <v>1240</v>
      </c>
      <c r="Q636" s="1">
        <v>1</v>
      </c>
      <c r="R636" s="1">
        <f>Retail_Sales_Analyis[[#This Row],[Final_Price]]-Retail_Sales_Analyis[[#This Row],[Total_Price]]</f>
        <v>-806.49000000000069</v>
      </c>
      <c r="S6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37" spans="1:19" x14ac:dyDescent="0.25">
      <c r="A637" s="1" t="s">
        <v>1241</v>
      </c>
      <c r="B637" s="2">
        <v>45373</v>
      </c>
      <c r="C637" s="1" t="s">
        <v>61</v>
      </c>
      <c r="D637" s="1" t="s">
        <v>144</v>
      </c>
      <c r="E637" s="1" t="s">
        <v>213</v>
      </c>
      <c r="F637" s="1" t="s">
        <v>30</v>
      </c>
      <c r="G637" s="1" t="s">
        <v>85</v>
      </c>
      <c r="H637" s="1" t="s">
        <v>90</v>
      </c>
      <c r="I637" s="1">
        <v>4615.1899999999996</v>
      </c>
      <c r="J637" s="1">
        <v>3</v>
      </c>
      <c r="K637" s="1">
        <v>13845.57</v>
      </c>
      <c r="L637" s="1">
        <v>0</v>
      </c>
      <c r="M637" s="1">
        <v>0</v>
      </c>
      <c r="N637" s="1">
        <v>13845.57</v>
      </c>
      <c r="O637" s="1" t="s">
        <v>46</v>
      </c>
      <c r="P637" s="1" t="s">
        <v>1242</v>
      </c>
      <c r="Q637" s="1">
        <v>2</v>
      </c>
      <c r="R637" s="1">
        <f>Retail_Sales_Analyis[[#This Row],[Final_Price]]-Retail_Sales_Analyis[[#This Row],[Total_Price]]</f>
        <v>0</v>
      </c>
      <c r="S6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38" spans="1:19" x14ac:dyDescent="0.25">
      <c r="A638" s="1" t="s">
        <v>1243</v>
      </c>
      <c r="B638" s="2">
        <v>45535</v>
      </c>
      <c r="C638" s="1" t="s">
        <v>93</v>
      </c>
      <c r="D638" s="1" t="s">
        <v>19</v>
      </c>
      <c r="E638" s="1" t="s">
        <v>285</v>
      </c>
      <c r="F638" s="1" t="s">
        <v>21</v>
      </c>
      <c r="G638" s="1" t="s">
        <v>112</v>
      </c>
      <c r="H638" s="1" t="s">
        <v>288</v>
      </c>
      <c r="I638" s="1">
        <v>1243.26</v>
      </c>
      <c r="J638" s="1">
        <v>3</v>
      </c>
      <c r="K638" s="1">
        <v>3729.78</v>
      </c>
      <c r="L638" s="1">
        <v>0</v>
      </c>
      <c r="M638" s="1">
        <v>0</v>
      </c>
      <c r="N638" s="1">
        <v>3729.78</v>
      </c>
      <c r="O638" s="1" t="s">
        <v>24</v>
      </c>
      <c r="P638" s="1" t="s">
        <v>1244</v>
      </c>
      <c r="Q638" s="1">
        <v>3</v>
      </c>
      <c r="R638" s="1">
        <f>Retail_Sales_Analyis[[#This Row],[Final_Price]]-Retail_Sales_Analyis[[#This Row],[Total_Price]]</f>
        <v>0</v>
      </c>
      <c r="S6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39" spans="1:19" x14ac:dyDescent="0.25">
      <c r="A639" s="1" t="s">
        <v>1245</v>
      </c>
      <c r="B639" s="2">
        <v>45522</v>
      </c>
      <c r="C639" s="1" t="s">
        <v>93</v>
      </c>
      <c r="D639" s="1" t="s">
        <v>49</v>
      </c>
      <c r="E639" s="1" t="s">
        <v>117</v>
      </c>
      <c r="F639" s="1" t="s">
        <v>84</v>
      </c>
      <c r="G639" s="1" t="s">
        <v>169</v>
      </c>
      <c r="H639" s="1" t="s">
        <v>175</v>
      </c>
      <c r="I639" s="1">
        <v>659.01</v>
      </c>
      <c r="J639" s="1">
        <v>5</v>
      </c>
      <c r="K639" s="1">
        <v>3295.05</v>
      </c>
      <c r="L639" s="1">
        <v>0</v>
      </c>
      <c r="M639" s="1">
        <v>0</v>
      </c>
      <c r="N639" s="1">
        <v>3295.05</v>
      </c>
      <c r="O639" s="1" t="s">
        <v>64</v>
      </c>
      <c r="P639" s="1" t="s">
        <v>1246</v>
      </c>
      <c r="Q639" s="1">
        <v>1</v>
      </c>
      <c r="R639" s="1">
        <f>Retail_Sales_Analyis[[#This Row],[Final_Price]]-Retail_Sales_Analyis[[#This Row],[Total_Price]]</f>
        <v>0</v>
      </c>
      <c r="S6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0" spans="1:19" x14ac:dyDescent="0.25">
      <c r="A640" s="1" t="s">
        <v>1247</v>
      </c>
      <c r="B640" s="2">
        <v>45424</v>
      </c>
      <c r="C640" s="1" t="s">
        <v>42</v>
      </c>
      <c r="D640" s="1" t="s">
        <v>49</v>
      </c>
      <c r="E640" s="1" t="s">
        <v>50</v>
      </c>
      <c r="F640" s="1" t="s">
        <v>69</v>
      </c>
      <c r="G640" s="1" t="s">
        <v>57</v>
      </c>
      <c r="H640" s="1" t="s">
        <v>158</v>
      </c>
      <c r="I640" s="1">
        <v>2801.51</v>
      </c>
      <c r="J640" s="1">
        <v>9</v>
      </c>
      <c r="K640" s="1">
        <v>25213.59</v>
      </c>
      <c r="L640" s="1">
        <v>20</v>
      </c>
      <c r="M640" s="1">
        <v>5042.72</v>
      </c>
      <c r="N640" s="1">
        <v>20170.87</v>
      </c>
      <c r="O640" s="1" t="s">
        <v>24</v>
      </c>
      <c r="P640" s="1" t="s">
        <v>1248</v>
      </c>
      <c r="Q640" s="1">
        <v>4</v>
      </c>
      <c r="R640" s="1">
        <f>Retail_Sales_Analyis[[#This Row],[Final_Price]]-Retail_Sales_Analyis[[#This Row],[Total_Price]]</f>
        <v>-5042.7200000000012</v>
      </c>
      <c r="S6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41" spans="1:19" x14ac:dyDescent="0.25">
      <c r="A641" s="1" t="s">
        <v>1249</v>
      </c>
      <c r="B641" s="2">
        <v>45418</v>
      </c>
      <c r="C641" s="1" t="s">
        <v>42</v>
      </c>
      <c r="D641" s="1" t="s">
        <v>43</v>
      </c>
      <c r="E641" s="1" t="s">
        <v>157</v>
      </c>
      <c r="F641" s="1" t="s">
        <v>30</v>
      </c>
      <c r="G641" s="1" t="s">
        <v>78</v>
      </c>
      <c r="H641" s="1" t="s">
        <v>79</v>
      </c>
      <c r="I641" s="1">
        <v>426.99</v>
      </c>
      <c r="J641" s="1">
        <v>6</v>
      </c>
      <c r="K641" s="1">
        <v>2561.94</v>
      </c>
      <c r="L641" s="1">
        <v>0</v>
      </c>
      <c r="M641" s="1">
        <v>0</v>
      </c>
      <c r="N641" s="1">
        <v>2561.94</v>
      </c>
      <c r="O641" s="1" t="s">
        <v>46</v>
      </c>
      <c r="P641" s="1" t="s">
        <v>52</v>
      </c>
      <c r="Q641" s="1">
        <v>1</v>
      </c>
      <c r="R641" s="1">
        <f>Retail_Sales_Analyis[[#This Row],[Final_Price]]-Retail_Sales_Analyis[[#This Row],[Total_Price]]</f>
        <v>0</v>
      </c>
      <c r="S6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2" spans="1:19" x14ac:dyDescent="0.25">
      <c r="A642" s="1" t="s">
        <v>1250</v>
      </c>
      <c r="B642" s="2">
        <v>45618</v>
      </c>
      <c r="C642" s="1" t="s">
        <v>18</v>
      </c>
      <c r="D642" s="1" t="s">
        <v>144</v>
      </c>
      <c r="E642" s="1" t="s">
        <v>239</v>
      </c>
      <c r="F642" s="1" t="s">
        <v>84</v>
      </c>
      <c r="G642" s="1" t="s">
        <v>85</v>
      </c>
      <c r="H642" s="1" t="s">
        <v>86</v>
      </c>
      <c r="I642" s="1">
        <v>2418.13</v>
      </c>
      <c r="J642" s="1">
        <v>2</v>
      </c>
      <c r="K642" s="1">
        <v>4836.26</v>
      </c>
      <c r="L642" s="1">
        <v>5</v>
      </c>
      <c r="M642" s="1">
        <v>241.81</v>
      </c>
      <c r="N642" s="1">
        <v>4594.45</v>
      </c>
      <c r="O642" s="1" t="s">
        <v>33</v>
      </c>
      <c r="P642" s="1" t="s">
        <v>1251</v>
      </c>
      <c r="Q642" s="1">
        <v>2</v>
      </c>
      <c r="R642" s="1">
        <f>Retail_Sales_Analyis[[#This Row],[Final_Price]]-Retail_Sales_Analyis[[#This Row],[Total_Price]]</f>
        <v>-241.8100000000004</v>
      </c>
      <c r="S6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43" spans="1:19" x14ac:dyDescent="0.25">
      <c r="A643" s="1" t="s">
        <v>1252</v>
      </c>
      <c r="B643" s="2">
        <v>45433</v>
      </c>
      <c r="C643" s="1" t="s">
        <v>42</v>
      </c>
      <c r="D643" s="1" t="s">
        <v>28</v>
      </c>
      <c r="E643" s="1" t="s">
        <v>125</v>
      </c>
      <c r="F643" s="1" t="s">
        <v>69</v>
      </c>
      <c r="G643" s="1" t="s">
        <v>85</v>
      </c>
      <c r="H643" s="1" t="s">
        <v>86</v>
      </c>
      <c r="I643" s="1">
        <v>1495.37</v>
      </c>
      <c r="J643" s="1">
        <v>8</v>
      </c>
      <c r="K643" s="1">
        <v>11962.96</v>
      </c>
      <c r="L643" s="1">
        <v>0</v>
      </c>
      <c r="M643" s="1">
        <v>0</v>
      </c>
      <c r="N643" s="1">
        <v>11962.96</v>
      </c>
      <c r="O643" s="1" t="s">
        <v>64</v>
      </c>
      <c r="P643" s="1" t="s">
        <v>765</v>
      </c>
      <c r="Q643" s="1">
        <v>3</v>
      </c>
      <c r="R643" s="1">
        <f>Retail_Sales_Analyis[[#This Row],[Final_Price]]-Retail_Sales_Analyis[[#This Row],[Total_Price]]</f>
        <v>0</v>
      </c>
      <c r="S6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4" spans="1:19" x14ac:dyDescent="0.25">
      <c r="A644" s="1" t="s">
        <v>1253</v>
      </c>
      <c r="B644" s="2">
        <v>45558</v>
      </c>
      <c r="C644" s="1" t="s">
        <v>116</v>
      </c>
      <c r="D644" s="1" t="s">
        <v>43</v>
      </c>
      <c r="E644" s="1" t="s">
        <v>312</v>
      </c>
      <c r="F644" s="1" t="s">
        <v>69</v>
      </c>
      <c r="G644" s="1" t="s">
        <v>78</v>
      </c>
      <c r="H644" s="1" t="s">
        <v>323</v>
      </c>
      <c r="I644" s="1">
        <v>314.02</v>
      </c>
      <c r="J644" s="1">
        <v>3</v>
      </c>
      <c r="K644" s="1">
        <v>942.06</v>
      </c>
      <c r="L644" s="1">
        <v>10</v>
      </c>
      <c r="M644" s="1">
        <v>94.21</v>
      </c>
      <c r="N644" s="1">
        <v>847.85</v>
      </c>
      <c r="O644" s="1" t="s">
        <v>46</v>
      </c>
      <c r="P644" s="1" t="s">
        <v>1254</v>
      </c>
      <c r="Q644" s="1">
        <v>1</v>
      </c>
      <c r="R644" s="1">
        <f>Retail_Sales_Analyis[[#This Row],[Final_Price]]-Retail_Sales_Analyis[[#This Row],[Total_Price]]</f>
        <v>-94.209999999999923</v>
      </c>
      <c r="S6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45" spans="1:19" x14ac:dyDescent="0.25">
      <c r="A645" s="1" t="s">
        <v>1255</v>
      </c>
      <c r="B645" s="2">
        <v>45540</v>
      </c>
      <c r="C645" s="1" t="s">
        <v>116</v>
      </c>
      <c r="D645" s="1" t="s">
        <v>67</v>
      </c>
      <c r="E645" s="1" t="s">
        <v>186</v>
      </c>
      <c r="F645" s="1" t="s">
        <v>30</v>
      </c>
      <c r="G645" s="1" t="s">
        <v>85</v>
      </c>
      <c r="H645" s="1" t="s">
        <v>180</v>
      </c>
      <c r="I645" s="1">
        <v>3988.36</v>
      </c>
      <c r="J645" s="1">
        <v>1</v>
      </c>
      <c r="K645" s="1">
        <v>3988.36</v>
      </c>
      <c r="L645" s="1">
        <v>0</v>
      </c>
      <c r="M645" s="1">
        <v>0</v>
      </c>
      <c r="N645" s="1">
        <v>3988.36</v>
      </c>
      <c r="O645" s="1" t="s">
        <v>64</v>
      </c>
      <c r="P645" s="1" t="s">
        <v>673</v>
      </c>
      <c r="Q645" s="1">
        <v>1</v>
      </c>
      <c r="R645" s="1">
        <f>Retail_Sales_Analyis[[#This Row],[Final_Price]]-Retail_Sales_Analyis[[#This Row],[Total_Price]]</f>
        <v>0</v>
      </c>
      <c r="S6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6" spans="1:19" x14ac:dyDescent="0.25">
      <c r="A646" s="1" t="s">
        <v>1256</v>
      </c>
      <c r="B646" s="2">
        <v>45612</v>
      </c>
      <c r="C646" s="1" t="s">
        <v>18</v>
      </c>
      <c r="D646" s="1" t="s">
        <v>19</v>
      </c>
      <c r="E646" s="1" t="s">
        <v>83</v>
      </c>
      <c r="F646" s="1" t="s">
        <v>30</v>
      </c>
      <c r="G646" s="1" t="s">
        <v>85</v>
      </c>
      <c r="H646" s="1" t="s">
        <v>86</v>
      </c>
      <c r="I646" s="1">
        <v>2684.22</v>
      </c>
      <c r="J646" s="1">
        <v>6</v>
      </c>
      <c r="K646" s="1">
        <v>16105.32</v>
      </c>
      <c r="L646" s="1">
        <v>0</v>
      </c>
      <c r="M646" s="1">
        <v>0</v>
      </c>
      <c r="N646" s="1">
        <v>16105.32</v>
      </c>
      <c r="O646" s="1" t="s">
        <v>64</v>
      </c>
      <c r="P646" s="1" t="s">
        <v>1257</v>
      </c>
      <c r="Q646" s="1">
        <v>2</v>
      </c>
      <c r="R646" s="1">
        <f>Retail_Sales_Analyis[[#This Row],[Final_Price]]-Retail_Sales_Analyis[[#This Row],[Total_Price]]</f>
        <v>0</v>
      </c>
      <c r="S6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7" spans="1:19" x14ac:dyDescent="0.25">
      <c r="A647" s="1" t="s">
        <v>1258</v>
      </c>
      <c r="B647" s="2">
        <v>45414</v>
      </c>
      <c r="C647" s="1" t="s">
        <v>42</v>
      </c>
      <c r="D647" s="1" t="s">
        <v>67</v>
      </c>
      <c r="E647" s="1" t="s">
        <v>204</v>
      </c>
      <c r="F647" s="1" t="s">
        <v>69</v>
      </c>
      <c r="G647" s="1" t="s">
        <v>22</v>
      </c>
      <c r="H647" s="1" t="s">
        <v>51</v>
      </c>
      <c r="I647" s="1">
        <v>640.1</v>
      </c>
      <c r="J647" s="1">
        <v>3</v>
      </c>
      <c r="K647" s="1">
        <v>1920.3</v>
      </c>
      <c r="L647" s="1">
        <v>0</v>
      </c>
      <c r="M647" s="1">
        <v>0</v>
      </c>
      <c r="N647" s="1">
        <v>1920.3</v>
      </c>
      <c r="O647" s="1" t="s">
        <v>33</v>
      </c>
      <c r="P647" s="1" t="s">
        <v>1259</v>
      </c>
      <c r="Q647" s="1">
        <v>5</v>
      </c>
      <c r="R647" s="1">
        <f>Retail_Sales_Analyis[[#This Row],[Final_Price]]-Retail_Sales_Analyis[[#This Row],[Total_Price]]</f>
        <v>0</v>
      </c>
      <c r="S6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8" spans="1:19" x14ac:dyDescent="0.25">
      <c r="A648" s="1" t="s">
        <v>1260</v>
      </c>
      <c r="B648" s="2">
        <v>45432</v>
      </c>
      <c r="C648" s="1" t="s">
        <v>42</v>
      </c>
      <c r="D648" s="1" t="s">
        <v>43</v>
      </c>
      <c r="E648" s="1" t="s">
        <v>157</v>
      </c>
      <c r="F648" s="1" t="s">
        <v>21</v>
      </c>
      <c r="G648" s="1" t="s">
        <v>169</v>
      </c>
      <c r="H648" s="1" t="s">
        <v>208</v>
      </c>
      <c r="I648" s="1">
        <v>1251.26</v>
      </c>
      <c r="J648" s="1">
        <v>3</v>
      </c>
      <c r="K648" s="1">
        <v>3753.78</v>
      </c>
      <c r="L648" s="1">
        <v>0</v>
      </c>
      <c r="M648" s="1">
        <v>0</v>
      </c>
      <c r="N648" s="1">
        <v>3753.78</v>
      </c>
      <c r="O648" s="1" t="s">
        <v>46</v>
      </c>
      <c r="P648" s="1" t="s">
        <v>1261</v>
      </c>
      <c r="Q648" s="1">
        <v>5</v>
      </c>
      <c r="R648" s="1">
        <f>Retail_Sales_Analyis[[#This Row],[Final_Price]]-Retail_Sales_Analyis[[#This Row],[Total_Price]]</f>
        <v>0</v>
      </c>
      <c r="S6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49" spans="1:19" x14ac:dyDescent="0.25">
      <c r="A649" s="1" t="s">
        <v>1262</v>
      </c>
      <c r="B649" s="2">
        <v>45517</v>
      </c>
      <c r="C649" s="1" t="s">
        <v>93</v>
      </c>
      <c r="D649" s="1" t="s">
        <v>28</v>
      </c>
      <c r="E649" s="1" t="s">
        <v>94</v>
      </c>
      <c r="F649" s="1" t="s">
        <v>69</v>
      </c>
      <c r="G649" s="1" t="s">
        <v>78</v>
      </c>
      <c r="H649" s="1" t="s">
        <v>136</v>
      </c>
      <c r="I649" s="1">
        <v>589.4</v>
      </c>
      <c r="J649" s="1">
        <v>1</v>
      </c>
      <c r="K649" s="1">
        <v>589.4</v>
      </c>
      <c r="L649" s="1">
        <v>5</v>
      </c>
      <c r="M649" s="1">
        <v>29.47</v>
      </c>
      <c r="N649" s="1">
        <v>559.92999999999995</v>
      </c>
      <c r="O649" s="1" t="s">
        <v>33</v>
      </c>
      <c r="P649" s="1" t="s">
        <v>759</v>
      </c>
      <c r="Q649" s="1">
        <v>3</v>
      </c>
      <c r="R649" s="1">
        <f>Retail_Sales_Analyis[[#This Row],[Final_Price]]-Retail_Sales_Analyis[[#This Row],[Total_Price]]</f>
        <v>-29.470000000000027</v>
      </c>
      <c r="S6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50" spans="1:19" x14ac:dyDescent="0.25">
      <c r="A650" s="1" t="s">
        <v>1263</v>
      </c>
      <c r="B650" s="2">
        <v>45331</v>
      </c>
      <c r="C650" s="1" t="s">
        <v>27</v>
      </c>
      <c r="D650" s="1" t="s">
        <v>144</v>
      </c>
      <c r="E650" s="1" t="s">
        <v>77</v>
      </c>
      <c r="F650" s="1" t="s">
        <v>37</v>
      </c>
      <c r="G650" s="1" t="s">
        <v>22</v>
      </c>
      <c r="H650" s="1" t="s">
        <v>23</v>
      </c>
      <c r="I650" s="1">
        <v>694.09</v>
      </c>
      <c r="J650" s="1">
        <v>9</v>
      </c>
      <c r="K650" s="1">
        <v>6246.81</v>
      </c>
      <c r="L650" s="1">
        <v>0</v>
      </c>
      <c r="M650" s="1">
        <v>0</v>
      </c>
      <c r="N650" s="1">
        <v>6246.81</v>
      </c>
      <c r="O650" s="1" t="s">
        <v>64</v>
      </c>
      <c r="P650" s="1" t="s">
        <v>1264</v>
      </c>
      <c r="Q650" s="1">
        <v>3</v>
      </c>
      <c r="R650" s="1">
        <f>Retail_Sales_Analyis[[#This Row],[Final_Price]]-Retail_Sales_Analyis[[#This Row],[Total_Price]]</f>
        <v>0</v>
      </c>
      <c r="S6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51" spans="1:19" x14ac:dyDescent="0.25">
      <c r="A651" s="1" t="s">
        <v>1265</v>
      </c>
      <c r="B651" s="2">
        <v>45657</v>
      </c>
      <c r="C651" s="1" t="s">
        <v>73</v>
      </c>
      <c r="D651" s="1" t="s">
        <v>28</v>
      </c>
      <c r="E651" s="1" t="s">
        <v>168</v>
      </c>
      <c r="F651" s="1" t="s">
        <v>84</v>
      </c>
      <c r="G651" s="1" t="s">
        <v>38</v>
      </c>
      <c r="H651" s="1" t="s">
        <v>214</v>
      </c>
      <c r="I651" s="1">
        <v>566.42999999999995</v>
      </c>
      <c r="J651" s="1">
        <v>7</v>
      </c>
      <c r="K651" s="1">
        <v>3965.01</v>
      </c>
      <c r="L651" s="1">
        <v>0</v>
      </c>
      <c r="M651" s="1">
        <v>0</v>
      </c>
      <c r="N651" s="1">
        <v>3965.01</v>
      </c>
      <c r="O651" s="1" t="s">
        <v>33</v>
      </c>
      <c r="P651" s="1" t="s">
        <v>502</v>
      </c>
      <c r="Q651" s="1">
        <v>1</v>
      </c>
      <c r="R651" s="1">
        <f>Retail_Sales_Analyis[[#This Row],[Final_Price]]-Retail_Sales_Analyis[[#This Row],[Total_Price]]</f>
        <v>0</v>
      </c>
      <c r="S6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52" spans="1:19" x14ac:dyDescent="0.25">
      <c r="A652" s="1" t="s">
        <v>1266</v>
      </c>
      <c r="B652" s="2">
        <v>45438</v>
      </c>
      <c r="C652" s="1" t="s">
        <v>42</v>
      </c>
      <c r="D652" s="1" t="s">
        <v>49</v>
      </c>
      <c r="E652" s="1" t="s">
        <v>322</v>
      </c>
      <c r="F652" s="1" t="s">
        <v>21</v>
      </c>
      <c r="G652" s="1" t="s">
        <v>85</v>
      </c>
      <c r="H652" s="1" t="s">
        <v>98</v>
      </c>
      <c r="I652" s="1">
        <v>4970.21</v>
      </c>
      <c r="J652" s="1">
        <v>10</v>
      </c>
      <c r="K652" s="1">
        <v>49702.1</v>
      </c>
      <c r="L652" s="1">
        <v>15</v>
      </c>
      <c r="M652" s="1">
        <v>7455.31</v>
      </c>
      <c r="N652" s="1">
        <v>42246.79</v>
      </c>
      <c r="O652" s="1" t="s">
        <v>64</v>
      </c>
      <c r="P652" s="1" t="s">
        <v>1267</v>
      </c>
      <c r="Q652" s="1">
        <v>2</v>
      </c>
      <c r="R652" s="1">
        <f>Retail_Sales_Analyis[[#This Row],[Final_Price]]-Retail_Sales_Analyis[[#This Row],[Total_Price]]</f>
        <v>-7455.3099999999977</v>
      </c>
      <c r="S6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53" spans="1:19" x14ac:dyDescent="0.25">
      <c r="A653" s="1" t="s">
        <v>1268</v>
      </c>
      <c r="B653" s="2">
        <v>45412</v>
      </c>
      <c r="C653" s="1" t="s">
        <v>54</v>
      </c>
      <c r="D653" s="1" t="s">
        <v>28</v>
      </c>
      <c r="E653" s="1" t="s">
        <v>186</v>
      </c>
      <c r="F653" s="1" t="s">
        <v>37</v>
      </c>
      <c r="G653" s="1" t="s">
        <v>112</v>
      </c>
      <c r="H653" s="1" t="s">
        <v>118</v>
      </c>
      <c r="I653" s="1">
        <v>1985.6</v>
      </c>
      <c r="J653" s="1">
        <v>3</v>
      </c>
      <c r="K653" s="1">
        <v>5956.8</v>
      </c>
      <c r="L653" s="1">
        <v>5</v>
      </c>
      <c r="M653" s="1">
        <v>297.83999999999997</v>
      </c>
      <c r="N653" s="1">
        <v>5658.96</v>
      </c>
      <c r="O653" s="1" t="s">
        <v>24</v>
      </c>
      <c r="P653" s="1" t="s">
        <v>1269</v>
      </c>
      <c r="Q653" s="1">
        <v>5</v>
      </c>
      <c r="R653" s="1">
        <f>Retail_Sales_Analyis[[#This Row],[Final_Price]]-Retail_Sales_Analyis[[#This Row],[Total_Price]]</f>
        <v>-297.84000000000015</v>
      </c>
      <c r="S6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54" spans="1:19" x14ac:dyDescent="0.25">
      <c r="A654" s="1" t="s">
        <v>1270</v>
      </c>
      <c r="B654" s="2">
        <v>45431</v>
      </c>
      <c r="C654" s="1" t="s">
        <v>42</v>
      </c>
      <c r="D654" s="1" t="s">
        <v>49</v>
      </c>
      <c r="E654" s="1" t="s">
        <v>62</v>
      </c>
      <c r="F654" s="1" t="s">
        <v>69</v>
      </c>
      <c r="G654" s="1" t="s">
        <v>112</v>
      </c>
      <c r="H654" s="1" t="s">
        <v>288</v>
      </c>
      <c r="I654" s="1">
        <v>1110.95</v>
      </c>
      <c r="J654" s="1">
        <v>5</v>
      </c>
      <c r="K654" s="1">
        <v>5554.75</v>
      </c>
      <c r="L654" s="1">
        <v>15</v>
      </c>
      <c r="M654" s="1">
        <v>833.21</v>
      </c>
      <c r="N654" s="1">
        <v>4721.54</v>
      </c>
      <c r="O654" s="1" t="s">
        <v>64</v>
      </c>
      <c r="P654" s="1" t="s">
        <v>1271</v>
      </c>
      <c r="Q654" s="1">
        <v>2</v>
      </c>
      <c r="R654" s="1">
        <f>Retail_Sales_Analyis[[#This Row],[Final_Price]]-Retail_Sales_Analyis[[#This Row],[Total_Price]]</f>
        <v>-833.21</v>
      </c>
      <c r="S6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55" spans="1:19" x14ac:dyDescent="0.25">
      <c r="A655" s="1" t="s">
        <v>1272</v>
      </c>
      <c r="B655" s="2">
        <v>45463</v>
      </c>
      <c r="C655" s="1" t="s">
        <v>173</v>
      </c>
      <c r="D655" s="1" t="s">
        <v>67</v>
      </c>
      <c r="E655" s="1" t="s">
        <v>307</v>
      </c>
      <c r="F655" s="1" t="s">
        <v>30</v>
      </c>
      <c r="G655" s="1" t="s">
        <v>112</v>
      </c>
      <c r="H655" s="1" t="s">
        <v>183</v>
      </c>
      <c r="I655" s="1">
        <v>1140.6099999999999</v>
      </c>
      <c r="J655" s="1">
        <v>1</v>
      </c>
      <c r="K655" s="1">
        <v>1140.6099999999999</v>
      </c>
      <c r="L655" s="1">
        <v>0</v>
      </c>
      <c r="M655" s="1">
        <v>0</v>
      </c>
      <c r="N655" s="1">
        <v>1140.6099999999999</v>
      </c>
      <c r="O655" s="1" t="s">
        <v>24</v>
      </c>
      <c r="P655" s="1" t="s">
        <v>1273</v>
      </c>
      <c r="Q655" s="1">
        <v>3</v>
      </c>
      <c r="R655" s="1">
        <f>Retail_Sales_Analyis[[#This Row],[Final_Price]]-Retail_Sales_Analyis[[#This Row],[Total_Price]]</f>
        <v>0</v>
      </c>
      <c r="S6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56" spans="1:19" x14ac:dyDescent="0.25">
      <c r="A656" s="1" t="s">
        <v>1274</v>
      </c>
      <c r="B656" s="2">
        <v>45455</v>
      </c>
      <c r="C656" s="1" t="s">
        <v>173</v>
      </c>
      <c r="D656" s="1" t="s">
        <v>55</v>
      </c>
      <c r="E656" s="1" t="s">
        <v>111</v>
      </c>
      <c r="F656" s="1" t="s">
        <v>30</v>
      </c>
      <c r="G656" s="1" t="s">
        <v>78</v>
      </c>
      <c r="H656" s="1" t="s">
        <v>136</v>
      </c>
      <c r="I656" s="1">
        <v>261.14</v>
      </c>
      <c r="J656" s="1">
        <v>1</v>
      </c>
      <c r="K656" s="1">
        <v>261.14</v>
      </c>
      <c r="L656" s="1">
        <v>0</v>
      </c>
      <c r="M656" s="1">
        <v>0</v>
      </c>
      <c r="N656" s="1">
        <v>261.14</v>
      </c>
      <c r="O656" s="1" t="s">
        <v>24</v>
      </c>
      <c r="P656" s="1" t="s">
        <v>209</v>
      </c>
      <c r="Q656" s="1">
        <v>1</v>
      </c>
      <c r="R656" s="1">
        <f>Retail_Sales_Analyis[[#This Row],[Final_Price]]-Retail_Sales_Analyis[[#This Row],[Total_Price]]</f>
        <v>0</v>
      </c>
      <c r="S6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57" spans="1:19" x14ac:dyDescent="0.25">
      <c r="A657" s="1" t="s">
        <v>1275</v>
      </c>
      <c r="B657" s="2">
        <v>45568</v>
      </c>
      <c r="C657" s="1" t="s">
        <v>76</v>
      </c>
      <c r="D657" s="1" t="s">
        <v>67</v>
      </c>
      <c r="E657" s="1" t="s">
        <v>151</v>
      </c>
      <c r="F657" s="1" t="s">
        <v>69</v>
      </c>
      <c r="G657" s="1" t="s">
        <v>38</v>
      </c>
      <c r="H657" s="1" t="s">
        <v>108</v>
      </c>
      <c r="I657" s="1">
        <v>296.11</v>
      </c>
      <c r="J657" s="1">
        <v>10</v>
      </c>
      <c r="K657" s="1">
        <v>2961.1</v>
      </c>
      <c r="L657" s="1">
        <v>0</v>
      </c>
      <c r="M657" s="1">
        <v>0</v>
      </c>
      <c r="N657" s="1">
        <v>2961.1</v>
      </c>
      <c r="O657" s="1" t="s">
        <v>33</v>
      </c>
      <c r="P657" s="1" t="s">
        <v>1276</v>
      </c>
      <c r="Q657" s="1">
        <v>2</v>
      </c>
      <c r="R657" s="1">
        <f>Retail_Sales_Analyis[[#This Row],[Final_Price]]-Retail_Sales_Analyis[[#This Row],[Total_Price]]</f>
        <v>0</v>
      </c>
      <c r="S6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58" spans="1:19" x14ac:dyDescent="0.25">
      <c r="A658" s="1" t="s">
        <v>1277</v>
      </c>
      <c r="B658" s="2">
        <v>45333</v>
      </c>
      <c r="C658" s="1" t="s">
        <v>27</v>
      </c>
      <c r="D658" s="1" t="s">
        <v>49</v>
      </c>
      <c r="E658" s="1" t="s">
        <v>62</v>
      </c>
      <c r="F658" s="1" t="s">
        <v>30</v>
      </c>
      <c r="G658" s="1" t="s">
        <v>78</v>
      </c>
      <c r="H658" s="1" t="s">
        <v>323</v>
      </c>
      <c r="I658" s="1">
        <v>200.19</v>
      </c>
      <c r="J658" s="1">
        <v>1</v>
      </c>
      <c r="K658" s="1">
        <v>200.19</v>
      </c>
      <c r="L658" s="1">
        <v>15</v>
      </c>
      <c r="M658" s="1">
        <v>30.03</v>
      </c>
      <c r="N658" s="1">
        <v>170.16</v>
      </c>
      <c r="O658" s="1" t="s">
        <v>80</v>
      </c>
      <c r="P658" s="1" t="s">
        <v>1278</v>
      </c>
      <c r="Q658" s="1">
        <v>2</v>
      </c>
      <c r="R658" s="1">
        <f>Retail_Sales_Analyis[[#This Row],[Final_Price]]-Retail_Sales_Analyis[[#This Row],[Total_Price]]</f>
        <v>-30.03</v>
      </c>
      <c r="S6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59" spans="1:19" x14ac:dyDescent="0.25">
      <c r="A659" s="1" t="s">
        <v>1279</v>
      </c>
      <c r="B659" s="2">
        <v>45362</v>
      </c>
      <c r="C659" s="1" t="s">
        <v>61</v>
      </c>
      <c r="D659" s="1" t="s">
        <v>43</v>
      </c>
      <c r="E659" s="1" t="s">
        <v>132</v>
      </c>
      <c r="F659" s="1" t="s">
        <v>69</v>
      </c>
      <c r="G659" s="1" t="s">
        <v>78</v>
      </c>
      <c r="H659" s="1" t="s">
        <v>126</v>
      </c>
      <c r="I659" s="1">
        <v>387.99</v>
      </c>
      <c r="J659" s="1">
        <v>6</v>
      </c>
      <c r="K659" s="1">
        <v>2327.94</v>
      </c>
      <c r="L659" s="1">
        <v>0</v>
      </c>
      <c r="M659" s="1">
        <v>0</v>
      </c>
      <c r="N659" s="1">
        <v>2327.94</v>
      </c>
      <c r="O659" s="1" t="s">
        <v>46</v>
      </c>
      <c r="P659" s="1" t="s">
        <v>1280</v>
      </c>
      <c r="Q659" s="1">
        <v>2</v>
      </c>
      <c r="R659" s="1">
        <f>Retail_Sales_Analyis[[#This Row],[Final_Price]]-Retail_Sales_Analyis[[#This Row],[Total_Price]]</f>
        <v>0</v>
      </c>
      <c r="S6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0" spans="1:19" x14ac:dyDescent="0.25">
      <c r="A660" s="1" t="s">
        <v>1281</v>
      </c>
      <c r="B660" s="2">
        <v>45369</v>
      </c>
      <c r="C660" s="1" t="s">
        <v>61</v>
      </c>
      <c r="D660" s="1" t="s">
        <v>43</v>
      </c>
      <c r="E660" s="1" t="s">
        <v>20</v>
      </c>
      <c r="F660" s="1" t="s">
        <v>21</v>
      </c>
      <c r="G660" s="1" t="s">
        <v>169</v>
      </c>
      <c r="H660" s="1" t="s">
        <v>366</v>
      </c>
      <c r="I660" s="1">
        <v>1055.47</v>
      </c>
      <c r="J660" s="1">
        <v>10</v>
      </c>
      <c r="K660" s="1">
        <v>10554.7</v>
      </c>
      <c r="L660" s="1">
        <v>0</v>
      </c>
      <c r="M660" s="1">
        <v>0</v>
      </c>
      <c r="N660" s="1">
        <v>10554.7</v>
      </c>
      <c r="O660" s="1" t="s">
        <v>24</v>
      </c>
      <c r="P660" s="1" t="s">
        <v>1282</v>
      </c>
      <c r="Q660" s="1">
        <v>5</v>
      </c>
      <c r="R660" s="1">
        <f>Retail_Sales_Analyis[[#This Row],[Final_Price]]-Retail_Sales_Analyis[[#This Row],[Total_Price]]</f>
        <v>0</v>
      </c>
      <c r="S6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1" spans="1:19" x14ac:dyDescent="0.25">
      <c r="A661" s="1" t="s">
        <v>1283</v>
      </c>
      <c r="B661" s="2">
        <v>45410</v>
      </c>
      <c r="C661" s="1" t="s">
        <v>54</v>
      </c>
      <c r="D661" s="1" t="s">
        <v>49</v>
      </c>
      <c r="E661" s="1" t="s">
        <v>204</v>
      </c>
      <c r="F661" s="1" t="s">
        <v>69</v>
      </c>
      <c r="G661" s="1" t="s">
        <v>31</v>
      </c>
      <c r="H661" s="1" t="s">
        <v>329</v>
      </c>
      <c r="I661" s="1">
        <v>83.7</v>
      </c>
      <c r="J661" s="1">
        <v>9</v>
      </c>
      <c r="K661" s="1">
        <v>753.3</v>
      </c>
      <c r="L661" s="1">
        <v>10</v>
      </c>
      <c r="M661" s="1">
        <v>75.33</v>
      </c>
      <c r="N661" s="1">
        <v>677.97</v>
      </c>
      <c r="O661" s="1" t="s">
        <v>46</v>
      </c>
      <c r="P661" s="1" t="s">
        <v>1284</v>
      </c>
      <c r="Q661" s="1">
        <v>3</v>
      </c>
      <c r="R661" s="1">
        <f>Retail_Sales_Analyis[[#This Row],[Final_Price]]-Retail_Sales_Analyis[[#This Row],[Total_Price]]</f>
        <v>-75.329999999999927</v>
      </c>
      <c r="S6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62" spans="1:19" x14ac:dyDescent="0.25">
      <c r="A662" s="1" t="s">
        <v>1285</v>
      </c>
      <c r="B662" s="2">
        <v>45488</v>
      </c>
      <c r="C662" s="1" t="s">
        <v>195</v>
      </c>
      <c r="D662" s="1" t="s">
        <v>43</v>
      </c>
      <c r="E662" s="1" t="s">
        <v>163</v>
      </c>
      <c r="F662" s="1" t="s">
        <v>30</v>
      </c>
      <c r="G662" s="1" t="s">
        <v>57</v>
      </c>
      <c r="H662" s="1" t="s">
        <v>122</v>
      </c>
      <c r="I662" s="1">
        <v>2218.15</v>
      </c>
      <c r="J662" s="1">
        <v>1</v>
      </c>
      <c r="K662" s="1">
        <v>2218.15</v>
      </c>
      <c r="L662" s="1">
        <v>0</v>
      </c>
      <c r="M662" s="1">
        <v>0</v>
      </c>
      <c r="N662" s="1">
        <v>2218.15</v>
      </c>
      <c r="O662" s="1" t="s">
        <v>64</v>
      </c>
      <c r="P662" s="1" t="s">
        <v>211</v>
      </c>
      <c r="Q662" s="1">
        <v>4</v>
      </c>
      <c r="R662" s="1">
        <f>Retail_Sales_Analyis[[#This Row],[Final_Price]]-Retail_Sales_Analyis[[#This Row],[Total_Price]]</f>
        <v>0</v>
      </c>
      <c r="S6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3" spans="1:19" x14ac:dyDescent="0.25">
      <c r="A663" s="1" t="s">
        <v>1286</v>
      </c>
      <c r="B663" s="2">
        <v>45647</v>
      </c>
      <c r="C663" s="1" t="s">
        <v>73</v>
      </c>
      <c r="D663" s="1" t="s">
        <v>19</v>
      </c>
      <c r="E663" s="1" t="s">
        <v>261</v>
      </c>
      <c r="F663" s="1" t="s">
        <v>84</v>
      </c>
      <c r="G663" s="1" t="s">
        <v>78</v>
      </c>
      <c r="H663" s="1" t="s">
        <v>323</v>
      </c>
      <c r="I663" s="1">
        <v>351.82</v>
      </c>
      <c r="J663" s="1">
        <v>2</v>
      </c>
      <c r="K663" s="1">
        <v>703.64</v>
      </c>
      <c r="L663" s="1">
        <v>5</v>
      </c>
      <c r="M663" s="1">
        <v>35.18</v>
      </c>
      <c r="N663" s="1">
        <v>668.46</v>
      </c>
      <c r="O663" s="1" t="s">
        <v>24</v>
      </c>
      <c r="P663" s="1" t="s">
        <v>1287</v>
      </c>
      <c r="Q663" s="1">
        <v>4</v>
      </c>
      <c r="R663" s="1">
        <f>Retail_Sales_Analyis[[#This Row],[Final_Price]]-Retail_Sales_Analyis[[#This Row],[Total_Price]]</f>
        <v>-35.17999999999995</v>
      </c>
      <c r="S6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64" spans="1:19" x14ac:dyDescent="0.25">
      <c r="A664" s="1" t="s">
        <v>1288</v>
      </c>
      <c r="B664" s="2">
        <v>45370</v>
      </c>
      <c r="C664" s="1" t="s">
        <v>61</v>
      </c>
      <c r="D664" s="1" t="s">
        <v>28</v>
      </c>
      <c r="E664" s="1" t="s">
        <v>111</v>
      </c>
      <c r="F664" s="1" t="s">
        <v>21</v>
      </c>
      <c r="G664" s="1" t="s">
        <v>112</v>
      </c>
      <c r="H664" s="1" t="s">
        <v>113</v>
      </c>
      <c r="I664" s="1">
        <v>1398.73</v>
      </c>
      <c r="J664" s="1">
        <v>3</v>
      </c>
      <c r="K664" s="1">
        <v>4196.1899999999996</v>
      </c>
      <c r="L664" s="1">
        <v>0</v>
      </c>
      <c r="M664" s="1">
        <v>0</v>
      </c>
      <c r="N664" s="1">
        <v>4196.1899999999996</v>
      </c>
      <c r="O664" s="1" t="s">
        <v>24</v>
      </c>
      <c r="P664" s="1" t="s">
        <v>1176</v>
      </c>
      <c r="Q664" s="1">
        <v>5</v>
      </c>
      <c r="R664" s="1">
        <f>Retail_Sales_Analyis[[#This Row],[Final_Price]]-Retail_Sales_Analyis[[#This Row],[Total_Price]]</f>
        <v>0</v>
      </c>
      <c r="S6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5" spans="1:19" x14ac:dyDescent="0.25">
      <c r="A665" s="1" t="s">
        <v>1289</v>
      </c>
      <c r="B665" s="2">
        <v>45653</v>
      </c>
      <c r="C665" s="1" t="s">
        <v>73</v>
      </c>
      <c r="D665" s="1" t="s">
        <v>144</v>
      </c>
      <c r="E665" s="1" t="s">
        <v>174</v>
      </c>
      <c r="F665" s="1" t="s">
        <v>84</v>
      </c>
      <c r="G665" s="1" t="s">
        <v>22</v>
      </c>
      <c r="H665" s="1" t="s">
        <v>51</v>
      </c>
      <c r="I665" s="1">
        <v>747.76</v>
      </c>
      <c r="J665" s="1">
        <v>9</v>
      </c>
      <c r="K665" s="1">
        <v>6729.84</v>
      </c>
      <c r="L665" s="1">
        <v>0</v>
      </c>
      <c r="M665" s="1">
        <v>0</v>
      </c>
      <c r="N665" s="1">
        <v>6729.84</v>
      </c>
      <c r="O665" s="1" t="s">
        <v>64</v>
      </c>
      <c r="P665" s="1" t="s">
        <v>1201</v>
      </c>
      <c r="Q665" s="1">
        <v>4</v>
      </c>
      <c r="R665" s="1">
        <f>Retail_Sales_Analyis[[#This Row],[Final_Price]]-Retail_Sales_Analyis[[#This Row],[Total_Price]]</f>
        <v>0</v>
      </c>
      <c r="S6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6" spans="1:19" x14ac:dyDescent="0.25">
      <c r="A666" s="1" t="s">
        <v>1290</v>
      </c>
      <c r="B666" s="2">
        <v>45401</v>
      </c>
      <c r="C666" s="1" t="s">
        <v>54</v>
      </c>
      <c r="D666" s="1" t="s">
        <v>144</v>
      </c>
      <c r="E666" s="1" t="s">
        <v>196</v>
      </c>
      <c r="F666" s="1" t="s">
        <v>21</v>
      </c>
      <c r="G666" s="1" t="s">
        <v>22</v>
      </c>
      <c r="H666" s="1" t="s">
        <v>51</v>
      </c>
      <c r="I666" s="1">
        <v>685.77</v>
      </c>
      <c r="J666" s="1">
        <v>4</v>
      </c>
      <c r="K666" s="1">
        <v>2743.08</v>
      </c>
      <c r="L666" s="1">
        <v>0</v>
      </c>
      <c r="M666" s="1">
        <v>0</v>
      </c>
      <c r="N666" s="1">
        <v>2743.08</v>
      </c>
      <c r="O666" s="1" t="s">
        <v>24</v>
      </c>
      <c r="P666" s="1" t="s">
        <v>659</v>
      </c>
      <c r="Q666" s="1">
        <v>2</v>
      </c>
      <c r="R666" s="1">
        <f>Retail_Sales_Analyis[[#This Row],[Final_Price]]-Retail_Sales_Analyis[[#This Row],[Total_Price]]</f>
        <v>0</v>
      </c>
      <c r="S6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7" spans="1:19" x14ac:dyDescent="0.25">
      <c r="A667" s="1" t="s">
        <v>1291</v>
      </c>
      <c r="B667" s="2">
        <v>45324</v>
      </c>
      <c r="C667" s="1" t="s">
        <v>27</v>
      </c>
      <c r="D667" s="1" t="s">
        <v>144</v>
      </c>
      <c r="E667" s="1" t="s">
        <v>94</v>
      </c>
      <c r="F667" s="1" t="s">
        <v>30</v>
      </c>
      <c r="G667" s="1" t="s">
        <v>112</v>
      </c>
      <c r="H667" s="1" t="s">
        <v>183</v>
      </c>
      <c r="I667" s="1">
        <v>1183.1600000000001</v>
      </c>
      <c r="J667" s="1">
        <v>9</v>
      </c>
      <c r="K667" s="1">
        <v>10648.44</v>
      </c>
      <c r="L667" s="1">
        <v>0</v>
      </c>
      <c r="M667" s="1">
        <v>0</v>
      </c>
      <c r="N667" s="1">
        <v>10648.44</v>
      </c>
      <c r="O667" s="1" t="s">
        <v>46</v>
      </c>
      <c r="P667" s="1" t="s">
        <v>1292</v>
      </c>
      <c r="Q667" s="1">
        <v>2</v>
      </c>
      <c r="R667" s="1">
        <f>Retail_Sales_Analyis[[#This Row],[Final_Price]]-Retail_Sales_Analyis[[#This Row],[Total_Price]]</f>
        <v>0</v>
      </c>
      <c r="S6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8" spans="1:19" x14ac:dyDescent="0.25">
      <c r="A668" s="1" t="s">
        <v>1293</v>
      </c>
      <c r="B668" s="2">
        <v>45504</v>
      </c>
      <c r="C668" s="1" t="s">
        <v>195</v>
      </c>
      <c r="D668" s="1" t="s">
        <v>55</v>
      </c>
      <c r="E668" s="1" t="s">
        <v>328</v>
      </c>
      <c r="F668" s="1" t="s">
        <v>21</v>
      </c>
      <c r="G668" s="1" t="s">
        <v>169</v>
      </c>
      <c r="H668" s="1" t="s">
        <v>366</v>
      </c>
      <c r="I668" s="1">
        <v>568.72</v>
      </c>
      <c r="J668" s="1">
        <v>9</v>
      </c>
      <c r="K668" s="1">
        <v>5118.4799999999996</v>
      </c>
      <c r="L668" s="1">
        <v>0</v>
      </c>
      <c r="M668" s="1">
        <v>0</v>
      </c>
      <c r="N668" s="1">
        <v>5118.4799999999996</v>
      </c>
      <c r="O668" s="1" t="s">
        <v>46</v>
      </c>
      <c r="P668" s="1" t="s">
        <v>1294</v>
      </c>
      <c r="Q668" s="1">
        <v>1</v>
      </c>
      <c r="R668" s="1">
        <f>Retail_Sales_Analyis[[#This Row],[Final_Price]]-Retail_Sales_Analyis[[#This Row],[Total_Price]]</f>
        <v>0</v>
      </c>
      <c r="S6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69" spans="1:19" x14ac:dyDescent="0.25">
      <c r="A669" s="1" t="s">
        <v>1295</v>
      </c>
      <c r="B669" s="2">
        <v>45500</v>
      </c>
      <c r="C669" s="1" t="s">
        <v>195</v>
      </c>
      <c r="D669" s="1" t="s">
        <v>19</v>
      </c>
      <c r="E669" s="1" t="s">
        <v>141</v>
      </c>
      <c r="F669" s="1" t="s">
        <v>37</v>
      </c>
      <c r="G669" s="1" t="s">
        <v>38</v>
      </c>
      <c r="H669" s="1" t="s">
        <v>214</v>
      </c>
      <c r="I669" s="1">
        <v>289.3</v>
      </c>
      <c r="J669" s="1">
        <v>1</v>
      </c>
      <c r="K669" s="1">
        <v>289.3</v>
      </c>
      <c r="L669" s="1">
        <v>15</v>
      </c>
      <c r="M669" s="1">
        <v>43.4</v>
      </c>
      <c r="N669" s="1">
        <v>245.9</v>
      </c>
      <c r="O669" s="1" t="s">
        <v>64</v>
      </c>
      <c r="P669" s="1" t="s">
        <v>1296</v>
      </c>
      <c r="Q669" s="1">
        <v>2</v>
      </c>
      <c r="R669" s="1">
        <f>Retail_Sales_Analyis[[#This Row],[Final_Price]]-Retail_Sales_Analyis[[#This Row],[Total_Price]]</f>
        <v>-43.400000000000006</v>
      </c>
      <c r="S6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70" spans="1:19" x14ac:dyDescent="0.25">
      <c r="A670" s="1" t="s">
        <v>1297</v>
      </c>
      <c r="B670" s="2">
        <v>45461</v>
      </c>
      <c r="C670" s="1" t="s">
        <v>173</v>
      </c>
      <c r="D670" s="1" t="s">
        <v>28</v>
      </c>
      <c r="E670" s="1" t="s">
        <v>204</v>
      </c>
      <c r="F670" s="1" t="s">
        <v>21</v>
      </c>
      <c r="G670" s="1" t="s">
        <v>78</v>
      </c>
      <c r="H670" s="1" t="s">
        <v>126</v>
      </c>
      <c r="I670" s="1">
        <v>587.5</v>
      </c>
      <c r="J670" s="1">
        <v>6</v>
      </c>
      <c r="K670" s="1">
        <v>3525</v>
      </c>
      <c r="L670" s="1">
        <v>0</v>
      </c>
      <c r="M670" s="1">
        <v>0</v>
      </c>
      <c r="N670" s="1">
        <v>3525</v>
      </c>
      <c r="O670" s="1" t="s">
        <v>80</v>
      </c>
      <c r="P670" s="1" t="s">
        <v>255</v>
      </c>
      <c r="Q670" s="1">
        <v>3</v>
      </c>
      <c r="R670" s="1">
        <f>Retail_Sales_Analyis[[#This Row],[Final_Price]]-Retail_Sales_Analyis[[#This Row],[Total_Price]]</f>
        <v>0</v>
      </c>
      <c r="S6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1" spans="1:19" x14ac:dyDescent="0.25">
      <c r="A671" s="1" t="s">
        <v>1298</v>
      </c>
      <c r="B671" s="2">
        <v>45569</v>
      </c>
      <c r="C671" s="1" t="s">
        <v>76</v>
      </c>
      <c r="D671" s="1" t="s">
        <v>144</v>
      </c>
      <c r="E671" s="1" t="s">
        <v>204</v>
      </c>
      <c r="F671" s="1" t="s">
        <v>30</v>
      </c>
      <c r="G671" s="1" t="s">
        <v>38</v>
      </c>
      <c r="H671" s="1" t="s">
        <v>422</v>
      </c>
      <c r="I671" s="1">
        <v>789.68</v>
      </c>
      <c r="J671" s="1">
        <v>1</v>
      </c>
      <c r="K671" s="1">
        <v>789.68</v>
      </c>
      <c r="L671" s="1">
        <v>20</v>
      </c>
      <c r="M671" s="1">
        <v>157.94</v>
      </c>
      <c r="N671" s="1">
        <v>631.74</v>
      </c>
      <c r="O671" s="1" t="s">
        <v>46</v>
      </c>
      <c r="P671" s="1" t="s">
        <v>1299</v>
      </c>
      <c r="Q671" s="1">
        <v>2</v>
      </c>
      <c r="R671" s="1">
        <f>Retail_Sales_Analyis[[#This Row],[Final_Price]]-Retail_Sales_Analyis[[#This Row],[Total_Price]]</f>
        <v>-157.93999999999994</v>
      </c>
      <c r="S67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72" spans="1:19" x14ac:dyDescent="0.25">
      <c r="A672" s="1" t="s">
        <v>1300</v>
      </c>
      <c r="B672" s="2">
        <v>45530</v>
      </c>
      <c r="C672" s="1" t="s">
        <v>93</v>
      </c>
      <c r="D672" s="1" t="s">
        <v>43</v>
      </c>
      <c r="E672" s="1" t="s">
        <v>328</v>
      </c>
      <c r="F672" s="1" t="s">
        <v>84</v>
      </c>
      <c r="G672" s="1" t="s">
        <v>38</v>
      </c>
      <c r="H672" s="1" t="s">
        <v>39</v>
      </c>
      <c r="I672" s="1">
        <v>476.17</v>
      </c>
      <c r="J672" s="1">
        <v>10</v>
      </c>
      <c r="K672" s="1">
        <v>4761.7</v>
      </c>
      <c r="L672" s="1">
        <v>0</v>
      </c>
      <c r="M672" s="1">
        <v>0</v>
      </c>
      <c r="N672" s="1">
        <v>4761.7</v>
      </c>
      <c r="O672" s="1" t="s">
        <v>33</v>
      </c>
      <c r="P672" s="1" t="s">
        <v>1301</v>
      </c>
      <c r="Q672" s="1">
        <v>3</v>
      </c>
      <c r="R672" s="1">
        <f>Retail_Sales_Analyis[[#This Row],[Final_Price]]-Retail_Sales_Analyis[[#This Row],[Total_Price]]</f>
        <v>0</v>
      </c>
      <c r="S6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3" spans="1:19" x14ac:dyDescent="0.25">
      <c r="A673" s="1" t="s">
        <v>1302</v>
      </c>
      <c r="B673" s="2">
        <v>45504</v>
      </c>
      <c r="C673" s="1" t="s">
        <v>195</v>
      </c>
      <c r="D673" s="1" t="s">
        <v>55</v>
      </c>
      <c r="E673" s="1" t="s">
        <v>107</v>
      </c>
      <c r="F673" s="1" t="s">
        <v>69</v>
      </c>
      <c r="G673" s="1" t="s">
        <v>57</v>
      </c>
      <c r="H673" s="1" t="s">
        <v>58</v>
      </c>
      <c r="I673" s="1">
        <v>817.79</v>
      </c>
      <c r="J673" s="1">
        <v>5</v>
      </c>
      <c r="K673" s="1">
        <v>4088.95</v>
      </c>
      <c r="L673" s="1">
        <v>0</v>
      </c>
      <c r="M673" s="1">
        <v>0</v>
      </c>
      <c r="N673" s="1">
        <v>4088.95</v>
      </c>
      <c r="O673" s="1" t="s">
        <v>80</v>
      </c>
      <c r="P673" s="1" t="s">
        <v>905</v>
      </c>
      <c r="Q673" s="1">
        <v>4</v>
      </c>
      <c r="R673" s="1">
        <f>Retail_Sales_Analyis[[#This Row],[Final_Price]]-Retail_Sales_Analyis[[#This Row],[Total_Price]]</f>
        <v>0</v>
      </c>
      <c r="S6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4" spans="1:19" x14ac:dyDescent="0.25">
      <c r="A674" s="1" t="s">
        <v>1303</v>
      </c>
      <c r="B674" s="2">
        <v>45323</v>
      </c>
      <c r="C674" s="1" t="s">
        <v>27</v>
      </c>
      <c r="D674" s="1" t="s">
        <v>67</v>
      </c>
      <c r="E674" s="1" t="s">
        <v>56</v>
      </c>
      <c r="F674" s="1" t="s">
        <v>21</v>
      </c>
      <c r="G674" s="1" t="s">
        <v>22</v>
      </c>
      <c r="H674" s="1" t="s">
        <v>277</v>
      </c>
      <c r="I674" s="1">
        <v>318.67</v>
      </c>
      <c r="J674" s="1">
        <v>8</v>
      </c>
      <c r="K674" s="1">
        <v>2549.36</v>
      </c>
      <c r="L674" s="1">
        <v>0</v>
      </c>
      <c r="M674" s="1">
        <v>0</v>
      </c>
      <c r="N674" s="1">
        <v>2549.36</v>
      </c>
      <c r="O674" s="1" t="s">
        <v>33</v>
      </c>
      <c r="P674" s="1" t="s">
        <v>896</v>
      </c>
      <c r="Q674" s="1">
        <v>2</v>
      </c>
      <c r="R674" s="1">
        <f>Retail_Sales_Analyis[[#This Row],[Final_Price]]-Retail_Sales_Analyis[[#This Row],[Total_Price]]</f>
        <v>0</v>
      </c>
      <c r="S6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5" spans="1:19" x14ac:dyDescent="0.25">
      <c r="A675" s="1" t="s">
        <v>1304</v>
      </c>
      <c r="B675" s="2">
        <v>45397</v>
      </c>
      <c r="C675" s="1" t="s">
        <v>54</v>
      </c>
      <c r="D675" s="1" t="s">
        <v>43</v>
      </c>
      <c r="E675" s="1" t="s">
        <v>351</v>
      </c>
      <c r="F675" s="1" t="s">
        <v>21</v>
      </c>
      <c r="G675" s="1" t="s">
        <v>85</v>
      </c>
      <c r="H675" s="1" t="s">
        <v>98</v>
      </c>
      <c r="I675" s="1">
        <v>3278.63</v>
      </c>
      <c r="J675" s="1">
        <v>3</v>
      </c>
      <c r="K675" s="1">
        <v>9835.89</v>
      </c>
      <c r="L675" s="1">
        <v>15</v>
      </c>
      <c r="M675" s="1">
        <v>1475.38</v>
      </c>
      <c r="N675" s="1">
        <v>8360.51</v>
      </c>
      <c r="O675" s="1" t="s">
        <v>46</v>
      </c>
      <c r="P675" s="1" t="s">
        <v>1305</v>
      </c>
      <c r="Q675" s="1">
        <v>1</v>
      </c>
      <c r="R675" s="1">
        <f>Retail_Sales_Analyis[[#This Row],[Final_Price]]-Retail_Sales_Analyis[[#This Row],[Total_Price]]</f>
        <v>-1475.3799999999992</v>
      </c>
      <c r="S6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76" spans="1:19" x14ac:dyDescent="0.25">
      <c r="A676" s="1" t="s">
        <v>1306</v>
      </c>
      <c r="B676" s="2">
        <v>45507</v>
      </c>
      <c r="C676" s="1" t="s">
        <v>93</v>
      </c>
      <c r="D676" s="1" t="s">
        <v>19</v>
      </c>
      <c r="E676" s="1" t="s">
        <v>302</v>
      </c>
      <c r="F676" s="1" t="s">
        <v>21</v>
      </c>
      <c r="G676" s="1" t="s">
        <v>85</v>
      </c>
      <c r="H676" s="1" t="s">
        <v>86</v>
      </c>
      <c r="I676" s="1">
        <v>3749.47</v>
      </c>
      <c r="J676" s="1">
        <v>4</v>
      </c>
      <c r="K676" s="1">
        <v>14997.88</v>
      </c>
      <c r="L676" s="1">
        <v>0</v>
      </c>
      <c r="M676" s="1">
        <v>0</v>
      </c>
      <c r="N676" s="1">
        <v>14997.88</v>
      </c>
      <c r="O676" s="1" t="s">
        <v>64</v>
      </c>
      <c r="P676" s="1" t="s">
        <v>1307</v>
      </c>
      <c r="Q676" s="1">
        <v>1</v>
      </c>
      <c r="R676" s="1">
        <f>Retail_Sales_Analyis[[#This Row],[Final_Price]]-Retail_Sales_Analyis[[#This Row],[Total_Price]]</f>
        <v>0</v>
      </c>
      <c r="S6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7" spans="1:19" x14ac:dyDescent="0.25">
      <c r="A677" s="1" t="s">
        <v>1308</v>
      </c>
      <c r="B677" s="2">
        <v>45491</v>
      </c>
      <c r="C677" s="1" t="s">
        <v>195</v>
      </c>
      <c r="D677" s="1" t="s">
        <v>67</v>
      </c>
      <c r="E677" s="1" t="s">
        <v>542</v>
      </c>
      <c r="F677" s="1" t="s">
        <v>69</v>
      </c>
      <c r="G677" s="1" t="s">
        <v>22</v>
      </c>
      <c r="H677" s="1" t="s">
        <v>133</v>
      </c>
      <c r="I677" s="1">
        <v>779.45</v>
      </c>
      <c r="J677" s="1">
        <v>3</v>
      </c>
      <c r="K677" s="1">
        <v>2338.35</v>
      </c>
      <c r="L677" s="1">
        <v>15</v>
      </c>
      <c r="M677" s="1">
        <v>350.75</v>
      </c>
      <c r="N677" s="1">
        <v>1987.6</v>
      </c>
      <c r="O677" s="1" t="s">
        <v>24</v>
      </c>
      <c r="P677" s="1" t="s">
        <v>1201</v>
      </c>
      <c r="Q677" s="1">
        <v>5</v>
      </c>
      <c r="R677" s="1">
        <f>Retail_Sales_Analyis[[#This Row],[Final_Price]]-Retail_Sales_Analyis[[#This Row],[Total_Price]]</f>
        <v>-350.75</v>
      </c>
      <c r="S6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78" spans="1:19" x14ac:dyDescent="0.25">
      <c r="A678" s="1" t="s">
        <v>1309</v>
      </c>
      <c r="B678" s="2">
        <v>45591</v>
      </c>
      <c r="C678" s="1" t="s">
        <v>76</v>
      </c>
      <c r="D678" s="1" t="s">
        <v>19</v>
      </c>
      <c r="E678" s="1" t="s">
        <v>199</v>
      </c>
      <c r="F678" s="1" t="s">
        <v>21</v>
      </c>
      <c r="G678" s="1" t="s">
        <v>112</v>
      </c>
      <c r="H678" s="1" t="s">
        <v>223</v>
      </c>
      <c r="I678" s="1">
        <v>1739.84</v>
      </c>
      <c r="J678" s="1">
        <v>1</v>
      </c>
      <c r="K678" s="1">
        <v>1739.84</v>
      </c>
      <c r="L678" s="1">
        <v>0</v>
      </c>
      <c r="M678" s="1">
        <v>0</v>
      </c>
      <c r="N678" s="1">
        <v>1739.84</v>
      </c>
      <c r="O678" s="1" t="s">
        <v>64</v>
      </c>
      <c r="P678" s="1" t="s">
        <v>480</v>
      </c>
      <c r="Q678" s="1">
        <v>1</v>
      </c>
      <c r="R678" s="1">
        <f>Retail_Sales_Analyis[[#This Row],[Final_Price]]-Retail_Sales_Analyis[[#This Row],[Total_Price]]</f>
        <v>0</v>
      </c>
      <c r="S6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79" spans="1:19" x14ac:dyDescent="0.25">
      <c r="A679" s="1" t="s">
        <v>1310</v>
      </c>
      <c r="B679" s="2">
        <v>45648</v>
      </c>
      <c r="C679" s="1" t="s">
        <v>73</v>
      </c>
      <c r="D679" s="1" t="s">
        <v>49</v>
      </c>
      <c r="E679" s="1" t="s">
        <v>186</v>
      </c>
      <c r="F679" s="1" t="s">
        <v>21</v>
      </c>
      <c r="G679" s="1" t="s">
        <v>112</v>
      </c>
      <c r="H679" s="1" t="s">
        <v>223</v>
      </c>
      <c r="I679" s="1">
        <v>1936.43</v>
      </c>
      <c r="J679" s="1">
        <v>2</v>
      </c>
      <c r="K679" s="1">
        <v>3872.86</v>
      </c>
      <c r="L679" s="1">
        <v>10</v>
      </c>
      <c r="M679" s="1">
        <v>387.29</v>
      </c>
      <c r="N679" s="1">
        <v>3485.57</v>
      </c>
      <c r="O679" s="1" t="s">
        <v>46</v>
      </c>
      <c r="P679" s="1" t="s">
        <v>1311</v>
      </c>
      <c r="Q679" s="1">
        <v>1</v>
      </c>
      <c r="R679" s="1">
        <f>Retail_Sales_Analyis[[#This Row],[Final_Price]]-Retail_Sales_Analyis[[#This Row],[Total_Price]]</f>
        <v>-387.28999999999996</v>
      </c>
      <c r="S6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80" spans="1:19" x14ac:dyDescent="0.25">
      <c r="A680" s="1" t="s">
        <v>1312</v>
      </c>
      <c r="B680" s="2">
        <v>45302</v>
      </c>
      <c r="C680" s="1" t="s">
        <v>36</v>
      </c>
      <c r="D680" s="1" t="s">
        <v>67</v>
      </c>
      <c r="E680" s="1" t="s">
        <v>141</v>
      </c>
      <c r="F680" s="1" t="s">
        <v>30</v>
      </c>
      <c r="G680" s="1" t="s">
        <v>31</v>
      </c>
      <c r="H680" s="1" t="s">
        <v>250</v>
      </c>
      <c r="I680" s="1">
        <v>188.32</v>
      </c>
      <c r="J680" s="1">
        <v>8</v>
      </c>
      <c r="K680" s="1">
        <v>1506.56</v>
      </c>
      <c r="L680" s="1">
        <v>0</v>
      </c>
      <c r="M680" s="1">
        <v>0</v>
      </c>
      <c r="N680" s="1">
        <v>1506.56</v>
      </c>
      <c r="O680" s="1" t="s">
        <v>64</v>
      </c>
      <c r="P680" s="1" t="s">
        <v>1313</v>
      </c>
      <c r="Q680" s="1">
        <v>1</v>
      </c>
      <c r="R680" s="1">
        <f>Retail_Sales_Analyis[[#This Row],[Final_Price]]-Retail_Sales_Analyis[[#This Row],[Total_Price]]</f>
        <v>0</v>
      </c>
      <c r="S6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1" spans="1:19" x14ac:dyDescent="0.25">
      <c r="A681" s="1" t="s">
        <v>1314</v>
      </c>
      <c r="B681" s="2">
        <v>45586</v>
      </c>
      <c r="C681" s="1" t="s">
        <v>76</v>
      </c>
      <c r="D681" s="1" t="s">
        <v>43</v>
      </c>
      <c r="E681" s="1" t="s">
        <v>213</v>
      </c>
      <c r="F681" s="1" t="s">
        <v>69</v>
      </c>
      <c r="G681" s="1" t="s">
        <v>169</v>
      </c>
      <c r="H681" s="1" t="s">
        <v>208</v>
      </c>
      <c r="I681" s="1">
        <v>1289.9100000000001</v>
      </c>
      <c r="J681" s="1">
        <v>2</v>
      </c>
      <c r="K681" s="1">
        <v>2579.8200000000002</v>
      </c>
      <c r="L681" s="1">
        <v>10</v>
      </c>
      <c r="M681" s="1">
        <v>257.98</v>
      </c>
      <c r="N681" s="1">
        <v>2321.84</v>
      </c>
      <c r="O681" s="1" t="s">
        <v>46</v>
      </c>
      <c r="P681" s="1" t="s">
        <v>1315</v>
      </c>
      <c r="Q681" s="1">
        <v>1</v>
      </c>
      <c r="R681" s="1">
        <f>Retail_Sales_Analyis[[#This Row],[Final_Price]]-Retail_Sales_Analyis[[#This Row],[Total_Price]]</f>
        <v>-257.98</v>
      </c>
      <c r="S6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82" spans="1:19" x14ac:dyDescent="0.25">
      <c r="A682" s="1" t="s">
        <v>1316</v>
      </c>
      <c r="B682" s="2">
        <v>45486</v>
      </c>
      <c r="C682" s="1" t="s">
        <v>195</v>
      </c>
      <c r="D682" s="1" t="s">
        <v>19</v>
      </c>
      <c r="E682" s="1" t="s">
        <v>20</v>
      </c>
      <c r="F682" s="1" t="s">
        <v>30</v>
      </c>
      <c r="G682" s="1" t="s">
        <v>112</v>
      </c>
      <c r="H682" s="1" t="s">
        <v>113</v>
      </c>
      <c r="I682" s="1">
        <v>536</v>
      </c>
      <c r="J682" s="1">
        <v>7</v>
      </c>
      <c r="K682" s="1">
        <v>3752</v>
      </c>
      <c r="L682" s="1">
        <v>5</v>
      </c>
      <c r="M682" s="1">
        <v>187.6</v>
      </c>
      <c r="N682" s="1">
        <v>3564.4</v>
      </c>
      <c r="O682" s="1" t="s">
        <v>64</v>
      </c>
      <c r="P682" s="1" t="s">
        <v>761</v>
      </c>
      <c r="Q682" s="1">
        <v>3</v>
      </c>
      <c r="R682" s="1">
        <f>Retail_Sales_Analyis[[#This Row],[Final_Price]]-Retail_Sales_Analyis[[#This Row],[Total_Price]]</f>
        <v>-187.59999999999991</v>
      </c>
      <c r="S6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83" spans="1:19" x14ac:dyDescent="0.25">
      <c r="A683" s="1" t="s">
        <v>1317</v>
      </c>
      <c r="B683" s="2">
        <v>45536</v>
      </c>
      <c r="C683" s="1" t="s">
        <v>116</v>
      </c>
      <c r="D683" s="1" t="s">
        <v>49</v>
      </c>
      <c r="E683" s="1" t="s">
        <v>411</v>
      </c>
      <c r="F683" s="1" t="s">
        <v>37</v>
      </c>
      <c r="G683" s="1" t="s">
        <v>22</v>
      </c>
      <c r="H683" s="1" t="s">
        <v>133</v>
      </c>
      <c r="I683" s="1">
        <v>593.46</v>
      </c>
      <c r="J683" s="1">
        <v>2</v>
      </c>
      <c r="K683" s="1">
        <v>1186.92</v>
      </c>
      <c r="L683" s="1">
        <v>0</v>
      </c>
      <c r="M683" s="1">
        <v>0</v>
      </c>
      <c r="N683" s="1">
        <v>1186.92</v>
      </c>
      <c r="O683" s="1" t="s">
        <v>24</v>
      </c>
      <c r="P683" s="1" t="s">
        <v>515</v>
      </c>
      <c r="Q683" s="1">
        <v>3</v>
      </c>
      <c r="R683" s="1">
        <f>Retail_Sales_Analyis[[#This Row],[Final_Price]]-Retail_Sales_Analyis[[#This Row],[Total_Price]]</f>
        <v>0</v>
      </c>
      <c r="S6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4" spans="1:19" x14ac:dyDescent="0.25">
      <c r="A684" s="1" t="s">
        <v>1318</v>
      </c>
      <c r="B684" s="2">
        <v>45295</v>
      </c>
      <c r="C684" s="1" t="s">
        <v>36</v>
      </c>
      <c r="D684" s="1" t="s">
        <v>67</v>
      </c>
      <c r="E684" s="1" t="s">
        <v>129</v>
      </c>
      <c r="F684" s="1" t="s">
        <v>69</v>
      </c>
      <c r="G684" s="1" t="s">
        <v>78</v>
      </c>
      <c r="H684" s="1" t="s">
        <v>79</v>
      </c>
      <c r="I684" s="1">
        <v>312.22000000000003</v>
      </c>
      <c r="J684" s="1">
        <v>2</v>
      </c>
      <c r="K684" s="1">
        <v>624.44000000000005</v>
      </c>
      <c r="L684" s="1">
        <v>0</v>
      </c>
      <c r="M684" s="1">
        <v>0</v>
      </c>
      <c r="N684" s="1">
        <v>624.44000000000005</v>
      </c>
      <c r="O684" s="1" t="s">
        <v>80</v>
      </c>
      <c r="P684" s="1" t="s">
        <v>147</v>
      </c>
      <c r="Q684" s="1">
        <v>2</v>
      </c>
      <c r="R684" s="1">
        <f>Retail_Sales_Analyis[[#This Row],[Final_Price]]-Retail_Sales_Analyis[[#This Row],[Total_Price]]</f>
        <v>0</v>
      </c>
      <c r="S6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5" spans="1:19" x14ac:dyDescent="0.25">
      <c r="A685" s="1" t="s">
        <v>1319</v>
      </c>
      <c r="B685" s="2">
        <v>45472</v>
      </c>
      <c r="C685" s="1" t="s">
        <v>173</v>
      </c>
      <c r="D685" s="1" t="s">
        <v>19</v>
      </c>
      <c r="E685" s="1" t="s">
        <v>94</v>
      </c>
      <c r="F685" s="1" t="s">
        <v>30</v>
      </c>
      <c r="G685" s="1" t="s">
        <v>78</v>
      </c>
      <c r="H685" s="1" t="s">
        <v>126</v>
      </c>
      <c r="I685" s="1">
        <v>231.61</v>
      </c>
      <c r="J685" s="1">
        <v>7</v>
      </c>
      <c r="K685" s="1">
        <v>1621.27</v>
      </c>
      <c r="L685" s="1">
        <v>0</v>
      </c>
      <c r="M685" s="1">
        <v>0</v>
      </c>
      <c r="N685" s="1">
        <v>1621.27</v>
      </c>
      <c r="O685" s="1" t="s">
        <v>46</v>
      </c>
      <c r="P685" s="1" t="s">
        <v>1320</v>
      </c>
      <c r="Q685" s="1">
        <v>5</v>
      </c>
      <c r="R685" s="1">
        <f>Retail_Sales_Analyis[[#This Row],[Final_Price]]-Retail_Sales_Analyis[[#This Row],[Total_Price]]</f>
        <v>0</v>
      </c>
      <c r="S6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6" spans="1:19" x14ac:dyDescent="0.25">
      <c r="A686" s="1" t="s">
        <v>1321</v>
      </c>
      <c r="B686" s="2">
        <v>45444</v>
      </c>
      <c r="C686" s="1" t="s">
        <v>173</v>
      </c>
      <c r="D686" s="1" t="s">
        <v>19</v>
      </c>
      <c r="E686" s="1" t="s">
        <v>107</v>
      </c>
      <c r="F686" s="1" t="s">
        <v>21</v>
      </c>
      <c r="G686" s="1" t="s">
        <v>169</v>
      </c>
      <c r="H686" s="1" t="s">
        <v>175</v>
      </c>
      <c r="I686" s="1">
        <v>1399.48</v>
      </c>
      <c r="J686" s="1">
        <v>6</v>
      </c>
      <c r="K686" s="1">
        <v>8396.8799999999992</v>
      </c>
      <c r="L686" s="1">
        <v>0</v>
      </c>
      <c r="M686" s="1">
        <v>0</v>
      </c>
      <c r="N686" s="1">
        <v>8396.8799999999992</v>
      </c>
      <c r="O686" s="1" t="s">
        <v>24</v>
      </c>
      <c r="P686" s="1" t="s">
        <v>1322</v>
      </c>
      <c r="Q686" s="1">
        <v>1</v>
      </c>
      <c r="R686" s="1">
        <f>Retail_Sales_Analyis[[#This Row],[Final_Price]]-Retail_Sales_Analyis[[#This Row],[Total_Price]]</f>
        <v>0</v>
      </c>
      <c r="S6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7" spans="1:19" x14ac:dyDescent="0.25">
      <c r="A687" s="1" t="s">
        <v>1323</v>
      </c>
      <c r="B687" s="2">
        <v>45491</v>
      </c>
      <c r="C687" s="1" t="s">
        <v>195</v>
      </c>
      <c r="D687" s="1" t="s">
        <v>67</v>
      </c>
      <c r="E687" s="1" t="s">
        <v>196</v>
      </c>
      <c r="F687" s="1" t="s">
        <v>69</v>
      </c>
      <c r="G687" s="1" t="s">
        <v>85</v>
      </c>
      <c r="H687" s="1" t="s">
        <v>86</v>
      </c>
      <c r="I687" s="1">
        <v>2786.78</v>
      </c>
      <c r="J687" s="1">
        <v>8</v>
      </c>
      <c r="K687" s="1">
        <v>22294.240000000002</v>
      </c>
      <c r="L687" s="1">
        <v>20</v>
      </c>
      <c r="M687" s="1">
        <v>4458.8500000000004</v>
      </c>
      <c r="N687" s="1">
        <v>17835.39</v>
      </c>
      <c r="O687" s="1" t="s">
        <v>24</v>
      </c>
      <c r="P687" s="1" t="s">
        <v>1324</v>
      </c>
      <c r="Q687" s="1">
        <v>1</v>
      </c>
      <c r="R687" s="1">
        <f>Retail_Sales_Analyis[[#This Row],[Final_Price]]-Retail_Sales_Analyis[[#This Row],[Total_Price]]</f>
        <v>-4458.8500000000022</v>
      </c>
      <c r="S6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88" spans="1:19" x14ac:dyDescent="0.25">
      <c r="A688" s="1" t="s">
        <v>1325</v>
      </c>
      <c r="B688" s="2">
        <v>45506</v>
      </c>
      <c r="C688" s="1" t="s">
        <v>93</v>
      </c>
      <c r="D688" s="1" t="s">
        <v>144</v>
      </c>
      <c r="E688" s="1" t="s">
        <v>166</v>
      </c>
      <c r="F688" s="1" t="s">
        <v>69</v>
      </c>
      <c r="G688" s="1" t="s">
        <v>38</v>
      </c>
      <c r="H688" s="1" t="s">
        <v>214</v>
      </c>
      <c r="I688" s="1">
        <v>163.31</v>
      </c>
      <c r="J688" s="1">
        <v>3</v>
      </c>
      <c r="K688" s="1">
        <v>489.93</v>
      </c>
      <c r="L688" s="1">
        <v>0</v>
      </c>
      <c r="M688" s="1">
        <v>0</v>
      </c>
      <c r="N688" s="1">
        <v>489.93</v>
      </c>
      <c r="O688" s="1" t="s">
        <v>33</v>
      </c>
      <c r="P688" s="1" t="s">
        <v>580</v>
      </c>
      <c r="Q688" s="1">
        <v>3</v>
      </c>
      <c r="R688" s="1">
        <f>Retail_Sales_Analyis[[#This Row],[Final_Price]]-Retail_Sales_Analyis[[#This Row],[Total_Price]]</f>
        <v>0</v>
      </c>
      <c r="S6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89" spans="1:19" x14ac:dyDescent="0.25">
      <c r="A689" s="1" t="s">
        <v>1326</v>
      </c>
      <c r="B689" s="2">
        <v>45567</v>
      </c>
      <c r="C689" s="1" t="s">
        <v>76</v>
      </c>
      <c r="D689" s="1" t="s">
        <v>55</v>
      </c>
      <c r="E689" s="1" t="s">
        <v>261</v>
      </c>
      <c r="F689" s="1" t="s">
        <v>84</v>
      </c>
      <c r="G689" s="1" t="s">
        <v>31</v>
      </c>
      <c r="H689" s="1" t="s">
        <v>32</v>
      </c>
      <c r="I689" s="1">
        <v>320.77999999999997</v>
      </c>
      <c r="J689" s="1">
        <v>6</v>
      </c>
      <c r="K689" s="1">
        <v>1924.68</v>
      </c>
      <c r="L689" s="1">
        <v>0</v>
      </c>
      <c r="M689" s="1">
        <v>0</v>
      </c>
      <c r="N689" s="1">
        <v>1924.68</v>
      </c>
      <c r="O689" s="1" t="s">
        <v>64</v>
      </c>
      <c r="P689" s="1" t="s">
        <v>494</v>
      </c>
      <c r="Q689" s="1">
        <v>4</v>
      </c>
      <c r="R689" s="1">
        <f>Retail_Sales_Analyis[[#This Row],[Final_Price]]-Retail_Sales_Analyis[[#This Row],[Total_Price]]</f>
        <v>0</v>
      </c>
      <c r="S6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0" spans="1:19" x14ac:dyDescent="0.25">
      <c r="A690" s="1" t="s">
        <v>1327</v>
      </c>
      <c r="B690" s="2">
        <v>45571</v>
      </c>
      <c r="C690" s="1" t="s">
        <v>76</v>
      </c>
      <c r="D690" s="1" t="s">
        <v>49</v>
      </c>
      <c r="E690" s="1" t="s">
        <v>97</v>
      </c>
      <c r="F690" s="1" t="s">
        <v>69</v>
      </c>
      <c r="G690" s="1" t="s">
        <v>31</v>
      </c>
      <c r="H690" s="1" t="s">
        <v>45</v>
      </c>
      <c r="I690" s="1">
        <v>291.3</v>
      </c>
      <c r="J690" s="1">
        <v>4</v>
      </c>
      <c r="K690" s="1">
        <v>1165.2</v>
      </c>
      <c r="L690" s="1">
        <v>5</v>
      </c>
      <c r="M690" s="1">
        <v>58.26</v>
      </c>
      <c r="N690" s="1">
        <v>1106.94</v>
      </c>
      <c r="O690" s="1" t="s">
        <v>24</v>
      </c>
      <c r="P690" s="1" t="s">
        <v>1328</v>
      </c>
      <c r="Q690" s="1">
        <v>5</v>
      </c>
      <c r="R690" s="1">
        <f>Retail_Sales_Analyis[[#This Row],[Final_Price]]-Retail_Sales_Analyis[[#This Row],[Total_Price]]</f>
        <v>-58.259999999999991</v>
      </c>
      <c r="S6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691" spans="1:19" x14ac:dyDescent="0.25">
      <c r="A691" s="1" t="s">
        <v>1329</v>
      </c>
      <c r="B691" s="2">
        <v>45600</v>
      </c>
      <c r="C691" s="1" t="s">
        <v>18</v>
      </c>
      <c r="D691" s="1" t="s">
        <v>43</v>
      </c>
      <c r="E691" s="1" t="s">
        <v>163</v>
      </c>
      <c r="F691" s="1" t="s">
        <v>69</v>
      </c>
      <c r="G691" s="1" t="s">
        <v>57</v>
      </c>
      <c r="H691" s="1" t="s">
        <v>152</v>
      </c>
      <c r="I691" s="1">
        <v>858.54</v>
      </c>
      <c r="J691" s="1">
        <v>1</v>
      </c>
      <c r="K691" s="1">
        <v>858.54</v>
      </c>
      <c r="L691" s="1">
        <v>0</v>
      </c>
      <c r="M691" s="1">
        <v>0</v>
      </c>
      <c r="N691" s="1">
        <v>858.54</v>
      </c>
      <c r="O691" s="1" t="s">
        <v>24</v>
      </c>
      <c r="P691" s="1" t="s">
        <v>298</v>
      </c>
      <c r="Q691" s="1">
        <v>3</v>
      </c>
      <c r="R691" s="1">
        <f>Retail_Sales_Analyis[[#This Row],[Final_Price]]-Retail_Sales_Analyis[[#This Row],[Total_Price]]</f>
        <v>0</v>
      </c>
      <c r="S6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2" spans="1:19" x14ac:dyDescent="0.25">
      <c r="A692" s="1" t="s">
        <v>1330</v>
      </c>
      <c r="B692" s="2">
        <v>45404</v>
      </c>
      <c r="C692" s="1" t="s">
        <v>54</v>
      </c>
      <c r="D692" s="1" t="s">
        <v>43</v>
      </c>
      <c r="E692" s="1" t="s">
        <v>56</v>
      </c>
      <c r="F692" s="1" t="s">
        <v>21</v>
      </c>
      <c r="G692" s="1" t="s">
        <v>85</v>
      </c>
      <c r="H692" s="1" t="s">
        <v>297</v>
      </c>
      <c r="I692" s="1">
        <v>1238.31</v>
      </c>
      <c r="J692" s="1">
        <v>6</v>
      </c>
      <c r="K692" s="1">
        <v>7429.86</v>
      </c>
      <c r="L692" s="1">
        <v>0</v>
      </c>
      <c r="M692" s="1">
        <v>0</v>
      </c>
      <c r="N692" s="1">
        <v>7429.86</v>
      </c>
      <c r="O692" s="1" t="s">
        <v>64</v>
      </c>
      <c r="P692" s="1" t="s">
        <v>518</v>
      </c>
      <c r="Q692" s="1">
        <v>3</v>
      </c>
      <c r="R692" s="1">
        <f>Retail_Sales_Analyis[[#This Row],[Final_Price]]-Retail_Sales_Analyis[[#This Row],[Total_Price]]</f>
        <v>0</v>
      </c>
      <c r="S6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3" spans="1:19" x14ac:dyDescent="0.25">
      <c r="A693" s="1" t="s">
        <v>1331</v>
      </c>
      <c r="B693" s="2">
        <v>45541</v>
      </c>
      <c r="C693" s="1" t="s">
        <v>116</v>
      </c>
      <c r="D693" s="1" t="s">
        <v>144</v>
      </c>
      <c r="E693" s="1" t="s">
        <v>168</v>
      </c>
      <c r="F693" s="1" t="s">
        <v>21</v>
      </c>
      <c r="G693" s="1" t="s">
        <v>22</v>
      </c>
      <c r="H693" s="1" t="s">
        <v>23</v>
      </c>
      <c r="I693" s="1">
        <v>368.59</v>
      </c>
      <c r="J693" s="1">
        <v>4</v>
      </c>
      <c r="K693" s="1">
        <v>1474.36</v>
      </c>
      <c r="L693" s="1">
        <v>0</v>
      </c>
      <c r="M693" s="1">
        <v>0</v>
      </c>
      <c r="N693" s="1">
        <v>1474.36</v>
      </c>
      <c r="O693" s="1" t="s">
        <v>64</v>
      </c>
      <c r="P693" s="1" t="s">
        <v>1129</v>
      </c>
      <c r="Q693" s="1">
        <v>1</v>
      </c>
      <c r="R693" s="1">
        <f>Retail_Sales_Analyis[[#This Row],[Final_Price]]-Retail_Sales_Analyis[[#This Row],[Total_Price]]</f>
        <v>0</v>
      </c>
      <c r="S6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4" spans="1:19" x14ac:dyDescent="0.25">
      <c r="A694" s="1" t="s">
        <v>1332</v>
      </c>
      <c r="B694" s="2">
        <v>45404</v>
      </c>
      <c r="C694" s="1" t="s">
        <v>54</v>
      </c>
      <c r="D694" s="1" t="s">
        <v>43</v>
      </c>
      <c r="E694" s="1" t="s">
        <v>83</v>
      </c>
      <c r="F694" s="1" t="s">
        <v>84</v>
      </c>
      <c r="G694" s="1" t="s">
        <v>112</v>
      </c>
      <c r="H694" s="1" t="s">
        <v>288</v>
      </c>
      <c r="I694" s="1">
        <v>1057.53</v>
      </c>
      <c r="J694" s="1">
        <v>2</v>
      </c>
      <c r="K694" s="1">
        <v>2115.06</v>
      </c>
      <c r="L694" s="1">
        <v>15</v>
      </c>
      <c r="M694" s="1">
        <v>317.26</v>
      </c>
      <c r="N694" s="1">
        <v>1797.8</v>
      </c>
      <c r="O694" s="1" t="s">
        <v>80</v>
      </c>
      <c r="P694" s="1" t="s">
        <v>961</v>
      </c>
      <c r="Q694" s="1">
        <v>1</v>
      </c>
      <c r="R694" s="1">
        <f>Retail_Sales_Analyis[[#This Row],[Final_Price]]-Retail_Sales_Analyis[[#This Row],[Total_Price]]</f>
        <v>-317.26</v>
      </c>
      <c r="S6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95" spans="1:19" x14ac:dyDescent="0.25">
      <c r="A695" s="1" t="s">
        <v>1333</v>
      </c>
      <c r="B695" s="2">
        <v>45431</v>
      </c>
      <c r="C695" s="1" t="s">
        <v>42</v>
      </c>
      <c r="D695" s="1" t="s">
        <v>49</v>
      </c>
      <c r="E695" s="1" t="s">
        <v>157</v>
      </c>
      <c r="F695" s="1" t="s">
        <v>84</v>
      </c>
      <c r="G695" s="1" t="s">
        <v>85</v>
      </c>
      <c r="H695" s="1" t="s">
        <v>297</v>
      </c>
      <c r="I695" s="1">
        <v>1587.55</v>
      </c>
      <c r="J695" s="1">
        <v>3</v>
      </c>
      <c r="K695" s="1">
        <v>4762.6499999999996</v>
      </c>
      <c r="L695" s="1">
        <v>0</v>
      </c>
      <c r="M695" s="1">
        <v>0</v>
      </c>
      <c r="N695" s="1">
        <v>4762.6499999999996</v>
      </c>
      <c r="O695" s="1" t="s">
        <v>64</v>
      </c>
      <c r="P695" s="1" t="s">
        <v>1244</v>
      </c>
      <c r="Q695" s="1">
        <v>1</v>
      </c>
      <c r="R695" s="1">
        <f>Retail_Sales_Analyis[[#This Row],[Final_Price]]-Retail_Sales_Analyis[[#This Row],[Total_Price]]</f>
        <v>0</v>
      </c>
      <c r="S6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6" spans="1:19" x14ac:dyDescent="0.25">
      <c r="A696" s="1" t="s">
        <v>1334</v>
      </c>
      <c r="B696" s="2">
        <v>45515</v>
      </c>
      <c r="C696" s="1" t="s">
        <v>93</v>
      </c>
      <c r="D696" s="1" t="s">
        <v>49</v>
      </c>
      <c r="E696" s="1" t="s">
        <v>168</v>
      </c>
      <c r="F696" s="1" t="s">
        <v>30</v>
      </c>
      <c r="G696" s="1" t="s">
        <v>22</v>
      </c>
      <c r="H696" s="1" t="s">
        <v>23</v>
      </c>
      <c r="I696" s="1">
        <v>812.33</v>
      </c>
      <c r="J696" s="1">
        <v>8</v>
      </c>
      <c r="K696" s="1">
        <v>6498.64</v>
      </c>
      <c r="L696" s="1">
        <v>15</v>
      </c>
      <c r="M696" s="1">
        <v>974.8</v>
      </c>
      <c r="N696" s="1">
        <v>5523.84</v>
      </c>
      <c r="O696" s="1" t="s">
        <v>64</v>
      </c>
      <c r="P696" s="1" t="s">
        <v>369</v>
      </c>
      <c r="Q696" s="1">
        <v>5</v>
      </c>
      <c r="R696" s="1">
        <f>Retail_Sales_Analyis[[#This Row],[Final_Price]]-Retail_Sales_Analyis[[#This Row],[Total_Price]]</f>
        <v>-974.80000000000018</v>
      </c>
      <c r="S6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697" spans="1:19" x14ac:dyDescent="0.25">
      <c r="A697" s="1" t="s">
        <v>1335</v>
      </c>
      <c r="B697" s="2">
        <v>45540</v>
      </c>
      <c r="C697" s="1" t="s">
        <v>116</v>
      </c>
      <c r="D697" s="1" t="s">
        <v>67</v>
      </c>
      <c r="E697" s="1" t="s">
        <v>111</v>
      </c>
      <c r="F697" s="1" t="s">
        <v>37</v>
      </c>
      <c r="G697" s="1" t="s">
        <v>22</v>
      </c>
      <c r="H697" s="1" t="s">
        <v>277</v>
      </c>
      <c r="I697" s="1">
        <v>555.17999999999995</v>
      </c>
      <c r="J697" s="1">
        <v>1</v>
      </c>
      <c r="K697" s="1">
        <v>555.17999999999995</v>
      </c>
      <c r="L697" s="1">
        <v>0</v>
      </c>
      <c r="M697" s="1">
        <v>0</v>
      </c>
      <c r="N697" s="1">
        <v>555.17999999999995</v>
      </c>
      <c r="O697" s="1" t="s">
        <v>24</v>
      </c>
      <c r="P697" s="1" t="s">
        <v>553</v>
      </c>
      <c r="Q697" s="1">
        <v>2</v>
      </c>
      <c r="R697" s="1">
        <f>Retail_Sales_Analyis[[#This Row],[Final_Price]]-Retail_Sales_Analyis[[#This Row],[Total_Price]]</f>
        <v>0</v>
      </c>
      <c r="S6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698" spans="1:19" x14ac:dyDescent="0.25">
      <c r="A698" s="1" t="s">
        <v>1336</v>
      </c>
      <c r="B698" s="2">
        <v>45306</v>
      </c>
      <c r="C698" s="1" t="s">
        <v>36</v>
      </c>
      <c r="D698" s="1" t="s">
        <v>43</v>
      </c>
      <c r="E698" s="1" t="s">
        <v>163</v>
      </c>
      <c r="F698" s="1" t="s">
        <v>30</v>
      </c>
      <c r="G698" s="1" t="s">
        <v>85</v>
      </c>
      <c r="H698" s="1" t="s">
        <v>90</v>
      </c>
      <c r="I698" s="1">
        <v>1641.4</v>
      </c>
      <c r="J698" s="1">
        <v>7</v>
      </c>
      <c r="K698" s="1">
        <v>11489.8</v>
      </c>
      <c r="L698" s="1">
        <v>20</v>
      </c>
      <c r="M698" s="1">
        <v>2297.96</v>
      </c>
      <c r="N698" s="1">
        <v>9191.84</v>
      </c>
      <c r="O698" s="1" t="s">
        <v>33</v>
      </c>
      <c r="P698" s="1" t="s">
        <v>278</v>
      </c>
      <c r="Q698" s="1">
        <v>4</v>
      </c>
      <c r="R698" s="1">
        <f>Retail_Sales_Analyis[[#This Row],[Final_Price]]-Retail_Sales_Analyis[[#This Row],[Total_Price]]</f>
        <v>-2297.9599999999991</v>
      </c>
      <c r="S6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699" spans="1:19" x14ac:dyDescent="0.25">
      <c r="A699" s="1" t="s">
        <v>1337</v>
      </c>
      <c r="B699" s="2">
        <v>45491</v>
      </c>
      <c r="C699" s="1" t="s">
        <v>195</v>
      </c>
      <c r="D699" s="1" t="s">
        <v>67</v>
      </c>
      <c r="E699" s="1" t="s">
        <v>121</v>
      </c>
      <c r="F699" s="1" t="s">
        <v>21</v>
      </c>
      <c r="G699" s="1" t="s">
        <v>38</v>
      </c>
      <c r="H699" s="1" t="s">
        <v>214</v>
      </c>
      <c r="I699" s="1">
        <v>396.57</v>
      </c>
      <c r="J699" s="1">
        <v>3</v>
      </c>
      <c r="K699" s="1">
        <v>1189.71</v>
      </c>
      <c r="L699" s="1">
        <v>0</v>
      </c>
      <c r="M699" s="1">
        <v>0</v>
      </c>
      <c r="N699" s="1">
        <v>1189.71</v>
      </c>
      <c r="O699" s="1" t="s">
        <v>24</v>
      </c>
      <c r="P699" s="1" t="s">
        <v>476</v>
      </c>
      <c r="Q699" s="1">
        <v>5</v>
      </c>
      <c r="R699" s="1">
        <f>Retail_Sales_Analyis[[#This Row],[Final_Price]]-Retail_Sales_Analyis[[#This Row],[Total_Price]]</f>
        <v>0</v>
      </c>
      <c r="S6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00" spans="1:19" x14ac:dyDescent="0.25">
      <c r="A700" s="1" t="s">
        <v>1338</v>
      </c>
      <c r="B700" s="2">
        <v>45464</v>
      </c>
      <c r="C700" s="1" t="s">
        <v>173</v>
      </c>
      <c r="D700" s="1" t="s">
        <v>144</v>
      </c>
      <c r="E700" s="1" t="s">
        <v>89</v>
      </c>
      <c r="F700" s="1" t="s">
        <v>37</v>
      </c>
      <c r="G700" s="1" t="s">
        <v>57</v>
      </c>
      <c r="H700" s="1" t="s">
        <v>58</v>
      </c>
      <c r="I700" s="1">
        <v>1933.32</v>
      </c>
      <c r="J700" s="1">
        <v>4</v>
      </c>
      <c r="K700" s="1">
        <v>7733.28</v>
      </c>
      <c r="L700" s="1">
        <v>5</v>
      </c>
      <c r="M700" s="1">
        <v>386.66</v>
      </c>
      <c r="N700" s="1">
        <v>7346.62</v>
      </c>
      <c r="O700" s="1" t="s">
        <v>64</v>
      </c>
      <c r="P700" s="1" t="s">
        <v>1339</v>
      </c>
      <c r="Q700" s="1">
        <v>5</v>
      </c>
      <c r="R700" s="1">
        <f>Retail_Sales_Analyis[[#This Row],[Final_Price]]-Retail_Sales_Analyis[[#This Row],[Total_Price]]</f>
        <v>-386.65999999999985</v>
      </c>
      <c r="S7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01" spans="1:19" x14ac:dyDescent="0.25">
      <c r="A701" s="1" t="s">
        <v>1340</v>
      </c>
      <c r="B701" s="2">
        <v>45634</v>
      </c>
      <c r="C701" s="1" t="s">
        <v>73</v>
      </c>
      <c r="D701" s="1" t="s">
        <v>49</v>
      </c>
      <c r="E701" s="1" t="s">
        <v>111</v>
      </c>
      <c r="F701" s="1" t="s">
        <v>30</v>
      </c>
      <c r="G701" s="1" t="s">
        <v>31</v>
      </c>
      <c r="H701" s="1" t="s">
        <v>32</v>
      </c>
      <c r="I701" s="1">
        <v>190.94</v>
      </c>
      <c r="J701" s="1">
        <v>7</v>
      </c>
      <c r="K701" s="1">
        <v>1336.58</v>
      </c>
      <c r="L701" s="1">
        <v>20</v>
      </c>
      <c r="M701" s="1">
        <v>267.32</v>
      </c>
      <c r="N701" s="1">
        <v>1069.26</v>
      </c>
      <c r="O701" s="1" t="s">
        <v>33</v>
      </c>
      <c r="P701" s="1" t="s">
        <v>1341</v>
      </c>
      <c r="Q701" s="1">
        <v>2</v>
      </c>
      <c r="R701" s="1">
        <f>Retail_Sales_Analyis[[#This Row],[Final_Price]]-Retail_Sales_Analyis[[#This Row],[Total_Price]]</f>
        <v>-267.31999999999994</v>
      </c>
      <c r="S7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02" spans="1:19" x14ac:dyDescent="0.25">
      <c r="A702" s="1" t="s">
        <v>1342</v>
      </c>
      <c r="B702" s="2">
        <v>45639</v>
      </c>
      <c r="C702" s="1" t="s">
        <v>73</v>
      </c>
      <c r="D702" s="1" t="s">
        <v>144</v>
      </c>
      <c r="E702" s="1" t="s">
        <v>77</v>
      </c>
      <c r="F702" s="1" t="s">
        <v>30</v>
      </c>
      <c r="G702" s="1" t="s">
        <v>22</v>
      </c>
      <c r="H702" s="1" t="s">
        <v>23</v>
      </c>
      <c r="I702" s="1">
        <v>415.94</v>
      </c>
      <c r="J702" s="1">
        <v>2</v>
      </c>
      <c r="K702" s="1">
        <v>831.88</v>
      </c>
      <c r="L702" s="1">
        <v>0</v>
      </c>
      <c r="M702" s="1">
        <v>0</v>
      </c>
      <c r="N702" s="1">
        <v>831.88</v>
      </c>
      <c r="O702" s="1" t="s">
        <v>46</v>
      </c>
      <c r="P702" s="1" t="s">
        <v>784</v>
      </c>
      <c r="Q702" s="1">
        <v>5</v>
      </c>
      <c r="R702" s="1">
        <f>Retail_Sales_Analyis[[#This Row],[Final_Price]]-Retail_Sales_Analyis[[#This Row],[Total_Price]]</f>
        <v>0</v>
      </c>
      <c r="S7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03" spans="1:19" x14ac:dyDescent="0.25">
      <c r="A703" s="1" t="s">
        <v>1343</v>
      </c>
      <c r="B703" s="2">
        <v>45499</v>
      </c>
      <c r="C703" s="1" t="s">
        <v>195</v>
      </c>
      <c r="D703" s="1" t="s">
        <v>144</v>
      </c>
      <c r="E703" s="1" t="s">
        <v>157</v>
      </c>
      <c r="F703" s="1" t="s">
        <v>30</v>
      </c>
      <c r="G703" s="1" t="s">
        <v>57</v>
      </c>
      <c r="H703" s="1" t="s">
        <v>158</v>
      </c>
      <c r="I703" s="1">
        <v>655.73</v>
      </c>
      <c r="J703" s="1">
        <v>2</v>
      </c>
      <c r="K703" s="1">
        <v>1311.46</v>
      </c>
      <c r="L703" s="1">
        <v>0</v>
      </c>
      <c r="M703" s="1">
        <v>0</v>
      </c>
      <c r="N703" s="1">
        <v>1311.46</v>
      </c>
      <c r="O703" s="1" t="s">
        <v>64</v>
      </c>
      <c r="P703" s="1" t="s">
        <v>689</v>
      </c>
      <c r="Q703" s="1">
        <v>5</v>
      </c>
      <c r="R703" s="1">
        <f>Retail_Sales_Analyis[[#This Row],[Final_Price]]-Retail_Sales_Analyis[[#This Row],[Total_Price]]</f>
        <v>0</v>
      </c>
      <c r="S7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04" spans="1:19" x14ac:dyDescent="0.25">
      <c r="A704" s="1" t="s">
        <v>1344</v>
      </c>
      <c r="B704" s="2">
        <v>45376</v>
      </c>
      <c r="C704" s="1" t="s">
        <v>61</v>
      </c>
      <c r="D704" s="1" t="s">
        <v>43</v>
      </c>
      <c r="E704" s="1" t="s">
        <v>196</v>
      </c>
      <c r="F704" s="1" t="s">
        <v>69</v>
      </c>
      <c r="G704" s="1" t="s">
        <v>57</v>
      </c>
      <c r="H704" s="1" t="s">
        <v>152</v>
      </c>
      <c r="I704" s="1">
        <v>872.94</v>
      </c>
      <c r="J704" s="1">
        <v>2</v>
      </c>
      <c r="K704" s="1">
        <v>1745.88</v>
      </c>
      <c r="L704" s="1">
        <v>10</v>
      </c>
      <c r="M704" s="1">
        <v>174.59</v>
      </c>
      <c r="N704" s="1">
        <v>1571.29</v>
      </c>
      <c r="O704" s="1" t="s">
        <v>80</v>
      </c>
      <c r="P704" s="1" t="s">
        <v>1345</v>
      </c>
      <c r="Q704" s="1">
        <v>1</v>
      </c>
      <c r="R704" s="1">
        <f>Retail_Sales_Analyis[[#This Row],[Final_Price]]-Retail_Sales_Analyis[[#This Row],[Total_Price]]</f>
        <v>-174.59000000000015</v>
      </c>
      <c r="S7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05" spans="1:19" x14ac:dyDescent="0.25">
      <c r="A705" s="1" t="s">
        <v>1346</v>
      </c>
      <c r="B705" s="2">
        <v>45531</v>
      </c>
      <c r="C705" s="1" t="s">
        <v>93</v>
      </c>
      <c r="D705" s="1" t="s">
        <v>28</v>
      </c>
      <c r="E705" s="1" t="s">
        <v>207</v>
      </c>
      <c r="F705" s="1" t="s">
        <v>84</v>
      </c>
      <c r="G705" s="1" t="s">
        <v>112</v>
      </c>
      <c r="H705" s="1" t="s">
        <v>118</v>
      </c>
      <c r="I705" s="1">
        <v>639.82000000000005</v>
      </c>
      <c r="J705" s="1">
        <v>5</v>
      </c>
      <c r="K705" s="1">
        <v>3199.1</v>
      </c>
      <c r="L705" s="1">
        <v>0</v>
      </c>
      <c r="M705" s="1">
        <v>0</v>
      </c>
      <c r="N705" s="1">
        <v>3199.1</v>
      </c>
      <c r="O705" s="1" t="s">
        <v>46</v>
      </c>
      <c r="P705" s="1" t="s">
        <v>713</v>
      </c>
      <c r="Q705" s="1">
        <v>3</v>
      </c>
      <c r="R705" s="1">
        <f>Retail_Sales_Analyis[[#This Row],[Final_Price]]-Retail_Sales_Analyis[[#This Row],[Total_Price]]</f>
        <v>0</v>
      </c>
      <c r="S7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06" spans="1:19" x14ac:dyDescent="0.25">
      <c r="A706" s="1" t="s">
        <v>1347</v>
      </c>
      <c r="B706" s="2">
        <v>45357</v>
      </c>
      <c r="C706" s="1" t="s">
        <v>61</v>
      </c>
      <c r="D706" s="1" t="s">
        <v>55</v>
      </c>
      <c r="E706" s="1" t="s">
        <v>261</v>
      </c>
      <c r="F706" s="1" t="s">
        <v>84</v>
      </c>
      <c r="G706" s="1" t="s">
        <v>78</v>
      </c>
      <c r="H706" s="1" t="s">
        <v>136</v>
      </c>
      <c r="I706" s="1">
        <v>476.56</v>
      </c>
      <c r="J706" s="1">
        <v>3</v>
      </c>
      <c r="K706" s="1">
        <v>1429.68</v>
      </c>
      <c r="L706" s="1">
        <v>15</v>
      </c>
      <c r="M706" s="1">
        <v>214.45</v>
      </c>
      <c r="N706" s="1">
        <v>1215.23</v>
      </c>
      <c r="O706" s="1" t="s">
        <v>24</v>
      </c>
      <c r="P706" s="1" t="s">
        <v>913</v>
      </c>
      <c r="Q706" s="1">
        <v>3</v>
      </c>
      <c r="R706" s="1">
        <f>Retail_Sales_Analyis[[#This Row],[Final_Price]]-Retail_Sales_Analyis[[#This Row],[Total_Price]]</f>
        <v>-214.45000000000005</v>
      </c>
      <c r="S7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07" spans="1:19" x14ac:dyDescent="0.25">
      <c r="A707" s="1" t="s">
        <v>1348</v>
      </c>
      <c r="B707" s="2">
        <v>45610</v>
      </c>
      <c r="C707" s="1" t="s">
        <v>18</v>
      </c>
      <c r="D707" s="1" t="s">
        <v>67</v>
      </c>
      <c r="E707" s="1" t="s">
        <v>94</v>
      </c>
      <c r="F707" s="1" t="s">
        <v>21</v>
      </c>
      <c r="G707" s="1" t="s">
        <v>85</v>
      </c>
      <c r="H707" s="1" t="s">
        <v>297</v>
      </c>
      <c r="I707" s="1">
        <v>3348.7</v>
      </c>
      <c r="J707" s="1">
        <v>7</v>
      </c>
      <c r="K707" s="1">
        <v>23440.9</v>
      </c>
      <c r="L707" s="1">
        <v>5</v>
      </c>
      <c r="M707" s="1">
        <v>1172.05</v>
      </c>
      <c r="N707" s="1">
        <v>22268.85</v>
      </c>
      <c r="O707" s="1" t="s">
        <v>80</v>
      </c>
      <c r="P707" s="1" t="s">
        <v>459</v>
      </c>
      <c r="Q707" s="1">
        <v>1</v>
      </c>
      <c r="R707" s="1">
        <f>Retail_Sales_Analyis[[#This Row],[Final_Price]]-Retail_Sales_Analyis[[#This Row],[Total_Price]]</f>
        <v>-1172.0500000000029</v>
      </c>
      <c r="S7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08" spans="1:19" x14ac:dyDescent="0.25">
      <c r="A708" s="1" t="s">
        <v>1349</v>
      </c>
      <c r="B708" s="2">
        <v>45565</v>
      </c>
      <c r="C708" s="1" t="s">
        <v>116</v>
      </c>
      <c r="D708" s="1" t="s">
        <v>43</v>
      </c>
      <c r="E708" s="1" t="s">
        <v>285</v>
      </c>
      <c r="F708" s="1" t="s">
        <v>21</v>
      </c>
      <c r="G708" s="1" t="s">
        <v>31</v>
      </c>
      <c r="H708" s="1" t="s">
        <v>329</v>
      </c>
      <c r="I708" s="1">
        <v>448.34</v>
      </c>
      <c r="J708" s="1">
        <v>2</v>
      </c>
      <c r="K708" s="1">
        <v>896.68</v>
      </c>
      <c r="L708" s="1">
        <v>15</v>
      </c>
      <c r="M708" s="1">
        <v>134.5</v>
      </c>
      <c r="N708" s="1">
        <v>762.18</v>
      </c>
      <c r="O708" s="1" t="s">
        <v>64</v>
      </c>
      <c r="P708" s="1" t="s">
        <v>1350</v>
      </c>
      <c r="Q708" s="1">
        <v>2</v>
      </c>
      <c r="R708" s="1">
        <f>Retail_Sales_Analyis[[#This Row],[Final_Price]]-Retail_Sales_Analyis[[#This Row],[Total_Price]]</f>
        <v>-134.5</v>
      </c>
      <c r="S7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09" spans="1:19" x14ac:dyDescent="0.25">
      <c r="A709" s="1" t="s">
        <v>1351</v>
      </c>
      <c r="B709" s="2">
        <v>45305</v>
      </c>
      <c r="C709" s="1" t="s">
        <v>36</v>
      </c>
      <c r="D709" s="1" t="s">
        <v>49</v>
      </c>
      <c r="E709" s="1" t="s">
        <v>312</v>
      </c>
      <c r="F709" s="1" t="s">
        <v>21</v>
      </c>
      <c r="G709" s="1" t="s">
        <v>85</v>
      </c>
      <c r="H709" s="1" t="s">
        <v>90</v>
      </c>
      <c r="I709" s="1">
        <v>3065.2</v>
      </c>
      <c r="J709" s="1">
        <v>10</v>
      </c>
      <c r="K709" s="1">
        <v>30652</v>
      </c>
      <c r="L709" s="1">
        <v>15</v>
      </c>
      <c r="M709" s="1">
        <v>4597.8</v>
      </c>
      <c r="N709" s="1">
        <v>26054.2</v>
      </c>
      <c r="O709" s="1" t="s">
        <v>80</v>
      </c>
      <c r="P709" s="1" t="s">
        <v>1073</v>
      </c>
      <c r="Q709" s="1">
        <v>3</v>
      </c>
      <c r="R709" s="1">
        <f>Retail_Sales_Analyis[[#This Row],[Final_Price]]-Retail_Sales_Analyis[[#This Row],[Total_Price]]</f>
        <v>-4597.7999999999993</v>
      </c>
      <c r="S7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10" spans="1:19" x14ac:dyDescent="0.25">
      <c r="A710" s="1" t="s">
        <v>1352</v>
      </c>
      <c r="B710" s="2">
        <v>45493</v>
      </c>
      <c r="C710" s="1" t="s">
        <v>195</v>
      </c>
      <c r="D710" s="1" t="s">
        <v>19</v>
      </c>
      <c r="E710" s="1" t="s">
        <v>145</v>
      </c>
      <c r="F710" s="1" t="s">
        <v>84</v>
      </c>
      <c r="G710" s="1" t="s">
        <v>38</v>
      </c>
      <c r="H710" s="1" t="s">
        <v>422</v>
      </c>
      <c r="I710" s="1">
        <v>536.42999999999995</v>
      </c>
      <c r="J710" s="1">
        <v>7</v>
      </c>
      <c r="K710" s="1">
        <v>3755.01</v>
      </c>
      <c r="L710" s="1">
        <v>0</v>
      </c>
      <c r="M710" s="1">
        <v>0</v>
      </c>
      <c r="N710" s="1">
        <v>3755.01</v>
      </c>
      <c r="O710" s="1" t="s">
        <v>33</v>
      </c>
      <c r="P710" s="1" t="s">
        <v>1353</v>
      </c>
      <c r="Q710" s="1">
        <v>2</v>
      </c>
      <c r="R710" s="1">
        <f>Retail_Sales_Analyis[[#This Row],[Final_Price]]-Retail_Sales_Analyis[[#This Row],[Total_Price]]</f>
        <v>0</v>
      </c>
      <c r="S7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11" spans="1:19" x14ac:dyDescent="0.25">
      <c r="A711" s="1" t="s">
        <v>1354</v>
      </c>
      <c r="B711" s="2">
        <v>45595</v>
      </c>
      <c r="C711" s="1" t="s">
        <v>76</v>
      </c>
      <c r="D711" s="1" t="s">
        <v>55</v>
      </c>
      <c r="E711" s="1" t="s">
        <v>77</v>
      </c>
      <c r="F711" s="1" t="s">
        <v>30</v>
      </c>
      <c r="G711" s="1" t="s">
        <v>169</v>
      </c>
      <c r="H711" s="1" t="s">
        <v>366</v>
      </c>
      <c r="I711" s="1">
        <v>980.28</v>
      </c>
      <c r="J711" s="1">
        <v>8</v>
      </c>
      <c r="K711" s="1">
        <v>7842.24</v>
      </c>
      <c r="L711" s="1">
        <v>0</v>
      </c>
      <c r="M711" s="1">
        <v>0</v>
      </c>
      <c r="N711" s="1">
        <v>7842.24</v>
      </c>
      <c r="O711" s="1" t="s">
        <v>24</v>
      </c>
      <c r="P711" s="1" t="s">
        <v>1355</v>
      </c>
      <c r="Q711" s="1">
        <v>2</v>
      </c>
      <c r="R711" s="1">
        <f>Retail_Sales_Analyis[[#This Row],[Final_Price]]-Retail_Sales_Analyis[[#This Row],[Total_Price]]</f>
        <v>0</v>
      </c>
      <c r="S7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12" spans="1:19" x14ac:dyDescent="0.25">
      <c r="A712" s="1" t="s">
        <v>1356</v>
      </c>
      <c r="B712" s="2">
        <v>45580</v>
      </c>
      <c r="C712" s="1" t="s">
        <v>76</v>
      </c>
      <c r="D712" s="1" t="s">
        <v>28</v>
      </c>
      <c r="E712" s="1" t="s">
        <v>192</v>
      </c>
      <c r="F712" s="1" t="s">
        <v>30</v>
      </c>
      <c r="G712" s="1" t="s">
        <v>169</v>
      </c>
      <c r="H712" s="1" t="s">
        <v>348</v>
      </c>
      <c r="I712" s="1">
        <v>412.94</v>
      </c>
      <c r="J712" s="1">
        <v>6</v>
      </c>
      <c r="K712" s="1">
        <v>2477.64</v>
      </c>
      <c r="L712" s="1">
        <v>0</v>
      </c>
      <c r="M712" s="1">
        <v>0</v>
      </c>
      <c r="N712" s="1">
        <v>2477.64</v>
      </c>
      <c r="O712" s="1" t="s">
        <v>46</v>
      </c>
      <c r="P712" s="1" t="s">
        <v>1212</v>
      </c>
      <c r="Q712" s="1">
        <v>2</v>
      </c>
      <c r="R712" s="1">
        <f>Retail_Sales_Analyis[[#This Row],[Final_Price]]-Retail_Sales_Analyis[[#This Row],[Total_Price]]</f>
        <v>0</v>
      </c>
      <c r="S7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13" spans="1:19" x14ac:dyDescent="0.25">
      <c r="A713" s="1" t="s">
        <v>1357</v>
      </c>
      <c r="B713" s="2">
        <v>45631</v>
      </c>
      <c r="C713" s="1" t="s">
        <v>73</v>
      </c>
      <c r="D713" s="1" t="s">
        <v>67</v>
      </c>
      <c r="E713" s="1" t="s">
        <v>83</v>
      </c>
      <c r="F713" s="1" t="s">
        <v>30</v>
      </c>
      <c r="G713" s="1" t="s">
        <v>78</v>
      </c>
      <c r="H713" s="1" t="s">
        <v>323</v>
      </c>
      <c r="I713" s="1">
        <v>190.15</v>
      </c>
      <c r="J713" s="1">
        <v>3</v>
      </c>
      <c r="K713" s="1">
        <v>570.45000000000005</v>
      </c>
      <c r="L713" s="1">
        <v>15</v>
      </c>
      <c r="M713" s="1">
        <v>85.57</v>
      </c>
      <c r="N713" s="1">
        <v>484.88</v>
      </c>
      <c r="O713" s="1" t="s">
        <v>33</v>
      </c>
      <c r="P713" s="1" t="s">
        <v>1358</v>
      </c>
      <c r="Q713" s="1">
        <v>3</v>
      </c>
      <c r="R713" s="1">
        <f>Retail_Sales_Analyis[[#This Row],[Final_Price]]-Retail_Sales_Analyis[[#This Row],[Total_Price]]</f>
        <v>-85.57000000000005</v>
      </c>
      <c r="S7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14" spans="1:19" x14ac:dyDescent="0.25">
      <c r="A714" s="1" t="s">
        <v>1359</v>
      </c>
      <c r="B714" s="2">
        <v>45305</v>
      </c>
      <c r="C714" s="1" t="s">
        <v>36</v>
      </c>
      <c r="D714" s="1" t="s">
        <v>49</v>
      </c>
      <c r="E714" s="1" t="s">
        <v>94</v>
      </c>
      <c r="F714" s="1" t="s">
        <v>69</v>
      </c>
      <c r="G714" s="1" t="s">
        <v>31</v>
      </c>
      <c r="H714" s="1" t="s">
        <v>250</v>
      </c>
      <c r="I714" s="1">
        <v>472.92</v>
      </c>
      <c r="J714" s="1">
        <v>10</v>
      </c>
      <c r="K714" s="1">
        <v>4729.2</v>
      </c>
      <c r="L714" s="1">
        <v>5</v>
      </c>
      <c r="M714" s="1">
        <v>236.46</v>
      </c>
      <c r="N714" s="1">
        <v>4492.74</v>
      </c>
      <c r="O714" s="1" t="s">
        <v>24</v>
      </c>
      <c r="P714" s="1" t="s">
        <v>255</v>
      </c>
      <c r="Q714" s="1">
        <v>3</v>
      </c>
      <c r="R714" s="1">
        <f>Retail_Sales_Analyis[[#This Row],[Final_Price]]-Retail_Sales_Analyis[[#This Row],[Total_Price]]</f>
        <v>-236.46000000000004</v>
      </c>
      <c r="S7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15" spans="1:19" x14ac:dyDescent="0.25">
      <c r="A715" s="1" t="s">
        <v>1360</v>
      </c>
      <c r="B715" s="2">
        <v>45334</v>
      </c>
      <c r="C715" s="1" t="s">
        <v>27</v>
      </c>
      <c r="D715" s="1" t="s">
        <v>43</v>
      </c>
      <c r="E715" s="1" t="s">
        <v>285</v>
      </c>
      <c r="F715" s="1" t="s">
        <v>69</v>
      </c>
      <c r="G715" s="1" t="s">
        <v>85</v>
      </c>
      <c r="H715" s="1" t="s">
        <v>86</v>
      </c>
      <c r="I715" s="1">
        <v>2466.9299999999998</v>
      </c>
      <c r="J715" s="1">
        <v>10</v>
      </c>
      <c r="K715" s="1">
        <v>24669.3</v>
      </c>
      <c r="L715" s="1">
        <v>0</v>
      </c>
      <c r="M715" s="1">
        <v>0</v>
      </c>
      <c r="N715" s="1">
        <v>24669.3</v>
      </c>
      <c r="O715" s="1" t="s">
        <v>46</v>
      </c>
      <c r="P715" s="1" t="s">
        <v>830</v>
      </c>
      <c r="Q715" s="1">
        <v>1</v>
      </c>
      <c r="R715" s="1">
        <f>Retail_Sales_Analyis[[#This Row],[Final_Price]]-Retail_Sales_Analyis[[#This Row],[Total_Price]]</f>
        <v>0</v>
      </c>
      <c r="S7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16" spans="1:19" x14ac:dyDescent="0.25">
      <c r="A716" s="1" t="s">
        <v>1361</v>
      </c>
      <c r="B716" s="2">
        <v>45621</v>
      </c>
      <c r="C716" s="1" t="s">
        <v>18</v>
      </c>
      <c r="D716" s="1" t="s">
        <v>43</v>
      </c>
      <c r="E716" s="1" t="s">
        <v>168</v>
      </c>
      <c r="F716" s="1" t="s">
        <v>84</v>
      </c>
      <c r="G716" s="1" t="s">
        <v>31</v>
      </c>
      <c r="H716" s="1" t="s">
        <v>63</v>
      </c>
      <c r="I716" s="1">
        <v>444.83</v>
      </c>
      <c r="J716" s="1">
        <v>1</v>
      </c>
      <c r="K716" s="1">
        <v>444.83</v>
      </c>
      <c r="L716" s="1">
        <v>10</v>
      </c>
      <c r="M716" s="1">
        <v>44.48</v>
      </c>
      <c r="N716" s="1">
        <v>400.35</v>
      </c>
      <c r="O716" s="1" t="s">
        <v>24</v>
      </c>
      <c r="P716" s="1" t="s">
        <v>1362</v>
      </c>
      <c r="Q716" s="1">
        <v>2</v>
      </c>
      <c r="R716" s="1">
        <f>Retail_Sales_Analyis[[#This Row],[Final_Price]]-Retail_Sales_Analyis[[#This Row],[Total_Price]]</f>
        <v>-44.479999999999961</v>
      </c>
      <c r="S7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17" spans="1:19" x14ac:dyDescent="0.25">
      <c r="A717" s="1" t="s">
        <v>1363</v>
      </c>
      <c r="B717" s="2">
        <v>45511</v>
      </c>
      <c r="C717" s="1" t="s">
        <v>93</v>
      </c>
      <c r="D717" s="1" t="s">
        <v>55</v>
      </c>
      <c r="E717" s="1" t="s">
        <v>125</v>
      </c>
      <c r="F717" s="1" t="s">
        <v>69</v>
      </c>
      <c r="G717" s="1" t="s">
        <v>85</v>
      </c>
      <c r="H717" s="1" t="s">
        <v>297</v>
      </c>
      <c r="I717" s="1">
        <v>2162.64</v>
      </c>
      <c r="J717" s="1">
        <v>3</v>
      </c>
      <c r="K717" s="1">
        <v>6487.92</v>
      </c>
      <c r="L717" s="1">
        <v>10</v>
      </c>
      <c r="M717" s="1">
        <v>648.79</v>
      </c>
      <c r="N717" s="1">
        <v>5839.13</v>
      </c>
      <c r="O717" s="1" t="s">
        <v>33</v>
      </c>
      <c r="P717" s="1" t="s">
        <v>1364</v>
      </c>
      <c r="Q717" s="1">
        <v>1</v>
      </c>
      <c r="R717" s="1">
        <f>Retail_Sales_Analyis[[#This Row],[Final_Price]]-Retail_Sales_Analyis[[#This Row],[Total_Price]]</f>
        <v>-648.79</v>
      </c>
      <c r="S7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18" spans="1:19" x14ac:dyDescent="0.25">
      <c r="A718" s="1" t="s">
        <v>1365</v>
      </c>
      <c r="B718" s="2">
        <v>45361</v>
      </c>
      <c r="C718" s="1" t="s">
        <v>61</v>
      </c>
      <c r="D718" s="1" t="s">
        <v>49</v>
      </c>
      <c r="E718" s="1" t="s">
        <v>542</v>
      </c>
      <c r="F718" s="1" t="s">
        <v>37</v>
      </c>
      <c r="G718" s="1" t="s">
        <v>31</v>
      </c>
      <c r="H718" s="1" t="s">
        <v>329</v>
      </c>
      <c r="I718" s="1">
        <v>207.02</v>
      </c>
      <c r="J718" s="1">
        <v>8</v>
      </c>
      <c r="K718" s="1">
        <v>1656.16</v>
      </c>
      <c r="L718" s="1">
        <v>15</v>
      </c>
      <c r="M718" s="1">
        <v>248.42</v>
      </c>
      <c r="N718" s="1">
        <v>1407.74</v>
      </c>
      <c r="O718" s="1" t="s">
        <v>80</v>
      </c>
      <c r="P718" s="1" t="s">
        <v>863</v>
      </c>
      <c r="Q718" s="1">
        <v>4</v>
      </c>
      <c r="R718" s="1">
        <f>Retail_Sales_Analyis[[#This Row],[Final_Price]]-Retail_Sales_Analyis[[#This Row],[Total_Price]]</f>
        <v>-248.42000000000007</v>
      </c>
      <c r="S7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19" spans="1:19" x14ac:dyDescent="0.25">
      <c r="A719" s="1" t="s">
        <v>1366</v>
      </c>
      <c r="B719" s="2">
        <v>45528</v>
      </c>
      <c r="C719" s="1" t="s">
        <v>93</v>
      </c>
      <c r="D719" s="1" t="s">
        <v>19</v>
      </c>
      <c r="E719" s="1" t="s">
        <v>166</v>
      </c>
      <c r="F719" s="1" t="s">
        <v>30</v>
      </c>
      <c r="G719" s="1" t="s">
        <v>169</v>
      </c>
      <c r="H719" s="1" t="s">
        <v>348</v>
      </c>
      <c r="I719" s="1">
        <v>1221.8599999999999</v>
      </c>
      <c r="J719" s="1">
        <v>4</v>
      </c>
      <c r="K719" s="1">
        <v>4887.4399999999996</v>
      </c>
      <c r="L719" s="1">
        <v>5</v>
      </c>
      <c r="M719" s="1">
        <v>244.37</v>
      </c>
      <c r="N719" s="1">
        <v>4643.07</v>
      </c>
      <c r="O719" s="1" t="s">
        <v>46</v>
      </c>
      <c r="P719" s="1" t="s">
        <v>553</v>
      </c>
      <c r="Q719" s="1">
        <v>1</v>
      </c>
      <c r="R719" s="1">
        <f>Retail_Sales_Analyis[[#This Row],[Final_Price]]-Retail_Sales_Analyis[[#This Row],[Total_Price]]</f>
        <v>-244.36999999999989</v>
      </c>
      <c r="S7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20" spans="1:19" x14ac:dyDescent="0.25">
      <c r="A720" s="1" t="s">
        <v>1367</v>
      </c>
      <c r="B720" s="2">
        <v>45385</v>
      </c>
      <c r="C720" s="1" t="s">
        <v>54</v>
      </c>
      <c r="D720" s="1" t="s">
        <v>55</v>
      </c>
      <c r="E720" s="1" t="s">
        <v>342</v>
      </c>
      <c r="F720" s="1" t="s">
        <v>84</v>
      </c>
      <c r="G720" s="1" t="s">
        <v>31</v>
      </c>
      <c r="H720" s="1" t="s">
        <v>250</v>
      </c>
      <c r="I720" s="1">
        <v>366.03</v>
      </c>
      <c r="J720" s="1">
        <v>8</v>
      </c>
      <c r="K720" s="1">
        <v>2928.24</v>
      </c>
      <c r="L720" s="1">
        <v>0</v>
      </c>
      <c r="M720" s="1">
        <v>0</v>
      </c>
      <c r="N720" s="1">
        <v>2928.24</v>
      </c>
      <c r="O720" s="1" t="s">
        <v>46</v>
      </c>
      <c r="P720" s="1" t="s">
        <v>443</v>
      </c>
      <c r="Q720" s="1">
        <v>4</v>
      </c>
      <c r="R720" s="1">
        <f>Retail_Sales_Analyis[[#This Row],[Final_Price]]-Retail_Sales_Analyis[[#This Row],[Total_Price]]</f>
        <v>0</v>
      </c>
      <c r="S7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1" spans="1:19" x14ac:dyDescent="0.25">
      <c r="A721" s="1" t="s">
        <v>1368</v>
      </c>
      <c r="B721" s="2">
        <v>45317</v>
      </c>
      <c r="C721" s="1" t="s">
        <v>36</v>
      </c>
      <c r="D721" s="1" t="s">
        <v>144</v>
      </c>
      <c r="E721" s="1" t="s">
        <v>77</v>
      </c>
      <c r="F721" s="1" t="s">
        <v>69</v>
      </c>
      <c r="G721" s="1" t="s">
        <v>31</v>
      </c>
      <c r="H721" s="1" t="s">
        <v>250</v>
      </c>
      <c r="I721" s="1">
        <v>338.1</v>
      </c>
      <c r="J721" s="1">
        <v>6</v>
      </c>
      <c r="K721" s="1">
        <v>2028.6</v>
      </c>
      <c r="L721" s="1">
        <v>10</v>
      </c>
      <c r="M721" s="1">
        <v>202.86</v>
      </c>
      <c r="N721" s="1">
        <v>1825.74</v>
      </c>
      <c r="O721" s="1" t="s">
        <v>24</v>
      </c>
      <c r="P721" s="1" t="s">
        <v>1369</v>
      </c>
      <c r="Q721" s="1">
        <v>5</v>
      </c>
      <c r="R721" s="1">
        <f>Retail_Sales_Analyis[[#This Row],[Final_Price]]-Retail_Sales_Analyis[[#This Row],[Total_Price]]</f>
        <v>-202.8599999999999</v>
      </c>
      <c r="S7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22" spans="1:19" x14ac:dyDescent="0.25">
      <c r="A722" s="1" t="s">
        <v>1370</v>
      </c>
      <c r="B722" s="2">
        <v>45425</v>
      </c>
      <c r="C722" s="1" t="s">
        <v>42</v>
      </c>
      <c r="D722" s="1" t="s">
        <v>43</v>
      </c>
      <c r="E722" s="1" t="s">
        <v>174</v>
      </c>
      <c r="F722" s="1" t="s">
        <v>69</v>
      </c>
      <c r="G722" s="1" t="s">
        <v>78</v>
      </c>
      <c r="H722" s="1" t="s">
        <v>136</v>
      </c>
      <c r="I722" s="1">
        <v>590.35</v>
      </c>
      <c r="J722" s="1">
        <v>4</v>
      </c>
      <c r="K722" s="1">
        <v>2361.4</v>
      </c>
      <c r="L722" s="1">
        <v>0</v>
      </c>
      <c r="M722" s="1">
        <v>0</v>
      </c>
      <c r="N722" s="1">
        <v>2361.4</v>
      </c>
      <c r="O722" s="1" t="s">
        <v>64</v>
      </c>
      <c r="P722" s="1" t="s">
        <v>1221</v>
      </c>
      <c r="Q722" s="1">
        <v>1</v>
      </c>
      <c r="R722" s="1">
        <f>Retail_Sales_Analyis[[#This Row],[Final_Price]]-Retail_Sales_Analyis[[#This Row],[Total_Price]]</f>
        <v>0</v>
      </c>
      <c r="S7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3" spans="1:19" x14ac:dyDescent="0.25">
      <c r="A723" s="1" t="s">
        <v>1371</v>
      </c>
      <c r="B723" s="2">
        <v>45486</v>
      </c>
      <c r="C723" s="1" t="s">
        <v>195</v>
      </c>
      <c r="D723" s="1" t="s">
        <v>19</v>
      </c>
      <c r="E723" s="1" t="s">
        <v>351</v>
      </c>
      <c r="F723" s="1" t="s">
        <v>69</v>
      </c>
      <c r="G723" s="1" t="s">
        <v>38</v>
      </c>
      <c r="H723" s="1" t="s">
        <v>214</v>
      </c>
      <c r="I723" s="1">
        <v>158.51</v>
      </c>
      <c r="J723" s="1">
        <v>2</v>
      </c>
      <c r="K723" s="1">
        <v>317.02</v>
      </c>
      <c r="L723" s="1">
        <v>0</v>
      </c>
      <c r="M723" s="1">
        <v>0</v>
      </c>
      <c r="N723" s="1">
        <v>317.02</v>
      </c>
      <c r="O723" s="1" t="s">
        <v>33</v>
      </c>
      <c r="P723" s="1" t="s">
        <v>1372</v>
      </c>
      <c r="Q723" s="1">
        <v>1</v>
      </c>
      <c r="R723" s="1">
        <f>Retail_Sales_Analyis[[#This Row],[Final_Price]]-Retail_Sales_Analyis[[#This Row],[Total_Price]]</f>
        <v>0</v>
      </c>
      <c r="S7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4" spans="1:19" x14ac:dyDescent="0.25">
      <c r="A724" s="1" t="s">
        <v>1373</v>
      </c>
      <c r="B724" s="2">
        <v>45459</v>
      </c>
      <c r="C724" s="1" t="s">
        <v>173</v>
      </c>
      <c r="D724" s="1" t="s">
        <v>49</v>
      </c>
      <c r="E724" s="1" t="s">
        <v>302</v>
      </c>
      <c r="F724" s="1" t="s">
        <v>30</v>
      </c>
      <c r="G724" s="1" t="s">
        <v>22</v>
      </c>
      <c r="H724" s="1" t="s">
        <v>187</v>
      </c>
      <c r="I724" s="1">
        <v>371.28</v>
      </c>
      <c r="J724" s="1">
        <v>5</v>
      </c>
      <c r="K724" s="1">
        <v>1856.4</v>
      </c>
      <c r="L724" s="1">
        <v>0</v>
      </c>
      <c r="M724" s="1">
        <v>0</v>
      </c>
      <c r="N724" s="1">
        <v>1856.4</v>
      </c>
      <c r="O724" s="1" t="s">
        <v>24</v>
      </c>
      <c r="P724" s="1" t="s">
        <v>821</v>
      </c>
      <c r="Q724" s="1">
        <v>1</v>
      </c>
      <c r="R724" s="1">
        <f>Retail_Sales_Analyis[[#This Row],[Final_Price]]-Retail_Sales_Analyis[[#This Row],[Total_Price]]</f>
        <v>0</v>
      </c>
      <c r="S7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5" spans="1:19" x14ac:dyDescent="0.25">
      <c r="A725" s="1" t="s">
        <v>1374</v>
      </c>
      <c r="B725" s="2">
        <v>45400</v>
      </c>
      <c r="C725" s="1" t="s">
        <v>54</v>
      </c>
      <c r="D725" s="1" t="s">
        <v>67</v>
      </c>
      <c r="E725" s="1" t="s">
        <v>168</v>
      </c>
      <c r="F725" s="1" t="s">
        <v>21</v>
      </c>
      <c r="G725" s="1" t="s">
        <v>38</v>
      </c>
      <c r="H725" s="1" t="s">
        <v>214</v>
      </c>
      <c r="I725" s="1">
        <v>239.02</v>
      </c>
      <c r="J725" s="1">
        <v>7</v>
      </c>
      <c r="K725" s="1">
        <v>1673.14</v>
      </c>
      <c r="L725" s="1">
        <v>5</v>
      </c>
      <c r="M725" s="1">
        <v>83.66</v>
      </c>
      <c r="N725" s="1">
        <v>1589.48</v>
      </c>
      <c r="O725" s="1" t="s">
        <v>33</v>
      </c>
      <c r="P725" s="1" t="s">
        <v>1375</v>
      </c>
      <c r="Q725" s="1">
        <v>5</v>
      </c>
      <c r="R725" s="1">
        <f>Retail_Sales_Analyis[[#This Row],[Final_Price]]-Retail_Sales_Analyis[[#This Row],[Total_Price]]</f>
        <v>-83.660000000000082</v>
      </c>
      <c r="S7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26" spans="1:19" x14ac:dyDescent="0.25">
      <c r="A726" s="1" t="s">
        <v>1376</v>
      </c>
      <c r="B726" s="2">
        <v>45524</v>
      </c>
      <c r="C726" s="1" t="s">
        <v>93</v>
      </c>
      <c r="D726" s="1" t="s">
        <v>28</v>
      </c>
      <c r="E726" s="1" t="s">
        <v>89</v>
      </c>
      <c r="F726" s="1" t="s">
        <v>21</v>
      </c>
      <c r="G726" s="1" t="s">
        <v>22</v>
      </c>
      <c r="H726" s="1" t="s">
        <v>277</v>
      </c>
      <c r="I726" s="1">
        <v>930.08</v>
      </c>
      <c r="J726" s="1">
        <v>10</v>
      </c>
      <c r="K726" s="1">
        <v>9300.7999999999993</v>
      </c>
      <c r="L726" s="1">
        <v>5</v>
      </c>
      <c r="M726" s="1">
        <v>465.04</v>
      </c>
      <c r="N726" s="1">
        <v>8835.76</v>
      </c>
      <c r="O726" s="1" t="s">
        <v>24</v>
      </c>
      <c r="P726" s="1" t="s">
        <v>1377</v>
      </c>
      <c r="Q726" s="1">
        <v>5</v>
      </c>
      <c r="R726" s="1">
        <f>Retail_Sales_Analyis[[#This Row],[Final_Price]]-Retail_Sales_Analyis[[#This Row],[Total_Price]]</f>
        <v>-465.03999999999905</v>
      </c>
      <c r="S72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27" spans="1:19" x14ac:dyDescent="0.25">
      <c r="A727" s="1" t="s">
        <v>1378</v>
      </c>
      <c r="B727" s="2">
        <v>45459</v>
      </c>
      <c r="C727" s="1" t="s">
        <v>173</v>
      </c>
      <c r="D727" s="1" t="s">
        <v>49</v>
      </c>
      <c r="E727" s="1" t="s">
        <v>107</v>
      </c>
      <c r="F727" s="1" t="s">
        <v>69</v>
      </c>
      <c r="G727" s="1" t="s">
        <v>85</v>
      </c>
      <c r="H727" s="1" t="s">
        <v>180</v>
      </c>
      <c r="I727" s="1">
        <v>3656.25</v>
      </c>
      <c r="J727" s="1">
        <v>6</v>
      </c>
      <c r="K727" s="1">
        <v>21937.5</v>
      </c>
      <c r="L727" s="1">
        <v>0</v>
      </c>
      <c r="M727" s="1">
        <v>0</v>
      </c>
      <c r="N727" s="1">
        <v>21937.5</v>
      </c>
      <c r="O727" s="1" t="s">
        <v>64</v>
      </c>
      <c r="P727" s="1" t="s">
        <v>1269</v>
      </c>
      <c r="Q727" s="1">
        <v>4</v>
      </c>
      <c r="R727" s="1">
        <f>Retail_Sales_Analyis[[#This Row],[Final_Price]]-Retail_Sales_Analyis[[#This Row],[Total_Price]]</f>
        <v>0</v>
      </c>
      <c r="S7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8" spans="1:19" x14ac:dyDescent="0.25">
      <c r="A728" s="1" t="s">
        <v>1379</v>
      </c>
      <c r="B728" s="2">
        <v>45464</v>
      </c>
      <c r="C728" s="1" t="s">
        <v>173</v>
      </c>
      <c r="D728" s="1" t="s">
        <v>144</v>
      </c>
      <c r="E728" s="1" t="s">
        <v>312</v>
      </c>
      <c r="F728" s="1" t="s">
        <v>21</v>
      </c>
      <c r="G728" s="1" t="s">
        <v>78</v>
      </c>
      <c r="H728" s="1" t="s">
        <v>79</v>
      </c>
      <c r="I728" s="1">
        <v>506.41</v>
      </c>
      <c r="J728" s="1">
        <v>7</v>
      </c>
      <c r="K728" s="1">
        <v>3544.87</v>
      </c>
      <c r="L728" s="1">
        <v>0</v>
      </c>
      <c r="M728" s="1">
        <v>0</v>
      </c>
      <c r="N728" s="1">
        <v>3544.87</v>
      </c>
      <c r="O728" s="1" t="s">
        <v>80</v>
      </c>
      <c r="P728" s="1" t="s">
        <v>1125</v>
      </c>
      <c r="Q728" s="1">
        <v>1</v>
      </c>
      <c r="R728" s="1">
        <f>Retail_Sales_Analyis[[#This Row],[Final_Price]]-Retail_Sales_Analyis[[#This Row],[Total_Price]]</f>
        <v>0</v>
      </c>
      <c r="S7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29" spans="1:19" x14ac:dyDescent="0.25">
      <c r="A729" s="1" t="s">
        <v>1380</v>
      </c>
      <c r="B729" s="2">
        <v>45486</v>
      </c>
      <c r="C729" s="1" t="s">
        <v>195</v>
      </c>
      <c r="D729" s="1" t="s">
        <v>19</v>
      </c>
      <c r="E729" s="1" t="s">
        <v>168</v>
      </c>
      <c r="F729" s="1" t="s">
        <v>84</v>
      </c>
      <c r="G729" s="1" t="s">
        <v>31</v>
      </c>
      <c r="H729" s="1" t="s">
        <v>45</v>
      </c>
      <c r="I729" s="1">
        <v>93.85</v>
      </c>
      <c r="J729" s="1">
        <v>4</v>
      </c>
      <c r="K729" s="1">
        <v>375.4</v>
      </c>
      <c r="L729" s="1">
        <v>15</v>
      </c>
      <c r="M729" s="1">
        <v>56.31</v>
      </c>
      <c r="N729" s="1">
        <v>319.08999999999997</v>
      </c>
      <c r="O729" s="1" t="s">
        <v>64</v>
      </c>
      <c r="P729" s="1" t="s">
        <v>137</v>
      </c>
      <c r="Q729" s="1">
        <v>4</v>
      </c>
      <c r="R729" s="1">
        <f>Retail_Sales_Analyis[[#This Row],[Final_Price]]-Retail_Sales_Analyis[[#This Row],[Total_Price]]</f>
        <v>-56.31</v>
      </c>
      <c r="S7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30" spans="1:19" x14ac:dyDescent="0.25">
      <c r="A730" s="1" t="s">
        <v>1381</v>
      </c>
      <c r="B730" s="2">
        <v>45434</v>
      </c>
      <c r="C730" s="1" t="s">
        <v>42</v>
      </c>
      <c r="D730" s="1" t="s">
        <v>55</v>
      </c>
      <c r="E730" s="1" t="s">
        <v>157</v>
      </c>
      <c r="F730" s="1" t="s">
        <v>30</v>
      </c>
      <c r="G730" s="1" t="s">
        <v>85</v>
      </c>
      <c r="H730" s="1" t="s">
        <v>90</v>
      </c>
      <c r="I730" s="1">
        <v>2510.23</v>
      </c>
      <c r="J730" s="1">
        <v>6</v>
      </c>
      <c r="K730" s="1">
        <v>15061.38</v>
      </c>
      <c r="L730" s="1">
        <v>0</v>
      </c>
      <c r="M730" s="1">
        <v>0</v>
      </c>
      <c r="N730" s="1">
        <v>15061.38</v>
      </c>
      <c r="O730" s="1" t="s">
        <v>64</v>
      </c>
      <c r="P730" s="1" t="s">
        <v>1382</v>
      </c>
      <c r="Q730" s="1">
        <v>5</v>
      </c>
      <c r="R730" s="1">
        <f>Retail_Sales_Analyis[[#This Row],[Final_Price]]-Retail_Sales_Analyis[[#This Row],[Total_Price]]</f>
        <v>0</v>
      </c>
      <c r="S7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31" spans="1:19" x14ac:dyDescent="0.25">
      <c r="A731" s="1" t="s">
        <v>1383</v>
      </c>
      <c r="B731" s="2">
        <v>45507</v>
      </c>
      <c r="C731" s="1" t="s">
        <v>93</v>
      </c>
      <c r="D731" s="1" t="s">
        <v>19</v>
      </c>
      <c r="E731" s="1" t="s">
        <v>20</v>
      </c>
      <c r="F731" s="1" t="s">
        <v>69</v>
      </c>
      <c r="G731" s="1" t="s">
        <v>78</v>
      </c>
      <c r="H731" s="1" t="s">
        <v>79</v>
      </c>
      <c r="I731" s="1">
        <v>285.88</v>
      </c>
      <c r="J731" s="1">
        <v>5</v>
      </c>
      <c r="K731" s="1">
        <v>1429.4</v>
      </c>
      <c r="L731" s="1">
        <v>10</v>
      </c>
      <c r="M731" s="1">
        <v>142.94</v>
      </c>
      <c r="N731" s="1">
        <v>1286.46</v>
      </c>
      <c r="O731" s="1" t="s">
        <v>24</v>
      </c>
      <c r="P731" s="1" t="s">
        <v>334</v>
      </c>
      <c r="Q731" s="1">
        <v>4</v>
      </c>
      <c r="R731" s="1">
        <f>Retail_Sales_Analyis[[#This Row],[Final_Price]]-Retail_Sales_Analyis[[#This Row],[Total_Price]]</f>
        <v>-142.94000000000005</v>
      </c>
      <c r="S7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32" spans="1:19" x14ac:dyDescent="0.25">
      <c r="A732" s="1" t="s">
        <v>1384</v>
      </c>
      <c r="B732" s="2">
        <v>45421</v>
      </c>
      <c r="C732" s="1" t="s">
        <v>42</v>
      </c>
      <c r="D732" s="1" t="s">
        <v>67</v>
      </c>
      <c r="E732" s="1" t="s">
        <v>322</v>
      </c>
      <c r="F732" s="1" t="s">
        <v>21</v>
      </c>
      <c r="G732" s="1" t="s">
        <v>22</v>
      </c>
      <c r="H732" s="1" t="s">
        <v>277</v>
      </c>
      <c r="I732" s="1">
        <v>481.77</v>
      </c>
      <c r="J732" s="1">
        <v>9</v>
      </c>
      <c r="K732" s="1">
        <v>4335.93</v>
      </c>
      <c r="L732" s="1">
        <v>5</v>
      </c>
      <c r="M732" s="1">
        <v>216.8</v>
      </c>
      <c r="N732" s="1">
        <v>4119.13</v>
      </c>
      <c r="O732" s="1" t="s">
        <v>80</v>
      </c>
      <c r="P732" s="1" t="s">
        <v>1385</v>
      </c>
      <c r="Q732" s="1">
        <v>3</v>
      </c>
      <c r="R732" s="1">
        <f>Retail_Sales_Analyis[[#This Row],[Final_Price]]-Retail_Sales_Analyis[[#This Row],[Total_Price]]</f>
        <v>-216.80000000000018</v>
      </c>
      <c r="S7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33" spans="1:19" x14ac:dyDescent="0.25">
      <c r="A733" s="1" t="s">
        <v>1386</v>
      </c>
      <c r="B733" s="2">
        <v>45333</v>
      </c>
      <c r="C733" s="1" t="s">
        <v>27</v>
      </c>
      <c r="D733" s="1" t="s">
        <v>49</v>
      </c>
      <c r="E733" s="1" t="s">
        <v>121</v>
      </c>
      <c r="F733" s="1" t="s">
        <v>30</v>
      </c>
      <c r="G733" s="1" t="s">
        <v>22</v>
      </c>
      <c r="H733" s="1" t="s">
        <v>277</v>
      </c>
      <c r="I733" s="1">
        <v>341.52</v>
      </c>
      <c r="J733" s="1">
        <v>10</v>
      </c>
      <c r="K733" s="1">
        <v>3415.2</v>
      </c>
      <c r="L733" s="1">
        <v>0</v>
      </c>
      <c r="M733" s="1">
        <v>0</v>
      </c>
      <c r="N733" s="1">
        <v>3415.2</v>
      </c>
      <c r="O733" s="1" t="s">
        <v>80</v>
      </c>
      <c r="P733" s="1" t="s">
        <v>1233</v>
      </c>
      <c r="Q733" s="1">
        <v>4</v>
      </c>
      <c r="R733" s="1">
        <f>Retail_Sales_Analyis[[#This Row],[Final_Price]]-Retail_Sales_Analyis[[#This Row],[Total_Price]]</f>
        <v>0</v>
      </c>
      <c r="S7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34" spans="1:19" x14ac:dyDescent="0.25">
      <c r="A734" s="1" t="s">
        <v>1387</v>
      </c>
      <c r="B734" s="2">
        <v>45532</v>
      </c>
      <c r="C734" s="1" t="s">
        <v>93</v>
      </c>
      <c r="D734" s="1" t="s">
        <v>55</v>
      </c>
      <c r="E734" s="1" t="s">
        <v>20</v>
      </c>
      <c r="F734" s="1" t="s">
        <v>37</v>
      </c>
      <c r="G734" s="1" t="s">
        <v>22</v>
      </c>
      <c r="H734" s="1" t="s">
        <v>277</v>
      </c>
      <c r="I734" s="1">
        <v>761.67</v>
      </c>
      <c r="J734" s="1">
        <v>2</v>
      </c>
      <c r="K734" s="1">
        <v>1523.34</v>
      </c>
      <c r="L734" s="1">
        <v>0</v>
      </c>
      <c r="M734" s="1">
        <v>0</v>
      </c>
      <c r="N734" s="1">
        <v>1523.34</v>
      </c>
      <c r="O734" s="1" t="s">
        <v>24</v>
      </c>
      <c r="P734" s="1" t="s">
        <v>441</v>
      </c>
      <c r="Q734" s="1">
        <v>1</v>
      </c>
      <c r="R734" s="1">
        <f>Retail_Sales_Analyis[[#This Row],[Final_Price]]-Retail_Sales_Analyis[[#This Row],[Total_Price]]</f>
        <v>0</v>
      </c>
      <c r="S7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35" spans="1:19" x14ac:dyDescent="0.25">
      <c r="A735" s="1" t="s">
        <v>1388</v>
      </c>
      <c r="B735" s="2">
        <v>45301</v>
      </c>
      <c r="C735" s="1" t="s">
        <v>36</v>
      </c>
      <c r="D735" s="1" t="s">
        <v>55</v>
      </c>
      <c r="E735" s="1" t="s">
        <v>213</v>
      </c>
      <c r="F735" s="1" t="s">
        <v>84</v>
      </c>
      <c r="G735" s="1" t="s">
        <v>22</v>
      </c>
      <c r="H735" s="1" t="s">
        <v>133</v>
      </c>
      <c r="I735" s="1">
        <v>597.12</v>
      </c>
      <c r="J735" s="1">
        <v>10</v>
      </c>
      <c r="K735" s="1">
        <v>5971.2</v>
      </c>
      <c r="L735" s="1">
        <v>10</v>
      </c>
      <c r="M735" s="1">
        <v>597.12</v>
      </c>
      <c r="N735" s="1">
        <v>5374.08</v>
      </c>
      <c r="O735" s="1" t="s">
        <v>24</v>
      </c>
      <c r="P735" s="1" t="s">
        <v>1389</v>
      </c>
      <c r="Q735" s="1">
        <v>4</v>
      </c>
      <c r="R735" s="1">
        <f>Retail_Sales_Analyis[[#This Row],[Final_Price]]-Retail_Sales_Analyis[[#This Row],[Total_Price]]</f>
        <v>-597.11999999999989</v>
      </c>
      <c r="S7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36" spans="1:19" x14ac:dyDescent="0.25">
      <c r="A736" s="1" t="s">
        <v>1390</v>
      </c>
      <c r="B736" s="2">
        <v>45568</v>
      </c>
      <c r="C736" s="1" t="s">
        <v>76</v>
      </c>
      <c r="D736" s="1" t="s">
        <v>67</v>
      </c>
      <c r="E736" s="1" t="s">
        <v>121</v>
      </c>
      <c r="F736" s="1" t="s">
        <v>37</v>
      </c>
      <c r="G736" s="1" t="s">
        <v>112</v>
      </c>
      <c r="H736" s="1" t="s">
        <v>118</v>
      </c>
      <c r="I736" s="1">
        <v>1777.56</v>
      </c>
      <c r="J736" s="1">
        <v>4</v>
      </c>
      <c r="K736" s="1">
        <v>7110.24</v>
      </c>
      <c r="L736" s="1">
        <v>0</v>
      </c>
      <c r="M736" s="1">
        <v>0</v>
      </c>
      <c r="N736" s="1">
        <v>7110.24</v>
      </c>
      <c r="O736" s="1" t="s">
        <v>33</v>
      </c>
      <c r="P736" s="1" t="s">
        <v>1391</v>
      </c>
      <c r="Q736" s="1">
        <v>5</v>
      </c>
      <c r="R736" s="1">
        <f>Retail_Sales_Analyis[[#This Row],[Final_Price]]-Retail_Sales_Analyis[[#This Row],[Total_Price]]</f>
        <v>0</v>
      </c>
      <c r="S7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37" spans="1:19" x14ac:dyDescent="0.25">
      <c r="A737" s="1" t="s">
        <v>1392</v>
      </c>
      <c r="B737" s="2">
        <v>45318</v>
      </c>
      <c r="C737" s="1" t="s">
        <v>36</v>
      </c>
      <c r="D737" s="1" t="s">
        <v>19</v>
      </c>
      <c r="E737" s="1" t="s">
        <v>307</v>
      </c>
      <c r="F737" s="1" t="s">
        <v>21</v>
      </c>
      <c r="G737" s="1" t="s">
        <v>31</v>
      </c>
      <c r="H737" s="1" t="s">
        <v>329</v>
      </c>
      <c r="I737" s="1">
        <v>207.78</v>
      </c>
      <c r="J737" s="1">
        <v>8</v>
      </c>
      <c r="K737" s="1">
        <v>1662.24</v>
      </c>
      <c r="L737" s="1">
        <v>5</v>
      </c>
      <c r="M737" s="1">
        <v>83.11</v>
      </c>
      <c r="N737" s="1">
        <v>1579.13</v>
      </c>
      <c r="O737" s="1" t="s">
        <v>33</v>
      </c>
      <c r="P737" s="1" t="s">
        <v>1393</v>
      </c>
      <c r="Q737" s="1">
        <v>1</v>
      </c>
      <c r="R737" s="1">
        <f>Retail_Sales_Analyis[[#This Row],[Final_Price]]-Retail_Sales_Analyis[[#This Row],[Total_Price]]</f>
        <v>-83.1099999999999</v>
      </c>
      <c r="S7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38" spans="1:19" x14ac:dyDescent="0.25">
      <c r="A738" s="1" t="s">
        <v>1394</v>
      </c>
      <c r="B738" s="2">
        <v>45471</v>
      </c>
      <c r="C738" s="1" t="s">
        <v>173</v>
      </c>
      <c r="D738" s="1" t="s">
        <v>144</v>
      </c>
      <c r="E738" s="1" t="s">
        <v>157</v>
      </c>
      <c r="F738" s="1" t="s">
        <v>69</v>
      </c>
      <c r="G738" s="1" t="s">
        <v>38</v>
      </c>
      <c r="H738" s="1" t="s">
        <v>422</v>
      </c>
      <c r="I738" s="1">
        <v>715.73</v>
      </c>
      <c r="J738" s="1">
        <v>5</v>
      </c>
      <c r="K738" s="1">
        <v>3578.65</v>
      </c>
      <c r="L738" s="1">
        <v>0</v>
      </c>
      <c r="M738" s="1">
        <v>0</v>
      </c>
      <c r="N738" s="1">
        <v>3578.65</v>
      </c>
      <c r="O738" s="1" t="s">
        <v>33</v>
      </c>
      <c r="P738" s="1" t="s">
        <v>1395</v>
      </c>
      <c r="Q738" s="1">
        <v>2</v>
      </c>
      <c r="R738" s="1">
        <f>Retail_Sales_Analyis[[#This Row],[Final_Price]]-Retail_Sales_Analyis[[#This Row],[Total_Price]]</f>
        <v>0</v>
      </c>
      <c r="S7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39" spans="1:19" x14ac:dyDescent="0.25">
      <c r="A739" s="1" t="s">
        <v>1396</v>
      </c>
      <c r="B739" s="2">
        <v>45406</v>
      </c>
      <c r="C739" s="1" t="s">
        <v>54</v>
      </c>
      <c r="D739" s="1" t="s">
        <v>55</v>
      </c>
      <c r="E739" s="1" t="s">
        <v>166</v>
      </c>
      <c r="F739" s="1" t="s">
        <v>30</v>
      </c>
      <c r="G739" s="1" t="s">
        <v>112</v>
      </c>
      <c r="H739" s="1" t="s">
        <v>223</v>
      </c>
      <c r="I739" s="1">
        <v>730.06</v>
      </c>
      <c r="J739" s="1">
        <v>6</v>
      </c>
      <c r="K739" s="1">
        <v>4380.3599999999997</v>
      </c>
      <c r="L739" s="1">
        <v>20</v>
      </c>
      <c r="M739" s="1">
        <v>876.07</v>
      </c>
      <c r="N739" s="1">
        <v>3504.29</v>
      </c>
      <c r="O739" s="1" t="s">
        <v>80</v>
      </c>
      <c r="P739" s="1" t="s">
        <v>1149</v>
      </c>
      <c r="Q739" s="1">
        <v>5</v>
      </c>
      <c r="R739" s="1">
        <f>Retail_Sales_Analyis[[#This Row],[Final_Price]]-Retail_Sales_Analyis[[#This Row],[Total_Price]]</f>
        <v>-876.06999999999971</v>
      </c>
      <c r="S7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40" spans="1:19" x14ac:dyDescent="0.25">
      <c r="A740" s="1" t="s">
        <v>1397</v>
      </c>
      <c r="B740" s="2">
        <v>45624</v>
      </c>
      <c r="C740" s="1" t="s">
        <v>18</v>
      </c>
      <c r="D740" s="1" t="s">
        <v>67</v>
      </c>
      <c r="E740" s="1" t="s">
        <v>111</v>
      </c>
      <c r="F740" s="1" t="s">
        <v>84</v>
      </c>
      <c r="G740" s="1" t="s">
        <v>22</v>
      </c>
      <c r="H740" s="1" t="s">
        <v>23</v>
      </c>
      <c r="I740" s="1">
        <v>644.59</v>
      </c>
      <c r="J740" s="1">
        <v>7</v>
      </c>
      <c r="K740" s="1">
        <v>4512.13</v>
      </c>
      <c r="L740" s="1">
        <v>0</v>
      </c>
      <c r="M740" s="1">
        <v>0</v>
      </c>
      <c r="N740" s="1">
        <v>4512.13</v>
      </c>
      <c r="O740" s="1" t="s">
        <v>80</v>
      </c>
      <c r="P740" s="1" t="s">
        <v>839</v>
      </c>
      <c r="Q740" s="1">
        <v>4</v>
      </c>
      <c r="R740" s="1">
        <f>Retail_Sales_Analyis[[#This Row],[Final_Price]]-Retail_Sales_Analyis[[#This Row],[Total_Price]]</f>
        <v>0</v>
      </c>
      <c r="S7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41" spans="1:19" x14ac:dyDescent="0.25">
      <c r="A741" s="1" t="s">
        <v>1398</v>
      </c>
      <c r="B741" s="2">
        <v>45327</v>
      </c>
      <c r="C741" s="1" t="s">
        <v>27</v>
      </c>
      <c r="D741" s="1" t="s">
        <v>43</v>
      </c>
      <c r="E741" s="1" t="s">
        <v>236</v>
      </c>
      <c r="F741" s="1" t="s">
        <v>69</v>
      </c>
      <c r="G741" s="1" t="s">
        <v>85</v>
      </c>
      <c r="H741" s="1" t="s">
        <v>86</v>
      </c>
      <c r="I741" s="1">
        <v>4909.42</v>
      </c>
      <c r="J741" s="1">
        <v>3</v>
      </c>
      <c r="K741" s="1">
        <v>14728.26</v>
      </c>
      <c r="L741" s="1">
        <v>5</v>
      </c>
      <c r="M741" s="1">
        <v>736.41</v>
      </c>
      <c r="N741" s="1">
        <v>13991.85</v>
      </c>
      <c r="O741" s="1" t="s">
        <v>46</v>
      </c>
      <c r="P741" s="1" t="s">
        <v>1399</v>
      </c>
      <c r="Q741" s="1">
        <v>5</v>
      </c>
      <c r="R741" s="1">
        <f>Retail_Sales_Analyis[[#This Row],[Final_Price]]-Retail_Sales_Analyis[[#This Row],[Total_Price]]</f>
        <v>-736.40999999999985</v>
      </c>
      <c r="S74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42" spans="1:19" x14ac:dyDescent="0.25">
      <c r="A742" s="1" t="s">
        <v>1400</v>
      </c>
      <c r="B742" s="2">
        <v>45625</v>
      </c>
      <c r="C742" s="1" t="s">
        <v>18</v>
      </c>
      <c r="D742" s="1" t="s">
        <v>144</v>
      </c>
      <c r="E742" s="1" t="s">
        <v>163</v>
      </c>
      <c r="F742" s="1" t="s">
        <v>21</v>
      </c>
      <c r="G742" s="1" t="s">
        <v>169</v>
      </c>
      <c r="H742" s="1" t="s">
        <v>366</v>
      </c>
      <c r="I742" s="1">
        <v>905.11</v>
      </c>
      <c r="J742" s="1">
        <v>10</v>
      </c>
      <c r="K742" s="1">
        <v>9051.1</v>
      </c>
      <c r="L742" s="1">
        <v>20</v>
      </c>
      <c r="M742" s="1">
        <v>1810.22</v>
      </c>
      <c r="N742" s="1">
        <v>7240.88</v>
      </c>
      <c r="O742" s="1" t="s">
        <v>33</v>
      </c>
      <c r="P742" s="1" t="s">
        <v>217</v>
      </c>
      <c r="Q742" s="1">
        <v>3</v>
      </c>
      <c r="R742" s="1">
        <f>Retail_Sales_Analyis[[#This Row],[Final_Price]]-Retail_Sales_Analyis[[#This Row],[Total_Price]]</f>
        <v>-1810.2200000000003</v>
      </c>
      <c r="S74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43" spans="1:19" x14ac:dyDescent="0.25">
      <c r="A743" s="1" t="s">
        <v>1401</v>
      </c>
      <c r="B743" s="2">
        <v>45312</v>
      </c>
      <c r="C743" s="1" t="s">
        <v>36</v>
      </c>
      <c r="D743" s="1" t="s">
        <v>49</v>
      </c>
      <c r="E743" s="1" t="s">
        <v>107</v>
      </c>
      <c r="F743" s="1" t="s">
        <v>37</v>
      </c>
      <c r="G743" s="1" t="s">
        <v>78</v>
      </c>
      <c r="H743" s="1" t="s">
        <v>146</v>
      </c>
      <c r="I743" s="1">
        <v>191.96</v>
      </c>
      <c r="J743" s="1">
        <v>1</v>
      </c>
      <c r="K743" s="1">
        <v>191.96</v>
      </c>
      <c r="L743" s="1">
        <v>5</v>
      </c>
      <c r="M743" s="1">
        <v>9.6</v>
      </c>
      <c r="N743" s="1">
        <v>182.36</v>
      </c>
      <c r="O743" s="1" t="s">
        <v>24</v>
      </c>
      <c r="P743" s="1" t="s">
        <v>360</v>
      </c>
      <c r="Q743" s="1">
        <v>5</v>
      </c>
      <c r="R743" s="1">
        <f>Retail_Sales_Analyis[[#This Row],[Final_Price]]-Retail_Sales_Analyis[[#This Row],[Total_Price]]</f>
        <v>-9.5999999999999943</v>
      </c>
      <c r="S7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44" spans="1:19" x14ac:dyDescent="0.25">
      <c r="A744" s="1" t="s">
        <v>1402</v>
      </c>
      <c r="B744" s="2">
        <v>45307</v>
      </c>
      <c r="C744" s="1" t="s">
        <v>36</v>
      </c>
      <c r="D744" s="1" t="s">
        <v>28</v>
      </c>
      <c r="E744" s="1" t="s">
        <v>29</v>
      </c>
      <c r="F744" s="1" t="s">
        <v>21</v>
      </c>
      <c r="G744" s="1" t="s">
        <v>169</v>
      </c>
      <c r="H744" s="1" t="s">
        <v>170</v>
      </c>
      <c r="I744" s="1">
        <v>758.89</v>
      </c>
      <c r="J744" s="1">
        <v>3</v>
      </c>
      <c r="K744" s="1">
        <v>2276.67</v>
      </c>
      <c r="L744" s="1">
        <v>5</v>
      </c>
      <c r="M744" s="1">
        <v>113.83</v>
      </c>
      <c r="N744" s="1">
        <v>2162.84</v>
      </c>
      <c r="O744" s="1" t="s">
        <v>46</v>
      </c>
      <c r="P744" s="1" t="s">
        <v>826</v>
      </c>
      <c r="Q744" s="1">
        <v>2</v>
      </c>
      <c r="R744" s="1">
        <f>Retail_Sales_Analyis[[#This Row],[Final_Price]]-Retail_Sales_Analyis[[#This Row],[Total_Price]]</f>
        <v>-113.82999999999993</v>
      </c>
      <c r="S7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45" spans="1:19" x14ac:dyDescent="0.25">
      <c r="A745" s="1" t="s">
        <v>1403</v>
      </c>
      <c r="B745" s="2">
        <v>45418</v>
      </c>
      <c r="C745" s="1" t="s">
        <v>42</v>
      </c>
      <c r="D745" s="1" t="s">
        <v>43</v>
      </c>
      <c r="E745" s="1" t="s">
        <v>199</v>
      </c>
      <c r="F745" s="1" t="s">
        <v>37</v>
      </c>
      <c r="G745" s="1" t="s">
        <v>57</v>
      </c>
      <c r="H745" s="1" t="s">
        <v>122</v>
      </c>
      <c r="I745" s="1">
        <v>2553.2800000000002</v>
      </c>
      <c r="J745" s="1">
        <v>7</v>
      </c>
      <c r="K745" s="1">
        <v>17872.96</v>
      </c>
      <c r="L745" s="1">
        <v>20</v>
      </c>
      <c r="M745" s="1">
        <v>3574.59</v>
      </c>
      <c r="N745" s="1">
        <v>14298.37</v>
      </c>
      <c r="O745" s="1" t="s">
        <v>46</v>
      </c>
      <c r="P745" s="1" t="s">
        <v>817</v>
      </c>
      <c r="Q745" s="1">
        <v>1</v>
      </c>
      <c r="R745" s="1">
        <f>Retail_Sales_Analyis[[#This Row],[Final_Price]]-Retail_Sales_Analyis[[#This Row],[Total_Price]]</f>
        <v>-3574.5899999999983</v>
      </c>
      <c r="S7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46" spans="1:19" x14ac:dyDescent="0.25">
      <c r="A746" s="1" t="s">
        <v>1404</v>
      </c>
      <c r="B746" s="2">
        <v>45394</v>
      </c>
      <c r="C746" s="1" t="s">
        <v>54</v>
      </c>
      <c r="D746" s="1" t="s">
        <v>144</v>
      </c>
      <c r="E746" s="1" t="s">
        <v>56</v>
      </c>
      <c r="F746" s="1" t="s">
        <v>84</v>
      </c>
      <c r="G746" s="1" t="s">
        <v>85</v>
      </c>
      <c r="H746" s="1" t="s">
        <v>297</v>
      </c>
      <c r="I746" s="1">
        <v>3553.55</v>
      </c>
      <c r="J746" s="1">
        <v>10</v>
      </c>
      <c r="K746" s="1">
        <v>35535.5</v>
      </c>
      <c r="L746" s="1">
        <v>20</v>
      </c>
      <c r="M746" s="1">
        <v>7107.1</v>
      </c>
      <c r="N746" s="1">
        <v>28428.400000000001</v>
      </c>
      <c r="O746" s="1" t="s">
        <v>24</v>
      </c>
      <c r="P746" s="1" t="s">
        <v>1405</v>
      </c>
      <c r="Q746" s="1">
        <v>1</v>
      </c>
      <c r="R746" s="1">
        <f>Retail_Sales_Analyis[[#This Row],[Final_Price]]-Retail_Sales_Analyis[[#This Row],[Total_Price]]</f>
        <v>-7107.0999999999985</v>
      </c>
      <c r="S7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47" spans="1:19" x14ac:dyDescent="0.25">
      <c r="A747" s="1" t="s">
        <v>1406</v>
      </c>
      <c r="B747" s="2">
        <v>45302</v>
      </c>
      <c r="C747" s="1" t="s">
        <v>36</v>
      </c>
      <c r="D747" s="1" t="s">
        <v>67</v>
      </c>
      <c r="E747" s="1" t="s">
        <v>307</v>
      </c>
      <c r="F747" s="1" t="s">
        <v>21</v>
      </c>
      <c r="G747" s="1" t="s">
        <v>169</v>
      </c>
      <c r="H747" s="1" t="s">
        <v>366</v>
      </c>
      <c r="I747" s="1">
        <v>638.96</v>
      </c>
      <c r="J747" s="1">
        <v>3</v>
      </c>
      <c r="K747" s="1">
        <v>1916.88</v>
      </c>
      <c r="L747" s="1">
        <v>0</v>
      </c>
      <c r="M747" s="1">
        <v>0</v>
      </c>
      <c r="N747" s="1">
        <v>1916.88</v>
      </c>
      <c r="O747" s="1" t="s">
        <v>24</v>
      </c>
      <c r="P747" s="1" t="s">
        <v>1407</v>
      </c>
      <c r="Q747" s="1">
        <v>4</v>
      </c>
      <c r="R747" s="1">
        <f>Retail_Sales_Analyis[[#This Row],[Final_Price]]-Retail_Sales_Analyis[[#This Row],[Total_Price]]</f>
        <v>0</v>
      </c>
      <c r="S7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48" spans="1:19" x14ac:dyDescent="0.25">
      <c r="A748" s="1" t="s">
        <v>1408</v>
      </c>
      <c r="B748" s="2">
        <v>45610</v>
      </c>
      <c r="C748" s="1" t="s">
        <v>18</v>
      </c>
      <c r="D748" s="1" t="s">
        <v>67</v>
      </c>
      <c r="E748" s="1" t="s">
        <v>145</v>
      </c>
      <c r="F748" s="1" t="s">
        <v>69</v>
      </c>
      <c r="G748" s="1" t="s">
        <v>169</v>
      </c>
      <c r="H748" s="1" t="s">
        <v>348</v>
      </c>
      <c r="I748" s="1">
        <v>1254.53</v>
      </c>
      <c r="J748" s="1">
        <v>7</v>
      </c>
      <c r="K748" s="1">
        <v>8781.7099999999991</v>
      </c>
      <c r="L748" s="1">
        <v>0</v>
      </c>
      <c r="M748" s="1">
        <v>0</v>
      </c>
      <c r="N748" s="1">
        <v>8781.7099999999991</v>
      </c>
      <c r="O748" s="1" t="s">
        <v>33</v>
      </c>
      <c r="P748" s="1" t="s">
        <v>257</v>
      </c>
      <c r="Q748" s="1">
        <v>1</v>
      </c>
      <c r="R748" s="1">
        <f>Retail_Sales_Analyis[[#This Row],[Final_Price]]-Retail_Sales_Analyis[[#This Row],[Total_Price]]</f>
        <v>0</v>
      </c>
      <c r="S7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49" spans="1:19" x14ac:dyDescent="0.25">
      <c r="A749" s="1" t="s">
        <v>1409</v>
      </c>
      <c r="B749" s="2">
        <v>45370</v>
      </c>
      <c r="C749" s="1" t="s">
        <v>61</v>
      </c>
      <c r="D749" s="1" t="s">
        <v>28</v>
      </c>
      <c r="E749" s="1" t="s">
        <v>104</v>
      </c>
      <c r="F749" s="1" t="s">
        <v>84</v>
      </c>
      <c r="G749" s="1" t="s">
        <v>78</v>
      </c>
      <c r="H749" s="1" t="s">
        <v>136</v>
      </c>
      <c r="I749" s="1">
        <v>513.85</v>
      </c>
      <c r="J749" s="1">
        <v>3</v>
      </c>
      <c r="K749" s="1">
        <v>1541.55</v>
      </c>
      <c r="L749" s="1">
        <v>0</v>
      </c>
      <c r="M749" s="1">
        <v>0</v>
      </c>
      <c r="N749" s="1">
        <v>1541.55</v>
      </c>
      <c r="O749" s="1" t="s">
        <v>24</v>
      </c>
      <c r="P749" s="1" t="s">
        <v>1410</v>
      </c>
      <c r="Q749" s="1">
        <v>2</v>
      </c>
      <c r="R749" s="1">
        <f>Retail_Sales_Analyis[[#This Row],[Final_Price]]-Retail_Sales_Analyis[[#This Row],[Total_Price]]</f>
        <v>0</v>
      </c>
      <c r="S7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50" spans="1:19" x14ac:dyDescent="0.25">
      <c r="A750" s="1" t="s">
        <v>1411</v>
      </c>
      <c r="B750" s="2">
        <v>45414</v>
      </c>
      <c r="C750" s="1" t="s">
        <v>42</v>
      </c>
      <c r="D750" s="1" t="s">
        <v>67</v>
      </c>
      <c r="E750" s="1" t="s">
        <v>141</v>
      </c>
      <c r="F750" s="1" t="s">
        <v>37</v>
      </c>
      <c r="G750" s="1" t="s">
        <v>112</v>
      </c>
      <c r="H750" s="1" t="s">
        <v>223</v>
      </c>
      <c r="I750" s="1">
        <v>1963.87</v>
      </c>
      <c r="J750" s="1">
        <v>6</v>
      </c>
      <c r="K750" s="1">
        <v>11783.22</v>
      </c>
      <c r="L750" s="1">
        <v>5</v>
      </c>
      <c r="M750" s="1">
        <v>589.16</v>
      </c>
      <c r="N750" s="1">
        <v>11194.06</v>
      </c>
      <c r="O750" s="1" t="s">
        <v>80</v>
      </c>
      <c r="P750" s="1" t="s">
        <v>1412</v>
      </c>
      <c r="Q750" s="1">
        <v>5</v>
      </c>
      <c r="R750" s="1">
        <f>Retail_Sales_Analyis[[#This Row],[Final_Price]]-Retail_Sales_Analyis[[#This Row],[Total_Price]]</f>
        <v>-589.15999999999985</v>
      </c>
      <c r="S7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51" spans="1:19" x14ac:dyDescent="0.25">
      <c r="A751" s="1" t="s">
        <v>1413</v>
      </c>
      <c r="B751" s="2">
        <v>45356</v>
      </c>
      <c r="C751" s="1" t="s">
        <v>61</v>
      </c>
      <c r="D751" s="1" t="s">
        <v>28</v>
      </c>
      <c r="E751" s="1" t="s">
        <v>213</v>
      </c>
      <c r="F751" s="1" t="s">
        <v>21</v>
      </c>
      <c r="G751" s="1" t="s">
        <v>38</v>
      </c>
      <c r="H751" s="1" t="s">
        <v>39</v>
      </c>
      <c r="I751" s="1">
        <v>234.99</v>
      </c>
      <c r="J751" s="1">
        <v>1</v>
      </c>
      <c r="K751" s="1">
        <v>234.99</v>
      </c>
      <c r="L751" s="1">
        <v>10</v>
      </c>
      <c r="M751" s="1">
        <v>23.5</v>
      </c>
      <c r="N751" s="1">
        <v>211.49</v>
      </c>
      <c r="O751" s="1" t="s">
        <v>24</v>
      </c>
      <c r="P751" s="1" t="s">
        <v>1215</v>
      </c>
      <c r="Q751" s="1">
        <v>5</v>
      </c>
      <c r="R751" s="1">
        <f>Retail_Sales_Analyis[[#This Row],[Final_Price]]-Retail_Sales_Analyis[[#This Row],[Total_Price]]</f>
        <v>-23.5</v>
      </c>
      <c r="S7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52" spans="1:19" x14ac:dyDescent="0.25">
      <c r="A752" s="1" t="s">
        <v>1414</v>
      </c>
      <c r="B752" s="2">
        <v>45534</v>
      </c>
      <c r="C752" s="1" t="s">
        <v>93</v>
      </c>
      <c r="D752" s="1" t="s">
        <v>144</v>
      </c>
      <c r="E752" s="1" t="s">
        <v>239</v>
      </c>
      <c r="F752" s="1" t="s">
        <v>21</v>
      </c>
      <c r="G752" s="1" t="s">
        <v>78</v>
      </c>
      <c r="H752" s="1" t="s">
        <v>79</v>
      </c>
      <c r="I752" s="1">
        <v>554.36</v>
      </c>
      <c r="J752" s="1">
        <v>1</v>
      </c>
      <c r="K752" s="1">
        <v>554.36</v>
      </c>
      <c r="L752" s="1">
        <v>0</v>
      </c>
      <c r="M752" s="1">
        <v>0</v>
      </c>
      <c r="N752" s="1">
        <v>554.36</v>
      </c>
      <c r="O752" s="1" t="s">
        <v>64</v>
      </c>
      <c r="P752" s="1" t="s">
        <v>1415</v>
      </c>
      <c r="Q752" s="1">
        <v>2</v>
      </c>
      <c r="R752" s="1">
        <f>Retail_Sales_Analyis[[#This Row],[Final_Price]]-Retail_Sales_Analyis[[#This Row],[Total_Price]]</f>
        <v>0</v>
      </c>
      <c r="S7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53" spans="1:19" x14ac:dyDescent="0.25">
      <c r="A753" s="1" t="s">
        <v>1416</v>
      </c>
      <c r="B753" s="2">
        <v>45634</v>
      </c>
      <c r="C753" s="1" t="s">
        <v>73</v>
      </c>
      <c r="D753" s="1" t="s">
        <v>49</v>
      </c>
      <c r="E753" s="1" t="s">
        <v>56</v>
      </c>
      <c r="F753" s="1" t="s">
        <v>69</v>
      </c>
      <c r="G753" s="1" t="s">
        <v>38</v>
      </c>
      <c r="H753" s="1" t="s">
        <v>108</v>
      </c>
      <c r="I753" s="1">
        <v>239.47</v>
      </c>
      <c r="J753" s="1">
        <v>2</v>
      </c>
      <c r="K753" s="1">
        <v>478.94</v>
      </c>
      <c r="L753" s="1">
        <v>0</v>
      </c>
      <c r="M753" s="1">
        <v>0</v>
      </c>
      <c r="N753" s="1">
        <v>478.94</v>
      </c>
      <c r="O753" s="1" t="s">
        <v>80</v>
      </c>
      <c r="P753" s="1" t="s">
        <v>729</v>
      </c>
      <c r="Q753" s="1">
        <v>3</v>
      </c>
      <c r="R753" s="1">
        <f>Retail_Sales_Analyis[[#This Row],[Final_Price]]-Retail_Sales_Analyis[[#This Row],[Total_Price]]</f>
        <v>0</v>
      </c>
      <c r="S7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54" spans="1:19" x14ac:dyDescent="0.25">
      <c r="A754" s="1" t="s">
        <v>1417</v>
      </c>
      <c r="B754" s="2">
        <v>45350</v>
      </c>
      <c r="C754" s="1" t="s">
        <v>27</v>
      </c>
      <c r="D754" s="1" t="s">
        <v>55</v>
      </c>
      <c r="E754" s="1" t="s">
        <v>542</v>
      </c>
      <c r="F754" s="1" t="s">
        <v>84</v>
      </c>
      <c r="G754" s="1" t="s">
        <v>22</v>
      </c>
      <c r="H754" s="1" t="s">
        <v>23</v>
      </c>
      <c r="I754" s="1">
        <v>400.07</v>
      </c>
      <c r="J754" s="1">
        <v>4</v>
      </c>
      <c r="K754" s="1">
        <v>1600.28</v>
      </c>
      <c r="L754" s="1">
        <v>15</v>
      </c>
      <c r="M754" s="1">
        <v>240.04</v>
      </c>
      <c r="N754" s="1">
        <v>1360.24</v>
      </c>
      <c r="O754" s="1" t="s">
        <v>46</v>
      </c>
      <c r="P754" s="1" t="s">
        <v>1418</v>
      </c>
      <c r="Q754" s="1">
        <v>4</v>
      </c>
      <c r="R754" s="1">
        <f>Retail_Sales_Analyis[[#This Row],[Final_Price]]-Retail_Sales_Analyis[[#This Row],[Total_Price]]</f>
        <v>-240.03999999999996</v>
      </c>
      <c r="S7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55" spans="1:19" x14ac:dyDescent="0.25">
      <c r="A755" s="1" t="s">
        <v>1419</v>
      </c>
      <c r="B755" s="2">
        <v>45580</v>
      </c>
      <c r="C755" s="1" t="s">
        <v>76</v>
      </c>
      <c r="D755" s="1" t="s">
        <v>28</v>
      </c>
      <c r="E755" s="1" t="s">
        <v>89</v>
      </c>
      <c r="F755" s="1" t="s">
        <v>30</v>
      </c>
      <c r="G755" s="1" t="s">
        <v>38</v>
      </c>
      <c r="H755" s="1" t="s">
        <v>214</v>
      </c>
      <c r="I755" s="1">
        <v>655.87</v>
      </c>
      <c r="J755" s="1">
        <v>8</v>
      </c>
      <c r="K755" s="1">
        <v>5246.96</v>
      </c>
      <c r="L755" s="1">
        <v>5</v>
      </c>
      <c r="M755" s="1">
        <v>262.35000000000002</v>
      </c>
      <c r="N755" s="1">
        <v>4984.6099999999997</v>
      </c>
      <c r="O755" s="1" t="s">
        <v>33</v>
      </c>
      <c r="P755" s="1" t="s">
        <v>896</v>
      </c>
      <c r="Q755" s="1">
        <v>4</v>
      </c>
      <c r="R755" s="1">
        <f>Retail_Sales_Analyis[[#This Row],[Final_Price]]-Retail_Sales_Analyis[[#This Row],[Total_Price]]</f>
        <v>-262.35000000000036</v>
      </c>
      <c r="S7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56" spans="1:19" x14ac:dyDescent="0.25">
      <c r="A756" s="1" t="s">
        <v>1420</v>
      </c>
      <c r="B756" s="2">
        <v>45403</v>
      </c>
      <c r="C756" s="1" t="s">
        <v>54</v>
      </c>
      <c r="D756" s="1" t="s">
        <v>49</v>
      </c>
      <c r="E756" s="1" t="s">
        <v>411</v>
      </c>
      <c r="F756" s="1" t="s">
        <v>30</v>
      </c>
      <c r="G756" s="1" t="s">
        <v>78</v>
      </c>
      <c r="H756" s="1" t="s">
        <v>126</v>
      </c>
      <c r="I756" s="1">
        <v>198.4</v>
      </c>
      <c r="J756" s="1">
        <v>7</v>
      </c>
      <c r="K756" s="1">
        <v>1388.8</v>
      </c>
      <c r="L756" s="1">
        <v>5</v>
      </c>
      <c r="M756" s="1">
        <v>69.44</v>
      </c>
      <c r="N756" s="1">
        <v>1319.36</v>
      </c>
      <c r="O756" s="1" t="s">
        <v>64</v>
      </c>
      <c r="P756" s="1" t="s">
        <v>504</v>
      </c>
      <c r="Q756" s="1">
        <v>5</v>
      </c>
      <c r="R756" s="1">
        <f>Retail_Sales_Analyis[[#This Row],[Final_Price]]-Retail_Sales_Analyis[[#This Row],[Total_Price]]</f>
        <v>-69.440000000000055</v>
      </c>
      <c r="S7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57" spans="1:19" x14ac:dyDescent="0.25">
      <c r="A757" s="1" t="s">
        <v>1421</v>
      </c>
      <c r="B757" s="2">
        <v>45530</v>
      </c>
      <c r="C757" s="1" t="s">
        <v>93</v>
      </c>
      <c r="D757" s="1" t="s">
        <v>43</v>
      </c>
      <c r="E757" s="1" t="s">
        <v>261</v>
      </c>
      <c r="F757" s="1" t="s">
        <v>30</v>
      </c>
      <c r="G757" s="1" t="s">
        <v>169</v>
      </c>
      <c r="H757" s="1" t="s">
        <v>348</v>
      </c>
      <c r="I757" s="1">
        <v>500.7</v>
      </c>
      <c r="J757" s="1">
        <v>1</v>
      </c>
      <c r="K757" s="1">
        <v>500.7</v>
      </c>
      <c r="L757" s="1">
        <v>10</v>
      </c>
      <c r="M757" s="1">
        <v>50.07</v>
      </c>
      <c r="N757" s="1">
        <v>450.63</v>
      </c>
      <c r="O757" s="1" t="s">
        <v>46</v>
      </c>
      <c r="P757" s="1" t="s">
        <v>553</v>
      </c>
      <c r="Q757" s="1">
        <v>5</v>
      </c>
      <c r="R757" s="1">
        <f>Retail_Sales_Analyis[[#This Row],[Final_Price]]-Retail_Sales_Analyis[[#This Row],[Total_Price]]</f>
        <v>-50.069999999999993</v>
      </c>
      <c r="S7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58" spans="1:19" x14ac:dyDescent="0.25">
      <c r="A758" s="1" t="s">
        <v>1422</v>
      </c>
      <c r="B758" s="2">
        <v>45650</v>
      </c>
      <c r="C758" s="1" t="s">
        <v>73</v>
      </c>
      <c r="D758" s="1" t="s">
        <v>28</v>
      </c>
      <c r="E758" s="1" t="s">
        <v>129</v>
      </c>
      <c r="F758" s="1" t="s">
        <v>30</v>
      </c>
      <c r="G758" s="1" t="s">
        <v>78</v>
      </c>
      <c r="H758" s="1" t="s">
        <v>136</v>
      </c>
      <c r="I758" s="1">
        <v>163.47</v>
      </c>
      <c r="J758" s="1">
        <v>3</v>
      </c>
      <c r="K758" s="1">
        <v>490.41</v>
      </c>
      <c r="L758" s="1">
        <v>20</v>
      </c>
      <c r="M758" s="1">
        <v>98.08</v>
      </c>
      <c r="N758" s="1">
        <v>392.33</v>
      </c>
      <c r="O758" s="1" t="s">
        <v>46</v>
      </c>
      <c r="P758" s="1" t="s">
        <v>1423</v>
      </c>
      <c r="Q758" s="1">
        <v>4</v>
      </c>
      <c r="R758" s="1">
        <f>Retail_Sales_Analyis[[#This Row],[Final_Price]]-Retail_Sales_Analyis[[#This Row],[Total_Price]]</f>
        <v>-98.080000000000041</v>
      </c>
      <c r="S75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59" spans="1:19" x14ac:dyDescent="0.25">
      <c r="A759" s="1" t="s">
        <v>1424</v>
      </c>
      <c r="B759" s="2">
        <v>45423</v>
      </c>
      <c r="C759" s="1" t="s">
        <v>42</v>
      </c>
      <c r="D759" s="1" t="s">
        <v>19</v>
      </c>
      <c r="E759" s="1" t="s">
        <v>157</v>
      </c>
      <c r="F759" s="1" t="s">
        <v>30</v>
      </c>
      <c r="G759" s="1" t="s">
        <v>169</v>
      </c>
      <c r="H759" s="1" t="s">
        <v>366</v>
      </c>
      <c r="I759" s="1">
        <v>1088.3499999999999</v>
      </c>
      <c r="J759" s="1">
        <v>6</v>
      </c>
      <c r="K759" s="1">
        <v>6530.1</v>
      </c>
      <c r="L759" s="1">
        <v>0</v>
      </c>
      <c r="M759" s="1">
        <v>0</v>
      </c>
      <c r="N759" s="1">
        <v>6530.1</v>
      </c>
      <c r="O759" s="1" t="s">
        <v>46</v>
      </c>
      <c r="P759" s="1" t="s">
        <v>1425</v>
      </c>
      <c r="Q759" s="1">
        <v>1</v>
      </c>
      <c r="R759" s="1">
        <f>Retail_Sales_Analyis[[#This Row],[Final_Price]]-Retail_Sales_Analyis[[#This Row],[Total_Price]]</f>
        <v>0</v>
      </c>
      <c r="S7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60" spans="1:19" x14ac:dyDescent="0.25">
      <c r="A760" s="1" t="s">
        <v>1426</v>
      </c>
      <c r="B760" s="2">
        <v>45480</v>
      </c>
      <c r="C760" s="1" t="s">
        <v>195</v>
      </c>
      <c r="D760" s="1" t="s">
        <v>49</v>
      </c>
      <c r="E760" s="1" t="s">
        <v>163</v>
      </c>
      <c r="F760" s="1" t="s">
        <v>37</v>
      </c>
      <c r="G760" s="1" t="s">
        <v>112</v>
      </c>
      <c r="H760" s="1" t="s">
        <v>118</v>
      </c>
      <c r="I760" s="1">
        <v>820.66</v>
      </c>
      <c r="J760" s="1">
        <v>10</v>
      </c>
      <c r="K760" s="1">
        <v>8206.6</v>
      </c>
      <c r="L760" s="1">
        <v>20</v>
      </c>
      <c r="M760" s="1">
        <v>1641.32</v>
      </c>
      <c r="N760" s="1">
        <v>6565.28</v>
      </c>
      <c r="O760" s="1" t="s">
        <v>46</v>
      </c>
      <c r="P760" s="1" t="s">
        <v>371</v>
      </c>
      <c r="Q760" s="1">
        <v>2</v>
      </c>
      <c r="R760" s="1">
        <f>Retail_Sales_Analyis[[#This Row],[Final_Price]]-Retail_Sales_Analyis[[#This Row],[Total_Price]]</f>
        <v>-1641.3200000000006</v>
      </c>
      <c r="S7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61" spans="1:19" x14ac:dyDescent="0.25">
      <c r="A761" s="1" t="s">
        <v>1427</v>
      </c>
      <c r="B761" s="2">
        <v>45377</v>
      </c>
      <c r="C761" s="1" t="s">
        <v>61</v>
      </c>
      <c r="D761" s="1" t="s">
        <v>28</v>
      </c>
      <c r="E761" s="1" t="s">
        <v>97</v>
      </c>
      <c r="F761" s="1" t="s">
        <v>84</v>
      </c>
      <c r="G761" s="1" t="s">
        <v>38</v>
      </c>
      <c r="H761" s="1" t="s">
        <v>70</v>
      </c>
      <c r="I761" s="1">
        <v>248.52</v>
      </c>
      <c r="J761" s="1">
        <v>4</v>
      </c>
      <c r="K761" s="1">
        <v>994.08</v>
      </c>
      <c r="L761" s="1">
        <v>0</v>
      </c>
      <c r="M761" s="1">
        <v>0</v>
      </c>
      <c r="N761" s="1">
        <v>994.08</v>
      </c>
      <c r="O761" s="1" t="s">
        <v>80</v>
      </c>
      <c r="P761" s="1" t="s">
        <v>1428</v>
      </c>
      <c r="Q761" s="1">
        <v>3</v>
      </c>
      <c r="R761" s="1">
        <f>Retail_Sales_Analyis[[#This Row],[Final_Price]]-Retail_Sales_Analyis[[#This Row],[Total_Price]]</f>
        <v>0</v>
      </c>
      <c r="S7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62" spans="1:19" x14ac:dyDescent="0.25">
      <c r="A762" s="1" t="s">
        <v>1429</v>
      </c>
      <c r="B762" s="2">
        <v>45602</v>
      </c>
      <c r="C762" s="1" t="s">
        <v>18</v>
      </c>
      <c r="D762" s="1" t="s">
        <v>55</v>
      </c>
      <c r="E762" s="1" t="s">
        <v>166</v>
      </c>
      <c r="F762" s="1" t="s">
        <v>21</v>
      </c>
      <c r="G762" s="1" t="s">
        <v>169</v>
      </c>
      <c r="H762" s="1" t="s">
        <v>170</v>
      </c>
      <c r="I762" s="1">
        <v>1371.2</v>
      </c>
      <c r="J762" s="1">
        <v>7</v>
      </c>
      <c r="K762" s="1">
        <v>9598.4</v>
      </c>
      <c r="L762" s="1">
        <v>15</v>
      </c>
      <c r="M762" s="1">
        <v>1439.76</v>
      </c>
      <c r="N762" s="1">
        <v>8158.64</v>
      </c>
      <c r="O762" s="1" t="s">
        <v>33</v>
      </c>
      <c r="P762" s="1" t="s">
        <v>1065</v>
      </c>
      <c r="Q762" s="1">
        <v>3</v>
      </c>
      <c r="R762" s="1">
        <f>Retail_Sales_Analyis[[#This Row],[Final_Price]]-Retail_Sales_Analyis[[#This Row],[Total_Price]]</f>
        <v>-1439.7599999999993</v>
      </c>
      <c r="S7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63" spans="1:19" x14ac:dyDescent="0.25">
      <c r="A763" s="1" t="s">
        <v>1430</v>
      </c>
      <c r="B763" s="2">
        <v>45602</v>
      </c>
      <c r="C763" s="1" t="s">
        <v>18</v>
      </c>
      <c r="D763" s="1" t="s">
        <v>55</v>
      </c>
      <c r="E763" s="1" t="s">
        <v>312</v>
      </c>
      <c r="F763" s="1" t="s">
        <v>21</v>
      </c>
      <c r="G763" s="1" t="s">
        <v>112</v>
      </c>
      <c r="H763" s="1" t="s">
        <v>288</v>
      </c>
      <c r="I763" s="1">
        <v>1247.98</v>
      </c>
      <c r="J763" s="1">
        <v>5</v>
      </c>
      <c r="K763" s="1">
        <v>6239.9</v>
      </c>
      <c r="L763" s="1">
        <v>5</v>
      </c>
      <c r="M763" s="1">
        <v>312</v>
      </c>
      <c r="N763" s="1">
        <v>5927.9</v>
      </c>
      <c r="O763" s="1" t="s">
        <v>24</v>
      </c>
      <c r="P763" s="1" t="s">
        <v>1431</v>
      </c>
      <c r="Q763" s="1">
        <v>1</v>
      </c>
      <c r="R763" s="1">
        <f>Retail_Sales_Analyis[[#This Row],[Final_Price]]-Retail_Sales_Analyis[[#This Row],[Total_Price]]</f>
        <v>-312</v>
      </c>
      <c r="S7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64" spans="1:19" x14ac:dyDescent="0.25">
      <c r="A764" s="1" t="s">
        <v>1432</v>
      </c>
      <c r="B764" s="2">
        <v>45350</v>
      </c>
      <c r="C764" s="1" t="s">
        <v>27</v>
      </c>
      <c r="D764" s="1" t="s">
        <v>55</v>
      </c>
      <c r="E764" s="1" t="s">
        <v>20</v>
      </c>
      <c r="F764" s="1" t="s">
        <v>84</v>
      </c>
      <c r="G764" s="1" t="s">
        <v>78</v>
      </c>
      <c r="H764" s="1" t="s">
        <v>126</v>
      </c>
      <c r="I764" s="1">
        <v>322.29000000000002</v>
      </c>
      <c r="J764" s="1">
        <v>10</v>
      </c>
      <c r="K764" s="1">
        <v>3222.9</v>
      </c>
      <c r="L764" s="1">
        <v>0</v>
      </c>
      <c r="M764" s="1">
        <v>0</v>
      </c>
      <c r="N764" s="1">
        <v>3222.9</v>
      </c>
      <c r="O764" s="1" t="s">
        <v>46</v>
      </c>
      <c r="P764" s="1" t="s">
        <v>1433</v>
      </c>
      <c r="Q764" s="1">
        <v>1</v>
      </c>
      <c r="R764" s="1">
        <f>Retail_Sales_Analyis[[#This Row],[Final_Price]]-Retail_Sales_Analyis[[#This Row],[Total_Price]]</f>
        <v>0</v>
      </c>
      <c r="S7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65" spans="1:19" x14ac:dyDescent="0.25">
      <c r="A765" s="1" t="s">
        <v>1434</v>
      </c>
      <c r="B765" s="2">
        <v>45375</v>
      </c>
      <c r="C765" s="1" t="s">
        <v>61</v>
      </c>
      <c r="D765" s="1" t="s">
        <v>49</v>
      </c>
      <c r="E765" s="1" t="s">
        <v>342</v>
      </c>
      <c r="F765" s="1" t="s">
        <v>30</v>
      </c>
      <c r="G765" s="1" t="s">
        <v>31</v>
      </c>
      <c r="H765" s="1" t="s">
        <v>63</v>
      </c>
      <c r="I765" s="1">
        <v>108.98</v>
      </c>
      <c r="J765" s="1">
        <v>7</v>
      </c>
      <c r="K765" s="1">
        <v>762.86</v>
      </c>
      <c r="L765" s="1">
        <v>0</v>
      </c>
      <c r="M765" s="1">
        <v>0</v>
      </c>
      <c r="N765" s="1">
        <v>762.86</v>
      </c>
      <c r="O765" s="1" t="s">
        <v>80</v>
      </c>
      <c r="P765" s="1" t="s">
        <v>1435</v>
      </c>
      <c r="Q765" s="1">
        <v>5</v>
      </c>
      <c r="R765" s="1">
        <f>Retail_Sales_Analyis[[#This Row],[Final_Price]]-Retail_Sales_Analyis[[#This Row],[Total_Price]]</f>
        <v>0</v>
      </c>
      <c r="S7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66" spans="1:19" x14ac:dyDescent="0.25">
      <c r="A766" s="1" t="s">
        <v>1436</v>
      </c>
      <c r="B766" s="2">
        <v>45451</v>
      </c>
      <c r="C766" s="1" t="s">
        <v>173</v>
      </c>
      <c r="D766" s="1" t="s">
        <v>19</v>
      </c>
      <c r="E766" s="1" t="s">
        <v>166</v>
      </c>
      <c r="F766" s="1" t="s">
        <v>30</v>
      </c>
      <c r="G766" s="1" t="s">
        <v>112</v>
      </c>
      <c r="H766" s="1" t="s">
        <v>223</v>
      </c>
      <c r="I766" s="1">
        <v>1204.8399999999999</v>
      </c>
      <c r="J766" s="1">
        <v>7</v>
      </c>
      <c r="K766" s="1">
        <v>8433.8799999999992</v>
      </c>
      <c r="L766" s="1">
        <v>15</v>
      </c>
      <c r="M766" s="1">
        <v>1265.08</v>
      </c>
      <c r="N766" s="1">
        <v>7168.8</v>
      </c>
      <c r="O766" s="1" t="s">
        <v>46</v>
      </c>
      <c r="P766" s="1" t="s">
        <v>1166</v>
      </c>
      <c r="Q766" s="1">
        <v>3</v>
      </c>
      <c r="R766" s="1">
        <f>Retail_Sales_Analyis[[#This Row],[Final_Price]]-Retail_Sales_Analyis[[#This Row],[Total_Price]]</f>
        <v>-1265.079999999999</v>
      </c>
      <c r="S7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67" spans="1:19" x14ac:dyDescent="0.25">
      <c r="A767" s="1" t="s">
        <v>1437</v>
      </c>
      <c r="B767" s="2">
        <v>45347</v>
      </c>
      <c r="C767" s="1" t="s">
        <v>27</v>
      </c>
      <c r="D767" s="1" t="s">
        <v>49</v>
      </c>
      <c r="E767" s="1" t="s">
        <v>351</v>
      </c>
      <c r="F767" s="1" t="s">
        <v>69</v>
      </c>
      <c r="G767" s="1" t="s">
        <v>169</v>
      </c>
      <c r="H767" s="1" t="s">
        <v>170</v>
      </c>
      <c r="I767" s="1">
        <v>1229.54</v>
      </c>
      <c r="J767" s="1">
        <v>8</v>
      </c>
      <c r="K767" s="1">
        <v>9836.32</v>
      </c>
      <c r="L767" s="1">
        <v>10</v>
      </c>
      <c r="M767" s="1">
        <v>983.63</v>
      </c>
      <c r="N767" s="1">
        <v>8852.69</v>
      </c>
      <c r="O767" s="1" t="s">
        <v>24</v>
      </c>
      <c r="P767" s="1" t="s">
        <v>1438</v>
      </c>
      <c r="Q767" s="1">
        <v>4</v>
      </c>
      <c r="R767" s="1">
        <f>Retail_Sales_Analyis[[#This Row],[Final_Price]]-Retail_Sales_Analyis[[#This Row],[Total_Price]]</f>
        <v>-983.6299999999992</v>
      </c>
      <c r="S7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68" spans="1:19" x14ac:dyDescent="0.25">
      <c r="A768" s="1" t="s">
        <v>1439</v>
      </c>
      <c r="B768" s="2">
        <v>45588</v>
      </c>
      <c r="C768" s="1" t="s">
        <v>76</v>
      </c>
      <c r="D768" s="1" t="s">
        <v>55</v>
      </c>
      <c r="E768" s="1" t="s">
        <v>157</v>
      </c>
      <c r="F768" s="1" t="s">
        <v>21</v>
      </c>
      <c r="G768" s="1" t="s">
        <v>169</v>
      </c>
      <c r="H768" s="1" t="s">
        <v>175</v>
      </c>
      <c r="I768" s="1">
        <v>1425.24</v>
      </c>
      <c r="J768" s="1">
        <v>2</v>
      </c>
      <c r="K768" s="1">
        <v>2850.48</v>
      </c>
      <c r="L768" s="1">
        <v>0</v>
      </c>
      <c r="M768" s="1">
        <v>0</v>
      </c>
      <c r="N768" s="1">
        <v>2850.48</v>
      </c>
      <c r="O768" s="1" t="s">
        <v>64</v>
      </c>
      <c r="P768" s="1" t="s">
        <v>922</v>
      </c>
      <c r="Q768" s="1">
        <v>1</v>
      </c>
      <c r="R768" s="1">
        <f>Retail_Sales_Analyis[[#This Row],[Final_Price]]-Retail_Sales_Analyis[[#This Row],[Total_Price]]</f>
        <v>0</v>
      </c>
      <c r="S7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69" spans="1:19" x14ac:dyDescent="0.25">
      <c r="A769" s="1" t="s">
        <v>1440</v>
      </c>
      <c r="B769" s="2">
        <v>45305</v>
      </c>
      <c r="C769" s="1" t="s">
        <v>36</v>
      </c>
      <c r="D769" s="1" t="s">
        <v>49</v>
      </c>
      <c r="E769" s="1" t="s">
        <v>157</v>
      </c>
      <c r="F769" s="1" t="s">
        <v>37</v>
      </c>
      <c r="G769" s="1" t="s">
        <v>78</v>
      </c>
      <c r="H769" s="1" t="s">
        <v>136</v>
      </c>
      <c r="I769" s="1">
        <v>251.85</v>
      </c>
      <c r="J769" s="1">
        <v>2</v>
      </c>
      <c r="K769" s="1">
        <v>503.7</v>
      </c>
      <c r="L769" s="1">
        <v>0</v>
      </c>
      <c r="M769" s="1">
        <v>0</v>
      </c>
      <c r="N769" s="1">
        <v>503.7</v>
      </c>
      <c r="O769" s="1" t="s">
        <v>46</v>
      </c>
      <c r="P769" s="1" t="s">
        <v>509</v>
      </c>
      <c r="Q769" s="1">
        <v>5</v>
      </c>
      <c r="R769" s="1">
        <f>Retail_Sales_Analyis[[#This Row],[Final_Price]]-Retail_Sales_Analyis[[#This Row],[Total_Price]]</f>
        <v>0</v>
      </c>
      <c r="S7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70" spans="1:19" x14ac:dyDescent="0.25">
      <c r="A770" s="1" t="s">
        <v>1441</v>
      </c>
      <c r="B770" s="2">
        <v>45451</v>
      </c>
      <c r="C770" s="1" t="s">
        <v>173</v>
      </c>
      <c r="D770" s="1" t="s">
        <v>19</v>
      </c>
      <c r="E770" s="1" t="s">
        <v>168</v>
      </c>
      <c r="F770" s="1" t="s">
        <v>84</v>
      </c>
      <c r="G770" s="1" t="s">
        <v>112</v>
      </c>
      <c r="H770" s="1" t="s">
        <v>223</v>
      </c>
      <c r="I770" s="1">
        <v>572.01</v>
      </c>
      <c r="J770" s="1">
        <v>5</v>
      </c>
      <c r="K770" s="1">
        <v>2860.05</v>
      </c>
      <c r="L770" s="1">
        <v>0</v>
      </c>
      <c r="M770" s="1">
        <v>0</v>
      </c>
      <c r="N770" s="1">
        <v>2860.05</v>
      </c>
      <c r="O770" s="1" t="s">
        <v>46</v>
      </c>
      <c r="P770" s="1" t="s">
        <v>1111</v>
      </c>
      <c r="Q770" s="1">
        <v>3</v>
      </c>
      <c r="R770" s="1">
        <f>Retail_Sales_Analyis[[#This Row],[Final_Price]]-Retail_Sales_Analyis[[#This Row],[Total_Price]]</f>
        <v>0</v>
      </c>
      <c r="S7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71" spans="1:19" x14ac:dyDescent="0.25">
      <c r="A771" s="1" t="s">
        <v>1442</v>
      </c>
      <c r="B771" s="2">
        <v>45586</v>
      </c>
      <c r="C771" s="1" t="s">
        <v>76</v>
      </c>
      <c r="D771" s="1" t="s">
        <v>43</v>
      </c>
      <c r="E771" s="1" t="s">
        <v>68</v>
      </c>
      <c r="F771" s="1" t="s">
        <v>30</v>
      </c>
      <c r="G771" s="1" t="s">
        <v>22</v>
      </c>
      <c r="H771" s="1" t="s">
        <v>277</v>
      </c>
      <c r="I771" s="1">
        <v>758.93</v>
      </c>
      <c r="J771" s="1">
        <v>3</v>
      </c>
      <c r="K771" s="1">
        <v>2276.79</v>
      </c>
      <c r="L771" s="1">
        <v>10</v>
      </c>
      <c r="M771" s="1">
        <v>227.68</v>
      </c>
      <c r="N771" s="1">
        <v>2049.11</v>
      </c>
      <c r="O771" s="1" t="s">
        <v>33</v>
      </c>
      <c r="P771" s="1" t="s">
        <v>308</v>
      </c>
      <c r="Q771" s="1">
        <v>1</v>
      </c>
      <c r="R771" s="1">
        <f>Retail_Sales_Analyis[[#This Row],[Final_Price]]-Retail_Sales_Analyis[[#This Row],[Total_Price]]</f>
        <v>-227.67999999999984</v>
      </c>
      <c r="S7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72" spans="1:19" x14ac:dyDescent="0.25">
      <c r="A772" s="1" t="s">
        <v>1443</v>
      </c>
      <c r="B772" s="2">
        <v>45638</v>
      </c>
      <c r="C772" s="1" t="s">
        <v>73</v>
      </c>
      <c r="D772" s="1" t="s">
        <v>67</v>
      </c>
      <c r="E772" s="1" t="s">
        <v>139</v>
      </c>
      <c r="F772" s="1" t="s">
        <v>84</v>
      </c>
      <c r="G772" s="1" t="s">
        <v>85</v>
      </c>
      <c r="H772" s="1" t="s">
        <v>90</v>
      </c>
      <c r="I772" s="1">
        <v>4551.1899999999996</v>
      </c>
      <c r="J772" s="1">
        <v>7</v>
      </c>
      <c r="K772" s="1">
        <v>31858.33</v>
      </c>
      <c r="L772" s="1">
        <v>15</v>
      </c>
      <c r="M772" s="1">
        <v>4778.75</v>
      </c>
      <c r="N772" s="1">
        <v>27079.58</v>
      </c>
      <c r="O772" s="1" t="s">
        <v>33</v>
      </c>
      <c r="P772" s="1" t="s">
        <v>675</v>
      </c>
      <c r="Q772" s="1">
        <v>1</v>
      </c>
      <c r="R772" s="1">
        <f>Retail_Sales_Analyis[[#This Row],[Final_Price]]-Retail_Sales_Analyis[[#This Row],[Total_Price]]</f>
        <v>-4778.75</v>
      </c>
      <c r="S7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73" spans="1:19" x14ac:dyDescent="0.25">
      <c r="A773" s="1" t="s">
        <v>1444</v>
      </c>
      <c r="B773" s="2">
        <v>45484</v>
      </c>
      <c r="C773" s="1" t="s">
        <v>195</v>
      </c>
      <c r="D773" s="1" t="s">
        <v>67</v>
      </c>
      <c r="E773" s="1" t="s">
        <v>239</v>
      </c>
      <c r="F773" s="1" t="s">
        <v>30</v>
      </c>
      <c r="G773" s="1" t="s">
        <v>31</v>
      </c>
      <c r="H773" s="1" t="s">
        <v>32</v>
      </c>
      <c r="I773" s="1">
        <v>489.36</v>
      </c>
      <c r="J773" s="1">
        <v>6</v>
      </c>
      <c r="K773" s="1">
        <v>2936.16</v>
      </c>
      <c r="L773" s="1">
        <v>20</v>
      </c>
      <c r="M773" s="1">
        <v>587.23</v>
      </c>
      <c r="N773" s="1">
        <v>2348.9299999999998</v>
      </c>
      <c r="O773" s="1" t="s">
        <v>33</v>
      </c>
      <c r="P773" s="1" t="s">
        <v>352</v>
      </c>
      <c r="Q773" s="1">
        <v>2</v>
      </c>
      <c r="R773" s="1">
        <f>Retail_Sales_Analyis[[#This Row],[Final_Price]]-Retail_Sales_Analyis[[#This Row],[Total_Price]]</f>
        <v>-587.23</v>
      </c>
      <c r="S7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74" spans="1:19" x14ac:dyDescent="0.25">
      <c r="A774" s="1" t="s">
        <v>1445</v>
      </c>
      <c r="B774" s="2">
        <v>45495</v>
      </c>
      <c r="C774" s="1" t="s">
        <v>195</v>
      </c>
      <c r="D774" s="1" t="s">
        <v>43</v>
      </c>
      <c r="E774" s="1" t="s">
        <v>192</v>
      </c>
      <c r="F774" s="1" t="s">
        <v>69</v>
      </c>
      <c r="G774" s="1" t="s">
        <v>38</v>
      </c>
      <c r="H774" s="1" t="s">
        <v>39</v>
      </c>
      <c r="I774" s="1">
        <v>347.11</v>
      </c>
      <c r="J774" s="1">
        <v>4</v>
      </c>
      <c r="K774" s="1">
        <v>1388.44</v>
      </c>
      <c r="L774" s="1">
        <v>15</v>
      </c>
      <c r="M774" s="1">
        <v>208.27</v>
      </c>
      <c r="N774" s="1">
        <v>1180.17</v>
      </c>
      <c r="O774" s="1" t="s">
        <v>64</v>
      </c>
      <c r="P774" s="1" t="s">
        <v>665</v>
      </c>
      <c r="Q774" s="1">
        <v>1</v>
      </c>
      <c r="R774" s="1">
        <f>Retail_Sales_Analyis[[#This Row],[Final_Price]]-Retail_Sales_Analyis[[#This Row],[Total_Price]]</f>
        <v>-208.26999999999998</v>
      </c>
      <c r="S7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75" spans="1:19" x14ac:dyDescent="0.25">
      <c r="A775" s="1" t="s">
        <v>1446</v>
      </c>
      <c r="B775" s="2">
        <v>45393</v>
      </c>
      <c r="C775" s="1" t="s">
        <v>54</v>
      </c>
      <c r="D775" s="1" t="s">
        <v>67</v>
      </c>
      <c r="E775" s="1" t="s">
        <v>44</v>
      </c>
      <c r="F775" s="1" t="s">
        <v>37</v>
      </c>
      <c r="G775" s="1" t="s">
        <v>57</v>
      </c>
      <c r="H775" s="1" t="s">
        <v>152</v>
      </c>
      <c r="I775" s="1">
        <v>2077.4</v>
      </c>
      <c r="J775" s="1">
        <v>8</v>
      </c>
      <c r="K775" s="1">
        <v>16619.2</v>
      </c>
      <c r="L775" s="1">
        <v>20</v>
      </c>
      <c r="M775" s="1">
        <v>3323.84</v>
      </c>
      <c r="N775" s="1">
        <v>13295.36</v>
      </c>
      <c r="O775" s="1" t="s">
        <v>33</v>
      </c>
      <c r="P775" s="1" t="s">
        <v>1447</v>
      </c>
      <c r="Q775" s="1">
        <v>2</v>
      </c>
      <c r="R775" s="1">
        <f>Retail_Sales_Analyis[[#This Row],[Final_Price]]-Retail_Sales_Analyis[[#This Row],[Total_Price]]</f>
        <v>-3323.84</v>
      </c>
      <c r="S7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76" spans="1:19" x14ac:dyDescent="0.25">
      <c r="A776" s="1" t="s">
        <v>1448</v>
      </c>
      <c r="B776" s="2">
        <v>45330</v>
      </c>
      <c r="C776" s="1" t="s">
        <v>27</v>
      </c>
      <c r="D776" s="1" t="s">
        <v>67</v>
      </c>
      <c r="E776" s="1" t="s">
        <v>97</v>
      </c>
      <c r="F776" s="1" t="s">
        <v>69</v>
      </c>
      <c r="G776" s="1" t="s">
        <v>57</v>
      </c>
      <c r="H776" s="1" t="s">
        <v>122</v>
      </c>
      <c r="I776" s="1">
        <v>2332.4899999999998</v>
      </c>
      <c r="J776" s="1">
        <v>9</v>
      </c>
      <c r="K776" s="1">
        <v>20992.41</v>
      </c>
      <c r="L776" s="1">
        <v>20</v>
      </c>
      <c r="M776" s="1">
        <v>4198.4799999999996</v>
      </c>
      <c r="N776" s="1">
        <v>16793.93</v>
      </c>
      <c r="O776" s="1" t="s">
        <v>46</v>
      </c>
      <c r="P776" s="1" t="s">
        <v>1449</v>
      </c>
      <c r="Q776" s="1">
        <v>3</v>
      </c>
      <c r="R776" s="1">
        <f>Retail_Sales_Analyis[[#This Row],[Final_Price]]-Retail_Sales_Analyis[[#This Row],[Total_Price]]</f>
        <v>-4198.4799999999996</v>
      </c>
      <c r="S7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77" spans="1:19" x14ac:dyDescent="0.25">
      <c r="A777" s="1" t="s">
        <v>1450</v>
      </c>
      <c r="B777" s="2">
        <v>45595</v>
      </c>
      <c r="C777" s="1" t="s">
        <v>76</v>
      </c>
      <c r="D777" s="1" t="s">
        <v>55</v>
      </c>
      <c r="E777" s="1" t="s">
        <v>312</v>
      </c>
      <c r="F777" s="1" t="s">
        <v>84</v>
      </c>
      <c r="G777" s="1" t="s">
        <v>85</v>
      </c>
      <c r="H777" s="1" t="s">
        <v>90</v>
      </c>
      <c r="I777" s="1">
        <v>1422.64</v>
      </c>
      <c r="J777" s="1">
        <v>3</v>
      </c>
      <c r="K777" s="1">
        <v>4267.92</v>
      </c>
      <c r="L777" s="1">
        <v>0</v>
      </c>
      <c r="M777" s="1">
        <v>0</v>
      </c>
      <c r="N777" s="1">
        <v>4267.92</v>
      </c>
      <c r="O777" s="1" t="s">
        <v>46</v>
      </c>
      <c r="P777" s="1" t="s">
        <v>880</v>
      </c>
      <c r="Q777" s="1">
        <v>4</v>
      </c>
      <c r="R777" s="1">
        <f>Retail_Sales_Analyis[[#This Row],[Final_Price]]-Retail_Sales_Analyis[[#This Row],[Total_Price]]</f>
        <v>0</v>
      </c>
      <c r="S7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78" spans="1:19" x14ac:dyDescent="0.25">
      <c r="A778" s="1" t="s">
        <v>1451</v>
      </c>
      <c r="B778" s="2">
        <v>45645</v>
      </c>
      <c r="C778" s="1" t="s">
        <v>73</v>
      </c>
      <c r="D778" s="1" t="s">
        <v>67</v>
      </c>
      <c r="E778" s="1" t="s">
        <v>196</v>
      </c>
      <c r="F778" s="1" t="s">
        <v>37</v>
      </c>
      <c r="G778" s="1" t="s">
        <v>57</v>
      </c>
      <c r="H778" s="1" t="s">
        <v>58</v>
      </c>
      <c r="I778" s="1">
        <v>726.27</v>
      </c>
      <c r="J778" s="1">
        <v>5</v>
      </c>
      <c r="K778" s="1">
        <v>3631.35</v>
      </c>
      <c r="L778" s="1">
        <v>5</v>
      </c>
      <c r="M778" s="1">
        <v>181.57</v>
      </c>
      <c r="N778" s="1">
        <v>3449.78</v>
      </c>
      <c r="O778" s="1" t="s">
        <v>64</v>
      </c>
      <c r="P778" s="1" t="s">
        <v>1452</v>
      </c>
      <c r="Q778" s="1">
        <v>3</v>
      </c>
      <c r="R778" s="1">
        <f>Retail_Sales_Analyis[[#This Row],[Final_Price]]-Retail_Sales_Analyis[[#This Row],[Total_Price]]</f>
        <v>-181.56999999999971</v>
      </c>
      <c r="S77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79" spans="1:19" x14ac:dyDescent="0.25">
      <c r="A779" s="1" t="s">
        <v>1453</v>
      </c>
      <c r="B779" s="2">
        <v>45613</v>
      </c>
      <c r="C779" s="1" t="s">
        <v>18</v>
      </c>
      <c r="D779" s="1" t="s">
        <v>49</v>
      </c>
      <c r="E779" s="1" t="s">
        <v>199</v>
      </c>
      <c r="F779" s="1" t="s">
        <v>37</v>
      </c>
      <c r="G779" s="1" t="s">
        <v>31</v>
      </c>
      <c r="H779" s="1" t="s">
        <v>329</v>
      </c>
      <c r="I779" s="1">
        <v>385.26</v>
      </c>
      <c r="J779" s="1">
        <v>4</v>
      </c>
      <c r="K779" s="1">
        <v>1541.04</v>
      </c>
      <c r="L779" s="1">
        <v>0</v>
      </c>
      <c r="M779" s="1">
        <v>0</v>
      </c>
      <c r="N779" s="1">
        <v>1541.04</v>
      </c>
      <c r="O779" s="1" t="s">
        <v>33</v>
      </c>
      <c r="P779" s="1" t="s">
        <v>1454</v>
      </c>
      <c r="Q779" s="1">
        <v>2</v>
      </c>
      <c r="R779" s="1">
        <f>Retail_Sales_Analyis[[#This Row],[Final_Price]]-Retail_Sales_Analyis[[#This Row],[Total_Price]]</f>
        <v>0</v>
      </c>
      <c r="S7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0" spans="1:19" x14ac:dyDescent="0.25">
      <c r="A780" s="1" t="s">
        <v>1455</v>
      </c>
      <c r="B780" s="2">
        <v>45416</v>
      </c>
      <c r="C780" s="1" t="s">
        <v>42</v>
      </c>
      <c r="D780" s="1" t="s">
        <v>19</v>
      </c>
      <c r="E780" s="1" t="s">
        <v>145</v>
      </c>
      <c r="F780" s="1" t="s">
        <v>21</v>
      </c>
      <c r="G780" s="1" t="s">
        <v>31</v>
      </c>
      <c r="H780" s="1" t="s">
        <v>63</v>
      </c>
      <c r="I780" s="1">
        <v>169.51</v>
      </c>
      <c r="J780" s="1">
        <v>9</v>
      </c>
      <c r="K780" s="1">
        <v>1525.59</v>
      </c>
      <c r="L780" s="1">
        <v>0</v>
      </c>
      <c r="M780" s="1">
        <v>0</v>
      </c>
      <c r="N780" s="1">
        <v>1525.59</v>
      </c>
      <c r="O780" s="1" t="s">
        <v>46</v>
      </c>
      <c r="P780" s="1" t="s">
        <v>1456</v>
      </c>
      <c r="Q780" s="1">
        <v>4</v>
      </c>
      <c r="R780" s="1">
        <f>Retail_Sales_Analyis[[#This Row],[Final_Price]]-Retail_Sales_Analyis[[#This Row],[Total_Price]]</f>
        <v>0</v>
      </c>
      <c r="S7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1" spans="1:19" x14ac:dyDescent="0.25">
      <c r="A781" s="1" t="s">
        <v>1457</v>
      </c>
      <c r="B781" s="2">
        <v>45344</v>
      </c>
      <c r="C781" s="1" t="s">
        <v>27</v>
      </c>
      <c r="D781" s="1" t="s">
        <v>67</v>
      </c>
      <c r="E781" s="1" t="s">
        <v>111</v>
      </c>
      <c r="F781" s="1" t="s">
        <v>69</v>
      </c>
      <c r="G781" s="1" t="s">
        <v>22</v>
      </c>
      <c r="H781" s="1" t="s">
        <v>187</v>
      </c>
      <c r="I781" s="1">
        <v>466.99</v>
      </c>
      <c r="J781" s="1">
        <v>8</v>
      </c>
      <c r="K781" s="1">
        <v>3735.92</v>
      </c>
      <c r="L781" s="1">
        <v>0</v>
      </c>
      <c r="M781" s="1">
        <v>0</v>
      </c>
      <c r="N781" s="1">
        <v>3735.92</v>
      </c>
      <c r="O781" s="1" t="s">
        <v>46</v>
      </c>
      <c r="P781" s="1" t="s">
        <v>942</v>
      </c>
      <c r="Q781" s="1">
        <v>1</v>
      </c>
      <c r="R781" s="1">
        <f>Retail_Sales_Analyis[[#This Row],[Final_Price]]-Retail_Sales_Analyis[[#This Row],[Total_Price]]</f>
        <v>0</v>
      </c>
      <c r="S7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2" spans="1:19" x14ac:dyDescent="0.25">
      <c r="A782" s="1" t="s">
        <v>1458</v>
      </c>
      <c r="B782" s="2">
        <v>45648</v>
      </c>
      <c r="C782" s="1" t="s">
        <v>73</v>
      </c>
      <c r="D782" s="1" t="s">
        <v>49</v>
      </c>
      <c r="E782" s="1" t="s">
        <v>139</v>
      </c>
      <c r="F782" s="1" t="s">
        <v>84</v>
      </c>
      <c r="G782" s="1" t="s">
        <v>22</v>
      </c>
      <c r="H782" s="1" t="s">
        <v>23</v>
      </c>
      <c r="I782" s="1">
        <v>435.2</v>
      </c>
      <c r="J782" s="1">
        <v>7</v>
      </c>
      <c r="K782" s="1">
        <v>3046.4</v>
      </c>
      <c r="L782" s="1">
        <v>0</v>
      </c>
      <c r="M782" s="1">
        <v>0</v>
      </c>
      <c r="N782" s="1">
        <v>3046.4</v>
      </c>
      <c r="O782" s="1" t="s">
        <v>80</v>
      </c>
      <c r="P782" s="1" t="s">
        <v>1438</v>
      </c>
      <c r="Q782" s="1">
        <v>3</v>
      </c>
      <c r="R782" s="1">
        <f>Retail_Sales_Analyis[[#This Row],[Final_Price]]-Retail_Sales_Analyis[[#This Row],[Total_Price]]</f>
        <v>0</v>
      </c>
      <c r="S7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3" spans="1:19" x14ac:dyDescent="0.25">
      <c r="A783" s="1" t="s">
        <v>1459</v>
      </c>
      <c r="B783" s="2">
        <v>45446</v>
      </c>
      <c r="C783" s="1" t="s">
        <v>173</v>
      </c>
      <c r="D783" s="1" t="s">
        <v>43</v>
      </c>
      <c r="E783" s="1" t="s">
        <v>111</v>
      </c>
      <c r="F783" s="1" t="s">
        <v>37</v>
      </c>
      <c r="G783" s="1" t="s">
        <v>22</v>
      </c>
      <c r="H783" s="1" t="s">
        <v>133</v>
      </c>
      <c r="I783" s="1">
        <v>744.93</v>
      </c>
      <c r="J783" s="1">
        <v>4</v>
      </c>
      <c r="K783" s="1">
        <v>2979.72</v>
      </c>
      <c r="L783" s="1">
        <v>0</v>
      </c>
      <c r="M783" s="1">
        <v>0</v>
      </c>
      <c r="N783" s="1">
        <v>2979.72</v>
      </c>
      <c r="O783" s="1" t="s">
        <v>64</v>
      </c>
      <c r="P783" s="1" t="s">
        <v>1460</v>
      </c>
      <c r="Q783" s="1">
        <v>1</v>
      </c>
      <c r="R783" s="1">
        <f>Retail_Sales_Analyis[[#This Row],[Final_Price]]-Retail_Sales_Analyis[[#This Row],[Total_Price]]</f>
        <v>0</v>
      </c>
      <c r="S7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4" spans="1:19" x14ac:dyDescent="0.25">
      <c r="A784" s="1" t="s">
        <v>1461</v>
      </c>
      <c r="B784" s="2">
        <v>45642</v>
      </c>
      <c r="C784" s="1" t="s">
        <v>73</v>
      </c>
      <c r="D784" s="1" t="s">
        <v>43</v>
      </c>
      <c r="E784" s="1" t="s">
        <v>168</v>
      </c>
      <c r="F784" s="1" t="s">
        <v>69</v>
      </c>
      <c r="G784" s="1" t="s">
        <v>38</v>
      </c>
      <c r="H784" s="1" t="s">
        <v>214</v>
      </c>
      <c r="I784" s="1">
        <v>146.09</v>
      </c>
      <c r="J784" s="1">
        <v>2</v>
      </c>
      <c r="K784" s="1">
        <v>292.18</v>
      </c>
      <c r="L784" s="1">
        <v>0</v>
      </c>
      <c r="M784" s="1">
        <v>0</v>
      </c>
      <c r="N784" s="1">
        <v>292.18</v>
      </c>
      <c r="O784" s="1" t="s">
        <v>64</v>
      </c>
      <c r="P784" s="1" t="s">
        <v>1462</v>
      </c>
      <c r="Q784" s="1">
        <v>5</v>
      </c>
      <c r="R784" s="1">
        <f>Retail_Sales_Analyis[[#This Row],[Final_Price]]-Retail_Sales_Analyis[[#This Row],[Total_Price]]</f>
        <v>0</v>
      </c>
      <c r="S7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5" spans="1:19" x14ac:dyDescent="0.25">
      <c r="A785" s="1" t="s">
        <v>1463</v>
      </c>
      <c r="B785" s="2">
        <v>45599</v>
      </c>
      <c r="C785" s="1" t="s">
        <v>18</v>
      </c>
      <c r="D785" s="1" t="s">
        <v>49</v>
      </c>
      <c r="E785" s="1" t="s">
        <v>145</v>
      </c>
      <c r="F785" s="1" t="s">
        <v>30</v>
      </c>
      <c r="G785" s="1" t="s">
        <v>22</v>
      </c>
      <c r="H785" s="1" t="s">
        <v>133</v>
      </c>
      <c r="I785" s="1">
        <v>375.91</v>
      </c>
      <c r="J785" s="1">
        <v>5</v>
      </c>
      <c r="K785" s="1">
        <v>1879.55</v>
      </c>
      <c r="L785" s="1">
        <v>5</v>
      </c>
      <c r="M785" s="1">
        <v>93.98</v>
      </c>
      <c r="N785" s="1">
        <v>1785.57</v>
      </c>
      <c r="O785" s="1" t="s">
        <v>64</v>
      </c>
      <c r="P785" s="1" t="s">
        <v>1464</v>
      </c>
      <c r="Q785" s="1">
        <v>2</v>
      </c>
      <c r="R785" s="1">
        <f>Retail_Sales_Analyis[[#This Row],[Final_Price]]-Retail_Sales_Analyis[[#This Row],[Total_Price]]</f>
        <v>-93.980000000000018</v>
      </c>
      <c r="S7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86" spans="1:19" x14ac:dyDescent="0.25">
      <c r="A786" s="1" t="s">
        <v>1465</v>
      </c>
      <c r="B786" s="2">
        <v>45353</v>
      </c>
      <c r="C786" s="1" t="s">
        <v>61</v>
      </c>
      <c r="D786" s="1" t="s">
        <v>19</v>
      </c>
      <c r="E786" s="1" t="s">
        <v>168</v>
      </c>
      <c r="F786" s="1" t="s">
        <v>84</v>
      </c>
      <c r="G786" s="1" t="s">
        <v>38</v>
      </c>
      <c r="H786" s="1" t="s">
        <v>70</v>
      </c>
      <c r="I786" s="1">
        <v>301.58999999999997</v>
      </c>
      <c r="J786" s="1">
        <v>1</v>
      </c>
      <c r="K786" s="1">
        <v>301.58999999999997</v>
      </c>
      <c r="L786" s="1">
        <v>0</v>
      </c>
      <c r="M786" s="1">
        <v>0</v>
      </c>
      <c r="N786" s="1">
        <v>301.58999999999997</v>
      </c>
      <c r="O786" s="1" t="s">
        <v>64</v>
      </c>
      <c r="P786" s="1" t="s">
        <v>1466</v>
      </c>
      <c r="Q786" s="1">
        <v>5</v>
      </c>
      <c r="R786" s="1">
        <f>Retail_Sales_Analyis[[#This Row],[Final_Price]]-Retail_Sales_Analyis[[#This Row],[Total_Price]]</f>
        <v>0</v>
      </c>
      <c r="S7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7" spans="1:19" x14ac:dyDescent="0.25">
      <c r="A787" s="1" t="s">
        <v>1467</v>
      </c>
      <c r="B787" s="2">
        <v>45581</v>
      </c>
      <c r="C787" s="1" t="s">
        <v>76</v>
      </c>
      <c r="D787" s="1" t="s">
        <v>55</v>
      </c>
      <c r="E787" s="1" t="s">
        <v>56</v>
      </c>
      <c r="F787" s="1" t="s">
        <v>21</v>
      </c>
      <c r="G787" s="1" t="s">
        <v>38</v>
      </c>
      <c r="H787" s="1" t="s">
        <v>214</v>
      </c>
      <c r="I787" s="1">
        <v>219.16</v>
      </c>
      <c r="J787" s="1">
        <v>2</v>
      </c>
      <c r="K787" s="1">
        <v>438.32</v>
      </c>
      <c r="L787" s="1">
        <v>0</v>
      </c>
      <c r="M787" s="1">
        <v>0</v>
      </c>
      <c r="N787" s="1">
        <v>438.32</v>
      </c>
      <c r="O787" s="1" t="s">
        <v>64</v>
      </c>
      <c r="P787" s="1" t="s">
        <v>920</v>
      </c>
      <c r="Q787" s="1">
        <v>3</v>
      </c>
      <c r="R787" s="1">
        <f>Retail_Sales_Analyis[[#This Row],[Final_Price]]-Retail_Sales_Analyis[[#This Row],[Total_Price]]</f>
        <v>0</v>
      </c>
      <c r="S7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8" spans="1:19" x14ac:dyDescent="0.25">
      <c r="A788" s="1" t="s">
        <v>1468</v>
      </c>
      <c r="B788" s="2">
        <v>45313</v>
      </c>
      <c r="C788" s="1" t="s">
        <v>36</v>
      </c>
      <c r="D788" s="1" t="s">
        <v>43</v>
      </c>
      <c r="E788" s="1" t="s">
        <v>236</v>
      </c>
      <c r="F788" s="1" t="s">
        <v>37</v>
      </c>
      <c r="G788" s="1" t="s">
        <v>112</v>
      </c>
      <c r="H788" s="1" t="s">
        <v>288</v>
      </c>
      <c r="I788" s="1">
        <v>1141.8800000000001</v>
      </c>
      <c r="J788" s="1">
        <v>1</v>
      </c>
      <c r="K788" s="1">
        <v>1141.8800000000001</v>
      </c>
      <c r="L788" s="1">
        <v>0</v>
      </c>
      <c r="M788" s="1">
        <v>0</v>
      </c>
      <c r="N788" s="1">
        <v>1141.8800000000001</v>
      </c>
      <c r="O788" s="1" t="s">
        <v>46</v>
      </c>
      <c r="P788" s="1" t="s">
        <v>1469</v>
      </c>
      <c r="Q788" s="1">
        <v>1</v>
      </c>
      <c r="R788" s="1">
        <f>Retail_Sales_Analyis[[#This Row],[Final_Price]]-Retail_Sales_Analyis[[#This Row],[Total_Price]]</f>
        <v>0</v>
      </c>
      <c r="S7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89" spans="1:19" x14ac:dyDescent="0.25">
      <c r="A789" s="1" t="s">
        <v>1470</v>
      </c>
      <c r="B789" s="2">
        <v>45469</v>
      </c>
      <c r="C789" s="1" t="s">
        <v>173</v>
      </c>
      <c r="D789" s="1" t="s">
        <v>55</v>
      </c>
      <c r="E789" s="1" t="s">
        <v>322</v>
      </c>
      <c r="F789" s="1" t="s">
        <v>37</v>
      </c>
      <c r="G789" s="1" t="s">
        <v>78</v>
      </c>
      <c r="H789" s="1" t="s">
        <v>136</v>
      </c>
      <c r="I789" s="1">
        <v>412.42</v>
      </c>
      <c r="J789" s="1">
        <v>8</v>
      </c>
      <c r="K789" s="1">
        <v>3299.36</v>
      </c>
      <c r="L789" s="1">
        <v>20</v>
      </c>
      <c r="M789" s="1">
        <v>659.87</v>
      </c>
      <c r="N789" s="1">
        <v>2639.49</v>
      </c>
      <c r="O789" s="1" t="s">
        <v>64</v>
      </c>
      <c r="P789" s="1" t="s">
        <v>1471</v>
      </c>
      <c r="Q789" s="1">
        <v>4</v>
      </c>
      <c r="R789" s="1">
        <f>Retail_Sales_Analyis[[#This Row],[Final_Price]]-Retail_Sales_Analyis[[#This Row],[Total_Price]]</f>
        <v>-659.87000000000035</v>
      </c>
      <c r="S7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90" spans="1:19" x14ac:dyDescent="0.25">
      <c r="A790" s="1" t="s">
        <v>1472</v>
      </c>
      <c r="B790" s="2">
        <v>45564</v>
      </c>
      <c r="C790" s="1" t="s">
        <v>116</v>
      </c>
      <c r="D790" s="1" t="s">
        <v>49</v>
      </c>
      <c r="E790" s="1" t="s">
        <v>213</v>
      </c>
      <c r="F790" s="1" t="s">
        <v>21</v>
      </c>
      <c r="G790" s="1" t="s">
        <v>112</v>
      </c>
      <c r="H790" s="1" t="s">
        <v>183</v>
      </c>
      <c r="I790" s="1">
        <v>1520.07</v>
      </c>
      <c r="J790" s="1">
        <v>5</v>
      </c>
      <c r="K790" s="1">
        <v>7600.35</v>
      </c>
      <c r="L790" s="1">
        <v>20</v>
      </c>
      <c r="M790" s="1">
        <v>1520.07</v>
      </c>
      <c r="N790" s="1">
        <v>6080.28</v>
      </c>
      <c r="O790" s="1" t="s">
        <v>64</v>
      </c>
      <c r="P790" s="1" t="s">
        <v>127</v>
      </c>
      <c r="Q790" s="1">
        <v>5</v>
      </c>
      <c r="R790" s="1">
        <f>Retail_Sales_Analyis[[#This Row],[Final_Price]]-Retail_Sales_Analyis[[#This Row],[Total_Price]]</f>
        <v>-1520.0700000000006</v>
      </c>
      <c r="S79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91" spans="1:19" x14ac:dyDescent="0.25">
      <c r="A791" s="1" t="s">
        <v>1473</v>
      </c>
      <c r="B791" s="2">
        <v>45511</v>
      </c>
      <c r="C791" s="1" t="s">
        <v>93</v>
      </c>
      <c r="D791" s="1" t="s">
        <v>55</v>
      </c>
      <c r="E791" s="1" t="s">
        <v>141</v>
      </c>
      <c r="F791" s="1" t="s">
        <v>30</v>
      </c>
      <c r="G791" s="1" t="s">
        <v>85</v>
      </c>
      <c r="H791" s="1" t="s">
        <v>297</v>
      </c>
      <c r="I791" s="1">
        <v>1399.97</v>
      </c>
      <c r="J791" s="1">
        <v>6</v>
      </c>
      <c r="K791" s="1">
        <v>8399.82</v>
      </c>
      <c r="L791" s="1">
        <v>5</v>
      </c>
      <c r="M791" s="1">
        <v>419.99</v>
      </c>
      <c r="N791" s="1">
        <v>7979.83</v>
      </c>
      <c r="O791" s="1" t="s">
        <v>33</v>
      </c>
      <c r="P791" s="1" t="s">
        <v>1474</v>
      </c>
      <c r="Q791" s="1">
        <v>3</v>
      </c>
      <c r="R791" s="1">
        <f>Retail_Sales_Analyis[[#This Row],[Final_Price]]-Retail_Sales_Analyis[[#This Row],[Total_Price]]</f>
        <v>-419.98999999999978</v>
      </c>
      <c r="S79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92" spans="1:19" x14ac:dyDescent="0.25">
      <c r="A792" s="1" t="s">
        <v>1475</v>
      </c>
      <c r="B792" s="2">
        <v>45630</v>
      </c>
      <c r="C792" s="1" t="s">
        <v>73</v>
      </c>
      <c r="D792" s="1" t="s">
        <v>55</v>
      </c>
      <c r="E792" s="1" t="s">
        <v>97</v>
      </c>
      <c r="F792" s="1" t="s">
        <v>30</v>
      </c>
      <c r="G792" s="1" t="s">
        <v>31</v>
      </c>
      <c r="H792" s="1" t="s">
        <v>63</v>
      </c>
      <c r="I792" s="1">
        <v>213.93</v>
      </c>
      <c r="J792" s="1">
        <v>1</v>
      </c>
      <c r="K792" s="1">
        <v>213.93</v>
      </c>
      <c r="L792" s="1">
        <v>20</v>
      </c>
      <c r="M792" s="1">
        <v>42.79</v>
      </c>
      <c r="N792" s="1">
        <v>171.14</v>
      </c>
      <c r="O792" s="1" t="s">
        <v>46</v>
      </c>
      <c r="P792" s="1" t="s">
        <v>211</v>
      </c>
      <c r="Q792" s="1">
        <v>3</v>
      </c>
      <c r="R792" s="1">
        <f>Retail_Sales_Analyis[[#This Row],[Final_Price]]-Retail_Sales_Analyis[[#This Row],[Total_Price]]</f>
        <v>-42.79000000000002</v>
      </c>
      <c r="S7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793" spans="1:19" x14ac:dyDescent="0.25">
      <c r="A793" s="1" t="s">
        <v>1476</v>
      </c>
      <c r="B793" s="2">
        <v>45481</v>
      </c>
      <c r="C793" s="1" t="s">
        <v>195</v>
      </c>
      <c r="D793" s="1" t="s">
        <v>43</v>
      </c>
      <c r="E793" s="1" t="s">
        <v>261</v>
      </c>
      <c r="F793" s="1" t="s">
        <v>21</v>
      </c>
      <c r="G793" s="1" t="s">
        <v>31</v>
      </c>
      <c r="H793" s="1" t="s">
        <v>329</v>
      </c>
      <c r="I793" s="1">
        <v>171.47</v>
      </c>
      <c r="J793" s="1">
        <v>9</v>
      </c>
      <c r="K793" s="1">
        <v>1543.23</v>
      </c>
      <c r="L793" s="1">
        <v>15</v>
      </c>
      <c r="M793" s="1">
        <v>231.48</v>
      </c>
      <c r="N793" s="1">
        <v>1311.75</v>
      </c>
      <c r="O793" s="1" t="s">
        <v>24</v>
      </c>
      <c r="P793" s="1" t="s">
        <v>1477</v>
      </c>
      <c r="Q793" s="1">
        <v>2</v>
      </c>
      <c r="R793" s="1">
        <f>Retail_Sales_Analyis[[#This Row],[Final_Price]]-Retail_Sales_Analyis[[#This Row],[Total_Price]]</f>
        <v>-231.48000000000002</v>
      </c>
      <c r="S7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94" spans="1:19" x14ac:dyDescent="0.25">
      <c r="A794" s="1" t="s">
        <v>1478</v>
      </c>
      <c r="B794" s="2">
        <v>45327</v>
      </c>
      <c r="C794" s="1" t="s">
        <v>27</v>
      </c>
      <c r="D794" s="1" t="s">
        <v>43</v>
      </c>
      <c r="E794" s="1" t="s">
        <v>145</v>
      </c>
      <c r="F794" s="1" t="s">
        <v>37</v>
      </c>
      <c r="G794" s="1" t="s">
        <v>85</v>
      </c>
      <c r="H794" s="1" t="s">
        <v>180</v>
      </c>
      <c r="I794" s="1">
        <v>2991.33</v>
      </c>
      <c r="J794" s="1">
        <v>4</v>
      </c>
      <c r="K794" s="1">
        <v>11965.32</v>
      </c>
      <c r="L794" s="1">
        <v>10</v>
      </c>
      <c r="M794" s="1">
        <v>1196.53</v>
      </c>
      <c r="N794" s="1">
        <v>10768.79</v>
      </c>
      <c r="O794" s="1" t="s">
        <v>33</v>
      </c>
      <c r="P794" s="1" t="s">
        <v>1479</v>
      </c>
      <c r="Q794" s="1">
        <v>3</v>
      </c>
      <c r="R794" s="1">
        <f>Retail_Sales_Analyis[[#This Row],[Final_Price]]-Retail_Sales_Analyis[[#This Row],[Total_Price]]</f>
        <v>-1196.5299999999988</v>
      </c>
      <c r="S7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95" spans="1:19" x14ac:dyDescent="0.25">
      <c r="A795" s="1" t="s">
        <v>1480</v>
      </c>
      <c r="B795" s="2">
        <v>45551</v>
      </c>
      <c r="C795" s="1" t="s">
        <v>116</v>
      </c>
      <c r="D795" s="1" t="s">
        <v>43</v>
      </c>
      <c r="E795" s="1" t="s">
        <v>151</v>
      </c>
      <c r="F795" s="1" t="s">
        <v>30</v>
      </c>
      <c r="G795" s="1" t="s">
        <v>22</v>
      </c>
      <c r="H795" s="1" t="s">
        <v>133</v>
      </c>
      <c r="I795" s="1">
        <v>972.36</v>
      </c>
      <c r="J795" s="1">
        <v>9</v>
      </c>
      <c r="K795" s="1">
        <v>8751.24</v>
      </c>
      <c r="L795" s="1">
        <v>5</v>
      </c>
      <c r="M795" s="1">
        <v>437.56</v>
      </c>
      <c r="N795" s="1">
        <v>8313.68</v>
      </c>
      <c r="O795" s="1" t="s">
        <v>80</v>
      </c>
      <c r="P795" s="1" t="s">
        <v>682</v>
      </c>
      <c r="Q795" s="1">
        <v>2</v>
      </c>
      <c r="R795" s="1">
        <f>Retail_Sales_Analyis[[#This Row],[Final_Price]]-Retail_Sales_Analyis[[#This Row],[Total_Price]]</f>
        <v>-437.55999999999949</v>
      </c>
      <c r="S7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796" spans="1:19" x14ac:dyDescent="0.25">
      <c r="A796" s="1" t="s">
        <v>1481</v>
      </c>
      <c r="B796" s="2">
        <v>45623</v>
      </c>
      <c r="C796" s="1" t="s">
        <v>18</v>
      </c>
      <c r="D796" s="1" t="s">
        <v>55</v>
      </c>
      <c r="E796" s="1" t="s">
        <v>132</v>
      </c>
      <c r="F796" s="1" t="s">
        <v>84</v>
      </c>
      <c r="G796" s="1" t="s">
        <v>78</v>
      </c>
      <c r="H796" s="1" t="s">
        <v>136</v>
      </c>
      <c r="I796" s="1">
        <v>415.12</v>
      </c>
      <c r="J796" s="1">
        <v>5</v>
      </c>
      <c r="K796" s="1">
        <v>2075.6</v>
      </c>
      <c r="L796" s="1">
        <v>0</v>
      </c>
      <c r="M796" s="1">
        <v>0</v>
      </c>
      <c r="N796" s="1">
        <v>2075.6</v>
      </c>
      <c r="O796" s="1" t="s">
        <v>64</v>
      </c>
      <c r="P796" s="1" t="s">
        <v>1482</v>
      </c>
      <c r="Q796" s="1">
        <v>1</v>
      </c>
      <c r="R796" s="1">
        <f>Retail_Sales_Analyis[[#This Row],[Final_Price]]-Retail_Sales_Analyis[[#This Row],[Total_Price]]</f>
        <v>0</v>
      </c>
      <c r="S7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97" spans="1:19" x14ac:dyDescent="0.25">
      <c r="A797" s="1" t="s">
        <v>1483</v>
      </c>
      <c r="B797" s="2">
        <v>45466</v>
      </c>
      <c r="C797" s="1" t="s">
        <v>173</v>
      </c>
      <c r="D797" s="1" t="s">
        <v>49</v>
      </c>
      <c r="E797" s="1" t="s">
        <v>322</v>
      </c>
      <c r="F797" s="1" t="s">
        <v>37</v>
      </c>
      <c r="G797" s="1" t="s">
        <v>78</v>
      </c>
      <c r="H797" s="1" t="s">
        <v>126</v>
      </c>
      <c r="I797" s="1">
        <v>205.33</v>
      </c>
      <c r="J797" s="1">
        <v>8</v>
      </c>
      <c r="K797" s="1">
        <v>1642.64</v>
      </c>
      <c r="L797" s="1">
        <v>10</v>
      </c>
      <c r="M797" s="1">
        <v>164.26</v>
      </c>
      <c r="N797" s="1">
        <v>1478.38</v>
      </c>
      <c r="O797" s="1" t="s">
        <v>46</v>
      </c>
      <c r="P797" s="1" t="s">
        <v>293</v>
      </c>
      <c r="Q797" s="1">
        <v>3</v>
      </c>
      <c r="R797" s="1">
        <f>Retail_Sales_Analyis[[#This Row],[Final_Price]]-Retail_Sales_Analyis[[#This Row],[Total_Price]]</f>
        <v>-164.26</v>
      </c>
      <c r="S7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798" spans="1:19" x14ac:dyDescent="0.25">
      <c r="A798" s="1" t="s">
        <v>1484</v>
      </c>
      <c r="B798" s="2">
        <v>45298</v>
      </c>
      <c r="C798" s="1" t="s">
        <v>36</v>
      </c>
      <c r="D798" s="1" t="s">
        <v>49</v>
      </c>
      <c r="E798" s="1" t="s">
        <v>104</v>
      </c>
      <c r="F798" s="1" t="s">
        <v>21</v>
      </c>
      <c r="G798" s="1" t="s">
        <v>85</v>
      </c>
      <c r="H798" s="1" t="s">
        <v>86</v>
      </c>
      <c r="I798" s="1">
        <v>3723.69</v>
      </c>
      <c r="J798" s="1">
        <v>9</v>
      </c>
      <c r="K798" s="1">
        <v>33513.21</v>
      </c>
      <c r="L798" s="1">
        <v>0</v>
      </c>
      <c r="M798" s="1">
        <v>0</v>
      </c>
      <c r="N798" s="1">
        <v>33513.21</v>
      </c>
      <c r="O798" s="1" t="s">
        <v>80</v>
      </c>
      <c r="P798" s="1" t="s">
        <v>469</v>
      </c>
      <c r="Q798" s="1">
        <v>5</v>
      </c>
      <c r="R798" s="1">
        <f>Retail_Sales_Analyis[[#This Row],[Final_Price]]-Retail_Sales_Analyis[[#This Row],[Total_Price]]</f>
        <v>0</v>
      </c>
      <c r="S7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799" spans="1:19" x14ac:dyDescent="0.25">
      <c r="A799" s="1" t="s">
        <v>1485</v>
      </c>
      <c r="B799" s="2">
        <v>45507</v>
      </c>
      <c r="C799" s="1" t="s">
        <v>93</v>
      </c>
      <c r="D799" s="1" t="s">
        <v>19</v>
      </c>
      <c r="E799" s="1" t="s">
        <v>145</v>
      </c>
      <c r="F799" s="1" t="s">
        <v>30</v>
      </c>
      <c r="G799" s="1" t="s">
        <v>31</v>
      </c>
      <c r="H799" s="1" t="s">
        <v>63</v>
      </c>
      <c r="I799" s="1">
        <v>79.08</v>
      </c>
      <c r="J799" s="1">
        <v>5</v>
      </c>
      <c r="K799" s="1">
        <v>395.4</v>
      </c>
      <c r="L799" s="1">
        <v>0</v>
      </c>
      <c r="M799" s="1">
        <v>0</v>
      </c>
      <c r="N799" s="1">
        <v>395.4</v>
      </c>
      <c r="O799" s="1" t="s">
        <v>33</v>
      </c>
      <c r="P799" s="1" t="s">
        <v>1486</v>
      </c>
      <c r="Q799" s="1">
        <v>1</v>
      </c>
      <c r="R799" s="1">
        <f>Retail_Sales_Analyis[[#This Row],[Final_Price]]-Retail_Sales_Analyis[[#This Row],[Total_Price]]</f>
        <v>0</v>
      </c>
      <c r="S7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00" spans="1:19" x14ac:dyDescent="0.25">
      <c r="A800" s="1" t="s">
        <v>1487</v>
      </c>
      <c r="B800" s="2">
        <v>45542</v>
      </c>
      <c r="C800" s="1" t="s">
        <v>116</v>
      </c>
      <c r="D800" s="1" t="s">
        <v>19</v>
      </c>
      <c r="E800" s="1" t="s">
        <v>111</v>
      </c>
      <c r="F800" s="1" t="s">
        <v>30</v>
      </c>
      <c r="G800" s="1" t="s">
        <v>169</v>
      </c>
      <c r="H800" s="1" t="s">
        <v>208</v>
      </c>
      <c r="I800" s="1">
        <v>886.04</v>
      </c>
      <c r="J800" s="1">
        <v>1</v>
      </c>
      <c r="K800" s="1">
        <v>886.04</v>
      </c>
      <c r="L800" s="1">
        <v>5</v>
      </c>
      <c r="M800" s="1">
        <v>44.3</v>
      </c>
      <c r="N800" s="1">
        <v>841.74</v>
      </c>
      <c r="O800" s="1" t="s">
        <v>46</v>
      </c>
      <c r="P800" s="1" t="s">
        <v>1488</v>
      </c>
      <c r="Q800" s="1">
        <v>1</v>
      </c>
      <c r="R800" s="1">
        <f>Retail_Sales_Analyis[[#This Row],[Final_Price]]-Retail_Sales_Analyis[[#This Row],[Total_Price]]</f>
        <v>-44.299999999999955</v>
      </c>
      <c r="S8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01" spans="1:19" x14ac:dyDescent="0.25">
      <c r="A801" s="1" t="s">
        <v>1489</v>
      </c>
      <c r="B801" s="2">
        <v>45346</v>
      </c>
      <c r="C801" s="1" t="s">
        <v>27</v>
      </c>
      <c r="D801" s="1" t="s">
        <v>19</v>
      </c>
      <c r="E801" s="1" t="s">
        <v>239</v>
      </c>
      <c r="F801" s="1" t="s">
        <v>30</v>
      </c>
      <c r="G801" s="1" t="s">
        <v>78</v>
      </c>
      <c r="H801" s="1" t="s">
        <v>323</v>
      </c>
      <c r="I801" s="1">
        <v>503.37</v>
      </c>
      <c r="J801" s="1">
        <v>9</v>
      </c>
      <c r="K801" s="1">
        <v>4530.33</v>
      </c>
      <c r="L801" s="1">
        <v>15</v>
      </c>
      <c r="M801" s="1">
        <v>679.55</v>
      </c>
      <c r="N801" s="1">
        <v>3850.78</v>
      </c>
      <c r="O801" s="1" t="s">
        <v>80</v>
      </c>
      <c r="P801" s="1" t="s">
        <v>530</v>
      </c>
      <c r="Q801" s="1">
        <v>2</v>
      </c>
      <c r="R801" s="1">
        <f>Retail_Sales_Analyis[[#This Row],[Final_Price]]-Retail_Sales_Analyis[[#This Row],[Total_Price]]</f>
        <v>-679.54999999999973</v>
      </c>
      <c r="S8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2" spans="1:19" x14ac:dyDescent="0.25">
      <c r="A802" s="1" t="s">
        <v>1490</v>
      </c>
      <c r="B802" s="2">
        <v>45513</v>
      </c>
      <c r="C802" s="1" t="s">
        <v>93</v>
      </c>
      <c r="D802" s="1" t="s">
        <v>144</v>
      </c>
      <c r="E802" s="1" t="s">
        <v>83</v>
      </c>
      <c r="F802" s="1" t="s">
        <v>30</v>
      </c>
      <c r="G802" s="1" t="s">
        <v>57</v>
      </c>
      <c r="H802" s="1" t="s">
        <v>58</v>
      </c>
      <c r="I802" s="1">
        <v>1838.63</v>
      </c>
      <c r="J802" s="1">
        <v>2</v>
      </c>
      <c r="K802" s="1">
        <v>3677.26</v>
      </c>
      <c r="L802" s="1">
        <v>0</v>
      </c>
      <c r="M802" s="1">
        <v>0</v>
      </c>
      <c r="N802" s="1">
        <v>3677.26</v>
      </c>
      <c r="O802" s="1" t="s">
        <v>64</v>
      </c>
      <c r="P802" s="1" t="s">
        <v>1491</v>
      </c>
      <c r="Q802" s="1">
        <v>1</v>
      </c>
      <c r="R802" s="1">
        <f>Retail_Sales_Analyis[[#This Row],[Final_Price]]-Retail_Sales_Analyis[[#This Row],[Total_Price]]</f>
        <v>0</v>
      </c>
      <c r="S8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03" spans="1:19" x14ac:dyDescent="0.25">
      <c r="A803" s="1" t="s">
        <v>1492</v>
      </c>
      <c r="B803" s="2">
        <v>45477</v>
      </c>
      <c r="C803" s="1" t="s">
        <v>195</v>
      </c>
      <c r="D803" s="1" t="s">
        <v>67</v>
      </c>
      <c r="E803" s="1" t="s">
        <v>351</v>
      </c>
      <c r="F803" s="1" t="s">
        <v>21</v>
      </c>
      <c r="G803" s="1" t="s">
        <v>22</v>
      </c>
      <c r="H803" s="1" t="s">
        <v>51</v>
      </c>
      <c r="I803" s="1">
        <v>519.29</v>
      </c>
      <c r="J803" s="1">
        <v>2</v>
      </c>
      <c r="K803" s="1">
        <v>1038.58</v>
      </c>
      <c r="L803" s="1">
        <v>0</v>
      </c>
      <c r="M803" s="1">
        <v>0</v>
      </c>
      <c r="N803" s="1">
        <v>1038.58</v>
      </c>
      <c r="O803" s="1" t="s">
        <v>46</v>
      </c>
      <c r="P803" s="1" t="s">
        <v>1493</v>
      </c>
      <c r="Q803" s="1">
        <v>5</v>
      </c>
      <c r="R803" s="1">
        <f>Retail_Sales_Analyis[[#This Row],[Final_Price]]-Retail_Sales_Analyis[[#This Row],[Total_Price]]</f>
        <v>0</v>
      </c>
      <c r="S8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04" spans="1:19" x14ac:dyDescent="0.25">
      <c r="A804" s="1" t="s">
        <v>1494</v>
      </c>
      <c r="B804" s="2">
        <v>45617</v>
      </c>
      <c r="C804" s="1" t="s">
        <v>18</v>
      </c>
      <c r="D804" s="1" t="s">
        <v>67</v>
      </c>
      <c r="E804" s="1" t="s">
        <v>68</v>
      </c>
      <c r="F804" s="1" t="s">
        <v>69</v>
      </c>
      <c r="G804" s="1" t="s">
        <v>22</v>
      </c>
      <c r="H804" s="1" t="s">
        <v>277</v>
      </c>
      <c r="I804" s="1">
        <v>843.5</v>
      </c>
      <c r="J804" s="1">
        <v>3</v>
      </c>
      <c r="K804" s="1">
        <v>2530.5</v>
      </c>
      <c r="L804" s="1">
        <v>15</v>
      </c>
      <c r="M804" s="1">
        <v>379.57</v>
      </c>
      <c r="N804" s="1">
        <v>2150.9299999999998</v>
      </c>
      <c r="O804" s="1" t="s">
        <v>64</v>
      </c>
      <c r="P804" s="1" t="s">
        <v>1495</v>
      </c>
      <c r="Q804" s="1">
        <v>3</v>
      </c>
      <c r="R804" s="1">
        <f>Retail_Sales_Analyis[[#This Row],[Final_Price]]-Retail_Sales_Analyis[[#This Row],[Total_Price]]</f>
        <v>-379.57000000000016</v>
      </c>
      <c r="S8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5" spans="1:19" x14ac:dyDescent="0.25">
      <c r="A805" s="1" t="s">
        <v>1496</v>
      </c>
      <c r="B805" s="2">
        <v>45527</v>
      </c>
      <c r="C805" s="1" t="s">
        <v>93</v>
      </c>
      <c r="D805" s="1" t="s">
        <v>144</v>
      </c>
      <c r="E805" s="1" t="s">
        <v>129</v>
      </c>
      <c r="F805" s="1" t="s">
        <v>69</v>
      </c>
      <c r="G805" s="1" t="s">
        <v>57</v>
      </c>
      <c r="H805" s="1" t="s">
        <v>158</v>
      </c>
      <c r="I805" s="1">
        <v>1053.99</v>
      </c>
      <c r="J805" s="1">
        <v>5</v>
      </c>
      <c r="K805" s="1">
        <v>5269.95</v>
      </c>
      <c r="L805" s="1">
        <v>10</v>
      </c>
      <c r="M805" s="1">
        <v>527</v>
      </c>
      <c r="N805" s="1">
        <v>4742.95</v>
      </c>
      <c r="O805" s="1" t="s">
        <v>33</v>
      </c>
      <c r="P805" s="1" t="s">
        <v>1497</v>
      </c>
      <c r="Q805" s="1">
        <v>5</v>
      </c>
      <c r="R805" s="1">
        <f>Retail_Sales_Analyis[[#This Row],[Final_Price]]-Retail_Sales_Analyis[[#This Row],[Total_Price]]</f>
        <v>-527</v>
      </c>
      <c r="S8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6" spans="1:19" x14ac:dyDescent="0.25">
      <c r="A806" s="1" t="s">
        <v>1498</v>
      </c>
      <c r="B806" s="2">
        <v>45654</v>
      </c>
      <c r="C806" s="1" t="s">
        <v>73</v>
      </c>
      <c r="D806" s="1" t="s">
        <v>19</v>
      </c>
      <c r="E806" s="1" t="s">
        <v>285</v>
      </c>
      <c r="F806" s="1" t="s">
        <v>30</v>
      </c>
      <c r="G806" s="1" t="s">
        <v>22</v>
      </c>
      <c r="H806" s="1" t="s">
        <v>133</v>
      </c>
      <c r="I806" s="1">
        <v>310.89</v>
      </c>
      <c r="J806" s="1">
        <v>8</v>
      </c>
      <c r="K806" s="1">
        <v>2487.12</v>
      </c>
      <c r="L806" s="1">
        <v>15</v>
      </c>
      <c r="M806" s="1">
        <v>373.07</v>
      </c>
      <c r="N806" s="1">
        <v>2114.0500000000002</v>
      </c>
      <c r="O806" s="1" t="s">
        <v>46</v>
      </c>
      <c r="P806" s="1" t="s">
        <v>882</v>
      </c>
      <c r="Q806" s="1">
        <v>5</v>
      </c>
      <c r="R806" s="1">
        <f>Retail_Sales_Analyis[[#This Row],[Final_Price]]-Retail_Sales_Analyis[[#This Row],[Total_Price]]</f>
        <v>-373.06999999999971</v>
      </c>
      <c r="S8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7" spans="1:19" x14ac:dyDescent="0.25">
      <c r="A807" s="1" t="s">
        <v>1499</v>
      </c>
      <c r="B807" s="2">
        <v>45370</v>
      </c>
      <c r="C807" s="1" t="s">
        <v>61</v>
      </c>
      <c r="D807" s="1" t="s">
        <v>28</v>
      </c>
      <c r="E807" s="1" t="s">
        <v>337</v>
      </c>
      <c r="F807" s="1" t="s">
        <v>69</v>
      </c>
      <c r="G807" s="1" t="s">
        <v>78</v>
      </c>
      <c r="H807" s="1" t="s">
        <v>136</v>
      </c>
      <c r="I807" s="1">
        <v>359.95</v>
      </c>
      <c r="J807" s="1">
        <v>7</v>
      </c>
      <c r="K807" s="1">
        <v>2519.65</v>
      </c>
      <c r="L807" s="1">
        <v>5</v>
      </c>
      <c r="M807" s="1">
        <v>125.98</v>
      </c>
      <c r="N807" s="1">
        <v>2393.67</v>
      </c>
      <c r="O807" s="1" t="s">
        <v>24</v>
      </c>
      <c r="P807" s="1" t="s">
        <v>1500</v>
      </c>
      <c r="Q807" s="1">
        <v>5</v>
      </c>
      <c r="R807" s="1">
        <f>Retail_Sales_Analyis[[#This Row],[Final_Price]]-Retail_Sales_Analyis[[#This Row],[Total_Price]]</f>
        <v>-125.98000000000002</v>
      </c>
      <c r="S8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08" spans="1:19" x14ac:dyDescent="0.25">
      <c r="A808" s="1" t="s">
        <v>1501</v>
      </c>
      <c r="B808" s="2">
        <v>45514</v>
      </c>
      <c r="C808" s="1" t="s">
        <v>93</v>
      </c>
      <c r="D808" s="1" t="s">
        <v>19</v>
      </c>
      <c r="E808" s="1" t="s">
        <v>68</v>
      </c>
      <c r="F808" s="1" t="s">
        <v>84</v>
      </c>
      <c r="G808" s="1" t="s">
        <v>85</v>
      </c>
      <c r="H808" s="1" t="s">
        <v>90</v>
      </c>
      <c r="I808" s="1">
        <v>4627.3999999999996</v>
      </c>
      <c r="J808" s="1">
        <v>4</v>
      </c>
      <c r="K808" s="1">
        <v>18509.599999999999</v>
      </c>
      <c r="L808" s="1">
        <v>10</v>
      </c>
      <c r="M808" s="1">
        <v>1850.96</v>
      </c>
      <c r="N808" s="1">
        <v>16658.64</v>
      </c>
      <c r="O808" s="1" t="s">
        <v>80</v>
      </c>
      <c r="P808" s="1" t="s">
        <v>1502</v>
      </c>
      <c r="Q808" s="1">
        <v>3</v>
      </c>
      <c r="R808" s="1">
        <f>Retail_Sales_Analyis[[#This Row],[Final_Price]]-Retail_Sales_Analyis[[#This Row],[Total_Price]]</f>
        <v>-1850.9599999999991</v>
      </c>
      <c r="S8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09" spans="1:19" x14ac:dyDescent="0.25">
      <c r="A809" s="1" t="s">
        <v>1503</v>
      </c>
      <c r="B809" s="2">
        <v>45382</v>
      </c>
      <c r="C809" s="1" t="s">
        <v>61</v>
      </c>
      <c r="D809" s="1" t="s">
        <v>49</v>
      </c>
      <c r="E809" s="1" t="s">
        <v>56</v>
      </c>
      <c r="F809" s="1" t="s">
        <v>84</v>
      </c>
      <c r="G809" s="1" t="s">
        <v>38</v>
      </c>
      <c r="H809" s="1" t="s">
        <v>39</v>
      </c>
      <c r="I809" s="1">
        <v>628.73</v>
      </c>
      <c r="J809" s="1">
        <v>7</v>
      </c>
      <c r="K809" s="1">
        <v>4401.1099999999997</v>
      </c>
      <c r="L809" s="1">
        <v>0</v>
      </c>
      <c r="M809" s="1">
        <v>0</v>
      </c>
      <c r="N809" s="1">
        <v>4401.1099999999997</v>
      </c>
      <c r="O809" s="1" t="s">
        <v>33</v>
      </c>
      <c r="P809" s="1" t="s">
        <v>867</v>
      </c>
      <c r="Q809" s="1">
        <v>1</v>
      </c>
      <c r="R809" s="1">
        <f>Retail_Sales_Analyis[[#This Row],[Final_Price]]-Retail_Sales_Analyis[[#This Row],[Total_Price]]</f>
        <v>0</v>
      </c>
      <c r="S8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0" spans="1:19" x14ac:dyDescent="0.25">
      <c r="A810" s="1" t="s">
        <v>1504</v>
      </c>
      <c r="B810" s="2">
        <v>45559</v>
      </c>
      <c r="C810" s="1" t="s">
        <v>116</v>
      </c>
      <c r="D810" s="1" t="s">
        <v>28</v>
      </c>
      <c r="E810" s="1" t="s">
        <v>94</v>
      </c>
      <c r="F810" s="1" t="s">
        <v>84</v>
      </c>
      <c r="G810" s="1" t="s">
        <v>112</v>
      </c>
      <c r="H810" s="1" t="s">
        <v>223</v>
      </c>
      <c r="I810" s="1">
        <v>582.04</v>
      </c>
      <c r="J810" s="1">
        <v>2</v>
      </c>
      <c r="K810" s="1">
        <v>1164.08</v>
      </c>
      <c r="L810" s="1">
        <v>0</v>
      </c>
      <c r="M810" s="1">
        <v>0</v>
      </c>
      <c r="N810" s="1">
        <v>1164.08</v>
      </c>
      <c r="O810" s="1" t="s">
        <v>80</v>
      </c>
      <c r="P810" s="1" t="s">
        <v>232</v>
      </c>
      <c r="Q810" s="1">
        <v>1</v>
      </c>
      <c r="R810" s="1">
        <f>Retail_Sales_Analyis[[#This Row],[Final_Price]]-Retail_Sales_Analyis[[#This Row],[Total_Price]]</f>
        <v>0</v>
      </c>
      <c r="S8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1" spans="1:19" x14ac:dyDescent="0.25">
      <c r="A811" s="1" t="s">
        <v>1505</v>
      </c>
      <c r="B811" s="2">
        <v>45625</v>
      </c>
      <c r="C811" s="1" t="s">
        <v>18</v>
      </c>
      <c r="D811" s="1" t="s">
        <v>144</v>
      </c>
      <c r="E811" s="1" t="s">
        <v>168</v>
      </c>
      <c r="F811" s="1" t="s">
        <v>21</v>
      </c>
      <c r="G811" s="1" t="s">
        <v>78</v>
      </c>
      <c r="H811" s="1" t="s">
        <v>79</v>
      </c>
      <c r="I811" s="1">
        <v>204.65</v>
      </c>
      <c r="J811" s="1">
        <v>10</v>
      </c>
      <c r="K811" s="1">
        <v>2046.5</v>
      </c>
      <c r="L811" s="1">
        <v>15</v>
      </c>
      <c r="M811" s="1">
        <v>306.97000000000003</v>
      </c>
      <c r="N811" s="1">
        <v>1739.53</v>
      </c>
      <c r="O811" s="1" t="s">
        <v>80</v>
      </c>
      <c r="P811" s="1" t="s">
        <v>1506</v>
      </c>
      <c r="Q811" s="1">
        <v>1</v>
      </c>
      <c r="R811" s="1">
        <f>Retail_Sales_Analyis[[#This Row],[Final_Price]]-Retail_Sales_Analyis[[#This Row],[Total_Price]]</f>
        <v>-306.97000000000003</v>
      </c>
      <c r="S8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12" spans="1:19" x14ac:dyDescent="0.25">
      <c r="A812" s="1" t="s">
        <v>1507</v>
      </c>
      <c r="B812" s="2">
        <v>45430</v>
      </c>
      <c r="C812" s="1" t="s">
        <v>42</v>
      </c>
      <c r="D812" s="1" t="s">
        <v>19</v>
      </c>
      <c r="E812" s="1" t="s">
        <v>351</v>
      </c>
      <c r="F812" s="1" t="s">
        <v>30</v>
      </c>
      <c r="G812" s="1" t="s">
        <v>85</v>
      </c>
      <c r="H812" s="1" t="s">
        <v>90</v>
      </c>
      <c r="I812" s="1">
        <v>3961.7</v>
      </c>
      <c r="J812" s="1">
        <v>8</v>
      </c>
      <c r="K812" s="1">
        <v>31693.599999999999</v>
      </c>
      <c r="L812" s="1">
        <v>0</v>
      </c>
      <c r="M812" s="1">
        <v>0</v>
      </c>
      <c r="N812" s="1">
        <v>31693.599999999999</v>
      </c>
      <c r="O812" s="1" t="s">
        <v>64</v>
      </c>
      <c r="P812" s="1" t="s">
        <v>1508</v>
      </c>
      <c r="Q812" s="1">
        <v>2</v>
      </c>
      <c r="R812" s="1">
        <f>Retail_Sales_Analyis[[#This Row],[Final_Price]]-Retail_Sales_Analyis[[#This Row],[Total_Price]]</f>
        <v>0</v>
      </c>
      <c r="S8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3" spans="1:19" x14ac:dyDescent="0.25">
      <c r="A813" s="1" t="s">
        <v>1509</v>
      </c>
      <c r="B813" s="2">
        <v>45607</v>
      </c>
      <c r="C813" s="1" t="s">
        <v>18</v>
      </c>
      <c r="D813" s="1" t="s">
        <v>43</v>
      </c>
      <c r="E813" s="1" t="s">
        <v>107</v>
      </c>
      <c r="F813" s="1" t="s">
        <v>84</v>
      </c>
      <c r="G813" s="1" t="s">
        <v>112</v>
      </c>
      <c r="H813" s="1" t="s">
        <v>288</v>
      </c>
      <c r="I813" s="1">
        <v>1435.5</v>
      </c>
      <c r="J813" s="1">
        <v>4</v>
      </c>
      <c r="K813" s="1">
        <v>5742</v>
      </c>
      <c r="L813" s="1">
        <v>0</v>
      </c>
      <c r="M813" s="1">
        <v>0</v>
      </c>
      <c r="N813" s="1">
        <v>5742</v>
      </c>
      <c r="O813" s="1" t="s">
        <v>24</v>
      </c>
      <c r="P813" s="1" t="s">
        <v>1024</v>
      </c>
      <c r="Q813" s="1">
        <v>1</v>
      </c>
      <c r="R813" s="1">
        <f>Retail_Sales_Analyis[[#This Row],[Final_Price]]-Retail_Sales_Analyis[[#This Row],[Total_Price]]</f>
        <v>0</v>
      </c>
      <c r="S8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4" spans="1:19" x14ac:dyDescent="0.25">
      <c r="A814" s="1" t="s">
        <v>1510</v>
      </c>
      <c r="B814" s="2">
        <v>45567</v>
      </c>
      <c r="C814" s="1" t="s">
        <v>76</v>
      </c>
      <c r="D814" s="1" t="s">
        <v>55</v>
      </c>
      <c r="E814" s="1" t="s">
        <v>213</v>
      </c>
      <c r="F814" s="1" t="s">
        <v>69</v>
      </c>
      <c r="G814" s="1" t="s">
        <v>169</v>
      </c>
      <c r="H814" s="1" t="s">
        <v>170</v>
      </c>
      <c r="I814" s="1">
        <v>416.24</v>
      </c>
      <c r="J814" s="1">
        <v>4</v>
      </c>
      <c r="K814" s="1">
        <v>1664.96</v>
      </c>
      <c r="L814" s="1">
        <v>0</v>
      </c>
      <c r="M814" s="1">
        <v>0</v>
      </c>
      <c r="N814" s="1">
        <v>1664.96</v>
      </c>
      <c r="O814" s="1" t="s">
        <v>33</v>
      </c>
      <c r="P814" s="1" t="s">
        <v>1407</v>
      </c>
      <c r="Q814" s="1">
        <v>1</v>
      </c>
      <c r="R814" s="1">
        <f>Retail_Sales_Analyis[[#This Row],[Final_Price]]-Retail_Sales_Analyis[[#This Row],[Total_Price]]</f>
        <v>0</v>
      </c>
      <c r="S8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5" spans="1:19" x14ac:dyDescent="0.25">
      <c r="A815" s="1" t="s">
        <v>1511</v>
      </c>
      <c r="B815" s="2">
        <v>45539</v>
      </c>
      <c r="C815" s="1" t="s">
        <v>116</v>
      </c>
      <c r="D815" s="1" t="s">
        <v>55</v>
      </c>
      <c r="E815" s="1" t="s">
        <v>151</v>
      </c>
      <c r="F815" s="1" t="s">
        <v>84</v>
      </c>
      <c r="G815" s="1" t="s">
        <v>112</v>
      </c>
      <c r="H815" s="1" t="s">
        <v>223</v>
      </c>
      <c r="I815" s="1">
        <v>949.89</v>
      </c>
      <c r="J815" s="1">
        <v>8</v>
      </c>
      <c r="K815" s="1">
        <v>7599.12</v>
      </c>
      <c r="L815" s="1">
        <v>0</v>
      </c>
      <c r="M815" s="1">
        <v>0</v>
      </c>
      <c r="N815" s="1">
        <v>7599.12</v>
      </c>
      <c r="O815" s="1" t="s">
        <v>64</v>
      </c>
      <c r="P815" s="1" t="s">
        <v>865</v>
      </c>
      <c r="Q815" s="1">
        <v>5</v>
      </c>
      <c r="R815" s="1">
        <f>Retail_Sales_Analyis[[#This Row],[Final_Price]]-Retail_Sales_Analyis[[#This Row],[Total_Price]]</f>
        <v>0</v>
      </c>
      <c r="S8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16" spans="1:19" x14ac:dyDescent="0.25">
      <c r="A816" s="1" t="s">
        <v>1512</v>
      </c>
      <c r="B816" s="2">
        <v>45530</v>
      </c>
      <c r="C816" s="1" t="s">
        <v>93</v>
      </c>
      <c r="D816" s="1" t="s">
        <v>43</v>
      </c>
      <c r="E816" s="1" t="s">
        <v>107</v>
      </c>
      <c r="F816" s="1" t="s">
        <v>21</v>
      </c>
      <c r="G816" s="1" t="s">
        <v>31</v>
      </c>
      <c r="H816" s="1" t="s">
        <v>45</v>
      </c>
      <c r="I816" s="1">
        <v>105.44</v>
      </c>
      <c r="J816" s="1">
        <v>3</v>
      </c>
      <c r="K816" s="1">
        <v>316.32</v>
      </c>
      <c r="L816" s="1">
        <v>15</v>
      </c>
      <c r="M816" s="1">
        <v>47.45</v>
      </c>
      <c r="N816" s="1">
        <v>268.87</v>
      </c>
      <c r="O816" s="1" t="s">
        <v>24</v>
      </c>
      <c r="P816" s="1" t="s">
        <v>1149</v>
      </c>
      <c r="Q816" s="1">
        <v>2</v>
      </c>
      <c r="R816" s="1">
        <f>Retail_Sales_Analyis[[#This Row],[Final_Price]]-Retail_Sales_Analyis[[#This Row],[Total_Price]]</f>
        <v>-47.449999999999989</v>
      </c>
      <c r="S8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17" spans="1:19" x14ac:dyDescent="0.25">
      <c r="A817" s="1" t="s">
        <v>1513</v>
      </c>
      <c r="B817" s="2">
        <v>45515</v>
      </c>
      <c r="C817" s="1" t="s">
        <v>93</v>
      </c>
      <c r="D817" s="1" t="s">
        <v>49</v>
      </c>
      <c r="E817" s="1" t="s">
        <v>44</v>
      </c>
      <c r="F817" s="1" t="s">
        <v>30</v>
      </c>
      <c r="G817" s="1" t="s">
        <v>57</v>
      </c>
      <c r="H817" s="1" t="s">
        <v>58</v>
      </c>
      <c r="I817" s="1">
        <v>1545.31</v>
      </c>
      <c r="J817" s="1">
        <v>5</v>
      </c>
      <c r="K817" s="1">
        <v>7726.55</v>
      </c>
      <c r="L817" s="1">
        <v>15</v>
      </c>
      <c r="M817" s="1">
        <v>1158.98</v>
      </c>
      <c r="N817" s="1">
        <v>6567.57</v>
      </c>
      <c r="O817" s="1" t="s">
        <v>24</v>
      </c>
      <c r="P817" s="1" t="s">
        <v>500</v>
      </c>
      <c r="Q817" s="1">
        <v>5</v>
      </c>
      <c r="R817" s="1">
        <f>Retail_Sales_Analyis[[#This Row],[Final_Price]]-Retail_Sales_Analyis[[#This Row],[Total_Price]]</f>
        <v>-1158.9800000000005</v>
      </c>
      <c r="S8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18" spans="1:19" x14ac:dyDescent="0.25">
      <c r="A818" s="1" t="s">
        <v>1514</v>
      </c>
      <c r="B818" s="2">
        <v>45595</v>
      </c>
      <c r="C818" s="1" t="s">
        <v>76</v>
      </c>
      <c r="D818" s="1" t="s">
        <v>55</v>
      </c>
      <c r="E818" s="1" t="s">
        <v>107</v>
      </c>
      <c r="F818" s="1" t="s">
        <v>37</v>
      </c>
      <c r="G818" s="1" t="s">
        <v>38</v>
      </c>
      <c r="H818" s="1" t="s">
        <v>108</v>
      </c>
      <c r="I818" s="1">
        <v>370.07</v>
      </c>
      <c r="J818" s="1">
        <v>2</v>
      </c>
      <c r="K818" s="1">
        <v>740.14</v>
      </c>
      <c r="L818" s="1">
        <v>5</v>
      </c>
      <c r="M818" s="1">
        <v>37.01</v>
      </c>
      <c r="N818" s="1">
        <v>703.13</v>
      </c>
      <c r="O818" s="1" t="s">
        <v>33</v>
      </c>
      <c r="P818" s="1" t="s">
        <v>1515</v>
      </c>
      <c r="Q818" s="1">
        <v>4</v>
      </c>
      <c r="R818" s="1">
        <f>Retail_Sales_Analyis[[#This Row],[Final_Price]]-Retail_Sales_Analyis[[#This Row],[Total_Price]]</f>
        <v>-37.009999999999991</v>
      </c>
      <c r="S8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19" spans="1:19" x14ac:dyDescent="0.25">
      <c r="A819" s="1" t="s">
        <v>1516</v>
      </c>
      <c r="B819" s="2">
        <v>45429</v>
      </c>
      <c r="C819" s="1" t="s">
        <v>42</v>
      </c>
      <c r="D819" s="1" t="s">
        <v>144</v>
      </c>
      <c r="E819" s="1" t="s">
        <v>20</v>
      </c>
      <c r="F819" s="1" t="s">
        <v>84</v>
      </c>
      <c r="G819" s="1" t="s">
        <v>31</v>
      </c>
      <c r="H819" s="1" t="s">
        <v>329</v>
      </c>
      <c r="I819" s="1">
        <v>303.89</v>
      </c>
      <c r="J819" s="1">
        <v>1</v>
      </c>
      <c r="K819" s="1">
        <v>303.89</v>
      </c>
      <c r="L819" s="1">
        <v>10</v>
      </c>
      <c r="M819" s="1">
        <v>30.39</v>
      </c>
      <c r="N819" s="1">
        <v>273.5</v>
      </c>
      <c r="O819" s="1" t="s">
        <v>46</v>
      </c>
      <c r="P819" s="1" t="s">
        <v>1517</v>
      </c>
      <c r="Q819" s="1">
        <v>1</v>
      </c>
      <c r="R819" s="1">
        <f>Retail_Sales_Analyis[[#This Row],[Final_Price]]-Retail_Sales_Analyis[[#This Row],[Total_Price]]</f>
        <v>-30.389999999999986</v>
      </c>
      <c r="S8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20" spans="1:19" x14ac:dyDescent="0.25">
      <c r="A820" s="1" t="s">
        <v>1518</v>
      </c>
      <c r="B820" s="2">
        <v>45457</v>
      </c>
      <c r="C820" s="1" t="s">
        <v>173</v>
      </c>
      <c r="D820" s="1" t="s">
        <v>144</v>
      </c>
      <c r="E820" s="1" t="s">
        <v>157</v>
      </c>
      <c r="F820" s="1" t="s">
        <v>21</v>
      </c>
      <c r="G820" s="1" t="s">
        <v>112</v>
      </c>
      <c r="H820" s="1" t="s">
        <v>118</v>
      </c>
      <c r="I820" s="1">
        <v>1944.19</v>
      </c>
      <c r="J820" s="1">
        <v>8</v>
      </c>
      <c r="K820" s="1">
        <v>15553.52</v>
      </c>
      <c r="L820" s="1">
        <v>15</v>
      </c>
      <c r="M820" s="1">
        <v>2333.0300000000002</v>
      </c>
      <c r="N820" s="1">
        <v>13220.49</v>
      </c>
      <c r="O820" s="1" t="s">
        <v>33</v>
      </c>
      <c r="P820" s="1" t="s">
        <v>171</v>
      </c>
      <c r="Q820" s="1">
        <v>3</v>
      </c>
      <c r="R820" s="1">
        <f>Retail_Sales_Analyis[[#This Row],[Final_Price]]-Retail_Sales_Analyis[[#This Row],[Total_Price]]</f>
        <v>-2333.0300000000007</v>
      </c>
      <c r="S8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21" spans="1:19" x14ac:dyDescent="0.25">
      <c r="A821" s="1" t="s">
        <v>1519</v>
      </c>
      <c r="B821" s="2">
        <v>45417</v>
      </c>
      <c r="C821" s="1" t="s">
        <v>42</v>
      </c>
      <c r="D821" s="1" t="s">
        <v>49</v>
      </c>
      <c r="E821" s="1" t="s">
        <v>129</v>
      </c>
      <c r="F821" s="1" t="s">
        <v>21</v>
      </c>
      <c r="G821" s="1" t="s">
        <v>57</v>
      </c>
      <c r="H821" s="1" t="s">
        <v>158</v>
      </c>
      <c r="I821" s="1">
        <v>2727.14</v>
      </c>
      <c r="J821" s="1">
        <v>9</v>
      </c>
      <c r="K821" s="1">
        <v>24544.26</v>
      </c>
      <c r="L821" s="1">
        <v>5</v>
      </c>
      <c r="M821" s="1">
        <v>1227.21</v>
      </c>
      <c r="N821" s="1">
        <v>23317.05</v>
      </c>
      <c r="O821" s="1" t="s">
        <v>80</v>
      </c>
      <c r="P821" s="1" t="s">
        <v>750</v>
      </c>
      <c r="Q821" s="1">
        <v>1</v>
      </c>
      <c r="R821" s="1">
        <f>Retail_Sales_Analyis[[#This Row],[Final_Price]]-Retail_Sales_Analyis[[#This Row],[Total_Price]]</f>
        <v>-1227.2099999999991</v>
      </c>
      <c r="S8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22" spans="1:19" x14ac:dyDescent="0.25">
      <c r="A822" s="1" t="s">
        <v>1520</v>
      </c>
      <c r="B822" s="2">
        <v>45336</v>
      </c>
      <c r="C822" s="1" t="s">
        <v>27</v>
      </c>
      <c r="D822" s="1" t="s">
        <v>55</v>
      </c>
      <c r="E822" s="1" t="s">
        <v>192</v>
      </c>
      <c r="F822" s="1" t="s">
        <v>69</v>
      </c>
      <c r="G822" s="1" t="s">
        <v>78</v>
      </c>
      <c r="H822" s="1" t="s">
        <v>136</v>
      </c>
      <c r="I822" s="1">
        <v>471.83</v>
      </c>
      <c r="J822" s="1">
        <v>3</v>
      </c>
      <c r="K822" s="1">
        <v>1415.49</v>
      </c>
      <c r="L822" s="1">
        <v>0</v>
      </c>
      <c r="M822" s="1">
        <v>0</v>
      </c>
      <c r="N822" s="1">
        <v>1415.49</v>
      </c>
      <c r="O822" s="1" t="s">
        <v>46</v>
      </c>
      <c r="P822" s="1" t="s">
        <v>645</v>
      </c>
      <c r="Q822" s="1">
        <v>4</v>
      </c>
      <c r="R822" s="1">
        <f>Retail_Sales_Analyis[[#This Row],[Final_Price]]-Retail_Sales_Analyis[[#This Row],[Total_Price]]</f>
        <v>0</v>
      </c>
      <c r="S8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23" spans="1:19" x14ac:dyDescent="0.25">
      <c r="A823" s="1" t="s">
        <v>1521</v>
      </c>
      <c r="B823" s="2">
        <v>45434</v>
      </c>
      <c r="C823" s="1" t="s">
        <v>42</v>
      </c>
      <c r="D823" s="1" t="s">
        <v>55</v>
      </c>
      <c r="E823" s="1" t="s">
        <v>151</v>
      </c>
      <c r="F823" s="1" t="s">
        <v>21</v>
      </c>
      <c r="G823" s="1" t="s">
        <v>31</v>
      </c>
      <c r="H823" s="1" t="s">
        <v>45</v>
      </c>
      <c r="I823" s="1">
        <v>346.54</v>
      </c>
      <c r="J823" s="1">
        <v>10</v>
      </c>
      <c r="K823" s="1">
        <v>3465.4</v>
      </c>
      <c r="L823" s="1">
        <v>15</v>
      </c>
      <c r="M823" s="1">
        <v>519.80999999999995</v>
      </c>
      <c r="N823" s="1">
        <v>2945.59</v>
      </c>
      <c r="O823" s="1" t="s">
        <v>80</v>
      </c>
      <c r="P823" s="1" t="s">
        <v>680</v>
      </c>
      <c r="Q823" s="1">
        <v>5</v>
      </c>
      <c r="R823" s="1">
        <f>Retail_Sales_Analyis[[#This Row],[Final_Price]]-Retail_Sales_Analyis[[#This Row],[Total_Price]]</f>
        <v>-519.80999999999995</v>
      </c>
      <c r="S8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24" spans="1:19" x14ac:dyDescent="0.25">
      <c r="A824" s="1" t="s">
        <v>1522</v>
      </c>
      <c r="B824" s="2">
        <v>45522</v>
      </c>
      <c r="C824" s="1" t="s">
        <v>93</v>
      </c>
      <c r="D824" s="1" t="s">
        <v>49</v>
      </c>
      <c r="E824" s="1" t="s">
        <v>192</v>
      </c>
      <c r="F824" s="1" t="s">
        <v>37</v>
      </c>
      <c r="G824" s="1" t="s">
        <v>78</v>
      </c>
      <c r="H824" s="1" t="s">
        <v>126</v>
      </c>
      <c r="I824" s="1">
        <v>579.84</v>
      </c>
      <c r="J824" s="1">
        <v>6</v>
      </c>
      <c r="K824" s="1">
        <v>3479.04</v>
      </c>
      <c r="L824" s="1">
        <v>10</v>
      </c>
      <c r="M824" s="1">
        <v>347.9</v>
      </c>
      <c r="N824" s="1">
        <v>3131.14</v>
      </c>
      <c r="O824" s="1" t="s">
        <v>80</v>
      </c>
      <c r="P824" s="1" t="s">
        <v>1155</v>
      </c>
      <c r="Q824" s="1">
        <v>4</v>
      </c>
      <c r="R824" s="1">
        <f>Retail_Sales_Analyis[[#This Row],[Final_Price]]-Retail_Sales_Analyis[[#This Row],[Total_Price]]</f>
        <v>-347.90000000000009</v>
      </c>
      <c r="S8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25" spans="1:19" x14ac:dyDescent="0.25">
      <c r="A825" s="1" t="s">
        <v>1523</v>
      </c>
      <c r="B825" s="2">
        <v>45416</v>
      </c>
      <c r="C825" s="1" t="s">
        <v>42</v>
      </c>
      <c r="D825" s="1" t="s">
        <v>19</v>
      </c>
      <c r="E825" s="1" t="s">
        <v>174</v>
      </c>
      <c r="F825" s="1" t="s">
        <v>21</v>
      </c>
      <c r="G825" s="1" t="s">
        <v>85</v>
      </c>
      <c r="H825" s="1" t="s">
        <v>98</v>
      </c>
      <c r="I825" s="1">
        <v>1386.16</v>
      </c>
      <c r="J825" s="1">
        <v>2</v>
      </c>
      <c r="K825" s="1">
        <v>2772.32</v>
      </c>
      <c r="L825" s="1">
        <v>5</v>
      </c>
      <c r="M825" s="1">
        <v>138.62</v>
      </c>
      <c r="N825" s="1">
        <v>2633.7</v>
      </c>
      <c r="O825" s="1" t="s">
        <v>33</v>
      </c>
      <c r="P825" s="1" t="s">
        <v>1524</v>
      </c>
      <c r="Q825" s="1">
        <v>3</v>
      </c>
      <c r="R825" s="1">
        <f>Retail_Sales_Analyis[[#This Row],[Final_Price]]-Retail_Sales_Analyis[[#This Row],[Total_Price]]</f>
        <v>-138.62000000000035</v>
      </c>
      <c r="S8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26" spans="1:19" x14ac:dyDescent="0.25">
      <c r="A826" s="1" t="s">
        <v>1525</v>
      </c>
      <c r="B826" s="2">
        <v>45529</v>
      </c>
      <c r="C826" s="1" t="s">
        <v>93</v>
      </c>
      <c r="D826" s="1" t="s">
        <v>49</v>
      </c>
      <c r="E826" s="1" t="s">
        <v>192</v>
      </c>
      <c r="F826" s="1" t="s">
        <v>37</v>
      </c>
      <c r="G826" s="1" t="s">
        <v>57</v>
      </c>
      <c r="H826" s="1" t="s">
        <v>152</v>
      </c>
      <c r="I826" s="1">
        <v>2719.42</v>
      </c>
      <c r="J826" s="1">
        <v>3</v>
      </c>
      <c r="K826" s="1">
        <v>8158.26</v>
      </c>
      <c r="L826" s="1">
        <v>15</v>
      </c>
      <c r="M826" s="1">
        <v>1223.74</v>
      </c>
      <c r="N826" s="1">
        <v>6934.52</v>
      </c>
      <c r="O826" s="1" t="s">
        <v>33</v>
      </c>
      <c r="P826" s="1" t="s">
        <v>568</v>
      </c>
      <c r="Q826" s="1">
        <v>4</v>
      </c>
      <c r="R826" s="1">
        <f>Retail_Sales_Analyis[[#This Row],[Final_Price]]-Retail_Sales_Analyis[[#This Row],[Total_Price]]</f>
        <v>-1223.7399999999998</v>
      </c>
      <c r="S8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27" spans="1:19" x14ac:dyDescent="0.25">
      <c r="A827" s="1" t="s">
        <v>1526</v>
      </c>
      <c r="B827" s="2">
        <v>45583</v>
      </c>
      <c r="C827" s="1" t="s">
        <v>76</v>
      </c>
      <c r="D827" s="1" t="s">
        <v>144</v>
      </c>
      <c r="E827" s="1" t="s">
        <v>328</v>
      </c>
      <c r="F827" s="1" t="s">
        <v>37</v>
      </c>
      <c r="G827" s="1" t="s">
        <v>38</v>
      </c>
      <c r="H827" s="1" t="s">
        <v>39</v>
      </c>
      <c r="I827" s="1">
        <v>126.19</v>
      </c>
      <c r="J827" s="1">
        <v>2</v>
      </c>
      <c r="K827" s="1">
        <v>252.38</v>
      </c>
      <c r="L827" s="1">
        <v>5</v>
      </c>
      <c r="M827" s="1">
        <v>12.62</v>
      </c>
      <c r="N827" s="1">
        <v>239.76</v>
      </c>
      <c r="O827" s="1" t="s">
        <v>46</v>
      </c>
      <c r="P827" s="1" t="s">
        <v>837</v>
      </c>
      <c r="Q827" s="1">
        <v>5</v>
      </c>
      <c r="R827" s="1">
        <f>Retail_Sales_Analyis[[#This Row],[Final_Price]]-Retail_Sales_Analyis[[#This Row],[Total_Price]]</f>
        <v>-12.620000000000005</v>
      </c>
      <c r="S8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28" spans="1:19" x14ac:dyDescent="0.25">
      <c r="A828" s="1" t="s">
        <v>1527</v>
      </c>
      <c r="B828" s="2">
        <v>45604</v>
      </c>
      <c r="C828" s="1" t="s">
        <v>18</v>
      </c>
      <c r="D828" s="1" t="s">
        <v>144</v>
      </c>
      <c r="E828" s="1" t="s">
        <v>163</v>
      </c>
      <c r="F828" s="1" t="s">
        <v>21</v>
      </c>
      <c r="G828" s="1" t="s">
        <v>85</v>
      </c>
      <c r="H828" s="1" t="s">
        <v>180</v>
      </c>
      <c r="I828" s="1">
        <v>1430.64</v>
      </c>
      <c r="J828" s="1">
        <v>8</v>
      </c>
      <c r="K828" s="1">
        <v>11445.12</v>
      </c>
      <c r="L828" s="1">
        <v>5</v>
      </c>
      <c r="M828" s="1">
        <v>572.26</v>
      </c>
      <c r="N828" s="1">
        <v>10872.86</v>
      </c>
      <c r="O828" s="1" t="s">
        <v>64</v>
      </c>
      <c r="P828" s="1" t="s">
        <v>1391</v>
      </c>
      <c r="Q828" s="1">
        <v>5</v>
      </c>
      <c r="R828" s="1">
        <f>Retail_Sales_Analyis[[#This Row],[Final_Price]]-Retail_Sales_Analyis[[#This Row],[Total_Price]]</f>
        <v>-572.26000000000022</v>
      </c>
      <c r="S8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29" spans="1:19" x14ac:dyDescent="0.25">
      <c r="A829" s="1" t="s">
        <v>1528</v>
      </c>
      <c r="B829" s="2">
        <v>45634</v>
      </c>
      <c r="C829" s="1" t="s">
        <v>73</v>
      </c>
      <c r="D829" s="1" t="s">
        <v>49</v>
      </c>
      <c r="E829" s="1" t="s">
        <v>302</v>
      </c>
      <c r="F829" s="1" t="s">
        <v>84</v>
      </c>
      <c r="G829" s="1" t="s">
        <v>38</v>
      </c>
      <c r="H829" s="1" t="s">
        <v>108</v>
      </c>
      <c r="I829" s="1">
        <v>406.26</v>
      </c>
      <c r="J829" s="1">
        <v>5</v>
      </c>
      <c r="K829" s="1">
        <v>2031.3</v>
      </c>
      <c r="L829" s="1">
        <v>0</v>
      </c>
      <c r="M829" s="1">
        <v>0</v>
      </c>
      <c r="N829" s="1">
        <v>2031.3</v>
      </c>
      <c r="O829" s="1" t="s">
        <v>64</v>
      </c>
      <c r="P829" s="1" t="s">
        <v>358</v>
      </c>
      <c r="Q829" s="1">
        <v>2</v>
      </c>
      <c r="R829" s="1">
        <f>Retail_Sales_Analyis[[#This Row],[Final_Price]]-Retail_Sales_Analyis[[#This Row],[Total_Price]]</f>
        <v>0</v>
      </c>
      <c r="S8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0" spans="1:19" x14ac:dyDescent="0.25">
      <c r="A830" s="1" t="s">
        <v>1529</v>
      </c>
      <c r="B830" s="2">
        <v>45486</v>
      </c>
      <c r="C830" s="1" t="s">
        <v>195</v>
      </c>
      <c r="D830" s="1" t="s">
        <v>19</v>
      </c>
      <c r="E830" s="1" t="s">
        <v>157</v>
      </c>
      <c r="F830" s="1" t="s">
        <v>30</v>
      </c>
      <c r="G830" s="1" t="s">
        <v>57</v>
      </c>
      <c r="H830" s="1" t="s">
        <v>152</v>
      </c>
      <c r="I830" s="1">
        <v>1829.9</v>
      </c>
      <c r="J830" s="1">
        <v>2</v>
      </c>
      <c r="K830" s="1">
        <v>3659.8</v>
      </c>
      <c r="L830" s="1">
        <v>0</v>
      </c>
      <c r="M830" s="1">
        <v>0</v>
      </c>
      <c r="N830" s="1">
        <v>3659.8</v>
      </c>
      <c r="O830" s="1" t="s">
        <v>24</v>
      </c>
      <c r="P830" s="1" t="s">
        <v>137</v>
      </c>
      <c r="Q830" s="1">
        <v>2</v>
      </c>
      <c r="R830" s="1">
        <f>Retail_Sales_Analyis[[#This Row],[Final_Price]]-Retail_Sales_Analyis[[#This Row],[Total_Price]]</f>
        <v>0</v>
      </c>
      <c r="S8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1" spans="1:19" x14ac:dyDescent="0.25">
      <c r="A831" s="1" t="s">
        <v>1530</v>
      </c>
      <c r="B831" s="2">
        <v>45464</v>
      </c>
      <c r="C831" s="1" t="s">
        <v>173</v>
      </c>
      <c r="D831" s="1" t="s">
        <v>144</v>
      </c>
      <c r="E831" s="1" t="s">
        <v>44</v>
      </c>
      <c r="F831" s="1" t="s">
        <v>21</v>
      </c>
      <c r="G831" s="1" t="s">
        <v>22</v>
      </c>
      <c r="H831" s="1" t="s">
        <v>187</v>
      </c>
      <c r="I831" s="1">
        <v>637.26</v>
      </c>
      <c r="J831" s="1">
        <v>2</v>
      </c>
      <c r="K831" s="1">
        <v>1274.52</v>
      </c>
      <c r="L831" s="1">
        <v>0</v>
      </c>
      <c r="M831" s="1">
        <v>0</v>
      </c>
      <c r="N831" s="1">
        <v>1274.52</v>
      </c>
      <c r="O831" s="1" t="s">
        <v>64</v>
      </c>
      <c r="P831" s="1" t="s">
        <v>877</v>
      </c>
      <c r="Q831" s="1">
        <v>5</v>
      </c>
      <c r="R831" s="1">
        <f>Retail_Sales_Analyis[[#This Row],[Final_Price]]-Retail_Sales_Analyis[[#This Row],[Total_Price]]</f>
        <v>0</v>
      </c>
      <c r="S8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2" spans="1:19" x14ac:dyDescent="0.25">
      <c r="A832" s="1" t="s">
        <v>1531</v>
      </c>
      <c r="B832" s="2">
        <v>45306</v>
      </c>
      <c r="C832" s="1" t="s">
        <v>36</v>
      </c>
      <c r="D832" s="1" t="s">
        <v>43</v>
      </c>
      <c r="E832" s="1" t="s">
        <v>163</v>
      </c>
      <c r="F832" s="1" t="s">
        <v>21</v>
      </c>
      <c r="G832" s="1" t="s">
        <v>57</v>
      </c>
      <c r="H832" s="1" t="s">
        <v>122</v>
      </c>
      <c r="I832" s="1">
        <v>2517.21</v>
      </c>
      <c r="J832" s="1">
        <v>9</v>
      </c>
      <c r="K832" s="1">
        <v>22654.89</v>
      </c>
      <c r="L832" s="1">
        <v>0</v>
      </c>
      <c r="M832" s="1">
        <v>0</v>
      </c>
      <c r="N832" s="1">
        <v>22654.89</v>
      </c>
      <c r="O832" s="1" t="s">
        <v>46</v>
      </c>
      <c r="P832" s="1" t="s">
        <v>1532</v>
      </c>
      <c r="Q832" s="1">
        <v>5</v>
      </c>
      <c r="R832" s="1">
        <f>Retail_Sales_Analyis[[#This Row],[Final_Price]]-Retail_Sales_Analyis[[#This Row],[Total_Price]]</f>
        <v>0</v>
      </c>
      <c r="S8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3" spans="1:19" x14ac:dyDescent="0.25">
      <c r="A833" s="1" t="s">
        <v>1533</v>
      </c>
      <c r="B833" s="2">
        <v>45545</v>
      </c>
      <c r="C833" s="1" t="s">
        <v>116</v>
      </c>
      <c r="D833" s="1" t="s">
        <v>28</v>
      </c>
      <c r="E833" s="1" t="s">
        <v>239</v>
      </c>
      <c r="F833" s="1" t="s">
        <v>21</v>
      </c>
      <c r="G833" s="1" t="s">
        <v>169</v>
      </c>
      <c r="H833" s="1" t="s">
        <v>348</v>
      </c>
      <c r="I833" s="1">
        <v>813.01</v>
      </c>
      <c r="J833" s="1">
        <v>7</v>
      </c>
      <c r="K833" s="1">
        <v>5691.07</v>
      </c>
      <c r="L833" s="1">
        <v>20</v>
      </c>
      <c r="M833" s="1">
        <v>1138.21</v>
      </c>
      <c r="N833" s="1">
        <v>4552.8599999999997</v>
      </c>
      <c r="O833" s="1" t="s">
        <v>24</v>
      </c>
      <c r="P833" s="1" t="s">
        <v>1497</v>
      </c>
      <c r="Q833" s="1">
        <v>5</v>
      </c>
      <c r="R833" s="1">
        <f>Retail_Sales_Analyis[[#This Row],[Final_Price]]-Retail_Sales_Analyis[[#This Row],[Total_Price]]</f>
        <v>-1138.21</v>
      </c>
      <c r="S8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34" spans="1:19" x14ac:dyDescent="0.25">
      <c r="A834" s="1" t="s">
        <v>1534</v>
      </c>
      <c r="B834" s="2">
        <v>45458</v>
      </c>
      <c r="C834" s="1" t="s">
        <v>173</v>
      </c>
      <c r="D834" s="1" t="s">
        <v>19</v>
      </c>
      <c r="E834" s="1" t="s">
        <v>62</v>
      </c>
      <c r="F834" s="1" t="s">
        <v>37</v>
      </c>
      <c r="G834" s="1" t="s">
        <v>38</v>
      </c>
      <c r="H834" s="1" t="s">
        <v>39</v>
      </c>
      <c r="I834" s="1">
        <v>182.55</v>
      </c>
      <c r="J834" s="1">
        <v>4</v>
      </c>
      <c r="K834" s="1">
        <v>730.2</v>
      </c>
      <c r="L834" s="1">
        <v>0</v>
      </c>
      <c r="M834" s="1">
        <v>0</v>
      </c>
      <c r="N834" s="1">
        <v>730.2</v>
      </c>
      <c r="O834" s="1" t="s">
        <v>80</v>
      </c>
      <c r="P834" s="1" t="s">
        <v>1535</v>
      </c>
      <c r="Q834" s="1">
        <v>5</v>
      </c>
      <c r="R834" s="1">
        <f>Retail_Sales_Analyis[[#This Row],[Final_Price]]-Retail_Sales_Analyis[[#This Row],[Total_Price]]</f>
        <v>0</v>
      </c>
      <c r="S8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5" spans="1:19" x14ac:dyDescent="0.25">
      <c r="A835" s="1" t="s">
        <v>1536</v>
      </c>
      <c r="B835" s="2">
        <v>45385</v>
      </c>
      <c r="C835" s="1" t="s">
        <v>54</v>
      </c>
      <c r="D835" s="1" t="s">
        <v>55</v>
      </c>
      <c r="E835" s="1" t="s">
        <v>192</v>
      </c>
      <c r="F835" s="1" t="s">
        <v>84</v>
      </c>
      <c r="G835" s="1" t="s">
        <v>38</v>
      </c>
      <c r="H835" s="1" t="s">
        <v>422</v>
      </c>
      <c r="I835" s="1">
        <v>373.3</v>
      </c>
      <c r="J835" s="1">
        <v>6</v>
      </c>
      <c r="K835" s="1">
        <v>2239.8000000000002</v>
      </c>
      <c r="L835" s="1">
        <v>0</v>
      </c>
      <c r="M835" s="1">
        <v>0</v>
      </c>
      <c r="N835" s="1">
        <v>2239.8000000000002</v>
      </c>
      <c r="O835" s="1" t="s">
        <v>64</v>
      </c>
      <c r="P835" s="1" t="s">
        <v>1460</v>
      </c>
      <c r="Q835" s="1">
        <v>3</v>
      </c>
      <c r="R835" s="1">
        <f>Retail_Sales_Analyis[[#This Row],[Final_Price]]-Retail_Sales_Analyis[[#This Row],[Total_Price]]</f>
        <v>0</v>
      </c>
      <c r="S8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6" spans="1:19" x14ac:dyDescent="0.25">
      <c r="A836" s="1" t="s">
        <v>1537</v>
      </c>
      <c r="B836" s="2">
        <v>45541</v>
      </c>
      <c r="C836" s="1" t="s">
        <v>116</v>
      </c>
      <c r="D836" s="1" t="s">
        <v>144</v>
      </c>
      <c r="E836" s="1" t="s">
        <v>111</v>
      </c>
      <c r="F836" s="1" t="s">
        <v>84</v>
      </c>
      <c r="G836" s="1" t="s">
        <v>57</v>
      </c>
      <c r="H836" s="1" t="s">
        <v>122</v>
      </c>
      <c r="I836" s="1">
        <v>2809.07</v>
      </c>
      <c r="J836" s="1">
        <v>9</v>
      </c>
      <c r="K836" s="1">
        <v>25281.63</v>
      </c>
      <c r="L836" s="1">
        <v>0</v>
      </c>
      <c r="M836" s="1">
        <v>0</v>
      </c>
      <c r="N836" s="1">
        <v>25281.63</v>
      </c>
      <c r="O836" s="1" t="s">
        <v>33</v>
      </c>
      <c r="P836" s="1" t="s">
        <v>680</v>
      </c>
      <c r="Q836" s="1">
        <v>5</v>
      </c>
      <c r="R836" s="1">
        <f>Retail_Sales_Analyis[[#This Row],[Final_Price]]-Retail_Sales_Analyis[[#This Row],[Total_Price]]</f>
        <v>0</v>
      </c>
      <c r="S8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7" spans="1:19" x14ac:dyDescent="0.25">
      <c r="A837" s="1" t="s">
        <v>1538</v>
      </c>
      <c r="B837" s="2">
        <v>45400</v>
      </c>
      <c r="C837" s="1" t="s">
        <v>54</v>
      </c>
      <c r="D837" s="1" t="s">
        <v>67</v>
      </c>
      <c r="E837" s="1" t="s">
        <v>62</v>
      </c>
      <c r="F837" s="1" t="s">
        <v>69</v>
      </c>
      <c r="G837" s="1" t="s">
        <v>169</v>
      </c>
      <c r="H837" s="1" t="s">
        <v>170</v>
      </c>
      <c r="I837" s="1">
        <v>865.17</v>
      </c>
      <c r="J837" s="1">
        <v>5</v>
      </c>
      <c r="K837" s="1">
        <v>4325.8500000000004</v>
      </c>
      <c r="L837" s="1">
        <v>15</v>
      </c>
      <c r="M837" s="1">
        <v>648.88</v>
      </c>
      <c r="N837" s="1">
        <v>3676.97</v>
      </c>
      <c r="O837" s="1" t="s">
        <v>24</v>
      </c>
      <c r="P837" s="1" t="s">
        <v>1142</v>
      </c>
      <c r="Q837" s="1">
        <v>1</v>
      </c>
      <c r="R837" s="1">
        <f>Retail_Sales_Analyis[[#This Row],[Final_Price]]-Retail_Sales_Analyis[[#This Row],[Total_Price]]</f>
        <v>-648.88000000000056</v>
      </c>
      <c r="S8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38" spans="1:19" x14ac:dyDescent="0.25">
      <c r="A838" s="1" t="s">
        <v>1539</v>
      </c>
      <c r="B838" s="2">
        <v>45473</v>
      </c>
      <c r="C838" s="1" t="s">
        <v>173</v>
      </c>
      <c r="D838" s="1" t="s">
        <v>49</v>
      </c>
      <c r="E838" s="1" t="s">
        <v>204</v>
      </c>
      <c r="F838" s="1" t="s">
        <v>30</v>
      </c>
      <c r="G838" s="1" t="s">
        <v>57</v>
      </c>
      <c r="H838" s="1" t="s">
        <v>158</v>
      </c>
      <c r="I838" s="1">
        <v>2686.48</v>
      </c>
      <c r="J838" s="1">
        <v>1</v>
      </c>
      <c r="K838" s="1">
        <v>2686.48</v>
      </c>
      <c r="L838" s="1">
        <v>0</v>
      </c>
      <c r="M838" s="1">
        <v>0</v>
      </c>
      <c r="N838" s="1">
        <v>2686.48</v>
      </c>
      <c r="O838" s="1" t="s">
        <v>64</v>
      </c>
      <c r="P838" s="1" t="s">
        <v>754</v>
      </c>
      <c r="Q838" s="1">
        <v>5</v>
      </c>
      <c r="R838" s="1">
        <f>Retail_Sales_Analyis[[#This Row],[Final_Price]]-Retail_Sales_Analyis[[#This Row],[Total_Price]]</f>
        <v>0</v>
      </c>
      <c r="S8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39" spans="1:19" x14ac:dyDescent="0.25">
      <c r="A839" s="1" t="s">
        <v>1540</v>
      </c>
      <c r="B839" s="2">
        <v>45424</v>
      </c>
      <c r="C839" s="1" t="s">
        <v>42</v>
      </c>
      <c r="D839" s="1" t="s">
        <v>49</v>
      </c>
      <c r="E839" s="1" t="s">
        <v>192</v>
      </c>
      <c r="F839" s="1" t="s">
        <v>69</v>
      </c>
      <c r="G839" s="1" t="s">
        <v>112</v>
      </c>
      <c r="H839" s="1" t="s">
        <v>113</v>
      </c>
      <c r="I839" s="1">
        <v>1240.33</v>
      </c>
      <c r="J839" s="1">
        <v>10</v>
      </c>
      <c r="K839" s="1">
        <v>12403.3</v>
      </c>
      <c r="L839" s="1">
        <v>10</v>
      </c>
      <c r="M839" s="1">
        <v>1240.33</v>
      </c>
      <c r="N839" s="1">
        <v>11162.97</v>
      </c>
      <c r="O839" s="1" t="s">
        <v>24</v>
      </c>
      <c r="P839" s="1" t="s">
        <v>718</v>
      </c>
      <c r="Q839" s="1">
        <v>3</v>
      </c>
      <c r="R839" s="1">
        <f>Retail_Sales_Analyis[[#This Row],[Final_Price]]-Retail_Sales_Analyis[[#This Row],[Total_Price]]</f>
        <v>-1240.33</v>
      </c>
      <c r="S8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40" spans="1:19" x14ac:dyDescent="0.25">
      <c r="A840" s="1" t="s">
        <v>1541</v>
      </c>
      <c r="B840" s="2">
        <v>45466</v>
      </c>
      <c r="C840" s="1" t="s">
        <v>173</v>
      </c>
      <c r="D840" s="1" t="s">
        <v>49</v>
      </c>
      <c r="E840" s="1" t="s">
        <v>342</v>
      </c>
      <c r="F840" s="1" t="s">
        <v>69</v>
      </c>
      <c r="G840" s="1" t="s">
        <v>169</v>
      </c>
      <c r="H840" s="1" t="s">
        <v>170</v>
      </c>
      <c r="I840" s="1">
        <v>874.53</v>
      </c>
      <c r="J840" s="1">
        <v>3</v>
      </c>
      <c r="K840" s="1">
        <v>2623.59</v>
      </c>
      <c r="L840" s="1">
        <v>0</v>
      </c>
      <c r="M840" s="1">
        <v>0</v>
      </c>
      <c r="N840" s="1">
        <v>2623.59</v>
      </c>
      <c r="O840" s="1" t="s">
        <v>24</v>
      </c>
      <c r="P840" s="1" t="s">
        <v>1393</v>
      </c>
      <c r="Q840" s="1">
        <v>1</v>
      </c>
      <c r="R840" s="1">
        <f>Retail_Sales_Analyis[[#This Row],[Final_Price]]-Retail_Sales_Analyis[[#This Row],[Total_Price]]</f>
        <v>0</v>
      </c>
      <c r="S8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41" spans="1:19" x14ac:dyDescent="0.25">
      <c r="A841" s="1" t="s">
        <v>1542</v>
      </c>
      <c r="B841" s="2">
        <v>45435</v>
      </c>
      <c r="C841" s="1" t="s">
        <v>42</v>
      </c>
      <c r="D841" s="1" t="s">
        <v>67</v>
      </c>
      <c r="E841" s="1" t="s">
        <v>111</v>
      </c>
      <c r="F841" s="1" t="s">
        <v>37</v>
      </c>
      <c r="G841" s="1" t="s">
        <v>57</v>
      </c>
      <c r="H841" s="1" t="s">
        <v>158</v>
      </c>
      <c r="I841" s="1">
        <v>1408.24</v>
      </c>
      <c r="J841" s="1">
        <v>5</v>
      </c>
      <c r="K841" s="1">
        <v>7041.2</v>
      </c>
      <c r="L841" s="1">
        <v>20</v>
      </c>
      <c r="M841" s="1">
        <v>1408.24</v>
      </c>
      <c r="N841" s="1">
        <v>5632.96</v>
      </c>
      <c r="O841" s="1" t="s">
        <v>64</v>
      </c>
      <c r="P841" s="1" t="s">
        <v>137</v>
      </c>
      <c r="Q841" s="1">
        <v>1</v>
      </c>
      <c r="R841" s="1">
        <f>Retail_Sales_Analyis[[#This Row],[Final_Price]]-Retail_Sales_Analyis[[#This Row],[Total_Price]]</f>
        <v>-1408.2399999999998</v>
      </c>
      <c r="S8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42" spans="1:19" x14ac:dyDescent="0.25">
      <c r="A842" s="1" t="s">
        <v>1543</v>
      </c>
      <c r="B842" s="2">
        <v>45597</v>
      </c>
      <c r="C842" s="1" t="s">
        <v>18</v>
      </c>
      <c r="D842" s="1" t="s">
        <v>144</v>
      </c>
      <c r="E842" s="1" t="s">
        <v>83</v>
      </c>
      <c r="F842" s="1" t="s">
        <v>37</v>
      </c>
      <c r="G842" s="1" t="s">
        <v>57</v>
      </c>
      <c r="H842" s="1" t="s">
        <v>122</v>
      </c>
      <c r="I842" s="1">
        <v>1902.79</v>
      </c>
      <c r="J842" s="1">
        <v>7</v>
      </c>
      <c r="K842" s="1">
        <v>13319.53</v>
      </c>
      <c r="L842" s="1">
        <v>15</v>
      </c>
      <c r="M842" s="1">
        <v>1997.93</v>
      </c>
      <c r="N842" s="1">
        <v>11321.6</v>
      </c>
      <c r="O842" s="1" t="s">
        <v>24</v>
      </c>
      <c r="P842" s="1" t="s">
        <v>1544</v>
      </c>
      <c r="Q842" s="1">
        <v>5</v>
      </c>
      <c r="R842" s="1">
        <f>Retail_Sales_Analyis[[#This Row],[Final_Price]]-Retail_Sales_Analyis[[#This Row],[Total_Price]]</f>
        <v>-1997.9300000000003</v>
      </c>
      <c r="S8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43" spans="1:19" x14ac:dyDescent="0.25">
      <c r="A843" s="1" t="s">
        <v>1545</v>
      </c>
      <c r="B843" s="2">
        <v>45651</v>
      </c>
      <c r="C843" s="1" t="s">
        <v>73</v>
      </c>
      <c r="D843" s="1" t="s">
        <v>55</v>
      </c>
      <c r="E843" s="1" t="s">
        <v>312</v>
      </c>
      <c r="F843" s="1" t="s">
        <v>37</v>
      </c>
      <c r="G843" s="1" t="s">
        <v>22</v>
      </c>
      <c r="H843" s="1" t="s">
        <v>23</v>
      </c>
      <c r="I843" s="1">
        <v>543.77</v>
      </c>
      <c r="J843" s="1">
        <v>7</v>
      </c>
      <c r="K843" s="1">
        <v>3806.39</v>
      </c>
      <c r="L843" s="1">
        <v>10</v>
      </c>
      <c r="M843" s="1">
        <v>380.64</v>
      </c>
      <c r="N843" s="1">
        <v>3425.75</v>
      </c>
      <c r="O843" s="1" t="s">
        <v>64</v>
      </c>
      <c r="P843" s="1" t="s">
        <v>286</v>
      </c>
      <c r="Q843" s="1">
        <v>1</v>
      </c>
      <c r="R843" s="1">
        <f>Retail_Sales_Analyis[[#This Row],[Final_Price]]-Retail_Sales_Analyis[[#This Row],[Total_Price]]</f>
        <v>-380.63999999999987</v>
      </c>
      <c r="S8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44" spans="1:19" x14ac:dyDescent="0.25">
      <c r="A844" s="1" t="s">
        <v>1546</v>
      </c>
      <c r="B844" s="2">
        <v>45433</v>
      </c>
      <c r="C844" s="1" t="s">
        <v>42</v>
      </c>
      <c r="D844" s="1" t="s">
        <v>28</v>
      </c>
      <c r="E844" s="1" t="s">
        <v>239</v>
      </c>
      <c r="F844" s="1" t="s">
        <v>84</v>
      </c>
      <c r="G844" s="1" t="s">
        <v>78</v>
      </c>
      <c r="H844" s="1" t="s">
        <v>323</v>
      </c>
      <c r="I844" s="1">
        <v>237.14</v>
      </c>
      <c r="J844" s="1">
        <v>7</v>
      </c>
      <c r="K844" s="1">
        <v>1659.98</v>
      </c>
      <c r="L844" s="1">
        <v>0</v>
      </c>
      <c r="M844" s="1">
        <v>0</v>
      </c>
      <c r="N844" s="1">
        <v>1659.98</v>
      </c>
      <c r="O844" s="1" t="s">
        <v>64</v>
      </c>
      <c r="P844" s="1" t="s">
        <v>1547</v>
      </c>
      <c r="Q844" s="1">
        <v>2</v>
      </c>
      <c r="R844" s="1">
        <f>Retail_Sales_Analyis[[#This Row],[Final_Price]]-Retail_Sales_Analyis[[#This Row],[Total_Price]]</f>
        <v>0</v>
      </c>
      <c r="S8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45" spans="1:19" x14ac:dyDescent="0.25">
      <c r="A845" s="1" t="s">
        <v>1548</v>
      </c>
      <c r="B845" s="2">
        <v>45576</v>
      </c>
      <c r="C845" s="1" t="s">
        <v>76</v>
      </c>
      <c r="D845" s="1" t="s">
        <v>144</v>
      </c>
      <c r="E845" s="1" t="s">
        <v>204</v>
      </c>
      <c r="F845" s="1" t="s">
        <v>21</v>
      </c>
      <c r="G845" s="1" t="s">
        <v>57</v>
      </c>
      <c r="H845" s="1" t="s">
        <v>58</v>
      </c>
      <c r="I845" s="1">
        <v>2292.9299999999998</v>
      </c>
      <c r="J845" s="1">
        <v>9</v>
      </c>
      <c r="K845" s="1">
        <v>20636.37</v>
      </c>
      <c r="L845" s="1">
        <v>10</v>
      </c>
      <c r="M845" s="1">
        <v>2063.64</v>
      </c>
      <c r="N845" s="1">
        <v>18572.73</v>
      </c>
      <c r="O845" s="1" t="s">
        <v>24</v>
      </c>
      <c r="P845" s="1" t="s">
        <v>1549</v>
      </c>
      <c r="Q845" s="1">
        <v>1</v>
      </c>
      <c r="R845" s="1">
        <f>Retail_Sales_Analyis[[#This Row],[Final_Price]]-Retail_Sales_Analyis[[#This Row],[Total_Price]]</f>
        <v>-2063.6399999999994</v>
      </c>
      <c r="S8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46" spans="1:19" x14ac:dyDescent="0.25">
      <c r="A846" s="1" t="s">
        <v>1550</v>
      </c>
      <c r="B846" s="2">
        <v>45297</v>
      </c>
      <c r="C846" s="1" t="s">
        <v>36</v>
      </c>
      <c r="D846" s="1" t="s">
        <v>19</v>
      </c>
      <c r="E846" s="1" t="s">
        <v>166</v>
      </c>
      <c r="F846" s="1" t="s">
        <v>30</v>
      </c>
      <c r="G846" s="1" t="s">
        <v>112</v>
      </c>
      <c r="H846" s="1" t="s">
        <v>223</v>
      </c>
      <c r="I846" s="1">
        <v>584.98</v>
      </c>
      <c r="J846" s="1">
        <v>8</v>
      </c>
      <c r="K846" s="1">
        <v>4679.84</v>
      </c>
      <c r="L846" s="1">
        <v>0</v>
      </c>
      <c r="M846" s="1">
        <v>0</v>
      </c>
      <c r="N846" s="1">
        <v>4679.84</v>
      </c>
      <c r="O846" s="1" t="s">
        <v>46</v>
      </c>
      <c r="P846" s="1" t="s">
        <v>955</v>
      </c>
      <c r="Q846" s="1">
        <v>1</v>
      </c>
      <c r="R846" s="1">
        <f>Retail_Sales_Analyis[[#This Row],[Final_Price]]-Retail_Sales_Analyis[[#This Row],[Total_Price]]</f>
        <v>0</v>
      </c>
      <c r="S8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47" spans="1:19" x14ac:dyDescent="0.25">
      <c r="A847" s="1" t="s">
        <v>1551</v>
      </c>
      <c r="B847" s="2">
        <v>45556</v>
      </c>
      <c r="C847" s="1" t="s">
        <v>116</v>
      </c>
      <c r="D847" s="1" t="s">
        <v>19</v>
      </c>
      <c r="E847" s="1" t="s">
        <v>192</v>
      </c>
      <c r="F847" s="1" t="s">
        <v>30</v>
      </c>
      <c r="G847" s="1" t="s">
        <v>57</v>
      </c>
      <c r="H847" s="1" t="s">
        <v>158</v>
      </c>
      <c r="I847" s="1">
        <v>563.21</v>
      </c>
      <c r="J847" s="1">
        <v>7</v>
      </c>
      <c r="K847" s="1">
        <v>3942.47</v>
      </c>
      <c r="L847" s="1">
        <v>5</v>
      </c>
      <c r="M847" s="1">
        <v>197.12</v>
      </c>
      <c r="N847" s="1">
        <v>3745.35</v>
      </c>
      <c r="O847" s="1" t="s">
        <v>24</v>
      </c>
      <c r="P847" s="1" t="s">
        <v>1552</v>
      </c>
      <c r="Q847" s="1">
        <v>1</v>
      </c>
      <c r="R847" s="1">
        <f>Retail_Sales_Analyis[[#This Row],[Final_Price]]-Retail_Sales_Analyis[[#This Row],[Total_Price]]</f>
        <v>-197.11999999999989</v>
      </c>
      <c r="S8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48" spans="1:19" x14ac:dyDescent="0.25">
      <c r="A848" s="1" t="s">
        <v>1553</v>
      </c>
      <c r="B848" s="2">
        <v>45389</v>
      </c>
      <c r="C848" s="1" t="s">
        <v>54</v>
      </c>
      <c r="D848" s="1" t="s">
        <v>49</v>
      </c>
      <c r="E848" s="1" t="s">
        <v>97</v>
      </c>
      <c r="F848" s="1" t="s">
        <v>30</v>
      </c>
      <c r="G848" s="1" t="s">
        <v>57</v>
      </c>
      <c r="H848" s="1" t="s">
        <v>58</v>
      </c>
      <c r="I848" s="1">
        <v>2174.71</v>
      </c>
      <c r="J848" s="1">
        <v>6</v>
      </c>
      <c r="K848" s="1">
        <v>13048.26</v>
      </c>
      <c r="L848" s="1">
        <v>20</v>
      </c>
      <c r="M848" s="1">
        <v>2609.65</v>
      </c>
      <c r="N848" s="1">
        <v>10438.61</v>
      </c>
      <c r="O848" s="1" t="s">
        <v>64</v>
      </c>
      <c r="P848" s="1" t="s">
        <v>1294</v>
      </c>
      <c r="Q848" s="1">
        <v>4</v>
      </c>
      <c r="R848" s="1">
        <f>Retail_Sales_Analyis[[#This Row],[Final_Price]]-Retail_Sales_Analyis[[#This Row],[Total_Price]]</f>
        <v>-2609.6499999999996</v>
      </c>
      <c r="S8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49" spans="1:19" x14ac:dyDescent="0.25">
      <c r="A849" s="1" t="s">
        <v>1554</v>
      </c>
      <c r="B849" s="2">
        <v>45335</v>
      </c>
      <c r="C849" s="1" t="s">
        <v>27</v>
      </c>
      <c r="D849" s="1" t="s">
        <v>28</v>
      </c>
      <c r="E849" s="1" t="s">
        <v>168</v>
      </c>
      <c r="F849" s="1" t="s">
        <v>84</v>
      </c>
      <c r="G849" s="1" t="s">
        <v>78</v>
      </c>
      <c r="H849" s="1" t="s">
        <v>126</v>
      </c>
      <c r="I849" s="1">
        <v>281.70999999999998</v>
      </c>
      <c r="J849" s="1">
        <v>4</v>
      </c>
      <c r="K849" s="1">
        <v>1126.8399999999999</v>
      </c>
      <c r="L849" s="1">
        <v>10</v>
      </c>
      <c r="M849" s="1">
        <v>112.68</v>
      </c>
      <c r="N849" s="1">
        <v>1014.16</v>
      </c>
      <c r="O849" s="1" t="s">
        <v>46</v>
      </c>
      <c r="P849" s="1" t="s">
        <v>102</v>
      </c>
      <c r="Q849" s="1">
        <v>3</v>
      </c>
      <c r="R849" s="1">
        <f>Retail_Sales_Analyis[[#This Row],[Final_Price]]-Retail_Sales_Analyis[[#This Row],[Total_Price]]</f>
        <v>-112.67999999999995</v>
      </c>
      <c r="S8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50" spans="1:19" x14ac:dyDescent="0.25">
      <c r="A850" s="1" t="s">
        <v>1555</v>
      </c>
      <c r="B850" s="2">
        <v>45415</v>
      </c>
      <c r="C850" s="1" t="s">
        <v>42</v>
      </c>
      <c r="D850" s="1" t="s">
        <v>144</v>
      </c>
      <c r="E850" s="1" t="s">
        <v>199</v>
      </c>
      <c r="F850" s="1" t="s">
        <v>37</v>
      </c>
      <c r="G850" s="1" t="s">
        <v>169</v>
      </c>
      <c r="H850" s="1" t="s">
        <v>208</v>
      </c>
      <c r="I850" s="1">
        <v>715.96</v>
      </c>
      <c r="J850" s="1">
        <v>7</v>
      </c>
      <c r="K850" s="1">
        <v>5011.72</v>
      </c>
      <c r="L850" s="1">
        <v>15</v>
      </c>
      <c r="M850" s="1">
        <v>751.76</v>
      </c>
      <c r="N850" s="1">
        <v>4259.96</v>
      </c>
      <c r="O850" s="1" t="s">
        <v>80</v>
      </c>
      <c r="P850" s="1" t="s">
        <v>114</v>
      </c>
      <c r="Q850" s="1">
        <v>4</v>
      </c>
      <c r="R850" s="1">
        <f>Retail_Sales_Analyis[[#This Row],[Final_Price]]-Retail_Sales_Analyis[[#This Row],[Total_Price]]</f>
        <v>-751.76000000000022</v>
      </c>
      <c r="S8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51" spans="1:19" x14ac:dyDescent="0.25">
      <c r="A851" s="1" t="s">
        <v>1556</v>
      </c>
      <c r="B851" s="2">
        <v>45500</v>
      </c>
      <c r="C851" s="1" t="s">
        <v>195</v>
      </c>
      <c r="D851" s="1" t="s">
        <v>19</v>
      </c>
      <c r="E851" s="1" t="s">
        <v>204</v>
      </c>
      <c r="F851" s="1" t="s">
        <v>21</v>
      </c>
      <c r="G851" s="1" t="s">
        <v>85</v>
      </c>
      <c r="H851" s="1" t="s">
        <v>90</v>
      </c>
      <c r="I851" s="1">
        <v>1922.14</v>
      </c>
      <c r="J851" s="1">
        <v>9</v>
      </c>
      <c r="K851" s="1">
        <v>17299.259999999998</v>
      </c>
      <c r="L851" s="1">
        <v>0</v>
      </c>
      <c r="M851" s="1">
        <v>0</v>
      </c>
      <c r="N851" s="1">
        <v>17299.259999999998</v>
      </c>
      <c r="O851" s="1" t="s">
        <v>24</v>
      </c>
      <c r="P851" s="1" t="s">
        <v>1557</v>
      </c>
      <c r="Q851" s="1">
        <v>3</v>
      </c>
      <c r="R851" s="1">
        <f>Retail_Sales_Analyis[[#This Row],[Final_Price]]-Retail_Sales_Analyis[[#This Row],[Total_Price]]</f>
        <v>0</v>
      </c>
      <c r="S8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2" spans="1:19" x14ac:dyDescent="0.25">
      <c r="A852" s="1" t="s">
        <v>1558</v>
      </c>
      <c r="B852" s="2">
        <v>45542</v>
      </c>
      <c r="C852" s="1" t="s">
        <v>116</v>
      </c>
      <c r="D852" s="1" t="s">
        <v>19</v>
      </c>
      <c r="E852" s="1" t="s">
        <v>342</v>
      </c>
      <c r="F852" s="1" t="s">
        <v>30</v>
      </c>
      <c r="G852" s="1" t="s">
        <v>57</v>
      </c>
      <c r="H852" s="1" t="s">
        <v>58</v>
      </c>
      <c r="I852" s="1">
        <v>2019.74</v>
      </c>
      <c r="J852" s="1">
        <v>8</v>
      </c>
      <c r="K852" s="1">
        <v>16157.92</v>
      </c>
      <c r="L852" s="1">
        <v>0</v>
      </c>
      <c r="M852" s="1">
        <v>0</v>
      </c>
      <c r="N852" s="1">
        <v>16157.92</v>
      </c>
      <c r="O852" s="1" t="s">
        <v>24</v>
      </c>
      <c r="P852" s="1" t="s">
        <v>1559</v>
      </c>
      <c r="Q852" s="1">
        <v>4</v>
      </c>
      <c r="R852" s="1">
        <f>Retail_Sales_Analyis[[#This Row],[Final_Price]]-Retail_Sales_Analyis[[#This Row],[Total_Price]]</f>
        <v>0</v>
      </c>
      <c r="S8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3" spans="1:19" x14ac:dyDescent="0.25">
      <c r="A853" s="1" t="s">
        <v>1560</v>
      </c>
      <c r="B853" s="2">
        <v>45576</v>
      </c>
      <c r="C853" s="1" t="s">
        <v>76</v>
      </c>
      <c r="D853" s="1" t="s">
        <v>144</v>
      </c>
      <c r="E853" s="1" t="s">
        <v>121</v>
      </c>
      <c r="F853" s="1" t="s">
        <v>69</v>
      </c>
      <c r="G853" s="1" t="s">
        <v>22</v>
      </c>
      <c r="H853" s="1" t="s">
        <v>277</v>
      </c>
      <c r="I853" s="1">
        <v>861.74</v>
      </c>
      <c r="J853" s="1">
        <v>2</v>
      </c>
      <c r="K853" s="1">
        <v>1723.48</v>
      </c>
      <c r="L853" s="1">
        <v>0</v>
      </c>
      <c r="M853" s="1">
        <v>0</v>
      </c>
      <c r="N853" s="1">
        <v>1723.48</v>
      </c>
      <c r="O853" s="1" t="s">
        <v>46</v>
      </c>
      <c r="P853" s="1" t="s">
        <v>1561</v>
      </c>
      <c r="Q853" s="1">
        <v>5</v>
      </c>
      <c r="R853" s="1">
        <f>Retail_Sales_Analyis[[#This Row],[Final_Price]]-Retail_Sales_Analyis[[#This Row],[Total_Price]]</f>
        <v>0</v>
      </c>
      <c r="S8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4" spans="1:19" x14ac:dyDescent="0.25">
      <c r="A854" s="1" t="s">
        <v>1562</v>
      </c>
      <c r="B854" s="2">
        <v>45415</v>
      </c>
      <c r="C854" s="1" t="s">
        <v>42</v>
      </c>
      <c r="D854" s="1" t="s">
        <v>144</v>
      </c>
      <c r="E854" s="1" t="s">
        <v>104</v>
      </c>
      <c r="F854" s="1" t="s">
        <v>69</v>
      </c>
      <c r="G854" s="1" t="s">
        <v>22</v>
      </c>
      <c r="H854" s="1" t="s">
        <v>51</v>
      </c>
      <c r="I854" s="1">
        <v>555.22</v>
      </c>
      <c r="J854" s="1">
        <v>4</v>
      </c>
      <c r="K854" s="1">
        <v>2220.88</v>
      </c>
      <c r="L854" s="1">
        <v>0</v>
      </c>
      <c r="M854" s="1">
        <v>0</v>
      </c>
      <c r="N854" s="1">
        <v>2220.88</v>
      </c>
      <c r="O854" s="1" t="s">
        <v>33</v>
      </c>
      <c r="P854" s="1" t="s">
        <v>1011</v>
      </c>
      <c r="Q854" s="1">
        <v>2</v>
      </c>
      <c r="R854" s="1">
        <f>Retail_Sales_Analyis[[#This Row],[Final_Price]]-Retail_Sales_Analyis[[#This Row],[Total_Price]]</f>
        <v>0</v>
      </c>
      <c r="S8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5" spans="1:19" x14ac:dyDescent="0.25">
      <c r="A855" s="1" t="s">
        <v>1563</v>
      </c>
      <c r="B855" s="2">
        <v>45645</v>
      </c>
      <c r="C855" s="1" t="s">
        <v>73</v>
      </c>
      <c r="D855" s="1" t="s">
        <v>67</v>
      </c>
      <c r="E855" s="1" t="s">
        <v>151</v>
      </c>
      <c r="F855" s="1" t="s">
        <v>84</v>
      </c>
      <c r="G855" s="1" t="s">
        <v>112</v>
      </c>
      <c r="H855" s="1" t="s">
        <v>118</v>
      </c>
      <c r="I855" s="1">
        <v>546.96</v>
      </c>
      <c r="J855" s="1">
        <v>6</v>
      </c>
      <c r="K855" s="1">
        <v>3281.76</v>
      </c>
      <c r="L855" s="1">
        <v>0</v>
      </c>
      <c r="M855" s="1">
        <v>0</v>
      </c>
      <c r="N855" s="1">
        <v>3281.76</v>
      </c>
      <c r="O855" s="1" t="s">
        <v>80</v>
      </c>
      <c r="P855" s="1" t="s">
        <v>1215</v>
      </c>
      <c r="Q855" s="1">
        <v>3</v>
      </c>
      <c r="R855" s="1">
        <f>Retail_Sales_Analyis[[#This Row],[Final_Price]]-Retail_Sales_Analyis[[#This Row],[Total_Price]]</f>
        <v>0</v>
      </c>
      <c r="S8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6" spans="1:19" x14ac:dyDescent="0.25">
      <c r="A856" s="1" t="s">
        <v>1564</v>
      </c>
      <c r="B856" s="2">
        <v>45535</v>
      </c>
      <c r="C856" s="1" t="s">
        <v>93</v>
      </c>
      <c r="D856" s="1" t="s">
        <v>19</v>
      </c>
      <c r="E856" s="1" t="s">
        <v>542</v>
      </c>
      <c r="F856" s="1" t="s">
        <v>84</v>
      </c>
      <c r="G856" s="1" t="s">
        <v>112</v>
      </c>
      <c r="H856" s="1" t="s">
        <v>118</v>
      </c>
      <c r="I856" s="1">
        <v>1588.68</v>
      </c>
      <c r="J856" s="1">
        <v>10</v>
      </c>
      <c r="K856" s="1">
        <v>15886.8</v>
      </c>
      <c r="L856" s="1">
        <v>5</v>
      </c>
      <c r="M856" s="1">
        <v>794.34</v>
      </c>
      <c r="N856" s="1">
        <v>15092.46</v>
      </c>
      <c r="O856" s="1" t="s">
        <v>33</v>
      </c>
      <c r="P856" s="1" t="s">
        <v>1565</v>
      </c>
      <c r="Q856" s="1">
        <v>1</v>
      </c>
      <c r="R856" s="1">
        <f>Retail_Sales_Analyis[[#This Row],[Final_Price]]-Retail_Sales_Analyis[[#This Row],[Total_Price]]</f>
        <v>-794.34000000000015</v>
      </c>
      <c r="S8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57" spans="1:19" x14ac:dyDescent="0.25">
      <c r="A857" s="1" t="s">
        <v>1566</v>
      </c>
      <c r="B857" s="2">
        <v>45622</v>
      </c>
      <c r="C857" s="1" t="s">
        <v>18</v>
      </c>
      <c r="D857" s="1" t="s">
        <v>28</v>
      </c>
      <c r="E857" s="1" t="s">
        <v>151</v>
      </c>
      <c r="F857" s="1" t="s">
        <v>21</v>
      </c>
      <c r="G857" s="1" t="s">
        <v>38</v>
      </c>
      <c r="H857" s="1" t="s">
        <v>70</v>
      </c>
      <c r="I857" s="1">
        <v>424.45</v>
      </c>
      <c r="J857" s="1">
        <v>10</v>
      </c>
      <c r="K857" s="1">
        <v>4244.5</v>
      </c>
      <c r="L857" s="1">
        <v>15</v>
      </c>
      <c r="M857" s="1">
        <v>636.66999999999996</v>
      </c>
      <c r="N857" s="1">
        <v>3607.83</v>
      </c>
      <c r="O857" s="1" t="s">
        <v>80</v>
      </c>
      <c r="P857" s="1" t="s">
        <v>178</v>
      </c>
      <c r="Q857" s="1">
        <v>5</v>
      </c>
      <c r="R857" s="1">
        <f>Retail_Sales_Analyis[[#This Row],[Final_Price]]-Retail_Sales_Analyis[[#This Row],[Total_Price]]</f>
        <v>-636.67000000000007</v>
      </c>
      <c r="S8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58" spans="1:19" x14ac:dyDescent="0.25">
      <c r="A858" s="1" t="s">
        <v>1567</v>
      </c>
      <c r="B858" s="2">
        <v>45656</v>
      </c>
      <c r="C858" s="1" t="s">
        <v>73</v>
      </c>
      <c r="D858" s="1" t="s">
        <v>43</v>
      </c>
      <c r="E858" s="1" t="s">
        <v>285</v>
      </c>
      <c r="F858" s="1" t="s">
        <v>30</v>
      </c>
      <c r="G858" s="1" t="s">
        <v>22</v>
      </c>
      <c r="H858" s="1" t="s">
        <v>51</v>
      </c>
      <c r="I858" s="1">
        <v>796.51</v>
      </c>
      <c r="J858" s="1">
        <v>4</v>
      </c>
      <c r="K858" s="1">
        <v>3186.04</v>
      </c>
      <c r="L858" s="1">
        <v>0</v>
      </c>
      <c r="M858" s="1">
        <v>0</v>
      </c>
      <c r="N858" s="1">
        <v>3186.04</v>
      </c>
      <c r="O858" s="1" t="s">
        <v>24</v>
      </c>
      <c r="P858" s="1" t="s">
        <v>1568</v>
      </c>
      <c r="Q858" s="1">
        <v>3</v>
      </c>
      <c r="R858" s="1">
        <f>Retail_Sales_Analyis[[#This Row],[Final_Price]]-Retail_Sales_Analyis[[#This Row],[Total_Price]]</f>
        <v>0</v>
      </c>
      <c r="S8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59" spans="1:19" x14ac:dyDescent="0.25">
      <c r="A859" s="1" t="s">
        <v>1569</v>
      </c>
      <c r="B859" s="2">
        <v>45543</v>
      </c>
      <c r="C859" s="1" t="s">
        <v>116</v>
      </c>
      <c r="D859" s="1" t="s">
        <v>49</v>
      </c>
      <c r="E859" s="1" t="s">
        <v>199</v>
      </c>
      <c r="F859" s="1" t="s">
        <v>30</v>
      </c>
      <c r="G859" s="1" t="s">
        <v>57</v>
      </c>
      <c r="H859" s="1" t="s">
        <v>122</v>
      </c>
      <c r="I859" s="1">
        <v>1028.31</v>
      </c>
      <c r="J859" s="1">
        <v>10</v>
      </c>
      <c r="K859" s="1">
        <v>10283.1</v>
      </c>
      <c r="L859" s="1">
        <v>5</v>
      </c>
      <c r="M859" s="1">
        <v>514.16</v>
      </c>
      <c r="N859" s="1">
        <v>9768.94</v>
      </c>
      <c r="O859" s="1" t="s">
        <v>24</v>
      </c>
      <c r="P859" s="1" t="s">
        <v>1570</v>
      </c>
      <c r="Q859" s="1">
        <v>5</v>
      </c>
      <c r="R859" s="1">
        <f>Retail_Sales_Analyis[[#This Row],[Final_Price]]-Retail_Sales_Analyis[[#This Row],[Total_Price]]</f>
        <v>-514.15999999999985</v>
      </c>
      <c r="S8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60" spans="1:19" x14ac:dyDescent="0.25">
      <c r="A860" s="1" t="s">
        <v>1571</v>
      </c>
      <c r="B860" s="2">
        <v>45521</v>
      </c>
      <c r="C860" s="1" t="s">
        <v>93</v>
      </c>
      <c r="D860" s="1" t="s">
        <v>19</v>
      </c>
      <c r="E860" s="1" t="s">
        <v>129</v>
      </c>
      <c r="F860" s="1" t="s">
        <v>69</v>
      </c>
      <c r="G860" s="1" t="s">
        <v>38</v>
      </c>
      <c r="H860" s="1" t="s">
        <v>70</v>
      </c>
      <c r="I860" s="1">
        <v>108.64</v>
      </c>
      <c r="J860" s="1">
        <v>5</v>
      </c>
      <c r="K860" s="1">
        <v>543.20000000000005</v>
      </c>
      <c r="L860" s="1">
        <v>10</v>
      </c>
      <c r="M860" s="1">
        <v>54.32</v>
      </c>
      <c r="N860" s="1">
        <v>488.88</v>
      </c>
      <c r="O860" s="1" t="s">
        <v>46</v>
      </c>
      <c r="P860" s="1" t="s">
        <v>1572</v>
      </c>
      <c r="Q860" s="1">
        <v>3</v>
      </c>
      <c r="R860" s="1">
        <f>Retail_Sales_Analyis[[#This Row],[Final_Price]]-Retail_Sales_Analyis[[#This Row],[Total_Price]]</f>
        <v>-54.32000000000005</v>
      </c>
      <c r="S8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61" spans="1:19" x14ac:dyDescent="0.25">
      <c r="A861" s="1" t="s">
        <v>1573</v>
      </c>
      <c r="B861" s="2">
        <v>45300</v>
      </c>
      <c r="C861" s="1" t="s">
        <v>36</v>
      </c>
      <c r="D861" s="1" t="s">
        <v>28</v>
      </c>
      <c r="E861" s="1" t="s">
        <v>145</v>
      </c>
      <c r="F861" s="1" t="s">
        <v>69</v>
      </c>
      <c r="G861" s="1" t="s">
        <v>112</v>
      </c>
      <c r="H861" s="1" t="s">
        <v>288</v>
      </c>
      <c r="I861" s="1">
        <v>513.30999999999995</v>
      </c>
      <c r="J861" s="1">
        <v>1</v>
      </c>
      <c r="K861" s="1">
        <v>513.30999999999995</v>
      </c>
      <c r="L861" s="1">
        <v>0</v>
      </c>
      <c r="M861" s="1">
        <v>0</v>
      </c>
      <c r="N861" s="1">
        <v>513.30999999999995</v>
      </c>
      <c r="O861" s="1" t="s">
        <v>33</v>
      </c>
      <c r="P861" s="1" t="s">
        <v>1574</v>
      </c>
      <c r="Q861" s="1">
        <v>5</v>
      </c>
      <c r="R861" s="1">
        <f>Retail_Sales_Analyis[[#This Row],[Final_Price]]-Retail_Sales_Analyis[[#This Row],[Total_Price]]</f>
        <v>0</v>
      </c>
      <c r="S8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2" spans="1:19" x14ac:dyDescent="0.25">
      <c r="A862" s="1" t="s">
        <v>1575</v>
      </c>
      <c r="B862" s="2">
        <v>45339</v>
      </c>
      <c r="C862" s="1" t="s">
        <v>27</v>
      </c>
      <c r="D862" s="1" t="s">
        <v>19</v>
      </c>
      <c r="E862" s="1" t="s">
        <v>129</v>
      </c>
      <c r="F862" s="1" t="s">
        <v>30</v>
      </c>
      <c r="G862" s="1" t="s">
        <v>169</v>
      </c>
      <c r="H862" s="1" t="s">
        <v>175</v>
      </c>
      <c r="I862" s="1">
        <v>1376.45</v>
      </c>
      <c r="J862" s="1">
        <v>9</v>
      </c>
      <c r="K862" s="1">
        <v>12388.05</v>
      </c>
      <c r="L862" s="1">
        <v>0</v>
      </c>
      <c r="M862" s="1">
        <v>0</v>
      </c>
      <c r="N862" s="1">
        <v>12388.05</v>
      </c>
      <c r="O862" s="1" t="s">
        <v>24</v>
      </c>
      <c r="P862" s="1" t="s">
        <v>352</v>
      </c>
      <c r="Q862" s="1">
        <v>4</v>
      </c>
      <c r="R862" s="1">
        <f>Retail_Sales_Analyis[[#This Row],[Final_Price]]-Retail_Sales_Analyis[[#This Row],[Total_Price]]</f>
        <v>0</v>
      </c>
      <c r="S8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3" spans="1:19" x14ac:dyDescent="0.25">
      <c r="A863" s="1" t="s">
        <v>1576</v>
      </c>
      <c r="B863" s="2">
        <v>45442</v>
      </c>
      <c r="C863" s="1" t="s">
        <v>42</v>
      </c>
      <c r="D863" s="1" t="s">
        <v>67</v>
      </c>
      <c r="E863" s="1" t="s">
        <v>50</v>
      </c>
      <c r="F863" s="1" t="s">
        <v>37</v>
      </c>
      <c r="G863" s="1" t="s">
        <v>38</v>
      </c>
      <c r="H863" s="1" t="s">
        <v>422</v>
      </c>
      <c r="I863" s="1">
        <v>708.34</v>
      </c>
      <c r="J863" s="1">
        <v>3</v>
      </c>
      <c r="K863" s="1">
        <v>2125.02</v>
      </c>
      <c r="L863" s="1">
        <v>0</v>
      </c>
      <c r="M863" s="1">
        <v>0</v>
      </c>
      <c r="N863" s="1">
        <v>2125.02</v>
      </c>
      <c r="O863" s="1" t="s">
        <v>64</v>
      </c>
      <c r="P863" s="1" t="s">
        <v>364</v>
      </c>
      <c r="Q863" s="1">
        <v>2</v>
      </c>
      <c r="R863" s="1">
        <f>Retail_Sales_Analyis[[#This Row],[Final_Price]]-Retail_Sales_Analyis[[#This Row],[Total_Price]]</f>
        <v>0</v>
      </c>
      <c r="S8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4" spans="1:19" x14ac:dyDescent="0.25">
      <c r="A864" s="1" t="s">
        <v>1577</v>
      </c>
      <c r="B864" s="2">
        <v>45405</v>
      </c>
      <c r="C864" s="1" t="s">
        <v>54</v>
      </c>
      <c r="D864" s="1" t="s">
        <v>28</v>
      </c>
      <c r="E864" s="1" t="s">
        <v>166</v>
      </c>
      <c r="F864" s="1" t="s">
        <v>37</v>
      </c>
      <c r="G864" s="1" t="s">
        <v>169</v>
      </c>
      <c r="H864" s="1" t="s">
        <v>208</v>
      </c>
      <c r="I864" s="1">
        <v>521.11</v>
      </c>
      <c r="J864" s="1">
        <v>9</v>
      </c>
      <c r="K864" s="1">
        <v>4689.99</v>
      </c>
      <c r="L864" s="1">
        <v>20</v>
      </c>
      <c r="M864" s="1">
        <v>938</v>
      </c>
      <c r="N864" s="1">
        <v>3751.99</v>
      </c>
      <c r="O864" s="1" t="s">
        <v>33</v>
      </c>
      <c r="P864" s="1" t="s">
        <v>643</v>
      </c>
      <c r="Q864" s="1">
        <v>5</v>
      </c>
      <c r="R864" s="1">
        <f>Retail_Sales_Analyis[[#This Row],[Final_Price]]-Retail_Sales_Analyis[[#This Row],[Total_Price]]</f>
        <v>-938</v>
      </c>
      <c r="S86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65" spans="1:19" x14ac:dyDescent="0.25">
      <c r="A865" s="1" t="s">
        <v>1578</v>
      </c>
      <c r="B865" s="2">
        <v>45499</v>
      </c>
      <c r="C865" s="1" t="s">
        <v>195</v>
      </c>
      <c r="D865" s="1" t="s">
        <v>144</v>
      </c>
      <c r="E865" s="1" t="s">
        <v>141</v>
      </c>
      <c r="F865" s="1" t="s">
        <v>37</v>
      </c>
      <c r="G865" s="1" t="s">
        <v>57</v>
      </c>
      <c r="H865" s="1" t="s">
        <v>152</v>
      </c>
      <c r="I865" s="1">
        <v>2864.77</v>
      </c>
      <c r="J865" s="1">
        <v>5</v>
      </c>
      <c r="K865" s="1">
        <v>14323.85</v>
      </c>
      <c r="L865" s="1">
        <v>0</v>
      </c>
      <c r="M865" s="1">
        <v>0</v>
      </c>
      <c r="N865" s="1">
        <v>14323.85</v>
      </c>
      <c r="O865" s="1" t="s">
        <v>24</v>
      </c>
      <c r="P865" s="1" t="s">
        <v>1579</v>
      </c>
      <c r="Q865" s="1">
        <v>3</v>
      </c>
      <c r="R865" s="1">
        <f>Retail_Sales_Analyis[[#This Row],[Final_Price]]-Retail_Sales_Analyis[[#This Row],[Total_Price]]</f>
        <v>0</v>
      </c>
      <c r="S8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6" spans="1:19" x14ac:dyDescent="0.25">
      <c r="A866" s="1" t="s">
        <v>1580</v>
      </c>
      <c r="B866" s="2">
        <v>45646</v>
      </c>
      <c r="C866" s="1" t="s">
        <v>73</v>
      </c>
      <c r="D866" s="1" t="s">
        <v>144</v>
      </c>
      <c r="E866" s="1" t="s">
        <v>192</v>
      </c>
      <c r="F866" s="1" t="s">
        <v>21</v>
      </c>
      <c r="G866" s="1" t="s">
        <v>57</v>
      </c>
      <c r="H866" s="1" t="s">
        <v>158</v>
      </c>
      <c r="I866" s="1">
        <v>505.66</v>
      </c>
      <c r="J866" s="1">
        <v>9</v>
      </c>
      <c r="K866" s="1">
        <v>4550.9399999999996</v>
      </c>
      <c r="L866" s="1">
        <v>5</v>
      </c>
      <c r="M866" s="1">
        <v>227.55</v>
      </c>
      <c r="N866" s="1">
        <v>4323.3900000000003</v>
      </c>
      <c r="O866" s="1" t="s">
        <v>24</v>
      </c>
      <c r="P866" s="1" t="s">
        <v>114</v>
      </c>
      <c r="Q866" s="1">
        <v>5</v>
      </c>
      <c r="R866" s="1">
        <f>Retail_Sales_Analyis[[#This Row],[Final_Price]]-Retail_Sales_Analyis[[#This Row],[Total_Price]]</f>
        <v>-227.54999999999927</v>
      </c>
      <c r="S8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67" spans="1:19" x14ac:dyDescent="0.25">
      <c r="A867" s="1" t="s">
        <v>1581</v>
      </c>
      <c r="B867" s="2">
        <v>45416</v>
      </c>
      <c r="C867" s="1" t="s">
        <v>42</v>
      </c>
      <c r="D867" s="1" t="s">
        <v>19</v>
      </c>
      <c r="E867" s="1" t="s">
        <v>107</v>
      </c>
      <c r="F867" s="1" t="s">
        <v>37</v>
      </c>
      <c r="G867" s="1" t="s">
        <v>78</v>
      </c>
      <c r="H867" s="1" t="s">
        <v>126</v>
      </c>
      <c r="I867" s="1">
        <v>317.11</v>
      </c>
      <c r="J867" s="1">
        <v>7</v>
      </c>
      <c r="K867" s="1">
        <v>2219.77</v>
      </c>
      <c r="L867" s="1">
        <v>0</v>
      </c>
      <c r="M867" s="1">
        <v>0</v>
      </c>
      <c r="N867" s="1">
        <v>2219.77</v>
      </c>
      <c r="O867" s="1" t="s">
        <v>33</v>
      </c>
      <c r="P867" s="1" t="s">
        <v>429</v>
      </c>
      <c r="Q867" s="1">
        <v>3</v>
      </c>
      <c r="R867" s="1">
        <f>Retail_Sales_Analyis[[#This Row],[Final_Price]]-Retail_Sales_Analyis[[#This Row],[Total_Price]]</f>
        <v>0</v>
      </c>
      <c r="S8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68" spans="1:19" x14ac:dyDescent="0.25">
      <c r="A868" s="1" t="s">
        <v>1582</v>
      </c>
      <c r="B868" s="2">
        <v>45448</v>
      </c>
      <c r="C868" s="1" t="s">
        <v>173</v>
      </c>
      <c r="D868" s="1" t="s">
        <v>55</v>
      </c>
      <c r="E868" s="1" t="s">
        <v>337</v>
      </c>
      <c r="F868" s="1" t="s">
        <v>21</v>
      </c>
      <c r="G868" s="1" t="s">
        <v>78</v>
      </c>
      <c r="H868" s="1" t="s">
        <v>323</v>
      </c>
      <c r="I868" s="1">
        <v>588.79</v>
      </c>
      <c r="J868" s="1">
        <v>6</v>
      </c>
      <c r="K868" s="1">
        <v>3532.74</v>
      </c>
      <c r="L868" s="1">
        <v>5</v>
      </c>
      <c r="M868" s="1">
        <v>176.64</v>
      </c>
      <c r="N868" s="1">
        <v>3356.1</v>
      </c>
      <c r="O868" s="1" t="s">
        <v>46</v>
      </c>
      <c r="P868" s="1" t="s">
        <v>1109</v>
      </c>
      <c r="Q868" s="1">
        <v>5</v>
      </c>
      <c r="R868" s="1">
        <f>Retail_Sales_Analyis[[#This Row],[Final_Price]]-Retail_Sales_Analyis[[#This Row],[Total_Price]]</f>
        <v>-176.63999999999987</v>
      </c>
      <c r="S8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69" spans="1:19" x14ac:dyDescent="0.25">
      <c r="A869" s="1" t="s">
        <v>1583</v>
      </c>
      <c r="B869" s="2">
        <v>45631</v>
      </c>
      <c r="C869" s="1" t="s">
        <v>73</v>
      </c>
      <c r="D869" s="1" t="s">
        <v>67</v>
      </c>
      <c r="E869" s="1" t="s">
        <v>145</v>
      </c>
      <c r="F869" s="1" t="s">
        <v>30</v>
      </c>
      <c r="G869" s="1" t="s">
        <v>112</v>
      </c>
      <c r="H869" s="1" t="s">
        <v>118</v>
      </c>
      <c r="I869" s="1">
        <v>1895.46</v>
      </c>
      <c r="J869" s="1">
        <v>10</v>
      </c>
      <c r="K869" s="1">
        <v>18954.599999999999</v>
      </c>
      <c r="L869" s="1">
        <v>0</v>
      </c>
      <c r="M869" s="1">
        <v>0</v>
      </c>
      <c r="N869" s="1">
        <v>18954.599999999999</v>
      </c>
      <c r="O869" s="1" t="s">
        <v>24</v>
      </c>
      <c r="P869" s="1" t="s">
        <v>1584</v>
      </c>
      <c r="Q869" s="1">
        <v>5</v>
      </c>
      <c r="R869" s="1">
        <f>Retail_Sales_Analyis[[#This Row],[Final_Price]]-Retail_Sales_Analyis[[#This Row],[Total_Price]]</f>
        <v>0</v>
      </c>
      <c r="S8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70" spans="1:19" x14ac:dyDescent="0.25">
      <c r="A870" s="1" t="s">
        <v>1585</v>
      </c>
      <c r="B870" s="2">
        <v>45589</v>
      </c>
      <c r="C870" s="1" t="s">
        <v>76</v>
      </c>
      <c r="D870" s="1" t="s">
        <v>67</v>
      </c>
      <c r="E870" s="1" t="s">
        <v>174</v>
      </c>
      <c r="F870" s="1" t="s">
        <v>37</v>
      </c>
      <c r="G870" s="1" t="s">
        <v>78</v>
      </c>
      <c r="H870" s="1" t="s">
        <v>146</v>
      </c>
      <c r="I870" s="1">
        <v>320.48</v>
      </c>
      <c r="J870" s="1">
        <v>10</v>
      </c>
      <c r="K870" s="1">
        <v>3204.8</v>
      </c>
      <c r="L870" s="1">
        <v>0</v>
      </c>
      <c r="M870" s="1">
        <v>0</v>
      </c>
      <c r="N870" s="1">
        <v>3204.8</v>
      </c>
      <c r="O870" s="1" t="s">
        <v>64</v>
      </c>
      <c r="P870" s="1" t="s">
        <v>289</v>
      </c>
      <c r="Q870" s="1">
        <v>4</v>
      </c>
      <c r="R870" s="1">
        <f>Retail_Sales_Analyis[[#This Row],[Final_Price]]-Retail_Sales_Analyis[[#This Row],[Total_Price]]</f>
        <v>0</v>
      </c>
      <c r="S8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71" spans="1:19" x14ac:dyDescent="0.25">
      <c r="A871" s="1" t="s">
        <v>1586</v>
      </c>
      <c r="B871" s="2">
        <v>45480</v>
      </c>
      <c r="C871" s="1" t="s">
        <v>195</v>
      </c>
      <c r="D871" s="1" t="s">
        <v>49</v>
      </c>
      <c r="E871" s="1" t="s">
        <v>141</v>
      </c>
      <c r="F871" s="1" t="s">
        <v>37</v>
      </c>
      <c r="G871" s="1" t="s">
        <v>169</v>
      </c>
      <c r="H871" s="1" t="s">
        <v>366</v>
      </c>
      <c r="I871" s="1">
        <v>978.48</v>
      </c>
      <c r="J871" s="1">
        <v>10</v>
      </c>
      <c r="K871" s="1">
        <v>9784.7999999999993</v>
      </c>
      <c r="L871" s="1">
        <v>15</v>
      </c>
      <c r="M871" s="1">
        <v>1467.72</v>
      </c>
      <c r="N871" s="1">
        <v>8317.08</v>
      </c>
      <c r="O871" s="1" t="s">
        <v>80</v>
      </c>
      <c r="P871" s="1" t="s">
        <v>582</v>
      </c>
      <c r="Q871" s="1">
        <v>4</v>
      </c>
      <c r="R871" s="1">
        <f>Retail_Sales_Analyis[[#This Row],[Final_Price]]-Retail_Sales_Analyis[[#This Row],[Total_Price]]</f>
        <v>-1467.7199999999993</v>
      </c>
      <c r="S8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2" spans="1:19" x14ac:dyDescent="0.25">
      <c r="A872" s="1" t="s">
        <v>1587</v>
      </c>
      <c r="B872" s="2">
        <v>45534</v>
      </c>
      <c r="C872" s="1" t="s">
        <v>93</v>
      </c>
      <c r="D872" s="1" t="s">
        <v>144</v>
      </c>
      <c r="E872" s="1" t="s">
        <v>199</v>
      </c>
      <c r="F872" s="1" t="s">
        <v>21</v>
      </c>
      <c r="G872" s="1" t="s">
        <v>112</v>
      </c>
      <c r="H872" s="1" t="s">
        <v>183</v>
      </c>
      <c r="I872" s="1">
        <v>1208.49</v>
      </c>
      <c r="J872" s="1">
        <v>9</v>
      </c>
      <c r="K872" s="1">
        <v>10876.41</v>
      </c>
      <c r="L872" s="1">
        <v>10</v>
      </c>
      <c r="M872" s="1">
        <v>1087.6400000000001</v>
      </c>
      <c r="N872" s="1">
        <v>9788.77</v>
      </c>
      <c r="O872" s="1" t="s">
        <v>33</v>
      </c>
      <c r="P872" s="1" t="s">
        <v>1098</v>
      </c>
      <c r="Q872" s="1">
        <v>3</v>
      </c>
      <c r="R872" s="1">
        <f>Retail_Sales_Analyis[[#This Row],[Final_Price]]-Retail_Sales_Analyis[[#This Row],[Total_Price]]</f>
        <v>-1087.6399999999994</v>
      </c>
      <c r="S8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3" spans="1:19" x14ac:dyDescent="0.25">
      <c r="A873" s="1" t="s">
        <v>1588</v>
      </c>
      <c r="B873" s="2">
        <v>45575</v>
      </c>
      <c r="C873" s="1" t="s">
        <v>76</v>
      </c>
      <c r="D873" s="1" t="s">
        <v>67</v>
      </c>
      <c r="E873" s="1" t="s">
        <v>117</v>
      </c>
      <c r="F873" s="1" t="s">
        <v>37</v>
      </c>
      <c r="G873" s="1" t="s">
        <v>38</v>
      </c>
      <c r="H873" s="1" t="s">
        <v>214</v>
      </c>
      <c r="I873" s="1">
        <v>330.08</v>
      </c>
      <c r="J873" s="1">
        <v>6</v>
      </c>
      <c r="K873" s="1">
        <v>1980.48</v>
      </c>
      <c r="L873" s="1">
        <v>0</v>
      </c>
      <c r="M873" s="1">
        <v>0</v>
      </c>
      <c r="N873" s="1">
        <v>1980.48</v>
      </c>
      <c r="O873" s="1" t="s">
        <v>33</v>
      </c>
      <c r="P873" s="1" t="s">
        <v>1589</v>
      </c>
      <c r="Q873" s="1">
        <v>3</v>
      </c>
      <c r="R873" s="1">
        <f>Retail_Sales_Analyis[[#This Row],[Final_Price]]-Retail_Sales_Analyis[[#This Row],[Total_Price]]</f>
        <v>0</v>
      </c>
      <c r="S8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74" spans="1:19" x14ac:dyDescent="0.25">
      <c r="A874" s="1" t="s">
        <v>1590</v>
      </c>
      <c r="B874" s="2">
        <v>45563</v>
      </c>
      <c r="C874" s="1" t="s">
        <v>116</v>
      </c>
      <c r="D874" s="1" t="s">
        <v>19</v>
      </c>
      <c r="E874" s="1" t="s">
        <v>163</v>
      </c>
      <c r="F874" s="1" t="s">
        <v>84</v>
      </c>
      <c r="G874" s="1" t="s">
        <v>57</v>
      </c>
      <c r="H874" s="1" t="s">
        <v>58</v>
      </c>
      <c r="I874" s="1">
        <v>2251.84</v>
      </c>
      <c r="J874" s="1">
        <v>7</v>
      </c>
      <c r="K874" s="1">
        <v>15762.88</v>
      </c>
      <c r="L874" s="1">
        <v>0</v>
      </c>
      <c r="M874" s="1">
        <v>0</v>
      </c>
      <c r="N874" s="1">
        <v>15762.88</v>
      </c>
      <c r="O874" s="1" t="s">
        <v>24</v>
      </c>
      <c r="P874" s="1" t="s">
        <v>1090</v>
      </c>
      <c r="Q874" s="1">
        <v>3</v>
      </c>
      <c r="R874" s="1">
        <f>Retail_Sales_Analyis[[#This Row],[Final_Price]]-Retail_Sales_Analyis[[#This Row],[Total_Price]]</f>
        <v>0</v>
      </c>
      <c r="S8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75" spans="1:19" x14ac:dyDescent="0.25">
      <c r="A875" s="1" t="s">
        <v>1591</v>
      </c>
      <c r="B875" s="2">
        <v>45468</v>
      </c>
      <c r="C875" s="1" t="s">
        <v>173</v>
      </c>
      <c r="D875" s="1" t="s">
        <v>28</v>
      </c>
      <c r="E875" s="1" t="s">
        <v>196</v>
      </c>
      <c r="F875" s="1" t="s">
        <v>21</v>
      </c>
      <c r="G875" s="1" t="s">
        <v>78</v>
      </c>
      <c r="H875" s="1" t="s">
        <v>136</v>
      </c>
      <c r="I875" s="1">
        <v>422.35</v>
      </c>
      <c r="J875" s="1">
        <v>8</v>
      </c>
      <c r="K875" s="1">
        <v>3378.8</v>
      </c>
      <c r="L875" s="1">
        <v>20</v>
      </c>
      <c r="M875" s="1">
        <v>675.76</v>
      </c>
      <c r="N875" s="1">
        <v>2703.04</v>
      </c>
      <c r="O875" s="1" t="s">
        <v>33</v>
      </c>
      <c r="P875" s="1" t="s">
        <v>657</v>
      </c>
      <c r="Q875" s="1">
        <v>2</v>
      </c>
      <c r="R875" s="1">
        <f>Retail_Sales_Analyis[[#This Row],[Final_Price]]-Retail_Sales_Analyis[[#This Row],[Total_Price]]</f>
        <v>-675.76000000000022</v>
      </c>
      <c r="S8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76" spans="1:19" x14ac:dyDescent="0.25">
      <c r="A876" s="1" t="s">
        <v>1592</v>
      </c>
      <c r="B876" s="2">
        <v>45509</v>
      </c>
      <c r="C876" s="1" t="s">
        <v>93</v>
      </c>
      <c r="D876" s="1" t="s">
        <v>43</v>
      </c>
      <c r="E876" s="1" t="s">
        <v>62</v>
      </c>
      <c r="F876" s="1" t="s">
        <v>30</v>
      </c>
      <c r="G876" s="1" t="s">
        <v>57</v>
      </c>
      <c r="H876" s="1" t="s">
        <v>58</v>
      </c>
      <c r="I876" s="1">
        <v>2087.4899999999998</v>
      </c>
      <c r="J876" s="1">
        <v>3</v>
      </c>
      <c r="K876" s="1">
        <v>6262.47</v>
      </c>
      <c r="L876" s="1">
        <v>10</v>
      </c>
      <c r="M876" s="1">
        <v>626.25</v>
      </c>
      <c r="N876" s="1">
        <v>5636.22</v>
      </c>
      <c r="O876" s="1" t="s">
        <v>46</v>
      </c>
      <c r="P876" s="1" t="s">
        <v>1593</v>
      </c>
      <c r="Q876" s="1">
        <v>3</v>
      </c>
      <c r="R876" s="1">
        <f>Retail_Sales_Analyis[[#This Row],[Final_Price]]-Retail_Sales_Analyis[[#This Row],[Total_Price]]</f>
        <v>-626.25</v>
      </c>
      <c r="S8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7" spans="1:19" x14ac:dyDescent="0.25">
      <c r="A877" s="1" t="s">
        <v>1594</v>
      </c>
      <c r="B877" s="2">
        <v>45573</v>
      </c>
      <c r="C877" s="1" t="s">
        <v>76</v>
      </c>
      <c r="D877" s="1" t="s">
        <v>28</v>
      </c>
      <c r="E877" s="1" t="s">
        <v>129</v>
      </c>
      <c r="F877" s="1" t="s">
        <v>69</v>
      </c>
      <c r="G877" s="1" t="s">
        <v>169</v>
      </c>
      <c r="H877" s="1" t="s">
        <v>348</v>
      </c>
      <c r="I877" s="1">
        <v>805.23</v>
      </c>
      <c r="J877" s="1">
        <v>3</v>
      </c>
      <c r="K877" s="1">
        <v>2415.69</v>
      </c>
      <c r="L877" s="1">
        <v>10</v>
      </c>
      <c r="M877" s="1">
        <v>241.57</v>
      </c>
      <c r="N877" s="1">
        <v>2174.12</v>
      </c>
      <c r="O877" s="1" t="s">
        <v>33</v>
      </c>
      <c r="P877" s="1" t="s">
        <v>1595</v>
      </c>
      <c r="Q877" s="1">
        <v>2</v>
      </c>
      <c r="R877" s="1">
        <f>Retail_Sales_Analyis[[#This Row],[Final_Price]]-Retail_Sales_Analyis[[#This Row],[Total_Price]]</f>
        <v>-241.57000000000016</v>
      </c>
      <c r="S8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8" spans="1:19" x14ac:dyDescent="0.25">
      <c r="A878" s="1" t="s">
        <v>1596</v>
      </c>
      <c r="B878" s="2">
        <v>45461</v>
      </c>
      <c r="C878" s="1" t="s">
        <v>173</v>
      </c>
      <c r="D878" s="1" t="s">
        <v>28</v>
      </c>
      <c r="E878" s="1" t="s">
        <v>68</v>
      </c>
      <c r="F878" s="1" t="s">
        <v>37</v>
      </c>
      <c r="G878" s="1" t="s">
        <v>85</v>
      </c>
      <c r="H878" s="1" t="s">
        <v>297</v>
      </c>
      <c r="I878" s="1">
        <v>2674.5</v>
      </c>
      <c r="J878" s="1">
        <v>9</v>
      </c>
      <c r="K878" s="1">
        <v>24070.5</v>
      </c>
      <c r="L878" s="1">
        <v>15</v>
      </c>
      <c r="M878" s="1">
        <v>3610.57</v>
      </c>
      <c r="N878" s="1">
        <v>20459.93</v>
      </c>
      <c r="O878" s="1" t="s">
        <v>33</v>
      </c>
      <c r="P878" s="1" t="s">
        <v>1597</v>
      </c>
      <c r="Q878" s="1">
        <v>1</v>
      </c>
      <c r="R878" s="1">
        <f>Retail_Sales_Analyis[[#This Row],[Final_Price]]-Retail_Sales_Analyis[[#This Row],[Total_Price]]</f>
        <v>-3610.5699999999997</v>
      </c>
      <c r="S8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79" spans="1:19" x14ac:dyDescent="0.25">
      <c r="A879" s="1" t="s">
        <v>1598</v>
      </c>
      <c r="B879" s="2">
        <v>45472</v>
      </c>
      <c r="C879" s="1" t="s">
        <v>173</v>
      </c>
      <c r="D879" s="1" t="s">
        <v>19</v>
      </c>
      <c r="E879" s="1" t="s">
        <v>121</v>
      </c>
      <c r="F879" s="1" t="s">
        <v>69</v>
      </c>
      <c r="G879" s="1" t="s">
        <v>22</v>
      </c>
      <c r="H879" s="1" t="s">
        <v>133</v>
      </c>
      <c r="I879" s="1">
        <v>752.04</v>
      </c>
      <c r="J879" s="1">
        <v>2</v>
      </c>
      <c r="K879" s="1">
        <v>1504.08</v>
      </c>
      <c r="L879" s="1">
        <v>0</v>
      </c>
      <c r="M879" s="1">
        <v>0</v>
      </c>
      <c r="N879" s="1">
        <v>1504.08</v>
      </c>
      <c r="O879" s="1" t="s">
        <v>80</v>
      </c>
      <c r="P879" s="1" t="s">
        <v>1599</v>
      </c>
      <c r="Q879" s="1">
        <v>5</v>
      </c>
      <c r="R879" s="1">
        <f>Retail_Sales_Analyis[[#This Row],[Final_Price]]-Retail_Sales_Analyis[[#This Row],[Total_Price]]</f>
        <v>0</v>
      </c>
      <c r="S8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80" spans="1:19" x14ac:dyDescent="0.25">
      <c r="A880" s="1" t="s">
        <v>1600</v>
      </c>
      <c r="B880" s="2">
        <v>45651</v>
      </c>
      <c r="C880" s="1" t="s">
        <v>73</v>
      </c>
      <c r="D880" s="1" t="s">
        <v>55</v>
      </c>
      <c r="E880" s="1" t="s">
        <v>62</v>
      </c>
      <c r="F880" s="1" t="s">
        <v>30</v>
      </c>
      <c r="G880" s="1" t="s">
        <v>85</v>
      </c>
      <c r="H880" s="1" t="s">
        <v>86</v>
      </c>
      <c r="I880" s="1">
        <v>3787.71</v>
      </c>
      <c r="J880" s="1">
        <v>4</v>
      </c>
      <c r="K880" s="1">
        <v>15150.84</v>
      </c>
      <c r="L880" s="1">
        <v>15</v>
      </c>
      <c r="M880" s="1">
        <v>2272.63</v>
      </c>
      <c r="N880" s="1">
        <v>12878.21</v>
      </c>
      <c r="O880" s="1" t="s">
        <v>46</v>
      </c>
      <c r="P880" s="1" t="s">
        <v>1601</v>
      </c>
      <c r="Q880" s="1">
        <v>1</v>
      </c>
      <c r="R880" s="1">
        <f>Retail_Sales_Analyis[[#This Row],[Final_Price]]-Retail_Sales_Analyis[[#This Row],[Total_Price]]</f>
        <v>-2272.630000000001</v>
      </c>
      <c r="S8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81" spans="1:19" x14ac:dyDescent="0.25">
      <c r="A881" s="1" t="s">
        <v>1602</v>
      </c>
      <c r="B881" s="2">
        <v>45524</v>
      </c>
      <c r="C881" s="1" t="s">
        <v>93</v>
      </c>
      <c r="D881" s="1" t="s">
        <v>28</v>
      </c>
      <c r="E881" s="1" t="s">
        <v>117</v>
      </c>
      <c r="F881" s="1" t="s">
        <v>69</v>
      </c>
      <c r="G881" s="1" t="s">
        <v>169</v>
      </c>
      <c r="H881" s="1" t="s">
        <v>208</v>
      </c>
      <c r="I881" s="1">
        <v>388.5</v>
      </c>
      <c r="J881" s="1">
        <v>6</v>
      </c>
      <c r="K881" s="1">
        <v>2331</v>
      </c>
      <c r="L881" s="1">
        <v>5</v>
      </c>
      <c r="M881" s="1">
        <v>116.55</v>
      </c>
      <c r="N881" s="1">
        <v>2214.4499999999998</v>
      </c>
      <c r="O881" s="1" t="s">
        <v>33</v>
      </c>
      <c r="P881" s="1" t="s">
        <v>1603</v>
      </c>
      <c r="Q881" s="1">
        <v>4</v>
      </c>
      <c r="R881" s="1">
        <f>Retail_Sales_Analyis[[#This Row],[Final_Price]]-Retail_Sales_Analyis[[#This Row],[Total_Price]]</f>
        <v>-116.55000000000018</v>
      </c>
      <c r="S88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82" spans="1:19" x14ac:dyDescent="0.25">
      <c r="A882" s="1" t="s">
        <v>1604</v>
      </c>
      <c r="B882" s="2">
        <v>45430</v>
      </c>
      <c r="C882" s="1" t="s">
        <v>42</v>
      </c>
      <c r="D882" s="1" t="s">
        <v>19</v>
      </c>
      <c r="E882" s="1" t="s">
        <v>107</v>
      </c>
      <c r="F882" s="1" t="s">
        <v>37</v>
      </c>
      <c r="G882" s="1" t="s">
        <v>31</v>
      </c>
      <c r="H882" s="1" t="s">
        <v>250</v>
      </c>
      <c r="I882" s="1">
        <v>380.05</v>
      </c>
      <c r="J882" s="1">
        <v>10</v>
      </c>
      <c r="K882" s="1">
        <v>3800.5</v>
      </c>
      <c r="L882" s="1">
        <v>20</v>
      </c>
      <c r="M882" s="1">
        <v>760.1</v>
      </c>
      <c r="N882" s="1">
        <v>3040.4</v>
      </c>
      <c r="O882" s="1" t="s">
        <v>80</v>
      </c>
      <c r="P882" s="1" t="s">
        <v>641</v>
      </c>
      <c r="Q882" s="1">
        <v>1</v>
      </c>
      <c r="R882" s="1">
        <f>Retail_Sales_Analyis[[#This Row],[Final_Price]]-Retail_Sales_Analyis[[#This Row],[Total_Price]]</f>
        <v>-760.09999999999991</v>
      </c>
      <c r="S8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83" spans="1:19" x14ac:dyDescent="0.25">
      <c r="A883" s="1" t="s">
        <v>1605</v>
      </c>
      <c r="B883" s="2">
        <v>45448</v>
      </c>
      <c r="C883" s="1" t="s">
        <v>173</v>
      </c>
      <c r="D883" s="1" t="s">
        <v>55</v>
      </c>
      <c r="E883" s="1" t="s">
        <v>199</v>
      </c>
      <c r="F883" s="1" t="s">
        <v>37</v>
      </c>
      <c r="G883" s="1" t="s">
        <v>78</v>
      </c>
      <c r="H883" s="1" t="s">
        <v>136</v>
      </c>
      <c r="I883" s="1">
        <v>320.72000000000003</v>
      </c>
      <c r="J883" s="1">
        <v>8</v>
      </c>
      <c r="K883" s="1">
        <v>2565.7600000000002</v>
      </c>
      <c r="L883" s="1">
        <v>0</v>
      </c>
      <c r="M883" s="1">
        <v>0</v>
      </c>
      <c r="N883" s="1">
        <v>2565.7600000000002</v>
      </c>
      <c r="O883" s="1" t="s">
        <v>80</v>
      </c>
      <c r="P883" s="1" t="s">
        <v>905</v>
      </c>
      <c r="Q883" s="1">
        <v>5</v>
      </c>
      <c r="R883" s="1">
        <f>Retail_Sales_Analyis[[#This Row],[Final_Price]]-Retail_Sales_Analyis[[#This Row],[Total_Price]]</f>
        <v>0</v>
      </c>
      <c r="S8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84" spans="1:19" x14ac:dyDescent="0.25">
      <c r="A884" s="1" t="s">
        <v>1606</v>
      </c>
      <c r="B884" s="2">
        <v>45420</v>
      </c>
      <c r="C884" s="1" t="s">
        <v>42</v>
      </c>
      <c r="D884" s="1" t="s">
        <v>55</v>
      </c>
      <c r="E884" s="1" t="s">
        <v>213</v>
      </c>
      <c r="F884" s="1" t="s">
        <v>69</v>
      </c>
      <c r="G884" s="1" t="s">
        <v>38</v>
      </c>
      <c r="H884" s="1" t="s">
        <v>108</v>
      </c>
      <c r="I884" s="1">
        <v>338.78</v>
      </c>
      <c r="J884" s="1">
        <v>10</v>
      </c>
      <c r="K884" s="1">
        <v>3387.8</v>
      </c>
      <c r="L884" s="1">
        <v>10</v>
      </c>
      <c r="M884" s="1">
        <v>338.78</v>
      </c>
      <c r="N884" s="1">
        <v>3049.02</v>
      </c>
      <c r="O884" s="1" t="s">
        <v>80</v>
      </c>
      <c r="P884" s="1" t="s">
        <v>1607</v>
      </c>
      <c r="Q884" s="1">
        <v>5</v>
      </c>
      <c r="R884" s="1">
        <f>Retail_Sales_Analyis[[#This Row],[Final_Price]]-Retail_Sales_Analyis[[#This Row],[Total_Price]]</f>
        <v>-338.7800000000002</v>
      </c>
      <c r="S8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85" spans="1:19" x14ac:dyDescent="0.25">
      <c r="A885" s="1" t="s">
        <v>1608</v>
      </c>
      <c r="B885" s="2">
        <v>45410</v>
      </c>
      <c r="C885" s="1" t="s">
        <v>54</v>
      </c>
      <c r="D885" s="1" t="s">
        <v>49</v>
      </c>
      <c r="E885" s="1" t="s">
        <v>302</v>
      </c>
      <c r="F885" s="1" t="s">
        <v>84</v>
      </c>
      <c r="G885" s="1" t="s">
        <v>78</v>
      </c>
      <c r="H885" s="1" t="s">
        <v>136</v>
      </c>
      <c r="I885" s="1">
        <v>293.36</v>
      </c>
      <c r="J885" s="1">
        <v>3</v>
      </c>
      <c r="K885" s="1">
        <v>880.08</v>
      </c>
      <c r="L885" s="1">
        <v>0</v>
      </c>
      <c r="M885" s="1">
        <v>0</v>
      </c>
      <c r="N885" s="1">
        <v>880.08</v>
      </c>
      <c r="O885" s="1" t="s">
        <v>24</v>
      </c>
      <c r="P885" s="1" t="s">
        <v>1559</v>
      </c>
      <c r="Q885" s="1">
        <v>2</v>
      </c>
      <c r="R885" s="1">
        <f>Retail_Sales_Analyis[[#This Row],[Final_Price]]-Retail_Sales_Analyis[[#This Row],[Total_Price]]</f>
        <v>0</v>
      </c>
      <c r="S8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86" spans="1:19" x14ac:dyDescent="0.25">
      <c r="A886" s="1" t="s">
        <v>1609</v>
      </c>
      <c r="B886" s="2">
        <v>45353</v>
      </c>
      <c r="C886" s="1" t="s">
        <v>61</v>
      </c>
      <c r="D886" s="1" t="s">
        <v>19</v>
      </c>
      <c r="E886" s="1" t="s">
        <v>44</v>
      </c>
      <c r="F886" s="1" t="s">
        <v>69</v>
      </c>
      <c r="G886" s="1" t="s">
        <v>78</v>
      </c>
      <c r="H886" s="1" t="s">
        <v>79</v>
      </c>
      <c r="I886" s="1">
        <v>306.31</v>
      </c>
      <c r="J886" s="1">
        <v>3</v>
      </c>
      <c r="K886" s="1">
        <v>918.93</v>
      </c>
      <c r="L886" s="1">
        <v>0</v>
      </c>
      <c r="M886" s="1">
        <v>0</v>
      </c>
      <c r="N886" s="1">
        <v>918.93</v>
      </c>
      <c r="O886" s="1" t="s">
        <v>46</v>
      </c>
      <c r="P886" s="1" t="s">
        <v>1535</v>
      </c>
      <c r="Q886" s="1">
        <v>3</v>
      </c>
      <c r="R886" s="1">
        <f>Retail_Sales_Analyis[[#This Row],[Final_Price]]-Retail_Sales_Analyis[[#This Row],[Total_Price]]</f>
        <v>0</v>
      </c>
      <c r="S8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87" spans="1:19" x14ac:dyDescent="0.25">
      <c r="A887" s="1" t="s">
        <v>1610</v>
      </c>
      <c r="B887" s="2">
        <v>45390</v>
      </c>
      <c r="C887" s="1" t="s">
        <v>54</v>
      </c>
      <c r="D887" s="1" t="s">
        <v>43</v>
      </c>
      <c r="E887" s="1" t="s">
        <v>104</v>
      </c>
      <c r="F887" s="1" t="s">
        <v>30</v>
      </c>
      <c r="G887" s="1" t="s">
        <v>85</v>
      </c>
      <c r="H887" s="1" t="s">
        <v>180</v>
      </c>
      <c r="I887" s="1">
        <v>4756.82</v>
      </c>
      <c r="J887" s="1">
        <v>5</v>
      </c>
      <c r="K887" s="1">
        <v>23784.1</v>
      </c>
      <c r="L887" s="1">
        <v>10</v>
      </c>
      <c r="M887" s="1">
        <v>2378.41</v>
      </c>
      <c r="N887" s="1">
        <v>21405.69</v>
      </c>
      <c r="O887" s="1" t="s">
        <v>24</v>
      </c>
      <c r="P887" s="1" t="s">
        <v>1611</v>
      </c>
      <c r="Q887" s="1">
        <v>2</v>
      </c>
      <c r="R887" s="1">
        <f>Retail_Sales_Analyis[[#This Row],[Final_Price]]-Retail_Sales_Analyis[[#This Row],[Total_Price]]</f>
        <v>-2378.41</v>
      </c>
      <c r="S8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88" spans="1:19" x14ac:dyDescent="0.25">
      <c r="A888" s="1" t="s">
        <v>1612</v>
      </c>
      <c r="B888" s="2">
        <v>45453</v>
      </c>
      <c r="C888" s="1" t="s">
        <v>173</v>
      </c>
      <c r="D888" s="1" t="s">
        <v>43</v>
      </c>
      <c r="E888" s="1" t="s">
        <v>89</v>
      </c>
      <c r="F888" s="1" t="s">
        <v>37</v>
      </c>
      <c r="G888" s="1" t="s">
        <v>169</v>
      </c>
      <c r="H888" s="1" t="s">
        <v>366</v>
      </c>
      <c r="I888" s="1">
        <v>962.6</v>
      </c>
      <c r="J888" s="1">
        <v>9</v>
      </c>
      <c r="K888" s="1">
        <v>8663.4</v>
      </c>
      <c r="L888" s="1">
        <v>20</v>
      </c>
      <c r="M888" s="1">
        <v>1732.68</v>
      </c>
      <c r="N888" s="1">
        <v>6930.72</v>
      </c>
      <c r="O888" s="1" t="s">
        <v>64</v>
      </c>
      <c r="P888" s="1" t="s">
        <v>1324</v>
      </c>
      <c r="Q888" s="1">
        <v>1</v>
      </c>
      <c r="R888" s="1">
        <f>Retail_Sales_Analyis[[#This Row],[Final_Price]]-Retail_Sales_Analyis[[#This Row],[Total_Price]]</f>
        <v>-1732.6799999999994</v>
      </c>
      <c r="S8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89" spans="1:19" x14ac:dyDescent="0.25">
      <c r="A889" s="1" t="s">
        <v>1613</v>
      </c>
      <c r="B889" s="2">
        <v>45353</v>
      </c>
      <c r="C889" s="1" t="s">
        <v>61</v>
      </c>
      <c r="D889" s="1" t="s">
        <v>19</v>
      </c>
      <c r="E889" s="1" t="s">
        <v>196</v>
      </c>
      <c r="F889" s="1" t="s">
        <v>69</v>
      </c>
      <c r="G889" s="1" t="s">
        <v>57</v>
      </c>
      <c r="H889" s="1" t="s">
        <v>152</v>
      </c>
      <c r="I889" s="1">
        <v>1567.42</v>
      </c>
      <c r="J889" s="1">
        <v>1</v>
      </c>
      <c r="K889" s="1">
        <v>1567.42</v>
      </c>
      <c r="L889" s="1">
        <v>0</v>
      </c>
      <c r="M889" s="1">
        <v>0</v>
      </c>
      <c r="N889" s="1">
        <v>1567.42</v>
      </c>
      <c r="O889" s="1" t="s">
        <v>64</v>
      </c>
      <c r="P889" s="1" t="s">
        <v>942</v>
      </c>
      <c r="Q889" s="1">
        <v>3</v>
      </c>
      <c r="R889" s="1">
        <f>Retail_Sales_Analyis[[#This Row],[Final_Price]]-Retail_Sales_Analyis[[#This Row],[Total_Price]]</f>
        <v>0</v>
      </c>
      <c r="S8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0" spans="1:19" x14ac:dyDescent="0.25">
      <c r="A890" s="1" t="s">
        <v>1614</v>
      </c>
      <c r="B890" s="2">
        <v>45566</v>
      </c>
      <c r="C890" s="1" t="s">
        <v>76</v>
      </c>
      <c r="D890" s="1" t="s">
        <v>28</v>
      </c>
      <c r="E890" s="1" t="s">
        <v>312</v>
      </c>
      <c r="F890" s="1" t="s">
        <v>69</v>
      </c>
      <c r="G890" s="1" t="s">
        <v>31</v>
      </c>
      <c r="H890" s="1" t="s">
        <v>45</v>
      </c>
      <c r="I890" s="1">
        <v>106.78</v>
      </c>
      <c r="J890" s="1">
        <v>8</v>
      </c>
      <c r="K890" s="1">
        <v>854.24</v>
      </c>
      <c r="L890" s="1">
        <v>0</v>
      </c>
      <c r="M890" s="1">
        <v>0</v>
      </c>
      <c r="N890" s="1">
        <v>854.24</v>
      </c>
      <c r="O890" s="1" t="s">
        <v>24</v>
      </c>
      <c r="P890" s="1" t="s">
        <v>1438</v>
      </c>
      <c r="Q890" s="1">
        <v>1</v>
      </c>
      <c r="R890" s="1">
        <f>Retail_Sales_Analyis[[#This Row],[Final_Price]]-Retail_Sales_Analyis[[#This Row],[Total_Price]]</f>
        <v>0</v>
      </c>
      <c r="S8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1" spans="1:19" x14ac:dyDescent="0.25">
      <c r="A891" s="1" t="s">
        <v>1615</v>
      </c>
      <c r="B891" s="2">
        <v>45645</v>
      </c>
      <c r="C891" s="1" t="s">
        <v>73</v>
      </c>
      <c r="D891" s="1" t="s">
        <v>67</v>
      </c>
      <c r="E891" s="1" t="s">
        <v>239</v>
      </c>
      <c r="F891" s="1" t="s">
        <v>21</v>
      </c>
      <c r="G891" s="1" t="s">
        <v>38</v>
      </c>
      <c r="H891" s="1" t="s">
        <v>39</v>
      </c>
      <c r="I891" s="1">
        <v>705.15</v>
      </c>
      <c r="J891" s="1">
        <v>5</v>
      </c>
      <c r="K891" s="1">
        <v>3525.75</v>
      </c>
      <c r="L891" s="1">
        <v>15</v>
      </c>
      <c r="M891" s="1">
        <v>528.86</v>
      </c>
      <c r="N891" s="1">
        <v>2996.89</v>
      </c>
      <c r="O891" s="1" t="s">
        <v>24</v>
      </c>
      <c r="P891" s="1" t="s">
        <v>205</v>
      </c>
      <c r="Q891" s="1">
        <v>3</v>
      </c>
      <c r="R891" s="1">
        <f>Retail_Sales_Analyis[[#This Row],[Final_Price]]-Retail_Sales_Analyis[[#This Row],[Total_Price]]</f>
        <v>-528.86000000000013</v>
      </c>
      <c r="S8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92" spans="1:19" x14ac:dyDescent="0.25">
      <c r="A892" s="1" t="s">
        <v>1616</v>
      </c>
      <c r="B892" s="2">
        <v>45386</v>
      </c>
      <c r="C892" s="1" t="s">
        <v>54</v>
      </c>
      <c r="D892" s="1" t="s">
        <v>67</v>
      </c>
      <c r="E892" s="1" t="s">
        <v>285</v>
      </c>
      <c r="F892" s="1" t="s">
        <v>37</v>
      </c>
      <c r="G892" s="1" t="s">
        <v>169</v>
      </c>
      <c r="H892" s="1" t="s">
        <v>175</v>
      </c>
      <c r="I892" s="1">
        <v>488.07</v>
      </c>
      <c r="J892" s="1">
        <v>6</v>
      </c>
      <c r="K892" s="1">
        <v>2928.42</v>
      </c>
      <c r="L892" s="1">
        <v>0</v>
      </c>
      <c r="M892" s="1">
        <v>0</v>
      </c>
      <c r="N892" s="1">
        <v>2928.42</v>
      </c>
      <c r="O892" s="1" t="s">
        <v>33</v>
      </c>
      <c r="P892" s="1" t="s">
        <v>1617</v>
      </c>
      <c r="Q892" s="1">
        <v>5</v>
      </c>
      <c r="R892" s="1">
        <f>Retail_Sales_Analyis[[#This Row],[Final_Price]]-Retail_Sales_Analyis[[#This Row],[Total_Price]]</f>
        <v>0</v>
      </c>
      <c r="S8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3" spans="1:19" x14ac:dyDescent="0.25">
      <c r="A893" s="1" t="s">
        <v>1618</v>
      </c>
      <c r="B893" s="2">
        <v>45390</v>
      </c>
      <c r="C893" s="1" t="s">
        <v>54</v>
      </c>
      <c r="D893" s="1" t="s">
        <v>43</v>
      </c>
      <c r="E893" s="1" t="s">
        <v>104</v>
      </c>
      <c r="F893" s="1" t="s">
        <v>37</v>
      </c>
      <c r="G893" s="1" t="s">
        <v>78</v>
      </c>
      <c r="H893" s="1" t="s">
        <v>79</v>
      </c>
      <c r="I893" s="1">
        <v>345.02</v>
      </c>
      <c r="J893" s="1">
        <v>9</v>
      </c>
      <c r="K893" s="1">
        <v>3105.18</v>
      </c>
      <c r="L893" s="1">
        <v>0</v>
      </c>
      <c r="M893" s="1">
        <v>0</v>
      </c>
      <c r="N893" s="1">
        <v>3105.18</v>
      </c>
      <c r="O893" s="1" t="s">
        <v>64</v>
      </c>
      <c r="P893" s="1" t="s">
        <v>217</v>
      </c>
      <c r="Q893" s="1">
        <v>5</v>
      </c>
      <c r="R893" s="1">
        <f>Retail_Sales_Analyis[[#This Row],[Final_Price]]-Retail_Sales_Analyis[[#This Row],[Total_Price]]</f>
        <v>0</v>
      </c>
      <c r="S8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4" spans="1:19" x14ac:dyDescent="0.25">
      <c r="A894" s="1" t="s">
        <v>1619</v>
      </c>
      <c r="B894" s="2">
        <v>45402</v>
      </c>
      <c r="C894" s="1" t="s">
        <v>54</v>
      </c>
      <c r="D894" s="1" t="s">
        <v>19</v>
      </c>
      <c r="E894" s="1" t="s">
        <v>151</v>
      </c>
      <c r="F894" s="1" t="s">
        <v>69</v>
      </c>
      <c r="G894" s="1" t="s">
        <v>112</v>
      </c>
      <c r="H894" s="1" t="s">
        <v>113</v>
      </c>
      <c r="I894" s="1">
        <v>705.31</v>
      </c>
      <c r="J894" s="1">
        <v>7</v>
      </c>
      <c r="K894" s="1">
        <v>4937.17</v>
      </c>
      <c r="L894" s="1">
        <v>20</v>
      </c>
      <c r="M894" s="1">
        <v>987.43</v>
      </c>
      <c r="N894" s="1">
        <v>3949.74</v>
      </c>
      <c r="O894" s="1" t="s">
        <v>64</v>
      </c>
      <c r="P894" s="1" t="s">
        <v>459</v>
      </c>
      <c r="Q894" s="1">
        <v>2</v>
      </c>
      <c r="R894" s="1">
        <f>Retail_Sales_Analyis[[#This Row],[Final_Price]]-Retail_Sales_Analyis[[#This Row],[Total_Price]]</f>
        <v>-987.43000000000029</v>
      </c>
      <c r="S8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895" spans="1:19" x14ac:dyDescent="0.25">
      <c r="A895" s="1" t="s">
        <v>1620</v>
      </c>
      <c r="B895" s="2">
        <v>45539</v>
      </c>
      <c r="C895" s="1" t="s">
        <v>116</v>
      </c>
      <c r="D895" s="1" t="s">
        <v>55</v>
      </c>
      <c r="E895" s="1" t="s">
        <v>139</v>
      </c>
      <c r="F895" s="1" t="s">
        <v>21</v>
      </c>
      <c r="G895" s="1" t="s">
        <v>31</v>
      </c>
      <c r="H895" s="1" t="s">
        <v>250</v>
      </c>
      <c r="I895" s="1">
        <v>380.1</v>
      </c>
      <c r="J895" s="1">
        <v>5</v>
      </c>
      <c r="K895" s="1">
        <v>1900.5</v>
      </c>
      <c r="L895" s="1">
        <v>0</v>
      </c>
      <c r="M895" s="1">
        <v>0</v>
      </c>
      <c r="N895" s="1">
        <v>1900.5</v>
      </c>
      <c r="O895" s="1" t="s">
        <v>64</v>
      </c>
      <c r="P895" s="1" t="s">
        <v>1161</v>
      </c>
      <c r="Q895" s="1">
        <v>1</v>
      </c>
      <c r="R895" s="1">
        <f>Retail_Sales_Analyis[[#This Row],[Final_Price]]-Retail_Sales_Analyis[[#This Row],[Total_Price]]</f>
        <v>0</v>
      </c>
      <c r="S8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6" spans="1:19" x14ac:dyDescent="0.25">
      <c r="A896" s="1" t="s">
        <v>1621</v>
      </c>
      <c r="B896" s="2">
        <v>45433</v>
      </c>
      <c r="C896" s="1" t="s">
        <v>42</v>
      </c>
      <c r="D896" s="1" t="s">
        <v>28</v>
      </c>
      <c r="E896" s="1" t="s">
        <v>261</v>
      </c>
      <c r="F896" s="1" t="s">
        <v>30</v>
      </c>
      <c r="G896" s="1" t="s">
        <v>22</v>
      </c>
      <c r="H896" s="1" t="s">
        <v>133</v>
      </c>
      <c r="I896" s="1">
        <v>592.54999999999995</v>
      </c>
      <c r="J896" s="1">
        <v>10</v>
      </c>
      <c r="K896" s="1">
        <v>5925.5</v>
      </c>
      <c r="L896" s="1">
        <v>0</v>
      </c>
      <c r="M896" s="1">
        <v>0</v>
      </c>
      <c r="N896" s="1">
        <v>5925.5</v>
      </c>
      <c r="O896" s="1" t="s">
        <v>64</v>
      </c>
      <c r="P896" s="1" t="s">
        <v>1622</v>
      </c>
      <c r="Q896" s="1">
        <v>1</v>
      </c>
      <c r="R896" s="1">
        <f>Retail_Sales_Analyis[[#This Row],[Final_Price]]-Retail_Sales_Analyis[[#This Row],[Total_Price]]</f>
        <v>0</v>
      </c>
      <c r="S8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897" spans="1:19" x14ac:dyDescent="0.25">
      <c r="A897" s="1" t="s">
        <v>1623</v>
      </c>
      <c r="B897" s="2">
        <v>45593</v>
      </c>
      <c r="C897" s="1" t="s">
        <v>76</v>
      </c>
      <c r="D897" s="1" t="s">
        <v>43</v>
      </c>
      <c r="E897" s="1" t="s">
        <v>351</v>
      </c>
      <c r="F897" s="1" t="s">
        <v>21</v>
      </c>
      <c r="G897" s="1" t="s">
        <v>22</v>
      </c>
      <c r="H897" s="1" t="s">
        <v>187</v>
      </c>
      <c r="I897" s="1">
        <v>387.77</v>
      </c>
      <c r="J897" s="1">
        <v>6</v>
      </c>
      <c r="K897" s="1">
        <v>2326.62</v>
      </c>
      <c r="L897" s="1">
        <v>5</v>
      </c>
      <c r="M897" s="1">
        <v>116.33</v>
      </c>
      <c r="N897" s="1">
        <v>2210.29</v>
      </c>
      <c r="O897" s="1" t="s">
        <v>80</v>
      </c>
      <c r="P897" s="1" t="s">
        <v>1320</v>
      </c>
      <c r="Q897" s="1">
        <v>2</v>
      </c>
      <c r="R897" s="1">
        <f>Retail_Sales_Analyis[[#This Row],[Final_Price]]-Retail_Sales_Analyis[[#This Row],[Total_Price]]</f>
        <v>-116.32999999999993</v>
      </c>
      <c r="S89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898" spans="1:19" x14ac:dyDescent="0.25">
      <c r="A898" s="1" t="s">
        <v>1624</v>
      </c>
      <c r="B898" s="2">
        <v>45560</v>
      </c>
      <c r="C898" s="1" t="s">
        <v>116</v>
      </c>
      <c r="D898" s="1" t="s">
        <v>55</v>
      </c>
      <c r="E898" s="1" t="s">
        <v>83</v>
      </c>
      <c r="F898" s="1" t="s">
        <v>30</v>
      </c>
      <c r="G898" s="1" t="s">
        <v>38</v>
      </c>
      <c r="H898" s="1" t="s">
        <v>108</v>
      </c>
      <c r="I898" s="1">
        <v>443.16</v>
      </c>
      <c r="J898" s="1">
        <v>7</v>
      </c>
      <c r="K898" s="1">
        <v>3102.12</v>
      </c>
      <c r="L898" s="1">
        <v>10</v>
      </c>
      <c r="M898" s="1">
        <v>310.20999999999998</v>
      </c>
      <c r="N898" s="1">
        <v>2791.91</v>
      </c>
      <c r="O898" s="1" t="s">
        <v>46</v>
      </c>
      <c r="P898" s="1" t="s">
        <v>246</v>
      </c>
      <c r="Q898" s="1">
        <v>5</v>
      </c>
      <c r="R898" s="1">
        <f>Retail_Sales_Analyis[[#This Row],[Final_Price]]-Retail_Sales_Analyis[[#This Row],[Total_Price]]</f>
        <v>-310.21000000000004</v>
      </c>
      <c r="S8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899" spans="1:19" x14ac:dyDescent="0.25">
      <c r="A899" s="1" t="s">
        <v>1625</v>
      </c>
      <c r="B899" s="2">
        <v>45597</v>
      </c>
      <c r="C899" s="1" t="s">
        <v>18</v>
      </c>
      <c r="D899" s="1" t="s">
        <v>144</v>
      </c>
      <c r="E899" s="1" t="s">
        <v>29</v>
      </c>
      <c r="F899" s="1" t="s">
        <v>69</v>
      </c>
      <c r="G899" s="1" t="s">
        <v>57</v>
      </c>
      <c r="H899" s="1" t="s">
        <v>152</v>
      </c>
      <c r="I899" s="1">
        <v>2896.17</v>
      </c>
      <c r="J899" s="1">
        <v>5</v>
      </c>
      <c r="K899" s="1">
        <v>14480.85</v>
      </c>
      <c r="L899" s="1">
        <v>5</v>
      </c>
      <c r="M899" s="1">
        <v>724.04</v>
      </c>
      <c r="N899" s="1">
        <v>13756.81</v>
      </c>
      <c r="O899" s="1" t="s">
        <v>33</v>
      </c>
      <c r="P899" s="1" t="s">
        <v>532</v>
      </c>
      <c r="Q899" s="1">
        <v>3</v>
      </c>
      <c r="R899" s="1">
        <f>Retail_Sales_Analyis[[#This Row],[Final_Price]]-Retail_Sales_Analyis[[#This Row],[Total_Price]]</f>
        <v>-724.04000000000087</v>
      </c>
      <c r="S8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00" spans="1:19" x14ac:dyDescent="0.25">
      <c r="A900" s="1" t="s">
        <v>1626</v>
      </c>
      <c r="B900" s="2">
        <v>45436</v>
      </c>
      <c r="C900" s="1" t="s">
        <v>42</v>
      </c>
      <c r="D900" s="1" t="s">
        <v>144</v>
      </c>
      <c r="E900" s="1" t="s">
        <v>77</v>
      </c>
      <c r="F900" s="1" t="s">
        <v>69</v>
      </c>
      <c r="G900" s="1" t="s">
        <v>85</v>
      </c>
      <c r="H900" s="1" t="s">
        <v>86</v>
      </c>
      <c r="I900" s="1">
        <v>4825.26</v>
      </c>
      <c r="J900" s="1">
        <v>2</v>
      </c>
      <c r="K900" s="1">
        <v>9650.52</v>
      </c>
      <c r="L900" s="1">
        <v>0</v>
      </c>
      <c r="M900" s="1">
        <v>0</v>
      </c>
      <c r="N900" s="1">
        <v>9650.52</v>
      </c>
      <c r="O900" s="1" t="s">
        <v>33</v>
      </c>
      <c r="P900" s="1" t="s">
        <v>1627</v>
      </c>
      <c r="Q900" s="1">
        <v>2</v>
      </c>
      <c r="R900" s="1">
        <f>Retail_Sales_Analyis[[#This Row],[Final_Price]]-Retail_Sales_Analyis[[#This Row],[Total_Price]]</f>
        <v>0</v>
      </c>
      <c r="S9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01" spans="1:19" x14ac:dyDescent="0.25">
      <c r="A901" s="1" t="s">
        <v>1628</v>
      </c>
      <c r="B901" s="2">
        <v>45343</v>
      </c>
      <c r="C901" s="1" t="s">
        <v>27</v>
      </c>
      <c r="D901" s="1" t="s">
        <v>55</v>
      </c>
      <c r="E901" s="1" t="s">
        <v>213</v>
      </c>
      <c r="F901" s="1" t="s">
        <v>21</v>
      </c>
      <c r="G901" s="1" t="s">
        <v>31</v>
      </c>
      <c r="H901" s="1" t="s">
        <v>45</v>
      </c>
      <c r="I901" s="1">
        <v>235.4</v>
      </c>
      <c r="J901" s="1">
        <v>4</v>
      </c>
      <c r="K901" s="1">
        <v>941.6</v>
      </c>
      <c r="L901" s="1">
        <v>0</v>
      </c>
      <c r="M901" s="1">
        <v>0</v>
      </c>
      <c r="N901" s="1">
        <v>941.6</v>
      </c>
      <c r="O901" s="1" t="s">
        <v>46</v>
      </c>
      <c r="P901" s="1" t="s">
        <v>52</v>
      </c>
      <c r="Q901" s="1">
        <v>3</v>
      </c>
      <c r="R901" s="1">
        <f>Retail_Sales_Analyis[[#This Row],[Final_Price]]-Retail_Sales_Analyis[[#This Row],[Total_Price]]</f>
        <v>0</v>
      </c>
      <c r="S9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02" spans="1:19" x14ac:dyDescent="0.25">
      <c r="A902" s="1" t="s">
        <v>1629</v>
      </c>
      <c r="B902" s="2">
        <v>45391</v>
      </c>
      <c r="C902" s="1" t="s">
        <v>54</v>
      </c>
      <c r="D902" s="1" t="s">
        <v>28</v>
      </c>
      <c r="E902" s="1" t="s">
        <v>207</v>
      </c>
      <c r="F902" s="1" t="s">
        <v>69</v>
      </c>
      <c r="G902" s="1" t="s">
        <v>22</v>
      </c>
      <c r="H902" s="1" t="s">
        <v>133</v>
      </c>
      <c r="I902" s="1">
        <v>649.80999999999995</v>
      </c>
      <c r="J902" s="1">
        <v>6</v>
      </c>
      <c r="K902" s="1">
        <v>3898.86</v>
      </c>
      <c r="L902" s="1">
        <v>0</v>
      </c>
      <c r="M902" s="1">
        <v>0</v>
      </c>
      <c r="N902" s="1">
        <v>3898.86</v>
      </c>
      <c r="O902" s="1" t="s">
        <v>46</v>
      </c>
      <c r="P902" s="1" t="s">
        <v>1630</v>
      </c>
      <c r="Q902" s="1">
        <v>4</v>
      </c>
      <c r="R902" s="1">
        <f>Retail_Sales_Analyis[[#This Row],[Final_Price]]-Retail_Sales_Analyis[[#This Row],[Total_Price]]</f>
        <v>0</v>
      </c>
      <c r="S9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03" spans="1:19" x14ac:dyDescent="0.25">
      <c r="A903" s="1" t="s">
        <v>1631</v>
      </c>
      <c r="B903" s="2">
        <v>45443</v>
      </c>
      <c r="C903" s="1" t="s">
        <v>42</v>
      </c>
      <c r="D903" s="1" t="s">
        <v>144</v>
      </c>
      <c r="E903" s="1" t="s">
        <v>328</v>
      </c>
      <c r="F903" s="1" t="s">
        <v>37</v>
      </c>
      <c r="G903" s="1" t="s">
        <v>22</v>
      </c>
      <c r="H903" s="1" t="s">
        <v>277</v>
      </c>
      <c r="I903" s="1">
        <v>929.89</v>
      </c>
      <c r="J903" s="1">
        <v>5</v>
      </c>
      <c r="K903" s="1">
        <v>4649.45</v>
      </c>
      <c r="L903" s="1">
        <v>5</v>
      </c>
      <c r="M903" s="1">
        <v>232.47</v>
      </c>
      <c r="N903" s="1">
        <v>4416.9799999999996</v>
      </c>
      <c r="O903" s="1" t="s">
        <v>64</v>
      </c>
      <c r="P903" s="1" t="s">
        <v>513</v>
      </c>
      <c r="Q903" s="1">
        <v>3</v>
      </c>
      <c r="R903" s="1">
        <f>Retail_Sales_Analyis[[#This Row],[Final_Price]]-Retail_Sales_Analyis[[#This Row],[Total_Price]]</f>
        <v>-232.47000000000025</v>
      </c>
      <c r="S9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04" spans="1:19" x14ac:dyDescent="0.25">
      <c r="A904" s="1" t="s">
        <v>1632</v>
      </c>
      <c r="B904" s="2">
        <v>45408</v>
      </c>
      <c r="C904" s="1" t="s">
        <v>54</v>
      </c>
      <c r="D904" s="1" t="s">
        <v>144</v>
      </c>
      <c r="E904" s="1" t="s">
        <v>50</v>
      </c>
      <c r="F904" s="1" t="s">
        <v>84</v>
      </c>
      <c r="G904" s="1" t="s">
        <v>31</v>
      </c>
      <c r="H904" s="1" t="s">
        <v>32</v>
      </c>
      <c r="I904" s="1">
        <v>149.59</v>
      </c>
      <c r="J904" s="1">
        <v>3</v>
      </c>
      <c r="K904" s="1">
        <v>448.77</v>
      </c>
      <c r="L904" s="1">
        <v>10</v>
      </c>
      <c r="M904" s="1">
        <v>44.88</v>
      </c>
      <c r="N904" s="1">
        <v>403.89</v>
      </c>
      <c r="O904" s="1" t="s">
        <v>64</v>
      </c>
      <c r="P904" s="1" t="s">
        <v>1633</v>
      </c>
      <c r="Q904" s="1">
        <v>1</v>
      </c>
      <c r="R904" s="1">
        <f>Retail_Sales_Analyis[[#This Row],[Final_Price]]-Retail_Sales_Analyis[[#This Row],[Total_Price]]</f>
        <v>-44.879999999999995</v>
      </c>
      <c r="S9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05" spans="1:19" x14ac:dyDescent="0.25">
      <c r="A905" s="1" t="s">
        <v>1634</v>
      </c>
      <c r="B905" s="2">
        <v>45476</v>
      </c>
      <c r="C905" s="1" t="s">
        <v>195</v>
      </c>
      <c r="D905" s="1" t="s">
        <v>55</v>
      </c>
      <c r="E905" s="1" t="s">
        <v>77</v>
      </c>
      <c r="F905" s="1" t="s">
        <v>30</v>
      </c>
      <c r="G905" s="1" t="s">
        <v>85</v>
      </c>
      <c r="H905" s="1" t="s">
        <v>90</v>
      </c>
      <c r="I905" s="1">
        <v>3159.07</v>
      </c>
      <c r="J905" s="1">
        <v>1</v>
      </c>
      <c r="K905" s="1">
        <v>3159.07</v>
      </c>
      <c r="L905" s="1">
        <v>20</v>
      </c>
      <c r="M905" s="1">
        <v>631.80999999999995</v>
      </c>
      <c r="N905" s="1">
        <v>2527.2600000000002</v>
      </c>
      <c r="O905" s="1" t="s">
        <v>33</v>
      </c>
      <c r="P905" s="1" t="s">
        <v>1067</v>
      </c>
      <c r="Q905" s="1">
        <v>1</v>
      </c>
      <c r="R905" s="1">
        <f>Retail_Sales_Analyis[[#This Row],[Final_Price]]-Retail_Sales_Analyis[[#This Row],[Total_Price]]</f>
        <v>-631.80999999999995</v>
      </c>
      <c r="S9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06" spans="1:19" x14ac:dyDescent="0.25">
      <c r="A906" s="1" t="s">
        <v>1635</v>
      </c>
      <c r="B906" s="2">
        <v>45383</v>
      </c>
      <c r="C906" s="1" t="s">
        <v>54</v>
      </c>
      <c r="D906" s="1" t="s">
        <v>43</v>
      </c>
      <c r="E906" s="1" t="s">
        <v>141</v>
      </c>
      <c r="F906" s="1" t="s">
        <v>21</v>
      </c>
      <c r="G906" s="1" t="s">
        <v>78</v>
      </c>
      <c r="H906" s="1" t="s">
        <v>126</v>
      </c>
      <c r="I906" s="1">
        <v>178.56</v>
      </c>
      <c r="J906" s="1">
        <v>1</v>
      </c>
      <c r="K906" s="1">
        <v>178.56</v>
      </c>
      <c r="L906" s="1">
        <v>10</v>
      </c>
      <c r="M906" s="1">
        <v>17.86</v>
      </c>
      <c r="N906" s="1">
        <v>160.69999999999999</v>
      </c>
      <c r="O906" s="1" t="s">
        <v>64</v>
      </c>
      <c r="P906" s="1" t="s">
        <v>1056</v>
      </c>
      <c r="Q906" s="1">
        <v>3</v>
      </c>
      <c r="R906" s="1">
        <f>Retail_Sales_Analyis[[#This Row],[Final_Price]]-Retail_Sales_Analyis[[#This Row],[Total_Price]]</f>
        <v>-17.860000000000014</v>
      </c>
      <c r="S9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07" spans="1:19" x14ac:dyDescent="0.25">
      <c r="A907" s="1" t="s">
        <v>1636</v>
      </c>
      <c r="B907" s="2">
        <v>45446</v>
      </c>
      <c r="C907" s="1" t="s">
        <v>173</v>
      </c>
      <c r="D907" s="1" t="s">
        <v>43</v>
      </c>
      <c r="E907" s="1" t="s">
        <v>145</v>
      </c>
      <c r="F907" s="1" t="s">
        <v>84</v>
      </c>
      <c r="G907" s="1" t="s">
        <v>22</v>
      </c>
      <c r="H907" s="1" t="s">
        <v>23</v>
      </c>
      <c r="I907" s="1">
        <v>432.15</v>
      </c>
      <c r="J907" s="1">
        <v>3</v>
      </c>
      <c r="K907" s="1">
        <v>1296.45</v>
      </c>
      <c r="L907" s="1">
        <v>0</v>
      </c>
      <c r="M907" s="1">
        <v>0</v>
      </c>
      <c r="N907" s="1">
        <v>1296.45</v>
      </c>
      <c r="O907" s="1" t="s">
        <v>46</v>
      </c>
      <c r="P907" s="1" t="s">
        <v>1637</v>
      </c>
      <c r="Q907" s="1">
        <v>4</v>
      </c>
      <c r="R907" s="1">
        <f>Retail_Sales_Analyis[[#This Row],[Final_Price]]-Retail_Sales_Analyis[[#This Row],[Total_Price]]</f>
        <v>0</v>
      </c>
      <c r="S9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08" spans="1:19" x14ac:dyDescent="0.25">
      <c r="A908" s="1" t="s">
        <v>1638</v>
      </c>
      <c r="B908" s="2">
        <v>45299</v>
      </c>
      <c r="C908" s="1" t="s">
        <v>36</v>
      </c>
      <c r="D908" s="1" t="s">
        <v>43</v>
      </c>
      <c r="E908" s="1" t="s">
        <v>213</v>
      </c>
      <c r="F908" s="1" t="s">
        <v>69</v>
      </c>
      <c r="G908" s="1" t="s">
        <v>57</v>
      </c>
      <c r="H908" s="1" t="s">
        <v>152</v>
      </c>
      <c r="I908" s="1">
        <v>301.01</v>
      </c>
      <c r="J908" s="1">
        <v>1</v>
      </c>
      <c r="K908" s="1">
        <v>301.01</v>
      </c>
      <c r="L908" s="1">
        <v>20</v>
      </c>
      <c r="M908" s="1">
        <v>60.2</v>
      </c>
      <c r="N908" s="1">
        <v>240.81</v>
      </c>
      <c r="O908" s="1" t="s">
        <v>80</v>
      </c>
      <c r="P908" s="1" t="s">
        <v>1111</v>
      </c>
      <c r="Q908" s="1">
        <v>1</v>
      </c>
      <c r="R908" s="1">
        <f>Retail_Sales_Analyis[[#This Row],[Final_Price]]-Retail_Sales_Analyis[[#This Row],[Total_Price]]</f>
        <v>-60.199999999999989</v>
      </c>
      <c r="S9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09" spans="1:19" x14ac:dyDescent="0.25">
      <c r="A909" s="1" t="s">
        <v>1639</v>
      </c>
      <c r="B909" s="2">
        <v>45654</v>
      </c>
      <c r="C909" s="1" t="s">
        <v>73</v>
      </c>
      <c r="D909" s="1" t="s">
        <v>19</v>
      </c>
      <c r="E909" s="1" t="s">
        <v>342</v>
      </c>
      <c r="F909" s="1" t="s">
        <v>30</v>
      </c>
      <c r="G909" s="1" t="s">
        <v>31</v>
      </c>
      <c r="H909" s="1" t="s">
        <v>329</v>
      </c>
      <c r="I909" s="1">
        <v>120.63</v>
      </c>
      <c r="J909" s="1">
        <v>5</v>
      </c>
      <c r="K909" s="1">
        <v>603.15</v>
      </c>
      <c r="L909" s="1">
        <v>0</v>
      </c>
      <c r="M909" s="1">
        <v>0</v>
      </c>
      <c r="N909" s="1">
        <v>603.15</v>
      </c>
      <c r="O909" s="1" t="s">
        <v>64</v>
      </c>
      <c r="P909" s="1" t="s">
        <v>1238</v>
      </c>
      <c r="Q909" s="1">
        <v>2</v>
      </c>
      <c r="R909" s="1">
        <f>Retail_Sales_Analyis[[#This Row],[Final_Price]]-Retail_Sales_Analyis[[#This Row],[Total_Price]]</f>
        <v>0</v>
      </c>
      <c r="S9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10" spans="1:19" x14ac:dyDescent="0.25">
      <c r="A910" s="1" t="s">
        <v>1640</v>
      </c>
      <c r="B910" s="2">
        <v>45565</v>
      </c>
      <c r="C910" s="1" t="s">
        <v>116</v>
      </c>
      <c r="D910" s="1" t="s">
        <v>43</v>
      </c>
      <c r="E910" s="1" t="s">
        <v>192</v>
      </c>
      <c r="F910" s="1" t="s">
        <v>37</v>
      </c>
      <c r="G910" s="1" t="s">
        <v>169</v>
      </c>
      <c r="H910" s="1" t="s">
        <v>348</v>
      </c>
      <c r="I910" s="1">
        <v>1086.33</v>
      </c>
      <c r="J910" s="1">
        <v>3</v>
      </c>
      <c r="K910" s="1">
        <v>3258.99</v>
      </c>
      <c r="L910" s="1">
        <v>20</v>
      </c>
      <c r="M910" s="1">
        <v>651.79999999999995</v>
      </c>
      <c r="N910" s="1">
        <v>2607.19</v>
      </c>
      <c r="O910" s="1" t="s">
        <v>46</v>
      </c>
      <c r="P910" s="1" t="s">
        <v>91</v>
      </c>
      <c r="Q910" s="1">
        <v>1</v>
      </c>
      <c r="R910" s="1">
        <f>Retail_Sales_Analyis[[#This Row],[Final_Price]]-Retail_Sales_Analyis[[#This Row],[Total_Price]]</f>
        <v>-651.79999999999973</v>
      </c>
      <c r="S9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11" spans="1:19" x14ac:dyDescent="0.25">
      <c r="A911" s="1" t="s">
        <v>1641</v>
      </c>
      <c r="B911" s="2">
        <v>45356</v>
      </c>
      <c r="C911" s="1" t="s">
        <v>61</v>
      </c>
      <c r="D911" s="1" t="s">
        <v>28</v>
      </c>
      <c r="E911" s="1" t="s">
        <v>117</v>
      </c>
      <c r="F911" s="1" t="s">
        <v>84</v>
      </c>
      <c r="G911" s="1" t="s">
        <v>22</v>
      </c>
      <c r="H911" s="1" t="s">
        <v>133</v>
      </c>
      <c r="I911" s="1">
        <v>211.79</v>
      </c>
      <c r="J911" s="1">
        <v>9</v>
      </c>
      <c r="K911" s="1">
        <v>1906.11</v>
      </c>
      <c r="L911" s="1">
        <v>10</v>
      </c>
      <c r="M911" s="1">
        <v>190.61</v>
      </c>
      <c r="N911" s="1">
        <v>1715.5</v>
      </c>
      <c r="O911" s="1" t="s">
        <v>64</v>
      </c>
      <c r="P911" s="1" t="s">
        <v>423</v>
      </c>
      <c r="Q911" s="1">
        <v>1</v>
      </c>
      <c r="R911" s="1">
        <f>Retail_Sales_Analyis[[#This Row],[Final_Price]]-Retail_Sales_Analyis[[#This Row],[Total_Price]]</f>
        <v>-190.6099999999999</v>
      </c>
      <c r="S9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12" spans="1:19" x14ac:dyDescent="0.25">
      <c r="A912" s="1" t="s">
        <v>1642</v>
      </c>
      <c r="B912" s="2">
        <v>45432</v>
      </c>
      <c r="C912" s="1" t="s">
        <v>42</v>
      </c>
      <c r="D912" s="1" t="s">
        <v>43</v>
      </c>
      <c r="E912" s="1" t="s">
        <v>213</v>
      </c>
      <c r="F912" s="1" t="s">
        <v>37</v>
      </c>
      <c r="G912" s="1" t="s">
        <v>22</v>
      </c>
      <c r="H912" s="1" t="s">
        <v>23</v>
      </c>
      <c r="I912" s="1">
        <v>865.18</v>
      </c>
      <c r="J912" s="1">
        <v>5</v>
      </c>
      <c r="K912" s="1">
        <v>4325.8999999999996</v>
      </c>
      <c r="L912" s="1">
        <v>20</v>
      </c>
      <c r="M912" s="1">
        <v>865.18</v>
      </c>
      <c r="N912" s="1">
        <v>3460.72</v>
      </c>
      <c r="O912" s="1" t="s">
        <v>46</v>
      </c>
      <c r="P912" s="1" t="s">
        <v>1643</v>
      </c>
      <c r="Q912" s="1">
        <v>4</v>
      </c>
      <c r="R912" s="1">
        <f>Retail_Sales_Analyis[[#This Row],[Final_Price]]-Retail_Sales_Analyis[[#This Row],[Total_Price]]</f>
        <v>-865.17999999999984</v>
      </c>
      <c r="S9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13" spans="1:19" x14ac:dyDescent="0.25">
      <c r="A913" s="1" t="s">
        <v>1644</v>
      </c>
      <c r="B913" s="2">
        <v>45315</v>
      </c>
      <c r="C913" s="1" t="s">
        <v>36</v>
      </c>
      <c r="D913" s="1" t="s">
        <v>55</v>
      </c>
      <c r="E913" s="1" t="s">
        <v>121</v>
      </c>
      <c r="F913" s="1" t="s">
        <v>30</v>
      </c>
      <c r="G913" s="1" t="s">
        <v>38</v>
      </c>
      <c r="H913" s="1" t="s">
        <v>108</v>
      </c>
      <c r="I913" s="1">
        <v>241.87</v>
      </c>
      <c r="J913" s="1">
        <v>5</v>
      </c>
      <c r="K913" s="1">
        <v>1209.3499999999999</v>
      </c>
      <c r="L913" s="1">
        <v>15</v>
      </c>
      <c r="M913" s="1">
        <v>181.4</v>
      </c>
      <c r="N913" s="1">
        <v>1027.95</v>
      </c>
      <c r="O913" s="1" t="s">
        <v>80</v>
      </c>
      <c r="P913" s="1" t="s">
        <v>839</v>
      </c>
      <c r="Q913" s="1">
        <v>4</v>
      </c>
      <c r="R913" s="1">
        <f>Retail_Sales_Analyis[[#This Row],[Final_Price]]-Retail_Sales_Analyis[[#This Row],[Total_Price]]</f>
        <v>-181.39999999999986</v>
      </c>
      <c r="S9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14" spans="1:19" x14ac:dyDescent="0.25">
      <c r="A914" s="1" t="s">
        <v>1645</v>
      </c>
      <c r="B914" s="2">
        <v>45319</v>
      </c>
      <c r="C914" s="1" t="s">
        <v>36</v>
      </c>
      <c r="D914" s="1" t="s">
        <v>49</v>
      </c>
      <c r="E914" s="1" t="s">
        <v>168</v>
      </c>
      <c r="F914" s="1" t="s">
        <v>84</v>
      </c>
      <c r="G914" s="1" t="s">
        <v>169</v>
      </c>
      <c r="H914" s="1" t="s">
        <v>366</v>
      </c>
      <c r="I914" s="1">
        <v>1460.26</v>
      </c>
      <c r="J914" s="1">
        <v>9</v>
      </c>
      <c r="K914" s="1">
        <v>13142.34</v>
      </c>
      <c r="L914" s="1">
        <v>0</v>
      </c>
      <c r="M914" s="1">
        <v>0</v>
      </c>
      <c r="N914" s="1">
        <v>13142.34</v>
      </c>
      <c r="O914" s="1" t="s">
        <v>33</v>
      </c>
      <c r="P914" s="1" t="s">
        <v>830</v>
      </c>
      <c r="Q914" s="1">
        <v>3</v>
      </c>
      <c r="R914" s="1">
        <f>Retail_Sales_Analyis[[#This Row],[Final_Price]]-Retail_Sales_Analyis[[#This Row],[Total_Price]]</f>
        <v>0</v>
      </c>
      <c r="S9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15" spans="1:19" x14ac:dyDescent="0.25">
      <c r="A915" s="1" t="s">
        <v>1646</v>
      </c>
      <c r="B915" s="2">
        <v>45575</v>
      </c>
      <c r="C915" s="1" t="s">
        <v>76</v>
      </c>
      <c r="D915" s="1" t="s">
        <v>67</v>
      </c>
      <c r="E915" s="1" t="s">
        <v>174</v>
      </c>
      <c r="F915" s="1" t="s">
        <v>84</v>
      </c>
      <c r="G915" s="1" t="s">
        <v>57</v>
      </c>
      <c r="H915" s="1" t="s">
        <v>58</v>
      </c>
      <c r="I915" s="1">
        <v>248.2</v>
      </c>
      <c r="J915" s="1">
        <v>8</v>
      </c>
      <c r="K915" s="1">
        <v>1985.6</v>
      </c>
      <c r="L915" s="1">
        <v>15</v>
      </c>
      <c r="M915" s="1">
        <v>297.83999999999997</v>
      </c>
      <c r="N915" s="1">
        <v>1687.76</v>
      </c>
      <c r="O915" s="1" t="s">
        <v>33</v>
      </c>
      <c r="P915" s="1" t="s">
        <v>1647</v>
      </c>
      <c r="Q915" s="1">
        <v>3</v>
      </c>
      <c r="R915" s="1">
        <f>Retail_Sales_Analyis[[#This Row],[Final_Price]]-Retail_Sales_Analyis[[#This Row],[Total_Price]]</f>
        <v>-297.83999999999992</v>
      </c>
      <c r="S9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16" spans="1:19" x14ac:dyDescent="0.25">
      <c r="A916" s="1" t="s">
        <v>1648</v>
      </c>
      <c r="B916" s="2">
        <v>45441</v>
      </c>
      <c r="C916" s="1" t="s">
        <v>42</v>
      </c>
      <c r="D916" s="1" t="s">
        <v>55</v>
      </c>
      <c r="E916" s="1" t="s">
        <v>307</v>
      </c>
      <c r="F916" s="1" t="s">
        <v>69</v>
      </c>
      <c r="G916" s="1" t="s">
        <v>169</v>
      </c>
      <c r="H916" s="1" t="s">
        <v>348</v>
      </c>
      <c r="I916" s="1">
        <v>568.87</v>
      </c>
      <c r="J916" s="1">
        <v>1</v>
      </c>
      <c r="K916" s="1">
        <v>568.87</v>
      </c>
      <c r="L916" s="1">
        <v>5</v>
      </c>
      <c r="M916" s="1">
        <v>28.44</v>
      </c>
      <c r="N916" s="1">
        <v>540.42999999999995</v>
      </c>
      <c r="O916" s="1" t="s">
        <v>64</v>
      </c>
      <c r="P916" s="1" t="s">
        <v>1649</v>
      </c>
      <c r="Q916" s="1">
        <v>4</v>
      </c>
      <c r="R916" s="1">
        <f>Retail_Sales_Analyis[[#This Row],[Final_Price]]-Retail_Sales_Analyis[[#This Row],[Total_Price]]</f>
        <v>-28.440000000000055</v>
      </c>
      <c r="S9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17" spans="1:19" x14ac:dyDescent="0.25">
      <c r="A917" s="1" t="s">
        <v>1650</v>
      </c>
      <c r="B917" s="2">
        <v>45649</v>
      </c>
      <c r="C917" s="1" t="s">
        <v>73</v>
      </c>
      <c r="D917" s="1" t="s">
        <v>43</v>
      </c>
      <c r="E917" s="1" t="s">
        <v>145</v>
      </c>
      <c r="F917" s="1" t="s">
        <v>69</v>
      </c>
      <c r="G917" s="1" t="s">
        <v>169</v>
      </c>
      <c r="H917" s="1" t="s">
        <v>175</v>
      </c>
      <c r="I917" s="1">
        <v>698.92</v>
      </c>
      <c r="J917" s="1">
        <v>2</v>
      </c>
      <c r="K917" s="1">
        <v>1397.84</v>
      </c>
      <c r="L917" s="1">
        <v>0</v>
      </c>
      <c r="M917" s="1">
        <v>0</v>
      </c>
      <c r="N917" s="1">
        <v>1397.84</v>
      </c>
      <c r="O917" s="1" t="s">
        <v>80</v>
      </c>
      <c r="P917" s="1" t="s">
        <v>641</v>
      </c>
      <c r="Q917" s="1">
        <v>2</v>
      </c>
      <c r="R917" s="1">
        <f>Retail_Sales_Analyis[[#This Row],[Final_Price]]-Retail_Sales_Analyis[[#This Row],[Total_Price]]</f>
        <v>0</v>
      </c>
      <c r="S9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18" spans="1:19" x14ac:dyDescent="0.25">
      <c r="A918" s="1" t="s">
        <v>1651</v>
      </c>
      <c r="B918" s="2">
        <v>45356</v>
      </c>
      <c r="C918" s="1" t="s">
        <v>61</v>
      </c>
      <c r="D918" s="1" t="s">
        <v>28</v>
      </c>
      <c r="E918" s="1" t="s">
        <v>204</v>
      </c>
      <c r="F918" s="1" t="s">
        <v>84</v>
      </c>
      <c r="G918" s="1" t="s">
        <v>57</v>
      </c>
      <c r="H918" s="1" t="s">
        <v>152</v>
      </c>
      <c r="I918" s="1">
        <v>595.73</v>
      </c>
      <c r="J918" s="1">
        <v>10</v>
      </c>
      <c r="K918" s="1">
        <v>5957.3</v>
      </c>
      <c r="L918" s="1">
        <v>20</v>
      </c>
      <c r="M918" s="1">
        <v>1191.46</v>
      </c>
      <c r="N918" s="1">
        <v>4765.84</v>
      </c>
      <c r="O918" s="1" t="s">
        <v>33</v>
      </c>
      <c r="P918" s="1" t="s">
        <v>1652</v>
      </c>
      <c r="Q918" s="1">
        <v>5</v>
      </c>
      <c r="R918" s="1">
        <f>Retail_Sales_Analyis[[#This Row],[Final_Price]]-Retail_Sales_Analyis[[#This Row],[Total_Price]]</f>
        <v>-1191.46</v>
      </c>
      <c r="S9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19" spans="1:19" x14ac:dyDescent="0.25">
      <c r="A919" s="1" t="s">
        <v>1653</v>
      </c>
      <c r="B919" s="2">
        <v>45618</v>
      </c>
      <c r="C919" s="1" t="s">
        <v>18</v>
      </c>
      <c r="D919" s="1" t="s">
        <v>144</v>
      </c>
      <c r="E919" s="1" t="s">
        <v>107</v>
      </c>
      <c r="F919" s="1" t="s">
        <v>37</v>
      </c>
      <c r="G919" s="1" t="s">
        <v>57</v>
      </c>
      <c r="H919" s="1" t="s">
        <v>152</v>
      </c>
      <c r="I919" s="1">
        <v>2348.7399999999998</v>
      </c>
      <c r="J919" s="1">
        <v>5</v>
      </c>
      <c r="K919" s="1">
        <v>11743.7</v>
      </c>
      <c r="L919" s="1">
        <v>5</v>
      </c>
      <c r="M919" s="1">
        <v>587.19000000000005</v>
      </c>
      <c r="N919" s="1">
        <v>11156.51</v>
      </c>
      <c r="O919" s="1" t="s">
        <v>46</v>
      </c>
      <c r="P919" s="1" t="s">
        <v>1654</v>
      </c>
      <c r="Q919" s="1">
        <v>3</v>
      </c>
      <c r="R919" s="1">
        <f>Retail_Sales_Analyis[[#This Row],[Final_Price]]-Retail_Sales_Analyis[[#This Row],[Total_Price]]</f>
        <v>-587.19000000000051</v>
      </c>
      <c r="S9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20" spans="1:19" x14ac:dyDescent="0.25">
      <c r="A920" s="1" t="s">
        <v>1655</v>
      </c>
      <c r="B920" s="2">
        <v>45543</v>
      </c>
      <c r="C920" s="1" t="s">
        <v>116</v>
      </c>
      <c r="D920" s="1" t="s">
        <v>49</v>
      </c>
      <c r="E920" s="1" t="s">
        <v>141</v>
      </c>
      <c r="F920" s="1" t="s">
        <v>69</v>
      </c>
      <c r="G920" s="1" t="s">
        <v>22</v>
      </c>
      <c r="H920" s="1" t="s">
        <v>133</v>
      </c>
      <c r="I920" s="1">
        <v>414.52</v>
      </c>
      <c r="J920" s="1">
        <v>4</v>
      </c>
      <c r="K920" s="1">
        <v>1658.08</v>
      </c>
      <c r="L920" s="1">
        <v>20</v>
      </c>
      <c r="M920" s="1">
        <v>331.62</v>
      </c>
      <c r="N920" s="1">
        <v>1326.46</v>
      </c>
      <c r="O920" s="1" t="s">
        <v>80</v>
      </c>
      <c r="P920" s="1" t="s">
        <v>1019</v>
      </c>
      <c r="Q920" s="1">
        <v>4</v>
      </c>
      <c r="R920" s="1">
        <f>Retail_Sales_Analyis[[#This Row],[Final_Price]]-Retail_Sales_Analyis[[#This Row],[Total_Price]]</f>
        <v>-331.61999999999989</v>
      </c>
      <c r="S9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21" spans="1:19" x14ac:dyDescent="0.25">
      <c r="A921" s="1" t="s">
        <v>1656</v>
      </c>
      <c r="B921" s="2">
        <v>45344</v>
      </c>
      <c r="C921" s="1" t="s">
        <v>27</v>
      </c>
      <c r="D921" s="1" t="s">
        <v>67</v>
      </c>
      <c r="E921" s="1" t="s">
        <v>542</v>
      </c>
      <c r="F921" s="1" t="s">
        <v>69</v>
      </c>
      <c r="G921" s="1" t="s">
        <v>57</v>
      </c>
      <c r="H921" s="1" t="s">
        <v>158</v>
      </c>
      <c r="I921" s="1">
        <v>1491.84</v>
      </c>
      <c r="J921" s="1">
        <v>8</v>
      </c>
      <c r="K921" s="1">
        <v>11934.72</v>
      </c>
      <c r="L921" s="1">
        <v>10</v>
      </c>
      <c r="M921" s="1">
        <v>1193.47</v>
      </c>
      <c r="N921" s="1">
        <v>10741.25</v>
      </c>
      <c r="O921" s="1" t="s">
        <v>80</v>
      </c>
      <c r="P921" s="1" t="s">
        <v>1657</v>
      </c>
      <c r="Q921" s="1">
        <v>1</v>
      </c>
      <c r="R921" s="1">
        <f>Retail_Sales_Analyis[[#This Row],[Final_Price]]-Retail_Sales_Analyis[[#This Row],[Total_Price]]</f>
        <v>-1193.4699999999993</v>
      </c>
      <c r="S9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22" spans="1:19" x14ac:dyDescent="0.25">
      <c r="A922" s="1" t="s">
        <v>1658</v>
      </c>
      <c r="B922" s="2">
        <v>45298</v>
      </c>
      <c r="C922" s="1" t="s">
        <v>36</v>
      </c>
      <c r="D922" s="1" t="s">
        <v>49</v>
      </c>
      <c r="E922" s="1" t="s">
        <v>236</v>
      </c>
      <c r="F922" s="1" t="s">
        <v>21</v>
      </c>
      <c r="G922" s="1" t="s">
        <v>169</v>
      </c>
      <c r="H922" s="1" t="s">
        <v>348</v>
      </c>
      <c r="I922" s="1">
        <v>452.74</v>
      </c>
      <c r="J922" s="1">
        <v>1</v>
      </c>
      <c r="K922" s="1">
        <v>452.74</v>
      </c>
      <c r="L922" s="1">
        <v>0</v>
      </c>
      <c r="M922" s="1">
        <v>0</v>
      </c>
      <c r="N922" s="1">
        <v>452.74</v>
      </c>
      <c r="O922" s="1" t="s">
        <v>80</v>
      </c>
      <c r="P922" s="1" t="s">
        <v>1659</v>
      </c>
      <c r="Q922" s="1">
        <v>1</v>
      </c>
      <c r="R922" s="1">
        <f>Retail_Sales_Analyis[[#This Row],[Final_Price]]-Retail_Sales_Analyis[[#This Row],[Total_Price]]</f>
        <v>0</v>
      </c>
      <c r="S9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3" spans="1:19" x14ac:dyDescent="0.25">
      <c r="A923" s="1" t="s">
        <v>1660</v>
      </c>
      <c r="B923" s="2">
        <v>45585</v>
      </c>
      <c r="C923" s="1" t="s">
        <v>76</v>
      </c>
      <c r="D923" s="1" t="s">
        <v>49</v>
      </c>
      <c r="E923" s="1" t="s">
        <v>68</v>
      </c>
      <c r="F923" s="1" t="s">
        <v>84</v>
      </c>
      <c r="G923" s="1" t="s">
        <v>169</v>
      </c>
      <c r="H923" s="1" t="s">
        <v>208</v>
      </c>
      <c r="I923" s="1">
        <v>1362.6</v>
      </c>
      <c r="J923" s="1">
        <v>8</v>
      </c>
      <c r="K923" s="1">
        <v>10900.8</v>
      </c>
      <c r="L923" s="1">
        <v>0</v>
      </c>
      <c r="M923" s="1">
        <v>0</v>
      </c>
      <c r="N923" s="1">
        <v>10900.8</v>
      </c>
      <c r="O923" s="1" t="s">
        <v>80</v>
      </c>
      <c r="P923" s="1" t="s">
        <v>1661</v>
      </c>
      <c r="Q923" s="1">
        <v>4</v>
      </c>
      <c r="R923" s="1">
        <f>Retail_Sales_Analyis[[#This Row],[Final_Price]]-Retail_Sales_Analyis[[#This Row],[Total_Price]]</f>
        <v>0</v>
      </c>
      <c r="S9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4" spans="1:19" x14ac:dyDescent="0.25">
      <c r="A924" s="1" t="s">
        <v>1662</v>
      </c>
      <c r="B924" s="2">
        <v>45437</v>
      </c>
      <c r="C924" s="1" t="s">
        <v>42</v>
      </c>
      <c r="D924" s="1" t="s">
        <v>19</v>
      </c>
      <c r="E924" s="1" t="s">
        <v>166</v>
      </c>
      <c r="F924" s="1" t="s">
        <v>84</v>
      </c>
      <c r="G924" s="1" t="s">
        <v>22</v>
      </c>
      <c r="H924" s="1" t="s">
        <v>133</v>
      </c>
      <c r="I924" s="1">
        <v>437.4</v>
      </c>
      <c r="J924" s="1">
        <v>7</v>
      </c>
      <c r="K924" s="1">
        <v>3061.8</v>
      </c>
      <c r="L924" s="1">
        <v>0</v>
      </c>
      <c r="M924" s="1">
        <v>0</v>
      </c>
      <c r="N924" s="1">
        <v>3061.8</v>
      </c>
      <c r="O924" s="1" t="s">
        <v>46</v>
      </c>
      <c r="P924" s="1" t="s">
        <v>907</v>
      </c>
      <c r="Q924" s="1">
        <v>5</v>
      </c>
      <c r="R924" s="1">
        <f>Retail_Sales_Analyis[[#This Row],[Final_Price]]-Retail_Sales_Analyis[[#This Row],[Total_Price]]</f>
        <v>0</v>
      </c>
      <c r="S9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5" spans="1:19" x14ac:dyDescent="0.25">
      <c r="A925" s="1" t="s">
        <v>1663</v>
      </c>
      <c r="B925" s="2">
        <v>45532</v>
      </c>
      <c r="C925" s="1" t="s">
        <v>93</v>
      </c>
      <c r="D925" s="1" t="s">
        <v>55</v>
      </c>
      <c r="E925" s="1" t="s">
        <v>50</v>
      </c>
      <c r="F925" s="1" t="s">
        <v>30</v>
      </c>
      <c r="G925" s="1" t="s">
        <v>78</v>
      </c>
      <c r="H925" s="1" t="s">
        <v>126</v>
      </c>
      <c r="I925" s="1">
        <v>442.6</v>
      </c>
      <c r="J925" s="1">
        <v>3</v>
      </c>
      <c r="K925" s="1">
        <v>1327.8</v>
      </c>
      <c r="L925" s="1">
        <v>0</v>
      </c>
      <c r="M925" s="1">
        <v>0</v>
      </c>
      <c r="N925" s="1">
        <v>1327.8</v>
      </c>
      <c r="O925" s="1" t="s">
        <v>80</v>
      </c>
      <c r="P925" s="1" t="s">
        <v>1664</v>
      </c>
      <c r="Q925" s="1">
        <v>2</v>
      </c>
      <c r="R925" s="1">
        <f>Retail_Sales_Analyis[[#This Row],[Final_Price]]-Retail_Sales_Analyis[[#This Row],[Total_Price]]</f>
        <v>0</v>
      </c>
      <c r="S9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6" spans="1:19" x14ac:dyDescent="0.25">
      <c r="A926" s="1" t="s">
        <v>1665</v>
      </c>
      <c r="B926" s="2">
        <v>45537</v>
      </c>
      <c r="C926" s="1" t="s">
        <v>116</v>
      </c>
      <c r="D926" s="1" t="s">
        <v>43</v>
      </c>
      <c r="E926" s="1" t="s">
        <v>139</v>
      </c>
      <c r="F926" s="1" t="s">
        <v>69</v>
      </c>
      <c r="G926" s="1" t="s">
        <v>38</v>
      </c>
      <c r="H926" s="1" t="s">
        <v>108</v>
      </c>
      <c r="I926" s="1">
        <v>424.02</v>
      </c>
      <c r="J926" s="1">
        <v>6</v>
      </c>
      <c r="K926" s="1">
        <v>2544.12</v>
      </c>
      <c r="L926" s="1">
        <v>15</v>
      </c>
      <c r="M926" s="1">
        <v>381.62</v>
      </c>
      <c r="N926" s="1">
        <v>2162.5</v>
      </c>
      <c r="O926" s="1" t="s">
        <v>64</v>
      </c>
      <c r="P926" s="1" t="s">
        <v>1547</v>
      </c>
      <c r="Q926" s="1">
        <v>2</v>
      </c>
      <c r="R926" s="1">
        <f>Retail_Sales_Analyis[[#This Row],[Final_Price]]-Retail_Sales_Analyis[[#This Row],[Total_Price]]</f>
        <v>-381.61999999999989</v>
      </c>
      <c r="S9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27" spans="1:19" x14ac:dyDescent="0.25">
      <c r="A927" s="1" t="s">
        <v>1666</v>
      </c>
      <c r="B927" s="2">
        <v>45517</v>
      </c>
      <c r="C927" s="1" t="s">
        <v>93</v>
      </c>
      <c r="D927" s="1" t="s">
        <v>28</v>
      </c>
      <c r="E927" s="1" t="s">
        <v>168</v>
      </c>
      <c r="F927" s="1" t="s">
        <v>21</v>
      </c>
      <c r="G927" s="1" t="s">
        <v>78</v>
      </c>
      <c r="H927" s="1" t="s">
        <v>136</v>
      </c>
      <c r="I927" s="1">
        <v>230.65</v>
      </c>
      <c r="J927" s="1">
        <v>8</v>
      </c>
      <c r="K927" s="1">
        <v>1845.2</v>
      </c>
      <c r="L927" s="1">
        <v>0</v>
      </c>
      <c r="M927" s="1">
        <v>0</v>
      </c>
      <c r="N927" s="1">
        <v>1845.2</v>
      </c>
      <c r="O927" s="1" t="s">
        <v>24</v>
      </c>
      <c r="P927" s="1" t="s">
        <v>1667</v>
      </c>
      <c r="Q927" s="1">
        <v>3</v>
      </c>
      <c r="R927" s="1">
        <f>Retail_Sales_Analyis[[#This Row],[Final_Price]]-Retail_Sales_Analyis[[#This Row],[Total_Price]]</f>
        <v>0</v>
      </c>
      <c r="S9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8" spans="1:19" x14ac:dyDescent="0.25">
      <c r="A928" s="1" t="s">
        <v>1668</v>
      </c>
      <c r="B928" s="2">
        <v>45466</v>
      </c>
      <c r="C928" s="1" t="s">
        <v>173</v>
      </c>
      <c r="D928" s="1" t="s">
        <v>49</v>
      </c>
      <c r="E928" s="1" t="s">
        <v>89</v>
      </c>
      <c r="F928" s="1" t="s">
        <v>21</v>
      </c>
      <c r="G928" s="1" t="s">
        <v>169</v>
      </c>
      <c r="H928" s="1" t="s">
        <v>170</v>
      </c>
      <c r="I928" s="1">
        <v>850.31</v>
      </c>
      <c r="J928" s="1">
        <v>2</v>
      </c>
      <c r="K928" s="1">
        <v>1700.62</v>
      </c>
      <c r="L928" s="1">
        <v>0</v>
      </c>
      <c r="M928" s="1">
        <v>0</v>
      </c>
      <c r="N928" s="1">
        <v>1700.62</v>
      </c>
      <c r="O928" s="1" t="s">
        <v>80</v>
      </c>
      <c r="P928" s="1" t="s">
        <v>1669</v>
      </c>
      <c r="Q928" s="1">
        <v>4</v>
      </c>
      <c r="R928" s="1">
        <f>Retail_Sales_Analyis[[#This Row],[Final_Price]]-Retail_Sales_Analyis[[#This Row],[Total_Price]]</f>
        <v>0</v>
      </c>
      <c r="S9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29" spans="1:19" x14ac:dyDescent="0.25">
      <c r="A929" s="1" t="s">
        <v>1670</v>
      </c>
      <c r="B929" s="2">
        <v>45386</v>
      </c>
      <c r="C929" s="1" t="s">
        <v>54</v>
      </c>
      <c r="D929" s="1" t="s">
        <v>67</v>
      </c>
      <c r="E929" s="1" t="s">
        <v>199</v>
      </c>
      <c r="F929" s="1" t="s">
        <v>30</v>
      </c>
      <c r="G929" s="1" t="s">
        <v>78</v>
      </c>
      <c r="H929" s="1" t="s">
        <v>126</v>
      </c>
      <c r="I929" s="1">
        <v>547.5</v>
      </c>
      <c r="J929" s="1">
        <v>6</v>
      </c>
      <c r="K929" s="1">
        <v>3285</v>
      </c>
      <c r="L929" s="1">
        <v>15</v>
      </c>
      <c r="M929" s="1">
        <v>492.75</v>
      </c>
      <c r="N929" s="1">
        <v>2792.25</v>
      </c>
      <c r="O929" s="1" t="s">
        <v>24</v>
      </c>
      <c r="P929" s="1" t="s">
        <v>570</v>
      </c>
      <c r="Q929" s="1">
        <v>2</v>
      </c>
      <c r="R929" s="1">
        <f>Retail_Sales_Analyis[[#This Row],[Final_Price]]-Retail_Sales_Analyis[[#This Row],[Total_Price]]</f>
        <v>-492.75</v>
      </c>
      <c r="S9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0" spans="1:19" x14ac:dyDescent="0.25">
      <c r="A930" s="1" t="s">
        <v>1671</v>
      </c>
      <c r="B930" s="2">
        <v>45318</v>
      </c>
      <c r="C930" s="1" t="s">
        <v>36</v>
      </c>
      <c r="D930" s="1" t="s">
        <v>19</v>
      </c>
      <c r="E930" s="1" t="s">
        <v>163</v>
      </c>
      <c r="F930" s="1" t="s">
        <v>84</v>
      </c>
      <c r="G930" s="1" t="s">
        <v>22</v>
      </c>
      <c r="H930" s="1" t="s">
        <v>187</v>
      </c>
      <c r="I930" s="1">
        <v>783.46</v>
      </c>
      <c r="J930" s="1">
        <v>6</v>
      </c>
      <c r="K930" s="1">
        <v>4700.76</v>
      </c>
      <c r="L930" s="1">
        <v>10</v>
      </c>
      <c r="M930" s="1">
        <v>470.08</v>
      </c>
      <c r="N930" s="1">
        <v>4230.68</v>
      </c>
      <c r="O930" s="1" t="s">
        <v>33</v>
      </c>
      <c r="P930" s="1" t="s">
        <v>1672</v>
      </c>
      <c r="Q930" s="1">
        <v>3</v>
      </c>
      <c r="R930" s="1">
        <f>Retail_Sales_Analyis[[#This Row],[Final_Price]]-Retail_Sales_Analyis[[#This Row],[Total_Price]]</f>
        <v>-470.07999999999993</v>
      </c>
      <c r="S9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1" spans="1:19" x14ac:dyDescent="0.25">
      <c r="A931" s="1" t="s">
        <v>1673</v>
      </c>
      <c r="B931" s="2">
        <v>45421</v>
      </c>
      <c r="C931" s="1" t="s">
        <v>42</v>
      </c>
      <c r="D931" s="1" t="s">
        <v>67</v>
      </c>
      <c r="E931" s="1" t="s">
        <v>129</v>
      </c>
      <c r="F931" s="1" t="s">
        <v>30</v>
      </c>
      <c r="G931" s="1" t="s">
        <v>57</v>
      </c>
      <c r="H931" s="1" t="s">
        <v>152</v>
      </c>
      <c r="I931" s="1">
        <v>1859.39</v>
      </c>
      <c r="J931" s="1">
        <v>2</v>
      </c>
      <c r="K931" s="1">
        <v>3718.78</v>
      </c>
      <c r="L931" s="1">
        <v>15</v>
      </c>
      <c r="M931" s="1">
        <v>557.82000000000005</v>
      </c>
      <c r="N931" s="1">
        <v>3160.96</v>
      </c>
      <c r="O931" s="1" t="s">
        <v>64</v>
      </c>
      <c r="P931" s="1" t="s">
        <v>1493</v>
      </c>
      <c r="Q931" s="1">
        <v>3</v>
      </c>
      <c r="R931" s="1">
        <f>Retail_Sales_Analyis[[#This Row],[Final_Price]]-Retail_Sales_Analyis[[#This Row],[Total_Price]]</f>
        <v>-557.82000000000016</v>
      </c>
      <c r="S9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2" spans="1:19" x14ac:dyDescent="0.25">
      <c r="A932" s="1" t="s">
        <v>1674</v>
      </c>
      <c r="B932" s="2">
        <v>45536</v>
      </c>
      <c r="C932" s="1" t="s">
        <v>116</v>
      </c>
      <c r="D932" s="1" t="s">
        <v>49</v>
      </c>
      <c r="E932" s="1" t="s">
        <v>196</v>
      </c>
      <c r="F932" s="1" t="s">
        <v>84</v>
      </c>
      <c r="G932" s="1" t="s">
        <v>169</v>
      </c>
      <c r="H932" s="1" t="s">
        <v>366</v>
      </c>
      <c r="I932" s="1">
        <v>1256.26</v>
      </c>
      <c r="J932" s="1">
        <v>10</v>
      </c>
      <c r="K932" s="1">
        <v>12562.6</v>
      </c>
      <c r="L932" s="1">
        <v>15</v>
      </c>
      <c r="M932" s="1">
        <v>1884.39</v>
      </c>
      <c r="N932" s="1">
        <v>10678.21</v>
      </c>
      <c r="O932" s="1" t="s">
        <v>33</v>
      </c>
      <c r="P932" s="1" t="s">
        <v>1675</v>
      </c>
      <c r="Q932" s="1">
        <v>3</v>
      </c>
      <c r="R932" s="1">
        <f>Retail_Sales_Analyis[[#This Row],[Final_Price]]-Retail_Sales_Analyis[[#This Row],[Total_Price]]</f>
        <v>-1884.3900000000012</v>
      </c>
      <c r="S9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3" spans="1:19" x14ac:dyDescent="0.25">
      <c r="A933" s="1" t="s">
        <v>1676</v>
      </c>
      <c r="B933" s="2">
        <v>45350</v>
      </c>
      <c r="C933" s="1" t="s">
        <v>27</v>
      </c>
      <c r="D933" s="1" t="s">
        <v>55</v>
      </c>
      <c r="E933" s="1" t="s">
        <v>125</v>
      </c>
      <c r="F933" s="1" t="s">
        <v>21</v>
      </c>
      <c r="G933" s="1" t="s">
        <v>38</v>
      </c>
      <c r="H933" s="1" t="s">
        <v>70</v>
      </c>
      <c r="I933" s="1">
        <v>567.95000000000005</v>
      </c>
      <c r="J933" s="1">
        <v>8</v>
      </c>
      <c r="K933" s="1">
        <v>4543.6000000000004</v>
      </c>
      <c r="L933" s="1">
        <v>0</v>
      </c>
      <c r="M933" s="1">
        <v>0</v>
      </c>
      <c r="N933" s="1">
        <v>4543.6000000000004</v>
      </c>
      <c r="O933" s="1" t="s">
        <v>64</v>
      </c>
      <c r="P933" s="1" t="s">
        <v>1677</v>
      </c>
      <c r="Q933" s="1">
        <v>1</v>
      </c>
      <c r="R933" s="1">
        <f>Retail_Sales_Analyis[[#This Row],[Final_Price]]-Retail_Sales_Analyis[[#This Row],[Total_Price]]</f>
        <v>0</v>
      </c>
      <c r="S9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34" spans="1:19" x14ac:dyDescent="0.25">
      <c r="A934" s="1" t="s">
        <v>1678</v>
      </c>
      <c r="B934" s="2">
        <v>45325</v>
      </c>
      <c r="C934" s="1" t="s">
        <v>27</v>
      </c>
      <c r="D934" s="1" t="s">
        <v>19</v>
      </c>
      <c r="E934" s="1" t="s">
        <v>68</v>
      </c>
      <c r="F934" s="1" t="s">
        <v>84</v>
      </c>
      <c r="G934" s="1" t="s">
        <v>85</v>
      </c>
      <c r="H934" s="1" t="s">
        <v>98</v>
      </c>
      <c r="I934" s="1">
        <v>1659.27</v>
      </c>
      <c r="J934" s="1">
        <v>1</v>
      </c>
      <c r="K934" s="1">
        <v>1659.27</v>
      </c>
      <c r="L934" s="1">
        <v>0</v>
      </c>
      <c r="M934" s="1">
        <v>0</v>
      </c>
      <c r="N934" s="1">
        <v>1659.27</v>
      </c>
      <c r="O934" s="1" t="s">
        <v>24</v>
      </c>
      <c r="P934" s="1" t="s">
        <v>1039</v>
      </c>
      <c r="Q934" s="1">
        <v>1</v>
      </c>
      <c r="R934" s="1">
        <f>Retail_Sales_Analyis[[#This Row],[Final_Price]]-Retail_Sales_Analyis[[#This Row],[Total_Price]]</f>
        <v>0</v>
      </c>
      <c r="S9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35" spans="1:19" x14ac:dyDescent="0.25">
      <c r="A935" s="1" t="s">
        <v>1679</v>
      </c>
      <c r="B935" s="2">
        <v>45497</v>
      </c>
      <c r="C935" s="1" t="s">
        <v>195</v>
      </c>
      <c r="D935" s="1" t="s">
        <v>55</v>
      </c>
      <c r="E935" s="1" t="s">
        <v>29</v>
      </c>
      <c r="F935" s="1" t="s">
        <v>84</v>
      </c>
      <c r="G935" s="1" t="s">
        <v>31</v>
      </c>
      <c r="H935" s="1" t="s">
        <v>32</v>
      </c>
      <c r="I935" s="1">
        <v>349.18</v>
      </c>
      <c r="J935" s="1">
        <v>6</v>
      </c>
      <c r="K935" s="1">
        <v>2095.08</v>
      </c>
      <c r="L935" s="1">
        <v>0</v>
      </c>
      <c r="M935" s="1">
        <v>0</v>
      </c>
      <c r="N935" s="1">
        <v>2095.08</v>
      </c>
      <c r="O935" s="1" t="s">
        <v>80</v>
      </c>
      <c r="P935" s="1" t="s">
        <v>1680</v>
      </c>
      <c r="Q935" s="1">
        <v>1</v>
      </c>
      <c r="R935" s="1">
        <f>Retail_Sales_Analyis[[#This Row],[Final_Price]]-Retail_Sales_Analyis[[#This Row],[Total_Price]]</f>
        <v>0</v>
      </c>
      <c r="S9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36" spans="1:19" x14ac:dyDescent="0.25">
      <c r="A936" s="1" t="s">
        <v>1681</v>
      </c>
      <c r="B936" s="2">
        <v>45543</v>
      </c>
      <c r="C936" s="1" t="s">
        <v>116</v>
      </c>
      <c r="D936" s="1" t="s">
        <v>49</v>
      </c>
      <c r="E936" s="1" t="s">
        <v>139</v>
      </c>
      <c r="F936" s="1" t="s">
        <v>37</v>
      </c>
      <c r="G936" s="1" t="s">
        <v>22</v>
      </c>
      <c r="H936" s="1" t="s">
        <v>51</v>
      </c>
      <c r="I936" s="1">
        <v>765</v>
      </c>
      <c r="J936" s="1">
        <v>6</v>
      </c>
      <c r="K936" s="1">
        <v>4590</v>
      </c>
      <c r="L936" s="1">
        <v>0</v>
      </c>
      <c r="M936" s="1">
        <v>0</v>
      </c>
      <c r="N936" s="1">
        <v>4590</v>
      </c>
      <c r="O936" s="1" t="s">
        <v>80</v>
      </c>
      <c r="P936" s="1" t="s">
        <v>1008</v>
      </c>
      <c r="Q936" s="1">
        <v>3</v>
      </c>
      <c r="R936" s="1">
        <f>Retail_Sales_Analyis[[#This Row],[Final_Price]]-Retail_Sales_Analyis[[#This Row],[Total_Price]]</f>
        <v>0</v>
      </c>
      <c r="S9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37" spans="1:19" x14ac:dyDescent="0.25">
      <c r="A937" s="1" t="s">
        <v>1682</v>
      </c>
      <c r="B937" s="2">
        <v>45329</v>
      </c>
      <c r="C937" s="1" t="s">
        <v>27</v>
      </c>
      <c r="D937" s="1" t="s">
        <v>55</v>
      </c>
      <c r="E937" s="1" t="s">
        <v>163</v>
      </c>
      <c r="F937" s="1" t="s">
        <v>69</v>
      </c>
      <c r="G937" s="1" t="s">
        <v>57</v>
      </c>
      <c r="H937" s="1" t="s">
        <v>101</v>
      </c>
      <c r="I937" s="1">
        <v>2847.37</v>
      </c>
      <c r="J937" s="1">
        <v>5</v>
      </c>
      <c r="K937" s="1">
        <v>14236.85</v>
      </c>
      <c r="L937" s="1">
        <v>15</v>
      </c>
      <c r="M937" s="1">
        <v>2135.5300000000002</v>
      </c>
      <c r="N937" s="1">
        <v>12101.32</v>
      </c>
      <c r="O937" s="1" t="s">
        <v>64</v>
      </c>
      <c r="P937" s="1" t="s">
        <v>1683</v>
      </c>
      <c r="Q937" s="1">
        <v>4</v>
      </c>
      <c r="R937" s="1">
        <f>Retail_Sales_Analyis[[#This Row],[Final_Price]]-Retail_Sales_Analyis[[#This Row],[Total_Price]]</f>
        <v>-2135.5300000000007</v>
      </c>
      <c r="S9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8" spans="1:19" x14ac:dyDescent="0.25">
      <c r="A938" s="1" t="s">
        <v>1684</v>
      </c>
      <c r="B938" s="2">
        <v>45587</v>
      </c>
      <c r="C938" s="1" t="s">
        <v>76</v>
      </c>
      <c r="D938" s="1" t="s">
        <v>28</v>
      </c>
      <c r="E938" s="1" t="s">
        <v>337</v>
      </c>
      <c r="F938" s="1" t="s">
        <v>30</v>
      </c>
      <c r="G938" s="1" t="s">
        <v>38</v>
      </c>
      <c r="H938" s="1" t="s">
        <v>39</v>
      </c>
      <c r="I938" s="1">
        <v>490.53</v>
      </c>
      <c r="J938" s="1">
        <v>7</v>
      </c>
      <c r="K938" s="1">
        <v>3433.71</v>
      </c>
      <c r="L938" s="1">
        <v>15</v>
      </c>
      <c r="M938" s="1">
        <v>515.05999999999995</v>
      </c>
      <c r="N938" s="1">
        <v>2918.65</v>
      </c>
      <c r="O938" s="1" t="s">
        <v>46</v>
      </c>
      <c r="P938" s="1" t="s">
        <v>259</v>
      </c>
      <c r="Q938" s="1">
        <v>2</v>
      </c>
      <c r="R938" s="1">
        <f>Retail_Sales_Analyis[[#This Row],[Final_Price]]-Retail_Sales_Analyis[[#This Row],[Total_Price]]</f>
        <v>-515.05999999999995</v>
      </c>
      <c r="S9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39" spans="1:19" x14ac:dyDescent="0.25">
      <c r="A939" s="1" t="s">
        <v>1685</v>
      </c>
      <c r="B939" s="2">
        <v>45614</v>
      </c>
      <c r="C939" s="1" t="s">
        <v>18</v>
      </c>
      <c r="D939" s="1" t="s">
        <v>43</v>
      </c>
      <c r="E939" s="1" t="s">
        <v>121</v>
      </c>
      <c r="F939" s="1" t="s">
        <v>30</v>
      </c>
      <c r="G939" s="1" t="s">
        <v>31</v>
      </c>
      <c r="H939" s="1" t="s">
        <v>63</v>
      </c>
      <c r="I939" s="1">
        <v>377.82</v>
      </c>
      <c r="J939" s="1">
        <v>4</v>
      </c>
      <c r="K939" s="1">
        <v>1511.28</v>
      </c>
      <c r="L939" s="1">
        <v>10</v>
      </c>
      <c r="M939" s="1">
        <v>151.13</v>
      </c>
      <c r="N939" s="1">
        <v>1360.15</v>
      </c>
      <c r="O939" s="1" t="s">
        <v>80</v>
      </c>
      <c r="P939" s="1" t="s">
        <v>763</v>
      </c>
      <c r="Q939" s="1">
        <v>2</v>
      </c>
      <c r="R939" s="1">
        <f>Retail_Sales_Analyis[[#This Row],[Final_Price]]-Retail_Sales_Analyis[[#This Row],[Total_Price]]</f>
        <v>-151.12999999999988</v>
      </c>
      <c r="S9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40" spans="1:19" x14ac:dyDescent="0.25">
      <c r="A940" s="1" t="s">
        <v>1686</v>
      </c>
      <c r="B940" s="2">
        <v>45643</v>
      </c>
      <c r="C940" s="1" t="s">
        <v>73</v>
      </c>
      <c r="D940" s="1" t="s">
        <v>28</v>
      </c>
      <c r="E940" s="1" t="s">
        <v>351</v>
      </c>
      <c r="F940" s="1" t="s">
        <v>30</v>
      </c>
      <c r="G940" s="1" t="s">
        <v>112</v>
      </c>
      <c r="H940" s="1" t="s">
        <v>113</v>
      </c>
      <c r="I940" s="1">
        <v>1163.1199999999999</v>
      </c>
      <c r="J940" s="1">
        <v>9</v>
      </c>
      <c r="K940" s="1">
        <v>10468.08</v>
      </c>
      <c r="L940" s="1">
        <v>0</v>
      </c>
      <c r="M940" s="1">
        <v>0</v>
      </c>
      <c r="N940" s="1">
        <v>10468.08</v>
      </c>
      <c r="O940" s="1" t="s">
        <v>24</v>
      </c>
      <c r="P940" s="1" t="s">
        <v>1687</v>
      </c>
      <c r="Q940" s="1">
        <v>5</v>
      </c>
      <c r="R940" s="1">
        <f>Retail_Sales_Analyis[[#This Row],[Final_Price]]-Retail_Sales_Analyis[[#This Row],[Total_Price]]</f>
        <v>0</v>
      </c>
      <c r="S9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1" spans="1:19" x14ac:dyDescent="0.25">
      <c r="A941" s="1" t="s">
        <v>1688</v>
      </c>
      <c r="B941" s="2">
        <v>45319</v>
      </c>
      <c r="C941" s="1" t="s">
        <v>36</v>
      </c>
      <c r="D941" s="1" t="s">
        <v>49</v>
      </c>
      <c r="E941" s="1" t="s">
        <v>20</v>
      </c>
      <c r="F941" s="1" t="s">
        <v>30</v>
      </c>
      <c r="G941" s="1" t="s">
        <v>78</v>
      </c>
      <c r="H941" s="1" t="s">
        <v>323</v>
      </c>
      <c r="I941" s="1">
        <v>376.26</v>
      </c>
      <c r="J941" s="1">
        <v>1</v>
      </c>
      <c r="K941" s="1">
        <v>376.26</v>
      </c>
      <c r="L941" s="1">
        <v>10</v>
      </c>
      <c r="M941" s="1">
        <v>37.630000000000003</v>
      </c>
      <c r="N941" s="1">
        <v>338.63</v>
      </c>
      <c r="O941" s="1" t="s">
        <v>46</v>
      </c>
      <c r="P941" s="1" t="s">
        <v>578</v>
      </c>
      <c r="Q941" s="1">
        <v>1</v>
      </c>
      <c r="R941" s="1">
        <f>Retail_Sales_Analyis[[#This Row],[Final_Price]]-Retail_Sales_Analyis[[#This Row],[Total_Price]]</f>
        <v>-37.629999999999995</v>
      </c>
      <c r="S9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42" spans="1:19" x14ac:dyDescent="0.25">
      <c r="A942" s="1" t="s">
        <v>1689</v>
      </c>
      <c r="B942" s="2">
        <v>45369</v>
      </c>
      <c r="C942" s="1" t="s">
        <v>61</v>
      </c>
      <c r="D942" s="1" t="s">
        <v>43</v>
      </c>
      <c r="E942" s="1" t="s">
        <v>337</v>
      </c>
      <c r="F942" s="1" t="s">
        <v>69</v>
      </c>
      <c r="G942" s="1" t="s">
        <v>31</v>
      </c>
      <c r="H942" s="1" t="s">
        <v>32</v>
      </c>
      <c r="I942" s="1">
        <v>69.760000000000005</v>
      </c>
      <c r="J942" s="1">
        <v>5</v>
      </c>
      <c r="K942" s="1">
        <v>348.8</v>
      </c>
      <c r="L942" s="1">
        <v>0</v>
      </c>
      <c r="M942" s="1">
        <v>0</v>
      </c>
      <c r="N942" s="1">
        <v>348.8</v>
      </c>
      <c r="O942" s="1" t="s">
        <v>24</v>
      </c>
      <c r="P942" s="1" t="s">
        <v>1690</v>
      </c>
      <c r="Q942" s="1">
        <v>5</v>
      </c>
      <c r="R942" s="1">
        <f>Retail_Sales_Analyis[[#This Row],[Final_Price]]-Retail_Sales_Analyis[[#This Row],[Total_Price]]</f>
        <v>0</v>
      </c>
      <c r="S9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3" spans="1:19" x14ac:dyDescent="0.25">
      <c r="A943" s="1" t="s">
        <v>1691</v>
      </c>
      <c r="B943" s="2">
        <v>45368</v>
      </c>
      <c r="C943" s="1" t="s">
        <v>61</v>
      </c>
      <c r="D943" s="1" t="s">
        <v>49</v>
      </c>
      <c r="E943" s="1" t="s">
        <v>307</v>
      </c>
      <c r="F943" s="1" t="s">
        <v>37</v>
      </c>
      <c r="G943" s="1" t="s">
        <v>31</v>
      </c>
      <c r="H943" s="1" t="s">
        <v>32</v>
      </c>
      <c r="I943" s="1">
        <v>128.19999999999999</v>
      </c>
      <c r="J943" s="1">
        <v>9</v>
      </c>
      <c r="K943" s="1">
        <v>1153.8</v>
      </c>
      <c r="L943" s="1">
        <v>20</v>
      </c>
      <c r="M943" s="1">
        <v>230.76</v>
      </c>
      <c r="N943" s="1">
        <v>923.04</v>
      </c>
      <c r="O943" s="1" t="s">
        <v>24</v>
      </c>
      <c r="P943" s="1" t="s">
        <v>540</v>
      </c>
      <c r="Q943" s="1">
        <v>1</v>
      </c>
      <c r="R943" s="1">
        <f>Retail_Sales_Analyis[[#This Row],[Final_Price]]-Retail_Sales_Analyis[[#This Row],[Total_Price]]</f>
        <v>-230.76</v>
      </c>
      <c r="S9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44" spans="1:19" x14ac:dyDescent="0.25">
      <c r="A944" s="1" t="s">
        <v>1692</v>
      </c>
      <c r="B944" s="2">
        <v>45580</v>
      </c>
      <c r="C944" s="1" t="s">
        <v>76</v>
      </c>
      <c r="D944" s="1" t="s">
        <v>28</v>
      </c>
      <c r="E944" s="1" t="s">
        <v>111</v>
      </c>
      <c r="F944" s="1" t="s">
        <v>69</v>
      </c>
      <c r="G944" s="1" t="s">
        <v>85</v>
      </c>
      <c r="H944" s="1" t="s">
        <v>98</v>
      </c>
      <c r="I944" s="1">
        <v>4483.6499999999996</v>
      </c>
      <c r="J944" s="1">
        <v>3</v>
      </c>
      <c r="K944" s="1">
        <v>13450.95</v>
      </c>
      <c r="L944" s="1">
        <v>0</v>
      </c>
      <c r="M944" s="1">
        <v>0</v>
      </c>
      <c r="N944" s="1">
        <v>13450.95</v>
      </c>
      <c r="O944" s="1" t="s">
        <v>33</v>
      </c>
      <c r="P944" s="1" t="s">
        <v>1464</v>
      </c>
      <c r="Q944" s="1">
        <v>1</v>
      </c>
      <c r="R944" s="1">
        <f>Retail_Sales_Analyis[[#This Row],[Final_Price]]-Retail_Sales_Analyis[[#This Row],[Total_Price]]</f>
        <v>0</v>
      </c>
      <c r="S9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5" spans="1:19" x14ac:dyDescent="0.25">
      <c r="A945" s="1" t="s">
        <v>1693</v>
      </c>
      <c r="B945" s="2">
        <v>45447</v>
      </c>
      <c r="C945" s="1" t="s">
        <v>173</v>
      </c>
      <c r="D945" s="1" t="s">
        <v>28</v>
      </c>
      <c r="E945" s="1" t="s">
        <v>117</v>
      </c>
      <c r="F945" s="1" t="s">
        <v>37</v>
      </c>
      <c r="G945" s="1" t="s">
        <v>112</v>
      </c>
      <c r="H945" s="1" t="s">
        <v>118</v>
      </c>
      <c r="I945" s="1">
        <v>646.21</v>
      </c>
      <c r="J945" s="1">
        <v>9</v>
      </c>
      <c r="K945" s="1">
        <v>5815.89</v>
      </c>
      <c r="L945" s="1">
        <v>0</v>
      </c>
      <c r="M945" s="1">
        <v>0</v>
      </c>
      <c r="N945" s="1">
        <v>5815.89</v>
      </c>
      <c r="O945" s="1" t="s">
        <v>64</v>
      </c>
      <c r="P945" s="1" t="s">
        <v>545</v>
      </c>
      <c r="Q945" s="1">
        <v>5</v>
      </c>
      <c r="R945" s="1">
        <f>Retail_Sales_Analyis[[#This Row],[Final_Price]]-Retail_Sales_Analyis[[#This Row],[Total_Price]]</f>
        <v>0</v>
      </c>
      <c r="S9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6" spans="1:19" x14ac:dyDescent="0.25">
      <c r="A946" s="1" t="s">
        <v>1694</v>
      </c>
      <c r="B946" s="2">
        <v>45335</v>
      </c>
      <c r="C946" s="1" t="s">
        <v>27</v>
      </c>
      <c r="D946" s="1" t="s">
        <v>28</v>
      </c>
      <c r="E946" s="1" t="s">
        <v>157</v>
      </c>
      <c r="F946" s="1" t="s">
        <v>69</v>
      </c>
      <c r="G946" s="1" t="s">
        <v>78</v>
      </c>
      <c r="H946" s="1" t="s">
        <v>146</v>
      </c>
      <c r="I946" s="1">
        <v>557.58000000000004</v>
      </c>
      <c r="J946" s="1">
        <v>10</v>
      </c>
      <c r="K946" s="1">
        <v>5575.8</v>
      </c>
      <c r="L946" s="1">
        <v>15</v>
      </c>
      <c r="M946" s="1">
        <v>836.37</v>
      </c>
      <c r="N946" s="1">
        <v>4739.43</v>
      </c>
      <c r="O946" s="1" t="s">
        <v>46</v>
      </c>
      <c r="P946" s="1" t="s">
        <v>890</v>
      </c>
      <c r="Q946" s="1">
        <v>5</v>
      </c>
      <c r="R946" s="1">
        <f>Retail_Sales_Analyis[[#This Row],[Final_Price]]-Retail_Sales_Analyis[[#This Row],[Total_Price]]</f>
        <v>-836.36999999999989</v>
      </c>
      <c r="S9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47" spans="1:19" x14ac:dyDescent="0.25">
      <c r="A947" s="1" t="s">
        <v>1695</v>
      </c>
      <c r="B947" s="2">
        <v>45419</v>
      </c>
      <c r="C947" s="1" t="s">
        <v>42</v>
      </c>
      <c r="D947" s="1" t="s">
        <v>28</v>
      </c>
      <c r="E947" s="1" t="s">
        <v>129</v>
      </c>
      <c r="F947" s="1" t="s">
        <v>69</v>
      </c>
      <c r="G947" s="1" t="s">
        <v>112</v>
      </c>
      <c r="H947" s="1" t="s">
        <v>223</v>
      </c>
      <c r="I947" s="1">
        <v>789.41</v>
      </c>
      <c r="J947" s="1">
        <v>9</v>
      </c>
      <c r="K947" s="1">
        <v>7104.69</v>
      </c>
      <c r="L947" s="1">
        <v>0</v>
      </c>
      <c r="M947" s="1">
        <v>0</v>
      </c>
      <c r="N947" s="1">
        <v>7104.69</v>
      </c>
      <c r="O947" s="1" t="s">
        <v>46</v>
      </c>
      <c r="P947" s="1" t="s">
        <v>1104</v>
      </c>
      <c r="Q947" s="1">
        <v>1</v>
      </c>
      <c r="R947" s="1">
        <f>Retail_Sales_Analyis[[#This Row],[Final_Price]]-Retail_Sales_Analyis[[#This Row],[Total_Price]]</f>
        <v>0</v>
      </c>
      <c r="S9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48" spans="1:19" x14ac:dyDescent="0.25">
      <c r="A948" s="1" t="s">
        <v>1696</v>
      </c>
      <c r="B948" s="2">
        <v>45352</v>
      </c>
      <c r="C948" s="1" t="s">
        <v>61</v>
      </c>
      <c r="D948" s="1" t="s">
        <v>144</v>
      </c>
      <c r="E948" s="1" t="s">
        <v>351</v>
      </c>
      <c r="F948" s="1" t="s">
        <v>30</v>
      </c>
      <c r="G948" s="1" t="s">
        <v>38</v>
      </c>
      <c r="H948" s="1" t="s">
        <v>70</v>
      </c>
      <c r="I948" s="1">
        <v>239.08</v>
      </c>
      <c r="J948" s="1">
        <v>9</v>
      </c>
      <c r="K948" s="1">
        <v>2151.7199999999998</v>
      </c>
      <c r="L948" s="1">
        <v>5</v>
      </c>
      <c r="M948" s="1">
        <v>107.59</v>
      </c>
      <c r="N948" s="1">
        <v>2044.13</v>
      </c>
      <c r="O948" s="1" t="s">
        <v>64</v>
      </c>
      <c r="P948" s="1" t="s">
        <v>1697</v>
      </c>
      <c r="Q948" s="1">
        <v>1</v>
      </c>
      <c r="R948" s="1">
        <f>Retail_Sales_Analyis[[#This Row],[Final_Price]]-Retail_Sales_Analyis[[#This Row],[Total_Price]]</f>
        <v>-107.58999999999969</v>
      </c>
      <c r="S9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49" spans="1:19" x14ac:dyDescent="0.25">
      <c r="A949" s="1" t="s">
        <v>1698</v>
      </c>
      <c r="B949" s="2">
        <v>45577</v>
      </c>
      <c r="C949" s="1" t="s">
        <v>76</v>
      </c>
      <c r="D949" s="1" t="s">
        <v>19</v>
      </c>
      <c r="E949" s="1" t="s">
        <v>56</v>
      </c>
      <c r="F949" s="1" t="s">
        <v>37</v>
      </c>
      <c r="G949" s="1" t="s">
        <v>78</v>
      </c>
      <c r="H949" s="1" t="s">
        <v>79</v>
      </c>
      <c r="I949" s="1">
        <v>303.64999999999998</v>
      </c>
      <c r="J949" s="1">
        <v>10</v>
      </c>
      <c r="K949" s="1">
        <v>3036.5</v>
      </c>
      <c r="L949" s="1">
        <v>20</v>
      </c>
      <c r="M949" s="1">
        <v>607.29999999999995</v>
      </c>
      <c r="N949" s="1">
        <v>2429.1999999999998</v>
      </c>
      <c r="O949" s="1" t="s">
        <v>24</v>
      </c>
      <c r="P949" s="1" t="s">
        <v>1699</v>
      </c>
      <c r="Q949" s="1">
        <v>5</v>
      </c>
      <c r="R949" s="1">
        <f>Retail_Sales_Analyis[[#This Row],[Final_Price]]-Retail_Sales_Analyis[[#This Row],[Total_Price]]</f>
        <v>-607.30000000000018</v>
      </c>
      <c r="S9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50" spans="1:19" x14ac:dyDescent="0.25">
      <c r="A950" s="1" t="s">
        <v>1700</v>
      </c>
      <c r="B950" s="2">
        <v>45505</v>
      </c>
      <c r="C950" s="1" t="s">
        <v>93</v>
      </c>
      <c r="D950" s="1" t="s">
        <v>67</v>
      </c>
      <c r="E950" s="1" t="s">
        <v>77</v>
      </c>
      <c r="F950" s="1" t="s">
        <v>21</v>
      </c>
      <c r="G950" s="1" t="s">
        <v>169</v>
      </c>
      <c r="H950" s="1" t="s">
        <v>366</v>
      </c>
      <c r="I950" s="1">
        <v>1175.46</v>
      </c>
      <c r="J950" s="1">
        <v>3</v>
      </c>
      <c r="K950" s="1">
        <v>3526.38</v>
      </c>
      <c r="L950" s="1">
        <v>0</v>
      </c>
      <c r="M950" s="1">
        <v>0</v>
      </c>
      <c r="N950" s="1">
        <v>3526.38</v>
      </c>
      <c r="O950" s="1" t="s">
        <v>80</v>
      </c>
      <c r="P950" s="1" t="s">
        <v>1701</v>
      </c>
      <c r="Q950" s="1">
        <v>1</v>
      </c>
      <c r="R950" s="1">
        <f>Retail_Sales_Analyis[[#This Row],[Final_Price]]-Retail_Sales_Analyis[[#This Row],[Total_Price]]</f>
        <v>0</v>
      </c>
      <c r="S9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1" spans="1:19" x14ac:dyDescent="0.25">
      <c r="A951" s="1" t="s">
        <v>1702</v>
      </c>
      <c r="B951" s="2">
        <v>45602</v>
      </c>
      <c r="C951" s="1" t="s">
        <v>18</v>
      </c>
      <c r="D951" s="1" t="s">
        <v>55</v>
      </c>
      <c r="E951" s="1" t="s">
        <v>285</v>
      </c>
      <c r="F951" s="1" t="s">
        <v>21</v>
      </c>
      <c r="G951" s="1" t="s">
        <v>112</v>
      </c>
      <c r="H951" s="1" t="s">
        <v>113</v>
      </c>
      <c r="I951" s="1">
        <v>1456.92</v>
      </c>
      <c r="J951" s="1">
        <v>8</v>
      </c>
      <c r="K951" s="1">
        <v>11655.36</v>
      </c>
      <c r="L951" s="1">
        <v>0</v>
      </c>
      <c r="M951" s="1">
        <v>0</v>
      </c>
      <c r="N951" s="1">
        <v>11655.36</v>
      </c>
      <c r="O951" s="1" t="s">
        <v>64</v>
      </c>
      <c r="P951" s="1" t="s">
        <v>427</v>
      </c>
      <c r="Q951" s="1">
        <v>3</v>
      </c>
      <c r="R951" s="1">
        <f>Retail_Sales_Analyis[[#This Row],[Final_Price]]-Retail_Sales_Analyis[[#This Row],[Total_Price]]</f>
        <v>0</v>
      </c>
      <c r="S9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2" spans="1:19" x14ac:dyDescent="0.25">
      <c r="A952" s="1" t="s">
        <v>1703</v>
      </c>
      <c r="B952" s="2">
        <v>45597</v>
      </c>
      <c r="C952" s="1" t="s">
        <v>18</v>
      </c>
      <c r="D952" s="1" t="s">
        <v>144</v>
      </c>
      <c r="E952" s="1" t="s">
        <v>196</v>
      </c>
      <c r="F952" s="1" t="s">
        <v>30</v>
      </c>
      <c r="G952" s="1" t="s">
        <v>85</v>
      </c>
      <c r="H952" s="1" t="s">
        <v>180</v>
      </c>
      <c r="I952" s="1">
        <v>1213.3399999999999</v>
      </c>
      <c r="J952" s="1">
        <v>5</v>
      </c>
      <c r="K952" s="1">
        <v>6066.7</v>
      </c>
      <c r="L952" s="1">
        <v>0</v>
      </c>
      <c r="M952" s="1">
        <v>0</v>
      </c>
      <c r="N952" s="1">
        <v>6066.7</v>
      </c>
      <c r="O952" s="1" t="s">
        <v>46</v>
      </c>
      <c r="P952" s="1" t="s">
        <v>334</v>
      </c>
      <c r="Q952" s="1">
        <v>2</v>
      </c>
      <c r="R952" s="1">
        <f>Retail_Sales_Analyis[[#This Row],[Final_Price]]-Retail_Sales_Analyis[[#This Row],[Total_Price]]</f>
        <v>0</v>
      </c>
      <c r="S9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3" spans="1:19" x14ac:dyDescent="0.25">
      <c r="A953" s="1" t="s">
        <v>1704</v>
      </c>
      <c r="B953" s="2">
        <v>45608</v>
      </c>
      <c r="C953" s="1" t="s">
        <v>18</v>
      </c>
      <c r="D953" s="1" t="s">
        <v>28</v>
      </c>
      <c r="E953" s="1" t="s">
        <v>168</v>
      </c>
      <c r="F953" s="1" t="s">
        <v>69</v>
      </c>
      <c r="G953" s="1" t="s">
        <v>57</v>
      </c>
      <c r="H953" s="1" t="s">
        <v>101</v>
      </c>
      <c r="I953" s="1">
        <v>963.84</v>
      </c>
      <c r="J953" s="1">
        <v>4</v>
      </c>
      <c r="K953" s="1">
        <v>3855.36</v>
      </c>
      <c r="L953" s="1">
        <v>0</v>
      </c>
      <c r="M953" s="1">
        <v>0</v>
      </c>
      <c r="N953" s="1">
        <v>3855.36</v>
      </c>
      <c r="O953" s="1" t="s">
        <v>46</v>
      </c>
      <c r="P953" s="1" t="s">
        <v>1705</v>
      </c>
      <c r="Q953" s="1">
        <v>3</v>
      </c>
      <c r="R953" s="1">
        <f>Retail_Sales_Analyis[[#This Row],[Final_Price]]-Retail_Sales_Analyis[[#This Row],[Total_Price]]</f>
        <v>0</v>
      </c>
      <c r="S9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4" spans="1:19" x14ac:dyDescent="0.25">
      <c r="A954" s="1" t="s">
        <v>1706</v>
      </c>
      <c r="B954" s="2">
        <v>45407</v>
      </c>
      <c r="C954" s="1" t="s">
        <v>54</v>
      </c>
      <c r="D954" s="1" t="s">
        <v>67</v>
      </c>
      <c r="E954" s="1" t="s">
        <v>328</v>
      </c>
      <c r="F954" s="1" t="s">
        <v>21</v>
      </c>
      <c r="G954" s="1" t="s">
        <v>169</v>
      </c>
      <c r="H954" s="1" t="s">
        <v>348</v>
      </c>
      <c r="I954" s="1">
        <v>726.18</v>
      </c>
      <c r="J954" s="1">
        <v>6</v>
      </c>
      <c r="K954" s="1">
        <v>4357.08</v>
      </c>
      <c r="L954" s="1">
        <v>0</v>
      </c>
      <c r="M954" s="1">
        <v>0</v>
      </c>
      <c r="N954" s="1">
        <v>4357.08</v>
      </c>
      <c r="O954" s="1" t="s">
        <v>80</v>
      </c>
      <c r="P954" s="1" t="s">
        <v>1707</v>
      </c>
      <c r="Q954" s="1">
        <v>4</v>
      </c>
      <c r="R954" s="1">
        <f>Retail_Sales_Analyis[[#This Row],[Final_Price]]-Retail_Sales_Analyis[[#This Row],[Total_Price]]</f>
        <v>0</v>
      </c>
      <c r="S9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5" spans="1:19" x14ac:dyDescent="0.25">
      <c r="A955" s="1" t="s">
        <v>1708</v>
      </c>
      <c r="B955" s="2">
        <v>45559</v>
      </c>
      <c r="C955" s="1" t="s">
        <v>116</v>
      </c>
      <c r="D955" s="1" t="s">
        <v>28</v>
      </c>
      <c r="E955" s="1" t="s">
        <v>20</v>
      </c>
      <c r="F955" s="1" t="s">
        <v>30</v>
      </c>
      <c r="G955" s="1" t="s">
        <v>22</v>
      </c>
      <c r="H955" s="1" t="s">
        <v>23</v>
      </c>
      <c r="I955" s="1">
        <v>630.36</v>
      </c>
      <c r="J955" s="1">
        <v>4</v>
      </c>
      <c r="K955" s="1">
        <v>2521.44</v>
      </c>
      <c r="L955" s="1">
        <v>15</v>
      </c>
      <c r="M955" s="1">
        <v>378.22</v>
      </c>
      <c r="N955" s="1">
        <v>2143.2199999999998</v>
      </c>
      <c r="O955" s="1" t="s">
        <v>33</v>
      </c>
      <c r="P955" s="1" t="s">
        <v>911</v>
      </c>
      <c r="Q955" s="1">
        <v>3</v>
      </c>
      <c r="R955" s="1">
        <f>Retail_Sales_Analyis[[#This Row],[Final_Price]]-Retail_Sales_Analyis[[#This Row],[Total_Price]]</f>
        <v>-378.22000000000025</v>
      </c>
      <c r="S9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56" spans="1:19" x14ac:dyDescent="0.25">
      <c r="A956" s="1" t="s">
        <v>1709</v>
      </c>
      <c r="B956" s="2">
        <v>45486</v>
      </c>
      <c r="C956" s="1" t="s">
        <v>195</v>
      </c>
      <c r="D956" s="1" t="s">
        <v>19</v>
      </c>
      <c r="E956" s="1" t="s">
        <v>151</v>
      </c>
      <c r="F956" s="1" t="s">
        <v>21</v>
      </c>
      <c r="G956" s="1" t="s">
        <v>78</v>
      </c>
      <c r="H956" s="1" t="s">
        <v>126</v>
      </c>
      <c r="I956" s="1">
        <v>398.23</v>
      </c>
      <c r="J956" s="1">
        <v>5</v>
      </c>
      <c r="K956" s="1">
        <v>1991.15</v>
      </c>
      <c r="L956" s="1">
        <v>0</v>
      </c>
      <c r="M956" s="1">
        <v>0</v>
      </c>
      <c r="N956" s="1">
        <v>1991.15</v>
      </c>
      <c r="O956" s="1" t="s">
        <v>80</v>
      </c>
      <c r="P956" s="1" t="s">
        <v>1710</v>
      </c>
      <c r="Q956" s="1">
        <v>2</v>
      </c>
      <c r="R956" s="1">
        <f>Retail_Sales_Analyis[[#This Row],[Final_Price]]-Retail_Sales_Analyis[[#This Row],[Total_Price]]</f>
        <v>0</v>
      </c>
      <c r="S9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7" spans="1:19" x14ac:dyDescent="0.25">
      <c r="A957" s="1" t="s">
        <v>1711</v>
      </c>
      <c r="B957" s="2">
        <v>45522</v>
      </c>
      <c r="C957" s="1" t="s">
        <v>93</v>
      </c>
      <c r="D957" s="1" t="s">
        <v>49</v>
      </c>
      <c r="E957" s="1" t="s">
        <v>68</v>
      </c>
      <c r="F957" s="1" t="s">
        <v>69</v>
      </c>
      <c r="G957" s="1" t="s">
        <v>38</v>
      </c>
      <c r="H957" s="1" t="s">
        <v>39</v>
      </c>
      <c r="I957" s="1">
        <v>745.34</v>
      </c>
      <c r="J957" s="1">
        <v>9</v>
      </c>
      <c r="K957" s="1">
        <v>6708.06</v>
      </c>
      <c r="L957" s="1">
        <v>15</v>
      </c>
      <c r="M957" s="1">
        <v>1006.21</v>
      </c>
      <c r="N957" s="1">
        <v>5701.85</v>
      </c>
      <c r="O957" s="1" t="s">
        <v>64</v>
      </c>
      <c r="P957" s="1" t="s">
        <v>1032</v>
      </c>
      <c r="Q957" s="1">
        <v>4</v>
      </c>
      <c r="R957" s="1">
        <f>Retail_Sales_Analyis[[#This Row],[Final_Price]]-Retail_Sales_Analyis[[#This Row],[Total_Price]]</f>
        <v>-1006.21</v>
      </c>
      <c r="S9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58" spans="1:19" x14ac:dyDescent="0.25">
      <c r="A958" s="1" t="s">
        <v>1712</v>
      </c>
      <c r="B958" s="2">
        <v>45518</v>
      </c>
      <c r="C958" s="1" t="s">
        <v>93</v>
      </c>
      <c r="D958" s="1" t="s">
        <v>55</v>
      </c>
      <c r="E958" s="1" t="s">
        <v>328</v>
      </c>
      <c r="F958" s="1" t="s">
        <v>30</v>
      </c>
      <c r="G958" s="1" t="s">
        <v>78</v>
      </c>
      <c r="H958" s="1" t="s">
        <v>323</v>
      </c>
      <c r="I958" s="1">
        <v>403.7</v>
      </c>
      <c r="J958" s="1">
        <v>10</v>
      </c>
      <c r="K958" s="1">
        <v>4037</v>
      </c>
      <c r="L958" s="1">
        <v>0</v>
      </c>
      <c r="M958" s="1">
        <v>0</v>
      </c>
      <c r="N958" s="1">
        <v>4037</v>
      </c>
      <c r="O958" s="1" t="s">
        <v>46</v>
      </c>
      <c r="P958" s="1" t="s">
        <v>1713</v>
      </c>
      <c r="Q958" s="1">
        <v>1</v>
      </c>
      <c r="R958" s="1">
        <f>Retail_Sales_Analyis[[#This Row],[Final_Price]]-Retail_Sales_Analyis[[#This Row],[Total_Price]]</f>
        <v>0</v>
      </c>
      <c r="S9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59" spans="1:19" x14ac:dyDescent="0.25">
      <c r="A959" s="1" t="s">
        <v>1714</v>
      </c>
      <c r="B959" s="2">
        <v>45444</v>
      </c>
      <c r="C959" s="1" t="s">
        <v>173</v>
      </c>
      <c r="D959" s="1" t="s">
        <v>19</v>
      </c>
      <c r="E959" s="1" t="s">
        <v>411</v>
      </c>
      <c r="F959" s="1" t="s">
        <v>30</v>
      </c>
      <c r="G959" s="1" t="s">
        <v>112</v>
      </c>
      <c r="H959" s="1" t="s">
        <v>113</v>
      </c>
      <c r="I959" s="1">
        <v>1132.1099999999999</v>
      </c>
      <c r="J959" s="1">
        <v>6</v>
      </c>
      <c r="K959" s="1">
        <v>6792.66</v>
      </c>
      <c r="L959" s="1">
        <v>0</v>
      </c>
      <c r="M959" s="1">
        <v>0</v>
      </c>
      <c r="N959" s="1">
        <v>6792.66</v>
      </c>
      <c r="O959" s="1" t="s">
        <v>24</v>
      </c>
      <c r="P959" s="1" t="s">
        <v>490</v>
      </c>
      <c r="Q959" s="1">
        <v>2</v>
      </c>
      <c r="R959" s="1">
        <f>Retail_Sales_Analyis[[#This Row],[Final_Price]]-Retail_Sales_Analyis[[#This Row],[Total_Price]]</f>
        <v>0</v>
      </c>
      <c r="S9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60" spans="1:19" x14ac:dyDescent="0.25">
      <c r="A960" s="1" t="s">
        <v>1715</v>
      </c>
      <c r="B960" s="2">
        <v>45593</v>
      </c>
      <c r="C960" s="1" t="s">
        <v>76</v>
      </c>
      <c r="D960" s="1" t="s">
        <v>43</v>
      </c>
      <c r="E960" s="1" t="s">
        <v>132</v>
      </c>
      <c r="F960" s="1" t="s">
        <v>84</v>
      </c>
      <c r="G960" s="1" t="s">
        <v>31</v>
      </c>
      <c r="H960" s="1" t="s">
        <v>45</v>
      </c>
      <c r="I960" s="1">
        <v>133.77000000000001</v>
      </c>
      <c r="J960" s="1">
        <v>1</v>
      </c>
      <c r="K960" s="1">
        <v>133.77000000000001</v>
      </c>
      <c r="L960" s="1">
        <v>5</v>
      </c>
      <c r="M960" s="1">
        <v>6.69</v>
      </c>
      <c r="N960" s="1">
        <v>127.08</v>
      </c>
      <c r="O960" s="1" t="s">
        <v>80</v>
      </c>
      <c r="P960" s="1" t="s">
        <v>506</v>
      </c>
      <c r="Q960" s="1">
        <v>4</v>
      </c>
      <c r="R960" s="1">
        <f>Retail_Sales_Analyis[[#This Row],[Final_Price]]-Retail_Sales_Analyis[[#This Row],[Total_Price]]</f>
        <v>-6.6900000000000119</v>
      </c>
      <c r="S9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61" spans="1:19" x14ac:dyDescent="0.25">
      <c r="A961" s="1" t="s">
        <v>1716</v>
      </c>
      <c r="B961" s="2">
        <v>45511</v>
      </c>
      <c r="C961" s="1" t="s">
        <v>93</v>
      </c>
      <c r="D961" s="1" t="s">
        <v>55</v>
      </c>
      <c r="E961" s="1" t="s">
        <v>62</v>
      </c>
      <c r="F961" s="1" t="s">
        <v>69</v>
      </c>
      <c r="G961" s="1" t="s">
        <v>22</v>
      </c>
      <c r="H961" s="1" t="s">
        <v>51</v>
      </c>
      <c r="I961" s="1">
        <v>578.86</v>
      </c>
      <c r="J961" s="1">
        <v>4</v>
      </c>
      <c r="K961" s="1">
        <v>2315.44</v>
      </c>
      <c r="L961" s="1">
        <v>0</v>
      </c>
      <c r="M961" s="1">
        <v>0</v>
      </c>
      <c r="N961" s="1">
        <v>2315.44</v>
      </c>
      <c r="O961" s="1" t="s">
        <v>46</v>
      </c>
      <c r="P961" s="1" t="s">
        <v>1717</v>
      </c>
      <c r="Q961" s="1">
        <v>5</v>
      </c>
      <c r="R961" s="1">
        <f>Retail_Sales_Analyis[[#This Row],[Final_Price]]-Retail_Sales_Analyis[[#This Row],[Total_Price]]</f>
        <v>0</v>
      </c>
      <c r="S9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62" spans="1:19" x14ac:dyDescent="0.25">
      <c r="A962" s="1" t="s">
        <v>1718</v>
      </c>
      <c r="B962" s="2">
        <v>45448</v>
      </c>
      <c r="C962" s="1" t="s">
        <v>173</v>
      </c>
      <c r="D962" s="1" t="s">
        <v>55</v>
      </c>
      <c r="E962" s="1" t="s">
        <v>261</v>
      </c>
      <c r="F962" s="1" t="s">
        <v>69</v>
      </c>
      <c r="G962" s="1" t="s">
        <v>22</v>
      </c>
      <c r="H962" s="1" t="s">
        <v>277</v>
      </c>
      <c r="I962" s="1">
        <v>232.1</v>
      </c>
      <c r="J962" s="1">
        <v>4</v>
      </c>
      <c r="K962" s="1">
        <v>928.4</v>
      </c>
      <c r="L962" s="1">
        <v>20</v>
      </c>
      <c r="M962" s="1">
        <v>185.68</v>
      </c>
      <c r="N962" s="1">
        <v>742.72</v>
      </c>
      <c r="O962" s="1" t="s">
        <v>80</v>
      </c>
      <c r="P962" s="1" t="s">
        <v>137</v>
      </c>
      <c r="Q962" s="1">
        <v>1</v>
      </c>
      <c r="R962" s="1">
        <f>Retail_Sales_Analyis[[#This Row],[Final_Price]]-Retail_Sales_Analyis[[#This Row],[Total_Price]]</f>
        <v>-185.67999999999995</v>
      </c>
      <c r="S9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63" spans="1:19" x14ac:dyDescent="0.25">
      <c r="A963" s="1" t="s">
        <v>1719</v>
      </c>
      <c r="B963" s="2">
        <v>45583</v>
      </c>
      <c r="C963" s="1" t="s">
        <v>76</v>
      </c>
      <c r="D963" s="1" t="s">
        <v>144</v>
      </c>
      <c r="E963" s="1" t="s">
        <v>351</v>
      </c>
      <c r="F963" s="1" t="s">
        <v>84</v>
      </c>
      <c r="G963" s="1" t="s">
        <v>38</v>
      </c>
      <c r="H963" s="1" t="s">
        <v>70</v>
      </c>
      <c r="I963" s="1">
        <v>380.53</v>
      </c>
      <c r="J963" s="1">
        <v>1</v>
      </c>
      <c r="K963" s="1">
        <v>380.53</v>
      </c>
      <c r="L963" s="1">
        <v>0</v>
      </c>
      <c r="M963" s="1">
        <v>0</v>
      </c>
      <c r="N963" s="1">
        <v>380.53</v>
      </c>
      <c r="O963" s="1" t="s">
        <v>80</v>
      </c>
      <c r="P963" s="1" t="s">
        <v>1375</v>
      </c>
      <c r="Q963" s="1">
        <v>2</v>
      </c>
      <c r="R963" s="1">
        <f>Retail_Sales_Analyis[[#This Row],[Final_Price]]-Retail_Sales_Analyis[[#This Row],[Total_Price]]</f>
        <v>0</v>
      </c>
      <c r="S9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64" spans="1:19" x14ac:dyDescent="0.25">
      <c r="A964" s="1" t="s">
        <v>1720</v>
      </c>
      <c r="B964" s="2">
        <v>45609</v>
      </c>
      <c r="C964" s="1" t="s">
        <v>18</v>
      </c>
      <c r="D964" s="1" t="s">
        <v>55</v>
      </c>
      <c r="E964" s="1" t="s">
        <v>239</v>
      </c>
      <c r="F964" s="1" t="s">
        <v>30</v>
      </c>
      <c r="G964" s="1" t="s">
        <v>57</v>
      </c>
      <c r="H964" s="1" t="s">
        <v>122</v>
      </c>
      <c r="I964" s="1">
        <v>2305.1799999999998</v>
      </c>
      <c r="J964" s="1">
        <v>3</v>
      </c>
      <c r="K964" s="1">
        <v>6915.54</v>
      </c>
      <c r="L964" s="1">
        <v>15</v>
      </c>
      <c r="M964" s="1">
        <v>1037.33</v>
      </c>
      <c r="N964" s="1">
        <v>5878.21</v>
      </c>
      <c r="O964" s="1" t="s">
        <v>46</v>
      </c>
      <c r="P964" s="1" t="s">
        <v>423</v>
      </c>
      <c r="Q964" s="1">
        <v>1</v>
      </c>
      <c r="R964" s="1">
        <f>Retail_Sales_Analyis[[#This Row],[Final_Price]]-Retail_Sales_Analyis[[#This Row],[Total_Price]]</f>
        <v>-1037.33</v>
      </c>
      <c r="S9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65" spans="1:19" x14ac:dyDescent="0.25">
      <c r="A965" s="1" t="s">
        <v>1721</v>
      </c>
      <c r="B965" s="2">
        <v>45322</v>
      </c>
      <c r="C965" s="1" t="s">
        <v>36</v>
      </c>
      <c r="D965" s="1" t="s">
        <v>55</v>
      </c>
      <c r="E965" s="1" t="s">
        <v>186</v>
      </c>
      <c r="F965" s="1" t="s">
        <v>21</v>
      </c>
      <c r="G965" s="1" t="s">
        <v>85</v>
      </c>
      <c r="H965" s="1" t="s">
        <v>180</v>
      </c>
      <c r="I965" s="1">
        <v>2834.85</v>
      </c>
      <c r="J965" s="1">
        <v>3</v>
      </c>
      <c r="K965" s="1">
        <v>8504.5499999999993</v>
      </c>
      <c r="L965" s="1">
        <v>5</v>
      </c>
      <c r="M965" s="1">
        <v>425.23</v>
      </c>
      <c r="N965" s="1">
        <v>8079.32</v>
      </c>
      <c r="O965" s="1" t="s">
        <v>24</v>
      </c>
      <c r="P965" s="1" t="s">
        <v>1722</v>
      </c>
      <c r="Q965" s="1">
        <v>2</v>
      </c>
      <c r="R965" s="1">
        <f>Retail_Sales_Analyis[[#This Row],[Final_Price]]-Retail_Sales_Analyis[[#This Row],[Total_Price]]</f>
        <v>-425.22999999999956</v>
      </c>
      <c r="S9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66" spans="1:19" x14ac:dyDescent="0.25">
      <c r="A966" s="1" t="s">
        <v>1723</v>
      </c>
      <c r="B966" s="2">
        <v>45604</v>
      </c>
      <c r="C966" s="1" t="s">
        <v>18</v>
      </c>
      <c r="D966" s="1" t="s">
        <v>144</v>
      </c>
      <c r="E966" s="1" t="s">
        <v>107</v>
      </c>
      <c r="F966" s="1" t="s">
        <v>84</v>
      </c>
      <c r="G966" s="1" t="s">
        <v>38</v>
      </c>
      <c r="H966" s="1" t="s">
        <v>39</v>
      </c>
      <c r="I966" s="1">
        <v>229.22</v>
      </c>
      <c r="J966" s="1">
        <v>4</v>
      </c>
      <c r="K966" s="1">
        <v>916.88</v>
      </c>
      <c r="L966" s="1">
        <v>5</v>
      </c>
      <c r="M966" s="1">
        <v>45.84</v>
      </c>
      <c r="N966" s="1">
        <v>871.04</v>
      </c>
      <c r="O966" s="1" t="s">
        <v>24</v>
      </c>
      <c r="P966" s="1" t="s">
        <v>1233</v>
      </c>
      <c r="Q966" s="1">
        <v>2</v>
      </c>
      <c r="R966" s="1">
        <f>Retail_Sales_Analyis[[#This Row],[Final_Price]]-Retail_Sales_Analyis[[#This Row],[Total_Price]]</f>
        <v>-45.840000000000032</v>
      </c>
      <c r="S9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67" spans="1:19" x14ac:dyDescent="0.25">
      <c r="A967" s="1" t="s">
        <v>1724</v>
      </c>
      <c r="B967" s="2">
        <v>45342</v>
      </c>
      <c r="C967" s="1" t="s">
        <v>27</v>
      </c>
      <c r="D967" s="1" t="s">
        <v>28</v>
      </c>
      <c r="E967" s="1" t="s">
        <v>285</v>
      </c>
      <c r="F967" s="1" t="s">
        <v>69</v>
      </c>
      <c r="G967" s="1" t="s">
        <v>78</v>
      </c>
      <c r="H967" s="1" t="s">
        <v>79</v>
      </c>
      <c r="I967" s="1">
        <v>364.8</v>
      </c>
      <c r="J967" s="1">
        <v>6</v>
      </c>
      <c r="K967" s="1">
        <v>2188.8000000000002</v>
      </c>
      <c r="L967" s="1">
        <v>0</v>
      </c>
      <c r="M967" s="1">
        <v>0</v>
      </c>
      <c r="N967" s="1">
        <v>2188.8000000000002</v>
      </c>
      <c r="O967" s="1" t="s">
        <v>33</v>
      </c>
      <c r="P967" s="1" t="s">
        <v>1725</v>
      </c>
      <c r="Q967" s="1">
        <v>5</v>
      </c>
      <c r="R967" s="1">
        <f>Retail_Sales_Analyis[[#This Row],[Final_Price]]-Retail_Sales_Analyis[[#This Row],[Total_Price]]</f>
        <v>0</v>
      </c>
      <c r="S9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68" spans="1:19" x14ac:dyDescent="0.25">
      <c r="A968" s="1" t="s">
        <v>1726</v>
      </c>
      <c r="B968" s="2">
        <v>45398</v>
      </c>
      <c r="C968" s="1" t="s">
        <v>54</v>
      </c>
      <c r="D968" s="1" t="s">
        <v>28</v>
      </c>
      <c r="E968" s="1" t="s">
        <v>121</v>
      </c>
      <c r="F968" s="1" t="s">
        <v>21</v>
      </c>
      <c r="G968" s="1" t="s">
        <v>57</v>
      </c>
      <c r="H968" s="1" t="s">
        <v>58</v>
      </c>
      <c r="I968" s="1">
        <v>2071.62</v>
      </c>
      <c r="J968" s="1">
        <v>8</v>
      </c>
      <c r="K968" s="1">
        <v>16572.96</v>
      </c>
      <c r="L968" s="1">
        <v>15</v>
      </c>
      <c r="M968" s="1">
        <v>2485.94</v>
      </c>
      <c r="N968" s="1">
        <v>14087.02</v>
      </c>
      <c r="O968" s="1" t="s">
        <v>64</v>
      </c>
      <c r="P968" s="1" t="s">
        <v>193</v>
      </c>
      <c r="Q968" s="1">
        <v>1</v>
      </c>
      <c r="R968" s="1">
        <f>Retail_Sales_Analyis[[#This Row],[Final_Price]]-Retail_Sales_Analyis[[#This Row],[Total_Price]]</f>
        <v>-2485.9399999999987</v>
      </c>
      <c r="S9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69" spans="1:19" x14ac:dyDescent="0.25">
      <c r="A969" s="1" t="s">
        <v>1727</v>
      </c>
      <c r="B969" s="2">
        <v>45612</v>
      </c>
      <c r="C969" s="1" t="s">
        <v>18</v>
      </c>
      <c r="D969" s="1" t="s">
        <v>19</v>
      </c>
      <c r="E969" s="1" t="s">
        <v>207</v>
      </c>
      <c r="F969" s="1" t="s">
        <v>84</v>
      </c>
      <c r="G969" s="1" t="s">
        <v>85</v>
      </c>
      <c r="H969" s="1" t="s">
        <v>86</v>
      </c>
      <c r="I969" s="1">
        <v>4093.04</v>
      </c>
      <c r="J969" s="1">
        <v>5</v>
      </c>
      <c r="K969" s="1">
        <v>20465.2</v>
      </c>
      <c r="L969" s="1">
        <v>20</v>
      </c>
      <c r="M969" s="1">
        <v>4093.04</v>
      </c>
      <c r="N969" s="1">
        <v>16372.16</v>
      </c>
      <c r="O969" s="1" t="s">
        <v>33</v>
      </c>
      <c r="P969" s="1" t="s">
        <v>1728</v>
      </c>
      <c r="Q969" s="1">
        <v>5</v>
      </c>
      <c r="R969" s="1">
        <f>Retail_Sales_Analyis[[#This Row],[Final_Price]]-Retail_Sales_Analyis[[#This Row],[Total_Price]]</f>
        <v>-4093.0400000000009</v>
      </c>
      <c r="S9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70" spans="1:19" x14ac:dyDescent="0.25">
      <c r="A970" s="1" t="s">
        <v>1729</v>
      </c>
      <c r="B970" s="2">
        <v>45400</v>
      </c>
      <c r="C970" s="1" t="s">
        <v>54</v>
      </c>
      <c r="D970" s="1" t="s">
        <v>67</v>
      </c>
      <c r="E970" s="1" t="s">
        <v>129</v>
      </c>
      <c r="F970" s="1" t="s">
        <v>21</v>
      </c>
      <c r="G970" s="1" t="s">
        <v>78</v>
      </c>
      <c r="H970" s="1" t="s">
        <v>136</v>
      </c>
      <c r="I970" s="1">
        <v>451.44</v>
      </c>
      <c r="J970" s="1">
        <v>10</v>
      </c>
      <c r="K970" s="1">
        <v>4514.3999999999996</v>
      </c>
      <c r="L970" s="1">
        <v>0</v>
      </c>
      <c r="M970" s="1">
        <v>0</v>
      </c>
      <c r="N970" s="1">
        <v>4514.3999999999996</v>
      </c>
      <c r="O970" s="1" t="s">
        <v>64</v>
      </c>
      <c r="P970" s="1" t="s">
        <v>1109</v>
      </c>
      <c r="Q970" s="1">
        <v>5</v>
      </c>
      <c r="R970" s="1">
        <f>Retail_Sales_Analyis[[#This Row],[Final_Price]]-Retail_Sales_Analyis[[#This Row],[Total_Price]]</f>
        <v>0</v>
      </c>
      <c r="S9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71" spans="1:19" x14ac:dyDescent="0.25">
      <c r="A971" s="1" t="s">
        <v>1730</v>
      </c>
      <c r="B971" s="2">
        <v>45427</v>
      </c>
      <c r="C971" s="1" t="s">
        <v>42</v>
      </c>
      <c r="D971" s="1" t="s">
        <v>55</v>
      </c>
      <c r="E971" s="1" t="s">
        <v>192</v>
      </c>
      <c r="F971" s="1" t="s">
        <v>21</v>
      </c>
      <c r="G971" s="1" t="s">
        <v>78</v>
      </c>
      <c r="H971" s="1" t="s">
        <v>323</v>
      </c>
      <c r="I971" s="1">
        <v>375.66</v>
      </c>
      <c r="J971" s="1">
        <v>1</v>
      </c>
      <c r="K971" s="1">
        <v>375.66</v>
      </c>
      <c r="L971" s="1">
        <v>10</v>
      </c>
      <c r="M971" s="1">
        <v>37.57</v>
      </c>
      <c r="N971" s="1">
        <v>338.09</v>
      </c>
      <c r="O971" s="1" t="s">
        <v>80</v>
      </c>
      <c r="P971" s="1" t="s">
        <v>1488</v>
      </c>
      <c r="Q971" s="1">
        <v>4</v>
      </c>
      <c r="R971" s="1">
        <f>Retail_Sales_Analyis[[#This Row],[Final_Price]]-Retail_Sales_Analyis[[#This Row],[Total_Price]]</f>
        <v>-37.57000000000005</v>
      </c>
      <c r="S9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72" spans="1:19" x14ac:dyDescent="0.25">
      <c r="A972" s="1" t="s">
        <v>1731</v>
      </c>
      <c r="B972" s="2">
        <v>45630</v>
      </c>
      <c r="C972" s="1" t="s">
        <v>73</v>
      </c>
      <c r="D972" s="1" t="s">
        <v>55</v>
      </c>
      <c r="E972" s="1" t="s">
        <v>121</v>
      </c>
      <c r="F972" s="1" t="s">
        <v>21</v>
      </c>
      <c r="G972" s="1" t="s">
        <v>31</v>
      </c>
      <c r="H972" s="1" t="s">
        <v>250</v>
      </c>
      <c r="I972" s="1">
        <v>69.91</v>
      </c>
      <c r="J972" s="1">
        <v>5</v>
      </c>
      <c r="K972" s="1">
        <v>349.55</v>
      </c>
      <c r="L972" s="1">
        <v>5</v>
      </c>
      <c r="M972" s="1">
        <v>17.48</v>
      </c>
      <c r="N972" s="1">
        <v>332.07</v>
      </c>
      <c r="O972" s="1" t="s">
        <v>24</v>
      </c>
      <c r="P972" s="1" t="s">
        <v>1630</v>
      </c>
      <c r="Q972" s="1">
        <v>3</v>
      </c>
      <c r="R972" s="1">
        <f>Retail_Sales_Analyis[[#This Row],[Final_Price]]-Retail_Sales_Analyis[[#This Row],[Total_Price]]</f>
        <v>-17.480000000000018</v>
      </c>
      <c r="S9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73" spans="1:19" x14ac:dyDescent="0.25">
      <c r="A973" s="1" t="s">
        <v>1732</v>
      </c>
      <c r="B973" s="2">
        <v>45333</v>
      </c>
      <c r="C973" s="1" t="s">
        <v>27</v>
      </c>
      <c r="D973" s="1" t="s">
        <v>49</v>
      </c>
      <c r="E973" s="1" t="s">
        <v>129</v>
      </c>
      <c r="F973" s="1" t="s">
        <v>21</v>
      </c>
      <c r="G973" s="1" t="s">
        <v>85</v>
      </c>
      <c r="H973" s="1" t="s">
        <v>180</v>
      </c>
      <c r="I973" s="1">
        <v>2244.37</v>
      </c>
      <c r="J973" s="1">
        <v>8</v>
      </c>
      <c r="K973" s="1">
        <v>17954.96</v>
      </c>
      <c r="L973" s="1">
        <v>0</v>
      </c>
      <c r="M973" s="1">
        <v>0</v>
      </c>
      <c r="N973" s="1">
        <v>17954.96</v>
      </c>
      <c r="O973" s="1" t="s">
        <v>46</v>
      </c>
      <c r="P973" s="1" t="s">
        <v>1733</v>
      </c>
      <c r="Q973" s="1">
        <v>4</v>
      </c>
      <c r="R973" s="1">
        <f>Retail_Sales_Analyis[[#This Row],[Final_Price]]-Retail_Sales_Analyis[[#This Row],[Total_Price]]</f>
        <v>0</v>
      </c>
      <c r="S9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74" spans="1:19" x14ac:dyDescent="0.25">
      <c r="A974" s="1" t="s">
        <v>1734</v>
      </c>
      <c r="B974" s="2">
        <v>45372</v>
      </c>
      <c r="C974" s="1" t="s">
        <v>61</v>
      </c>
      <c r="D974" s="1" t="s">
        <v>67</v>
      </c>
      <c r="E974" s="1" t="s">
        <v>157</v>
      </c>
      <c r="F974" s="1" t="s">
        <v>21</v>
      </c>
      <c r="G974" s="1" t="s">
        <v>169</v>
      </c>
      <c r="H974" s="1" t="s">
        <v>348</v>
      </c>
      <c r="I974" s="1">
        <v>1267.47</v>
      </c>
      <c r="J974" s="1">
        <v>6</v>
      </c>
      <c r="K974" s="1">
        <v>7604.82</v>
      </c>
      <c r="L974" s="1">
        <v>15</v>
      </c>
      <c r="M974" s="1">
        <v>1140.72</v>
      </c>
      <c r="N974" s="1">
        <v>6464.1</v>
      </c>
      <c r="O974" s="1" t="s">
        <v>24</v>
      </c>
      <c r="P974" s="1" t="s">
        <v>1735</v>
      </c>
      <c r="Q974" s="1">
        <v>4</v>
      </c>
      <c r="R974" s="1">
        <f>Retail_Sales_Analyis[[#This Row],[Final_Price]]-Retail_Sales_Analyis[[#This Row],[Total_Price]]</f>
        <v>-1140.7199999999993</v>
      </c>
      <c r="S9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75" spans="1:19" x14ac:dyDescent="0.25">
      <c r="A975" s="1" t="s">
        <v>1736</v>
      </c>
      <c r="B975" s="2">
        <v>45414</v>
      </c>
      <c r="C975" s="1" t="s">
        <v>42</v>
      </c>
      <c r="D975" s="1" t="s">
        <v>67</v>
      </c>
      <c r="E975" s="1" t="s">
        <v>302</v>
      </c>
      <c r="F975" s="1" t="s">
        <v>37</v>
      </c>
      <c r="G975" s="1" t="s">
        <v>85</v>
      </c>
      <c r="H975" s="1" t="s">
        <v>90</v>
      </c>
      <c r="I975" s="1">
        <v>3027.88</v>
      </c>
      <c r="J975" s="1">
        <v>8</v>
      </c>
      <c r="K975" s="1">
        <v>24223.040000000001</v>
      </c>
      <c r="L975" s="1">
        <v>0</v>
      </c>
      <c r="M975" s="1">
        <v>0</v>
      </c>
      <c r="N975" s="1">
        <v>24223.040000000001</v>
      </c>
      <c r="O975" s="1" t="s">
        <v>33</v>
      </c>
      <c r="P975" s="1" t="s">
        <v>469</v>
      </c>
      <c r="Q975" s="1">
        <v>4</v>
      </c>
      <c r="R975" s="1">
        <f>Retail_Sales_Analyis[[#This Row],[Final_Price]]-Retail_Sales_Analyis[[#This Row],[Total_Price]]</f>
        <v>0</v>
      </c>
      <c r="S9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76" spans="1:19" x14ac:dyDescent="0.25">
      <c r="A976" s="1" t="s">
        <v>1737</v>
      </c>
      <c r="B976" s="2">
        <v>45380</v>
      </c>
      <c r="C976" s="1" t="s">
        <v>61</v>
      </c>
      <c r="D976" s="1" t="s">
        <v>144</v>
      </c>
      <c r="E976" s="1" t="s">
        <v>307</v>
      </c>
      <c r="F976" s="1" t="s">
        <v>69</v>
      </c>
      <c r="G976" s="1" t="s">
        <v>22</v>
      </c>
      <c r="H976" s="1" t="s">
        <v>277</v>
      </c>
      <c r="I976" s="1">
        <v>793.65</v>
      </c>
      <c r="J976" s="1">
        <v>2</v>
      </c>
      <c r="K976" s="1">
        <v>1587.3</v>
      </c>
      <c r="L976" s="1">
        <v>10</v>
      </c>
      <c r="M976" s="1">
        <v>158.72999999999999</v>
      </c>
      <c r="N976" s="1">
        <v>1428.57</v>
      </c>
      <c r="O976" s="1" t="s">
        <v>33</v>
      </c>
      <c r="P976" s="1" t="s">
        <v>1738</v>
      </c>
      <c r="Q976" s="1">
        <v>5</v>
      </c>
      <c r="R976" s="1">
        <f>Retail_Sales_Analyis[[#This Row],[Final_Price]]-Retail_Sales_Analyis[[#This Row],[Total_Price]]</f>
        <v>-158.73000000000002</v>
      </c>
      <c r="S9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77" spans="1:19" x14ac:dyDescent="0.25">
      <c r="A977" s="1" t="s">
        <v>1739</v>
      </c>
      <c r="B977" s="2">
        <v>45574</v>
      </c>
      <c r="C977" s="1" t="s">
        <v>76</v>
      </c>
      <c r="D977" s="1" t="s">
        <v>55</v>
      </c>
      <c r="E977" s="1" t="s">
        <v>141</v>
      </c>
      <c r="F977" s="1" t="s">
        <v>69</v>
      </c>
      <c r="G977" s="1" t="s">
        <v>78</v>
      </c>
      <c r="H977" s="1" t="s">
        <v>126</v>
      </c>
      <c r="I977" s="1">
        <v>587.29999999999995</v>
      </c>
      <c r="J977" s="1">
        <v>2</v>
      </c>
      <c r="K977" s="1">
        <v>1174.5999999999999</v>
      </c>
      <c r="L977" s="1">
        <v>20</v>
      </c>
      <c r="M977" s="1">
        <v>234.92</v>
      </c>
      <c r="N977" s="1">
        <v>939.68</v>
      </c>
      <c r="O977" s="1" t="s">
        <v>64</v>
      </c>
      <c r="P977" s="1" t="s">
        <v>961</v>
      </c>
      <c r="Q977" s="1">
        <v>4</v>
      </c>
      <c r="R977" s="1">
        <f>Retail_Sales_Analyis[[#This Row],[Final_Price]]-Retail_Sales_Analyis[[#This Row],[Total_Price]]</f>
        <v>-234.91999999999996</v>
      </c>
      <c r="S97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78" spans="1:19" x14ac:dyDescent="0.25">
      <c r="A978" s="1" t="s">
        <v>1740</v>
      </c>
      <c r="B978" s="2">
        <v>45330</v>
      </c>
      <c r="C978" s="1" t="s">
        <v>27</v>
      </c>
      <c r="D978" s="1" t="s">
        <v>67</v>
      </c>
      <c r="E978" s="1" t="s">
        <v>50</v>
      </c>
      <c r="F978" s="1" t="s">
        <v>69</v>
      </c>
      <c r="G978" s="1" t="s">
        <v>169</v>
      </c>
      <c r="H978" s="1" t="s">
        <v>366</v>
      </c>
      <c r="I978" s="1">
        <v>308.35000000000002</v>
      </c>
      <c r="J978" s="1">
        <v>10</v>
      </c>
      <c r="K978" s="1">
        <v>3083.5</v>
      </c>
      <c r="L978" s="1">
        <v>0</v>
      </c>
      <c r="M978" s="1">
        <v>0</v>
      </c>
      <c r="N978" s="1">
        <v>3083.5</v>
      </c>
      <c r="O978" s="1" t="s">
        <v>64</v>
      </c>
      <c r="P978" s="1" t="s">
        <v>841</v>
      </c>
      <c r="Q978" s="1">
        <v>5</v>
      </c>
      <c r="R978" s="1">
        <f>Retail_Sales_Analyis[[#This Row],[Final_Price]]-Retail_Sales_Analyis[[#This Row],[Total_Price]]</f>
        <v>0</v>
      </c>
      <c r="S9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79" spans="1:19" x14ac:dyDescent="0.25">
      <c r="A979" s="1" t="s">
        <v>1741</v>
      </c>
      <c r="B979" s="2">
        <v>45372</v>
      </c>
      <c r="C979" s="1" t="s">
        <v>61</v>
      </c>
      <c r="D979" s="1" t="s">
        <v>67</v>
      </c>
      <c r="E979" s="1" t="s">
        <v>307</v>
      </c>
      <c r="F979" s="1" t="s">
        <v>37</v>
      </c>
      <c r="G979" s="1" t="s">
        <v>112</v>
      </c>
      <c r="H979" s="1" t="s">
        <v>288</v>
      </c>
      <c r="I979" s="1">
        <v>922.57</v>
      </c>
      <c r="J979" s="1">
        <v>2</v>
      </c>
      <c r="K979" s="1">
        <v>1845.14</v>
      </c>
      <c r="L979" s="1">
        <v>20</v>
      </c>
      <c r="M979" s="1">
        <v>369.03</v>
      </c>
      <c r="N979" s="1">
        <v>1476.11</v>
      </c>
      <c r="O979" s="1" t="s">
        <v>33</v>
      </c>
      <c r="P979" s="1" t="s">
        <v>907</v>
      </c>
      <c r="Q979" s="1">
        <v>4</v>
      </c>
      <c r="R979" s="1">
        <f>Retail_Sales_Analyis[[#This Row],[Final_Price]]-Retail_Sales_Analyis[[#This Row],[Total_Price]]</f>
        <v>-369.0300000000002</v>
      </c>
      <c r="S9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80" spans="1:19" x14ac:dyDescent="0.25">
      <c r="A980" s="1" t="s">
        <v>1742</v>
      </c>
      <c r="B980" s="2">
        <v>45293</v>
      </c>
      <c r="C980" s="1" t="s">
        <v>36</v>
      </c>
      <c r="D980" s="1" t="s">
        <v>28</v>
      </c>
      <c r="E980" s="1" t="s">
        <v>199</v>
      </c>
      <c r="F980" s="1" t="s">
        <v>21</v>
      </c>
      <c r="G980" s="1" t="s">
        <v>78</v>
      </c>
      <c r="H980" s="1" t="s">
        <v>323</v>
      </c>
      <c r="I980" s="1">
        <v>341.57</v>
      </c>
      <c r="J980" s="1">
        <v>5</v>
      </c>
      <c r="K980" s="1">
        <v>1707.85</v>
      </c>
      <c r="L980" s="1">
        <v>20</v>
      </c>
      <c r="M980" s="1">
        <v>341.57</v>
      </c>
      <c r="N980" s="1">
        <v>1366.28</v>
      </c>
      <c r="O980" s="1" t="s">
        <v>24</v>
      </c>
      <c r="P980" s="1" t="s">
        <v>775</v>
      </c>
      <c r="Q980" s="1">
        <v>5</v>
      </c>
      <c r="R980" s="1">
        <f>Retail_Sales_Analyis[[#This Row],[Final_Price]]-Retail_Sales_Analyis[[#This Row],[Total_Price]]</f>
        <v>-341.56999999999994</v>
      </c>
      <c r="S9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981" spans="1:19" x14ac:dyDescent="0.25">
      <c r="A981" s="1" t="s">
        <v>1743</v>
      </c>
      <c r="B981" s="2">
        <v>45501</v>
      </c>
      <c r="C981" s="1" t="s">
        <v>195</v>
      </c>
      <c r="D981" s="1" t="s">
        <v>49</v>
      </c>
      <c r="E981" s="1" t="s">
        <v>322</v>
      </c>
      <c r="F981" s="1" t="s">
        <v>30</v>
      </c>
      <c r="G981" s="1" t="s">
        <v>78</v>
      </c>
      <c r="H981" s="1" t="s">
        <v>136</v>
      </c>
      <c r="I981" s="1">
        <v>157.88</v>
      </c>
      <c r="J981" s="1">
        <v>6</v>
      </c>
      <c r="K981" s="1">
        <v>947.28</v>
      </c>
      <c r="L981" s="1">
        <v>0</v>
      </c>
      <c r="M981" s="1">
        <v>0</v>
      </c>
      <c r="N981" s="1">
        <v>947.28</v>
      </c>
      <c r="O981" s="1" t="s">
        <v>24</v>
      </c>
      <c r="P981" s="1" t="s">
        <v>942</v>
      </c>
      <c r="Q981" s="1">
        <v>5</v>
      </c>
      <c r="R981" s="1">
        <f>Retail_Sales_Analyis[[#This Row],[Final_Price]]-Retail_Sales_Analyis[[#This Row],[Total_Price]]</f>
        <v>0</v>
      </c>
      <c r="S9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82" spans="1:19" x14ac:dyDescent="0.25">
      <c r="A982" s="1" t="s">
        <v>1744</v>
      </c>
      <c r="B982" s="2">
        <v>45522</v>
      </c>
      <c r="C982" s="1" t="s">
        <v>93</v>
      </c>
      <c r="D982" s="1" t="s">
        <v>49</v>
      </c>
      <c r="E982" s="1" t="s">
        <v>542</v>
      </c>
      <c r="F982" s="1" t="s">
        <v>21</v>
      </c>
      <c r="G982" s="1" t="s">
        <v>112</v>
      </c>
      <c r="H982" s="1" t="s">
        <v>183</v>
      </c>
      <c r="I982" s="1">
        <v>1608.02</v>
      </c>
      <c r="J982" s="1">
        <v>4</v>
      </c>
      <c r="K982" s="1">
        <v>6432.08</v>
      </c>
      <c r="L982" s="1">
        <v>0</v>
      </c>
      <c r="M982" s="1">
        <v>0</v>
      </c>
      <c r="N982" s="1">
        <v>6432.08</v>
      </c>
      <c r="O982" s="1" t="s">
        <v>24</v>
      </c>
      <c r="P982" s="1" t="s">
        <v>205</v>
      </c>
      <c r="Q982" s="1">
        <v>5</v>
      </c>
      <c r="R982" s="1">
        <f>Retail_Sales_Analyis[[#This Row],[Final_Price]]-Retail_Sales_Analyis[[#This Row],[Total_Price]]</f>
        <v>0</v>
      </c>
      <c r="S9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83" spans="1:19" x14ac:dyDescent="0.25">
      <c r="A983" s="1" t="s">
        <v>1745</v>
      </c>
      <c r="B983" s="2">
        <v>45644</v>
      </c>
      <c r="C983" s="1" t="s">
        <v>73</v>
      </c>
      <c r="D983" s="1" t="s">
        <v>55</v>
      </c>
      <c r="E983" s="1" t="s">
        <v>29</v>
      </c>
      <c r="F983" s="1" t="s">
        <v>84</v>
      </c>
      <c r="G983" s="1" t="s">
        <v>85</v>
      </c>
      <c r="H983" s="1" t="s">
        <v>86</v>
      </c>
      <c r="I983" s="1">
        <v>2724.4</v>
      </c>
      <c r="J983" s="1">
        <v>5</v>
      </c>
      <c r="K983" s="1">
        <v>13622</v>
      </c>
      <c r="L983" s="1">
        <v>0</v>
      </c>
      <c r="M983" s="1">
        <v>0</v>
      </c>
      <c r="N983" s="1">
        <v>13622</v>
      </c>
      <c r="O983" s="1" t="s">
        <v>33</v>
      </c>
      <c r="P983" s="1" t="s">
        <v>780</v>
      </c>
      <c r="Q983" s="1">
        <v>5</v>
      </c>
      <c r="R983" s="1">
        <f>Retail_Sales_Analyis[[#This Row],[Final_Price]]-Retail_Sales_Analyis[[#This Row],[Total_Price]]</f>
        <v>0</v>
      </c>
      <c r="S9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84" spans="1:19" x14ac:dyDescent="0.25">
      <c r="A984" s="1" t="s">
        <v>1746</v>
      </c>
      <c r="B984" s="2">
        <v>45596</v>
      </c>
      <c r="C984" s="1" t="s">
        <v>76</v>
      </c>
      <c r="D984" s="1" t="s">
        <v>67</v>
      </c>
      <c r="E984" s="1" t="s">
        <v>204</v>
      </c>
      <c r="F984" s="1" t="s">
        <v>37</v>
      </c>
      <c r="G984" s="1" t="s">
        <v>31</v>
      </c>
      <c r="H984" s="1" t="s">
        <v>329</v>
      </c>
      <c r="I984" s="1">
        <v>84.44</v>
      </c>
      <c r="J984" s="1">
        <v>6</v>
      </c>
      <c r="K984" s="1">
        <v>506.64</v>
      </c>
      <c r="L984" s="1">
        <v>0</v>
      </c>
      <c r="M984" s="1">
        <v>0</v>
      </c>
      <c r="N984" s="1">
        <v>506.64</v>
      </c>
      <c r="O984" s="1" t="s">
        <v>64</v>
      </c>
      <c r="P984" s="1" t="s">
        <v>843</v>
      </c>
      <c r="Q984" s="1">
        <v>5</v>
      </c>
      <c r="R984" s="1">
        <f>Retail_Sales_Analyis[[#This Row],[Final_Price]]-Retail_Sales_Analyis[[#This Row],[Total_Price]]</f>
        <v>0</v>
      </c>
      <c r="S9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85" spans="1:19" x14ac:dyDescent="0.25">
      <c r="A985" s="1" t="s">
        <v>1747</v>
      </c>
      <c r="B985" s="2">
        <v>45532</v>
      </c>
      <c r="C985" s="1" t="s">
        <v>93</v>
      </c>
      <c r="D985" s="1" t="s">
        <v>55</v>
      </c>
      <c r="E985" s="1" t="s">
        <v>129</v>
      </c>
      <c r="F985" s="1" t="s">
        <v>30</v>
      </c>
      <c r="G985" s="1" t="s">
        <v>169</v>
      </c>
      <c r="H985" s="1" t="s">
        <v>175</v>
      </c>
      <c r="I985" s="1">
        <v>1412.93</v>
      </c>
      <c r="J985" s="1">
        <v>5</v>
      </c>
      <c r="K985" s="1">
        <v>7064.65</v>
      </c>
      <c r="L985" s="1">
        <v>5</v>
      </c>
      <c r="M985" s="1">
        <v>353.23</v>
      </c>
      <c r="N985" s="1">
        <v>6711.42</v>
      </c>
      <c r="O985" s="1" t="s">
        <v>33</v>
      </c>
      <c r="P985" s="1" t="s">
        <v>391</v>
      </c>
      <c r="Q985" s="1">
        <v>1</v>
      </c>
      <c r="R985" s="1">
        <f>Retail_Sales_Analyis[[#This Row],[Final_Price]]-Retail_Sales_Analyis[[#This Row],[Total_Price]]</f>
        <v>-353.22999999999956</v>
      </c>
      <c r="S9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86" spans="1:19" x14ac:dyDescent="0.25">
      <c r="A986" s="1" t="s">
        <v>1748</v>
      </c>
      <c r="B986" s="2">
        <v>45441</v>
      </c>
      <c r="C986" s="1" t="s">
        <v>42</v>
      </c>
      <c r="D986" s="1" t="s">
        <v>55</v>
      </c>
      <c r="E986" s="1" t="s">
        <v>50</v>
      </c>
      <c r="F986" s="1" t="s">
        <v>84</v>
      </c>
      <c r="G986" s="1" t="s">
        <v>169</v>
      </c>
      <c r="H986" s="1" t="s">
        <v>348</v>
      </c>
      <c r="I986" s="1">
        <v>1458.19</v>
      </c>
      <c r="J986" s="1">
        <v>4</v>
      </c>
      <c r="K986" s="1">
        <v>5832.76</v>
      </c>
      <c r="L986" s="1">
        <v>10</v>
      </c>
      <c r="M986" s="1">
        <v>583.28</v>
      </c>
      <c r="N986" s="1">
        <v>5249.48</v>
      </c>
      <c r="O986" s="1" t="s">
        <v>46</v>
      </c>
      <c r="P986" s="1" t="s">
        <v>1749</v>
      </c>
      <c r="Q986" s="1">
        <v>3</v>
      </c>
      <c r="R986" s="1">
        <f>Retail_Sales_Analyis[[#This Row],[Final_Price]]-Retail_Sales_Analyis[[#This Row],[Total_Price]]</f>
        <v>-583.28000000000065</v>
      </c>
      <c r="S9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87" spans="1:19" x14ac:dyDescent="0.25">
      <c r="A987" s="1" t="s">
        <v>1750</v>
      </c>
      <c r="B987" s="2">
        <v>45308</v>
      </c>
      <c r="C987" s="1" t="s">
        <v>36</v>
      </c>
      <c r="D987" s="1" t="s">
        <v>55</v>
      </c>
      <c r="E987" s="1" t="s">
        <v>117</v>
      </c>
      <c r="F987" s="1" t="s">
        <v>21</v>
      </c>
      <c r="G987" s="1" t="s">
        <v>57</v>
      </c>
      <c r="H987" s="1" t="s">
        <v>152</v>
      </c>
      <c r="I987" s="1">
        <v>1247.8599999999999</v>
      </c>
      <c r="J987" s="1">
        <v>8</v>
      </c>
      <c r="K987" s="1">
        <v>9982.8799999999992</v>
      </c>
      <c r="L987" s="1">
        <v>0</v>
      </c>
      <c r="M987" s="1">
        <v>0</v>
      </c>
      <c r="N987" s="1">
        <v>9982.8799999999992</v>
      </c>
      <c r="O987" s="1" t="s">
        <v>33</v>
      </c>
      <c r="P987" s="1" t="s">
        <v>1751</v>
      </c>
      <c r="Q987" s="1">
        <v>3</v>
      </c>
      <c r="R987" s="1">
        <f>Retail_Sales_Analyis[[#This Row],[Final_Price]]-Retail_Sales_Analyis[[#This Row],[Total_Price]]</f>
        <v>0</v>
      </c>
      <c r="S9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88" spans="1:19" x14ac:dyDescent="0.25">
      <c r="A988" s="1" t="s">
        <v>1752</v>
      </c>
      <c r="B988" s="2">
        <v>45410</v>
      </c>
      <c r="C988" s="1" t="s">
        <v>54</v>
      </c>
      <c r="D988" s="1" t="s">
        <v>49</v>
      </c>
      <c r="E988" s="1" t="s">
        <v>157</v>
      </c>
      <c r="F988" s="1" t="s">
        <v>69</v>
      </c>
      <c r="G988" s="1" t="s">
        <v>112</v>
      </c>
      <c r="H988" s="1" t="s">
        <v>183</v>
      </c>
      <c r="I988" s="1">
        <v>1098.01</v>
      </c>
      <c r="J988" s="1">
        <v>3</v>
      </c>
      <c r="K988" s="1">
        <v>3294.03</v>
      </c>
      <c r="L988" s="1">
        <v>15</v>
      </c>
      <c r="M988" s="1">
        <v>494.1</v>
      </c>
      <c r="N988" s="1">
        <v>2799.93</v>
      </c>
      <c r="O988" s="1" t="s">
        <v>46</v>
      </c>
      <c r="P988" s="1" t="s">
        <v>911</v>
      </c>
      <c r="Q988" s="1">
        <v>3</v>
      </c>
      <c r="R988" s="1">
        <f>Retail_Sales_Analyis[[#This Row],[Final_Price]]-Retail_Sales_Analyis[[#This Row],[Total_Price]]</f>
        <v>-494.10000000000036</v>
      </c>
      <c r="S9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89" spans="1:19" x14ac:dyDescent="0.25">
      <c r="A989" s="1" t="s">
        <v>1753</v>
      </c>
      <c r="B989" s="2">
        <v>45439</v>
      </c>
      <c r="C989" s="1" t="s">
        <v>42</v>
      </c>
      <c r="D989" s="1" t="s">
        <v>43</v>
      </c>
      <c r="E989" s="1" t="s">
        <v>328</v>
      </c>
      <c r="F989" s="1" t="s">
        <v>30</v>
      </c>
      <c r="G989" s="1" t="s">
        <v>112</v>
      </c>
      <c r="H989" s="1" t="s">
        <v>288</v>
      </c>
      <c r="I989" s="1">
        <v>1485.82</v>
      </c>
      <c r="J989" s="1">
        <v>5</v>
      </c>
      <c r="K989" s="1">
        <v>7429.1</v>
      </c>
      <c r="L989" s="1">
        <v>0</v>
      </c>
      <c r="M989" s="1">
        <v>0</v>
      </c>
      <c r="N989" s="1">
        <v>7429.1</v>
      </c>
      <c r="O989" s="1" t="s">
        <v>33</v>
      </c>
      <c r="P989" s="1" t="s">
        <v>547</v>
      </c>
      <c r="Q989" s="1">
        <v>5</v>
      </c>
      <c r="R989" s="1">
        <f>Retail_Sales_Analyis[[#This Row],[Final_Price]]-Retail_Sales_Analyis[[#This Row],[Total_Price]]</f>
        <v>0</v>
      </c>
      <c r="S9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0" spans="1:19" x14ac:dyDescent="0.25">
      <c r="A990" s="1" t="s">
        <v>1754</v>
      </c>
      <c r="B990" s="2">
        <v>45653</v>
      </c>
      <c r="C990" s="1" t="s">
        <v>73</v>
      </c>
      <c r="D990" s="1" t="s">
        <v>144</v>
      </c>
      <c r="E990" s="1" t="s">
        <v>94</v>
      </c>
      <c r="F990" s="1" t="s">
        <v>84</v>
      </c>
      <c r="G990" s="1" t="s">
        <v>57</v>
      </c>
      <c r="H990" s="1" t="s">
        <v>101</v>
      </c>
      <c r="I990" s="1">
        <v>250.6</v>
      </c>
      <c r="J990" s="1">
        <v>6</v>
      </c>
      <c r="K990" s="1">
        <v>1503.6</v>
      </c>
      <c r="L990" s="1">
        <v>0</v>
      </c>
      <c r="M990" s="1">
        <v>0</v>
      </c>
      <c r="N990" s="1">
        <v>1503.6</v>
      </c>
      <c r="O990" s="1" t="s">
        <v>24</v>
      </c>
      <c r="P990" s="1" t="s">
        <v>1755</v>
      </c>
      <c r="Q990" s="1">
        <v>5</v>
      </c>
      <c r="R990" s="1">
        <f>Retail_Sales_Analyis[[#This Row],[Final_Price]]-Retail_Sales_Analyis[[#This Row],[Total_Price]]</f>
        <v>0</v>
      </c>
      <c r="S9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1" spans="1:19" x14ac:dyDescent="0.25">
      <c r="A991" s="1" t="s">
        <v>1756</v>
      </c>
      <c r="B991" s="2">
        <v>45436</v>
      </c>
      <c r="C991" s="1" t="s">
        <v>42</v>
      </c>
      <c r="D991" s="1" t="s">
        <v>144</v>
      </c>
      <c r="E991" s="1" t="s">
        <v>83</v>
      </c>
      <c r="F991" s="1" t="s">
        <v>84</v>
      </c>
      <c r="G991" s="1" t="s">
        <v>31</v>
      </c>
      <c r="H991" s="1" t="s">
        <v>45</v>
      </c>
      <c r="I991" s="1">
        <v>239.34</v>
      </c>
      <c r="J991" s="1">
        <v>10</v>
      </c>
      <c r="K991" s="1">
        <v>2393.4</v>
      </c>
      <c r="L991" s="1">
        <v>0</v>
      </c>
      <c r="M991" s="1">
        <v>0</v>
      </c>
      <c r="N991" s="1">
        <v>2393.4</v>
      </c>
      <c r="O991" s="1" t="s">
        <v>80</v>
      </c>
      <c r="P991" s="1" t="s">
        <v>1757</v>
      </c>
      <c r="Q991" s="1">
        <v>4</v>
      </c>
      <c r="R991" s="1">
        <f>Retail_Sales_Analyis[[#This Row],[Final_Price]]-Retail_Sales_Analyis[[#This Row],[Total_Price]]</f>
        <v>0</v>
      </c>
      <c r="S9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2" spans="1:19" x14ac:dyDescent="0.25">
      <c r="A992" s="1" t="s">
        <v>1758</v>
      </c>
      <c r="B992" s="2">
        <v>45651</v>
      </c>
      <c r="C992" s="1" t="s">
        <v>73</v>
      </c>
      <c r="D992" s="1" t="s">
        <v>55</v>
      </c>
      <c r="E992" s="1" t="s">
        <v>145</v>
      </c>
      <c r="F992" s="1" t="s">
        <v>84</v>
      </c>
      <c r="G992" s="1" t="s">
        <v>78</v>
      </c>
      <c r="H992" s="1" t="s">
        <v>323</v>
      </c>
      <c r="I992" s="1">
        <v>293.83999999999997</v>
      </c>
      <c r="J992" s="1">
        <v>8</v>
      </c>
      <c r="K992" s="1">
        <v>2350.7199999999998</v>
      </c>
      <c r="L992" s="1">
        <v>0</v>
      </c>
      <c r="M992" s="1">
        <v>0</v>
      </c>
      <c r="N992" s="1">
        <v>2350.7199999999998</v>
      </c>
      <c r="O992" s="1" t="s">
        <v>33</v>
      </c>
      <c r="P992" s="1" t="s">
        <v>680</v>
      </c>
      <c r="Q992" s="1">
        <v>4</v>
      </c>
      <c r="R992" s="1">
        <f>Retail_Sales_Analyis[[#This Row],[Final_Price]]-Retail_Sales_Analyis[[#This Row],[Total_Price]]</f>
        <v>0</v>
      </c>
      <c r="S9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3" spans="1:19" x14ac:dyDescent="0.25">
      <c r="A993" s="1" t="s">
        <v>1759</v>
      </c>
      <c r="B993" s="2">
        <v>45524</v>
      </c>
      <c r="C993" s="1" t="s">
        <v>93</v>
      </c>
      <c r="D993" s="1" t="s">
        <v>28</v>
      </c>
      <c r="E993" s="1" t="s">
        <v>328</v>
      </c>
      <c r="F993" s="1" t="s">
        <v>69</v>
      </c>
      <c r="G993" s="1" t="s">
        <v>85</v>
      </c>
      <c r="H993" s="1" t="s">
        <v>86</v>
      </c>
      <c r="I993" s="1">
        <v>2022.77</v>
      </c>
      <c r="J993" s="1">
        <v>1</v>
      </c>
      <c r="K993" s="1">
        <v>2022.77</v>
      </c>
      <c r="L993" s="1">
        <v>15</v>
      </c>
      <c r="M993" s="1">
        <v>303.42</v>
      </c>
      <c r="N993" s="1">
        <v>1719.35</v>
      </c>
      <c r="O993" s="1" t="s">
        <v>80</v>
      </c>
      <c r="P993" s="1" t="s">
        <v>1697</v>
      </c>
      <c r="Q993" s="1">
        <v>1</v>
      </c>
      <c r="R993" s="1">
        <f>Retail_Sales_Analyis[[#This Row],[Final_Price]]-Retail_Sales_Analyis[[#This Row],[Total_Price]]</f>
        <v>-303.42000000000007</v>
      </c>
      <c r="S9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994" spans="1:19" x14ac:dyDescent="0.25">
      <c r="A994" s="1" t="s">
        <v>1760</v>
      </c>
      <c r="B994" s="2">
        <v>45328</v>
      </c>
      <c r="C994" s="1" t="s">
        <v>27</v>
      </c>
      <c r="D994" s="1" t="s">
        <v>28</v>
      </c>
      <c r="E994" s="1" t="s">
        <v>174</v>
      </c>
      <c r="F994" s="1" t="s">
        <v>30</v>
      </c>
      <c r="G994" s="1" t="s">
        <v>78</v>
      </c>
      <c r="H994" s="1" t="s">
        <v>79</v>
      </c>
      <c r="I994" s="1">
        <v>243.4</v>
      </c>
      <c r="J994" s="1">
        <v>9</v>
      </c>
      <c r="K994" s="1">
        <v>2190.6</v>
      </c>
      <c r="L994" s="1">
        <v>0</v>
      </c>
      <c r="M994" s="1">
        <v>0</v>
      </c>
      <c r="N994" s="1">
        <v>2190.6</v>
      </c>
      <c r="O994" s="1" t="s">
        <v>46</v>
      </c>
      <c r="P994" s="1" t="s">
        <v>1761</v>
      </c>
      <c r="Q994" s="1">
        <v>3</v>
      </c>
      <c r="R994" s="1">
        <f>Retail_Sales_Analyis[[#This Row],[Final_Price]]-Retail_Sales_Analyis[[#This Row],[Total_Price]]</f>
        <v>0</v>
      </c>
      <c r="S9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5" spans="1:19" x14ac:dyDescent="0.25">
      <c r="A995" s="1" t="s">
        <v>1762</v>
      </c>
      <c r="B995" s="2">
        <v>45643</v>
      </c>
      <c r="C995" s="1" t="s">
        <v>73</v>
      </c>
      <c r="D995" s="1" t="s">
        <v>28</v>
      </c>
      <c r="E995" s="1" t="s">
        <v>196</v>
      </c>
      <c r="F995" s="1" t="s">
        <v>69</v>
      </c>
      <c r="G995" s="1" t="s">
        <v>31</v>
      </c>
      <c r="H995" s="1" t="s">
        <v>329</v>
      </c>
      <c r="I995" s="1">
        <v>120.16</v>
      </c>
      <c r="J995" s="1">
        <v>10</v>
      </c>
      <c r="K995" s="1">
        <v>1201.5999999999999</v>
      </c>
      <c r="L995" s="1">
        <v>0</v>
      </c>
      <c r="M995" s="1">
        <v>0</v>
      </c>
      <c r="N995" s="1">
        <v>1201.5999999999999</v>
      </c>
      <c r="O995" s="1" t="s">
        <v>80</v>
      </c>
      <c r="P995" s="1" t="s">
        <v>407</v>
      </c>
      <c r="Q995" s="1">
        <v>3</v>
      </c>
      <c r="R995" s="1">
        <f>Retail_Sales_Analyis[[#This Row],[Final_Price]]-Retail_Sales_Analyis[[#This Row],[Total_Price]]</f>
        <v>0</v>
      </c>
      <c r="S9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6" spans="1:19" x14ac:dyDescent="0.25">
      <c r="A996" s="1" t="s">
        <v>1763</v>
      </c>
      <c r="B996" s="2">
        <v>45411</v>
      </c>
      <c r="C996" s="1" t="s">
        <v>54</v>
      </c>
      <c r="D996" s="1" t="s">
        <v>43</v>
      </c>
      <c r="E996" s="1" t="s">
        <v>68</v>
      </c>
      <c r="F996" s="1" t="s">
        <v>69</v>
      </c>
      <c r="G996" s="1" t="s">
        <v>112</v>
      </c>
      <c r="H996" s="1" t="s">
        <v>118</v>
      </c>
      <c r="I996" s="1">
        <v>1334.66</v>
      </c>
      <c r="J996" s="1">
        <v>8</v>
      </c>
      <c r="K996" s="1">
        <v>10677.28</v>
      </c>
      <c r="L996" s="1">
        <v>0</v>
      </c>
      <c r="M996" s="1">
        <v>0</v>
      </c>
      <c r="N996" s="1">
        <v>10677.28</v>
      </c>
      <c r="O996" s="1" t="s">
        <v>33</v>
      </c>
      <c r="P996" s="1" t="s">
        <v>1353</v>
      </c>
      <c r="Q996" s="1">
        <v>5</v>
      </c>
      <c r="R996" s="1">
        <f>Retail_Sales_Analyis[[#This Row],[Final_Price]]-Retail_Sales_Analyis[[#This Row],[Total_Price]]</f>
        <v>0</v>
      </c>
      <c r="S9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7" spans="1:19" x14ac:dyDescent="0.25">
      <c r="A997" s="1" t="s">
        <v>1764</v>
      </c>
      <c r="B997" s="2">
        <v>45427</v>
      </c>
      <c r="C997" s="1" t="s">
        <v>42</v>
      </c>
      <c r="D997" s="1" t="s">
        <v>55</v>
      </c>
      <c r="E997" s="1" t="s">
        <v>129</v>
      </c>
      <c r="F997" s="1" t="s">
        <v>21</v>
      </c>
      <c r="G997" s="1" t="s">
        <v>169</v>
      </c>
      <c r="H997" s="1" t="s">
        <v>208</v>
      </c>
      <c r="I997" s="1">
        <v>774.9</v>
      </c>
      <c r="J997" s="1">
        <v>4</v>
      </c>
      <c r="K997" s="1">
        <v>3099.6</v>
      </c>
      <c r="L997" s="1">
        <v>0</v>
      </c>
      <c r="M997" s="1">
        <v>0</v>
      </c>
      <c r="N997" s="1">
        <v>3099.6</v>
      </c>
      <c r="O997" s="1" t="s">
        <v>80</v>
      </c>
      <c r="P997" s="1" t="s">
        <v>1100</v>
      </c>
      <c r="Q997" s="1">
        <v>3</v>
      </c>
      <c r="R997" s="1">
        <f>Retail_Sales_Analyis[[#This Row],[Final_Price]]-Retail_Sales_Analyis[[#This Row],[Total_Price]]</f>
        <v>0</v>
      </c>
      <c r="S9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998" spans="1:19" x14ac:dyDescent="0.25">
      <c r="A998" s="1" t="s">
        <v>1765</v>
      </c>
      <c r="B998" s="2">
        <v>45612</v>
      </c>
      <c r="C998" s="1" t="s">
        <v>18</v>
      </c>
      <c r="D998" s="1" t="s">
        <v>19</v>
      </c>
      <c r="E998" s="1" t="s">
        <v>166</v>
      </c>
      <c r="F998" s="1" t="s">
        <v>30</v>
      </c>
      <c r="G998" s="1" t="s">
        <v>22</v>
      </c>
      <c r="H998" s="1" t="s">
        <v>187</v>
      </c>
      <c r="I998" s="1">
        <v>526.80999999999995</v>
      </c>
      <c r="J998" s="1">
        <v>4</v>
      </c>
      <c r="K998" s="1">
        <v>2107.2399999999998</v>
      </c>
      <c r="L998" s="1">
        <v>5</v>
      </c>
      <c r="M998" s="1">
        <v>105.36</v>
      </c>
      <c r="N998" s="1">
        <v>2001.88</v>
      </c>
      <c r="O998" s="1" t="s">
        <v>80</v>
      </c>
      <c r="P998" s="1" t="s">
        <v>1766</v>
      </c>
      <c r="Q998" s="1">
        <v>3</v>
      </c>
      <c r="R998" s="1">
        <f>Retail_Sales_Analyis[[#This Row],[Final_Price]]-Retail_Sales_Analyis[[#This Row],[Total_Price]]</f>
        <v>-105.35999999999967</v>
      </c>
      <c r="S9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999" spans="1:19" x14ac:dyDescent="0.25">
      <c r="A999" s="1" t="s">
        <v>1767</v>
      </c>
      <c r="B999" s="2">
        <v>45593</v>
      </c>
      <c r="C999" s="1" t="s">
        <v>76</v>
      </c>
      <c r="D999" s="1" t="s">
        <v>43</v>
      </c>
      <c r="E999" s="1" t="s">
        <v>44</v>
      </c>
      <c r="F999" s="1" t="s">
        <v>69</v>
      </c>
      <c r="G999" s="1" t="s">
        <v>169</v>
      </c>
      <c r="H999" s="1" t="s">
        <v>175</v>
      </c>
      <c r="I999" s="1">
        <v>902.77</v>
      </c>
      <c r="J999" s="1">
        <v>9</v>
      </c>
      <c r="K999" s="1">
        <v>8124.93</v>
      </c>
      <c r="L999" s="1">
        <v>5</v>
      </c>
      <c r="M999" s="1">
        <v>406.25</v>
      </c>
      <c r="N999" s="1">
        <v>7718.68</v>
      </c>
      <c r="O999" s="1" t="s">
        <v>64</v>
      </c>
      <c r="P999" s="1" t="s">
        <v>271</v>
      </c>
      <c r="Q999" s="1">
        <v>4</v>
      </c>
      <c r="R999" s="1">
        <f>Retail_Sales_Analyis[[#This Row],[Final_Price]]-Retail_Sales_Analyis[[#This Row],[Total_Price]]</f>
        <v>-406.25</v>
      </c>
      <c r="S9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00" spans="1:19" x14ac:dyDescent="0.25">
      <c r="A1000" s="1" t="s">
        <v>1768</v>
      </c>
      <c r="B1000" s="2">
        <v>45630</v>
      </c>
      <c r="C1000" s="1" t="s">
        <v>73</v>
      </c>
      <c r="D1000" s="1" t="s">
        <v>55</v>
      </c>
      <c r="E1000" s="1" t="s">
        <v>141</v>
      </c>
      <c r="F1000" s="1" t="s">
        <v>30</v>
      </c>
      <c r="G1000" s="1" t="s">
        <v>31</v>
      </c>
      <c r="H1000" s="1" t="s">
        <v>250</v>
      </c>
      <c r="I1000" s="1">
        <v>465.76</v>
      </c>
      <c r="J1000" s="1">
        <v>3</v>
      </c>
      <c r="K1000" s="1">
        <v>1397.28</v>
      </c>
      <c r="L1000" s="1">
        <v>5</v>
      </c>
      <c r="M1000" s="1">
        <v>69.86</v>
      </c>
      <c r="N1000" s="1">
        <v>1327.42</v>
      </c>
      <c r="O1000" s="1" t="s">
        <v>46</v>
      </c>
      <c r="P1000" s="1" t="s">
        <v>1358</v>
      </c>
      <c r="Q1000" s="1">
        <v>1</v>
      </c>
      <c r="R1000" s="1">
        <f>Retail_Sales_Analyis[[#This Row],[Final_Price]]-Retail_Sales_Analyis[[#This Row],[Total_Price]]</f>
        <v>-69.8599999999999</v>
      </c>
      <c r="S10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01" spans="1:19" x14ac:dyDescent="0.25">
      <c r="A1001" s="1" t="s">
        <v>1769</v>
      </c>
      <c r="B1001" s="2">
        <v>45393</v>
      </c>
      <c r="C1001" s="1" t="s">
        <v>54</v>
      </c>
      <c r="D1001" s="1" t="s">
        <v>67</v>
      </c>
      <c r="E1001" s="1" t="s">
        <v>261</v>
      </c>
      <c r="F1001" s="1" t="s">
        <v>69</v>
      </c>
      <c r="G1001" s="1" t="s">
        <v>31</v>
      </c>
      <c r="H1001" s="1" t="s">
        <v>250</v>
      </c>
      <c r="I1001" s="1">
        <v>357.51</v>
      </c>
      <c r="J1001" s="1">
        <v>2</v>
      </c>
      <c r="K1001" s="1">
        <v>715.02</v>
      </c>
      <c r="L1001" s="1">
        <v>5</v>
      </c>
      <c r="M1001" s="1">
        <v>35.75</v>
      </c>
      <c r="N1001" s="1">
        <v>679.27</v>
      </c>
      <c r="O1001" s="1" t="s">
        <v>80</v>
      </c>
      <c r="P1001" s="1" t="s">
        <v>1770</v>
      </c>
      <c r="Q1001" s="1">
        <v>4</v>
      </c>
      <c r="R1001" s="1">
        <f>Retail_Sales_Analyis[[#This Row],[Final_Price]]-Retail_Sales_Analyis[[#This Row],[Total_Price]]</f>
        <v>-35.75</v>
      </c>
      <c r="S10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02" spans="1:19" x14ac:dyDescent="0.25">
      <c r="A1002" s="1" t="s">
        <v>1771</v>
      </c>
      <c r="B1002" s="2">
        <v>45509</v>
      </c>
      <c r="C1002" s="1" t="s">
        <v>93</v>
      </c>
      <c r="D1002" s="1" t="s">
        <v>43</v>
      </c>
      <c r="E1002" s="1" t="s">
        <v>89</v>
      </c>
      <c r="F1002" s="1" t="s">
        <v>84</v>
      </c>
      <c r="G1002" s="1" t="s">
        <v>112</v>
      </c>
      <c r="H1002" s="1" t="s">
        <v>183</v>
      </c>
      <c r="I1002" s="1">
        <v>836.29</v>
      </c>
      <c r="J1002" s="1">
        <v>10</v>
      </c>
      <c r="K1002" s="1">
        <v>8362.9</v>
      </c>
      <c r="L1002" s="1">
        <v>10</v>
      </c>
      <c r="M1002" s="1">
        <v>836.29</v>
      </c>
      <c r="N1002" s="1">
        <v>7526.61</v>
      </c>
      <c r="O1002" s="1" t="s">
        <v>80</v>
      </c>
      <c r="P1002" s="1" t="s">
        <v>942</v>
      </c>
      <c r="Q1002" s="1">
        <v>1</v>
      </c>
      <c r="R1002" s="1">
        <f>Retail_Sales_Analyis[[#This Row],[Final_Price]]-Retail_Sales_Analyis[[#This Row],[Total_Price]]</f>
        <v>-836.29</v>
      </c>
      <c r="S10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03" spans="1:19" x14ac:dyDescent="0.25">
      <c r="A1003" s="1" t="s">
        <v>1772</v>
      </c>
      <c r="B1003" s="2">
        <v>45350</v>
      </c>
      <c r="C1003" s="1" t="s">
        <v>27</v>
      </c>
      <c r="D1003" s="1" t="s">
        <v>55</v>
      </c>
      <c r="E1003" s="1" t="s">
        <v>285</v>
      </c>
      <c r="F1003" s="1" t="s">
        <v>37</v>
      </c>
      <c r="G1003" s="1" t="s">
        <v>22</v>
      </c>
      <c r="H1003" s="1" t="s">
        <v>133</v>
      </c>
      <c r="I1003" s="1">
        <v>460.02</v>
      </c>
      <c r="J1003" s="1">
        <v>4</v>
      </c>
      <c r="K1003" s="1">
        <v>1840.08</v>
      </c>
      <c r="L1003" s="1">
        <v>0</v>
      </c>
      <c r="M1003" s="1">
        <v>0</v>
      </c>
      <c r="N1003" s="1">
        <v>1840.08</v>
      </c>
      <c r="O1003" s="1" t="s">
        <v>80</v>
      </c>
      <c r="P1003" s="1" t="s">
        <v>1773</v>
      </c>
      <c r="Q1003" s="1">
        <v>4</v>
      </c>
      <c r="R1003" s="1">
        <f>Retail_Sales_Analyis[[#This Row],[Final_Price]]-Retail_Sales_Analyis[[#This Row],[Total_Price]]</f>
        <v>0</v>
      </c>
      <c r="S10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04" spans="1:19" x14ac:dyDescent="0.25">
      <c r="A1004" s="1" t="s">
        <v>1774</v>
      </c>
      <c r="B1004" s="2">
        <v>45570</v>
      </c>
      <c r="C1004" s="1" t="s">
        <v>76</v>
      </c>
      <c r="D1004" s="1" t="s">
        <v>19</v>
      </c>
      <c r="E1004" s="1" t="s">
        <v>236</v>
      </c>
      <c r="F1004" s="1" t="s">
        <v>69</v>
      </c>
      <c r="G1004" s="1" t="s">
        <v>78</v>
      </c>
      <c r="H1004" s="1" t="s">
        <v>79</v>
      </c>
      <c r="I1004" s="1">
        <v>484.33</v>
      </c>
      <c r="J1004" s="1">
        <v>7</v>
      </c>
      <c r="K1004" s="1">
        <v>3390.31</v>
      </c>
      <c r="L1004" s="1">
        <v>10</v>
      </c>
      <c r="M1004" s="1">
        <v>339.03</v>
      </c>
      <c r="N1004" s="1">
        <v>3051.28</v>
      </c>
      <c r="O1004" s="1" t="s">
        <v>80</v>
      </c>
      <c r="P1004" s="1" t="s">
        <v>1109</v>
      </c>
      <c r="Q1004" s="1">
        <v>2</v>
      </c>
      <c r="R1004" s="1">
        <f>Retail_Sales_Analyis[[#This Row],[Final_Price]]-Retail_Sales_Analyis[[#This Row],[Total_Price]]</f>
        <v>-339.02999999999975</v>
      </c>
      <c r="S10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05" spans="1:19" x14ac:dyDescent="0.25">
      <c r="A1005" s="1" t="s">
        <v>1775</v>
      </c>
      <c r="B1005" s="2">
        <v>45407</v>
      </c>
      <c r="C1005" s="1" t="s">
        <v>54</v>
      </c>
      <c r="D1005" s="1" t="s">
        <v>67</v>
      </c>
      <c r="E1005" s="1" t="s">
        <v>192</v>
      </c>
      <c r="F1005" s="1" t="s">
        <v>37</v>
      </c>
      <c r="G1005" s="1" t="s">
        <v>57</v>
      </c>
      <c r="H1005" s="1" t="s">
        <v>101</v>
      </c>
      <c r="I1005" s="1">
        <v>1522.07</v>
      </c>
      <c r="J1005" s="1">
        <v>4</v>
      </c>
      <c r="K1005" s="1">
        <v>6088.28</v>
      </c>
      <c r="L1005" s="1">
        <v>0</v>
      </c>
      <c r="M1005" s="1">
        <v>0</v>
      </c>
      <c r="N1005" s="1">
        <v>6088.28</v>
      </c>
      <c r="O1005" s="1" t="s">
        <v>64</v>
      </c>
      <c r="P1005" s="1" t="s">
        <v>1776</v>
      </c>
      <c r="Q1005" s="1">
        <v>3</v>
      </c>
      <c r="R1005" s="1">
        <f>Retail_Sales_Analyis[[#This Row],[Final_Price]]-Retail_Sales_Analyis[[#This Row],[Total_Price]]</f>
        <v>0</v>
      </c>
      <c r="S10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06" spans="1:19" x14ac:dyDescent="0.25">
      <c r="A1006" s="1" t="s">
        <v>1777</v>
      </c>
      <c r="B1006" s="2">
        <v>45623</v>
      </c>
      <c r="C1006" s="1" t="s">
        <v>18</v>
      </c>
      <c r="D1006" s="1" t="s">
        <v>55</v>
      </c>
      <c r="E1006" s="1" t="s">
        <v>56</v>
      </c>
      <c r="F1006" s="1" t="s">
        <v>84</v>
      </c>
      <c r="G1006" s="1" t="s">
        <v>31</v>
      </c>
      <c r="H1006" s="1" t="s">
        <v>32</v>
      </c>
      <c r="I1006" s="1">
        <v>160.27000000000001</v>
      </c>
      <c r="J1006" s="1">
        <v>10</v>
      </c>
      <c r="K1006" s="1">
        <v>1602.7</v>
      </c>
      <c r="L1006" s="1">
        <v>5</v>
      </c>
      <c r="M1006" s="1">
        <v>80.14</v>
      </c>
      <c r="N1006" s="1">
        <v>1522.56</v>
      </c>
      <c r="O1006" s="1" t="s">
        <v>64</v>
      </c>
      <c r="P1006" s="1" t="s">
        <v>1672</v>
      </c>
      <c r="Q1006" s="1">
        <v>2</v>
      </c>
      <c r="R1006" s="1">
        <f>Retail_Sales_Analyis[[#This Row],[Final_Price]]-Retail_Sales_Analyis[[#This Row],[Total_Price]]</f>
        <v>-80.1400000000001</v>
      </c>
      <c r="S10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07" spans="1:19" x14ac:dyDescent="0.25">
      <c r="A1007" s="1" t="s">
        <v>1778</v>
      </c>
      <c r="B1007" s="2">
        <v>45368</v>
      </c>
      <c r="C1007" s="1" t="s">
        <v>61</v>
      </c>
      <c r="D1007" s="1" t="s">
        <v>49</v>
      </c>
      <c r="E1007" s="1" t="s">
        <v>157</v>
      </c>
      <c r="F1007" s="1" t="s">
        <v>37</v>
      </c>
      <c r="G1007" s="1" t="s">
        <v>169</v>
      </c>
      <c r="H1007" s="1" t="s">
        <v>170</v>
      </c>
      <c r="I1007" s="1">
        <v>1305.45</v>
      </c>
      <c r="J1007" s="1">
        <v>3</v>
      </c>
      <c r="K1007" s="1">
        <v>3916.35</v>
      </c>
      <c r="L1007" s="1">
        <v>0</v>
      </c>
      <c r="M1007" s="1">
        <v>0</v>
      </c>
      <c r="N1007" s="1">
        <v>3916.35</v>
      </c>
      <c r="O1007" s="1" t="s">
        <v>33</v>
      </c>
      <c r="P1007" s="1" t="s">
        <v>1779</v>
      </c>
      <c r="Q1007" s="1">
        <v>1</v>
      </c>
      <c r="R1007" s="1">
        <f>Retail_Sales_Analyis[[#This Row],[Final_Price]]-Retail_Sales_Analyis[[#This Row],[Total_Price]]</f>
        <v>0</v>
      </c>
      <c r="S10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08" spans="1:19" x14ac:dyDescent="0.25">
      <c r="A1008" s="1" t="s">
        <v>1780</v>
      </c>
      <c r="B1008" s="2">
        <v>45428</v>
      </c>
      <c r="C1008" s="1" t="s">
        <v>42</v>
      </c>
      <c r="D1008" s="1" t="s">
        <v>67</v>
      </c>
      <c r="E1008" s="1" t="s">
        <v>97</v>
      </c>
      <c r="F1008" s="1" t="s">
        <v>84</v>
      </c>
      <c r="G1008" s="1" t="s">
        <v>22</v>
      </c>
      <c r="H1008" s="1" t="s">
        <v>187</v>
      </c>
      <c r="I1008" s="1">
        <v>996.43</v>
      </c>
      <c r="J1008" s="1">
        <v>7</v>
      </c>
      <c r="K1008" s="1">
        <v>6975.01</v>
      </c>
      <c r="L1008" s="1">
        <v>0</v>
      </c>
      <c r="M1008" s="1">
        <v>0</v>
      </c>
      <c r="N1008" s="1">
        <v>6975.01</v>
      </c>
      <c r="O1008" s="1" t="s">
        <v>33</v>
      </c>
      <c r="P1008" s="1" t="s">
        <v>875</v>
      </c>
      <c r="Q1008" s="1">
        <v>3</v>
      </c>
      <c r="R1008" s="1">
        <f>Retail_Sales_Analyis[[#This Row],[Final_Price]]-Retail_Sales_Analyis[[#This Row],[Total_Price]]</f>
        <v>0</v>
      </c>
      <c r="S10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09" spans="1:19" x14ac:dyDescent="0.25">
      <c r="A1009" s="1" t="s">
        <v>1781</v>
      </c>
      <c r="B1009" s="2">
        <v>45364</v>
      </c>
      <c r="C1009" s="1" t="s">
        <v>61</v>
      </c>
      <c r="D1009" s="1" t="s">
        <v>55</v>
      </c>
      <c r="E1009" s="1" t="s">
        <v>307</v>
      </c>
      <c r="F1009" s="1" t="s">
        <v>69</v>
      </c>
      <c r="G1009" s="1" t="s">
        <v>112</v>
      </c>
      <c r="H1009" s="1" t="s">
        <v>288</v>
      </c>
      <c r="I1009" s="1">
        <v>1221.21</v>
      </c>
      <c r="J1009" s="1">
        <v>1</v>
      </c>
      <c r="K1009" s="1">
        <v>1221.21</v>
      </c>
      <c r="L1009" s="1">
        <v>0</v>
      </c>
      <c r="M1009" s="1">
        <v>0</v>
      </c>
      <c r="N1009" s="1">
        <v>1221.21</v>
      </c>
      <c r="O1009" s="1" t="s">
        <v>33</v>
      </c>
      <c r="P1009" s="1" t="s">
        <v>74</v>
      </c>
      <c r="Q1009" s="1">
        <v>1</v>
      </c>
      <c r="R1009" s="1">
        <f>Retail_Sales_Analyis[[#This Row],[Final_Price]]-Retail_Sales_Analyis[[#This Row],[Total_Price]]</f>
        <v>0</v>
      </c>
      <c r="S10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10" spans="1:19" x14ac:dyDescent="0.25">
      <c r="A1010" s="1" t="s">
        <v>1782</v>
      </c>
      <c r="B1010" s="2">
        <v>45328</v>
      </c>
      <c r="C1010" s="1" t="s">
        <v>27</v>
      </c>
      <c r="D1010" s="1" t="s">
        <v>28</v>
      </c>
      <c r="E1010" s="1" t="s">
        <v>174</v>
      </c>
      <c r="F1010" s="1" t="s">
        <v>37</v>
      </c>
      <c r="G1010" s="1" t="s">
        <v>31</v>
      </c>
      <c r="H1010" s="1" t="s">
        <v>32</v>
      </c>
      <c r="I1010" s="1">
        <v>404.34</v>
      </c>
      <c r="J1010" s="1">
        <v>2</v>
      </c>
      <c r="K1010" s="1">
        <v>808.68</v>
      </c>
      <c r="L1010" s="1">
        <v>0</v>
      </c>
      <c r="M1010" s="1">
        <v>0</v>
      </c>
      <c r="N1010" s="1">
        <v>808.68</v>
      </c>
      <c r="O1010" s="1" t="s">
        <v>46</v>
      </c>
      <c r="P1010" s="1" t="s">
        <v>1783</v>
      </c>
      <c r="Q1010" s="1">
        <v>5</v>
      </c>
      <c r="R1010" s="1">
        <f>Retail_Sales_Analyis[[#This Row],[Final_Price]]-Retail_Sales_Analyis[[#This Row],[Total_Price]]</f>
        <v>0</v>
      </c>
      <c r="S10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11" spans="1:19" x14ac:dyDescent="0.25">
      <c r="A1011" s="1" t="s">
        <v>1784</v>
      </c>
      <c r="B1011" s="2">
        <v>45322</v>
      </c>
      <c r="C1011" s="1" t="s">
        <v>36</v>
      </c>
      <c r="D1011" s="1" t="s">
        <v>55</v>
      </c>
      <c r="E1011" s="1" t="s">
        <v>145</v>
      </c>
      <c r="F1011" s="1" t="s">
        <v>30</v>
      </c>
      <c r="G1011" s="1" t="s">
        <v>85</v>
      </c>
      <c r="H1011" s="1" t="s">
        <v>180</v>
      </c>
      <c r="I1011" s="1">
        <v>2651.57</v>
      </c>
      <c r="J1011" s="1">
        <v>6</v>
      </c>
      <c r="K1011" s="1">
        <v>15909.42</v>
      </c>
      <c r="L1011" s="1">
        <v>0</v>
      </c>
      <c r="M1011" s="1">
        <v>0</v>
      </c>
      <c r="N1011" s="1">
        <v>15909.42</v>
      </c>
      <c r="O1011" s="1" t="s">
        <v>64</v>
      </c>
      <c r="P1011" s="1" t="s">
        <v>547</v>
      </c>
      <c r="Q1011" s="1">
        <v>4</v>
      </c>
      <c r="R1011" s="1">
        <f>Retail_Sales_Analyis[[#This Row],[Final_Price]]-Retail_Sales_Analyis[[#This Row],[Total_Price]]</f>
        <v>0</v>
      </c>
      <c r="S10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12" spans="1:19" x14ac:dyDescent="0.25">
      <c r="A1012" s="1" t="s">
        <v>1785</v>
      </c>
      <c r="B1012" s="2">
        <v>45376</v>
      </c>
      <c r="C1012" s="1" t="s">
        <v>61</v>
      </c>
      <c r="D1012" s="1" t="s">
        <v>43</v>
      </c>
      <c r="E1012" s="1" t="s">
        <v>62</v>
      </c>
      <c r="F1012" s="1" t="s">
        <v>30</v>
      </c>
      <c r="G1012" s="1" t="s">
        <v>78</v>
      </c>
      <c r="H1012" s="1" t="s">
        <v>79</v>
      </c>
      <c r="I1012" s="1">
        <v>356.21</v>
      </c>
      <c r="J1012" s="1">
        <v>8</v>
      </c>
      <c r="K1012" s="1">
        <v>2849.68</v>
      </c>
      <c r="L1012" s="1">
        <v>20</v>
      </c>
      <c r="M1012" s="1">
        <v>569.94000000000005</v>
      </c>
      <c r="N1012" s="1">
        <v>2279.7399999999998</v>
      </c>
      <c r="O1012" s="1" t="s">
        <v>64</v>
      </c>
      <c r="P1012" s="1" t="s">
        <v>305</v>
      </c>
      <c r="Q1012" s="1">
        <v>3</v>
      </c>
      <c r="R1012" s="1">
        <f>Retail_Sales_Analyis[[#This Row],[Final_Price]]-Retail_Sales_Analyis[[#This Row],[Total_Price]]</f>
        <v>-569.94000000000005</v>
      </c>
      <c r="S10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13" spans="1:19" x14ac:dyDescent="0.25">
      <c r="A1013" s="1" t="s">
        <v>1786</v>
      </c>
      <c r="B1013" s="2">
        <v>45449</v>
      </c>
      <c r="C1013" s="1" t="s">
        <v>173</v>
      </c>
      <c r="D1013" s="1" t="s">
        <v>67</v>
      </c>
      <c r="E1013" s="1" t="s">
        <v>342</v>
      </c>
      <c r="F1013" s="1" t="s">
        <v>21</v>
      </c>
      <c r="G1013" s="1" t="s">
        <v>31</v>
      </c>
      <c r="H1013" s="1" t="s">
        <v>63</v>
      </c>
      <c r="I1013" s="1">
        <v>404.32</v>
      </c>
      <c r="J1013" s="1">
        <v>5</v>
      </c>
      <c r="K1013" s="1">
        <v>2021.6</v>
      </c>
      <c r="L1013" s="1">
        <v>10</v>
      </c>
      <c r="M1013" s="1">
        <v>202.16</v>
      </c>
      <c r="N1013" s="1">
        <v>1819.44</v>
      </c>
      <c r="O1013" s="1" t="s">
        <v>46</v>
      </c>
      <c r="P1013" s="1" t="s">
        <v>1787</v>
      </c>
      <c r="Q1013" s="1">
        <v>5</v>
      </c>
      <c r="R1013" s="1">
        <f>Retail_Sales_Analyis[[#This Row],[Final_Price]]-Retail_Sales_Analyis[[#This Row],[Total_Price]]</f>
        <v>-202.15999999999985</v>
      </c>
      <c r="S10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14" spans="1:19" x14ac:dyDescent="0.25">
      <c r="A1014" s="1" t="s">
        <v>1788</v>
      </c>
      <c r="B1014" s="2">
        <v>45596</v>
      </c>
      <c r="C1014" s="1" t="s">
        <v>76</v>
      </c>
      <c r="D1014" s="1" t="s">
        <v>67</v>
      </c>
      <c r="E1014" s="1" t="s">
        <v>351</v>
      </c>
      <c r="F1014" s="1" t="s">
        <v>21</v>
      </c>
      <c r="G1014" s="1" t="s">
        <v>38</v>
      </c>
      <c r="H1014" s="1" t="s">
        <v>39</v>
      </c>
      <c r="I1014" s="1">
        <v>254.72</v>
      </c>
      <c r="J1014" s="1">
        <v>6</v>
      </c>
      <c r="K1014" s="1">
        <v>1528.32</v>
      </c>
      <c r="L1014" s="1">
        <v>10</v>
      </c>
      <c r="M1014" s="1">
        <v>152.83000000000001</v>
      </c>
      <c r="N1014" s="1">
        <v>1375.49</v>
      </c>
      <c r="O1014" s="1" t="s">
        <v>46</v>
      </c>
      <c r="P1014" s="1" t="s">
        <v>1789</v>
      </c>
      <c r="Q1014" s="1">
        <v>3</v>
      </c>
      <c r="R1014" s="1">
        <f>Retail_Sales_Analyis[[#This Row],[Final_Price]]-Retail_Sales_Analyis[[#This Row],[Total_Price]]</f>
        <v>-152.82999999999993</v>
      </c>
      <c r="S10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15" spans="1:19" x14ac:dyDescent="0.25">
      <c r="A1015" s="1" t="s">
        <v>1790</v>
      </c>
      <c r="B1015" s="2">
        <v>45583</v>
      </c>
      <c r="C1015" s="1" t="s">
        <v>76</v>
      </c>
      <c r="D1015" s="1" t="s">
        <v>144</v>
      </c>
      <c r="E1015" s="1" t="s">
        <v>89</v>
      </c>
      <c r="F1015" s="1" t="s">
        <v>30</v>
      </c>
      <c r="G1015" s="1" t="s">
        <v>38</v>
      </c>
      <c r="H1015" s="1" t="s">
        <v>108</v>
      </c>
      <c r="I1015" s="1">
        <v>599.16</v>
      </c>
      <c r="J1015" s="1">
        <v>5</v>
      </c>
      <c r="K1015" s="1">
        <v>2995.8</v>
      </c>
      <c r="L1015" s="1">
        <v>0</v>
      </c>
      <c r="M1015" s="1">
        <v>0</v>
      </c>
      <c r="N1015" s="1">
        <v>2995.8</v>
      </c>
      <c r="O1015" s="1" t="s">
        <v>64</v>
      </c>
      <c r="P1015" s="1" t="s">
        <v>1791</v>
      </c>
      <c r="Q1015" s="1">
        <v>2</v>
      </c>
      <c r="R1015" s="1">
        <f>Retail_Sales_Analyis[[#This Row],[Final_Price]]-Retail_Sales_Analyis[[#This Row],[Total_Price]]</f>
        <v>0</v>
      </c>
      <c r="S10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16" spans="1:19" x14ac:dyDescent="0.25">
      <c r="A1016" s="1" t="s">
        <v>1792</v>
      </c>
      <c r="B1016" s="2">
        <v>45439</v>
      </c>
      <c r="C1016" s="1" t="s">
        <v>42</v>
      </c>
      <c r="D1016" s="1" t="s">
        <v>43</v>
      </c>
      <c r="E1016" s="1" t="s">
        <v>351</v>
      </c>
      <c r="F1016" s="1" t="s">
        <v>21</v>
      </c>
      <c r="G1016" s="1" t="s">
        <v>22</v>
      </c>
      <c r="H1016" s="1" t="s">
        <v>277</v>
      </c>
      <c r="I1016" s="1">
        <v>709.41</v>
      </c>
      <c r="J1016" s="1">
        <v>1</v>
      </c>
      <c r="K1016" s="1">
        <v>709.41</v>
      </c>
      <c r="L1016" s="1">
        <v>20</v>
      </c>
      <c r="M1016" s="1">
        <v>141.88</v>
      </c>
      <c r="N1016" s="1">
        <v>567.53</v>
      </c>
      <c r="O1016" s="1" t="s">
        <v>64</v>
      </c>
      <c r="P1016" s="1" t="s">
        <v>1793</v>
      </c>
      <c r="Q1016" s="1">
        <v>5</v>
      </c>
      <c r="R1016" s="1">
        <f>Retail_Sales_Analyis[[#This Row],[Final_Price]]-Retail_Sales_Analyis[[#This Row],[Total_Price]]</f>
        <v>-141.88</v>
      </c>
      <c r="S10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17" spans="1:19" x14ac:dyDescent="0.25">
      <c r="A1017" s="1" t="s">
        <v>1794</v>
      </c>
      <c r="B1017" s="2">
        <v>45516</v>
      </c>
      <c r="C1017" s="1" t="s">
        <v>93</v>
      </c>
      <c r="D1017" s="1" t="s">
        <v>43</v>
      </c>
      <c r="E1017" s="1" t="s">
        <v>83</v>
      </c>
      <c r="F1017" s="1" t="s">
        <v>84</v>
      </c>
      <c r="G1017" s="1" t="s">
        <v>112</v>
      </c>
      <c r="H1017" s="1" t="s">
        <v>118</v>
      </c>
      <c r="I1017" s="1">
        <v>1046.24</v>
      </c>
      <c r="J1017" s="1">
        <v>9</v>
      </c>
      <c r="K1017" s="1">
        <v>9416.16</v>
      </c>
      <c r="L1017" s="1">
        <v>15</v>
      </c>
      <c r="M1017" s="1">
        <v>1412.42</v>
      </c>
      <c r="N1017" s="1">
        <v>8003.74</v>
      </c>
      <c r="O1017" s="1" t="s">
        <v>80</v>
      </c>
      <c r="P1017" s="1" t="s">
        <v>1795</v>
      </c>
      <c r="Q1017" s="1">
        <v>4</v>
      </c>
      <c r="R1017" s="1">
        <f>Retail_Sales_Analyis[[#This Row],[Final_Price]]-Retail_Sales_Analyis[[#This Row],[Total_Price]]</f>
        <v>-1412.42</v>
      </c>
      <c r="S10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18" spans="1:19" x14ac:dyDescent="0.25">
      <c r="A1018" s="1" t="s">
        <v>1796</v>
      </c>
      <c r="B1018" s="2">
        <v>45355</v>
      </c>
      <c r="C1018" s="1" t="s">
        <v>61</v>
      </c>
      <c r="D1018" s="1" t="s">
        <v>43</v>
      </c>
      <c r="E1018" s="1" t="s">
        <v>139</v>
      </c>
      <c r="F1018" s="1" t="s">
        <v>30</v>
      </c>
      <c r="G1018" s="1" t="s">
        <v>85</v>
      </c>
      <c r="H1018" s="1" t="s">
        <v>180</v>
      </c>
      <c r="I1018" s="1">
        <v>3575.41</v>
      </c>
      <c r="J1018" s="1">
        <v>10</v>
      </c>
      <c r="K1018" s="1">
        <v>35754.1</v>
      </c>
      <c r="L1018" s="1">
        <v>20</v>
      </c>
      <c r="M1018" s="1">
        <v>7150.82</v>
      </c>
      <c r="N1018" s="1">
        <v>28603.279999999999</v>
      </c>
      <c r="O1018" s="1" t="s">
        <v>80</v>
      </c>
      <c r="P1018" s="1" t="s">
        <v>244</v>
      </c>
      <c r="Q1018" s="1">
        <v>3</v>
      </c>
      <c r="R1018" s="1">
        <f>Retail_Sales_Analyis[[#This Row],[Final_Price]]-Retail_Sales_Analyis[[#This Row],[Total_Price]]</f>
        <v>-7150.82</v>
      </c>
      <c r="S10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19" spans="1:19" x14ac:dyDescent="0.25">
      <c r="A1019" s="1" t="s">
        <v>1797</v>
      </c>
      <c r="B1019" s="2">
        <v>45531</v>
      </c>
      <c r="C1019" s="1" t="s">
        <v>93</v>
      </c>
      <c r="D1019" s="1" t="s">
        <v>28</v>
      </c>
      <c r="E1019" s="1" t="s">
        <v>157</v>
      </c>
      <c r="F1019" s="1" t="s">
        <v>37</v>
      </c>
      <c r="G1019" s="1" t="s">
        <v>31</v>
      </c>
      <c r="H1019" s="1" t="s">
        <v>250</v>
      </c>
      <c r="I1019" s="1">
        <v>441.85</v>
      </c>
      <c r="J1019" s="1">
        <v>8</v>
      </c>
      <c r="K1019" s="1">
        <v>3534.8</v>
      </c>
      <c r="L1019" s="1">
        <v>0</v>
      </c>
      <c r="M1019" s="1">
        <v>0</v>
      </c>
      <c r="N1019" s="1">
        <v>3534.8</v>
      </c>
      <c r="O1019" s="1" t="s">
        <v>33</v>
      </c>
      <c r="P1019" s="1" t="s">
        <v>1798</v>
      </c>
      <c r="Q1019" s="1">
        <v>4</v>
      </c>
      <c r="R1019" s="1">
        <f>Retail_Sales_Analyis[[#This Row],[Final_Price]]-Retail_Sales_Analyis[[#This Row],[Total_Price]]</f>
        <v>0</v>
      </c>
      <c r="S10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0" spans="1:19" x14ac:dyDescent="0.25">
      <c r="A1020" s="1" t="s">
        <v>1799</v>
      </c>
      <c r="B1020" s="2">
        <v>45644</v>
      </c>
      <c r="C1020" s="1" t="s">
        <v>73</v>
      </c>
      <c r="D1020" s="1" t="s">
        <v>55</v>
      </c>
      <c r="E1020" s="1" t="s">
        <v>20</v>
      </c>
      <c r="F1020" s="1" t="s">
        <v>21</v>
      </c>
      <c r="G1020" s="1" t="s">
        <v>57</v>
      </c>
      <c r="H1020" s="1" t="s">
        <v>158</v>
      </c>
      <c r="I1020" s="1">
        <v>778</v>
      </c>
      <c r="J1020" s="1">
        <v>3</v>
      </c>
      <c r="K1020" s="1">
        <v>2334</v>
      </c>
      <c r="L1020" s="1">
        <v>0</v>
      </c>
      <c r="M1020" s="1">
        <v>0</v>
      </c>
      <c r="N1020" s="1">
        <v>2334</v>
      </c>
      <c r="O1020" s="1" t="s">
        <v>80</v>
      </c>
      <c r="P1020" s="1" t="s">
        <v>915</v>
      </c>
      <c r="Q1020" s="1">
        <v>1</v>
      </c>
      <c r="R1020" s="1">
        <f>Retail_Sales_Analyis[[#This Row],[Final_Price]]-Retail_Sales_Analyis[[#This Row],[Total_Price]]</f>
        <v>0</v>
      </c>
      <c r="S10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1" spans="1:19" x14ac:dyDescent="0.25">
      <c r="A1021" s="1" t="s">
        <v>1800</v>
      </c>
      <c r="B1021" s="2">
        <v>45447</v>
      </c>
      <c r="C1021" s="1" t="s">
        <v>173</v>
      </c>
      <c r="D1021" s="1" t="s">
        <v>28</v>
      </c>
      <c r="E1021" s="1" t="s">
        <v>117</v>
      </c>
      <c r="F1021" s="1" t="s">
        <v>21</v>
      </c>
      <c r="G1021" s="1" t="s">
        <v>31</v>
      </c>
      <c r="H1021" s="1" t="s">
        <v>32</v>
      </c>
      <c r="I1021" s="1">
        <v>306.23</v>
      </c>
      <c r="J1021" s="1">
        <v>1</v>
      </c>
      <c r="K1021" s="1">
        <v>306.23</v>
      </c>
      <c r="L1021" s="1">
        <v>20</v>
      </c>
      <c r="M1021" s="1">
        <v>61.25</v>
      </c>
      <c r="N1021" s="1">
        <v>244.98</v>
      </c>
      <c r="O1021" s="1" t="s">
        <v>80</v>
      </c>
      <c r="P1021" s="1" t="s">
        <v>1276</v>
      </c>
      <c r="Q1021" s="1">
        <v>2</v>
      </c>
      <c r="R1021" s="1">
        <f>Retail_Sales_Analyis[[#This Row],[Final_Price]]-Retail_Sales_Analyis[[#This Row],[Total_Price]]</f>
        <v>-61.250000000000028</v>
      </c>
      <c r="S10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22" spans="1:19" x14ac:dyDescent="0.25">
      <c r="A1022" s="1" t="s">
        <v>1801</v>
      </c>
      <c r="B1022" s="2">
        <v>45650</v>
      </c>
      <c r="C1022" s="1" t="s">
        <v>73</v>
      </c>
      <c r="D1022" s="1" t="s">
        <v>28</v>
      </c>
      <c r="E1022" s="1" t="s">
        <v>163</v>
      </c>
      <c r="F1022" s="1" t="s">
        <v>84</v>
      </c>
      <c r="G1022" s="1" t="s">
        <v>112</v>
      </c>
      <c r="H1022" s="1" t="s">
        <v>288</v>
      </c>
      <c r="I1022" s="1">
        <v>1439.6</v>
      </c>
      <c r="J1022" s="1">
        <v>6</v>
      </c>
      <c r="K1022" s="1">
        <v>8637.6</v>
      </c>
      <c r="L1022" s="1">
        <v>10</v>
      </c>
      <c r="M1022" s="1">
        <v>863.76</v>
      </c>
      <c r="N1022" s="1">
        <v>7773.84</v>
      </c>
      <c r="O1022" s="1" t="s">
        <v>24</v>
      </c>
      <c r="P1022" s="1" t="s">
        <v>739</v>
      </c>
      <c r="Q1022" s="1">
        <v>3</v>
      </c>
      <c r="R1022" s="1">
        <f>Retail_Sales_Analyis[[#This Row],[Final_Price]]-Retail_Sales_Analyis[[#This Row],[Total_Price]]</f>
        <v>-863.76000000000022</v>
      </c>
      <c r="S10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23" spans="1:19" x14ac:dyDescent="0.25">
      <c r="A1023" s="1" t="s">
        <v>1802</v>
      </c>
      <c r="B1023" s="2">
        <v>45498</v>
      </c>
      <c r="C1023" s="1" t="s">
        <v>195</v>
      </c>
      <c r="D1023" s="1" t="s">
        <v>67</v>
      </c>
      <c r="E1023" s="1" t="s">
        <v>117</v>
      </c>
      <c r="F1023" s="1" t="s">
        <v>21</v>
      </c>
      <c r="G1023" s="1" t="s">
        <v>169</v>
      </c>
      <c r="H1023" s="1" t="s">
        <v>208</v>
      </c>
      <c r="I1023" s="1">
        <v>835.96</v>
      </c>
      <c r="J1023" s="1">
        <v>9</v>
      </c>
      <c r="K1023" s="1">
        <v>7523.64</v>
      </c>
      <c r="L1023" s="1">
        <v>0</v>
      </c>
      <c r="M1023" s="1">
        <v>0</v>
      </c>
      <c r="N1023" s="1">
        <v>7523.64</v>
      </c>
      <c r="O1023" s="1" t="s">
        <v>64</v>
      </c>
      <c r="P1023" s="1" t="s">
        <v>1013</v>
      </c>
      <c r="Q1023" s="1">
        <v>3</v>
      </c>
      <c r="R1023" s="1">
        <f>Retail_Sales_Analyis[[#This Row],[Final_Price]]-Retail_Sales_Analyis[[#This Row],[Total_Price]]</f>
        <v>0</v>
      </c>
      <c r="S10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4" spans="1:19" x14ac:dyDescent="0.25">
      <c r="A1024" s="1" t="s">
        <v>1803</v>
      </c>
      <c r="B1024" s="2">
        <v>45431</v>
      </c>
      <c r="C1024" s="1" t="s">
        <v>42</v>
      </c>
      <c r="D1024" s="1" t="s">
        <v>49</v>
      </c>
      <c r="E1024" s="1" t="s">
        <v>199</v>
      </c>
      <c r="F1024" s="1" t="s">
        <v>84</v>
      </c>
      <c r="G1024" s="1" t="s">
        <v>57</v>
      </c>
      <c r="H1024" s="1" t="s">
        <v>101</v>
      </c>
      <c r="I1024" s="1">
        <v>2130.98</v>
      </c>
      <c r="J1024" s="1">
        <v>8</v>
      </c>
      <c r="K1024" s="1">
        <v>17047.84</v>
      </c>
      <c r="L1024" s="1">
        <v>0</v>
      </c>
      <c r="M1024" s="1">
        <v>0</v>
      </c>
      <c r="N1024" s="1">
        <v>17047.84</v>
      </c>
      <c r="O1024" s="1" t="s">
        <v>24</v>
      </c>
      <c r="P1024" s="1" t="s">
        <v>1559</v>
      </c>
      <c r="Q1024" s="1">
        <v>5</v>
      </c>
      <c r="R1024" s="1">
        <f>Retail_Sales_Analyis[[#This Row],[Final_Price]]-Retail_Sales_Analyis[[#This Row],[Total_Price]]</f>
        <v>0</v>
      </c>
      <c r="S10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5" spans="1:19" x14ac:dyDescent="0.25">
      <c r="A1025" s="1" t="s">
        <v>1804</v>
      </c>
      <c r="B1025" s="2">
        <v>45548</v>
      </c>
      <c r="C1025" s="1" t="s">
        <v>116</v>
      </c>
      <c r="D1025" s="1" t="s">
        <v>144</v>
      </c>
      <c r="E1025" s="1" t="s">
        <v>111</v>
      </c>
      <c r="F1025" s="1" t="s">
        <v>21</v>
      </c>
      <c r="G1025" s="1" t="s">
        <v>169</v>
      </c>
      <c r="H1025" s="1" t="s">
        <v>366</v>
      </c>
      <c r="I1025" s="1">
        <v>1180</v>
      </c>
      <c r="J1025" s="1">
        <v>2</v>
      </c>
      <c r="K1025" s="1">
        <v>2360</v>
      </c>
      <c r="L1025" s="1">
        <v>0</v>
      </c>
      <c r="M1025" s="1">
        <v>0</v>
      </c>
      <c r="N1025" s="1">
        <v>2360</v>
      </c>
      <c r="O1025" s="1" t="s">
        <v>80</v>
      </c>
      <c r="P1025" s="1" t="s">
        <v>1805</v>
      </c>
      <c r="Q1025" s="1">
        <v>3</v>
      </c>
      <c r="R1025" s="1">
        <f>Retail_Sales_Analyis[[#This Row],[Final_Price]]-Retail_Sales_Analyis[[#This Row],[Total_Price]]</f>
        <v>0</v>
      </c>
      <c r="S10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6" spans="1:19" x14ac:dyDescent="0.25">
      <c r="A1026" s="1" t="s">
        <v>1806</v>
      </c>
      <c r="B1026" s="2">
        <v>45568</v>
      </c>
      <c r="C1026" s="1" t="s">
        <v>76</v>
      </c>
      <c r="D1026" s="1" t="s">
        <v>67</v>
      </c>
      <c r="E1026" s="1" t="s">
        <v>111</v>
      </c>
      <c r="F1026" s="1" t="s">
        <v>30</v>
      </c>
      <c r="G1026" s="1" t="s">
        <v>57</v>
      </c>
      <c r="H1026" s="1" t="s">
        <v>122</v>
      </c>
      <c r="I1026" s="1">
        <v>2332.71</v>
      </c>
      <c r="J1026" s="1">
        <v>8</v>
      </c>
      <c r="K1026" s="1">
        <v>18661.68</v>
      </c>
      <c r="L1026" s="1">
        <v>5</v>
      </c>
      <c r="M1026" s="1">
        <v>933.08</v>
      </c>
      <c r="N1026" s="1">
        <v>17728.599999999999</v>
      </c>
      <c r="O1026" s="1" t="s">
        <v>24</v>
      </c>
      <c r="P1026" s="1" t="s">
        <v>1807</v>
      </c>
      <c r="Q1026" s="1">
        <v>5</v>
      </c>
      <c r="R1026" s="1">
        <f>Retail_Sales_Analyis[[#This Row],[Final_Price]]-Retail_Sales_Analyis[[#This Row],[Total_Price]]</f>
        <v>-933.08000000000175</v>
      </c>
      <c r="S102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27" spans="1:19" x14ac:dyDescent="0.25">
      <c r="A1027" s="1" t="s">
        <v>1808</v>
      </c>
      <c r="B1027" s="2">
        <v>45544</v>
      </c>
      <c r="C1027" s="1" t="s">
        <v>116</v>
      </c>
      <c r="D1027" s="1" t="s">
        <v>43</v>
      </c>
      <c r="E1027" s="1" t="s">
        <v>542</v>
      </c>
      <c r="F1027" s="1" t="s">
        <v>84</v>
      </c>
      <c r="G1027" s="1" t="s">
        <v>169</v>
      </c>
      <c r="H1027" s="1" t="s">
        <v>366</v>
      </c>
      <c r="I1027" s="1">
        <v>873.96</v>
      </c>
      <c r="J1027" s="1">
        <v>8</v>
      </c>
      <c r="K1027" s="1">
        <v>6991.68</v>
      </c>
      <c r="L1027" s="1">
        <v>0</v>
      </c>
      <c r="M1027" s="1">
        <v>0</v>
      </c>
      <c r="N1027" s="1">
        <v>6991.68</v>
      </c>
      <c r="O1027" s="1" t="s">
        <v>33</v>
      </c>
      <c r="P1027" s="1" t="s">
        <v>1809</v>
      </c>
      <c r="Q1027" s="1">
        <v>2</v>
      </c>
      <c r="R1027" s="1">
        <f>Retail_Sales_Analyis[[#This Row],[Final_Price]]-Retail_Sales_Analyis[[#This Row],[Total_Price]]</f>
        <v>0</v>
      </c>
      <c r="S10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8" spans="1:19" x14ac:dyDescent="0.25">
      <c r="A1028" s="1" t="s">
        <v>1810</v>
      </c>
      <c r="B1028" s="2">
        <v>45516</v>
      </c>
      <c r="C1028" s="1" t="s">
        <v>93</v>
      </c>
      <c r="D1028" s="1" t="s">
        <v>43</v>
      </c>
      <c r="E1028" s="1" t="s">
        <v>322</v>
      </c>
      <c r="F1028" s="1" t="s">
        <v>69</v>
      </c>
      <c r="G1028" s="1" t="s">
        <v>57</v>
      </c>
      <c r="H1028" s="1" t="s">
        <v>122</v>
      </c>
      <c r="I1028" s="1">
        <v>1564.25</v>
      </c>
      <c r="J1028" s="1">
        <v>10</v>
      </c>
      <c r="K1028" s="1">
        <v>15642.5</v>
      </c>
      <c r="L1028" s="1">
        <v>0</v>
      </c>
      <c r="M1028" s="1">
        <v>0</v>
      </c>
      <c r="N1028" s="1">
        <v>15642.5</v>
      </c>
      <c r="O1028" s="1" t="s">
        <v>80</v>
      </c>
      <c r="P1028" s="1" t="s">
        <v>1811</v>
      </c>
      <c r="Q1028" s="1">
        <v>4</v>
      </c>
      <c r="R1028" s="1">
        <f>Retail_Sales_Analyis[[#This Row],[Final_Price]]-Retail_Sales_Analyis[[#This Row],[Total_Price]]</f>
        <v>0</v>
      </c>
      <c r="S10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29" spans="1:19" x14ac:dyDescent="0.25">
      <c r="A1029" s="1" t="s">
        <v>1812</v>
      </c>
      <c r="B1029" s="2">
        <v>45333</v>
      </c>
      <c r="C1029" s="1" t="s">
        <v>27</v>
      </c>
      <c r="D1029" s="1" t="s">
        <v>49</v>
      </c>
      <c r="E1029" s="1" t="s">
        <v>151</v>
      </c>
      <c r="F1029" s="1" t="s">
        <v>69</v>
      </c>
      <c r="G1029" s="1" t="s">
        <v>57</v>
      </c>
      <c r="H1029" s="1" t="s">
        <v>122</v>
      </c>
      <c r="I1029" s="1">
        <v>2456.14</v>
      </c>
      <c r="J1029" s="1">
        <v>10</v>
      </c>
      <c r="K1029" s="1">
        <v>24561.4</v>
      </c>
      <c r="L1029" s="1">
        <v>20</v>
      </c>
      <c r="M1029" s="1">
        <v>4912.28</v>
      </c>
      <c r="N1029" s="1">
        <v>19649.12</v>
      </c>
      <c r="O1029" s="1" t="s">
        <v>33</v>
      </c>
      <c r="P1029" s="1" t="s">
        <v>1431</v>
      </c>
      <c r="Q1029" s="1">
        <v>1</v>
      </c>
      <c r="R1029" s="1">
        <f>Retail_Sales_Analyis[[#This Row],[Final_Price]]-Retail_Sales_Analyis[[#This Row],[Total_Price]]</f>
        <v>-4912.2800000000025</v>
      </c>
      <c r="S10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30" spans="1:19" x14ac:dyDescent="0.25">
      <c r="A1030" s="1" t="s">
        <v>1813</v>
      </c>
      <c r="B1030" s="2">
        <v>45598</v>
      </c>
      <c r="C1030" s="1" t="s">
        <v>18</v>
      </c>
      <c r="D1030" s="1" t="s">
        <v>19</v>
      </c>
      <c r="E1030" s="1" t="s">
        <v>94</v>
      </c>
      <c r="F1030" s="1" t="s">
        <v>30</v>
      </c>
      <c r="G1030" s="1" t="s">
        <v>38</v>
      </c>
      <c r="H1030" s="1" t="s">
        <v>108</v>
      </c>
      <c r="I1030" s="1">
        <v>541.79</v>
      </c>
      <c r="J1030" s="1">
        <v>6</v>
      </c>
      <c r="K1030" s="1">
        <v>3250.74</v>
      </c>
      <c r="L1030" s="1">
        <v>10</v>
      </c>
      <c r="M1030" s="1">
        <v>325.07</v>
      </c>
      <c r="N1030" s="1">
        <v>2925.67</v>
      </c>
      <c r="O1030" s="1" t="s">
        <v>33</v>
      </c>
      <c r="P1030" s="1" t="s">
        <v>1705</v>
      </c>
      <c r="Q1030" s="1">
        <v>5</v>
      </c>
      <c r="R1030" s="1">
        <f>Retail_Sales_Analyis[[#This Row],[Final_Price]]-Retail_Sales_Analyis[[#This Row],[Total_Price]]</f>
        <v>-325.06999999999971</v>
      </c>
      <c r="S10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31" spans="1:19" x14ac:dyDescent="0.25">
      <c r="A1031" s="1" t="s">
        <v>1814</v>
      </c>
      <c r="B1031" s="2">
        <v>45312</v>
      </c>
      <c r="C1031" s="1" t="s">
        <v>36</v>
      </c>
      <c r="D1031" s="1" t="s">
        <v>49</v>
      </c>
      <c r="E1031" s="1" t="s">
        <v>322</v>
      </c>
      <c r="F1031" s="1" t="s">
        <v>21</v>
      </c>
      <c r="G1031" s="1" t="s">
        <v>57</v>
      </c>
      <c r="H1031" s="1" t="s">
        <v>158</v>
      </c>
      <c r="I1031" s="1">
        <v>970.81</v>
      </c>
      <c r="J1031" s="1">
        <v>9</v>
      </c>
      <c r="K1031" s="1">
        <v>8737.2900000000009</v>
      </c>
      <c r="L1031" s="1">
        <v>10</v>
      </c>
      <c r="M1031" s="1">
        <v>873.73</v>
      </c>
      <c r="N1031" s="1">
        <v>7863.56</v>
      </c>
      <c r="O1031" s="1" t="s">
        <v>46</v>
      </c>
      <c r="P1031" s="1" t="s">
        <v>326</v>
      </c>
      <c r="Q1031" s="1">
        <v>4</v>
      </c>
      <c r="R1031" s="1">
        <f>Retail_Sales_Analyis[[#This Row],[Final_Price]]-Retail_Sales_Analyis[[#This Row],[Total_Price]]</f>
        <v>-873.73000000000047</v>
      </c>
      <c r="S10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32" spans="1:19" x14ac:dyDescent="0.25">
      <c r="A1032" s="1" t="s">
        <v>1815</v>
      </c>
      <c r="B1032" s="2">
        <v>45513</v>
      </c>
      <c r="C1032" s="1" t="s">
        <v>93</v>
      </c>
      <c r="D1032" s="1" t="s">
        <v>144</v>
      </c>
      <c r="E1032" s="1" t="s">
        <v>129</v>
      </c>
      <c r="F1032" s="1" t="s">
        <v>37</v>
      </c>
      <c r="G1032" s="1" t="s">
        <v>112</v>
      </c>
      <c r="H1032" s="1" t="s">
        <v>118</v>
      </c>
      <c r="I1032" s="1">
        <v>1840.05</v>
      </c>
      <c r="J1032" s="1">
        <v>9</v>
      </c>
      <c r="K1032" s="1">
        <v>16560.45</v>
      </c>
      <c r="L1032" s="1">
        <v>5</v>
      </c>
      <c r="M1032" s="1">
        <v>828.02</v>
      </c>
      <c r="N1032" s="1">
        <v>15732.43</v>
      </c>
      <c r="O1032" s="1" t="s">
        <v>33</v>
      </c>
      <c r="P1032" s="1" t="s">
        <v>1652</v>
      </c>
      <c r="Q1032" s="1">
        <v>2</v>
      </c>
      <c r="R1032" s="1">
        <f>Retail_Sales_Analyis[[#This Row],[Final_Price]]-Retail_Sales_Analyis[[#This Row],[Total_Price]]</f>
        <v>-828.02000000000044</v>
      </c>
      <c r="S10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33" spans="1:19" x14ac:dyDescent="0.25">
      <c r="A1033" s="1" t="s">
        <v>1816</v>
      </c>
      <c r="B1033" s="2">
        <v>45457</v>
      </c>
      <c r="C1033" s="1" t="s">
        <v>173</v>
      </c>
      <c r="D1033" s="1" t="s">
        <v>144</v>
      </c>
      <c r="E1033" s="1" t="s">
        <v>186</v>
      </c>
      <c r="F1033" s="1" t="s">
        <v>37</v>
      </c>
      <c r="G1033" s="1" t="s">
        <v>22</v>
      </c>
      <c r="H1033" s="1" t="s">
        <v>277</v>
      </c>
      <c r="I1033" s="1">
        <v>275.64999999999998</v>
      </c>
      <c r="J1033" s="1">
        <v>8</v>
      </c>
      <c r="K1033" s="1">
        <v>2205.1999999999998</v>
      </c>
      <c r="L1033" s="1">
        <v>0</v>
      </c>
      <c r="M1033" s="1">
        <v>0</v>
      </c>
      <c r="N1033" s="1">
        <v>2205.1999999999998</v>
      </c>
      <c r="O1033" s="1" t="s">
        <v>80</v>
      </c>
      <c r="P1033" s="1" t="s">
        <v>1358</v>
      </c>
      <c r="Q1033" s="1">
        <v>2</v>
      </c>
      <c r="R1033" s="1">
        <f>Retail_Sales_Analyis[[#This Row],[Final_Price]]-Retail_Sales_Analyis[[#This Row],[Total_Price]]</f>
        <v>0</v>
      </c>
      <c r="S10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34" spans="1:19" x14ac:dyDescent="0.25">
      <c r="A1034" s="1" t="s">
        <v>1817</v>
      </c>
      <c r="B1034" s="2">
        <v>45601</v>
      </c>
      <c r="C1034" s="1" t="s">
        <v>18</v>
      </c>
      <c r="D1034" s="1" t="s">
        <v>28</v>
      </c>
      <c r="E1034" s="1" t="s">
        <v>542</v>
      </c>
      <c r="F1034" s="1" t="s">
        <v>30</v>
      </c>
      <c r="G1034" s="1" t="s">
        <v>57</v>
      </c>
      <c r="H1034" s="1" t="s">
        <v>101</v>
      </c>
      <c r="I1034" s="1">
        <v>1060.1600000000001</v>
      </c>
      <c r="J1034" s="1">
        <v>5</v>
      </c>
      <c r="K1034" s="1">
        <v>5300.8</v>
      </c>
      <c r="L1034" s="1">
        <v>0</v>
      </c>
      <c r="M1034" s="1">
        <v>0</v>
      </c>
      <c r="N1034" s="1">
        <v>5300.8</v>
      </c>
      <c r="O1034" s="1" t="s">
        <v>80</v>
      </c>
      <c r="P1034" s="1" t="s">
        <v>1818</v>
      </c>
      <c r="Q1034" s="1">
        <v>4</v>
      </c>
      <c r="R1034" s="1">
        <f>Retail_Sales_Analyis[[#This Row],[Final_Price]]-Retail_Sales_Analyis[[#This Row],[Total_Price]]</f>
        <v>0</v>
      </c>
      <c r="S10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35" spans="1:19" x14ac:dyDescent="0.25">
      <c r="A1035" s="1" t="s">
        <v>1819</v>
      </c>
      <c r="B1035" s="2">
        <v>45420</v>
      </c>
      <c r="C1035" s="1" t="s">
        <v>42</v>
      </c>
      <c r="D1035" s="1" t="s">
        <v>55</v>
      </c>
      <c r="E1035" s="1" t="s">
        <v>236</v>
      </c>
      <c r="F1035" s="1" t="s">
        <v>21</v>
      </c>
      <c r="G1035" s="1" t="s">
        <v>57</v>
      </c>
      <c r="H1035" s="1" t="s">
        <v>122</v>
      </c>
      <c r="I1035" s="1">
        <v>2081.2800000000002</v>
      </c>
      <c r="J1035" s="1">
        <v>6</v>
      </c>
      <c r="K1035" s="1">
        <v>12487.68</v>
      </c>
      <c r="L1035" s="1">
        <v>0</v>
      </c>
      <c r="M1035" s="1">
        <v>0</v>
      </c>
      <c r="N1035" s="1">
        <v>12487.68</v>
      </c>
      <c r="O1035" s="1" t="s">
        <v>64</v>
      </c>
      <c r="P1035" s="1" t="s">
        <v>1820</v>
      </c>
      <c r="Q1035" s="1">
        <v>4</v>
      </c>
      <c r="R1035" s="1">
        <f>Retail_Sales_Analyis[[#This Row],[Final_Price]]-Retail_Sales_Analyis[[#This Row],[Total_Price]]</f>
        <v>0</v>
      </c>
      <c r="S10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36" spans="1:19" x14ac:dyDescent="0.25">
      <c r="A1036" s="1" t="s">
        <v>1821</v>
      </c>
      <c r="B1036" s="2">
        <v>45305</v>
      </c>
      <c r="C1036" s="1" t="s">
        <v>36</v>
      </c>
      <c r="D1036" s="1" t="s">
        <v>49</v>
      </c>
      <c r="E1036" s="1" t="s">
        <v>77</v>
      </c>
      <c r="F1036" s="1" t="s">
        <v>30</v>
      </c>
      <c r="G1036" s="1" t="s">
        <v>85</v>
      </c>
      <c r="H1036" s="1" t="s">
        <v>180</v>
      </c>
      <c r="I1036" s="1">
        <v>4826.83</v>
      </c>
      <c r="J1036" s="1">
        <v>8</v>
      </c>
      <c r="K1036" s="1">
        <v>38614.639999999999</v>
      </c>
      <c r="L1036" s="1">
        <v>15</v>
      </c>
      <c r="M1036" s="1">
        <v>5792.2</v>
      </c>
      <c r="N1036" s="1">
        <v>32822.44</v>
      </c>
      <c r="O1036" s="1" t="s">
        <v>80</v>
      </c>
      <c r="P1036" s="1" t="s">
        <v>1121</v>
      </c>
      <c r="Q1036" s="1">
        <v>4</v>
      </c>
      <c r="R1036" s="1">
        <f>Retail_Sales_Analyis[[#This Row],[Final_Price]]-Retail_Sales_Analyis[[#This Row],[Total_Price]]</f>
        <v>-5792.1999999999971</v>
      </c>
      <c r="S10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37" spans="1:19" x14ac:dyDescent="0.25">
      <c r="A1037" s="1" t="s">
        <v>1822</v>
      </c>
      <c r="B1037" s="2">
        <v>45338</v>
      </c>
      <c r="C1037" s="1" t="s">
        <v>27</v>
      </c>
      <c r="D1037" s="1" t="s">
        <v>144</v>
      </c>
      <c r="E1037" s="1" t="s">
        <v>62</v>
      </c>
      <c r="F1037" s="1" t="s">
        <v>30</v>
      </c>
      <c r="G1037" s="1" t="s">
        <v>38</v>
      </c>
      <c r="H1037" s="1" t="s">
        <v>108</v>
      </c>
      <c r="I1037" s="1">
        <v>754.03</v>
      </c>
      <c r="J1037" s="1">
        <v>5</v>
      </c>
      <c r="K1037" s="1">
        <v>3770.15</v>
      </c>
      <c r="L1037" s="1">
        <v>0</v>
      </c>
      <c r="M1037" s="1">
        <v>0</v>
      </c>
      <c r="N1037" s="1">
        <v>3770.15</v>
      </c>
      <c r="O1037" s="1" t="s">
        <v>64</v>
      </c>
      <c r="P1037" s="1" t="s">
        <v>65</v>
      </c>
      <c r="Q1037" s="1">
        <v>3</v>
      </c>
      <c r="R1037" s="1">
        <f>Retail_Sales_Analyis[[#This Row],[Final_Price]]-Retail_Sales_Analyis[[#This Row],[Total_Price]]</f>
        <v>0</v>
      </c>
      <c r="S10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38" spans="1:19" x14ac:dyDescent="0.25">
      <c r="A1038" s="1" t="s">
        <v>1823</v>
      </c>
      <c r="B1038" s="2">
        <v>45409</v>
      </c>
      <c r="C1038" s="1" t="s">
        <v>54</v>
      </c>
      <c r="D1038" s="1" t="s">
        <v>19</v>
      </c>
      <c r="E1038" s="1" t="s">
        <v>174</v>
      </c>
      <c r="F1038" s="1" t="s">
        <v>69</v>
      </c>
      <c r="G1038" s="1" t="s">
        <v>78</v>
      </c>
      <c r="H1038" s="1" t="s">
        <v>136</v>
      </c>
      <c r="I1038" s="1">
        <v>288.61</v>
      </c>
      <c r="J1038" s="1">
        <v>10</v>
      </c>
      <c r="K1038" s="1">
        <v>2886.1</v>
      </c>
      <c r="L1038" s="1">
        <v>5</v>
      </c>
      <c r="M1038" s="1">
        <v>144.31</v>
      </c>
      <c r="N1038" s="1">
        <v>2741.79</v>
      </c>
      <c r="O1038" s="1" t="s">
        <v>33</v>
      </c>
      <c r="P1038" s="1" t="s">
        <v>1824</v>
      </c>
      <c r="Q1038" s="1">
        <v>1</v>
      </c>
      <c r="R1038" s="1">
        <f>Retail_Sales_Analyis[[#This Row],[Final_Price]]-Retail_Sales_Analyis[[#This Row],[Total_Price]]</f>
        <v>-144.30999999999995</v>
      </c>
      <c r="S10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39" spans="1:19" x14ac:dyDescent="0.25">
      <c r="A1039" s="1" t="s">
        <v>1825</v>
      </c>
      <c r="B1039" s="2">
        <v>45637</v>
      </c>
      <c r="C1039" s="1" t="s">
        <v>73</v>
      </c>
      <c r="D1039" s="1" t="s">
        <v>55</v>
      </c>
      <c r="E1039" s="1" t="s">
        <v>97</v>
      </c>
      <c r="F1039" s="1" t="s">
        <v>21</v>
      </c>
      <c r="G1039" s="1" t="s">
        <v>22</v>
      </c>
      <c r="H1039" s="1" t="s">
        <v>277</v>
      </c>
      <c r="I1039" s="1">
        <v>716.63</v>
      </c>
      <c r="J1039" s="1">
        <v>3</v>
      </c>
      <c r="K1039" s="1">
        <v>2149.89</v>
      </c>
      <c r="L1039" s="1">
        <v>5</v>
      </c>
      <c r="M1039" s="1">
        <v>107.49</v>
      </c>
      <c r="N1039" s="1">
        <v>2042.4</v>
      </c>
      <c r="O1039" s="1" t="s">
        <v>46</v>
      </c>
      <c r="P1039" s="1" t="s">
        <v>1826</v>
      </c>
      <c r="Q1039" s="1">
        <v>1</v>
      </c>
      <c r="R1039" s="1">
        <f>Retail_Sales_Analyis[[#This Row],[Final_Price]]-Retail_Sales_Analyis[[#This Row],[Total_Price]]</f>
        <v>-107.48999999999978</v>
      </c>
      <c r="S10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40" spans="1:19" x14ac:dyDescent="0.25">
      <c r="A1040" s="1" t="s">
        <v>1827</v>
      </c>
      <c r="B1040" s="2">
        <v>45586</v>
      </c>
      <c r="C1040" s="1" t="s">
        <v>76</v>
      </c>
      <c r="D1040" s="1" t="s">
        <v>43</v>
      </c>
      <c r="E1040" s="1" t="s">
        <v>166</v>
      </c>
      <c r="F1040" s="1" t="s">
        <v>84</v>
      </c>
      <c r="G1040" s="1" t="s">
        <v>38</v>
      </c>
      <c r="H1040" s="1" t="s">
        <v>422</v>
      </c>
      <c r="I1040" s="1">
        <v>682.79</v>
      </c>
      <c r="J1040" s="1">
        <v>1</v>
      </c>
      <c r="K1040" s="1">
        <v>682.79</v>
      </c>
      <c r="L1040" s="1">
        <v>0</v>
      </c>
      <c r="M1040" s="1">
        <v>0</v>
      </c>
      <c r="N1040" s="1">
        <v>682.79</v>
      </c>
      <c r="O1040" s="1" t="s">
        <v>33</v>
      </c>
      <c r="P1040" s="1" t="s">
        <v>59</v>
      </c>
      <c r="Q1040" s="1">
        <v>4</v>
      </c>
      <c r="R1040" s="1">
        <f>Retail_Sales_Analyis[[#This Row],[Final_Price]]-Retail_Sales_Analyis[[#This Row],[Total_Price]]</f>
        <v>0</v>
      </c>
      <c r="S10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41" spans="1:19" x14ac:dyDescent="0.25">
      <c r="A1041" s="1" t="s">
        <v>1828</v>
      </c>
      <c r="B1041" s="2">
        <v>45592</v>
      </c>
      <c r="C1041" s="1" t="s">
        <v>76</v>
      </c>
      <c r="D1041" s="1" t="s">
        <v>49</v>
      </c>
      <c r="E1041" s="1" t="s">
        <v>192</v>
      </c>
      <c r="F1041" s="1" t="s">
        <v>21</v>
      </c>
      <c r="G1041" s="1" t="s">
        <v>57</v>
      </c>
      <c r="H1041" s="1" t="s">
        <v>101</v>
      </c>
      <c r="I1041" s="1">
        <v>1929.16</v>
      </c>
      <c r="J1041" s="1">
        <v>8</v>
      </c>
      <c r="K1041" s="1">
        <v>15433.28</v>
      </c>
      <c r="L1041" s="1">
        <v>20</v>
      </c>
      <c r="M1041" s="1">
        <v>3086.66</v>
      </c>
      <c r="N1041" s="1">
        <v>12346.62</v>
      </c>
      <c r="O1041" s="1" t="s">
        <v>46</v>
      </c>
      <c r="P1041" s="1" t="s">
        <v>267</v>
      </c>
      <c r="Q1041" s="1">
        <v>1</v>
      </c>
      <c r="R1041" s="1">
        <f>Retail_Sales_Analyis[[#This Row],[Final_Price]]-Retail_Sales_Analyis[[#This Row],[Total_Price]]</f>
        <v>-3086.66</v>
      </c>
      <c r="S10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42" spans="1:19" x14ac:dyDescent="0.25">
      <c r="A1042" s="1" t="s">
        <v>1829</v>
      </c>
      <c r="B1042" s="2">
        <v>45302</v>
      </c>
      <c r="C1042" s="1" t="s">
        <v>36</v>
      </c>
      <c r="D1042" s="1" t="s">
        <v>67</v>
      </c>
      <c r="E1042" s="1" t="s">
        <v>168</v>
      </c>
      <c r="F1042" s="1" t="s">
        <v>69</v>
      </c>
      <c r="G1042" s="1" t="s">
        <v>78</v>
      </c>
      <c r="H1042" s="1" t="s">
        <v>136</v>
      </c>
      <c r="I1042" s="1">
        <v>573.66999999999996</v>
      </c>
      <c r="J1042" s="1">
        <v>10</v>
      </c>
      <c r="K1042" s="1">
        <v>5736.7</v>
      </c>
      <c r="L1042" s="1">
        <v>5</v>
      </c>
      <c r="M1042" s="1">
        <v>286.83</v>
      </c>
      <c r="N1042" s="1">
        <v>5449.87</v>
      </c>
      <c r="O1042" s="1" t="s">
        <v>24</v>
      </c>
      <c r="P1042" s="1" t="s">
        <v>1830</v>
      </c>
      <c r="Q1042" s="1">
        <v>4</v>
      </c>
      <c r="R1042" s="1">
        <f>Retail_Sales_Analyis[[#This Row],[Final_Price]]-Retail_Sales_Analyis[[#This Row],[Total_Price]]</f>
        <v>-286.82999999999993</v>
      </c>
      <c r="S10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43" spans="1:19" x14ac:dyDescent="0.25">
      <c r="A1043" s="1" t="s">
        <v>1831</v>
      </c>
      <c r="B1043" s="2">
        <v>45636</v>
      </c>
      <c r="C1043" s="1" t="s">
        <v>73</v>
      </c>
      <c r="D1043" s="1" t="s">
        <v>28</v>
      </c>
      <c r="E1043" s="1" t="s">
        <v>199</v>
      </c>
      <c r="F1043" s="1" t="s">
        <v>84</v>
      </c>
      <c r="G1043" s="1" t="s">
        <v>38</v>
      </c>
      <c r="H1043" s="1" t="s">
        <v>70</v>
      </c>
      <c r="I1043" s="1">
        <v>510.28</v>
      </c>
      <c r="J1043" s="1">
        <v>1</v>
      </c>
      <c r="K1043" s="1">
        <v>510.28</v>
      </c>
      <c r="L1043" s="1">
        <v>0</v>
      </c>
      <c r="M1043" s="1">
        <v>0</v>
      </c>
      <c r="N1043" s="1">
        <v>510.28</v>
      </c>
      <c r="O1043" s="1" t="s">
        <v>24</v>
      </c>
      <c r="P1043" s="1" t="s">
        <v>219</v>
      </c>
      <c r="Q1043" s="1">
        <v>3</v>
      </c>
      <c r="R1043" s="1">
        <f>Retail_Sales_Analyis[[#This Row],[Final_Price]]-Retail_Sales_Analyis[[#This Row],[Total_Price]]</f>
        <v>0</v>
      </c>
      <c r="S10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44" spans="1:19" x14ac:dyDescent="0.25">
      <c r="A1044" s="1" t="s">
        <v>1832</v>
      </c>
      <c r="B1044" s="2">
        <v>45429</v>
      </c>
      <c r="C1044" s="1" t="s">
        <v>42</v>
      </c>
      <c r="D1044" s="1" t="s">
        <v>144</v>
      </c>
      <c r="E1044" s="1" t="s">
        <v>77</v>
      </c>
      <c r="F1044" s="1" t="s">
        <v>69</v>
      </c>
      <c r="G1044" s="1" t="s">
        <v>31</v>
      </c>
      <c r="H1044" s="1" t="s">
        <v>63</v>
      </c>
      <c r="I1044" s="1">
        <v>99.96</v>
      </c>
      <c r="J1044" s="1">
        <v>3</v>
      </c>
      <c r="K1044" s="1">
        <v>299.88</v>
      </c>
      <c r="L1044" s="1">
        <v>15</v>
      </c>
      <c r="M1044" s="1">
        <v>44.98</v>
      </c>
      <c r="N1044" s="1">
        <v>254.9</v>
      </c>
      <c r="O1044" s="1" t="s">
        <v>24</v>
      </c>
      <c r="P1044" s="1" t="s">
        <v>1833</v>
      </c>
      <c r="Q1044" s="1">
        <v>3</v>
      </c>
      <c r="R1044" s="1">
        <f>Retail_Sales_Analyis[[#This Row],[Final_Price]]-Retail_Sales_Analyis[[#This Row],[Total_Price]]</f>
        <v>-44.97999999999999</v>
      </c>
      <c r="S10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45" spans="1:19" x14ac:dyDescent="0.25">
      <c r="A1045" s="1" t="s">
        <v>1834</v>
      </c>
      <c r="B1045" s="2">
        <v>45587</v>
      </c>
      <c r="C1045" s="1" t="s">
        <v>76</v>
      </c>
      <c r="D1045" s="1" t="s">
        <v>28</v>
      </c>
      <c r="E1045" s="1" t="s">
        <v>312</v>
      </c>
      <c r="F1045" s="1" t="s">
        <v>21</v>
      </c>
      <c r="G1045" s="1" t="s">
        <v>85</v>
      </c>
      <c r="H1045" s="1" t="s">
        <v>98</v>
      </c>
      <c r="I1045" s="1">
        <v>3359.23</v>
      </c>
      <c r="J1045" s="1">
        <v>10</v>
      </c>
      <c r="K1045" s="1">
        <v>33592.300000000003</v>
      </c>
      <c r="L1045" s="1">
        <v>0</v>
      </c>
      <c r="M1045" s="1">
        <v>0</v>
      </c>
      <c r="N1045" s="1">
        <v>33592.300000000003</v>
      </c>
      <c r="O1045" s="1" t="s">
        <v>80</v>
      </c>
      <c r="P1045" s="1" t="s">
        <v>1835</v>
      </c>
      <c r="Q1045" s="1">
        <v>1</v>
      </c>
      <c r="R1045" s="1">
        <f>Retail_Sales_Analyis[[#This Row],[Final_Price]]-Retail_Sales_Analyis[[#This Row],[Total_Price]]</f>
        <v>0</v>
      </c>
      <c r="S10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46" spans="1:19" x14ac:dyDescent="0.25">
      <c r="A1046" s="1" t="s">
        <v>1836</v>
      </c>
      <c r="B1046" s="2">
        <v>45312</v>
      </c>
      <c r="C1046" s="1" t="s">
        <v>36</v>
      </c>
      <c r="D1046" s="1" t="s">
        <v>49</v>
      </c>
      <c r="E1046" s="1" t="s">
        <v>77</v>
      </c>
      <c r="F1046" s="1" t="s">
        <v>37</v>
      </c>
      <c r="G1046" s="1" t="s">
        <v>38</v>
      </c>
      <c r="H1046" s="1" t="s">
        <v>70</v>
      </c>
      <c r="I1046" s="1">
        <v>471.72</v>
      </c>
      <c r="J1046" s="1">
        <v>5</v>
      </c>
      <c r="K1046" s="1">
        <v>2358.6</v>
      </c>
      <c r="L1046" s="1">
        <v>15</v>
      </c>
      <c r="M1046" s="1">
        <v>353.79</v>
      </c>
      <c r="N1046" s="1">
        <v>2004.81</v>
      </c>
      <c r="O1046" s="1" t="s">
        <v>24</v>
      </c>
      <c r="P1046" s="1" t="s">
        <v>961</v>
      </c>
      <c r="Q1046" s="1">
        <v>2</v>
      </c>
      <c r="R1046" s="1">
        <f>Retail_Sales_Analyis[[#This Row],[Final_Price]]-Retail_Sales_Analyis[[#This Row],[Total_Price]]</f>
        <v>-353.78999999999996</v>
      </c>
      <c r="S10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47" spans="1:19" x14ac:dyDescent="0.25">
      <c r="A1047" s="1" t="s">
        <v>1837</v>
      </c>
      <c r="B1047" s="2">
        <v>45381</v>
      </c>
      <c r="C1047" s="1" t="s">
        <v>61</v>
      </c>
      <c r="D1047" s="1" t="s">
        <v>19</v>
      </c>
      <c r="E1047" s="1" t="s">
        <v>166</v>
      </c>
      <c r="F1047" s="1" t="s">
        <v>69</v>
      </c>
      <c r="G1047" s="1" t="s">
        <v>78</v>
      </c>
      <c r="H1047" s="1" t="s">
        <v>323</v>
      </c>
      <c r="I1047" s="1">
        <v>557.29999999999995</v>
      </c>
      <c r="J1047" s="1">
        <v>8</v>
      </c>
      <c r="K1047" s="1">
        <v>4458.3999999999996</v>
      </c>
      <c r="L1047" s="1">
        <v>15</v>
      </c>
      <c r="M1047" s="1">
        <v>668.76</v>
      </c>
      <c r="N1047" s="1">
        <v>3789.64</v>
      </c>
      <c r="O1047" s="1" t="s">
        <v>64</v>
      </c>
      <c r="P1047" s="1" t="s">
        <v>1805</v>
      </c>
      <c r="Q1047" s="1">
        <v>2</v>
      </c>
      <c r="R1047" s="1">
        <f>Retail_Sales_Analyis[[#This Row],[Final_Price]]-Retail_Sales_Analyis[[#This Row],[Total_Price]]</f>
        <v>-668.75999999999976</v>
      </c>
      <c r="S10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48" spans="1:19" x14ac:dyDescent="0.25">
      <c r="A1048" s="1" t="s">
        <v>1838</v>
      </c>
      <c r="B1048" s="2">
        <v>45532</v>
      </c>
      <c r="C1048" s="1" t="s">
        <v>93</v>
      </c>
      <c r="D1048" s="1" t="s">
        <v>55</v>
      </c>
      <c r="E1048" s="1" t="s">
        <v>68</v>
      </c>
      <c r="F1048" s="1" t="s">
        <v>37</v>
      </c>
      <c r="G1048" s="1" t="s">
        <v>31</v>
      </c>
      <c r="H1048" s="1" t="s">
        <v>63</v>
      </c>
      <c r="I1048" s="1">
        <v>199.86</v>
      </c>
      <c r="J1048" s="1">
        <v>5</v>
      </c>
      <c r="K1048" s="1">
        <v>999.3</v>
      </c>
      <c r="L1048" s="1">
        <v>0</v>
      </c>
      <c r="M1048" s="1">
        <v>0</v>
      </c>
      <c r="N1048" s="1">
        <v>999.3</v>
      </c>
      <c r="O1048" s="1" t="s">
        <v>80</v>
      </c>
      <c r="P1048" s="1" t="s">
        <v>578</v>
      </c>
      <c r="Q1048" s="1">
        <v>1</v>
      </c>
      <c r="R1048" s="1">
        <f>Retail_Sales_Analyis[[#This Row],[Final_Price]]-Retail_Sales_Analyis[[#This Row],[Total_Price]]</f>
        <v>0</v>
      </c>
      <c r="S10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49" spans="1:19" x14ac:dyDescent="0.25">
      <c r="A1049" s="1" t="s">
        <v>1839</v>
      </c>
      <c r="B1049" s="2">
        <v>45557</v>
      </c>
      <c r="C1049" s="1" t="s">
        <v>116</v>
      </c>
      <c r="D1049" s="1" t="s">
        <v>49</v>
      </c>
      <c r="E1049" s="1" t="s">
        <v>111</v>
      </c>
      <c r="F1049" s="1" t="s">
        <v>84</v>
      </c>
      <c r="G1049" s="1" t="s">
        <v>22</v>
      </c>
      <c r="H1049" s="1" t="s">
        <v>51</v>
      </c>
      <c r="I1049" s="1">
        <v>517.04999999999995</v>
      </c>
      <c r="J1049" s="1">
        <v>8</v>
      </c>
      <c r="K1049" s="1">
        <v>4136.3999999999996</v>
      </c>
      <c r="L1049" s="1">
        <v>20</v>
      </c>
      <c r="M1049" s="1">
        <v>827.28</v>
      </c>
      <c r="N1049" s="1">
        <v>3309.12</v>
      </c>
      <c r="O1049" s="1" t="s">
        <v>24</v>
      </c>
      <c r="P1049" s="1" t="s">
        <v>1840</v>
      </c>
      <c r="Q1049" s="1">
        <v>5</v>
      </c>
      <c r="R1049" s="1">
        <f>Retail_Sales_Analyis[[#This Row],[Final_Price]]-Retail_Sales_Analyis[[#This Row],[Total_Price]]</f>
        <v>-827.27999999999975</v>
      </c>
      <c r="S10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50" spans="1:19" x14ac:dyDescent="0.25">
      <c r="A1050" s="1" t="s">
        <v>1841</v>
      </c>
      <c r="B1050" s="2">
        <v>45625</v>
      </c>
      <c r="C1050" s="1" t="s">
        <v>18</v>
      </c>
      <c r="D1050" s="1" t="s">
        <v>144</v>
      </c>
      <c r="E1050" s="1" t="s">
        <v>44</v>
      </c>
      <c r="F1050" s="1" t="s">
        <v>30</v>
      </c>
      <c r="G1050" s="1" t="s">
        <v>112</v>
      </c>
      <c r="H1050" s="1" t="s">
        <v>183</v>
      </c>
      <c r="I1050" s="1">
        <v>1155.81</v>
      </c>
      <c r="J1050" s="1">
        <v>1</v>
      </c>
      <c r="K1050" s="1">
        <v>1155.81</v>
      </c>
      <c r="L1050" s="1">
        <v>10</v>
      </c>
      <c r="M1050" s="1">
        <v>115.58</v>
      </c>
      <c r="N1050" s="1">
        <v>1040.23</v>
      </c>
      <c r="O1050" s="1" t="s">
        <v>46</v>
      </c>
      <c r="P1050" s="1" t="s">
        <v>164</v>
      </c>
      <c r="Q1050" s="1">
        <v>5</v>
      </c>
      <c r="R1050" s="1">
        <f>Retail_Sales_Analyis[[#This Row],[Final_Price]]-Retail_Sales_Analyis[[#This Row],[Total_Price]]</f>
        <v>-115.57999999999993</v>
      </c>
      <c r="S10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51" spans="1:19" x14ac:dyDescent="0.25">
      <c r="A1051" s="1" t="s">
        <v>1842</v>
      </c>
      <c r="B1051" s="2">
        <v>45518</v>
      </c>
      <c r="C1051" s="1" t="s">
        <v>93</v>
      </c>
      <c r="D1051" s="1" t="s">
        <v>55</v>
      </c>
      <c r="E1051" s="1" t="s">
        <v>141</v>
      </c>
      <c r="F1051" s="1" t="s">
        <v>21</v>
      </c>
      <c r="G1051" s="1" t="s">
        <v>78</v>
      </c>
      <c r="H1051" s="1" t="s">
        <v>79</v>
      </c>
      <c r="I1051" s="1">
        <v>480.5</v>
      </c>
      <c r="J1051" s="1">
        <v>10</v>
      </c>
      <c r="K1051" s="1">
        <v>4805</v>
      </c>
      <c r="L1051" s="1">
        <v>0</v>
      </c>
      <c r="M1051" s="1">
        <v>0</v>
      </c>
      <c r="N1051" s="1">
        <v>4805</v>
      </c>
      <c r="O1051" s="1" t="s">
        <v>80</v>
      </c>
      <c r="P1051" s="1" t="s">
        <v>1843</v>
      </c>
      <c r="Q1051" s="1">
        <v>1</v>
      </c>
      <c r="R1051" s="1">
        <f>Retail_Sales_Analyis[[#This Row],[Final_Price]]-Retail_Sales_Analyis[[#This Row],[Total_Price]]</f>
        <v>0</v>
      </c>
      <c r="S10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52" spans="1:19" x14ac:dyDescent="0.25">
      <c r="A1052" s="1" t="s">
        <v>1844</v>
      </c>
      <c r="B1052" s="2">
        <v>45434</v>
      </c>
      <c r="C1052" s="1" t="s">
        <v>42</v>
      </c>
      <c r="D1052" s="1" t="s">
        <v>55</v>
      </c>
      <c r="E1052" s="1" t="s">
        <v>77</v>
      </c>
      <c r="F1052" s="1" t="s">
        <v>69</v>
      </c>
      <c r="G1052" s="1" t="s">
        <v>169</v>
      </c>
      <c r="H1052" s="1" t="s">
        <v>170</v>
      </c>
      <c r="I1052" s="1">
        <v>1407</v>
      </c>
      <c r="J1052" s="1">
        <v>10</v>
      </c>
      <c r="K1052" s="1">
        <v>14070</v>
      </c>
      <c r="L1052" s="1">
        <v>15</v>
      </c>
      <c r="M1052" s="1">
        <v>2110.5</v>
      </c>
      <c r="N1052" s="1">
        <v>11959.5</v>
      </c>
      <c r="O1052" s="1" t="s">
        <v>64</v>
      </c>
      <c r="P1052" s="1" t="s">
        <v>1845</v>
      </c>
      <c r="Q1052" s="1">
        <v>1</v>
      </c>
      <c r="R1052" s="1">
        <f>Retail_Sales_Analyis[[#This Row],[Final_Price]]-Retail_Sales_Analyis[[#This Row],[Total_Price]]</f>
        <v>-2110.5</v>
      </c>
      <c r="S10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53" spans="1:19" x14ac:dyDescent="0.25">
      <c r="A1053" s="1" t="s">
        <v>1846</v>
      </c>
      <c r="B1053" s="2">
        <v>45384</v>
      </c>
      <c r="C1053" s="1" t="s">
        <v>54</v>
      </c>
      <c r="D1053" s="1" t="s">
        <v>28</v>
      </c>
      <c r="E1053" s="1" t="s">
        <v>129</v>
      </c>
      <c r="F1053" s="1" t="s">
        <v>84</v>
      </c>
      <c r="G1053" s="1" t="s">
        <v>38</v>
      </c>
      <c r="H1053" s="1" t="s">
        <v>108</v>
      </c>
      <c r="I1053" s="1">
        <v>415.9</v>
      </c>
      <c r="J1053" s="1">
        <v>3</v>
      </c>
      <c r="K1053" s="1">
        <v>1247.7</v>
      </c>
      <c r="L1053" s="1">
        <v>15</v>
      </c>
      <c r="M1053" s="1">
        <v>187.16</v>
      </c>
      <c r="N1053" s="1">
        <v>1060.54</v>
      </c>
      <c r="O1053" s="1" t="s">
        <v>46</v>
      </c>
      <c r="P1053" s="1" t="s">
        <v>1073</v>
      </c>
      <c r="Q1053" s="1">
        <v>1</v>
      </c>
      <c r="R1053" s="1">
        <f>Retail_Sales_Analyis[[#This Row],[Final_Price]]-Retail_Sales_Analyis[[#This Row],[Total_Price]]</f>
        <v>-187.16000000000008</v>
      </c>
      <c r="S10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54" spans="1:19" x14ac:dyDescent="0.25">
      <c r="A1054" s="1" t="s">
        <v>1847</v>
      </c>
      <c r="B1054" s="2">
        <v>45591</v>
      </c>
      <c r="C1054" s="1" t="s">
        <v>76</v>
      </c>
      <c r="D1054" s="1" t="s">
        <v>19</v>
      </c>
      <c r="E1054" s="1" t="s">
        <v>94</v>
      </c>
      <c r="F1054" s="1" t="s">
        <v>37</v>
      </c>
      <c r="G1054" s="1" t="s">
        <v>31</v>
      </c>
      <c r="H1054" s="1" t="s">
        <v>45</v>
      </c>
      <c r="I1054" s="1">
        <v>401.5</v>
      </c>
      <c r="J1054" s="1">
        <v>7</v>
      </c>
      <c r="K1054" s="1">
        <v>2810.5</v>
      </c>
      <c r="L1054" s="1">
        <v>0</v>
      </c>
      <c r="M1054" s="1">
        <v>0</v>
      </c>
      <c r="N1054" s="1">
        <v>2810.5</v>
      </c>
      <c r="O1054" s="1" t="s">
        <v>33</v>
      </c>
      <c r="P1054" s="1" t="s">
        <v>242</v>
      </c>
      <c r="Q1054" s="1">
        <v>5</v>
      </c>
      <c r="R1054" s="1">
        <f>Retail_Sales_Analyis[[#This Row],[Final_Price]]-Retail_Sales_Analyis[[#This Row],[Total_Price]]</f>
        <v>0</v>
      </c>
      <c r="S10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55" spans="1:19" x14ac:dyDescent="0.25">
      <c r="A1055" s="1" t="s">
        <v>1848</v>
      </c>
      <c r="B1055" s="2">
        <v>45515</v>
      </c>
      <c r="C1055" s="1" t="s">
        <v>93</v>
      </c>
      <c r="D1055" s="1" t="s">
        <v>49</v>
      </c>
      <c r="E1055" s="1" t="s">
        <v>125</v>
      </c>
      <c r="F1055" s="1" t="s">
        <v>84</v>
      </c>
      <c r="G1055" s="1" t="s">
        <v>22</v>
      </c>
      <c r="H1055" s="1" t="s">
        <v>133</v>
      </c>
      <c r="I1055" s="1">
        <v>206.83</v>
      </c>
      <c r="J1055" s="1">
        <v>6</v>
      </c>
      <c r="K1055" s="1">
        <v>1240.98</v>
      </c>
      <c r="L1055" s="1">
        <v>5</v>
      </c>
      <c r="M1055" s="1">
        <v>62.05</v>
      </c>
      <c r="N1055" s="1">
        <v>1178.93</v>
      </c>
      <c r="O1055" s="1" t="s">
        <v>64</v>
      </c>
      <c r="P1055" s="1" t="s">
        <v>105</v>
      </c>
      <c r="Q1055" s="1">
        <v>3</v>
      </c>
      <c r="R1055" s="1">
        <f>Retail_Sales_Analyis[[#This Row],[Final_Price]]-Retail_Sales_Analyis[[#This Row],[Total_Price]]</f>
        <v>-62.049999999999955</v>
      </c>
      <c r="S10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56" spans="1:19" x14ac:dyDescent="0.25">
      <c r="A1056" s="1" t="s">
        <v>1849</v>
      </c>
      <c r="B1056" s="2">
        <v>45617</v>
      </c>
      <c r="C1056" s="1" t="s">
        <v>18</v>
      </c>
      <c r="D1056" s="1" t="s">
        <v>67</v>
      </c>
      <c r="E1056" s="1" t="s">
        <v>97</v>
      </c>
      <c r="F1056" s="1" t="s">
        <v>84</v>
      </c>
      <c r="G1056" s="1" t="s">
        <v>78</v>
      </c>
      <c r="H1056" s="1" t="s">
        <v>126</v>
      </c>
      <c r="I1056" s="1">
        <v>355.99</v>
      </c>
      <c r="J1056" s="1">
        <v>4</v>
      </c>
      <c r="K1056" s="1">
        <v>1423.96</v>
      </c>
      <c r="L1056" s="1">
        <v>20</v>
      </c>
      <c r="M1056" s="1">
        <v>284.79000000000002</v>
      </c>
      <c r="N1056" s="1">
        <v>1139.17</v>
      </c>
      <c r="O1056" s="1" t="s">
        <v>80</v>
      </c>
      <c r="P1056" s="1" t="s">
        <v>773</v>
      </c>
      <c r="Q1056" s="1">
        <v>3</v>
      </c>
      <c r="R1056" s="1">
        <f>Retail_Sales_Analyis[[#This Row],[Final_Price]]-Retail_Sales_Analyis[[#This Row],[Total_Price]]</f>
        <v>-284.78999999999996</v>
      </c>
      <c r="S10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57" spans="1:19" x14ac:dyDescent="0.25">
      <c r="A1057" s="1" t="s">
        <v>1850</v>
      </c>
      <c r="B1057" s="2">
        <v>45543</v>
      </c>
      <c r="C1057" s="1" t="s">
        <v>116</v>
      </c>
      <c r="D1057" s="1" t="s">
        <v>49</v>
      </c>
      <c r="E1057" s="1" t="s">
        <v>89</v>
      </c>
      <c r="F1057" s="1" t="s">
        <v>37</v>
      </c>
      <c r="G1057" s="1" t="s">
        <v>57</v>
      </c>
      <c r="H1057" s="1" t="s">
        <v>101</v>
      </c>
      <c r="I1057" s="1">
        <v>777.2</v>
      </c>
      <c r="J1057" s="1">
        <v>3</v>
      </c>
      <c r="K1057" s="1">
        <v>2331.6</v>
      </c>
      <c r="L1057" s="1">
        <v>0</v>
      </c>
      <c r="M1057" s="1">
        <v>0</v>
      </c>
      <c r="N1057" s="1">
        <v>2331.6</v>
      </c>
      <c r="O1057" s="1" t="s">
        <v>24</v>
      </c>
      <c r="P1057" s="1" t="s">
        <v>1851</v>
      </c>
      <c r="Q1057" s="1">
        <v>5</v>
      </c>
      <c r="R1057" s="1">
        <f>Retail_Sales_Analyis[[#This Row],[Final_Price]]-Retail_Sales_Analyis[[#This Row],[Total_Price]]</f>
        <v>0</v>
      </c>
      <c r="S10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58" spans="1:19" x14ac:dyDescent="0.25">
      <c r="A1058" s="1" t="s">
        <v>1852</v>
      </c>
      <c r="B1058" s="2">
        <v>45338</v>
      </c>
      <c r="C1058" s="1" t="s">
        <v>27</v>
      </c>
      <c r="D1058" s="1" t="s">
        <v>144</v>
      </c>
      <c r="E1058" s="1" t="s">
        <v>104</v>
      </c>
      <c r="F1058" s="1" t="s">
        <v>21</v>
      </c>
      <c r="G1058" s="1" t="s">
        <v>85</v>
      </c>
      <c r="H1058" s="1" t="s">
        <v>90</v>
      </c>
      <c r="I1058" s="1">
        <v>2394.08</v>
      </c>
      <c r="J1058" s="1">
        <v>2</v>
      </c>
      <c r="K1058" s="1">
        <v>4788.16</v>
      </c>
      <c r="L1058" s="1">
        <v>0</v>
      </c>
      <c r="M1058" s="1">
        <v>0</v>
      </c>
      <c r="N1058" s="1">
        <v>4788.16</v>
      </c>
      <c r="O1058" s="1" t="s">
        <v>46</v>
      </c>
      <c r="P1058" s="1" t="s">
        <v>1853</v>
      </c>
      <c r="Q1058" s="1">
        <v>2</v>
      </c>
      <c r="R1058" s="1">
        <f>Retail_Sales_Analyis[[#This Row],[Final_Price]]-Retail_Sales_Analyis[[#This Row],[Total_Price]]</f>
        <v>0</v>
      </c>
      <c r="S10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59" spans="1:19" x14ac:dyDescent="0.25">
      <c r="A1059" s="1" t="s">
        <v>1854</v>
      </c>
      <c r="B1059" s="2">
        <v>45532</v>
      </c>
      <c r="C1059" s="1" t="s">
        <v>93</v>
      </c>
      <c r="D1059" s="1" t="s">
        <v>55</v>
      </c>
      <c r="E1059" s="1" t="s">
        <v>337</v>
      </c>
      <c r="F1059" s="1" t="s">
        <v>21</v>
      </c>
      <c r="G1059" s="1" t="s">
        <v>38</v>
      </c>
      <c r="H1059" s="1" t="s">
        <v>214</v>
      </c>
      <c r="I1059" s="1">
        <v>397</v>
      </c>
      <c r="J1059" s="1">
        <v>5</v>
      </c>
      <c r="K1059" s="1">
        <v>1985</v>
      </c>
      <c r="L1059" s="1">
        <v>0</v>
      </c>
      <c r="M1059" s="1">
        <v>0</v>
      </c>
      <c r="N1059" s="1">
        <v>1985</v>
      </c>
      <c r="O1059" s="1" t="s">
        <v>64</v>
      </c>
      <c r="P1059" s="1" t="s">
        <v>1855</v>
      </c>
      <c r="Q1059" s="1">
        <v>3</v>
      </c>
      <c r="R1059" s="1">
        <f>Retail_Sales_Analyis[[#This Row],[Final_Price]]-Retail_Sales_Analyis[[#This Row],[Total_Price]]</f>
        <v>0</v>
      </c>
      <c r="S10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0" spans="1:19" x14ac:dyDescent="0.25">
      <c r="A1060" s="1" t="s">
        <v>1856</v>
      </c>
      <c r="B1060" s="2">
        <v>45470</v>
      </c>
      <c r="C1060" s="1" t="s">
        <v>173</v>
      </c>
      <c r="D1060" s="1" t="s">
        <v>67</v>
      </c>
      <c r="E1060" s="1" t="s">
        <v>121</v>
      </c>
      <c r="F1060" s="1" t="s">
        <v>37</v>
      </c>
      <c r="G1060" s="1" t="s">
        <v>31</v>
      </c>
      <c r="H1060" s="1" t="s">
        <v>329</v>
      </c>
      <c r="I1060" s="1">
        <v>425.37</v>
      </c>
      <c r="J1060" s="1">
        <v>7</v>
      </c>
      <c r="K1060" s="1">
        <v>2977.59</v>
      </c>
      <c r="L1060" s="1">
        <v>0</v>
      </c>
      <c r="M1060" s="1">
        <v>0</v>
      </c>
      <c r="N1060" s="1">
        <v>2977.59</v>
      </c>
      <c r="O1060" s="1" t="s">
        <v>33</v>
      </c>
      <c r="P1060" s="1" t="s">
        <v>1206</v>
      </c>
      <c r="Q1060" s="1">
        <v>2</v>
      </c>
      <c r="R1060" s="1">
        <f>Retail_Sales_Analyis[[#This Row],[Final_Price]]-Retail_Sales_Analyis[[#This Row],[Total_Price]]</f>
        <v>0</v>
      </c>
      <c r="S10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1" spans="1:19" x14ac:dyDescent="0.25">
      <c r="A1061" s="1" t="s">
        <v>1857</v>
      </c>
      <c r="B1061" s="2">
        <v>45501</v>
      </c>
      <c r="C1061" s="1" t="s">
        <v>195</v>
      </c>
      <c r="D1061" s="1" t="s">
        <v>49</v>
      </c>
      <c r="E1061" s="1" t="s">
        <v>129</v>
      </c>
      <c r="F1061" s="1" t="s">
        <v>84</v>
      </c>
      <c r="G1061" s="1" t="s">
        <v>31</v>
      </c>
      <c r="H1061" s="1" t="s">
        <v>32</v>
      </c>
      <c r="I1061" s="1">
        <v>139.38999999999999</v>
      </c>
      <c r="J1061" s="1">
        <v>7</v>
      </c>
      <c r="K1061" s="1">
        <v>975.73</v>
      </c>
      <c r="L1061" s="1">
        <v>10</v>
      </c>
      <c r="M1061" s="1">
        <v>97.57</v>
      </c>
      <c r="N1061" s="1">
        <v>878.16</v>
      </c>
      <c r="O1061" s="1" t="s">
        <v>24</v>
      </c>
      <c r="P1061" s="1" t="s">
        <v>1858</v>
      </c>
      <c r="Q1061" s="1">
        <v>1</v>
      </c>
      <c r="R1061" s="1">
        <f>Retail_Sales_Analyis[[#This Row],[Final_Price]]-Retail_Sales_Analyis[[#This Row],[Total_Price]]</f>
        <v>-97.57000000000005</v>
      </c>
      <c r="S10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62" spans="1:19" x14ac:dyDescent="0.25">
      <c r="A1062" s="1" t="s">
        <v>1859</v>
      </c>
      <c r="B1062" s="2">
        <v>45462</v>
      </c>
      <c r="C1062" s="1" t="s">
        <v>173</v>
      </c>
      <c r="D1062" s="1" t="s">
        <v>55</v>
      </c>
      <c r="E1062" s="1" t="s">
        <v>117</v>
      </c>
      <c r="F1062" s="1" t="s">
        <v>30</v>
      </c>
      <c r="G1062" s="1" t="s">
        <v>169</v>
      </c>
      <c r="H1062" s="1" t="s">
        <v>366</v>
      </c>
      <c r="I1062" s="1">
        <v>1207.93</v>
      </c>
      <c r="J1062" s="1">
        <v>2</v>
      </c>
      <c r="K1062" s="1">
        <v>2415.86</v>
      </c>
      <c r="L1062" s="1">
        <v>5</v>
      </c>
      <c r="M1062" s="1">
        <v>120.79</v>
      </c>
      <c r="N1062" s="1">
        <v>2295.0700000000002</v>
      </c>
      <c r="O1062" s="1" t="s">
        <v>80</v>
      </c>
      <c r="P1062" s="1" t="s">
        <v>407</v>
      </c>
      <c r="Q1062" s="1">
        <v>3</v>
      </c>
      <c r="R1062" s="1">
        <f>Retail_Sales_Analyis[[#This Row],[Final_Price]]-Retail_Sales_Analyis[[#This Row],[Total_Price]]</f>
        <v>-120.78999999999996</v>
      </c>
      <c r="S10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63" spans="1:19" x14ac:dyDescent="0.25">
      <c r="A1063" s="1" t="s">
        <v>1860</v>
      </c>
      <c r="B1063" s="2">
        <v>45456</v>
      </c>
      <c r="C1063" s="1" t="s">
        <v>173</v>
      </c>
      <c r="D1063" s="1" t="s">
        <v>67</v>
      </c>
      <c r="E1063" s="1" t="s">
        <v>213</v>
      </c>
      <c r="F1063" s="1" t="s">
        <v>37</v>
      </c>
      <c r="G1063" s="1" t="s">
        <v>57</v>
      </c>
      <c r="H1063" s="1" t="s">
        <v>101</v>
      </c>
      <c r="I1063" s="1">
        <v>2958.43</v>
      </c>
      <c r="J1063" s="1">
        <v>9</v>
      </c>
      <c r="K1063" s="1">
        <v>26625.87</v>
      </c>
      <c r="L1063" s="1">
        <v>0</v>
      </c>
      <c r="M1063" s="1">
        <v>0</v>
      </c>
      <c r="N1063" s="1">
        <v>26625.87</v>
      </c>
      <c r="O1063" s="1" t="s">
        <v>33</v>
      </c>
      <c r="P1063" s="1" t="s">
        <v>1210</v>
      </c>
      <c r="Q1063" s="1">
        <v>3</v>
      </c>
      <c r="R1063" s="1">
        <f>Retail_Sales_Analyis[[#This Row],[Final_Price]]-Retail_Sales_Analyis[[#This Row],[Total_Price]]</f>
        <v>0</v>
      </c>
      <c r="S10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4" spans="1:19" x14ac:dyDescent="0.25">
      <c r="A1064" s="1" t="s">
        <v>1861</v>
      </c>
      <c r="B1064" s="2">
        <v>45635</v>
      </c>
      <c r="C1064" s="1" t="s">
        <v>73</v>
      </c>
      <c r="D1064" s="1" t="s">
        <v>43</v>
      </c>
      <c r="E1064" s="1" t="s">
        <v>307</v>
      </c>
      <c r="F1064" s="1" t="s">
        <v>30</v>
      </c>
      <c r="G1064" s="1" t="s">
        <v>31</v>
      </c>
      <c r="H1064" s="1" t="s">
        <v>329</v>
      </c>
      <c r="I1064" s="1">
        <v>53.27</v>
      </c>
      <c r="J1064" s="1">
        <v>7</v>
      </c>
      <c r="K1064" s="1">
        <v>372.89</v>
      </c>
      <c r="L1064" s="1">
        <v>5</v>
      </c>
      <c r="M1064" s="1">
        <v>18.64</v>
      </c>
      <c r="N1064" s="1">
        <v>354.25</v>
      </c>
      <c r="O1064" s="1" t="s">
        <v>24</v>
      </c>
      <c r="P1064" s="1" t="s">
        <v>1098</v>
      </c>
      <c r="Q1064" s="1">
        <v>3</v>
      </c>
      <c r="R1064" s="1">
        <f>Retail_Sales_Analyis[[#This Row],[Final_Price]]-Retail_Sales_Analyis[[#This Row],[Total_Price]]</f>
        <v>-18.639999999999986</v>
      </c>
      <c r="S10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65" spans="1:19" x14ac:dyDescent="0.25">
      <c r="A1065" s="1" t="s">
        <v>1862</v>
      </c>
      <c r="B1065" s="2">
        <v>45345</v>
      </c>
      <c r="C1065" s="1" t="s">
        <v>27</v>
      </c>
      <c r="D1065" s="1" t="s">
        <v>144</v>
      </c>
      <c r="E1065" s="1" t="s">
        <v>83</v>
      </c>
      <c r="F1065" s="1" t="s">
        <v>37</v>
      </c>
      <c r="G1065" s="1" t="s">
        <v>169</v>
      </c>
      <c r="H1065" s="1" t="s">
        <v>348</v>
      </c>
      <c r="I1065" s="1">
        <v>1435.13</v>
      </c>
      <c r="J1065" s="1">
        <v>5</v>
      </c>
      <c r="K1065" s="1">
        <v>7175.65</v>
      </c>
      <c r="L1065" s="1">
        <v>0</v>
      </c>
      <c r="M1065" s="1">
        <v>0</v>
      </c>
      <c r="N1065" s="1">
        <v>7175.65</v>
      </c>
      <c r="O1065" s="1" t="s">
        <v>24</v>
      </c>
      <c r="P1065" s="1" t="s">
        <v>1773</v>
      </c>
      <c r="Q1065" s="1">
        <v>4</v>
      </c>
      <c r="R1065" s="1">
        <f>Retail_Sales_Analyis[[#This Row],[Final_Price]]-Retail_Sales_Analyis[[#This Row],[Total_Price]]</f>
        <v>0</v>
      </c>
      <c r="S10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6" spans="1:19" x14ac:dyDescent="0.25">
      <c r="A1066" s="1" t="s">
        <v>1863</v>
      </c>
      <c r="B1066" s="2">
        <v>45374</v>
      </c>
      <c r="C1066" s="1" t="s">
        <v>61</v>
      </c>
      <c r="D1066" s="1" t="s">
        <v>19</v>
      </c>
      <c r="E1066" s="1" t="s">
        <v>68</v>
      </c>
      <c r="F1066" s="1" t="s">
        <v>84</v>
      </c>
      <c r="G1066" s="1" t="s">
        <v>38</v>
      </c>
      <c r="H1066" s="1" t="s">
        <v>422</v>
      </c>
      <c r="I1066" s="1">
        <v>131.76</v>
      </c>
      <c r="J1066" s="1">
        <v>4</v>
      </c>
      <c r="K1066" s="1">
        <v>527.04</v>
      </c>
      <c r="L1066" s="1">
        <v>0</v>
      </c>
      <c r="M1066" s="1">
        <v>0</v>
      </c>
      <c r="N1066" s="1">
        <v>527.04</v>
      </c>
      <c r="O1066" s="1" t="s">
        <v>80</v>
      </c>
      <c r="P1066" s="1" t="s">
        <v>443</v>
      </c>
      <c r="Q1066" s="1">
        <v>1</v>
      </c>
      <c r="R1066" s="1">
        <f>Retail_Sales_Analyis[[#This Row],[Final_Price]]-Retail_Sales_Analyis[[#This Row],[Total_Price]]</f>
        <v>0</v>
      </c>
      <c r="S10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7" spans="1:19" x14ac:dyDescent="0.25">
      <c r="A1067" s="1" t="s">
        <v>1864</v>
      </c>
      <c r="B1067" s="2">
        <v>45460</v>
      </c>
      <c r="C1067" s="1" t="s">
        <v>173</v>
      </c>
      <c r="D1067" s="1" t="s">
        <v>43</v>
      </c>
      <c r="E1067" s="1" t="s">
        <v>307</v>
      </c>
      <c r="F1067" s="1" t="s">
        <v>84</v>
      </c>
      <c r="G1067" s="1" t="s">
        <v>85</v>
      </c>
      <c r="H1067" s="1" t="s">
        <v>86</v>
      </c>
      <c r="I1067" s="1">
        <v>4049.15</v>
      </c>
      <c r="J1067" s="1">
        <v>1</v>
      </c>
      <c r="K1067" s="1">
        <v>4049.15</v>
      </c>
      <c r="L1067" s="1">
        <v>10</v>
      </c>
      <c r="M1067" s="1">
        <v>404.92</v>
      </c>
      <c r="N1067" s="1">
        <v>3644.23</v>
      </c>
      <c r="O1067" s="1" t="s">
        <v>64</v>
      </c>
      <c r="P1067" s="1" t="s">
        <v>1865</v>
      </c>
      <c r="Q1067" s="1">
        <v>3</v>
      </c>
      <c r="R1067" s="1">
        <f>Retail_Sales_Analyis[[#This Row],[Final_Price]]-Retail_Sales_Analyis[[#This Row],[Total_Price]]</f>
        <v>-404.92000000000007</v>
      </c>
      <c r="S10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68" spans="1:19" x14ac:dyDescent="0.25">
      <c r="A1068" s="1" t="s">
        <v>1866</v>
      </c>
      <c r="B1068" s="2">
        <v>45502</v>
      </c>
      <c r="C1068" s="1" t="s">
        <v>195</v>
      </c>
      <c r="D1068" s="1" t="s">
        <v>43</v>
      </c>
      <c r="E1068" s="1" t="s">
        <v>322</v>
      </c>
      <c r="F1068" s="1" t="s">
        <v>21</v>
      </c>
      <c r="G1068" s="1" t="s">
        <v>85</v>
      </c>
      <c r="H1068" s="1" t="s">
        <v>86</v>
      </c>
      <c r="I1068" s="1">
        <v>1689.68</v>
      </c>
      <c r="J1068" s="1">
        <v>9</v>
      </c>
      <c r="K1068" s="1">
        <v>15207.12</v>
      </c>
      <c r="L1068" s="1">
        <v>0</v>
      </c>
      <c r="M1068" s="1">
        <v>0</v>
      </c>
      <c r="N1068" s="1">
        <v>15207.12</v>
      </c>
      <c r="O1068" s="1" t="s">
        <v>64</v>
      </c>
      <c r="P1068" s="1" t="s">
        <v>1155</v>
      </c>
      <c r="Q1068" s="1">
        <v>3</v>
      </c>
      <c r="R1068" s="1">
        <f>Retail_Sales_Analyis[[#This Row],[Final_Price]]-Retail_Sales_Analyis[[#This Row],[Total_Price]]</f>
        <v>0</v>
      </c>
      <c r="S10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69" spans="1:19" x14ac:dyDescent="0.25">
      <c r="A1069" s="1" t="s">
        <v>1867</v>
      </c>
      <c r="B1069" s="2">
        <v>45647</v>
      </c>
      <c r="C1069" s="1" t="s">
        <v>73</v>
      </c>
      <c r="D1069" s="1" t="s">
        <v>19</v>
      </c>
      <c r="E1069" s="1" t="s">
        <v>166</v>
      </c>
      <c r="F1069" s="1" t="s">
        <v>37</v>
      </c>
      <c r="G1069" s="1" t="s">
        <v>31</v>
      </c>
      <c r="H1069" s="1" t="s">
        <v>250</v>
      </c>
      <c r="I1069" s="1">
        <v>187.73</v>
      </c>
      <c r="J1069" s="1">
        <v>6</v>
      </c>
      <c r="K1069" s="1">
        <v>1126.3800000000001</v>
      </c>
      <c r="L1069" s="1">
        <v>20</v>
      </c>
      <c r="M1069" s="1">
        <v>225.28</v>
      </c>
      <c r="N1069" s="1">
        <v>901.1</v>
      </c>
      <c r="O1069" s="1" t="s">
        <v>46</v>
      </c>
      <c r="P1069" s="1" t="s">
        <v>262</v>
      </c>
      <c r="Q1069" s="1">
        <v>5</v>
      </c>
      <c r="R1069" s="1">
        <f>Retail_Sales_Analyis[[#This Row],[Final_Price]]-Retail_Sales_Analyis[[#This Row],[Total_Price]]</f>
        <v>-225.28000000000009</v>
      </c>
      <c r="S10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70" spans="1:19" x14ac:dyDescent="0.25">
      <c r="A1070" s="1" t="s">
        <v>1868</v>
      </c>
      <c r="B1070" s="2">
        <v>45545</v>
      </c>
      <c r="C1070" s="1" t="s">
        <v>116</v>
      </c>
      <c r="D1070" s="1" t="s">
        <v>28</v>
      </c>
      <c r="E1070" s="1" t="s">
        <v>342</v>
      </c>
      <c r="F1070" s="1" t="s">
        <v>84</v>
      </c>
      <c r="G1070" s="1" t="s">
        <v>112</v>
      </c>
      <c r="H1070" s="1" t="s">
        <v>118</v>
      </c>
      <c r="I1070" s="1">
        <v>542.75</v>
      </c>
      <c r="J1070" s="1">
        <v>8</v>
      </c>
      <c r="K1070" s="1">
        <v>4342</v>
      </c>
      <c r="L1070" s="1">
        <v>0</v>
      </c>
      <c r="M1070" s="1">
        <v>0</v>
      </c>
      <c r="N1070" s="1">
        <v>4342</v>
      </c>
      <c r="O1070" s="1" t="s">
        <v>64</v>
      </c>
      <c r="P1070" s="1" t="s">
        <v>1129</v>
      </c>
      <c r="Q1070" s="1">
        <v>4</v>
      </c>
      <c r="R1070" s="1">
        <f>Retail_Sales_Analyis[[#This Row],[Final_Price]]-Retail_Sales_Analyis[[#This Row],[Total_Price]]</f>
        <v>0</v>
      </c>
      <c r="S10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1" spans="1:19" x14ac:dyDescent="0.25">
      <c r="A1071" s="1" t="s">
        <v>1869</v>
      </c>
      <c r="B1071" s="2">
        <v>45439</v>
      </c>
      <c r="C1071" s="1" t="s">
        <v>42</v>
      </c>
      <c r="D1071" s="1" t="s">
        <v>43</v>
      </c>
      <c r="E1071" s="1" t="s">
        <v>192</v>
      </c>
      <c r="F1071" s="1" t="s">
        <v>37</v>
      </c>
      <c r="G1071" s="1" t="s">
        <v>85</v>
      </c>
      <c r="H1071" s="1" t="s">
        <v>98</v>
      </c>
      <c r="I1071" s="1">
        <v>1400.46</v>
      </c>
      <c r="J1071" s="1">
        <v>6</v>
      </c>
      <c r="K1071" s="1">
        <v>8402.76</v>
      </c>
      <c r="L1071" s="1">
        <v>0</v>
      </c>
      <c r="M1071" s="1">
        <v>0</v>
      </c>
      <c r="N1071" s="1">
        <v>8402.76</v>
      </c>
      <c r="O1071" s="1" t="s">
        <v>24</v>
      </c>
      <c r="P1071" s="1" t="s">
        <v>1870</v>
      </c>
      <c r="Q1071" s="1">
        <v>4</v>
      </c>
      <c r="R1071" s="1">
        <f>Retail_Sales_Analyis[[#This Row],[Final_Price]]-Retail_Sales_Analyis[[#This Row],[Total_Price]]</f>
        <v>0</v>
      </c>
      <c r="S10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2" spans="1:19" x14ac:dyDescent="0.25">
      <c r="A1072" s="1" t="s">
        <v>1871</v>
      </c>
      <c r="B1072" s="2">
        <v>45631</v>
      </c>
      <c r="C1072" s="1" t="s">
        <v>73</v>
      </c>
      <c r="D1072" s="1" t="s">
        <v>67</v>
      </c>
      <c r="E1072" s="1" t="s">
        <v>328</v>
      </c>
      <c r="F1072" s="1" t="s">
        <v>37</v>
      </c>
      <c r="G1072" s="1" t="s">
        <v>31</v>
      </c>
      <c r="H1072" s="1" t="s">
        <v>32</v>
      </c>
      <c r="I1072" s="1">
        <v>492.52</v>
      </c>
      <c r="J1072" s="1">
        <v>9</v>
      </c>
      <c r="K1072" s="1">
        <v>4432.68</v>
      </c>
      <c r="L1072" s="1">
        <v>5</v>
      </c>
      <c r="M1072" s="1">
        <v>221.63</v>
      </c>
      <c r="N1072" s="1">
        <v>4211.05</v>
      </c>
      <c r="O1072" s="1" t="s">
        <v>64</v>
      </c>
      <c r="P1072" s="1" t="s">
        <v>1178</v>
      </c>
      <c r="Q1072" s="1">
        <v>5</v>
      </c>
      <c r="R1072" s="1">
        <f>Retail_Sales_Analyis[[#This Row],[Final_Price]]-Retail_Sales_Analyis[[#This Row],[Total_Price]]</f>
        <v>-221.63000000000011</v>
      </c>
      <c r="S10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73" spans="1:19" x14ac:dyDescent="0.25">
      <c r="A1073" s="1" t="s">
        <v>1872</v>
      </c>
      <c r="B1073" s="2">
        <v>45497</v>
      </c>
      <c r="C1073" s="1" t="s">
        <v>195</v>
      </c>
      <c r="D1073" s="1" t="s">
        <v>55</v>
      </c>
      <c r="E1073" s="1" t="s">
        <v>307</v>
      </c>
      <c r="F1073" s="1" t="s">
        <v>84</v>
      </c>
      <c r="G1073" s="1" t="s">
        <v>31</v>
      </c>
      <c r="H1073" s="1" t="s">
        <v>32</v>
      </c>
      <c r="I1073" s="1">
        <v>454.8</v>
      </c>
      <c r="J1073" s="1">
        <v>5</v>
      </c>
      <c r="K1073" s="1">
        <v>2274</v>
      </c>
      <c r="L1073" s="1">
        <v>0</v>
      </c>
      <c r="M1073" s="1">
        <v>0</v>
      </c>
      <c r="N1073" s="1">
        <v>2274</v>
      </c>
      <c r="O1073" s="1" t="s">
        <v>46</v>
      </c>
      <c r="P1073" s="1" t="s">
        <v>1873</v>
      </c>
      <c r="Q1073" s="1">
        <v>5</v>
      </c>
      <c r="R1073" s="1">
        <f>Retail_Sales_Analyis[[#This Row],[Final_Price]]-Retail_Sales_Analyis[[#This Row],[Total_Price]]</f>
        <v>0</v>
      </c>
      <c r="S10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4" spans="1:19" x14ac:dyDescent="0.25">
      <c r="A1074" s="1" t="s">
        <v>1874</v>
      </c>
      <c r="B1074" s="2">
        <v>45573</v>
      </c>
      <c r="C1074" s="1" t="s">
        <v>76</v>
      </c>
      <c r="D1074" s="1" t="s">
        <v>28</v>
      </c>
      <c r="E1074" s="1" t="s">
        <v>213</v>
      </c>
      <c r="F1074" s="1" t="s">
        <v>21</v>
      </c>
      <c r="G1074" s="1" t="s">
        <v>169</v>
      </c>
      <c r="H1074" s="1" t="s">
        <v>348</v>
      </c>
      <c r="I1074" s="1">
        <v>891.36</v>
      </c>
      <c r="J1074" s="1">
        <v>10</v>
      </c>
      <c r="K1074" s="1">
        <v>8913.6</v>
      </c>
      <c r="L1074" s="1">
        <v>0</v>
      </c>
      <c r="M1074" s="1">
        <v>0</v>
      </c>
      <c r="N1074" s="1">
        <v>8913.6</v>
      </c>
      <c r="O1074" s="1" t="s">
        <v>64</v>
      </c>
      <c r="P1074" s="1" t="s">
        <v>95</v>
      </c>
      <c r="Q1074" s="1">
        <v>2</v>
      </c>
      <c r="R1074" s="1">
        <f>Retail_Sales_Analyis[[#This Row],[Final_Price]]-Retail_Sales_Analyis[[#This Row],[Total_Price]]</f>
        <v>0</v>
      </c>
      <c r="S10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5" spans="1:19" x14ac:dyDescent="0.25">
      <c r="A1075" s="1" t="s">
        <v>1875</v>
      </c>
      <c r="B1075" s="2">
        <v>45310</v>
      </c>
      <c r="C1075" s="1" t="s">
        <v>36</v>
      </c>
      <c r="D1075" s="1" t="s">
        <v>144</v>
      </c>
      <c r="E1075" s="1" t="s">
        <v>50</v>
      </c>
      <c r="F1075" s="1" t="s">
        <v>37</v>
      </c>
      <c r="G1075" s="1" t="s">
        <v>85</v>
      </c>
      <c r="H1075" s="1" t="s">
        <v>98</v>
      </c>
      <c r="I1075" s="1">
        <v>3636.84</v>
      </c>
      <c r="J1075" s="1">
        <v>2</v>
      </c>
      <c r="K1075" s="1">
        <v>7273.68</v>
      </c>
      <c r="L1075" s="1">
        <v>15</v>
      </c>
      <c r="M1075" s="1">
        <v>1091.05</v>
      </c>
      <c r="N1075" s="1">
        <v>6182.63</v>
      </c>
      <c r="O1075" s="1" t="s">
        <v>33</v>
      </c>
      <c r="P1075" s="1" t="s">
        <v>1830</v>
      </c>
      <c r="Q1075" s="1">
        <v>3</v>
      </c>
      <c r="R1075" s="1">
        <f>Retail_Sales_Analyis[[#This Row],[Final_Price]]-Retail_Sales_Analyis[[#This Row],[Total_Price]]</f>
        <v>-1091.0500000000002</v>
      </c>
      <c r="S10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76" spans="1:19" x14ac:dyDescent="0.25">
      <c r="A1076" s="1" t="s">
        <v>1876</v>
      </c>
      <c r="B1076" s="2">
        <v>45524</v>
      </c>
      <c r="C1076" s="1" t="s">
        <v>93</v>
      </c>
      <c r="D1076" s="1" t="s">
        <v>28</v>
      </c>
      <c r="E1076" s="1" t="s">
        <v>139</v>
      </c>
      <c r="F1076" s="1" t="s">
        <v>84</v>
      </c>
      <c r="G1076" s="1" t="s">
        <v>57</v>
      </c>
      <c r="H1076" s="1" t="s">
        <v>158</v>
      </c>
      <c r="I1076" s="1">
        <v>716.95</v>
      </c>
      <c r="J1076" s="1">
        <v>5</v>
      </c>
      <c r="K1076" s="1">
        <v>3584.75</v>
      </c>
      <c r="L1076" s="1">
        <v>0</v>
      </c>
      <c r="M1076" s="1">
        <v>0</v>
      </c>
      <c r="N1076" s="1">
        <v>3584.75</v>
      </c>
      <c r="O1076" s="1" t="s">
        <v>33</v>
      </c>
      <c r="P1076" s="1" t="s">
        <v>1877</v>
      </c>
      <c r="Q1076" s="1">
        <v>5</v>
      </c>
      <c r="R1076" s="1">
        <f>Retail_Sales_Analyis[[#This Row],[Final_Price]]-Retail_Sales_Analyis[[#This Row],[Total_Price]]</f>
        <v>0</v>
      </c>
      <c r="S10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7" spans="1:19" x14ac:dyDescent="0.25">
      <c r="A1077" s="1" t="s">
        <v>1878</v>
      </c>
      <c r="B1077" s="2">
        <v>45337</v>
      </c>
      <c r="C1077" s="1" t="s">
        <v>27</v>
      </c>
      <c r="D1077" s="1" t="s">
        <v>67</v>
      </c>
      <c r="E1077" s="1" t="s">
        <v>117</v>
      </c>
      <c r="F1077" s="1" t="s">
        <v>37</v>
      </c>
      <c r="G1077" s="1" t="s">
        <v>38</v>
      </c>
      <c r="H1077" s="1" t="s">
        <v>214</v>
      </c>
      <c r="I1077" s="1">
        <v>329.56</v>
      </c>
      <c r="J1077" s="1">
        <v>6</v>
      </c>
      <c r="K1077" s="1">
        <v>1977.36</v>
      </c>
      <c r="L1077" s="1">
        <v>15</v>
      </c>
      <c r="M1077" s="1">
        <v>296.60000000000002</v>
      </c>
      <c r="N1077" s="1">
        <v>1680.76</v>
      </c>
      <c r="O1077" s="1" t="s">
        <v>64</v>
      </c>
      <c r="P1077" s="1" t="s">
        <v>427</v>
      </c>
      <c r="Q1077" s="1">
        <v>5</v>
      </c>
      <c r="R1077" s="1">
        <f>Retail_Sales_Analyis[[#This Row],[Final_Price]]-Retail_Sales_Analyis[[#This Row],[Total_Price]]</f>
        <v>-296.59999999999991</v>
      </c>
      <c r="S10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78" spans="1:19" x14ac:dyDescent="0.25">
      <c r="A1078" s="1" t="s">
        <v>1879</v>
      </c>
      <c r="B1078" s="2">
        <v>45453</v>
      </c>
      <c r="C1078" s="1" t="s">
        <v>173</v>
      </c>
      <c r="D1078" s="1" t="s">
        <v>43</v>
      </c>
      <c r="E1078" s="1" t="s">
        <v>29</v>
      </c>
      <c r="F1078" s="1" t="s">
        <v>21</v>
      </c>
      <c r="G1078" s="1" t="s">
        <v>22</v>
      </c>
      <c r="H1078" s="1" t="s">
        <v>133</v>
      </c>
      <c r="I1078" s="1">
        <v>835.36</v>
      </c>
      <c r="J1078" s="1">
        <v>3</v>
      </c>
      <c r="K1078" s="1">
        <v>2506.08</v>
      </c>
      <c r="L1078" s="1">
        <v>0</v>
      </c>
      <c r="M1078" s="1">
        <v>0</v>
      </c>
      <c r="N1078" s="1">
        <v>2506.08</v>
      </c>
      <c r="O1078" s="1" t="s">
        <v>64</v>
      </c>
      <c r="P1078" s="1" t="s">
        <v>1456</v>
      </c>
      <c r="Q1078" s="1">
        <v>1</v>
      </c>
      <c r="R1078" s="1">
        <f>Retail_Sales_Analyis[[#This Row],[Final_Price]]-Retail_Sales_Analyis[[#This Row],[Total_Price]]</f>
        <v>0</v>
      </c>
      <c r="S10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79" spans="1:19" x14ac:dyDescent="0.25">
      <c r="A1079" s="1" t="s">
        <v>1880</v>
      </c>
      <c r="B1079" s="2">
        <v>45421</v>
      </c>
      <c r="C1079" s="1" t="s">
        <v>42</v>
      </c>
      <c r="D1079" s="1" t="s">
        <v>67</v>
      </c>
      <c r="E1079" s="1" t="s">
        <v>328</v>
      </c>
      <c r="F1079" s="1" t="s">
        <v>84</v>
      </c>
      <c r="G1079" s="1" t="s">
        <v>78</v>
      </c>
      <c r="H1079" s="1" t="s">
        <v>79</v>
      </c>
      <c r="I1079" s="1">
        <v>407.44</v>
      </c>
      <c r="J1079" s="1">
        <v>8</v>
      </c>
      <c r="K1079" s="1">
        <v>3259.52</v>
      </c>
      <c r="L1079" s="1">
        <v>20</v>
      </c>
      <c r="M1079" s="1">
        <v>651.9</v>
      </c>
      <c r="N1079" s="1">
        <v>2607.62</v>
      </c>
      <c r="O1079" s="1" t="s">
        <v>46</v>
      </c>
      <c r="P1079" s="1" t="s">
        <v>1881</v>
      </c>
      <c r="Q1079" s="1">
        <v>2</v>
      </c>
      <c r="R1079" s="1">
        <f>Retail_Sales_Analyis[[#This Row],[Final_Price]]-Retail_Sales_Analyis[[#This Row],[Total_Price]]</f>
        <v>-651.90000000000009</v>
      </c>
      <c r="S10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80" spans="1:19" x14ac:dyDescent="0.25">
      <c r="A1080" s="1" t="s">
        <v>1882</v>
      </c>
      <c r="B1080" s="2">
        <v>45457</v>
      </c>
      <c r="C1080" s="1" t="s">
        <v>173</v>
      </c>
      <c r="D1080" s="1" t="s">
        <v>144</v>
      </c>
      <c r="E1080" s="1" t="s">
        <v>117</v>
      </c>
      <c r="F1080" s="1" t="s">
        <v>30</v>
      </c>
      <c r="G1080" s="1" t="s">
        <v>31</v>
      </c>
      <c r="H1080" s="1" t="s">
        <v>250</v>
      </c>
      <c r="I1080" s="1">
        <v>253.94</v>
      </c>
      <c r="J1080" s="1">
        <v>5</v>
      </c>
      <c r="K1080" s="1">
        <v>1269.7</v>
      </c>
      <c r="L1080" s="1">
        <v>10</v>
      </c>
      <c r="M1080" s="1">
        <v>126.97</v>
      </c>
      <c r="N1080" s="1">
        <v>1142.73</v>
      </c>
      <c r="O1080" s="1" t="s">
        <v>33</v>
      </c>
      <c r="P1080" s="1" t="s">
        <v>1449</v>
      </c>
      <c r="Q1080" s="1">
        <v>1</v>
      </c>
      <c r="R1080" s="1">
        <f>Retail_Sales_Analyis[[#This Row],[Final_Price]]-Retail_Sales_Analyis[[#This Row],[Total_Price]]</f>
        <v>-126.97000000000003</v>
      </c>
      <c r="S10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81" spans="1:19" x14ac:dyDescent="0.25">
      <c r="A1081" s="1" t="s">
        <v>1883</v>
      </c>
      <c r="B1081" s="2">
        <v>45351</v>
      </c>
      <c r="C1081" s="1" t="s">
        <v>27</v>
      </c>
      <c r="D1081" s="1" t="s">
        <v>67</v>
      </c>
      <c r="E1081" s="1" t="s">
        <v>77</v>
      </c>
      <c r="F1081" s="1" t="s">
        <v>84</v>
      </c>
      <c r="G1081" s="1" t="s">
        <v>78</v>
      </c>
      <c r="H1081" s="1" t="s">
        <v>323</v>
      </c>
      <c r="I1081" s="1">
        <v>598.51</v>
      </c>
      <c r="J1081" s="1">
        <v>3</v>
      </c>
      <c r="K1081" s="1">
        <v>1795.53</v>
      </c>
      <c r="L1081" s="1">
        <v>0</v>
      </c>
      <c r="M1081" s="1">
        <v>0</v>
      </c>
      <c r="N1081" s="1">
        <v>1795.53</v>
      </c>
      <c r="O1081" s="1" t="s">
        <v>46</v>
      </c>
      <c r="P1081" s="1" t="s">
        <v>1884</v>
      </c>
      <c r="Q1081" s="1">
        <v>4</v>
      </c>
      <c r="R1081" s="1">
        <f>Retail_Sales_Analyis[[#This Row],[Final_Price]]-Retail_Sales_Analyis[[#This Row],[Total_Price]]</f>
        <v>0</v>
      </c>
      <c r="S10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82" spans="1:19" x14ac:dyDescent="0.25">
      <c r="A1082" s="1" t="s">
        <v>1885</v>
      </c>
      <c r="B1082" s="2">
        <v>45498</v>
      </c>
      <c r="C1082" s="1" t="s">
        <v>195</v>
      </c>
      <c r="D1082" s="1" t="s">
        <v>67</v>
      </c>
      <c r="E1082" s="1" t="s">
        <v>20</v>
      </c>
      <c r="F1082" s="1" t="s">
        <v>37</v>
      </c>
      <c r="G1082" s="1" t="s">
        <v>169</v>
      </c>
      <c r="H1082" s="1" t="s">
        <v>175</v>
      </c>
      <c r="I1082" s="1">
        <v>1215.92</v>
      </c>
      <c r="J1082" s="1">
        <v>5</v>
      </c>
      <c r="K1082" s="1">
        <v>6079.6</v>
      </c>
      <c r="L1082" s="1">
        <v>0</v>
      </c>
      <c r="M1082" s="1">
        <v>0</v>
      </c>
      <c r="N1082" s="1">
        <v>6079.6</v>
      </c>
      <c r="O1082" s="1" t="s">
        <v>46</v>
      </c>
      <c r="P1082" s="1" t="s">
        <v>1240</v>
      </c>
      <c r="Q1082" s="1">
        <v>4</v>
      </c>
      <c r="R1082" s="1">
        <f>Retail_Sales_Analyis[[#This Row],[Final_Price]]-Retail_Sales_Analyis[[#This Row],[Total_Price]]</f>
        <v>0</v>
      </c>
      <c r="S10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83" spans="1:19" x14ac:dyDescent="0.25">
      <c r="A1083" s="1" t="s">
        <v>1886</v>
      </c>
      <c r="B1083" s="2">
        <v>45555</v>
      </c>
      <c r="C1083" s="1" t="s">
        <v>116</v>
      </c>
      <c r="D1083" s="1" t="s">
        <v>144</v>
      </c>
      <c r="E1083" s="1" t="s">
        <v>163</v>
      </c>
      <c r="F1083" s="1" t="s">
        <v>30</v>
      </c>
      <c r="G1083" s="1" t="s">
        <v>85</v>
      </c>
      <c r="H1083" s="1" t="s">
        <v>297</v>
      </c>
      <c r="I1083" s="1">
        <v>1908.5</v>
      </c>
      <c r="J1083" s="1">
        <v>8</v>
      </c>
      <c r="K1083" s="1">
        <v>15268</v>
      </c>
      <c r="L1083" s="1">
        <v>20</v>
      </c>
      <c r="M1083" s="1">
        <v>3053.6</v>
      </c>
      <c r="N1083" s="1">
        <v>12214.4</v>
      </c>
      <c r="O1083" s="1" t="s">
        <v>24</v>
      </c>
      <c r="P1083" s="1" t="s">
        <v>1887</v>
      </c>
      <c r="Q1083" s="1">
        <v>1</v>
      </c>
      <c r="R1083" s="1">
        <f>Retail_Sales_Analyis[[#This Row],[Final_Price]]-Retail_Sales_Analyis[[#This Row],[Total_Price]]</f>
        <v>-3053.6000000000004</v>
      </c>
      <c r="S10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84" spans="1:19" x14ac:dyDescent="0.25">
      <c r="A1084" s="1" t="s">
        <v>1888</v>
      </c>
      <c r="B1084" s="2">
        <v>45292</v>
      </c>
      <c r="C1084" s="1" t="s">
        <v>36</v>
      </c>
      <c r="D1084" s="1" t="s">
        <v>43</v>
      </c>
      <c r="E1084" s="1" t="s">
        <v>207</v>
      </c>
      <c r="F1084" s="1" t="s">
        <v>84</v>
      </c>
      <c r="G1084" s="1" t="s">
        <v>78</v>
      </c>
      <c r="H1084" s="1" t="s">
        <v>323</v>
      </c>
      <c r="I1084" s="1">
        <v>353.65</v>
      </c>
      <c r="J1084" s="1">
        <v>9</v>
      </c>
      <c r="K1084" s="1">
        <v>3182.85</v>
      </c>
      <c r="L1084" s="1">
        <v>0</v>
      </c>
      <c r="M1084" s="1">
        <v>0</v>
      </c>
      <c r="N1084" s="1">
        <v>3182.85</v>
      </c>
      <c r="O1084" s="1" t="s">
        <v>80</v>
      </c>
      <c r="P1084" s="1" t="s">
        <v>713</v>
      </c>
      <c r="Q1084" s="1">
        <v>2</v>
      </c>
      <c r="R1084" s="1">
        <f>Retail_Sales_Analyis[[#This Row],[Final_Price]]-Retail_Sales_Analyis[[#This Row],[Total_Price]]</f>
        <v>0</v>
      </c>
      <c r="S10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85" spans="1:19" x14ac:dyDescent="0.25">
      <c r="A1085" s="1" t="s">
        <v>1889</v>
      </c>
      <c r="B1085" s="2">
        <v>45628</v>
      </c>
      <c r="C1085" s="1" t="s">
        <v>73</v>
      </c>
      <c r="D1085" s="1" t="s">
        <v>43</v>
      </c>
      <c r="E1085" s="1" t="s">
        <v>89</v>
      </c>
      <c r="F1085" s="1" t="s">
        <v>21</v>
      </c>
      <c r="G1085" s="1" t="s">
        <v>85</v>
      </c>
      <c r="H1085" s="1" t="s">
        <v>98</v>
      </c>
      <c r="I1085" s="1">
        <v>4103.6499999999996</v>
      </c>
      <c r="J1085" s="1">
        <v>4</v>
      </c>
      <c r="K1085" s="1">
        <v>16414.599999999999</v>
      </c>
      <c r="L1085" s="1">
        <v>15</v>
      </c>
      <c r="M1085" s="1">
        <v>2462.19</v>
      </c>
      <c r="N1085" s="1">
        <v>13952.41</v>
      </c>
      <c r="O1085" s="1" t="s">
        <v>46</v>
      </c>
      <c r="P1085" s="1" t="s">
        <v>1649</v>
      </c>
      <c r="Q1085" s="1">
        <v>5</v>
      </c>
      <c r="R1085" s="1">
        <f>Retail_Sales_Analyis[[#This Row],[Final_Price]]-Retail_Sales_Analyis[[#This Row],[Total_Price]]</f>
        <v>-2462.1899999999987</v>
      </c>
      <c r="S10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86" spans="1:19" x14ac:dyDescent="0.25">
      <c r="A1086" s="1" t="s">
        <v>1890</v>
      </c>
      <c r="B1086" s="2">
        <v>45569</v>
      </c>
      <c r="C1086" s="1" t="s">
        <v>76</v>
      </c>
      <c r="D1086" s="1" t="s">
        <v>144</v>
      </c>
      <c r="E1086" s="1" t="s">
        <v>307</v>
      </c>
      <c r="F1086" s="1" t="s">
        <v>21</v>
      </c>
      <c r="G1086" s="1" t="s">
        <v>112</v>
      </c>
      <c r="H1086" s="1" t="s">
        <v>183</v>
      </c>
      <c r="I1086" s="1">
        <v>1043.98</v>
      </c>
      <c r="J1086" s="1">
        <v>4</v>
      </c>
      <c r="K1086" s="1">
        <v>4175.92</v>
      </c>
      <c r="L1086" s="1">
        <v>15</v>
      </c>
      <c r="M1086" s="1">
        <v>626.39</v>
      </c>
      <c r="N1086" s="1">
        <v>3549.53</v>
      </c>
      <c r="O1086" s="1" t="s">
        <v>80</v>
      </c>
      <c r="P1086" s="1" t="s">
        <v>265</v>
      </c>
      <c r="Q1086" s="1">
        <v>2</v>
      </c>
      <c r="R1086" s="1">
        <f>Retail_Sales_Analyis[[#This Row],[Final_Price]]-Retail_Sales_Analyis[[#This Row],[Total_Price]]</f>
        <v>-626.38999999999987</v>
      </c>
      <c r="S10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87" spans="1:19" x14ac:dyDescent="0.25">
      <c r="A1087" s="1" t="s">
        <v>1891</v>
      </c>
      <c r="B1087" s="2">
        <v>45528</v>
      </c>
      <c r="C1087" s="1" t="s">
        <v>93</v>
      </c>
      <c r="D1087" s="1" t="s">
        <v>19</v>
      </c>
      <c r="E1087" s="1" t="s">
        <v>186</v>
      </c>
      <c r="F1087" s="1" t="s">
        <v>30</v>
      </c>
      <c r="G1087" s="1" t="s">
        <v>85</v>
      </c>
      <c r="H1087" s="1" t="s">
        <v>90</v>
      </c>
      <c r="I1087" s="1">
        <v>1905.03</v>
      </c>
      <c r="J1087" s="1">
        <v>3</v>
      </c>
      <c r="K1087" s="1">
        <v>5715.09</v>
      </c>
      <c r="L1087" s="1">
        <v>10</v>
      </c>
      <c r="M1087" s="1">
        <v>571.51</v>
      </c>
      <c r="N1087" s="1">
        <v>5143.58</v>
      </c>
      <c r="O1087" s="1" t="s">
        <v>80</v>
      </c>
      <c r="P1087" s="1" t="s">
        <v>1892</v>
      </c>
      <c r="Q1087" s="1">
        <v>4</v>
      </c>
      <c r="R1087" s="1">
        <f>Retail_Sales_Analyis[[#This Row],[Final_Price]]-Retail_Sales_Analyis[[#This Row],[Total_Price]]</f>
        <v>-571.51000000000022</v>
      </c>
      <c r="S10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88" spans="1:19" x14ac:dyDescent="0.25">
      <c r="A1088" s="1" t="s">
        <v>1893</v>
      </c>
      <c r="B1088" s="2">
        <v>45503</v>
      </c>
      <c r="C1088" s="1" t="s">
        <v>195</v>
      </c>
      <c r="D1088" s="1" t="s">
        <v>28</v>
      </c>
      <c r="E1088" s="1" t="s">
        <v>166</v>
      </c>
      <c r="F1088" s="1" t="s">
        <v>21</v>
      </c>
      <c r="G1088" s="1" t="s">
        <v>22</v>
      </c>
      <c r="H1088" s="1" t="s">
        <v>277</v>
      </c>
      <c r="I1088" s="1">
        <v>511.82</v>
      </c>
      <c r="J1088" s="1">
        <v>9</v>
      </c>
      <c r="K1088" s="1">
        <v>4606.38</v>
      </c>
      <c r="L1088" s="1">
        <v>5</v>
      </c>
      <c r="M1088" s="1">
        <v>230.32</v>
      </c>
      <c r="N1088" s="1">
        <v>4376.0600000000004</v>
      </c>
      <c r="O1088" s="1" t="s">
        <v>33</v>
      </c>
      <c r="P1088" s="1" t="s">
        <v>391</v>
      </c>
      <c r="Q1088" s="1">
        <v>4</v>
      </c>
      <c r="R1088" s="1">
        <f>Retail_Sales_Analyis[[#This Row],[Final_Price]]-Retail_Sales_Analyis[[#This Row],[Total_Price]]</f>
        <v>-230.31999999999971</v>
      </c>
      <c r="S108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89" spans="1:19" x14ac:dyDescent="0.25">
      <c r="A1089" s="1" t="s">
        <v>1894</v>
      </c>
      <c r="B1089" s="2">
        <v>45319</v>
      </c>
      <c r="C1089" s="1" t="s">
        <v>36</v>
      </c>
      <c r="D1089" s="1" t="s">
        <v>49</v>
      </c>
      <c r="E1089" s="1" t="s">
        <v>204</v>
      </c>
      <c r="F1089" s="1" t="s">
        <v>84</v>
      </c>
      <c r="G1089" s="1" t="s">
        <v>38</v>
      </c>
      <c r="H1089" s="1" t="s">
        <v>39</v>
      </c>
      <c r="I1089" s="1">
        <v>152.41</v>
      </c>
      <c r="J1089" s="1">
        <v>9</v>
      </c>
      <c r="K1089" s="1">
        <v>1371.69</v>
      </c>
      <c r="L1089" s="1">
        <v>15</v>
      </c>
      <c r="M1089" s="1">
        <v>205.75</v>
      </c>
      <c r="N1089" s="1">
        <v>1165.94</v>
      </c>
      <c r="O1089" s="1" t="s">
        <v>46</v>
      </c>
      <c r="P1089" s="1" t="s">
        <v>1469</v>
      </c>
      <c r="Q1089" s="1">
        <v>2</v>
      </c>
      <c r="R1089" s="1">
        <f>Retail_Sales_Analyis[[#This Row],[Final_Price]]-Retail_Sales_Analyis[[#This Row],[Total_Price]]</f>
        <v>-205.75</v>
      </c>
      <c r="S10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90" spans="1:19" x14ac:dyDescent="0.25">
      <c r="A1090" s="1" t="s">
        <v>1895</v>
      </c>
      <c r="B1090" s="2">
        <v>45388</v>
      </c>
      <c r="C1090" s="1" t="s">
        <v>54</v>
      </c>
      <c r="D1090" s="1" t="s">
        <v>19</v>
      </c>
      <c r="E1090" s="1" t="s">
        <v>174</v>
      </c>
      <c r="F1090" s="1" t="s">
        <v>21</v>
      </c>
      <c r="G1090" s="1" t="s">
        <v>169</v>
      </c>
      <c r="H1090" s="1" t="s">
        <v>208</v>
      </c>
      <c r="I1090" s="1">
        <v>1206.2</v>
      </c>
      <c r="J1090" s="1">
        <v>3</v>
      </c>
      <c r="K1090" s="1">
        <v>3618.6</v>
      </c>
      <c r="L1090" s="1">
        <v>0</v>
      </c>
      <c r="M1090" s="1">
        <v>0</v>
      </c>
      <c r="N1090" s="1">
        <v>3618.6</v>
      </c>
      <c r="O1090" s="1" t="s">
        <v>33</v>
      </c>
      <c r="P1090" s="1" t="s">
        <v>1407</v>
      </c>
      <c r="Q1090" s="1">
        <v>2</v>
      </c>
      <c r="R1090" s="1">
        <f>Retail_Sales_Analyis[[#This Row],[Final_Price]]-Retail_Sales_Analyis[[#This Row],[Total_Price]]</f>
        <v>0</v>
      </c>
      <c r="S10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91" spans="1:19" x14ac:dyDescent="0.25">
      <c r="A1091" s="1" t="s">
        <v>1896</v>
      </c>
      <c r="B1091" s="2">
        <v>45557</v>
      </c>
      <c r="C1091" s="1" t="s">
        <v>116</v>
      </c>
      <c r="D1091" s="1" t="s">
        <v>49</v>
      </c>
      <c r="E1091" s="1" t="s">
        <v>125</v>
      </c>
      <c r="F1091" s="1" t="s">
        <v>30</v>
      </c>
      <c r="G1091" s="1" t="s">
        <v>85</v>
      </c>
      <c r="H1091" s="1" t="s">
        <v>86</v>
      </c>
      <c r="I1091" s="1">
        <v>2564</v>
      </c>
      <c r="J1091" s="1">
        <v>4</v>
      </c>
      <c r="K1091" s="1">
        <v>10256</v>
      </c>
      <c r="L1091" s="1">
        <v>0</v>
      </c>
      <c r="M1091" s="1">
        <v>0</v>
      </c>
      <c r="N1091" s="1">
        <v>10256</v>
      </c>
      <c r="O1091" s="1" t="s">
        <v>46</v>
      </c>
      <c r="P1091" s="1" t="s">
        <v>629</v>
      </c>
      <c r="Q1091" s="1">
        <v>1</v>
      </c>
      <c r="R1091" s="1">
        <f>Retail_Sales_Analyis[[#This Row],[Final_Price]]-Retail_Sales_Analyis[[#This Row],[Total_Price]]</f>
        <v>0</v>
      </c>
      <c r="S10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92" spans="1:19" x14ac:dyDescent="0.25">
      <c r="A1092" s="1" t="s">
        <v>1897</v>
      </c>
      <c r="B1092" s="2">
        <v>45477</v>
      </c>
      <c r="C1092" s="1" t="s">
        <v>195</v>
      </c>
      <c r="D1092" s="1" t="s">
        <v>67</v>
      </c>
      <c r="E1092" s="1" t="s">
        <v>312</v>
      </c>
      <c r="F1092" s="1" t="s">
        <v>21</v>
      </c>
      <c r="G1092" s="1" t="s">
        <v>22</v>
      </c>
      <c r="H1092" s="1" t="s">
        <v>133</v>
      </c>
      <c r="I1092" s="1">
        <v>780.78</v>
      </c>
      <c r="J1092" s="1">
        <v>10</v>
      </c>
      <c r="K1092" s="1">
        <v>7807.8</v>
      </c>
      <c r="L1092" s="1">
        <v>15</v>
      </c>
      <c r="M1092" s="1">
        <v>1171.17</v>
      </c>
      <c r="N1092" s="1">
        <v>6636.63</v>
      </c>
      <c r="O1092" s="1" t="s">
        <v>64</v>
      </c>
      <c r="P1092" s="1" t="s">
        <v>1898</v>
      </c>
      <c r="Q1092" s="1">
        <v>2</v>
      </c>
      <c r="R1092" s="1">
        <f>Retail_Sales_Analyis[[#This Row],[Final_Price]]-Retail_Sales_Analyis[[#This Row],[Total_Price]]</f>
        <v>-1171.17</v>
      </c>
      <c r="S10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93" spans="1:19" x14ac:dyDescent="0.25">
      <c r="A1093" s="1" t="s">
        <v>1899</v>
      </c>
      <c r="B1093" s="2">
        <v>45610</v>
      </c>
      <c r="C1093" s="1" t="s">
        <v>18</v>
      </c>
      <c r="D1093" s="1" t="s">
        <v>67</v>
      </c>
      <c r="E1093" s="1" t="s">
        <v>542</v>
      </c>
      <c r="F1093" s="1" t="s">
        <v>84</v>
      </c>
      <c r="G1093" s="1" t="s">
        <v>38</v>
      </c>
      <c r="H1093" s="1" t="s">
        <v>422</v>
      </c>
      <c r="I1093" s="1">
        <v>107.54</v>
      </c>
      <c r="J1093" s="1">
        <v>2</v>
      </c>
      <c r="K1093" s="1">
        <v>215.08</v>
      </c>
      <c r="L1093" s="1">
        <v>10</v>
      </c>
      <c r="M1093" s="1">
        <v>21.51</v>
      </c>
      <c r="N1093" s="1">
        <v>193.57</v>
      </c>
      <c r="O1093" s="1" t="s">
        <v>46</v>
      </c>
      <c r="P1093" s="1" t="s">
        <v>1900</v>
      </c>
      <c r="Q1093" s="1">
        <v>5</v>
      </c>
      <c r="R1093" s="1">
        <f>Retail_Sales_Analyis[[#This Row],[Final_Price]]-Retail_Sales_Analyis[[#This Row],[Total_Price]]</f>
        <v>-21.510000000000019</v>
      </c>
      <c r="S10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94" spans="1:19" x14ac:dyDescent="0.25">
      <c r="A1094" s="1" t="s">
        <v>1901</v>
      </c>
      <c r="B1094" s="2">
        <v>45547</v>
      </c>
      <c r="C1094" s="1" t="s">
        <v>116</v>
      </c>
      <c r="D1094" s="1" t="s">
        <v>67</v>
      </c>
      <c r="E1094" s="1" t="s">
        <v>107</v>
      </c>
      <c r="F1094" s="1" t="s">
        <v>37</v>
      </c>
      <c r="G1094" s="1" t="s">
        <v>57</v>
      </c>
      <c r="H1094" s="1" t="s">
        <v>58</v>
      </c>
      <c r="I1094" s="1">
        <v>1036.7</v>
      </c>
      <c r="J1094" s="1">
        <v>2</v>
      </c>
      <c r="K1094" s="1">
        <v>2073.4</v>
      </c>
      <c r="L1094" s="1">
        <v>10</v>
      </c>
      <c r="M1094" s="1">
        <v>207.34</v>
      </c>
      <c r="N1094" s="1">
        <v>1866.06</v>
      </c>
      <c r="O1094" s="1" t="s">
        <v>80</v>
      </c>
      <c r="P1094" s="1" t="s">
        <v>1024</v>
      </c>
      <c r="Q1094" s="1">
        <v>4</v>
      </c>
      <c r="R1094" s="1">
        <f>Retail_Sales_Analyis[[#This Row],[Final_Price]]-Retail_Sales_Analyis[[#This Row],[Total_Price]]</f>
        <v>-207.34000000000015</v>
      </c>
      <c r="S10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95" spans="1:19" x14ac:dyDescent="0.25">
      <c r="A1095" s="1" t="s">
        <v>1902</v>
      </c>
      <c r="B1095" s="2">
        <v>45612</v>
      </c>
      <c r="C1095" s="1" t="s">
        <v>18</v>
      </c>
      <c r="D1095" s="1" t="s">
        <v>19</v>
      </c>
      <c r="E1095" s="1" t="s">
        <v>328</v>
      </c>
      <c r="F1095" s="1" t="s">
        <v>69</v>
      </c>
      <c r="G1095" s="1" t="s">
        <v>78</v>
      </c>
      <c r="H1095" s="1" t="s">
        <v>323</v>
      </c>
      <c r="I1095" s="1">
        <v>577.27</v>
      </c>
      <c r="J1095" s="1">
        <v>1</v>
      </c>
      <c r="K1095" s="1">
        <v>577.27</v>
      </c>
      <c r="L1095" s="1">
        <v>5</v>
      </c>
      <c r="M1095" s="1">
        <v>28.86</v>
      </c>
      <c r="N1095" s="1">
        <v>548.41</v>
      </c>
      <c r="O1095" s="1" t="s">
        <v>46</v>
      </c>
      <c r="P1095" s="1" t="s">
        <v>639</v>
      </c>
      <c r="Q1095" s="1">
        <v>1</v>
      </c>
      <c r="R1095" s="1">
        <f>Retail_Sales_Analyis[[#This Row],[Final_Price]]-Retail_Sales_Analyis[[#This Row],[Total_Price]]</f>
        <v>-28.860000000000014</v>
      </c>
      <c r="S10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096" spans="1:19" x14ac:dyDescent="0.25">
      <c r="A1096" s="1" t="s">
        <v>1903</v>
      </c>
      <c r="B1096" s="2">
        <v>45518</v>
      </c>
      <c r="C1096" s="1" t="s">
        <v>93</v>
      </c>
      <c r="D1096" s="1" t="s">
        <v>55</v>
      </c>
      <c r="E1096" s="1" t="s">
        <v>204</v>
      </c>
      <c r="F1096" s="1" t="s">
        <v>84</v>
      </c>
      <c r="G1096" s="1" t="s">
        <v>85</v>
      </c>
      <c r="H1096" s="1" t="s">
        <v>86</v>
      </c>
      <c r="I1096" s="1">
        <v>4033.84</v>
      </c>
      <c r="J1096" s="1">
        <v>4</v>
      </c>
      <c r="K1096" s="1">
        <v>16135.36</v>
      </c>
      <c r="L1096" s="1">
        <v>10</v>
      </c>
      <c r="M1096" s="1">
        <v>1613.54</v>
      </c>
      <c r="N1096" s="1">
        <v>14521.82</v>
      </c>
      <c r="O1096" s="1" t="s">
        <v>24</v>
      </c>
      <c r="P1096" s="1" t="s">
        <v>1324</v>
      </c>
      <c r="Q1096" s="1">
        <v>1</v>
      </c>
      <c r="R1096" s="1">
        <f>Retail_Sales_Analyis[[#This Row],[Final_Price]]-Retail_Sales_Analyis[[#This Row],[Total_Price]]</f>
        <v>-1613.5400000000009</v>
      </c>
      <c r="S10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097" spans="1:19" x14ac:dyDescent="0.25">
      <c r="A1097" s="1" t="s">
        <v>1904</v>
      </c>
      <c r="B1097" s="2">
        <v>45318</v>
      </c>
      <c r="C1097" s="1" t="s">
        <v>36</v>
      </c>
      <c r="D1097" s="1" t="s">
        <v>19</v>
      </c>
      <c r="E1097" s="1" t="s">
        <v>111</v>
      </c>
      <c r="F1097" s="1" t="s">
        <v>37</v>
      </c>
      <c r="G1097" s="1" t="s">
        <v>78</v>
      </c>
      <c r="H1097" s="1" t="s">
        <v>146</v>
      </c>
      <c r="I1097" s="1">
        <v>541.21</v>
      </c>
      <c r="J1097" s="1">
        <v>8</v>
      </c>
      <c r="K1097" s="1">
        <v>4329.68</v>
      </c>
      <c r="L1097" s="1">
        <v>20</v>
      </c>
      <c r="M1097" s="1">
        <v>865.94</v>
      </c>
      <c r="N1097" s="1">
        <v>3463.74</v>
      </c>
      <c r="O1097" s="1" t="s">
        <v>33</v>
      </c>
      <c r="P1097" s="1" t="s">
        <v>1269</v>
      </c>
      <c r="Q1097" s="1">
        <v>4</v>
      </c>
      <c r="R1097" s="1">
        <f>Retail_Sales_Analyis[[#This Row],[Final_Price]]-Retail_Sales_Analyis[[#This Row],[Total_Price]]</f>
        <v>-865.94000000000051</v>
      </c>
      <c r="S10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098" spans="1:19" x14ac:dyDescent="0.25">
      <c r="A1098" s="1" t="s">
        <v>1905</v>
      </c>
      <c r="B1098" s="2">
        <v>45396</v>
      </c>
      <c r="C1098" s="1" t="s">
        <v>54</v>
      </c>
      <c r="D1098" s="1" t="s">
        <v>49</v>
      </c>
      <c r="E1098" s="1" t="s">
        <v>411</v>
      </c>
      <c r="F1098" s="1" t="s">
        <v>37</v>
      </c>
      <c r="G1098" s="1" t="s">
        <v>38</v>
      </c>
      <c r="H1098" s="1" t="s">
        <v>422</v>
      </c>
      <c r="I1098" s="1">
        <v>733.31</v>
      </c>
      <c r="J1098" s="1">
        <v>9</v>
      </c>
      <c r="K1098" s="1">
        <v>6599.79</v>
      </c>
      <c r="L1098" s="1">
        <v>0</v>
      </c>
      <c r="M1098" s="1">
        <v>0</v>
      </c>
      <c r="N1098" s="1">
        <v>6599.79</v>
      </c>
      <c r="O1098" s="1" t="s">
        <v>33</v>
      </c>
      <c r="P1098" s="1" t="s">
        <v>1906</v>
      </c>
      <c r="Q1098" s="1">
        <v>3</v>
      </c>
      <c r="R1098" s="1">
        <f>Retail_Sales_Analyis[[#This Row],[Final_Price]]-Retail_Sales_Analyis[[#This Row],[Total_Price]]</f>
        <v>0</v>
      </c>
      <c r="S10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099" spans="1:19" x14ac:dyDescent="0.25">
      <c r="A1099" s="1" t="s">
        <v>1907</v>
      </c>
      <c r="B1099" s="2">
        <v>45428</v>
      </c>
      <c r="C1099" s="1" t="s">
        <v>42</v>
      </c>
      <c r="D1099" s="1" t="s">
        <v>67</v>
      </c>
      <c r="E1099" s="1" t="s">
        <v>104</v>
      </c>
      <c r="F1099" s="1" t="s">
        <v>30</v>
      </c>
      <c r="G1099" s="1" t="s">
        <v>169</v>
      </c>
      <c r="H1099" s="1" t="s">
        <v>348</v>
      </c>
      <c r="I1099" s="1">
        <v>591.29</v>
      </c>
      <c r="J1099" s="1">
        <v>8</v>
      </c>
      <c r="K1099" s="1">
        <v>4730.32</v>
      </c>
      <c r="L1099" s="1">
        <v>0</v>
      </c>
      <c r="M1099" s="1">
        <v>0</v>
      </c>
      <c r="N1099" s="1">
        <v>4730.32</v>
      </c>
      <c r="O1099" s="1" t="s">
        <v>80</v>
      </c>
      <c r="P1099" s="1" t="s">
        <v>1908</v>
      </c>
      <c r="Q1099" s="1">
        <v>4</v>
      </c>
      <c r="R1099" s="1">
        <f>Retail_Sales_Analyis[[#This Row],[Final_Price]]-Retail_Sales_Analyis[[#This Row],[Total_Price]]</f>
        <v>0</v>
      </c>
      <c r="S10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0" spans="1:19" x14ac:dyDescent="0.25">
      <c r="A1100" s="1" t="s">
        <v>1909</v>
      </c>
      <c r="B1100" s="2">
        <v>45573</v>
      </c>
      <c r="C1100" s="1" t="s">
        <v>76</v>
      </c>
      <c r="D1100" s="1" t="s">
        <v>28</v>
      </c>
      <c r="E1100" s="1" t="s">
        <v>104</v>
      </c>
      <c r="F1100" s="1" t="s">
        <v>69</v>
      </c>
      <c r="G1100" s="1" t="s">
        <v>31</v>
      </c>
      <c r="H1100" s="1" t="s">
        <v>45</v>
      </c>
      <c r="I1100" s="1">
        <v>322.99</v>
      </c>
      <c r="J1100" s="1">
        <v>10</v>
      </c>
      <c r="K1100" s="1">
        <v>3229.9</v>
      </c>
      <c r="L1100" s="1">
        <v>5</v>
      </c>
      <c r="M1100" s="1">
        <v>161.5</v>
      </c>
      <c r="N1100" s="1">
        <v>3068.4</v>
      </c>
      <c r="O1100" s="1" t="s">
        <v>80</v>
      </c>
      <c r="P1100" s="1" t="s">
        <v>745</v>
      </c>
      <c r="Q1100" s="1">
        <v>5</v>
      </c>
      <c r="R1100" s="1">
        <f>Retail_Sales_Analyis[[#This Row],[Final_Price]]-Retail_Sales_Analyis[[#This Row],[Total_Price]]</f>
        <v>-161.5</v>
      </c>
      <c r="S11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01" spans="1:19" x14ac:dyDescent="0.25">
      <c r="A1101" s="1" t="s">
        <v>1910</v>
      </c>
      <c r="B1101" s="2">
        <v>45359</v>
      </c>
      <c r="C1101" s="1" t="s">
        <v>61</v>
      </c>
      <c r="D1101" s="1" t="s">
        <v>144</v>
      </c>
      <c r="E1101" s="1" t="s">
        <v>174</v>
      </c>
      <c r="F1101" s="1" t="s">
        <v>21</v>
      </c>
      <c r="G1101" s="1" t="s">
        <v>169</v>
      </c>
      <c r="H1101" s="1" t="s">
        <v>170</v>
      </c>
      <c r="I1101" s="1">
        <v>1305.8499999999999</v>
      </c>
      <c r="J1101" s="1">
        <v>2</v>
      </c>
      <c r="K1101" s="1">
        <v>2611.6999999999998</v>
      </c>
      <c r="L1101" s="1">
        <v>10</v>
      </c>
      <c r="M1101" s="1">
        <v>261.17</v>
      </c>
      <c r="N1101" s="1">
        <v>2350.5300000000002</v>
      </c>
      <c r="O1101" s="1" t="s">
        <v>24</v>
      </c>
      <c r="P1101" s="1" t="s">
        <v>401</v>
      </c>
      <c r="Q1101" s="1">
        <v>1</v>
      </c>
      <c r="R1101" s="1">
        <f>Retail_Sales_Analyis[[#This Row],[Final_Price]]-Retail_Sales_Analyis[[#This Row],[Total_Price]]</f>
        <v>-261.16999999999962</v>
      </c>
      <c r="S11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02" spans="1:19" x14ac:dyDescent="0.25">
      <c r="A1102" s="1" t="s">
        <v>1911</v>
      </c>
      <c r="B1102" s="2">
        <v>45439</v>
      </c>
      <c r="C1102" s="1" t="s">
        <v>42</v>
      </c>
      <c r="D1102" s="1" t="s">
        <v>43</v>
      </c>
      <c r="E1102" s="1" t="s">
        <v>196</v>
      </c>
      <c r="F1102" s="1" t="s">
        <v>84</v>
      </c>
      <c r="G1102" s="1" t="s">
        <v>22</v>
      </c>
      <c r="H1102" s="1" t="s">
        <v>51</v>
      </c>
      <c r="I1102" s="1">
        <v>774.63</v>
      </c>
      <c r="J1102" s="1">
        <v>1</v>
      </c>
      <c r="K1102" s="1">
        <v>774.63</v>
      </c>
      <c r="L1102" s="1">
        <v>0</v>
      </c>
      <c r="M1102" s="1">
        <v>0</v>
      </c>
      <c r="N1102" s="1">
        <v>774.63</v>
      </c>
      <c r="O1102" s="1" t="s">
        <v>33</v>
      </c>
      <c r="P1102" s="1" t="s">
        <v>425</v>
      </c>
      <c r="Q1102" s="1">
        <v>4</v>
      </c>
      <c r="R1102" s="1">
        <f>Retail_Sales_Analyis[[#This Row],[Final_Price]]-Retail_Sales_Analyis[[#This Row],[Total_Price]]</f>
        <v>0</v>
      </c>
      <c r="S11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3" spans="1:19" x14ac:dyDescent="0.25">
      <c r="A1103" s="1" t="s">
        <v>1912</v>
      </c>
      <c r="B1103" s="2">
        <v>45516</v>
      </c>
      <c r="C1103" s="1" t="s">
        <v>93</v>
      </c>
      <c r="D1103" s="1" t="s">
        <v>43</v>
      </c>
      <c r="E1103" s="1" t="s">
        <v>337</v>
      </c>
      <c r="F1103" s="1" t="s">
        <v>30</v>
      </c>
      <c r="G1103" s="1" t="s">
        <v>22</v>
      </c>
      <c r="H1103" s="1" t="s">
        <v>51</v>
      </c>
      <c r="I1103" s="1">
        <v>735.25</v>
      </c>
      <c r="J1103" s="1">
        <v>1</v>
      </c>
      <c r="K1103" s="1">
        <v>735.25</v>
      </c>
      <c r="L1103" s="1">
        <v>0</v>
      </c>
      <c r="M1103" s="1">
        <v>0</v>
      </c>
      <c r="N1103" s="1">
        <v>735.25</v>
      </c>
      <c r="O1103" s="1" t="s">
        <v>80</v>
      </c>
      <c r="P1103" s="1" t="s">
        <v>1913</v>
      </c>
      <c r="Q1103" s="1">
        <v>2</v>
      </c>
      <c r="R1103" s="1">
        <f>Retail_Sales_Analyis[[#This Row],[Final_Price]]-Retail_Sales_Analyis[[#This Row],[Total_Price]]</f>
        <v>0</v>
      </c>
      <c r="S11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4" spans="1:19" x14ac:dyDescent="0.25">
      <c r="A1104" s="1" t="s">
        <v>1914</v>
      </c>
      <c r="B1104" s="2">
        <v>45649</v>
      </c>
      <c r="C1104" s="1" t="s">
        <v>73</v>
      </c>
      <c r="D1104" s="1" t="s">
        <v>43</v>
      </c>
      <c r="E1104" s="1" t="s">
        <v>285</v>
      </c>
      <c r="F1104" s="1" t="s">
        <v>30</v>
      </c>
      <c r="G1104" s="1" t="s">
        <v>38</v>
      </c>
      <c r="H1104" s="1" t="s">
        <v>108</v>
      </c>
      <c r="I1104" s="1">
        <v>661.33</v>
      </c>
      <c r="J1104" s="1">
        <v>8</v>
      </c>
      <c r="K1104" s="1">
        <v>5290.64</v>
      </c>
      <c r="L1104" s="1">
        <v>20</v>
      </c>
      <c r="M1104" s="1">
        <v>1058.1300000000001</v>
      </c>
      <c r="N1104" s="1">
        <v>4232.51</v>
      </c>
      <c r="O1104" s="1" t="s">
        <v>46</v>
      </c>
      <c r="P1104" s="1" t="s">
        <v>750</v>
      </c>
      <c r="Q1104" s="1">
        <v>3</v>
      </c>
      <c r="R1104" s="1">
        <f>Retail_Sales_Analyis[[#This Row],[Final_Price]]-Retail_Sales_Analyis[[#This Row],[Total_Price]]</f>
        <v>-1058.1300000000001</v>
      </c>
      <c r="S11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05" spans="1:19" x14ac:dyDescent="0.25">
      <c r="A1105" s="1" t="s">
        <v>1915</v>
      </c>
      <c r="B1105" s="2">
        <v>45540</v>
      </c>
      <c r="C1105" s="1" t="s">
        <v>116</v>
      </c>
      <c r="D1105" s="1" t="s">
        <v>67</v>
      </c>
      <c r="E1105" s="1" t="s">
        <v>77</v>
      </c>
      <c r="F1105" s="1" t="s">
        <v>21</v>
      </c>
      <c r="G1105" s="1" t="s">
        <v>57</v>
      </c>
      <c r="H1105" s="1" t="s">
        <v>158</v>
      </c>
      <c r="I1105" s="1">
        <v>1448.82</v>
      </c>
      <c r="J1105" s="1">
        <v>1</v>
      </c>
      <c r="K1105" s="1">
        <v>1448.82</v>
      </c>
      <c r="L1105" s="1">
        <v>0</v>
      </c>
      <c r="M1105" s="1">
        <v>0</v>
      </c>
      <c r="N1105" s="1">
        <v>1448.82</v>
      </c>
      <c r="O1105" s="1" t="s">
        <v>33</v>
      </c>
      <c r="P1105" s="1" t="s">
        <v>1048</v>
      </c>
      <c r="Q1105" s="1">
        <v>3</v>
      </c>
      <c r="R1105" s="1">
        <f>Retail_Sales_Analyis[[#This Row],[Final_Price]]-Retail_Sales_Analyis[[#This Row],[Total_Price]]</f>
        <v>0</v>
      </c>
      <c r="S11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6" spans="1:19" x14ac:dyDescent="0.25">
      <c r="A1106" s="1" t="s">
        <v>1916</v>
      </c>
      <c r="B1106" s="2">
        <v>45354</v>
      </c>
      <c r="C1106" s="1" t="s">
        <v>61</v>
      </c>
      <c r="D1106" s="1" t="s">
        <v>49</v>
      </c>
      <c r="E1106" s="1" t="s">
        <v>62</v>
      </c>
      <c r="F1106" s="1" t="s">
        <v>30</v>
      </c>
      <c r="G1106" s="1" t="s">
        <v>78</v>
      </c>
      <c r="H1106" s="1" t="s">
        <v>136</v>
      </c>
      <c r="I1106" s="1">
        <v>488.99</v>
      </c>
      <c r="J1106" s="1">
        <v>3</v>
      </c>
      <c r="K1106" s="1">
        <v>1466.97</v>
      </c>
      <c r="L1106" s="1">
        <v>20</v>
      </c>
      <c r="M1106" s="1">
        <v>293.39</v>
      </c>
      <c r="N1106" s="1">
        <v>1173.58</v>
      </c>
      <c r="O1106" s="1" t="s">
        <v>33</v>
      </c>
      <c r="P1106" s="1" t="s">
        <v>441</v>
      </c>
      <c r="Q1106" s="1">
        <v>1</v>
      </c>
      <c r="R1106" s="1">
        <f>Retail_Sales_Analyis[[#This Row],[Final_Price]]-Retail_Sales_Analyis[[#This Row],[Total_Price]]</f>
        <v>-293.3900000000001</v>
      </c>
      <c r="S11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07" spans="1:19" x14ac:dyDescent="0.25">
      <c r="A1107" s="1" t="s">
        <v>1917</v>
      </c>
      <c r="B1107" s="2">
        <v>45306</v>
      </c>
      <c r="C1107" s="1" t="s">
        <v>36</v>
      </c>
      <c r="D1107" s="1" t="s">
        <v>43</v>
      </c>
      <c r="E1107" s="1" t="s">
        <v>166</v>
      </c>
      <c r="F1107" s="1" t="s">
        <v>84</v>
      </c>
      <c r="G1107" s="1" t="s">
        <v>57</v>
      </c>
      <c r="H1107" s="1" t="s">
        <v>158</v>
      </c>
      <c r="I1107" s="1">
        <v>2520.31</v>
      </c>
      <c r="J1107" s="1">
        <v>2</v>
      </c>
      <c r="K1107" s="1">
        <v>5040.62</v>
      </c>
      <c r="L1107" s="1">
        <v>15</v>
      </c>
      <c r="M1107" s="1">
        <v>756.09</v>
      </c>
      <c r="N1107" s="1">
        <v>4284.53</v>
      </c>
      <c r="O1107" s="1" t="s">
        <v>24</v>
      </c>
      <c r="P1107" s="1" t="s">
        <v>494</v>
      </c>
      <c r="Q1107" s="1">
        <v>4</v>
      </c>
      <c r="R1107" s="1">
        <f>Retail_Sales_Analyis[[#This Row],[Final_Price]]-Retail_Sales_Analyis[[#This Row],[Total_Price]]</f>
        <v>-756.09000000000015</v>
      </c>
      <c r="S11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08" spans="1:19" x14ac:dyDescent="0.25">
      <c r="A1108" s="1" t="s">
        <v>1918</v>
      </c>
      <c r="B1108" s="2">
        <v>45614</v>
      </c>
      <c r="C1108" s="1" t="s">
        <v>18</v>
      </c>
      <c r="D1108" s="1" t="s">
        <v>43</v>
      </c>
      <c r="E1108" s="1" t="s">
        <v>307</v>
      </c>
      <c r="F1108" s="1" t="s">
        <v>21</v>
      </c>
      <c r="G1108" s="1" t="s">
        <v>85</v>
      </c>
      <c r="H1108" s="1" t="s">
        <v>86</v>
      </c>
      <c r="I1108" s="1">
        <v>1808.6</v>
      </c>
      <c r="J1108" s="1">
        <v>8</v>
      </c>
      <c r="K1108" s="1">
        <v>14468.8</v>
      </c>
      <c r="L1108" s="1">
        <v>0</v>
      </c>
      <c r="M1108" s="1">
        <v>0</v>
      </c>
      <c r="N1108" s="1">
        <v>14468.8</v>
      </c>
      <c r="O1108" s="1" t="s">
        <v>46</v>
      </c>
      <c r="P1108" s="1" t="s">
        <v>1324</v>
      </c>
      <c r="Q1108" s="1">
        <v>4</v>
      </c>
      <c r="R1108" s="1">
        <f>Retail_Sales_Analyis[[#This Row],[Final_Price]]-Retail_Sales_Analyis[[#This Row],[Total_Price]]</f>
        <v>0</v>
      </c>
      <c r="S11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09" spans="1:19" x14ac:dyDescent="0.25">
      <c r="A1109" s="1" t="s">
        <v>1919</v>
      </c>
      <c r="B1109" s="2">
        <v>45603</v>
      </c>
      <c r="C1109" s="1" t="s">
        <v>18</v>
      </c>
      <c r="D1109" s="1" t="s">
        <v>67</v>
      </c>
      <c r="E1109" s="1" t="s">
        <v>168</v>
      </c>
      <c r="F1109" s="1" t="s">
        <v>84</v>
      </c>
      <c r="G1109" s="1" t="s">
        <v>85</v>
      </c>
      <c r="H1109" s="1" t="s">
        <v>180</v>
      </c>
      <c r="I1109" s="1">
        <v>1063.71</v>
      </c>
      <c r="J1109" s="1">
        <v>4</v>
      </c>
      <c r="K1109" s="1">
        <v>4254.84</v>
      </c>
      <c r="L1109" s="1">
        <v>10</v>
      </c>
      <c r="M1109" s="1">
        <v>425.48</v>
      </c>
      <c r="N1109" s="1">
        <v>3829.36</v>
      </c>
      <c r="O1109" s="1" t="s">
        <v>46</v>
      </c>
      <c r="P1109" s="1" t="s">
        <v>155</v>
      </c>
      <c r="Q1109" s="1">
        <v>5</v>
      </c>
      <c r="R1109" s="1">
        <f>Retail_Sales_Analyis[[#This Row],[Final_Price]]-Retail_Sales_Analyis[[#This Row],[Total_Price]]</f>
        <v>-425.48</v>
      </c>
      <c r="S11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10" spans="1:19" x14ac:dyDescent="0.25">
      <c r="A1110" s="1" t="s">
        <v>1920</v>
      </c>
      <c r="B1110" s="2">
        <v>45414</v>
      </c>
      <c r="C1110" s="1" t="s">
        <v>42</v>
      </c>
      <c r="D1110" s="1" t="s">
        <v>67</v>
      </c>
      <c r="E1110" s="1" t="s">
        <v>97</v>
      </c>
      <c r="F1110" s="1" t="s">
        <v>84</v>
      </c>
      <c r="G1110" s="1" t="s">
        <v>85</v>
      </c>
      <c r="H1110" s="1" t="s">
        <v>86</v>
      </c>
      <c r="I1110" s="1">
        <v>3473.88</v>
      </c>
      <c r="J1110" s="1">
        <v>2</v>
      </c>
      <c r="K1110" s="1">
        <v>6947.76</v>
      </c>
      <c r="L1110" s="1">
        <v>0</v>
      </c>
      <c r="M1110" s="1">
        <v>0</v>
      </c>
      <c r="N1110" s="1">
        <v>6947.76</v>
      </c>
      <c r="O1110" s="1" t="s">
        <v>24</v>
      </c>
      <c r="P1110" s="1" t="s">
        <v>387</v>
      </c>
      <c r="Q1110" s="1">
        <v>1</v>
      </c>
      <c r="R1110" s="1">
        <f>Retail_Sales_Analyis[[#This Row],[Final_Price]]-Retail_Sales_Analyis[[#This Row],[Total_Price]]</f>
        <v>0</v>
      </c>
      <c r="S11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1" spans="1:19" x14ac:dyDescent="0.25">
      <c r="A1111" s="1" t="s">
        <v>1921</v>
      </c>
      <c r="B1111" s="2">
        <v>45655</v>
      </c>
      <c r="C1111" s="1" t="s">
        <v>73</v>
      </c>
      <c r="D1111" s="1" t="s">
        <v>49</v>
      </c>
      <c r="E1111" s="1" t="s">
        <v>68</v>
      </c>
      <c r="F1111" s="1" t="s">
        <v>69</v>
      </c>
      <c r="G1111" s="1" t="s">
        <v>22</v>
      </c>
      <c r="H1111" s="1" t="s">
        <v>277</v>
      </c>
      <c r="I1111" s="1">
        <v>316.61</v>
      </c>
      <c r="J1111" s="1">
        <v>6</v>
      </c>
      <c r="K1111" s="1">
        <v>1899.66</v>
      </c>
      <c r="L1111" s="1">
        <v>10</v>
      </c>
      <c r="M1111" s="1">
        <v>189.97</v>
      </c>
      <c r="N1111" s="1">
        <v>1709.69</v>
      </c>
      <c r="O1111" s="1" t="s">
        <v>46</v>
      </c>
      <c r="P1111" s="1" t="s">
        <v>1908</v>
      </c>
      <c r="Q1111" s="1">
        <v>4</v>
      </c>
      <c r="R1111" s="1">
        <f>Retail_Sales_Analyis[[#This Row],[Final_Price]]-Retail_Sales_Analyis[[#This Row],[Total_Price]]</f>
        <v>-189.97000000000003</v>
      </c>
      <c r="S11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12" spans="1:19" x14ac:dyDescent="0.25">
      <c r="A1112" s="1" t="s">
        <v>1922</v>
      </c>
      <c r="B1112" s="2">
        <v>45373</v>
      </c>
      <c r="C1112" s="1" t="s">
        <v>61</v>
      </c>
      <c r="D1112" s="1" t="s">
        <v>144</v>
      </c>
      <c r="E1112" s="1" t="s">
        <v>342</v>
      </c>
      <c r="F1112" s="1" t="s">
        <v>21</v>
      </c>
      <c r="G1112" s="1" t="s">
        <v>38</v>
      </c>
      <c r="H1112" s="1" t="s">
        <v>70</v>
      </c>
      <c r="I1112" s="1">
        <v>499.07</v>
      </c>
      <c r="J1112" s="1">
        <v>2</v>
      </c>
      <c r="K1112" s="1">
        <v>998.14</v>
      </c>
      <c r="L1112" s="1">
        <v>0</v>
      </c>
      <c r="M1112" s="1">
        <v>0</v>
      </c>
      <c r="N1112" s="1">
        <v>998.14</v>
      </c>
      <c r="O1112" s="1" t="s">
        <v>64</v>
      </c>
      <c r="P1112" s="1" t="s">
        <v>1923</v>
      </c>
      <c r="Q1112" s="1">
        <v>4</v>
      </c>
      <c r="R1112" s="1">
        <f>Retail_Sales_Analyis[[#This Row],[Final_Price]]-Retail_Sales_Analyis[[#This Row],[Total_Price]]</f>
        <v>0</v>
      </c>
      <c r="S11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3" spans="1:19" x14ac:dyDescent="0.25">
      <c r="A1113" s="1" t="s">
        <v>1924</v>
      </c>
      <c r="B1113" s="2">
        <v>45451</v>
      </c>
      <c r="C1113" s="1" t="s">
        <v>173</v>
      </c>
      <c r="D1113" s="1" t="s">
        <v>19</v>
      </c>
      <c r="E1113" s="1" t="s">
        <v>125</v>
      </c>
      <c r="F1113" s="1" t="s">
        <v>69</v>
      </c>
      <c r="G1113" s="1" t="s">
        <v>85</v>
      </c>
      <c r="H1113" s="1" t="s">
        <v>180</v>
      </c>
      <c r="I1113" s="1">
        <v>1105.44</v>
      </c>
      <c r="J1113" s="1">
        <v>4</v>
      </c>
      <c r="K1113" s="1">
        <v>4421.76</v>
      </c>
      <c r="L1113" s="1">
        <v>20</v>
      </c>
      <c r="M1113" s="1">
        <v>884.35</v>
      </c>
      <c r="N1113" s="1">
        <v>3537.41</v>
      </c>
      <c r="O1113" s="1" t="s">
        <v>64</v>
      </c>
      <c r="P1113" s="1" t="s">
        <v>576</v>
      </c>
      <c r="Q1113" s="1">
        <v>2</v>
      </c>
      <c r="R1113" s="1">
        <f>Retail_Sales_Analyis[[#This Row],[Final_Price]]-Retail_Sales_Analyis[[#This Row],[Total_Price]]</f>
        <v>-884.35000000000036</v>
      </c>
      <c r="S11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14" spans="1:19" x14ac:dyDescent="0.25">
      <c r="A1114" s="1" t="s">
        <v>1925</v>
      </c>
      <c r="B1114" s="2">
        <v>45574</v>
      </c>
      <c r="C1114" s="1" t="s">
        <v>76</v>
      </c>
      <c r="D1114" s="1" t="s">
        <v>55</v>
      </c>
      <c r="E1114" s="1" t="s">
        <v>312</v>
      </c>
      <c r="F1114" s="1" t="s">
        <v>69</v>
      </c>
      <c r="G1114" s="1" t="s">
        <v>57</v>
      </c>
      <c r="H1114" s="1" t="s">
        <v>101</v>
      </c>
      <c r="I1114" s="1">
        <v>234.77</v>
      </c>
      <c r="J1114" s="1">
        <v>4</v>
      </c>
      <c r="K1114" s="1">
        <v>939.08</v>
      </c>
      <c r="L1114" s="1">
        <v>0</v>
      </c>
      <c r="M1114" s="1">
        <v>0</v>
      </c>
      <c r="N1114" s="1">
        <v>939.08</v>
      </c>
      <c r="O1114" s="1" t="s">
        <v>80</v>
      </c>
      <c r="P1114" s="1" t="s">
        <v>1926</v>
      </c>
      <c r="Q1114" s="1">
        <v>4</v>
      </c>
      <c r="R1114" s="1">
        <f>Retail_Sales_Analyis[[#This Row],[Final_Price]]-Retail_Sales_Analyis[[#This Row],[Total_Price]]</f>
        <v>0</v>
      </c>
      <c r="S11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5" spans="1:19" x14ac:dyDescent="0.25">
      <c r="A1115" s="1" t="s">
        <v>1927</v>
      </c>
      <c r="B1115" s="2">
        <v>45299</v>
      </c>
      <c r="C1115" s="1" t="s">
        <v>36</v>
      </c>
      <c r="D1115" s="1" t="s">
        <v>43</v>
      </c>
      <c r="E1115" s="1" t="s">
        <v>121</v>
      </c>
      <c r="F1115" s="1" t="s">
        <v>30</v>
      </c>
      <c r="G1115" s="1" t="s">
        <v>57</v>
      </c>
      <c r="H1115" s="1" t="s">
        <v>58</v>
      </c>
      <c r="I1115" s="1">
        <v>720.96</v>
      </c>
      <c r="J1115" s="1">
        <v>9</v>
      </c>
      <c r="K1115" s="1">
        <v>6488.64</v>
      </c>
      <c r="L1115" s="1">
        <v>10</v>
      </c>
      <c r="M1115" s="1">
        <v>648.86</v>
      </c>
      <c r="N1115" s="1">
        <v>5839.78</v>
      </c>
      <c r="O1115" s="1" t="s">
        <v>33</v>
      </c>
      <c r="P1115" s="1" t="s">
        <v>1617</v>
      </c>
      <c r="Q1115" s="1">
        <v>5</v>
      </c>
      <c r="R1115" s="1">
        <f>Retail_Sales_Analyis[[#This Row],[Final_Price]]-Retail_Sales_Analyis[[#This Row],[Total_Price]]</f>
        <v>-648.86000000000058</v>
      </c>
      <c r="S11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16" spans="1:19" x14ac:dyDescent="0.25">
      <c r="A1116" s="1" t="s">
        <v>1928</v>
      </c>
      <c r="B1116" s="2">
        <v>45574</v>
      </c>
      <c r="C1116" s="1" t="s">
        <v>76</v>
      </c>
      <c r="D1116" s="1" t="s">
        <v>55</v>
      </c>
      <c r="E1116" s="1" t="s">
        <v>411</v>
      </c>
      <c r="F1116" s="1" t="s">
        <v>37</v>
      </c>
      <c r="G1116" s="1" t="s">
        <v>78</v>
      </c>
      <c r="H1116" s="1" t="s">
        <v>323</v>
      </c>
      <c r="I1116" s="1">
        <v>344.09</v>
      </c>
      <c r="J1116" s="1">
        <v>6</v>
      </c>
      <c r="K1116" s="1">
        <v>2064.54</v>
      </c>
      <c r="L1116" s="1">
        <v>0</v>
      </c>
      <c r="M1116" s="1">
        <v>0</v>
      </c>
      <c r="N1116" s="1">
        <v>2064.54</v>
      </c>
      <c r="O1116" s="1" t="s">
        <v>46</v>
      </c>
      <c r="P1116" s="1" t="s">
        <v>1929</v>
      </c>
      <c r="Q1116" s="1">
        <v>5</v>
      </c>
      <c r="R1116" s="1">
        <f>Retail_Sales_Analyis[[#This Row],[Final_Price]]-Retail_Sales_Analyis[[#This Row],[Total_Price]]</f>
        <v>0</v>
      </c>
      <c r="S11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7" spans="1:19" x14ac:dyDescent="0.25">
      <c r="A1117" s="1" t="s">
        <v>1930</v>
      </c>
      <c r="B1117" s="2">
        <v>45500</v>
      </c>
      <c r="C1117" s="1" t="s">
        <v>195</v>
      </c>
      <c r="D1117" s="1" t="s">
        <v>19</v>
      </c>
      <c r="E1117" s="1" t="s">
        <v>68</v>
      </c>
      <c r="F1117" s="1" t="s">
        <v>37</v>
      </c>
      <c r="G1117" s="1" t="s">
        <v>85</v>
      </c>
      <c r="H1117" s="1" t="s">
        <v>180</v>
      </c>
      <c r="I1117" s="1">
        <v>4439.78</v>
      </c>
      <c r="J1117" s="1">
        <v>4</v>
      </c>
      <c r="K1117" s="1">
        <v>17759.12</v>
      </c>
      <c r="L1117" s="1">
        <v>20</v>
      </c>
      <c r="M1117" s="1">
        <v>3551.82</v>
      </c>
      <c r="N1117" s="1">
        <v>14207.3</v>
      </c>
      <c r="O1117" s="1" t="s">
        <v>80</v>
      </c>
      <c r="P1117" s="1" t="s">
        <v>1931</v>
      </c>
      <c r="Q1117" s="1">
        <v>5</v>
      </c>
      <c r="R1117" s="1">
        <f>Retail_Sales_Analyis[[#This Row],[Final_Price]]-Retail_Sales_Analyis[[#This Row],[Total_Price]]</f>
        <v>-3551.8199999999997</v>
      </c>
      <c r="S11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18" spans="1:19" x14ac:dyDescent="0.25">
      <c r="A1118" s="1" t="s">
        <v>1932</v>
      </c>
      <c r="B1118" s="2">
        <v>45339</v>
      </c>
      <c r="C1118" s="1" t="s">
        <v>27</v>
      </c>
      <c r="D1118" s="1" t="s">
        <v>19</v>
      </c>
      <c r="E1118" s="1" t="s">
        <v>125</v>
      </c>
      <c r="F1118" s="1" t="s">
        <v>69</v>
      </c>
      <c r="G1118" s="1" t="s">
        <v>31</v>
      </c>
      <c r="H1118" s="1" t="s">
        <v>45</v>
      </c>
      <c r="I1118" s="1">
        <v>191.07</v>
      </c>
      <c r="J1118" s="1">
        <v>10</v>
      </c>
      <c r="K1118" s="1">
        <v>1910.7</v>
      </c>
      <c r="L1118" s="1">
        <v>0</v>
      </c>
      <c r="M1118" s="1">
        <v>0</v>
      </c>
      <c r="N1118" s="1">
        <v>1910.7</v>
      </c>
      <c r="O1118" s="1" t="s">
        <v>46</v>
      </c>
      <c r="P1118" s="1" t="s">
        <v>1570</v>
      </c>
      <c r="Q1118" s="1">
        <v>5</v>
      </c>
      <c r="R1118" s="1">
        <f>Retail_Sales_Analyis[[#This Row],[Final_Price]]-Retail_Sales_Analyis[[#This Row],[Total_Price]]</f>
        <v>0</v>
      </c>
      <c r="S11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19" spans="1:19" x14ac:dyDescent="0.25">
      <c r="A1119" s="1" t="s">
        <v>1933</v>
      </c>
      <c r="B1119" s="2">
        <v>45407</v>
      </c>
      <c r="C1119" s="1" t="s">
        <v>54</v>
      </c>
      <c r="D1119" s="1" t="s">
        <v>67</v>
      </c>
      <c r="E1119" s="1" t="s">
        <v>236</v>
      </c>
      <c r="F1119" s="1" t="s">
        <v>37</v>
      </c>
      <c r="G1119" s="1" t="s">
        <v>112</v>
      </c>
      <c r="H1119" s="1" t="s">
        <v>288</v>
      </c>
      <c r="I1119" s="1">
        <v>1428.21</v>
      </c>
      <c r="J1119" s="1">
        <v>8</v>
      </c>
      <c r="K1119" s="1">
        <v>11425.68</v>
      </c>
      <c r="L1119" s="1">
        <v>10</v>
      </c>
      <c r="M1119" s="1">
        <v>1142.57</v>
      </c>
      <c r="N1119" s="1">
        <v>10283.11</v>
      </c>
      <c r="O1119" s="1" t="s">
        <v>33</v>
      </c>
      <c r="P1119" s="1" t="s">
        <v>59</v>
      </c>
      <c r="Q1119" s="1">
        <v>1</v>
      </c>
      <c r="R1119" s="1">
        <f>Retail_Sales_Analyis[[#This Row],[Final_Price]]-Retail_Sales_Analyis[[#This Row],[Total_Price]]</f>
        <v>-1142.5699999999997</v>
      </c>
      <c r="S11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0" spans="1:19" x14ac:dyDescent="0.25">
      <c r="A1120" s="1" t="s">
        <v>1934</v>
      </c>
      <c r="B1120" s="2">
        <v>45350</v>
      </c>
      <c r="C1120" s="1" t="s">
        <v>27</v>
      </c>
      <c r="D1120" s="1" t="s">
        <v>55</v>
      </c>
      <c r="E1120" s="1" t="s">
        <v>285</v>
      </c>
      <c r="F1120" s="1" t="s">
        <v>30</v>
      </c>
      <c r="G1120" s="1" t="s">
        <v>31</v>
      </c>
      <c r="H1120" s="1" t="s">
        <v>45</v>
      </c>
      <c r="I1120" s="1">
        <v>342.62</v>
      </c>
      <c r="J1120" s="1">
        <v>6</v>
      </c>
      <c r="K1120" s="1">
        <v>2055.7199999999998</v>
      </c>
      <c r="L1120" s="1">
        <v>5</v>
      </c>
      <c r="M1120" s="1">
        <v>102.79</v>
      </c>
      <c r="N1120" s="1">
        <v>1952.93</v>
      </c>
      <c r="O1120" s="1" t="s">
        <v>64</v>
      </c>
      <c r="P1120" s="1" t="s">
        <v>551</v>
      </c>
      <c r="Q1120" s="1">
        <v>1</v>
      </c>
      <c r="R1120" s="1">
        <f>Retail_Sales_Analyis[[#This Row],[Final_Price]]-Retail_Sales_Analyis[[#This Row],[Total_Price]]</f>
        <v>-102.78999999999974</v>
      </c>
      <c r="S11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21" spans="1:19" x14ac:dyDescent="0.25">
      <c r="A1121" s="1" t="s">
        <v>1935</v>
      </c>
      <c r="B1121" s="2">
        <v>45528</v>
      </c>
      <c r="C1121" s="1" t="s">
        <v>93</v>
      </c>
      <c r="D1121" s="1" t="s">
        <v>19</v>
      </c>
      <c r="E1121" s="1" t="s">
        <v>302</v>
      </c>
      <c r="F1121" s="1" t="s">
        <v>21</v>
      </c>
      <c r="G1121" s="1" t="s">
        <v>38</v>
      </c>
      <c r="H1121" s="1" t="s">
        <v>70</v>
      </c>
      <c r="I1121" s="1">
        <v>276.41000000000003</v>
      </c>
      <c r="J1121" s="1">
        <v>1</v>
      </c>
      <c r="K1121" s="1">
        <v>276.41000000000003</v>
      </c>
      <c r="L1121" s="1">
        <v>15</v>
      </c>
      <c r="M1121" s="1">
        <v>41.46</v>
      </c>
      <c r="N1121" s="1">
        <v>234.95</v>
      </c>
      <c r="O1121" s="1" t="s">
        <v>80</v>
      </c>
      <c r="P1121" s="1" t="s">
        <v>482</v>
      </c>
      <c r="Q1121" s="1">
        <v>4</v>
      </c>
      <c r="R1121" s="1">
        <f>Retail_Sales_Analyis[[#This Row],[Final_Price]]-Retail_Sales_Analyis[[#This Row],[Total_Price]]</f>
        <v>-41.460000000000036</v>
      </c>
      <c r="S11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2" spans="1:19" x14ac:dyDescent="0.25">
      <c r="A1122" s="1" t="s">
        <v>1936</v>
      </c>
      <c r="B1122" s="2">
        <v>45352</v>
      </c>
      <c r="C1122" s="1" t="s">
        <v>61</v>
      </c>
      <c r="D1122" s="1" t="s">
        <v>144</v>
      </c>
      <c r="E1122" s="1" t="s">
        <v>213</v>
      </c>
      <c r="F1122" s="1" t="s">
        <v>69</v>
      </c>
      <c r="G1122" s="1" t="s">
        <v>57</v>
      </c>
      <c r="H1122" s="1" t="s">
        <v>58</v>
      </c>
      <c r="I1122" s="1">
        <v>1067.51</v>
      </c>
      <c r="J1122" s="1">
        <v>5</v>
      </c>
      <c r="K1122" s="1">
        <v>5337.55</v>
      </c>
      <c r="L1122" s="1">
        <v>0</v>
      </c>
      <c r="M1122" s="1">
        <v>0</v>
      </c>
      <c r="N1122" s="1">
        <v>5337.55</v>
      </c>
      <c r="O1122" s="1" t="s">
        <v>64</v>
      </c>
      <c r="P1122" s="1" t="s">
        <v>1937</v>
      </c>
      <c r="Q1122" s="1">
        <v>5</v>
      </c>
      <c r="R1122" s="1">
        <f>Retail_Sales_Analyis[[#This Row],[Final_Price]]-Retail_Sales_Analyis[[#This Row],[Total_Price]]</f>
        <v>0</v>
      </c>
      <c r="S11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23" spans="1:19" x14ac:dyDescent="0.25">
      <c r="A1123" s="1" t="s">
        <v>1938</v>
      </c>
      <c r="B1123" s="2">
        <v>45623</v>
      </c>
      <c r="C1123" s="1" t="s">
        <v>18</v>
      </c>
      <c r="D1123" s="1" t="s">
        <v>55</v>
      </c>
      <c r="E1123" s="1" t="s">
        <v>322</v>
      </c>
      <c r="F1123" s="1" t="s">
        <v>37</v>
      </c>
      <c r="G1123" s="1" t="s">
        <v>78</v>
      </c>
      <c r="H1123" s="1" t="s">
        <v>79</v>
      </c>
      <c r="I1123" s="1">
        <v>586.9</v>
      </c>
      <c r="J1123" s="1">
        <v>1</v>
      </c>
      <c r="K1123" s="1">
        <v>586.9</v>
      </c>
      <c r="L1123" s="1">
        <v>15</v>
      </c>
      <c r="M1123" s="1">
        <v>88.03</v>
      </c>
      <c r="N1123" s="1">
        <v>498.87</v>
      </c>
      <c r="O1123" s="1" t="s">
        <v>46</v>
      </c>
      <c r="P1123" s="1" t="s">
        <v>1622</v>
      </c>
      <c r="Q1123" s="1">
        <v>5</v>
      </c>
      <c r="R1123" s="1">
        <f>Retail_Sales_Analyis[[#This Row],[Final_Price]]-Retail_Sales_Analyis[[#This Row],[Total_Price]]</f>
        <v>-88.029999999999973</v>
      </c>
      <c r="S11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4" spans="1:19" x14ac:dyDescent="0.25">
      <c r="A1124" s="1" t="s">
        <v>1939</v>
      </c>
      <c r="B1124" s="2">
        <v>45370</v>
      </c>
      <c r="C1124" s="1" t="s">
        <v>61</v>
      </c>
      <c r="D1124" s="1" t="s">
        <v>28</v>
      </c>
      <c r="E1124" s="1" t="s">
        <v>89</v>
      </c>
      <c r="F1124" s="1" t="s">
        <v>21</v>
      </c>
      <c r="G1124" s="1" t="s">
        <v>169</v>
      </c>
      <c r="H1124" s="1" t="s">
        <v>170</v>
      </c>
      <c r="I1124" s="1">
        <v>796.45</v>
      </c>
      <c r="J1124" s="1">
        <v>3</v>
      </c>
      <c r="K1124" s="1">
        <v>2389.35</v>
      </c>
      <c r="L1124" s="1">
        <v>15</v>
      </c>
      <c r="M1124" s="1">
        <v>358.4</v>
      </c>
      <c r="N1124" s="1">
        <v>2030.95</v>
      </c>
      <c r="O1124" s="1" t="s">
        <v>64</v>
      </c>
      <c r="P1124" s="1" t="s">
        <v>518</v>
      </c>
      <c r="Q1124" s="1">
        <v>2</v>
      </c>
      <c r="R1124" s="1">
        <f>Retail_Sales_Analyis[[#This Row],[Final_Price]]-Retail_Sales_Analyis[[#This Row],[Total_Price]]</f>
        <v>-358.39999999999986</v>
      </c>
      <c r="S11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5" spans="1:19" x14ac:dyDescent="0.25">
      <c r="A1125" s="1" t="s">
        <v>1940</v>
      </c>
      <c r="B1125" s="2">
        <v>45547</v>
      </c>
      <c r="C1125" s="1" t="s">
        <v>116</v>
      </c>
      <c r="D1125" s="1" t="s">
        <v>67</v>
      </c>
      <c r="E1125" s="1" t="s">
        <v>239</v>
      </c>
      <c r="F1125" s="1" t="s">
        <v>37</v>
      </c>
      <c r="G1125" s="1" t="s">
        <v>85</v>
      </c>
      <c r="H1125" s="1" t="s">
        <v>297</v>
      </c>
      <c r="I1125" s="1">
        <v>3597.63</v>
      </c>
      <c r="J1125" s="1">
        <v>8</v>
      </c>
      <c r="K1125" s="1">
        <v>28781.040000000001</v>
      </c>
      <c r="L1125" s="1">
        <v>15</v>
      </c>
      <c r="M1125" s="1">
        <v>4317.16</v>
      </c>
      <c r="N1125" s="1">
        <v>24463.88</v>
      </c>
      <c r="O1125" s="1" t="s">
        <v>24</v>
      </c>
      <c r="P1125" s="1" t="s">
        <v>1428</v>
      </c>
      <c r="Q1125" s="1">
        <v>3</v>
      </c>
      <c r="R1125" s="1">
        <f>Retail_Sales_Analyis[[#This Row],[Final_Price]]-Retail_Sales_Analyis[[#This Row],[Total_Price]]</f>
        <v>-4317.16</v>
      </c>
      <c r="S11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6" spans="1:19" x14ac:dyDescent="0.25">
      <c r="A1126" s="1" t="s">
        <v>1941</v>
      </c>
      <c r="B1126" s="2">
        <v>45441</v>
      </c>
      <c r="C1126" s="1" t="s">
        <v>42</v>
      </c>
      <c r="D1126" s="1" t="s">
        <v>55</v>
      </c>
      <c r="E1126" s="1" t="s">
        <v>168</v>
      </c>
      <c r="F1126" s="1" t="s">
        <v>69</v>
      </c>
      <c r="G1126" s="1" t="s">
        <v>22</v>
      </c>
      <c r="H1126" s="1" t="s">
        <v>187</v>
      </c>
      <c r="I1126" s="1">
        <v>760.74</v>
      </c>
      <c r="J1126" s="1">
        <v>7</v>
      </c>
      <c r="K1126" s="1">
        <v>5325.18</v>
      </c>
      <c r="L1126" s="1">
        <v>20</v>
      </c>
      <c r="M1126" s="1">
        <v>1065.04</v>
      </c>
      <c r="N1126" s="1">
        <v>4260.1400000000003</v>
      </c>
      <c r="O1126" s="1" t="s">
        <v>33</v>
      </c>
      <c r="P1126" s="1" t="s">
        <v>1488</v>
      </c>
      <c r="Q1126" s="1">
        <v>4</v>
      </c>
      <c r="R1126" s="1">
        <f>Retail_Sales_Analyis[[#This Row],[Final_Price]]-Retail_Sales_Analyis[[#This Row],[Total_Price]]</f>
        <v>-1065.04</v>
      </c>
      <c r="S11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27" spans="1:19" x14ac:dyDescent="0.25">
      <c r="A1127" s="1" t="s">
        <v>1942</v>
      </c>
      <c r="B1127" s="2">
        <v>45552</v>
      </c>
      <c r="C1127" s="1" t="s">
        <v>116</v>
      </c>
      <c r="D1127" s="1" t="s">
        <v>28</v>
      </c>
      <c r="E1127" s="1" t="s">
        <v>44</v>
      </c>
      <c r="F1127" s="1" t="s">
        <v>37</v>
      </c>
      <c r="G1127" s="1" t="s">
        <v>78</v>
      </c>
      <c r="H1127" s="1" t="s">
        <v>146</v>
      </c>
      <c r="I1127" s="1">
        <v>193.14</v>
      </c>
      <c r="J1127" s="1">
        <v>6</v>
      </c>
      <c r="K1127" s="1">
        <v>1158.8399999999999</v>
      </c>
      <c r="L1127" s="1">
        <v>0</v>
      </c>
      <c r="M1127" s="1">
        <v>0</v>
      </c>
      <c r="N1127" s="1">
        <v>1158.8399999999999</v>
      </c>
      <c r="O1127" s="1" t="s">
        <v>33</v>
      </c>
      <c r="P1127" s="1" t="s">
        <v>310</v>
      </c>
      <c r="Q1127" s="1">
        <v>3</v>
      </c>
      <c r="R1127" s="1">
        <f>Retail_Sales_Analyis[[#This Row],[Final_Price]]-Retail_Sales_Analyis[[#This Row],[Total_Price]]</f>
        <v>0</v>
      </c>
      <c r="S11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28" spans="1:19" x14ac:dyDescent="0.25">
      <c r="A1128" s="1" t="s">
        <v>1943</v>
      </c>
      <c r="B1128" s="2">
        <v>45653</v>
      </c>
      <c r="C1128" s="1" t="s">
        <v>73</v>
      </c>
      <c r="D1128" s="1" t="s">
        <v>144</v>
      </c>
      <c r="E1128" s="1" t="s">
        <v>312</v>
      </c>
      <c r="F1128" s="1" t="s">
        <v>37</v>
      </c>
      <c r="G1128" s="1" t="s">
        <v>38</v>
      </c>
      <c r="H1128" s="1" t="s">
        <v>108</v>
      </c>
      <c r="I1128" s="1">
        <v>240.43</v>
      </c>
      <c r="J1128" s="1">
        <v>6</v>
      </c>
      <c r="K1128" s="1">
        <v>1442.58</v>
      </c>
      <c r="L1128" s="1">
        <v>15</v>
      </c>
      <c r="M1128" s="1">
        <v>216.39</v>
      </c>
      <c r="N1128" s="1">
        <v>1226.19</v>
      </c>
      <c r="O1128" s="1" t="s">
        <v>24</v>
      </c>
      <c r="P1128" s="1" t="s">
        <v>338</v>
      </c>
      <c r="Q1128" s="1">
        <v>3</v>
      </c>
      <c r="R1128" s="1">
        <f>Retail_Sales_Analyis[[#This Row],[Final_Price]]-Retail_Sales_Analyis[[#This Row],[Total_Price]]</f>
        <v>-216.38999999999987</v>
      </c>
      <c r="S11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29" spans="1:19" x14ac:dyDescent="0.25">
      <c r="A1129" s="1" t="s">
        <v>1944</v>
      </c>
      <c r="B1129" s="2">
        <v>45431</v>
      </c>
      <c r="C1129" s="1" t="s">
        <v>42</v>
      </c>
      <c r="D1129" s="1" t="s">
        <v>49</v>
      </c>
      <c r="E1129" s="1" t="s">
        <v>542</v>
      </c>
      <c r="F1129" s="1" t="s">
        <v>21</v>
      </c>
      <c r="G1129" s="1" t="s">
        <v>38</v>
      </c>
      <c r="H1129" s="1" t="s">
        <v>39</v>
      </c>
      <c r="I1129" s="1">
        <v>715.51</v>
      </c>
      <c r="J1129" s="1">
        <v>1</v>
      </c>
      <c r="K1129" s="1">
        <v>715.51</v>
      </c>
      <c r="L1129" s="1">
        <v>10</v>
      </c>
      <c r="M1129" s="1">
        <v>71.55</v>
      </c>
      <c r="N1129" s="1">
        <v>643.96</v>
      </c>
      <c r="O1129" s="1" t="s">
        <v>24</v>
      </c>
      <c r="P1129" s="1" t="s">
        <v>1296</v>
      </c>
      <c r="Q1129" s="1">
        <v>3</v>
      </c>
      <c r="R1129" s="1">
        <f>Retail_Sales_Analyis[[#This Row],[Final_Price]]-Retail_Sales_Analyis[[#This Row],[Total_Price]]</f>
        <v>-71.549999999999955</v>
      </c>
      <c r="S11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30" spans="1:19" x14ac:dyDescent="0.25">
      <c r="A1130" s="1" t="s">
        <v>1945</v>
      </c>
      <c r="B1130" s="2">
        <v>45504</v>
      </c>
      <c r="C1130" s="1" t="s">
        <v>195</v>
      </c>
      <c r="D1130" s="1" t="s">
        <v>55</v>
      </c>
      <c r="E1130" s="1" t="s">
        <v>307</v>
      </c>
      <c r="F1130" s="1" t="s">
        <v>37</v>
      </c>
      <c r="G1130" s="1" t="s">
        <v>112</v>
      </c>
      <c r="H1130" s="1" t="s">
        <v>223</v>
      </c>
      <c r="I1130" s="1">
        <v>990.29</v>
      </c>
      <c r="J1130" s="1">
        <v>5</v>
      </c>
      <c r="K1130" s="1">
        <v>4951.45</v>
      </c>
      <c r="L1130" s="1">
        <v>0</v>
      </c>
      <c r="M1130" s="1">
        <v>0</v>
      </c>
      <c r="N1130" s="1">
        <v>4951.45</v>
      </c>
      <c r="O1130" s="1" t="s">
        <v>80</v>
      </c>
      <c r="P1130" s="1" t="s">
        <v>289</v>
      </c>
      <c r="Q1130" s="1">
        <v>5</v>
      </c>
      <c r="R1130" s="1">
        <f>Retail_Sales_Analyis[[#This Row],[Final_Price]]-Retail_Sales_Analyis[[#This Row],[Total_Price]]</f>
        <v>0</v>
      </c>
      <c r="S11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31" spans="1:19" x14ac:dyDescent="0.25">
      <c r="A1131" s="1" t="s">
        <v>1946</v>
      </c>
      <c r="B1131" s="2">
        <v>45539</v>
      </c>
      <c r="C1131" s="1" t="s">
        <v>116</v>
      </c>
      <c r="D1131" s="1" t="s">
        <v>55</v>
      </c>
      <c r="E1131" s="1" t="s">
        <v>411</v>
      </c>
      <c r="F1131" s="1" t="s">
        <v>37</v>
      </c>
      <c r="G1131" s="1" t="s">
        <v>85</v>
      </c>
      <c r="H1131" s="1" t="s">
        <v>98</v>
      </c>
      <c r="I1131" s="1">
        <v>3545.93</v>
      </c>
      <c r="J1131" s="1">
        <v>8</v>
      </c>
      <c r="K1131" s="1">
        <v>28367.439999999999</v>
      </c>
      <c r="L1131" s="1">
        <v>0</v>
      </c>
      <c r="M1131" s="1">
        <v>0</v>
      </c>
      <c r="N1131" s="1">
        <v>28367.439999999999</v>
      </c>
      <c r="O1131" s="1" t="s">
        <v>80</v>
      </c>
      <c r="P1131" s="1" t="s">
        <v>461</v>
      </c>
      <c r="Q1131" s="1">
        <v>2</v>
      </c>
      <c r="R1131" s="1">
        <f>Retail_Sales_Analyis[[#This Row],[Final_Price]]-Retail_Sales_Analyis[[#This Row],[Total_Price]]</f>
        <v>0</v>
      </c>
      <c r="S11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32" spans="1:19" x14ac:dyDescent="0.25">
      <c r="A1132" s="1" t="s">
        <v>1947</v>
      </c>
      <c r="B1132" s="2">
        <v>45533</v>
      </c>
      <c r="C1132" s="1" t="s">
        <v>93</v>
      </c>
      <c r="D1132" s="1" t="s">
        <v>67</v>
      </c>
      <c r="E1132" s="1" t="s">
        <v>107</v>
      </c>
      <c r="F1132" s="1" t="s">
        <v>69</v>
      </c>
      <c r="G1132" s="1" t="s">
        <v>85</v>
      </c>
      <c r="H1132" s="1" t="s">
        <v>90</v>
      </c>
      <c r="I1132" s="1">
        <v>2496.67</v>
      </c>
      <c r="J1132" s="1">
        <v>3</v>
      </c>
      <c r="K1132" s="1">
        <v>7490.01</v>
      </c>
      <c r="L1132" s="1">
        <v>5</v>
      </c>
      <c r="M1132" s="1">
        <v>374.5</v>
      </c>
      <c r="N1132" s="1">
        <v>7115.51</v>
      </c>
      <c r="O1132" s="1" t="s">
        <v>64</v>
      </c>
      <c r="P1132" s="1" t="s">
        <v>1948</v>
      </c>
      <c r="Q1132" s="1">
        <v>5</v>
      </c>
      <c r="R1132" s="1">
        <f>Retail_Sales_Analyis[[#This Row],[Final_Price]]-Retail_Sales_Analyis[[#This Row],[Total_Price]]</f>
        <v>-374.5</v>
      </c>
      <c r="S11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33" spans="1:19" x14ac:dyDescent="0.25">
      <c r="A1133" s="1" t="s">
        <v>1949</v>
      </c>
      <c r="B1133" s="2">
        <v>45416</v>
      </c>
      <c r="C1133" s="1" t="s">
        <v>42</v>
      </c>
      <c r="D1133" s="1" t="s">
        <v>19</v>
      </c>
      <c r="E1133" s="1" t="s">
        <v>542</v>
      </c>
      <c r="F1133" s="1" t="s">
        <v>30</v>
      </c>
      <c r="G1133" s="1" t="s">
        <v>112</v>
      </c>
      <c r="H1133" s="1" t="s">
        <v>183</v>
      </c>
      <c r="I1133" s="1">
        <v>1832.35</v>
      </c>
      <c r="J1133" s="1">
        <v>2</v>
      </c>
      <c r="K1133" s="1">
        <v>3664.7</v>
      </c>
      <c r="L1133" s="1">
        <v>20</v>
      </c>
      <c r="M1133" s="1">
        <v>732.94</v>
      </c>
      <c r="N1133" s="1">
        <v>2931.76</v>
      </c>
      <c r="O1133" s="1" t="s">
        <v>46</v>
      </c>
      <c r="P1133" s="1" t="s">
        <v>1950</v>
      </c>
      <c r="Q1133" s="1">
        <v>3</v>
      </c>
      <c r="R1133" s="1">
        <f>Retail_Sales_Analyis[[#This Row],[Final_Price]]-Retail_Sales_Analyis[[#This Row],[Total_Price]]</f>
        <v>-732.9399999999996</v>
      </c>
      <c r="S11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34" spans="1:19" x14ac:dyDescent="0.25">
      <c r="A1134" s="1" t="s">
        <v>1951</v>
      </c>
      <c r="B1134" s="2">
        <v>45525</v>
      </c>
      <c r="C1134" s="1" t="s">
        <v>93</v>
      </c>
      <c r="D1134" s="1" t="s">
        <v>55</v>
      </c>
      <c r="E1134" s="1" t="s">
        <v>107</v>
      </c>
      <c r="F1134" s="1" t="s">
        <v>84</v>
      </c>
      <c r="G1134" s="1" t="s">
        <v>85</v>
      </c>
      <c r="H1134" s="1" t="s">
        <v>90</v>
      </c>
      <c r="I1134" s="1">
        <v>3073.96</v>
      </c>
      <c r="J1134" s="1">
        <v>2</v>
      </c>
      <c r="K1134" s="1">
        <v>6147.92</v>
      </c>
      <c r="L1134" s="1">
        <v>5</v>
      </c>
      <c r="M1134" s="1">
        <v>307.39999999999998</v>
      </c>
      <c r="N1134" s="1">
        <v>5840.52</v>
      </c>
      <c r="O1134" s="1" t="s">
        <v>64</v>
      </c>
      <c r="P1134" s="1" t="s">
        <v>705</v>
      </c>
      <c r="Q1134" s="1">
        <v>5</v>
      </c>
      <c r="R1134" s="1">
        <f>Retail_Sales_Analyis[[#This Row],[Final_Price]]-Retail_Sales_Analyis[[#This Row],[Total_Price]]</f>
        <v>-307.39999999999964</v>
      </c>
      <c r="S11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35" spans="1:19" x14ac:dyDescent="0.25">
      <c r="A1135" s="1" t="s">
        <v>1952</v>
      </c>
      <c r="B1135" s="2">
        <v>45574</v>
      </c>
      <c r="C1135" s="1" t="s">
        <v>76</v>
      </c>
      <c r="D1135" s="1" t="s">
        <v>55</v>
      </c>
      <c r="E1135" s="1" t="s">
        <v>322</v>
      </c>
      <c r="F1135" s="1" t="s">
        <v>84</v>
      </c>
      <c r="G1135" s="1" t="s">
        <v>78</v>
      </c>
      <c r="H1135" s="1" t="s">
        <v>136</v>
      </c>
      <c r="I1135" s="1">
        <v>567.87</v>
      </c>
      <c r="J1135" s="1">
        <v>9</v>
      </c>
      <c r="K1135" s="1">
        <v>5110.83</v>
      </c>
      <c r="L1135" s="1">
        <v>20</v>
      </c>
      <c r="M1135" s="1">
        <v>1022.17</v>
      </c>
      <c r="N1135" s="1">
        <v>4088.66</v>
      </c>
      <c r="O1135" s="1" t="s">
        <v>33</v>
      </c>
      <c r="P1135" s="1" t="s">
        <v>557</v>
      </c>
      <c r="Q1135" s="1">
        <v>4</v>
      </c>
      <c r="R1135" s="1">
        <f>Retail_Sales_Analyis[[#This Row],[Final_Price]]-Retail_Sales_Analyis[[#This Row],[Total_Price]]</f>
        <v>-1022.1700000000001</v>
      </c>
      <c r="S11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36" spans="1:19" x14ac:dyDescent="0.25">
      <c r="A1136" s="1" t="s">
        <v>1953</v>
      </c>
      <c r="B1136" s="2">
        <v>45366</v>
      </c>
      <c r="C1136" s="1" t="s">
        <v>61</v>
      </c>
      <c r="D1136" s="1" t="s">
        <v>144</v>
      </c>
      <c r="E1136" s="1" t="s">
        <v>207</v>
      </c>
      <c r="F1136" s="1" t="s">
        <v>37</v>
      </c>
      <c r="G1136" s="1" t="s">
        <v>78</v>
      </c>
      <c r="H1136" s="1" t="s">
        <v>146</v>
      </c>
      <c r="I1136" s="1">
        <v>314.56</v>
      </c>
      <c r="J1136" s="1">
        <v>4</v>
      </c>
      <c r="K1136" s="1">
        <v>1258.24</v>
      </c>
      <c r="L1136" s="1">
        <v>20</v>
      </c>
      <c r="M1136" s="1">
        <v>251.65</v>
      </c>
      <c r="N1136" s="1">
        <v>1006.59</v>
      </c>
      <c r="O1136" s="1" t="s">
        <v>33</v>
      </c>
      <c r="P1136" s="1" t="s">
        <v>171</v>
      </c>
      <c r="Q1136" s="1">
        <v>2</v>
      </c>
      <c r="R1136" s="1">
        <f>Retail_Sales_Analyis[[#This Row],[Final_Price]]-Retail_Sales_Analyis[[#This Row],[Total_Price]]</f>
        <v>-251.64999999999998</v>
      </c>
      <c r="S11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37" spans="1:19" x14ac:dyDescent="0.25">
      <c r="A1137" s="1" t="s">
        <v>1954</v>
      </c>
      <c r="B1137" s="2">
        <v>45488</v>
      </c>
      <c r="C1137" s="1" t="s">
        <v>195</v>
      </c>
      <c r="D1137" s="1" t="s">
        <v>43</v>
      </c>
      <c r="E1137" s="1" t="s">
        <v>104</v>
      </c>
      <c r="F1137" s="1" t="s">
        <v>30</v>
      </c>
      <c r="G1137" s="1" t="s">
        <v>112</v>
      </c>
      <c r="H1137" s="1" t="s">
        <v>288</v>
      </c>
      <c r="I1137" s="1">
        <v>1716.36</v>
      </c>
      <c r="J1137" s="1">
        <v>10</v>
      </c>
      <c r="K1137" s="1">
        <v>17163.599999999999</v>
      </c>
      <c r="L1137" s="1">
        <v>0</v>
      </c>
      <c r="M1137" s="1">
        <v>0</v>
      </c>
      <c r="N1137" s="1">
        <v>17163.599999999999</v>
      </c>
      <c r="O1137" s="1" t="s">
        <v>80</v>
      </c>
      <c r="P1137" s="1" t="s">
        <v>1955</v>
      </c>
      <c r="Q1137" s="1">
        <v>1</v>
      </c>
      <c r="R1137" s="1">
        <f>Retail_Sales_Analyis[[#This Row],[Final_Price]]-Retail_Sales_Analyis[[#This Row],[Total_Price]]</f>
        <v>0</v>
      </c>
      <c r="S11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38" spans="1:19" x14ac:dyDescent="0.25">
      <c r="A1138" s="1" t="s">
        <v>1956</v>
      </c>
      <c r="B1138" s="2">
        <v>45389</v>
      </c>
      <c r="C1138" s="1" t="s">
        <v>54</v>
      </c>
      <c r="D1138" s="1" t="s">
        <v>49</v>
      </c>
      <c r="E1138" s="1" t="s">
        <v>174</v>
      </c>
      <c r="F1138" s="1" t="s">
        <v>21</v>
      </c>
      <c r="G1138" s="1" t="s">
        <v>22</v>
      </c>
      <c r="H1138" s="1" t="s">
        <v>187</v>
      </c>
      <c r="I1138" s="1">
        <v>714.56</v>
      </c>
      <c r="J1138" s="1">
        <v>5</v>
      </c>
      <c r="K1138" s="1">
        <v>3572.8</v>
      </c>
      <c r="L1138" s="1">
        <v>0</v>
      </c>
      <c r="M1138" s="1">
        <v>0</v>
      </c>
      <c r="N1138" s="1">
        <v>3572.8</v>
      </c>
      <c r="O1138" s="1" t="s">
        <v>64</v>
      </c>
      <c r="P1138" s="1" t="s">
        <v>1957</v>
      </c>
      <c r="Q1138" s="1">
        <v>4</v>
      </c>
      <c r="R1138" s="1">
        <f>Retail_Sales_Analyis[[#This Row],[Final_Price]]-Retail_Sales_Analyis[[#This Row],[Total_Price]]</f>
        <v>0</v>
      </c>
      <c r="S11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39" spans="1:19" x14ac:dyDescent="0.25">
      <c r="A1139" s="1" t="s">
        <v>1958</v>
      </c>
      <c r="B1139" s="2">
        <v>45598</v>
      </c>
      <c r="C1139" s="1" t="s">
        <v>18</v>
      </c>
      <c r="D1139" s="1" t="s">
        <v>19</v>
      </c>
      <c r="E1139" s="1" t="s">
        <v>542</v>
      </c>
      <c r="F1139" s="1" t="s">
        <v>30</v>
      </c>
      <c r="G1139" s="1" t="s">
        <v>22</v>
      </c>
      <c r="H1139" s="1" t="s">
        <v>51</v>
      </c>
      <c r="I1139" s="1">
        <v>548.11</v>
      </c>
      <c r="J1139" s="1">
        <v>2</v>
      </c>
      <c r="K1139" s="1">
        <v>1096.22</v>
      </c>
      <c r="L1139" s="1">
        <v>5</v>
      </c>
      <c r="M1139" s="1">
        <v>54.81</v>
      </c>
      <c r="N1139" s="1">
        <v>1041.4100000000001</v>
      </c>
      <c r="O1139" s="1" t="s">
        <v>24</v>
      </c>
      <c r="P1139" s="1" t="s">
        <v>1697</v>
      </c>
      <c r="Q1139" s="1">
        <v>4</v>
      </c>
      <c r="R1139" s="1">
        <f>Retail_Sales_Analyis[[#This Row],[Final_Price]]-Retail_Sales_Analyis[[#This Row],[Total_Price]]</f>
        <v>-54.809999999999945</v>
      </c>
      <c r="S11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40" spans="1:19" x14ac:dyDescent="0.25">
      <c r="A1140" s="1" t="s">
        <v>1959</v>
      </c>
      <c r="B1140" s="2">
        <v>45552</v>
      </c>
      <c r="C1140" s="1" t="s">
        <v>116</v>
      </c>
      <c r="D1140" s="1" t="s">
        <v>28</v>
      </c>
      <c r="E1140" s="1" t="s">
        <v>139</v>
      </c>
      <c r="F1140" s="1" t="s">
        <v>37</v>
      </c>
      <c r="G1140" s="1" t="s">
        <v>31</v>
      </c>
      <c r="H1140" s="1" t="s">
        <v>45</v>
      </c>
      <c r="I1140" s="1">
        <v>224.96</v>
      </c>
      <c r="J1140" s="1">
        <v>8</v>
      </c>
      <c r="K1140" s="1">
        <v>1799.68</v>
      </c>
      <c r="L1140" s="1">
        <v>20</v>
      </c>
      <c r="M1140" s="1">
        <v>359.94</v>
      </c>
      <c r="N1140" s="1">
        <v>1439.74</v>
      </c>
      <c r="O1140" s="1" t="s">
        <v>46</v>
      </c>
      <c r="P1140" s="1" t="s">
        <v>689</v>
      </c>
      <c r="Q1140" s="1">
        <v>1</v>
      </c>
      <c r="R1140" s="1">
        <f>Retail_Sales_Analyis[[#This Row],[Final_Price]]-Retail_Sales_Analyis[[#This Row],[Total_Price]]</f>
        <v>-359.94000000000005</v>
      </c>
      <c r="S11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41" spans="1:19" x14ac:dyDescent="0.25">
      <c r="A1141" s="1" t="s">
        <v>1960</v>
      </c>
      <c r="B1141" s="2">
        <v>45361</v>
      </c>
      <c r="C1141" s="1" t="s">
        <v>61</v>
      </c>
      <c r="D1141" s="1" t="s">
        <v>49</v>
      </c>
      <c r="E1141" s="1" t="s">
        <v>117</v>
      </c>
      <c r="F1141" s="1" t="s">
        <v>37</v>
      </c>
      <c r="G1141" s="1" t="s">
        <v>169</v>
      </c>
      <c r="H1141" s="1" t="s">
        <v>175</v>
      </c>
      <c r="I1141" s="1">
        <v>1370.51</v>
      </c>
      <c r="J1141" s="1">
        <v>10</v>
      </c>
      <c r="K1141" s="1">
        <v>13705.1</v>
      </c>
      <c r="L1141" s="1">
        <v>10</v>
      </c>
      <c r="M1141" s="1">
        <v>1370.51</v>
      </c>
      <c r="N1141" s="1">
        <v>12334.59</v>
      </c>
      <c r="O1141" s="1" t="s">
        <v>64</v>
      </c>
      <c r="P1141" s="1" t="s">
        <v>1961</v>
      </c>
      <c r="Q1141" s="1">
        <v>3</v>
      </c>
      <c r="R1141" s="1">
        <f>Retail_Sales_Analyis[[#This Row],[Final_Price]]-Retail_Sales_Analyis[[#This Row],[Total_Price]]</f>
        <v>-1370.5100000000002</v>
      </c>
      <c r="S11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42" spans="1:19" x14ac:dyDescent="0.25">
      <c r="A1142" s="1" t="s">
        <v>1962</v>
      </c>
      <c r="B1142" s="2">
        <v>45327</v>
      </c>
      <c r="C1142" s="1" t="s">
        <v>27</v>
      </c>
      <c r="D1142" s="1" t="s">
        <v>43</v>
      </c>
      <c r="E1142" s="1" t="s">
        <v>111</v>
      </c>
      <c r="F1142" s="1" t="s">
        <v>69</v>
      </c>
      <c r="G1142" s="1" t="s">
        <v>112</v>
      </c>
      <c r="H1142" s="1" t="s">
        <v>223</v>
      </c>
      <c r="I1142" s="1">
        <v>1950.15</v>
      </c>
      <c r="J1142" s="1">
        <v>7</v>
      </c>
      <c r="K1142" s="1">
        <v>13651.05</v>
      </c>
      <c r="L1142" s="1">
        <v>0</v>
      </c>
      <c r="M1142" s="1">
        <v>0</v>
      </c>
      <c r="N1142" s="1">
        <v>13651.05</v>
      </c>
      <c r="O1142" s="1" t="s">
        <v>46</v>
      </c>
      <c r="P1142" s="1" t="s">
        <v>1963</v>
      </c>
      <c r="Q1142" s="1">
        <v>5</v>
      </c>
      <c r="R1142" s="1">
        <f>Retail_Sales_Analyis[[#This Row],[Final_Price]]-Retail_Sales_Analyis[[#This Row],[Total_Price]]</f>
        <v>0</v>
      </c>
      <c r="S11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3" spans="1:19" x14ac:dyDescent="0.25">
      <c r="A1143" s="1" t="s">
        <v>1964</v>
      </c>
      <c r="B1143" s="2">
        <v>45433</v>
      </c>
      <c r="C1143" s="1" t="s">
        <v>42</v>
      </c>
      <c r="D1143" s="1" t="s">
        <v>28</v>
      </c>
      <c r="E1143" s="1" t="s">
        <v>129</v>
      </c>
      <c r="F1143" s="1" t="s">
        <v>21</v>
      </c>
      <c r="G1143" s="1" t="s">
        <v>85</v>
      </c>
      <c r="H1143" s="1" t="s">
        <v>90</v>
      </c>
      <c r="I1143" s="1">
        <v>2483.3000000000002</v>
      </c>
      <c r="J1143" s="1">
        <v>1</v>
      </c>
      <c r="K1143" s="1">
        <v>2483.3000000000002</v>
      </c>
      <c r="L1143" s="1">
        <v>0</v>
      </c>
      <c r="M1143" s="1">
        <v>0</v>
      </c>
      <c r="N1143" s="1">
        <v>2483.3000000000002</v>
      </c>
      <c r="O1143" s="1" t="s">
        <v>24</v>
      </c>
      <c r="P1143" s="1" t="s">
        <v>1738</v>
      </c>
      <c r="Q1143" s="1">
        <v>4</v>
      </c>
      <c r="R1143" s="1">
        <f>Retail_Sales_Analyis[[#This Row],[Final_Price]]-Retail_Sales_Analyis[[#This Row],[Total_Price]]</f>
        <v>0</v>
      </c>
      <c r="S11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4" spans="1:19" x14ac:dyDescent="0.25">
      <c r="A1144" s="1" t="s">
        <v>1965</v>
      </c>
      <c r="B1144" s="2">
        <v>45504</v>
      </c>
      <c r="C1144" s="1" t="s">
        <v>195</v>
      </c>
      <c r="D1144" s="1" t="s">
        <v>55</v>
      </c>
      <c r="E1144" s="1" t="s">
        <v>157</v>
      </c>
      <c r="F1144" s="1" t="s">
        <v>37</v>
      </c>
      <c r="G1144" s="1" t="s">
        <v>78</v>
      </c>
      <c r="H1144" s="1" t="s">
        <v>79</v>
      </c>
      <c r="I1144" s="1">
        <v>471.32</v>
      </c>
      <c r="J1144" s="1">
        <v>8</v>
      </c>
      <c r="K1144" s="1">
        <v>3770.56</v>
      </c>
      <c r="L1144" s="1">
        <v>0</v>
      </c>
      <c r="M1144" s="1">
        <v>0</v>
      </c>
      <c r="N1144" s="1">
        <v>3770.56</v>
      </c>
      <c r="O1144" s="1" t="s">
        <v>80</v>
      </c>
      <c r="P1144" s="1" t="s">
        <v>237</v>
      </c>
      <c r="Q1144" s="1">
        <v>5</v>
      </c>
      <c r="R1144" s="1">
        <f>Retail_Sales_Analyis[[#This Row],[Final_Price]]-Retail_Sales_Analyis[[#This Row],[Total_Price]]</f>
        <v>0</v>
      </c>
      <c r="S11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5" spans="1:19" x14ac:dyDescent="0.25">
      <c r="A1145" s="1" t="s">
        <v>1966</v>
      </c>
      <c r="B1145" s="2">
        <v>45466</v>
      </c>
      <c r="C1145" s="1" t="s">
        <v>173</v>
      </c>
      <c r="D1145" s="1" t="s">
        <v>49</v>
      </c>
      <c r="E1145" s="1" t="s">
        <v>104</v>
      </c>
      <c r="F1145" s="1" t="s">
        <v>30</v>
      </c>
      <c r="G1145" s="1" t="s">
        <v>22</v>
      </c>
      <c r="H1145" s="1" t="s">
        <v>23</v>
      </c>
      <c r="I1145" s="1">
        <v>920.26</v>
      </c>
      <c r="J1145" s="1">
        <v>2</v>
      </c>
      <c r="K1145" s="1">
        <v>1840.52</v>
      </c>
      <c r="L1145" s="1">
        <v>0</v>
      </c>
      <c r="M1145" s="1">
        <v>0</v>
      </c>
      <c r="N1145" s="1">
        <v>1840.52</v>
      </c>
      <c r="O1145" s="1" t="s">
        <v>24</v>
      </c>
      <c r="P1145" s="1" t="s">
        <v>345</v>
      </c>
      <c r="Q1145" s="1">
        <v>2</v>
      </c>
      <c r="R1145" s="1">
        <f>Retail_Sales_Analyis[[#This Row],[Final_Price]]-Retail_Sales_Analyis[[#This Row],[Total_Price]]</f>
        <v>0</v>
      </c>
      <c r="S11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6" spans="1:19" x14ac:dyDescent="0.25">
      <c r="A1146" s="1" t="s">
        <v>1967</v>
      </c>
      <c r="B1146" s="2">
        <v>45551</v>
      </c>
      <c r="C1146" s="1" t="s">
        <v>116</v>
      </c>
      <c r="D1146" s="1" t="s">
        <v>43</v>
      </c>
      <c r="E1146" s="1" t="s">
        <v>89</v>
      </c>
      <c r="F1146" s="1" t="s">
        <v>21</v>
      </c>
      <c r="G1146" s="1" t="s">
        <v>22</v>
      </c>
      <c r="H1146" s="1" t="s">
        <v>23</v>
      </c>
      <c r="I1146" s="1">
        <v>497.43</v>
      </c>
      <c r="J1146" s="1">
        <v>7</v>
      </c>
      <c r="K1146" s="1">
        <v>3482.01</v>
      </c>
      <c r="L1146" s="1">
        <v>0</v>
      </c>
      <c r="M1146" s="1">
        <v>0</v>
      </c>
      <c r="N1146" s="1">
        <v>3482.01</v>
      </c>
      <c r="O1146" s="1" t="s">
        <v>64</v>
      </c>
      <c r="P1146" s="1" t="s">
        <v>1968</v>
      </c>
      <c r="Q1146" s="1">
        <v>2</v>
      </c>
      <c r="R1146" s="1">
        <f>Retail_Sales_Analyis[[#This Row],[Final_Price]]-Retail_Sales_Analyis[[#This Row],[Total_Price]]</f>
        <v>0</v>
      </c>
      <c r="S11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7" spans="1:19" x14ac:dyDescent="0.25">
      <c r="A1147" s="1" t="s">
        <v>1969</v>
      </c>
      <c r="B1147" s="2">
        <v>45428</v>
      </c>
      <c r="C1147" s="1" t="s">
        <v>42</v>
      </c>
      <c r="D1147" s="1" t="s">
        <v>67</v>
      </c>
      <c r="E1147" s="1" t="s">
        <v>168</v>
      </c>
      <c r="F1147" s="1" t="s">
        <v>37</v>
      </c>
      <c r="G1147" s="1" t="s">
        <v>38</v>
      </c>
      <c r="H1147" s="1" t="s">
        <v>108</v>
      </c>
      <c r="I1147" s="1">
        <v>576.28</v>
      </c>
      <c r="J1147" s="1">
        <v>5</v>
      </c>
      <c r="K1147" s="1">
        <v>2881.4</v>
      </c>
      <c r="L1147" s="1">
        <v>0</v>
      </c>
      <c r="M1147" s="1">
        <v>0</v>
      </c>
      <c r="N1147" s="1">
        <v>2881.4</v>
      </c>
      <c r="O1147" s="1" t="s">
        <v>46</v>
      </c>
      <c r="P1147" s="1" t="s">
        <v>407</v>
      </c>
      <c r="Q1147" s="1">
        <v>4</v>
      </c>
      <c r="R1147" s="1">
        <f>Retail_Sales_Analyis[[#This Row],[Final_Price]]-Retail_Sales_Analyis[[#This Row],[Total_Price]]</f>
        <v>0</v>
      </c>
      <c r="S11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48" spans="1:19" x14ac:dyDescent="0.25">
      <c r="A1148" s="1" t="s">
        <v>1970</v>
      </c>
      <c r="B1148" s="2">
        <v>45293</v>
      </c>
      <c r="C1148" s="1" t="s">
        <v>36</v>
      </c>
      <c r="D1148" s="1" t="s">
        <v>28</v>
      </c>
      <c r="E1148" s="1" t="s">
        <v>89</v>
      </c>
      <c r="F1148" s="1" t="s">
        <v>37</v>
      </c>
      <c r="G1148" s="1" t="s">
        <v>22</v>
      </c>
      <c r="H1148" s="1" t="s">
        <v>51</v>
      </c>
      <c r="I1148" s="1">
        <v>422.47</v>
      </c>
      <c r="J1148" s="1">
        <v>4</v>
      </c>
      <c r="K1148" s="1">
        <v>1689.88</v>
      </c>
      <c r="L1148" s="1">
        <v>20</v>
      </c>
      <c r="M1148" s="1">
        <v>337.98</v>
      </c>
      <c r="N1148" s="1">
        <v>1351.9</v>
      </c>
      <c r="O1148" s="1" t="s">
        <v>33</v>
      </c>
      <c r="P1148" s="1" t="s">
        <v>1153</v>
      </c>
      <c r="Q1148" s="1">
        <v>3</v>
      </c>
      <c r="R1148" s="1">
        <f>Retail_Sales_Analyis[[#This Row],[Final_Price]]-Retail_Sales_Analyis[[#This Row],[Total_Price]]</f>
        <v>-337.98</v>
      </c>
      <c r="S11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49" spans="1:19" x14ac:dyDescent="0.25">
      <c r="A1149" s="1" t="s">
        <v>1971</v>
      </c>
      <c r="B1149" s="2">
        <v>45436</v>
      </c>
      <c r="C1149" s="1" t="s">
        <v>42</v>
      </c>
      <c r="D1149" s="1" t="s">
        <v>144</v>
      </c>
      <c r="E1149" s="1" t="s">
        <v>328</v>
      </c>
      <c r="F1149" s="1" t="s">
        <v>37</v>
      </c>
      <c r="G1149" s="1" t="s">
        <v>22</v>
      </c>
      <c r="H1149" s="1" t="s">
        <v>133</v>
      </c>
      <c r="I1149" s="1">
        <v>756.8</v>
      </c>
      <c r="J1149" s="1">
        <v>8</v>
      </c>
      <c r="K1149" s="1">
        <v>6054.4</v>
      </c>
      <c r="L1149" s="1">
        <v>0</v>
      </c>
      <c r="M1149" s="1">
        <v>0</v>
      </c>
      <c r="N1149" s="1">
        <v>6054.4</v>
      </c>
      <c r="O1149" s="1" t="s">
        <v>64</v>
      </c>
      <c r="P1149" s="1" t="s">
        <v>532</v>
      </c>
      <c r="Q1149" s="1">
        <v>1</v>
      </c>
      <c r="R1149" s="1">
        <f>Retail_Sales_Analyis[[#This Row],[Final_Price]]-Retail_Sales_Analyis[[#This Row],[Total_Price]]</f>
        <v>0</v>
      </c>
      <c r="S11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0" spans="1:19" x14ac:dyDescent="0.25">
      <c r="A1150" s="1" t="s">
        <v>1972</v>
      </c>
      <c r="B1150" s="2">
        <v>45444</v>
      </c>
      <c r="C1150" s="1" t="s">
        <v>173</v>
      </c>
      <c r="D1150" s="1" t="s">
        <v>19</v>
      </c>
      <c r="E1150" s="1" t="s">
        <v>285</v>
      </c>
      <c r="F1150" s="1" t="s">
        <v>69</v>
      </c>
      <c r="G1150" s="1" t="s">
        <v>85</v>
      </c>
      <c r="H1150" s="1" t="s">
        <v>86</v>
      </c>
      <c r="I1150" s="1">
        <v>1266</v>
      </c>
      <c r="J1150" s="1">
        <v>9</v>
      </c>
      <c r="K1150" s="1">
        <v>11394</v>
      </c>
      <c r="L1150" s="1">
        <v>0</v>
      </c>
      <c r="M1150" s="1">
        <v>0</v>
      </c>
      <c r="N1150" s="1">
        <v>11394</v>
      </c>
      <c r="O1150" s="1" t="s">
        <v>64</v>
      </c>
      <c r="P1150" s="1" t="s">
        <v>655</v>
      </c>
      <c r="Q1150" s="1">
        <v>3</v>
      </c>
      <c r="R1150" s="1">
        <f>Retail_Sales_Analyis[[#This Row],[Final_Price]]-Retail_Sales_Analyis[[#This Row],[Total_Price]]</f>
        <v>0</v>
      </c>
      <c r="S11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1" spans="1:19" x14ac:dyDescent="0.25">
      <c r="A1151" s="1" t="s">
        <v>1973</v>
      </c>
      <c r="B1151" s="2">
        <v>45592</v>
      </c>
      <c r="C1151" s="1" t="s">
        <v>76</v>
      </c>
      <c r="D1151" s="1" t="s">
        <v>49</v>
      </c>
      <c r="E1151" s="1" t="s">
        <v>186</v>
      </c>
      <c r="F1151" s="1" t="s">
        <v>37</v>
      </c>
      <c r="G1151" s="1" t="s">
        <v>38</v>
      </c>
      <c r="H1151" s="1" t="s">
        <v>422</v>
      </c>
      <c r="I1151" s="1">
        <v>698.86</v>
      </c>
      <c r="J1151" s="1">
        <v>5</v>
      </c>
      <c r="K1151" s="1">
        <v>3494.3</v>
      </c>
      <c r="L1151" s="1">
        <v>0</v>
      </c>
      <c r="M1151" s="1">
        <v>0</v>
      </c>
      <c r="N1151" s="1">
        <v>3494.3</v>
      </c>
      <c r="O1151" s="1" t="s">
        <v>24</v>
      </c>
      <c r="P1151" s="1" t="s">
        <v>574</v>
      </c>
      <c r="Q1151" s="1">
        <v>4</v>
      </c>
      <c r="R1151" s="1">
        <f>Retail_Sales_Analyis[[#This Row],[Final_Price]]-Retail_Sales_Analyis[[#This Row],[Total_Price]]</f>
        <v>0</v>
      </c>
      <c r="S11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2" spans="1:19" x14ac:dyDescent="0.25">
      <c r="A1152" s="1" t="s">
        <v>1974</v>
      </c>
      <c r="B1152" s="2">
        <v>45588</v>
      </c>
      <c r="C1152" s="1" t="s">
        <v>76</v>
      </c>
      <c r="D1152" s="1" t="s">
        <v>55</v>
      </c>
      <c r="E1152" s="1" t="s">
        <v>322</v>
      </c>
      <c r="F1152" s="1" t="s">
        <v>21</v>
      </c>
      <c r="G1152" s="1" t="s">
        <v>31</v>
      </c>
      <c r="H1152" s="1" t="s">
        <v>250</v>
      </c>
      <c r="I1152" s="1">
        <v>107.2</v>
      </c>
      <c r="J1152" s="1">
        <v>1</v>
      </c>
      <c r="K1152" s="1">
        <v>107.2</v>
      </c>
      <c r="L1152" s="1">
        <v>5</v>
      </c>
      <c r="M1152" s="1">
        <v>5.36</v>
      </c>
      <c r="N1152" s="1">
        <v>101.84</v>
      </c>
      <c r="O1152" s="1" t="s">
        <v>33</v>
      </c>
      <c r="P1152" s="1" t="s">
        <v>425</v>
      </c>
      <c r="Q1152" s="1">
        <v>1</v>
      </c>
      <c r="R1152" s="1">
        <f>Retail_Sales_Analyis[[#This Row],[Final_Price]]-Retail_Sales_Analyis[[#This Row],[Total_Price]]</f>
        <v>-5.3599999999999994</v>
      </c>
      <c r="S11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53" spans="1:19" x14ac:dyDescent="0.25">
      <c r="A1153" s="1" t="s">
        <v>1975</v>
      </c>
      <c r="B1153" s="2">
        <v>45629</v>
      </c>
      <c r="C1153" s="1" t="s">
        <v>73</v>
      </c>
      <c r="D1153" s="1" t="s">
        <v>28</v>
      </c>
      <c r="E1153" s="1" t="s">
        <v>307</v>
      </c>
      <c r="F1153" s="1" t="s">
        <v>69</v>
      </c>
      <c r="G1153" s="1" t="s">
        <v>22</v>
      </c>
      <c r="H1153" s="1" t="s">
        <v>23</v>
      </c>
      <c r="I1153" s="1">
        <v>266.89</v>
      </c>
      <c r="J1153" s="1">
        <v>2</v>
      </c>
      <c r="K1153" s="1">
        <v>533.78</v>
      </c>
      <c r="L1153" s="1">
        <v>0</v>
      </c>
      <c r="M1153" s="1">
        <v>0</v>
      </c>
      <c r="N1153" s="1">
        <v>533.78</v>
      </c>
      <c r="O1153" s="1" t="s">
        <v>33</v>
      </c>
      <c r="P1153" s="1" t="s">
        <v>1963</v>
      </c>
      <c r="Q1153" s="1">
        <v>5</v>
      </c>
      <c r="R1153" s="1">
        <f>Retail_Sales_Analyis[[#This Row],[Final_Price]]-Retail_Sales_Analyis[[#This Row],[Total_Price]]</f>
        <v>0</v>
      </c>
      <c r="S11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4" spans="1:19" x14ac:dyDescent="0.25">
      <c r="A1154" s="1" t="s">
        <v>1976</v>
      </c>
      <c r="B1154" s="2">
        <v>45542</v>
      </c>
      <c r="C1154" s="1" t="s">
        <v>116</v>
      </c>
      <c r="D1154" s="1" t="s">
        <v>19</v>
      </c>
      <c r="E1154" s="1" t="s">
        <v>77</v>
      </c>
      <c r="F1154" s="1" t="s">
        <v>21</v>
      </c>
      <c r="G1154" s="1" t="s">
        <v>85</v>
      </c>
      <c r="H1154" s="1" t="s">
        <v>86</v>
      </c>
      <c r="I1154" s="1">
        <v>3388.01</v>
      </c>
      <c r="J1154" s="1">
        <v>1</v>
      </c>
      <c r="K1154" s="1">
        <v>3388.01</v>
      </c>
      <c r="L1154" s="1">
        <v>15</v>
      </c>
      <c r="M1154" s="1">
        <v>508.2</v>
      </c>
      <c r="N1154" s="1">
        <v>2879.81</v>
      </c>
      <c r="O1154" s="1" t="s">
        <v>80</v>
      </c>
      <c r="P1154" s="1" t="s">
        <v>1977</v>
      </c>
      <c r="Q1154" s="1">
        <v>2</v>
      </c>
      <c r="R1154" s="1">
        <f>Retail_Sales_Analyis[[#This Row],[Final_Price]]-Retail_Sales_Analyis[[#This Row],[Total_Price]]</f>
        <v>-508.20000000000027</v>
      </c>
      <c r="S11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55" spans="1:19" x14ac:dyDescent="0.25">
      <c r="A1155" s="1" t="s">
        <v>1978</v>
      </c>
      <c r="B1155" s="2">
        <v>45368</v>
      </c>
      <c r="C1155" s="1" t="s">
        <v>61</v>
      </c>
      <c r="D1155" s="1" t="s">
        <v>49</v>
      </c>
      <c r="E1155" s="1" t="s">
        <v>411</v>
      </c>
      <c r="F1155" s="1" t="s">
        <v>69</v>
      </c>
      <c r="G1155" s="1" t="s">
        <v>78</v>
      </c>
      <c r="H1155" s="1" t="s">
        <v>79</v>
      </c>
      <c r="I1155" s="1">
        <v>405.96</v>
      </c>
      <c r="J1155" s="1">
        <v>3</v>
      </c>
      <c r="K1155" s="1">
        <v>1217.8800000000001</v>
      </c>
      <c r="L1155" s="1">
        <v>0</v>
      </c>
      <c r="M1155" s="1">
        <v>0</v>
      </c>
      <c r="N1155" s="1">
        <v>1217.8800000000001</v>
      </c>
      <c r="O1155" s="1" t="s">
        <v>46</v>
      </c>
      <c r="P1155" s="1" t="s">
        <v>1979</v>
      </c>
      <c r="Q1155" s="1">
        <v>2</v>
      </c>
      <c r="R1155" s="1">
        <f>Retail_Sales_Analyis[[#This Row],[Final_Price]]-Retail_Sales_Analyis[[#This Row],[Total_Price]]</f>
        <v>0</v>
      </c>
      <c r="S11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6" spans="1:19" x14ac:dyDescent="0.25">
      <c r="A1156" s="1" t="s">
        <v>1980</v>
      </c>
      <c r="B1156" s="2">
        <v>45520</v>
      </c>
      <c r="C1156" s="1" t="s">
        <v>93</v>
      </c>
      <c r="D1156" s="1" t="s">
        <v>144</v>
      </c>
      <c r="E1156" s="1" t="s">
        <v>129</v>
      </c>
      <c r="F1156" s="1" t="s">
        <v>21</v>
      </c>
      <c r="G1156" s="1" t="s">
        <v>112</v>
      </c>
      <c r="H1156" s="1" t="s">
        <v>288</v>
      </c>
      <c r="I1156" s="1">
        <v>1070.05</v>
      </c>
      <c r="J1156" s="1">
        <v>5</v>
      </c>
      <c r="K1156" s="1">
        <v>5350.25</v>
      </c>
      <c r="L1156" s="1">
        <v>10</v>
      </c>
      <c r="M1156" s="1">
        <v>535.02</v>
      </c>
      <c r="N1156" s="1">
        <v>4815.2299999999996</v>
      </c>
      <c r="O1156" s="1" t="s">
        <v>24</v>
      </c>
      <c r="P1156" s="1" t="s">
        <v>1981</v>
      </c>
      <c r="Q1156" s="1">
        <v>2</v>
      </c>
      <c r="R1156" s="1">
        <f>Retail_Sales_Analyis[[#This Row],[Final_Price]]-Retail_Sales_Analyis[[#This Row],[Total_Price]]</f>
        <v>-535.02000000000044</v>
      </c>
      <c r="S11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57" spans="1:19" x14ac:dyDescent="0.25">
      <c r="A1157" s="1" t="s">
        <v>1982</v>
      </c>
      <c r="B1157" s="2">
        <v>45567</v>
      </c>
      <c r="C1157" s="1" t="s">
        <v>76</v>
      </c>
      <c r="D1157" s="1" t="s">
        <v>55</v>
      </c>
      <c r="E1157" s="1" t="s">
        <v>139</v>
      </c>
      <c r="F1157" s="1" t="s">
        <v>30</v>
      </c>
      <c r="G1157" s="1" t="s">
        <v>31</v>
      </c>
      <c r="H1157" s="1" t="s">
        <v>329</v>
      </c>
      <c r="I1157" s="1">
        <v>442.1</v>
      </c>
      <c r="J1157" s="1">
        <v>2</v>
      </c>
      <c r="K1157" s="1">
        <v>884.2</v>
      </c>
      <c r="L1157" s="1">
        <v>20</v>
      </c>
      <c r="M1157" s="1">
        <v>176.84</v>
      </c>
      <c r="N1157" s="1">
        <v>707.36</v>
      </c>
      <c r="O1157" s="1" t="s">
        <v>64</v>
      </c>
      <c r="P1157" s="1" t="s">
        <v>467</v>
      </c>
      <c r="Q1157" s="1">
        <v>5</v>
      </c>
      <c r="R1157" s="1">
        <f>Retail_Sales_Analyis[[#This Row],[Final_Price]]-Retail_Sales_Analyis[[#This Row],[Total_Price]]</f>
        <v>-176.84000000000003</v>
      </c>
      <c r="S11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58" spans="1:19" x14ac:dyDescent="0.25">
      <c r="A1158" s="1" t="s">
        <v>1983</v>
      </c>
      <c r="B1158" s="2">
        <v>45539</v>
      </c>
      <c r="C1158" s="1" t="s">
        <v>116</v>
      </c>
      <c r="D1158" s="1" t="s">
        <v>55</v>
      </c>
      <c r="E1158" s="1" t="s">
        <v>261</v>
      </c>
      <c r="F1158" s="1" t="s">
        <v>84</v>
      </c>
      <c r="G1158" s="1" t="s">
        <v>85</v>
      </c>
      <c r="H1158" s="1" t="s">
        <v>98</v>
      </c>
      <c r="I1158" s="1">
        <v>3188.49</v>
      </c>
      <c r="J1158" s="1">
        <v>6</v>
      </c>
      <c r="K1158" s="1">
        <v>19130.939999999999</v>
      </c>
      <c r="L1158" s="1">
        <v>0</v>
      </c>
      <c r="M1158" s="1">
        <v>0</v>
      </c>
      <c r="N1158" s="1">
        <v>19130.939999999999</v>
      </c>
      <c r="O1158" s="1" t="s">
        <v>24</v>
      </c>
      <c r="P1158" s="1" t="s">
        <v>1961</v>
      </c>
      <c r="Q1158" s="1">
        <v>1</v>
      </c>
      <c r="R1158" s="1">
        <f>Retail_Sales_Analyis[[#This Row],[Final_Price]]-Retail_Sales_Analyis[[#This Row],[Total_Price]]</f>
        <v>0</v>
      </c>
      <c r="S11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59" spans="1:19" x14ac:dyDescent="0.25">
      <c r="A1159" s="1" t="s">
        <v>1984</v>
      </c>
      <c r="B1159" s="2">
        <v>45468</v>
      </c>
      <c r="C1159" s="1" t="s">
        <v>173</v>
      </c>
      <c r="D1159" s="1" t="s">
        <v>28</v>
      </c>
      <c r="E1159" s="1" t="s">
        <v>542</v>
      </c>
      <c r="F1159" s="1" t="s">
        <v>21</v>
      </c>
      <c r="G1159" s="1" t="s">
        <v>112</v>
      </c>
      <c r="H1159" s="1" t="s">
        <v>183</v>
      </c>
      <c r="I1159" s="1">
        <v>1580.72</v>
      </c>
      <c r="J1159" s="1">
        <v>6</v>
      </c>
      <c r="K1159" s="1">
        <v>9484.32</v>
      </c>
      <c r="L1159" s="1">
        <v>0</v>
      </c>
      <c r="M1159" s="1">
        <v>0</v>
      </c>
      <c r="N1159" s="1">
        <v>9484.32</v>
      </c>
      <c r="O1159" s="1" t="s">
        <v>24</v>
      </c>
      <c r="P1159" s="1" t="s">
        <v>1985</v>
      </c>
      <c r="Q1159" s="1">
        <v>2</v>
      </c>
      <c r="R1159" s="1">
        <f>Retail_Sales_Analyis[[#This Row],[Final_Price]]-Retail_Sales_Analyis[[#This Row],[Total_Price]]</f>
        <v>0</v>
      </c>
      <c r="S11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0" spans="1:19" x14ac:dyDescent="0.25">
      <c r="A1160" s="1" t="s">
        <v>1986</v>
      </c>
      <c r="B1160" s="2">
        <v>45462</v>
      </c>
      <c r="C1160" s="1" t="s">
        <v>173</v>
      </c>
      <c r="D1160" s="1" t="s">
        <v>55</v>
      </c>
      <c r="E1160" s="1" t="s">
        <v>125</v>
      </c>
      <c r="F1160" s="1" t="s">
        <v>37</v>
      </c>
      <c r="G1160" s="1" t="s">
        <v>22</v>
      </c>
      <c r="H1160" s="1" t="s">
        <v>133</v>
      </c>
      <c r="I1160" s="1">
        <v>650.16999999999996</v>
      </c>
      <c r="J1160" s="1">
        <v>7</v>
      </c>
      <c r="K1160" s="1">
        <v>4551.1899999999996</v>
      </c>
      <c r="L1160" s="1">
        <v>20</v>
      </c>
      <c r="M1160" s="1">
        <v>910.24</v>
      </c>
      <c r="N1160" s="1">
        <v>3640.95</v>
      </c>
      <c r="O1160" s="1" t="s">
        <v>80</v>
      </c>
      <c r="P1160" s="1" t="s">
        <v>1493</v>
      </c>
      <c r="Q1160" s="1">
        <v>1</v>
      </c>
      <c r="R1160" s="1">
        <f>Retail_Sales_Analyis[[#This Row],[Final_Price]]-Retail_Sales_Analyis[[#This Row],[Total_Price]]</f>
        <v>-910.23999999999978</v>
      </c>
      <c r="S11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61" spans="1:19" x14ac:dyDescent="0.25">
      <c r="A1161" s="1" t="s">
        <v>1987</v>
      </c>
      <c r="B1161" s="2">
        <v>45574</v>
      </c>
      <c r="C1161" s="1" t="s">
        <v>76</v>
      </c>
      <c r="D1161" s="1" t="s">
        <v>55</v>
      </c>
      <c r="E1161" s="1" t="s">
        <v>285</v>
      </c>
      <c r="F1161" s="1" t="s">
        <v>84</v>
      </c>
      <c r="G1161" s="1" t="s">
        <v>169</v>
      </c>
      <c r="H1161" s="1" t="s">
        <v>208</v>
      </c>
      <c r="I1161" s="1">
        <v>1078.6400000000001</v>
      </c>
      <c r="J1161" s="1">
        <v>8</v>
      </c>
      <c r="K1161" s="1">
        <v>8629.1200000000008</v>
      </c>
      <c r="L1161" s="1">
        <v>10</v>
      </c>
      <c r="M1161" s="1">
        <v>862.91</v>
      </c>
      <c r="N1161" s="1">
        <v>7766.21</v>
      </c>
      <c r="O1161" s="1" t="s">
        <v>33</v>
      </c>
      <c r="P1161" s="1" t="s">
        <v>1544</v>
      </c>
      <c r="Q1161" s="1">
        <v>3</v>
      </c>
      <c r="R1161" s="1">
        <f>Retail_Sales_Analyis[[#This Row],[Final_Price]]-Retail_Sales_Analyis[[#This Row],[Total_Price]]</f>
        <v>-862.91000000000076</v>
      </c>
      <c r="S11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62" spans="1:19" x14ac:dyDescent="0.25">
      <c r="A1162" s="1" t="s">
        <v>1988</v>
      </c>
      <c r="B1162" s="2">
        <v>45570</v>
      </c>
      <c r="C1162" s="1" t="s">
        <v>76</v>
      </c>
      <c r="D1162" s="1" t="s">
        <v>19</v>
      </c>
      <c r="E1162" s="1" t="s">
        <v>83</v>
      </c>
      <c r="F1162" s="1" t="s">
        <v>21</v>
      </c>
      <c r="G1162" s="1" t="s">
        <v>31</v>
      </c>
      <c r="H1162" s="1" t="s">
        <v>250</v>
      </c>
      <c r="I1162" s="1">
        <v>357.3</v>
      </c>
      <c r="J1162" s="1">
        <v>10</v>
      </c>
      <c r="K1162" s="1">
        <v>3573</v>
      </c>
      <c r="L1162" s="1">
        <v>0</v>
      </c>
      <c r="M1162" s="1">
        <v>0</v>
      </c>
      <c r="N1162" s="1">
        <v>3573</v>
      </c>
      <c r="O1162" s="1" t="s">
        <v>46</v>
      </c>
      <c r="P1162" s="1" t="s">
        <v>1307</v>
      </c>
      <c r="Q1162" s="1">
        <v>4</v>
      </c>
      <c r="R1162" s="1">
        <f>Retail_Sales_Analyis[[#This Row],[Final_Price]]-Retail_Sales_Analyis[[#This Row],[Total_Price]]</f>
        <v>0</v>
      </c>
      <c r="S11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3" spans="1:19" x14ac:dyDescent="0.25">
      <c r="A1163" s="1" t="s">
        <v>1989</v>
      </c>
      <c r="B1163" s="2">
        <v>45485</v>
      </c>
      <c r="C1163" s="1" t="s">
        <v>195</v>
      </c>
      <c r="D1163" s="1" t="s">
        <v>144</v>
      </c>
      <c r="E1163" s="1" t="s">
        <v>307</v>
      </c>
      <c r="F1163" s="1" t="s">
        <v>37</v>
      </c>
      <c r="G1163" s="1" t="s">
        <v>78</v>
      </c>
      <c r="H1163" s="1" t="s">
        <v>146</v>
      </c>
      <c r="I1163" s="1">
        <v>214.98</v>
      </c>
      <c r="J1163" s="1">
        <v>3</v>
      </c>
      <c r="K1163" s="1">
        <v>644.94000000000005</v>
      </c>
      <c r="L1163" s="1">
        <v>5</v>
      </c>
      <c r="M1163" s="1">
        <v>32.25</v>
      </c>
      <c r="N1163" s="1">
        <v>612.69000000000005</v>
      </c>
      <c r="O1163" s="1" t="s">
        <v>46</v>
      </c>
      <c r="P1163" s="1" t="s">
        <v>1059</v>
      </c>
      <c r="Q1163" s="1">
        <v>2</v>
      </c>
      <c r="R1163" s="1">
        <f>Retail_Sales_Analyis[[#This Row],[Final_Price]]-Retail_Sales_Analyis[[#This Row],[Total_Price]]</f>
        <v>-32.25</v>
      </c>
      <c r="S11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64" spans="1:19" x14ac:dyDescent="0.25">
      <c r="A1164" s="1" t="s">
        <v>1990</v>
      </c>
      <c r="B1164" s="2">
        <v>45525</v>
      </c>
      <c r="C1164" s="1" t="s">
        <v>93</v>
      </c>
      <c r="D1164" s="1" t="s">
        <v>55</v>
      </c>
      <c r="E1164" s="1" t="s">
        <v>207</v>
      </c>
      <c r="F1164" s="1" t="s">
        <v>21</v>
      </c>
      <c r="G1164" s="1" t="s">
        <v>38</v>
      </c>
      <c r="H1164" s="1" t="s">
        <v>214</v>
      </c>
      <c r="I1164" s="1">
        <v>129.79</v>
      </c>
      <c r="J1164" s="1">
        <v>7</v>
      </c>
      <c r="K1164" s="1">
        <v>908.53</v>
      </c>
      <c r="L1164" s="1">
        <v>15</v>
      </c>
      <c r="M1164" s="1">
        <v>136.28</v>
      </c>
      <c r="N1164" s="1">
        <v>772.25</v>
      </c>
      <c r="O1164" s="1" t="s">
        <v>80</v>
      </c>
      <c r="P1164" s="1" t="s">
        <v>1627</v>
      </c>
      <c r="Q1164" s="1">
        <v>2</v>
      </c>
      <c r="R1164" s="1">
        <f>Retail_Sales_Analyis[[#This Row],[Final_Price]]-Retail_Sales_Analyis[[#This Row],[Total_Price]]</f>
        <v>-136.27999999999997</v>
      </c>
      <c r="S11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65" spans="1:19" x14ac:dyDescent="0.25">
      <c r="A1165" s="1" t="s">
        <v>1991</v>
      </c>
      <c r="B1165" s="2">
        <v>45456</v>
      </c>
      <c r="C1165" s="1" t="s">
        <v>173</v>
      </c>
      <c r="D1165" s="1" t="s">
        <v>67</v>
      </c>
      <c r="E1165" s="1" t="s">
        <v>312</v>
      </c>
      <c r="F1165" s="1" t="s">
        <v>69</v>
      </c>
      <c r="G1165" s="1" t="s">
        <v>78</v>
      </c>
      <c r="H1165" s="1" t="s">
        <v>146</v>
      </c>
      <c r="I1165" s="1">
        <v>573.85</v>
      </c>
      <c r="J1165" s="1">
        <v>7</v>
      </c>
      <c r="K1165" s="1">
        <v>4016.95</v>
      </c>
      <c r="L1165" s="1">
        <v>5</v>
      </c>
      <c r="M1165" s="1">
        <v>200.85</v>
      </c>
      <c r="N1165" s="1">
        <v>3816.1</v>
      </c>
      <c r="O1165" s="1" t="s">
        <v>33</v>
      </c>
      <c r="P1165" s="1" t="s">
        <v>367</v>
      </c>
      <c r="Q1165" s="1">
        <v>4</v>
      </c>
      <c r="R1165" s="1">
        <f>Retail_Sales_Analyis[[#This Row],[Final_Price]]-Retail_Sales_Analyis[[#This Row],[Total_Price]]</f>
        <v>-200.84999999999991</v>
      </c>
      <c r="S11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66" spans="1:19" x14ac:dyDescent="0.25">
      <c r="A1166" s="1" t="s">
        <v>1992</v>
      </c>
      <c r="B1166" s="2">
        <v>45388</v>
      </c>
      <c r="C1166" s="1" t="s">
        <v>54</v>
      </c>
      <c r="D1166" s="1" t="s">
        <v>19</v>
      </c>
      <c r="E1166" s="1" t="s">
        <v>29</v>
      </c>
      <c r="F1166" s="1" t="s">
        <v>21</v>
      </c>
      <c r="G1166" s="1" t="s">
        <v>78</v>
      </c>
      <c r="H1166" s="1" t="s">
        <v>323</v>
      </c>
      <c r="I1166" s="1">
        <v>296.7</v>
      </c>
      <c r="J1166" s="1">
        <v>7</v>
      </c>
      <c r="K1166" s="1">
        <v>2076.9</v>
      </c>
      <c r="L1166" s="1">
        <v>0</v>
      </c>
      <c r="M1166" s="1">
        <v>0</v>
      </c>
      <c r="N1166" s="1">
        <v>2076.9</v>
      </c>
      <c r="O1166" s="1" t="s">
        <v>80</v>
      </c>
      <c r="P1166" s="1" t="s">
        <v>1738</v>
      </c>
      <c r="Q1166" s="1">
        <v>2</v>
      </c>
      <c r="R1166" s="1">
        <f>Retail_Sales_Analyis[[#This Row],[Final_Price]]-Retail_Sales_Analyis[[#This Row],[Total_Price]]</f>
        <v>0</v>
      </c>
      <c r="S11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7" spans="1:19" x14ac:dyDescent="0.25">
      <c r="A1167" s="1" t="s">
        <v>1993</v>
      </c>
      <c r="B1167" s="2">
        <v>45649</v>
      </c>
      <c r="C1167" s="1" t="s">
        <v>73</v>
      </c>
      <c r="D1167" s="1" t="s">
        <v>43</v>
      </c>
      <c r="E1167" s="1" t="s">
        <v>174</v>
      </c>
      <c r="F1167" s="1" t="s">
        <v>69</v>
      </c>
      <c r="G1167" s="1" t="s">
        <v>57</v>
      </c>
      <c r="H1167" s="1" t="s">
        <v>122</v>
      </c>
      <c r="I1167" s="1">
        <v>744.89</v>
      </c>
      <c r="J1167" s="1">
        <v>10</v>
      </c>
      <c r="K1167" s="1">
        <v>7448.9</v>
      </c>
      <c r="L1167" s="1">
        <v>0</v>
      </c>
      <c r="M1167" s="1">
        <v>0</v>
      </c>
      <c r="N1167" s="1">
        <v>7448.9</v>
      </c>
      <c r="O1167" s="1" t="s">
        <v>33</v>
      </c>
      <c r="P1167" s="1" t="s">
        <v>1050</v>
      </c>
      <c r="Q1167" s="1">
        <v>5</v>
      </c>
      <c r="R1167" s="1">
        <f>Retail_Sales_Analyis[[#This Row],[Final_Price]]-Retail_Sales_Analyis[[#This Row],[Total_Price]]</f>
        <v>0</v>
      </c>
      <c r="S11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8" spans="1:19" x14ac:dyDescent="0.25">
      <c r="A1168" s="1" t="s">
        <v>1994</v>
      </c>
      <c r="B1168" s="2">
        <v>45414</v>
      </c>
      <c r="C1168" s="1" t="s">
        <v>42</v>
      </c>
      <c r="D1168" s="1" t="s">
        <v>67</v>
      </c>
      <c r="E1168" s="1" t="s">
        <v>351</v>
      </c>
      <c r="F1168" s="1" t="s">
        <v>84</v>
      </c>
      <c r="G1168" s="1" t="s">
        <v>38</v>
      </c>
      <c r="H1168" s="1" t="s">
        <v>214</v>
      </c>
      <c r="I1168" s="1">
        <v>374.98</v>
      </c>
      <c r="J1168" s="1">
        <v>8</v>
      </c>
      <c r="K1168" s="1">
        <v>2999.84</v>
      </c>
      <c r="L1168" s="1">
        <v>0</v>
      </c>
      <c r="M1168" s="1">
        <v>0</v>
      </c>
      <c r="N1168" s="1">
        <v>2999.84</v>
      </c>
      <c r="O1168" s="1" t="s">
        <v>80</v>
      </c>
      <c r="P1168" s="1" t="s">
        <v>1995</v>
      </c>
      <c r="Q1168" s="1">
        <v>4</v>
      </c>
      <c r="R1168" s="1">
        <f>Retail_Sales_Analyis[[#This Row],[Final_Price]]-Retail_Sales_Analyis[[#This Row],[Total_Price]]</f>
        <v>0</v>
      </c>
      <c r="S11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69" spans="1:19" x14ac:dyDescent="0.25">
      <c r="A1169" s="1" t="s">
        <v>1996</v>
      </c>
      <c r="B1169" s="2">
        <v>45584</v>
      </c>
      <c r="C1169" s="1" t="s">
        <v>76</v>
      </c>
      <c r="D1169" s="1" t="s">
        <v>19</v>
      </c>
      <c r="E1169" s="1" t="s">
        <v>302</v>
      </c>
      <c r="F1169" s="1" t="s">
        <v>21</v>
      </c>
      <c r="G1169" s="1" t="s">
        <v>112</v>
      </c>
      <c r="H1169" s="1" t="s">
        <v>113</v>
      </c>
      <c r="I1169" s="1">
        <v>825.77</v>
      </c>
      <c r="J1169" s="1">
        <v>9</v>
      </c>
      <c r="K1169" s="1">
        <v>7431.93</v>
      </c>
      <c r="L1169" s="1">
        <v>0</v>
      </c>
      <c r="M1169" s="1">
        <v>0</v>
      </c>
      <c r="N1169" s="1">
        <v>7431.93</v>
      </c>
      <c r="O1169" s="1" t="s">
        <v>33</v>
      </c>
      <c r="P1169" s="1" t="s">
        <v>1273</v>
      </c>
      <c r="Q1169" s="1">
        <v>5</v>
      </c>
      <c r="R1169" s="1">
        <f>Retail_Sales_Analyis[[#This Row],[Final_Price]]-Retail_Sales_Analyis[[#This Row],[Total_Price]]</f>
        <v>0</v>
      </c>
      <c r="S11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70" spans="1:19" x14ac:dyDescent="0.25">
      <c r="A1170" s="1" t="s">
        <v>1997</v>
      </c>
      <c r="B1170" s="2">
        <v>45488</v>
      </c>
      <c r="C1170" s="1" t="s">
        <v>195</v>
      </c>
      <c r="D1170" s="1" t="s">
        <v>43</v>
      </c>
      <c r="E1170" s="1" t="s">
        <v>117</v>
      </c>
      <c r="F1170" s="1" t="s">
        <v>84</v>
      </c>
      <c r="G1170" s="1" t="s">
        <v>31</v>
      </c>
      <c r="H1170" s="1" t="s">
        <v>329</v>
      </c>
      <c r="I1170" s="1">
        <v>362.29</v>
      </c>
      <c r="J1170" s="1">
        <v>7</v>
      </c>
      <c r="K1170" s="1">
        <v>2536.0300000000002</v>
      </c>
      <c r="L1170" s="1">
        <v>10</v>
      </c>
      <c r="M1170" s="1">
        <v>253.6</v>
      </c>
      <c r="N1170" s="1">
        <v>2282.4299999999998</v>
      </c>
      <c r="O1170" s="1" t="s">
        <v>64</v>
      </c>
      <c r="P1170" s="1" t="s">
        <v>1350</v>
      </c>
      <c r="Q1170" s="1">
        <v>3</v>
      </c>
      <c r="R1170" s="1">
        <f>Retail_Sales_Analyis[[#This Row],[Final_Price]]-Retail_Sales_Analyis[[#This Row],[Total_Price]]</f>
        <v>-253.60000000000036</v>
      </c>
      <c r="S11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71" spans="1:19" x14ac:dyDescent="0.25">
      <c r="A1171" s="1" t="s">
        <v>1998</v>
      </c>
      <c r="B1171" s="2">
        <v>45411</v>
      </c>
      <c r="C1171" s="1" t="s">
        <v>54</v>
      </c>
      <c r="D1171" s="1" t="s">
        <v>43</v>
      </c>
      <c r="E1171" s="1" t="s">
        <v>56</v>
      </c>
      <c r="F1171" s="1" t="s">
        <v>21</v>
      </c>
      <c r="G1171" s="1" t="s">
        <v>85</v>
      </c>
      <c r="H1171" s="1" t="s">
        <v>86</v>
      </c>
      <c r="I1171" s="1">
        <v>3300.28</v>
      </c>
      <c r="J1171" s="1">
        <v>4</v>
      </c>
      <c r="K1171" s="1">
        <v>13201.12</v>
      </c>
      <c r="L1171" s="1">
        <v>0</v>
      </c>
      <c r="M1171" s="1">
        <v>0</v>
      </c>
      <c r="N1171" s="1">
        <v>13201.12</v>
      </c>
      <c r="O1171" s="1" t="s">
        <v>33</v>
      </c>
      <c r="P1171" s="1" t="s">
        <v>324</v>
      </c>
      <c r="Q1171" s="1">
        <v>3</v>
      </c>
      <c r="R1171" s="1">
        <f>Retail_Sales_Analyis[[#This Row],[Final_Price]]-Retail_Sales_Analyis[[#This Row],[Total_Price]]</f>
        <v>0</v>
      </c>
      <c r="S11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72" spans="1:19" x14ac:dyDescent="0.25">
      <c r="A1172" s="1" t="s">
        <v>1999</v>
      </c>
      <c r="B1172" s="2">
        <v>45502</v>
      </c>
      <c r="C1172" s="1" t="s">
        <v>195</v>
      </c>
      <c r="D1172" s="1" t="s">
        <v>43</v>
      </c>
      <c r="E1172" s="1" t="s">
        <v>192</v>
      </c>
      <c r="F1172" s="1" t="s">
        <v>37</v>
      </c>
      <c r="G1172" s="1" t="s">
        <v>85</v>
      </c>
      <c r="H1172" s="1" t="s">
        <v>86</v>
      </c>
      <c r="I1172" s="1">
        <v>2264.86</v>
      </c>
      <c r="J1172" s="1">
        <v>10</v>
      </c>
      <c r="K1172" s="1">
        <v>22648.6</v>
      </c>
      <c r="L1172" s="1">
        <v>10</v>
      </c>
      <c r="M1172" s="1">
        <v>2264.86</v>
      </c>
      <c r="N1172" s="1">
        <v>20383.740000000002</v>
      </c>
      <c r="O1172" s="1" t="s">
        <v>24</v>
      </c>
      <c r="P1172" s="1" t="s">
        <v>2000</v>
      </c>
      <c r="Q1172" s="1">
        <v>1</v>
      </c>
      <c r="R1172" s="1">
        <f>Retail_Sales_Analyis[[#This Row],[Final_Price]]-Retail_Sales_Analyis[[#This Row],[Total_Price]]</f>
        <v>-2264.8599999999969</v>
      </c>
      <c r="S11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73" spans="1:19" x14ac:dyDescent="0.25">
      <c r="A1173" s="1" t="s">
        <v>2001</v>
      </c>
      <c r="B1173" s="2">
        <v>45314</v>
      </c>
      <c r="C1173" s="1" t="s">
        <v>36</v>
      </c>
      <c r="D1173" s="1" t="s">
        <v>28</v>
      </c>
      <c r="E1173" s="1" t="s">
        <v>117</v>
      </c>
      <c r="F1173" s="1" t="s">
        <v>21</v>
      </c>
      <c r="G1173" s="1" t="s">
        <v>112</v>
      </c>
      <c r="H1173" s="1" t="s">
        <v>223</v>
      </c>
      <c r="I1173" s="1">
        <v>997.26</v>
      </c>
      <c r="J1173" s="1">
        <v>2</v>
      </c>
      <c r="K1173" s="1">
        <v>1994.52</v>
      </c>
      <c r="L1173" s="1">
        <v>0</v>
      </c>
      <c r="M1173" s="1">
        <v>0</v>
      </c>
      <c r="N1173" s="1">
        <v>1994.52</v>
      </c>
      <c r="O1173" s="1" t="s">
        <v>46</v>
      </c>
      <c r="P1173" s="1" t="s">
        <v>298</v>
      </c>
      <c r="Q1173" s="1">
        <v>2</v>
      </c>
      <c r="R1173" s="1">
        <f>Retail_Sales_Analyis[[#This Row],[Final_Price]]-Retail_Sales_Analyis[[#This Row],[Total_Price]]</f>
        <v>0</v>
      </c>
      <c r="S11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74" spans="1:19" x14ac:dyDescent="0.25">
      <c r="A1174" s="1" t="s">
        <v>2002</v>
      </c>
      <c r="B1174" s="2">
        <v>45454</v>
      </c>
      <c r="C1174" s="1" t="s">
        <v>173</v>
      </c>
      <c r="D1174" s="1" t="s">
        <v>28</v>
      </c>
      <c r="E1174" s="1" t="s">
        <v>312</v>
      </c>
      <c r="F1174" s="1" t="s">
        <v>69</v>
      </c>
      <c r="G1174" s="1" t="s">
        <v>57</v>
      </c>
      <c r="H1174" s="1" t="s">
        <v>158</v>
      </c>
      <c r="I1174" s="1">
        <v>2553.9</v>
      </c>
      <c r="J1174" s="1">
        <v>6</v>
      </c>
      <c r="K1174" s="1">
        <v>15323.4</v>
      </c>
      <c r="L1174" s="1">
        <v>10</v>
      </c>
      <c r="M1174" s="1">
        <v>1532.34</v>
      </c>
      <c r="N1174" s="1">
        <v>13791.06</v>
      </c>
      <c r="O1174" s="1" t="s">
        <v>46</v>
      </c>
      <c r="P1174" s="1" t="s">
        <v>381</v>
      </c>
      <c r="Q1174" s="1">
        <v>5</v>
      </c>
      <c r="R1174" s="1">
        <f>Retail_Sales_Analyis[[#This Row],[Final_Price]]-Retail_Sales_Analyis[[#This Row],[Total_Price]]</f>
        <v>-1532.3400000000001</v>
      </c>
      <c r="S11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75" spans="1:19" x14ac:dyDescent="0.25">
      <c r="A1175" s="1" t="s">
        <v>2003</v>
      </c>
      <c r="B1175" s="2">
        <v>45534</v>
      </c>
      <c r="C1175" s="1" t="s">
        <v>93</v>
      </c>
      <c r="D1175" s="1" t="s">
        <v>144</v>
      </c>
      <c r="E1175" s="1" t="s">
        <v>261</v>
      </c>
      <c r="F1175" s="1" t="s">
        <v>37</v>
      </c>
      <c r="G1175" s="1" t="s">
        <v>85</v>
      </c>
      <c r="H1175" s="1" t="s">
        <v>180</v>
      </c>
      <c r="I1175" s="1">
        <v>2212.96</v>
      </c>
      <c r="J1175" s="1">
        <v>9</v>
      </c>
      <c r="K1175" s="1">
        <v>19916.64</v>
      </c>
      <c r="L1175" s="1">
        <v>0</v>
      </c>
      <c r="M1175" s="1">
        <v>0</v>
      </c>
      <c r="N1175" s="1">
        <v>19916.64</v>
      </c>
      <c r="O1175" s="1" t="s">
        <v>64</v>
      </c>
      <c r="P1175" s="1" t="s">
        <v>1011</v>
      </c>
      <c r="Q1175" s="1">
        <v>2</v>
      </c>
      <c r="R1175" s="1">
        <f>Retail_Sales_Analyis[[#This Row],[Final_Price]]-Retail_Sales_Analyis[[#This Row],[Total_Price]]</f>
        <v>0</v>
      </c>
      <c r="S11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76" spans="1:19" x14ac:dyDescent="0.25">
      <c r="A1176" s="1" t="s">
        <v>2004</v>
      </c>
      <c r="B1176" s="2">
        <v>45653</v>
      </c>
      <c r="C1176" s="1" t="s">
        <v>73</v>
      </c>
      <c r="D1176" s="1" t="s">
        <v>144</v>
      </c>
      <c r="E1176" s="1" t="s">
        <v>322</v>
      </c>
      <c r="F1176" s="1" t="s">
        <v>21</v>
      </c>
      <c r="G1176" s="1" t="s">
        <v>22</v>
      </c>
      <c r="H1176" s="1" t="s">
        <v>23</v>
      </c>
      <c r="I1176" s="1">
        <v>649.33000000000004</v>
      </c>
      <c r="J1176" s="1">
        <v>8</v>
      </c>
      <c r="K1176" s="1">
        <v>5194.6400000000003</v>
      </c>
      <c r="L1176" s="1">
        <v>15</v>
      </c>
      <c r="M1176" s="1">
        <v>779.2</v>
      </c>
      <c r="N1176" s="1">
        <v>4415.4399999999996</v>
      </c>
      <c r="O1176" s="1" t="s">
        <v>46</v>
      </c>
      <c r="P1176" s="1" t="s">
        <v>465</v>
      </c>
      <c r="Q1176" s="1">
        <v>2</v>
      </c>
      <c r="R1176" s="1">
        <f>Retail_Sales_Analyis[[#This Row],[Final_Price]]-Retail_Sales_Analyis[[#This Row],[Total_Price]]</f>
        <v>-779.20000000000073</v>
      </c>
      <c r="S11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77" spans="1:19" x14ac:dyDescent="0.25">
      <c r="A1177" s="1" t="s">
        <v>2005</v>
      </c>
      <c r="B1177" s="2">
        <v>45487</v>
      </c>
      <c r="C1177" s="1" t="s">
        <v>195</v>
      </c>
      <c r="D1177" s="1" t="s">
        <v>49</v>
      </c>
      <c r="E1177" s="1" t="s">
        <v>83</v>
      </c>
      <c r="F1177" s="1" t="s">
        <v>21</v>
      </c>
      <c r="G1177" s="1" t="s">
        <v>31</v>
      </c>
      <c r="H1177" s="1" t="s">
        <v>329</v>
      </c>
      <c r="I1177" s="1">
        <v>390.05</v>
      </c>
      <c r="J1177" s="1">
        <v>3</v>
      </c>
      <c r="K1177" s="1">
        <v>1170.1500000000001</v>
      </c>
      <c r="L1177" s="1">
        <v>5</v>
      </c>
      <c r="M1177" s="1">
        <v>58.51</v>
      </c>
      <c r="N1177" s="1">
        <v>1111.6400000000001</v>
      </c>
      <c r="O1177" s="1" t="s">
        <v>33</v>
      </c>
      <c r="P1177" s="1" t="s">
        <v>1100</v>
      </c>
      <c r="Q1177" s="1">
        <v>4</v>
      </c>
      <c r="R1177" s="1">
        <f>Retail_Sales_Analyis[[#This Row],[Final_Price]]-Retail_Sales_Analyis[[#This Row],[Total_Price]]</f>
        <v>-58.509999999999991</v>
      </c>
      <c r="S11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78" spans="1:19" x14ac:dyDescent="0.25">
      <c r="A1178" s="1" t="s">
        <v>2006</v>
      </c>
      <c r="B1178" s="2">
        <v>45489</v>
      </c>
      <c r="C1178" s="1" t="s">
        <v>195</v>
      </c>
      <c r="D1178" s="1" t="s">
        <v>28</v>
      </c>
      <c r="E1178" s="1" t="s">
        <v>129</v>
      </c>
      <c r="F1178" s="1" t="s">
        <v>69</v>
      </c>
      <c r="G1178" s="1" t="s">
        <v>112</v>
      </c>
      <c r="H1178" s="1" t="s">
        <v>183</v>
      </c>
      <c r="I1178" s="1">
        <v>1532.18</v>
      </c>
      <c r="J1178" s="1">
        <v>6</v>
      </c>
      <c r="K1178" s="1">
        <v>9193.08</v>
      </c>
      <c r="L1178" s="1">
        <v>5</v>
      </c>
      <c r="M1178" s="1">
        <v>459.65</v>
      </c>
      <c r="N1178" s="1">
        <v>8733.43</v>
      </c>
      <c r="O1178" s="1" t="s">
        <v>80</v>
      </c>
      <c r="P1178" s="1" t="s">
        <v>2007</v>
      </c>
      <c r="Q1178" s="1">
        <v>5</v>
      </c>
      <c r="R1178" s="1">
        <f>Retail_Sales_Analyis[[#This Row],[Final_Price]]-Retail_Sales_Analyis[[#This Row],[Total_Price]]</f>
        <v>-459.64999999999964</v>
      </c>
      <c r="S117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79" spans="1:19" x14ac:dyDescent="0.25">
      <c r="A1179" s="1" t="s">
        <v>2008</v>
      </c>
      <c r="B1179" s="2">
        <v>45631</v>
      </c>
      <c r="C1179" s="1" t="s">
        <v>73</v>
      </c>
      <c r="D1179" s="1" t="s">
        <v>67</v>
      </c>
      <c r="E1179" s="1" t="s">
        <v>307</v>
      </c>
      <c r="F1179" s="1" t="s">
        <v>37</v>
      </c>
      <c r="G1179" s="1" t="s">
        <v>112</v>
      </c>
      <c r="H1179" s="1" t="s">
        <v>288</v>
      </c>
      <c r="I1179" s="1">
        <v>1919.91</v>
      </c>
      <c r="J1179" s="1">
        <v>10</v>
      </c>
      <c r="K1179" s="1">
        <v>19199.099999999999</v>
      </c>
      <c r="L1179" s="1">
        <v>0</v>
      </c>
      <c r="M1179" s="1">
        <v>0</v>
      </c>
      <c r="N1179" s="1">
        <v>19199.099999999999</v>
      </c>
      <c r="O1179" s="1" t="s">
        <v>46</v>
      </c>
      <c r="P1179" s="1" t="s">
        <v>345</v>
      </c>
      <c r="Q1179" s="1">
        <v>1</v>
      </c>
      <c r="R1179" s="1">
        <f>Retail_Sales_Analyis[[#This Row],[Final_Price]]-Retail_Sales_Analyis[[#This Row],[Total_Price]]</f>
        <v>0</v>
      </c>
      <c r="S11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0" spans="1:19" x14ac:dyDescent="0.25">
      <c r="A1180" s="1" t="s">
        <v>2009</v>
      </c>
      <c r="B1180" s="2">
        <v>45625</v>
      </c>
      <c r="C1180" s="1" t="s">
        <v>18</v>
      </c>
      <c r="D1180" s="1" t="s">
        <v>144</v>
      </c>
      <c r="E1180" s="1" t="s">
        <v>328</v>
      </c>
      <c r="F1180" s="1" t="s">
        <v>30</v>
      </c>
      <c r="G1180" s="1" t="s">
        <v>85</v>
      </c>
      <c r="H1180" s="1" t="s">
        <v>90</v>
      </c>
      <c r="I1180" s="1">
        <v>2200.42</v>
      </c>
      <c r="J1180" s="1">
        <v>7</v>
      </c>
      <c r="K1180" s="1">
        <v>15402.94</v>
      </c>
      <c r="L1180" s="1">
        <v>0</v>
      </c>
      <c r="M1180" s="1">
        <v>0</v>
      </c>
      <c r="N1180" s="1">
        <v>15402.94</v>
      </c>
      <c r="O1180" s="1" t="s">
        <v>24</v>
      </c>
      <c r="P1180" s="1" t="s">
        <v>1957</v>
      </c>
      <c r="Q1180" s="1">
        <v>2</v>
      </c>
      <c r="R1180" s="1">
        <f>Retail_Sales_Analyis[[#This Row],[Final_Price]]-Retail_Sales_Analyis[[#This Row],[Total_Price]]</f>
        <v>0</v>
      </c>
      <c r="S11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1" spans="1:19" x14ac:dyDescent="0.25">
      <c r="A1181" s="1" t="s">
        <v>2010</v>
      </c>
      <c r="B1181" s="2">
        <v>45369</v>
      </c>
      <c r="C1181" s="1" t="s">
        <v>61</v>
      </c>
      <c r="D1181" s="1" t="s">
        <v>43</v>
      </c>
      <c r="E1181" s="1" t="s">
        <v>261</v>
      </c>
      <c r="F1181" s="1" t="s">
        <v>21</v>
      </c>
      <c r="G1181" s="1" t="s">
        <v>169</v>
      </c>
      <c r="H1181" s="1" t="s">
        <v>175</v>
      </c>
      <c r="I1181" s="1">
        <v>1023.38</v>
      </c>
      <c r="J1181" s="1">
        <v>8</v>
      </c>
      <c r="K1181" s="1">
        <v>8187.04</v>
      </c>
      <c r="L1181" s="1">
        <v>0</v>
      </c>
      <c r="M1181" s="1">
        <v>0</v>
      </c>
      <c r="N1181" s="1">
        <v>8187.04</v>
      </c>
      <c r="O1181" s="1" t="s">
        <v>80</v>
      </c>
      <c r="P1181" s="1" t="s">
        <v>197</v>
      </c>
      <c r="Q1181" s="1">
        <v>5</v>
      </c>
      <c r="R1181" s="1">
        <f>Retail_Sales_Analyis[[#This Row],[Final_Price]]-Retail_Sales_Analyis[[#This Row],[Total_Price]]</f>
        <v>0</v>
      </c>
      <c r="S11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2" spans="1:19" x14ac:dyDescent="0.25">
      <c r="A1182" s="1" t="s">
        <v>2011</v>
      </c>
      <c r="B1182" s="2">
        <v>45545</v>
      </c>
      <c r="C1182" s="1" t="s">
        <v>116</v>
      </c>
      <c r="D1182" s="1" t="s">
        <v>28</v>
      </c>
      <c r="E1182" s="1" t="s">
        <v>236</v>
      </c>
      <c r="F1182" s="1" t="s">
        <v>37</v>
      </c>
      <c r="G1182" s="1" t="s">
        <v>38</v>
      </c>
      <c r="H1182" s="1" t="s">
        <v>214</v>
      </c>
      <c r="I1182" s="1">
        <v>459.4</v>
      </c>
      <c r="J1182" s="1">
        <v>9</v>
      </c>
      <c r="K1182" s="1">
        <v>4134.6000000000004</v>
      </c>
      <c r="L1182" s="1">
        <v>0</v>
      </c>
      <c r="M1182" s="1">
        <v>0</v>
      </c>
      <c r="N1182" s="1">
        <v>4134.6000000000004</v>
      </c>
      <c r="O1182" s="1" t="s">
        <v>33</v>
      </c>
      <c r="P1182" s="1" t="s">
        <v>685</v>
      </c>
      <c r="Q1182" s="1">
        <v>3</v>
      </c>
      <c r="R1182" s="1">
        <f>Retail_Sales_Analyis[[#This Row],[Final_Price]]-Retail_Sales_Analyis[[#This Row],[Total_Price]]</f>
        <v>0</v>
      </c>
      <c r="S11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3" spans="1:19" x14ac:dyDescent="0.25">
      <c r="A1183" s="1" t="s">
        <v>2012</v>
      </c>
      <c r="B1183" s="2">
        <v>45310</v>
      </c>
      <c r="C1183" s="1" t="s">
        <v>36</v>
      </c>
      <c r="D1183" s="1" t="s">
        <v>144</v>
      </c>
      <c r="E1183" s="1" t="s">
        <v>117</v>
      </c>
      <c r="F1183" s="1" t="s">
        <v>69</v>
      </c>
      <c r="G1183" s="1" t="s">
        <v>57</v>
      </c>
      <c r="H1183" s="1" t="s">
        <v>158</v>
      </c>
      <c r="I1183" s="1">
        <v>936.72</v>
      </c>
      <c r="J1183" s="1">
        <v>7</v>
      </c>
      <c r="K1183" s="1">
        <v>6557.04</v>
      </c>
      <c r="L1183" s="1">
        <v>0</v>
      </c>
      <c r="M1183" s="1">
        <v>0</v>
      </c>
      <c r="N1183" s="1">
        <v>6557.04</v>
      </c>
      <c r="O1183" s="1" t="s">
        <v>24</v>
      </c>
      <c r="P1183" s="1" t="s">
        <v>1477</v>
      </c>
      <c r="Q1183" s="1">
        <v>3</v>
      </c>
      <c r="R1183" s="1">
        <f>Retail_Sales_Analyis[[#This Row],[Final_Price]]-Retail_Sales_Analyis[[#This Row],[Total_Price]]</f>
        <v>0</v>
      </c>
      <c r="S11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4" spans="1:19" x14ac:dyDescent="0.25">
      <c r="A1184" s="1" t="s">
        <v>2013</v>
      </c>
      <c r="B1184" s="2">
        <v>45356</v>
      </c>
      <c r="C1184" s="1" t="s">
        <v>61</v>
      </c>
      <c r="D1184" s="1" t="s">
        <v>28</v>
      </c>
      <c r="E1184" s="1" t="s">
        <v>117</v>
      </c>
      <c r="F1184" s="1" t="s">
        <v>84</v>
      </c>
      <c r="G1184" s="1" t="s">
        <v>169</v>
      </c>
      <c r="H1184" s="1" t="s">
        <v>175</v>
      </c>
      <c r="I1184" s="1">
        <v>961.53</v>
      </c>
      <c r="J1184" s="1">
        <v>3</v>
      </c>
      <c r="K1184" s="1">
        <v>2884.59</v>
      </c>
      <c r="L1184" s="1">
        <v>20</v>
      </c>
      <c r="M1184" s="1">
        <v>576.91999999999996</v>
      </c>
      <c r="N1184" s="1">
        <v>2307.67</v>
      </c>
      <c r="O1184" s="1" t="s">
        <v>80</v>
      </c>
      <c r="P1184" s="1" t="s">
        <v>1561</v>
      </c>
      <c r="Q1184" s="1">
        <v>1</v>
      </c>
      <c r="R1184" s="1">
        <f>Retail_Sales_Analyis[[#This Row],[Final_Price]]-Retail_Sales_Analyis[[#This Row],[Total_Price]]</f>
        <v>-576.92000000000007</v>
      </c>
      <c r="S11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85" spans="1:19" x14ac:dyDescent="0.25">
      <c r="A1185" s="1" t="s">
        <v>2014</v>
      </c>
      <c r="B1185" s="2">
        <v>45549</v>
      </c>
      <c r="C1185" s="1" t="s">
        <v>116</v>
      </c>
      <c r="D1185" s="1" t="s">
        <v>19</v>
      </c>
      <c r="E1185" s="1" t="s">
        <v>168</v>
      </c>
      <c r="F1185" s="1" t="s">
        <v>30</v>
      </c>
      <c r="G1185" s="1" t="s">
        <v>38</v>
      </c>
      <c r="H1185" s="1" t="s">
        <v>108</v>
      </c>
      <c r="I1185" s="1">
        <v>239.75</v>
      </c>
      <c r="J1185" s="1">
        <v>8</v>
      </c>
      <c r="K1185" s="1">
        <v>1918</v>
      </c>
      <c r="L1185" s="1">
        <v>5</v>
      </c>
      <c r="M1185" s="1">
        <v>95.9</v>
      </c>
      <c r="N1185" s="1">
        <v>1822.1</v>
      </c>
      <c r="O1185" s="1" t="s">
        <v>33</v>
      </c>
      <c r="P1185" s="1" t="s">
        <v>385</v>
      </c>
      <c r="Q1185" s="1">
        <v>1</v>
      </c>
      <c r="R1185" s="1">
        <f>Retail_Sales_Analyis[[#This Row],[Final_Price]]-Retail_Sales_Analyis[[#This Row],[Total_Price]]</f>
        <v>-95.900000000000091</v>
      </c>
      <c r="S11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86" spans="1:19" x14ac:dyDescent="0.25">
      <c r="A1186" s="1" t="s">
        <v>2015</v>
      </c>
      <c r="B1186" s="2">
        <v>45594</v>
      </c>
      <c r="C1186" s="1" t="s">
        <v>76</v>
      </c>
      <c r="D1186" s="1" t="s">
        <v>28</v>
      </c>
      <c r="E1186" s="1" t="s">
        <v>97</v>
      </c>
      <c r="F1186" s="1" t="s">
        <v>30</v>
      </c>
      <c r="G1186" s="1" t="s">
        <v>22</v>
      </c>
      <c r="H1186" s="1" t="s">
        <v>277</v>
      </c>
      <c r="I1186" s="1">
        <v>493.44</v>
      </c>
      <c r="J1186" s="1">
        <v>9</v>
      </c>
      <c r="K1186" s="1">
        <v>4440.96</v>
      </c>
      <c r="L1186" s="1">
        <v>20</v>
      </c>
      <c r="M1186" s="1">
        <v>888.19</v>
      </c>
      <c r="N1186" s="1">
        <v>3552.77</v>
      </c>
      <c r="O1186" s="1" t="s">
        <v>33</v>
      </c>
      <c r="P1186" s="1" t="s">
        <v>2016</v>
      </c>
      <c r="Q1186" s="1">
        <v>4</v>
      </c>
      <c r="R1186" s="1">
        <f>Retail_Sales_Analyis[[#This Row],[Final_Price]]-Retail_Sales_Analyis[[#This Row],[Total_Price]]</f>
        <v>-888.19</v>
      </c>
      <c r="S11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87" spans="1:19" x14ac:dyDescent="0.25">
      <c r="A1187" s="1" t="s">
        <v>2017</v>
      </c>
      <c r="B1187" s="2">
        <v>45461</v>
      </c>
      <c r="C1187" s="1" t="s">
        <v>173</v>
      </c>
      <c r="D1187" s="1" t="s">
        <v>28</v>
      </c>
      <c r="E1187" s="1" t="s">
        <v>312</v>
      </c>
      <c r="F1187" s="1" t="s">
        <v>37</v>
      </c>
      <c r="G1187" s="1" t="s">
        <v>78</v>
      </c>
      <c r="H1187" s="1" t="s">
        <v>323</v>
      </c>
      <c r="I1187" s="1">
        <v>398.57</v>
      </c>
      <c r="J1187" s="1">
        <v>8</v>
      </c>
      <c r="K1187" s="1">
        <v>3188.56</v>
      </c>
      <c r="L1187" s="1">
        <v>0</v>
      </c>
      <c r="M1187" s="1">
        <v>0</v>
      </c>
      <c r="N1187" s="1">
        <v>3188.56</v>
      </c>
      <c r="O1187" s="1" t="s">
        <v>46</v>
      </c>
      <c r="P1187" s="1" t="s">
        <v>95</v>
      </c>
      <c r="Q1187" s="1">
        <v>1</v>
      </c>
      <c r="R1187" s="1">
        <f>Retail_Sales_Analyis[[#This Row],[Final_Price]]-Retail_Sales_Analyis[[#This Row],[Total_Price]]</f>
        <v>0</v>
      </c>
      <c r="S11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88" spans="1:19" x14ac:dyDescent="0.25">
      <c r="A1188" s="1" t="s">
        <v>2018</v>
      </c>
      <c r="B1188" s="2">
        <v>45343</v>
      </c>
      <c r="C1188" s="1" t="s">
        <v>27</v>
      </c>
      <c r="D1188" s="1" t="s">
        <v>55</v>
      </c>
      <c r="E1188" s="1" t="s">
        <v>29</v>
      </c>
      <c r="F1188" s="1" t="s">
        <v>37</v>
      </c>
      <c r="G1188" s="1" t="s">
        <v>78</v>
      </c>
      <c r="H1188" s="1" t="s">
        <v>126</v>
      </c>
      <c r="I1188" s="1">
        <v>553.12</v>
      </c>
      <c r="J1188" s="1">
        <v>1</v>
      </c>
      <c r="K1188" s="1">
        <v>553.12</v>
      </c>
      <c r="L1188" s="1">
        <v>20</v>
      </c>
      <c r="M1188" s="1">
        <v>110.62</v>
      </c>
      <c r="N1188" s="1">
        <v>442.5</v>
      </c>
      <c r="O1188" s="1" t="s">
        <v>64</v>
      </c>
      <c r="P1188" s="1" t="s">
        <v>345</v>
      </c>
      <c r="Q1188" s="1">
        <v>1</v>
      </c>
      <c r="R1188" s="1">
        <f>Retail_Sales_Analyis[[#This Row],[Final_Price]]-Retail_Sales_Analyis[[#This Row],[Total_Price]]</f>
        <v>-110.62</v>
      </c>
      <c r="S11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89" spans="1:19" x14ac:dyDescent="0.25">
      <c r="A1189" s="1" t="s">
        <v>2019</v>
      </c>
      <c r="B1189" s="2">
        <v>45517</v>
      </c>
      <c r="C1189" s="1" t="s">
        <v>93</v>
      </c>
      <c r="D1189" s="1" t="s">
        <v>28</v>
      </c>
      <c r="E1189" s="1" t="s">
        <v>157</v>
      </c>
      <c r="F1189" s="1" t="s">
        <v>37</v>
      </c>
      <c r="G1189" s="1" t="s">
        <v>78</v>
      </c>
      <c r="H1189" s="1" t="s">
        <v>79</v>
      </c>
      <c r="I1189" s="1">
        <v>219.3</v>
      </c>
      <c r="J1189" s="1">
        <v>4</v>
      </c>
      <c r="K1189" s="1">
        <v>877.2</v>
      </c>
      <c r="L1189" s="1">
        <v>20</v>
      </c>
      <c r="M1189" s="1">
        <v>175.44</v>
      </c>
      <c r="N1189" s="1">
        <v>701.76</v>
      </c>
      <c r="O1189" s="1" t="s">
        <v>24</v>
      </c>
      <c r="P1189" s="1" t="s">
        <v>2020</v>
      </c>
      <c r="Q1189" s="1">
        <v>1</v>
      </c>
      <c r="R1189" s="1">
        <f>Retail_Sales_Analyis[[#This Row],[Final_Price]]-Retail_Sales_Analyis[[#This Row],[Total_Price]]</f>
        <v>-175.44000000000005</v>
      </c>
      <c r="S11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90" spans="1:19" x14ac:dyDescent="0.25">
      <c r="A1190" s="1" t="s">
        <v>2021</v>
      </c>
      <c r="B1190" s="2">
        <v>45343</v>
      </c>
      <c r="C1190" s="1" t="s">
        <v>27</v>
      </c>
      <c r="D1190" s="1" t="s">
        <v>55</v>
      </c>
      <c r="E1190" s="1" t="s">
        <v>104</v>
      </c>
      <c r="F1190" s="1" t="s">
        <v>37</v>
      </c>
      <c r="G1190" s="1" t="s">
        <v>78</v>
      </c>
      <c r="H1190" s="1" t="s">
        <v>126</v>
      </c>
      <c r="I1190" s="1">
        <v>181.67</v>
      </c>
      <c r="J1190" s="1">
        <v>10</v>
      </c>
      <c r="K1190" s="1">
        <v>1816.7</v>
      </c>
      <c r="L1190" s="1">
        <v>15</v>
      </c>
      <c r="M1190" s="1">
        <v>272.5</v>
      </c>
      <c r="N1190" s="1">
        <v>1544.2</v>
      </c>
      <c r="O1190" s="1" t="s">
        <v>33</v>
      </c>
      <c r="P1190" s="1" t="s">
        <v>540</v>
      </c>
      <c r="Q1190" s="1">
        <v>3</v>
      </c>
      <c r="R1190" s="1">
        <f>Retail_Sales_Analyis[[#This Row],[Final_Price]]-Retail_Sales_Analyis[[#This Row],[Total_Price]]</f>
        <v>-272.5</v>
      </c>
      <c r="S11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91" spans="1:19" x14ac:dyDescent="0.25">
      <c r="A1191" s="1" t="s">
        <v>2022</v>
      </c>
      <c r="B1191" s="2">
        <v>45561</v>
      </c>
      <c r="C1191" s="1" t="s">
        <v>116</v>
      </c>
      <c r="D1191" s="1" t="s">
        <v>67</v>
      </c>
      <c r="E1191" s="1" t="s">
        <v>239</v>
      </c>
      <c r="F1191" s="1" t="s">
        <v>37</v>
      </c>
      <c r="G1191" s="1" t="s">
        <v>169</v>
      </c>
      <c r="H1191" s="1" t="s">
        <v>208</v>
      </c>
      <c r="I1191" s="1">
        <v>1144.98</v>
      </c>
      <c r="J1191" s="1">
        <v>4</v>
      </c>
      <c r="K1191" s="1">
        <v>4579.92</v>
      </c>
      <c r="L1191" s="1">
        <v>15</v>
      </c>
      <c r="M1191" s="1">
        <v>686.99</v>
      </c>
      <c r="N1191" s="1">
        <v>3892.93</v>
      </c>
      <c r="O1191" s="1" t="s">
        <v>24</v>
      </c>
      <c r="P1191" s="1" t="s">
        <v>1161</v>
      </c>
      <c r="Q1191" s="1">
        <v>2</v>
      </c>
      <c r="R1191" s="1">
        <f>Retail_Sales_Analyis[[#This Row],[Final_Price]]-Retail_Sales_Analyis[[#This Row],[Total_Price]]</f>
        <v>-686.99000000000024</v>
      </c>
      <c r="S11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192" spans="1:19" x14ac:dyDescent="0.25">
      <c r="A1192" s="1" t="s">
        <v>2023</v>
      </c>
      <c r="B1192" s="2">
        <v>45525</v>
      </c>
      <c r="C1192" s="1" t="s">
        <v>93</v>
      </c>
      <c r="D1192" s="1" t="s">
        <v>55</v>
      </c>
      <c r="E1192" s="1" t="s">
        <v>186</v>
      </c>
      <c r="F1192" s="1" t="s">
        <v>69</v>
      </c>
      <c r="G1192" s="1" t="s">
        <v>22</v>
      </c>
      <c r="H1192" s="1" t="s">
        <v>23</v>
      </c>
      <c r="I1192" s="1">
        <v>368.18</v>
      </c>
      <c r="J1192" s="1">
        <v>2</v>
      </c>
      <c r="K1192" s="1">
        <v>736.36</v>
      </c>
      <c r="L1192" s="1">
        <v>5</v>
      </c>
      <c r="M1192" s="1">
        <v>36.82</v>
      </c>
      <c r="N1192" s="1">
        <v>699.54</v>
      </c>
      <c r="O1192" s="1" t="s">
        <v>46</v>
      </c>
      <c r="P1192" s="1" t="s">
        <v>1845</v>
      </c>
      <c r="Q1192" s="1">
        <v>5</v>
      </c>
      <c r="R1192" s="1">
        <f>Retail_Sales_Analyis[[#This Row],[Final_Price]]-Retail_Sales_Analyis[[#This Row],[Total_Price]]</f>
        <v>-36.82000000000005</v>
      </c>
      <c r="S11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93" spans="1:19" x14ac:dyDescent="0.25">
      <c r="A1193" s="1" t="s">
        <v>2024</v>
      </c>
      <c r="B1193" s="2">
        <v>45299</v>
      </c>
      <c r="C1193" s="1" t="s">
        <v>36</v>
      </c>
      <c r="D1193" s="1" t="s">
        <v>43</v>
      </c>
      <c r="E1193" s="1" t="s">
        <v>111</v>
      </c>
      <c r="F1193" s="1" t="s">
        <v>69</v>
      </c>
      <c r="G1193" s="1" t="s">
        <v>57</v>
      </c>
      <c r="H1193" s="1" t="s">
        <v>58</v>
      </c>
      <c r="I1193" s="1">
        <v>1895.28</v>
      </c>
      <c r="J1193" s="1">
        <v>3</v>
      </c>
      <c r="K1193" s="1">
        <v>5685.84</v>
      </c>
      <c r="L1193" s="1">
        <v>5</v>
      </c>
      <c r="M1193" s="1">
        <v>284.29000000000002</v>
      </c>
      <c r="N1193" s="1">
        <v>5401.55</v>
      </c>
      <c r="O1193" s="1" t="s">
        <v>46</v>
      </c>
      <c r="P1193" s="1" t="s">
        <v>1203</v>
      </c>
      <c r="Q1193" s="1">
        <v>5</v>
      </c>
      <c r="R1193" s="1">
        <f>Retail_Sales_Analyis[[#This Row],[Final_Price]]-Retail_Sales_Analyis[[#This Row],[Total_Price]]</f>
        <v>-284.28999999999996</v>
      </c>
      <c r="S11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94" spans="1:19" x14ac:dyDescent="0.25">
      <c r="A1194" s="1" t="s">
        <v>2025</v>
      </c>
      <c r="B1194" s="2">
        <v>45365</v>
      </c>
      <c r="C1194" s="1" t="s">
        <v>61</v>
      </c>
      <c r="D1194" s="1" t="s">
        <v>67</v>
      </c>
      <c r="E1194" s="1" t="s">
        <v>196</v>
      </c>
      <c r="F1194" s="1" t="s">
        <v>21</v>
      </c>
      <c r="G1194" s="1" t="s">
        <v>112</v>
      </c>
      <c r="H1194" s="1" t="s">
        <v>223</v>
      </c>
      <c r="I1194" s="1">
        <v>763.78</v>
      </c>
      <c r="J1194" s="1">
        <v>4</v>
      </c>
      <c r="K1194" s="1">
        <v>3055.12</v>
      </c>
      <c r="L1194" s="1">
        <v>0</v>
      </c>
      <c r="M1194" s="1">
        <v>0</v>
      </c>
      <c r="N1194" s="1">
        <v>3055.12</v>
      </c>
      <c r="O1194" s="1" t="s">
        <v>64</v>
      </c>
      <c r="P1194" s="1" t="s">
        <v>1657</v>
      </c>
      <c r="Q1194" s="1">
        <v>5</v>
      </c>
      <c r="R1194" s="1">
        <f>Retail_Sales_Analyis[[#This Row],[Final_Price]]-Retail_Sales_Analyis[[#This Row],[Total_Price]]</f>
        <v>0</v>
      </c>
      <c r="S11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95" spans="1:19" x14ac:dyDescent="0.25">
      <c r="A1195" s="1" t="s">
        <v>2026</v>
      </c>
      <c r="B1195" s="2">
        <v>45501</v>
      </c>
      <c r="C1195" s="1" t="s">
        <v>195</v>
      </c>
      <c r="D1195" s="1" t="s">
        <v>49</v>
      </c>
      <c r="E1195" s="1" t="s">
        <v>207</v>
      </c>
      <c r="F1195" s="1" t="s">
        <v>84</v>
      </c>
      <c r="G1195" s="1" t="s">
        <v>169</v>
      </c>
      <c r="H1195" s="1" t="s">
        <v>208</v>
      </c>
      <c r="I1195" s="1">
        <v>525.84</v>
      </c>
      <c r="J1195" s="1">
        <v>6</v>
      </c>
      <c r="K1195" s="1">
        <v>3155.04</v>
      </c>
      <c r="L1195" s="1">
        <v>20</v>
      </c>
      <c r="M1195" s="1">
        <v>631.01</v>
      </c>
      <c r="N1195" s="1">
        <v>2524.0300000000002</v>
      </c>
      <c r="O1195" s="1" t="s">
        <v>64</v>
      </c>
      <c r="P1195" s="1" t="s">
        <v>155</v>
      </c>
      <c r="Q1195" s="1">
        <v>2</v>
      </c>
      <c r="R1195" s="1">
        <f>Retail_Sales_Analyis[[#This Row],[Final_Price]]-Retail_Sales_Analyis[[#This Row],[Total_Price]]</f>
        <v>-631.00999999999976</v>
      </c>
      <c r="S119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196" spans="1:19" x14ac:dyDescent="0.25">
      <c r="A1196" s="1" t="s">
        <v>2027</v>
      </c>
      <c r="B1196" s="2">
        <v>45627</v>
      </c>
      <c r="C1196" s="1" t="s">
        <v>73</v>
      </c>
      <c r="D1196" s="1" t="s">
        <v>49</v>
      </c>
      <c r="E1196" s="1" t="s">
        <v>117</v>
      </c>
      <c r="F1196" s="1" t="s">
        <v>21</v>
      </c>
      <c r="G1196" s="1" t="s">
        <v>22</v>
      </c>
      <c r="H1196" s="1" t="s">
        <v>187</v>
      </c>
      <c r="I1196" s="1">
        <v>712.48</v>
      </c>
      <c r="J1196" s="1">
        <v>4</v>
      </c>
      <c r="K1196" s="1">
        <v>2849.92</v>
      </c>
      <c r="L1196" s="1">
        <v>5</v>
      </c>
      <c r="M1196" s="1">
        <v>142.5</v>
      </c>
      <c r="N1196" s="1">
        <v>2707.42</v>
      </c>
      <c r="O1196" s="1" t="s">
        <v>46</v>
      </c>
      <c r="P1196" s="1" t="s">
        <v>147</v>
      </c>
      <c r="Q1196" s="1">
        <v>3</v>
      </c>
      <c r="R1196" s="1">
        <f>Retail_Sales_Analyis[[#This Row],[Final_Price]]-Retail_Sales_Analyis[[#This Row],[Total_Price]]</f>
        <v>-142.5</v>
      </c>
      <c r="S11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197" spans="1:19" x14ac:dyDescent="0.25">
      <c r="A1197" s="1" t="s">
        <v>2028</v>
      </c>
      <c r="B1197" s="2">
        <v>45371</v>
      </c>
      <c r="C1197" s="1" t="s">
        <v>61</v>
      </c>
      <c r="D1197" s="1" t="s">
        <v>55</v>
      </c>
      <c r="E1197" s="1" t="s">
        <v>44</v>
      </c>
      <c r="F1197" s="1" t="s">
        <v>30</v>
      </c>
      <c r="G1197" s="1" t="s">
        <v>112</v>
      </c>
      <c r="H1197" s="1" t="s">
        <v>118</v>
      </c>
      <c r="I1197" s="1">
        <v>922.17</v>
      </c>
      <c r="J1197" s="1">
        <v>3</v>
      </c>
      <c r="K1197" s="1">
        <v>2766.51</v>
      </c>
      <c r="L1197" s="1">
        <v>0</v>
      </c>
      <c r="M1197" s="1">
        <v>0</v>
      </c>
      <c r="N1197" s="1">
        <v>2766.51</v>
      </c>
      <c r="O1197" s="1" t="s">
        <v>24</v>
      </c>
      <c r="P1197" s="1" t="s">
        <v>900</v>
      </c>
      <c r="Q1197" s="1">
        <v>1</v>
      </c>
      <c r="R1197" s="1">
        <f>Retail_Sales_Analyis[[#This Row],[Final_Price]]-Retail_Sales_Analyis[[#This Row],[Total_Price]]</f>
        <v>0</v>
      </c>
      <c r="S11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98" spans="1:19" x14ac:dyDescent="0.25">
      <c r="A1198" s="1" t="s">
        <v>2029</v>
      </c>
      <c r="B1198" s="2">
        <v>45330</v>
      </c>
      <c r="C1198" s="1" t="s">
        <v>27</v>
      </c>
      <c r="D1198" s="1" t="s">
        <v>67</v>
      </c>
      <c r="E1198" s="1" t="s">
        <v>117</v>
      </c>
      <c r="F1198" s="1" t="s">
        <v>37</v>
      </c>
      <c r="G1198" s="1" t="s">
        <v>112</v>
      </c>
      <c r="H1198" s="1" t="s">
        <v>183</v>
      </c>
      <c r="I1198" s="1">
        <v>1633.48</v>
      </c>
      <c r="J1198" s="1">
        <v>7</v>
      </c>
      <c r="K1198" s="1">
        <v>11434.36</v>
      </c>
      <c r="L1198" s="1">
        <v>0</v>
      </c>
      <c r="M1198" s="1">
        <v>0</v>
      </c>
      <c r="N1198" s="1">
        <v>11434.36</v>
      </c>
      <c r="O1198" s="1" t="s">
        <v>33</v>
      </c>
      <c r="P1198" s="1" t="s">
        <v>1735</v>
      </c>
      <c r="Q1198" s="1">
        <v>1</v>
      </c>
      <c r="R1198" s="1">
        <f>Retail_Sales_Analyis[[#This Row],[Final_Price]]-Retail_Sales_Analyis[[#This Row],[Total_Price]]</f>
        <v>0</v>
      </c>
      <c r="S11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199" spans="1:19" x14ac:dyDescent="0.25">
      <c r="A1199" s="1" t="s">
        <v>2030</v>
      </c>
      <c r="B1199" s="2">
        <v>45532</v>
      </c>
      <c r="C1199" s="1" t="s">
        <v>93</v>
      </c>
      <c r="D1199" s="1" t="s">
        <v>55</v>
      </c>
      <c r="E1199" s="1" t="s">
        <v>312</v>
      </c>
      <c r="F1199" s="1" t="s">
        <v>30</v>
      </c>
      <c r="G1199" s="1" t="s">
        <v>78</v>
      </c>
      <c r="H1199" s="1" t="s">
        <v>126</v>
      </c>
      <c r="I1199" s="1">
        <v>455.19</v>
      </c>
      <c r="J1199" s="1">
        <v>2</v>
      </c>
      <c r="K1199" s="1">
        <v>910.38</v>
      </c>
      <c r="L1199" s="1">
        <v>10</v>
      </c>
      <c r="M1199" s="1">
        <v>91.04</v>
      </c>
      <c r="N1199" s="1">
        <v>819.34</v>
      </c>
      <c r="O1199" s="1" t="s">
        <v>46</v>
      </c>
      <c r="P1199" s="1" t="s">
        <v>476</v>
      </c>
      <c r="Q1199" s="1">
        <v>3</v>
      </c>
      <c r="R1199" s="1">
        <f>Retail_Sales_Analyis[[#This Row],[Final_Price]]-Retail_Sales_Analyis[[#This Row],[Total_Price]]</f>
        <v>-91.039999999999964</v>
      </c>
      <c r="S11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00" spans="1:19" x14ac:dyDescent="0.25">
      <c r="A1200" s="1" t="s">
        <v>2031</v>
      </c>
      <c r="B1200" s="2">
        <v>45427</v>
      </c>
      <c r="C1200" s="1" t="s">
        <v>42</v>
      </c>
      <c r="D1200" s="1" t="s">
        <v>55</v>
      </c>
      <c r="E1200" s="1" t="s">
        <v>125</v>
      </c>
      <c r="F1200" s="1" t="s">
        <v>84</v>
      </c>
      <c r="G1200" s="1" t="s">
        <v>31</v>
      </c>
      <c r="H1200" s="1" t="s">
        <v>63</v>
      </c>
      <c r="I1200" s="1">
        <v>274.86</v>
      </c>
      <c r="J1200" s="1">
        <v>8</v>
      </c>
      <c r="K1200" s="1">
        <v>2198.88</v>
      </c>
      <c r="L1200" s="1">
        <v>0</v>
      </c>
      <c r="M1200" s="1">
        <v>0</v>
      </c>
      <c r="N1200" s="1">
        <v>2198.88</v>
      </c>
      <c r="O1200" s="1" t="s">
        <v>80</v>
      </c>
      <c r="P1200" s="1" t="s">
        <v>1149</v>
      </c>
      <c r="Q1200" s="1">
        <v>2</v>
      </c>
      <c r="R1200" s="1">
        <f>Retail_Sales_Analyis[[#This Row],[Final_Price]]-Retail_Sales_Analyis[[#This Row],[Total_Price]]</f>
        <v>0</v>
      </c>
      <c r="S12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1" spans="1:19" x14ac:dyDescent="0.25">
      <c r="A1201" s="1" t="s">
        <v>2032</v>
      </c>
      <c r="B1201" s="2">
        <v>45465</v>
      </c>
      <c r="C1201" s="1" t="s">
        <v>173</v>
      </c>
      <c r="D1201" s="1" t="s">
        <v>19</v>
      </c>
      <c r="E1201" s="1" t="s">
        <v>56</v>
      </c>
      <c r="F1201" s="1" t="s">
        <v>69</v>
      </c>
      <c r="G1201" s="1" t="s">
        <v>112</v>
      </c>
      <c r="H1201" s="1" t="s">
        <v>118</v>
      </c>
      <c r="I1201" s="1">
        <v>1114.5999999999999</v>
      </c>
      <c r="J1201" s="1">
        <v>8</v>
      </c>
      <c r="K1201" s="1">
        <v>8916.7999999999993</v>
      </c>
      <c r="L1201" s="1">
        <v>0</v>
      </c>
      <c r="M1201" s="1">
        <v>0</v>
      </c>
      <c r="N1201" s="1">
        <v>8916.7999999999993</v>
      </c>
      <c r="O1201" s="1" t="s">
        <v>33</v>
      </c>
      <c r="P1201" s="1" t="s">
        <v>773</v>
      </c>
      <c r="Q1201" s="1">
        <v>4</v>
      </c>
      <c r="R1201" s="1">
        <f>Retail_Sales_Analyis[[#This Row],[Final_Price]]-Retail_Sales_Analyis[[#This Row],[Total_Price]]</f>
        <v>0</v>
      </c>
      <c r="S12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2" spans="1:19" x14ac:dyDescent="0.25">
      <c r="A1202" s="1" t="s">
        <v>2033</v>
      </c>
      <c r="B1202" s="2">
        <v>45611</v>
      </c>
      <c r="C1202" s="1" t="s">
        <v>18</v>
      </c>
      <c r="D1202" s="1" t="s">
        <v>144</v>
      </c>
      <c r="E1202" s="1" t="s">
        <v>121</v>
      </c>
      <c r="F1202" s="1" t="s">
        <v>21</v>
      </c>
      <c r="G1202" s="1" t="s">
        <v>85</v>
      </c>
      <c r="H1202" s="1" t="s">
        <v>86</v>
      </c>
      <c r="I1202" s="1">
        <v>2678.39</v>
      </c>
      <c r="J1202" s="1">
        <v>1</v>
      </c>
      <c r="K1202" s="1">
        <v>2678.39</v>
      </c>
      <c r="L1202" s="1">
        <v>20</v>
      </c>
      <c r="M1202" s="1">
        <v>535.67999999999995</v>
      </c>
      <c r="N1202" s="1">
        <v>2142.71</v>
      </c>
      <c r="O1202" s="1" t="s">
        <v>64</v>
      </c>
      <c r="P1202" s="1" t="s">
        <v>1166</v>
      </c>
      <c r="Q1202" s="1">
        <v>3</v>
      </c>
      <c r="R1202" s="1">
        <f>Retail_Sales_Analyis[[#This Row],[Final_Price]]-Retail_Sales_Analyis[[#This Row],[Total_Price]]</f>
        <v>-535.67999999999984</v>
      </c>
      <c r="S120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03" spans="1:19" x14ac:dyDescent="0.25">
      <c r="A1203" s="1" t="s">
        <v>2034</v>
      </c>
      <c r="B1203" s="2">
        <v>45646</v>
      </c>
      <c r="C1203" s="1" t="s">
        <v>73</v>
      </c>
      <c r="D1203" s="1" t="s">
        <v>144</v>
      </c>
      <c r="E1203" s="1" t="s">
        <v>145</v>
      </c>
      <c r="F1203" s="1" t="s">
        <v>37</v>
      </c>
      <c r="G1203" s="1" t="s">
        <v>78</v>
      </c>
      <c r="H1203" s="1" t="s">
        <v>79</v>
      </c>
      <c r="I1203" s="1">
        <v>345.47</v>
      </c>
      <c r="J1203" s="1">
        <v>3</v>
      </c>
      <c r="K1203" s="1">
        <v>1036.4100000000001</v>
      </c>
      <c r="L1203" s="1">
        <v>0</v>
      </c>
      <c r="M1203" s="1">
        <v>0</v>
      </c>
      <c r="N1203" s="1">
        <v>1036.4100000000001</v>
      </c>
      <c r="O1203" s="1" t="s">
        <v>80</v>
      </c>
      <c r="P1203" s="1" t="s">
        <v>2035</v>
      </c>
      <c r="Q1203" s="1">
        <v>2</v>
      </c>
      <c r="R1203" s="1">
        <f>Retail_Sales_Analyis[[#This Row],[Final_Price]]-Retail_Sales_Analyis[[#This Row],[Total_Price]]</f>
        <v>0</v>
      </c>
      <c r="S12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4" spans="1:19" x14ac:dyDescent="0.25">
      <c r="A1204" s="1" t="s">
        <v>2036</v>
      </c>
      <c r="B1204" s="2">
        <v>45495</v>
      </c>
      <c r="C1204" s="1" t="s">
        <v>195</v>
      </c>
      <c r="D1204" s="1" t="s">
        <v>43</v>
      </c>
      <c r="E1204" s="1" t="s">
        <v>207</v>
      </c>
      <c r="F1204" s="1" t="s">
        <v>21</v>
      </c>
      <c r="G1204" s="1" t="s">
        <v>22</v>
      </c>
      <c r="H1204" s="1" t="s">
        <v>51</v>
      </c>
      <c r="I1204" s="1">
        <v>319.92</v>
      </c>
      <c r="J1204" s="1">
        <v>6</v>
      </c>
      <c r="K1204" s="1">
        <v>1919.52</v>
      </c>
      <c r="L1204" s="1">
        <v>0</v>
      </c>
      <c r="M1204" s="1">
        <v>0</v>
      </c>
      <c r="N1204" s="1">
        <v>1919.52</v>
      </c>
      <c r="O1204" s="1" t="s">
        <v>24</v>
      </c>
      <c r="P1204" s="1" t="s">
        <v>469</v>
      </c>
      <c r="Q1204" s="1">
        <v>4</v>
      </c>
      <c r="R1204" s="1">
        <f>Retail_Sales_Analyis[[#This Row],[Final_Price]]-Retail_Sales_Analyis[[#This Row],[Total_Price]]</f>
        <v>0</v>
      </c>
      <c r="S12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5" spans="1:19" x14ac:dyDescent="0.25">
      <c r="A1205" s="1" t="s">
        <v>2037</v>
      </c>
      <c r="B1205" s="2">
        <v>45624</v>
      </c>
      <c r="C1205" s="1" t="s">
        <v>18</v>
      </c>
      <c r="D1205" s="1" t="s">
        <v>67</v>
      </c>
      <c r="E1205" s="1" t="s">
        <v>302</v>
      </c>
      <c r="F1205" s="1" t="s">
        <v>21</v>
      </c>
      <c r="G1205" s="1" t="s">
        <v>38</v>
      </c>
      <c r="H1205" s="1" t="s">
        <v>214</v>
      </c>
      <c r="I1205" s="1">
        <v>232.96</v>
      </c>
      <c r="J1205" s="1">
        <v>10</v>
      </c>
      <c r="K1205" s="1">
        <v>2329.6</v>
      </c>
      <c r="L1205" s="1">
        <v>15</v>
      </c>
      <c r="M1205" s="1">
        <v>349.44</v>
      </c>
      <c r="N1205" s="1">
        <v>1980.16</v>
      </c>
      <c r="O1205" s="1" t="s">
        <v>33</v>
      </c>
      <c r="P1205" s="1" t="s">
        <v>326</v>
      </c>
      <c r="Q1205" s="1">
        <v>4</v>
      </c>
      <c r="R1205" s="1">
        <f>Retail_Sales_Analyis[[#This Row],[Final_Price]]-Retail_Sales_Analyis[[#This Row],[Total_Price]]</f>
        <v>-349.43999999999983</v>
      </c>
      <c r="S12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06" spans="1:19" x14ac:dyDescent="0.25">
      <c r="A1206" s="1" t="s">
        <v>2038</v>
      </c>
      <c r="B1206" s="2">
        <v>45333</v>
      </c>
      <c r="C1206" s="1" t="s">
        <v>27</v>
      </c>
      <c r="D1206" s="1" t="s">
        <v>49</v>
      </c>
      <c r="E1206" s="1" t="s">
        <v>94</v>
      </c>
      <c r="F1206" s="1" t="s">
        <v>21</v>
      </c>
      <c r="G1206" s="1" t="s">
        <v>112</v>
      </c>
      <c r="H1206" s="1" t="s">
        <v>118</v>
      </c>
      <c r="I1206" s="1">
        <v>1942.16</v>
      </c>
      <c r="J1206" s="1">
        <v>2</v>
      </c>
      <c r="K1206" s="1">
        <v>3884.32</v>
      </c>
      <c r="L1206" s="1">
        <v>0</v>
      </c>
      <c r="M1206" s="1">
        <v>0</v>
      </c>
      <c r="N1206" s="1">
        <v>3884.32</v>
      </c>
      <c r="O1206" s="1" t="s">
        <v>33</v>
      </c>
      <c r="P1206" s="1" t="s">
        <v>2039</v>
      </c>
      <c r="Q1206" s="1">
        <v>5</v>
      </c>
      <c r="R1206" s="1">
        <f>Retail_Sales_Analyis[[#This Row],[Final_Price]]-Retail_Sales_Analyis[[#This Row],[Total_Price]]</f>
        <v>0</v>
      </c>
      <c r="S12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7" spans="1:19" x14ac:dyDescent="0.25">
      <c r="A1207" s="1" t="s">
        <v>2040</v>
      </c>
      <c r="B1207" s="2">
        <v>45460</v>
      </c>
      <c r="C1207" s="1" t="s">
        <v>173</v>
      </c>
      <c r="D1207" s="1" t="s">
        <v>43</v>
      </c>
      <c r="E1207" s="1" t="s">
        <v>328</v>
      </c>
      <c r="F1207" s="1" t="s">
        <v>30</v>
      </c>
      <c r="G1207" s="1" t="s">
        <v>31</v>
      </c>
      <c r="H1207" s="1" t="s">
        <v>250</v>
      </c>
      <c r="I1207" s="1">
        <v>237.36</v>
      </c>
      <c r="J1207" s="1">
        <v>1</v>
      </c>
      <c r="K1207" s="1">
        <v>237.36</v>
      </c>
      <c r="L1207" s="1">
        <v>0</v>
      </c>
      <c r="M1207" s="1">
        <v>0</v>
      </c>
      <c r="N1207" s="1">
        <v>237.36</v>
      </c>
      <c r="O1207" s="1" t="s">
        <v>64</v>
      </c>
      <c r="P1207" s="1" t="s">
        <v>2041</v>
      </c>
      <c r="Q1207" s="1">
        <v>3</v>
      </c>
      <c r="R1207" s="1">
        <f>Retail_Sales_Analyis[[#This Row],[Final_Price]]-Retail_Sales_Analyis[[#This Row],[Total_Price]]</f>
        <v>0</v>
      </c>
      <c r="S12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08" spans="1:19" x14ac:dyDescent="0.25">
      <c r="A1208" s="1" t="s">
        <v>2042</v>
      </c>
      <c r="B1208" s="2">
        <v>45637</v>
      </c>
      <c r="C1208" s="1" t="s">
        <v>73</v>
      </c>
      <c r="D1208" s="1" t="s">
        <v>55</v>
      </c>
      <c r="E1208" s="1" t="s">
        <v>204</v>
      </c>
      <c r="F1208" s="1" t="s">
        <v>30</v>
      </c>
      <c r="G1208" s="1" t="s">
        <v>22</v>
      </c>
      <c r="H1208" s="1" t="s">
        <v>187</v>
      </c>
      <c r="I1208" s="1">
        <v>297.48</v>
      </c>
      <c r="J1208" s="1">
        <v>3</v>
      </c>
      <c r="K1208" s="1">
        <v>892.44</v>
      </c>
      <c r="L1208" s="1">
        <v>10</v>
      </c>
      <c r="M1208" s="1">
        <v>89.24</v>
      </c>
      <c r="N1208" s="1">
        <v>803.2</v>
      </c>
      <c r="O1208" s="1" t="s">
        <v>46</v>
      </c>
      <c r="P1208" s="1" t="s">
        <v>1039</v>
      </c>
      <c r="Q1208" s="1">
        <v>3</v>
      </c>
      <c r="R1208" s="1">
        <f>Retail_Sales_Analyis[[#This Row],[Final_Price]]-Retail_Sales_Analyis[[#This Row],[Total_Price]]</f>
        <v>-89.240000000000009</v>
      </c>
      <c r="S12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09" spans="1:19" x14ac:dyDescent="0.25">
      <c r="A1209" s="1" t="s">
        <v>2043</v>
      </c>
      <c r="B1209" s="2">
        <v>45565</v>
      </c>
      <c r="C1209" s="1" t="s">
        <v>116</v>
      </c>
      <c r="D1209" s="1" t="s">
        <v>43</v>
      </c>
      <c r="E1209" s="1" t="s">
        <v>307</v>
      </c>
      <c r="F1209" s="1" t="s">
        <v>69</v>
      </c>
      <c r="G1209" s="1" t="s">
        <v>85</v>
      </c>
      <c r="H1209" s="1" t="s">
        <v>180</v>
      </c>
      <c r="I1209" s="1">
        <v>3261.31</v>
      </c>
      <c r="J1209" s="1">
        <v>8</v>
      </c>
      <c r="K1209" s="1">
        <v>26090.48</v>
      </c>
      <c r="L1209" s="1">
        <v>0</v>
      </c>
      <c r="M1209" s="1">
        <v>0</v>
      </c>
      <c r="N1209" s="1">
        <v>26090.48</v>
      </c>
      <c r="O1209" s="1" t="s">
        <v>24</v>
      </c>
      <c r="P1209" s="1" t="s">
        <v>2044</v>
      </c>
      <c r="Q1209" s="1">
        <v>4</v>
      </c>
      <c r="R1209" s="1">
        <f>Retail_Sales_Analyis[[#This Row],[Final_Price]]-Retail_Sales_Analyis[[#This Row],[Total_Price]]</f>
        <v>0</v>
      </c>
      <c r="S12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10" spans="1:19" x14ac:dyDescent="0.25">
      <c r="A1210" s="1" t="s">
        <v>2045</v>
      </c>
      <c r="B1210" s="2">
        <v>45486</v>
      </c>
      <c r="C1210" s="1" t="s">
        <v>195</v>
      </c>
      <c r="D1210" s="1" t="s">
        <v>19</v>
      </c>
      <c r="E1210" s="1" t="s">
        <v>163</v>
      </c>
      <c r="F1210" s="1" t="s">
        <v>30</v>
      </c>
      <c r="G1210" s="1" t="s">
        <v>57</v>
      </c>
      <c r="H1210" s="1" t="s">
        <v>158</v>
      </c>
      <c r="I1210" s="1">
        <v>2127.19</v>
      </c>
      <c r="J1210" s="1">
        <v>6</v>
      </c>
      <c r="K1210" s="1">
        <v>12763.14</v>
      </c>
      <c r="L1210" s="1">
        <v>15</v>
      </c>
      <c r="M1210" s="1">
        <v>1914.47</v>
      </c>
      <c r="N1210" s="1">
        <v>10848.67</v>
      </c>
      <c r="O1210" s="1" t="s">
        <v>33</v>
      </c>
      <c r="P1210" s="1" t="s">
        <v>1877</v>
      </c>
      <c r="Q1210" s="1">
        <v>3</v>
      </c>
      <c r="R1210" s="1">
        <f>Retail_Sales_Analyis[[#This Row],[Final_Price]]-Retail_Sales_Analyis[[#This Row],[Total_Price]]</f>
        <v>-1914.4699999999993</v>
      </c>
      <c r="S12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11" spans="1:19" x14ac:dyDescent="0.25">
      <c r="A1211" s="1" t="s">
        <v>2046</v>
      </c>
      <c r="B1211" s="2">
        <v>45454</v>
      </c>
      <c r="C1211" s="1" t="s">
        <v>173</v>
      </c>
      <c r="D1211" s="1" t="s">
        <v>28</v>
      </c>
      <c r="E1211" s="1" t="s">
        <v>97</v>
      </c>
      <c r="F1211" s="1" t="s">
        <v>84</v>
      </c>
      <c r="G1211" s="1" t="s">
        <v>78</v>
      </c>
      <c r="H1211" s="1" t="s">
        <v>146</v>
      </c>
      <c r="I1211" s="1">
        <v>555.84</v>
      </c>
      <c r="J1211" s="1">
        <v>6</v>
      </c>
      <c r="K1211" s="1">
        <v>3335.04</v>
      </c>
      <c r="L1211" s="1">
        <v>20</v>
      </c>
      <c r="M1211" s="1">
        <v>667.01</v>
      </c>
      <c r="N1211" s="1">
        <v>2668.03</v>
      </c>
      <c r="O1211" s="1" t="s">
        <v>80</v>
      </c>
      <c r="P1211" s="1" t="s">
        <v>1820</v>
      </c>
      <c r="Q1211" s="1">
        <v>2</v>
      </c>
      <c r="R1211" s="1">
        <f>Retail_Sales_Analyis[[#This Row],[Final_Price]]-Retail_Sales_Analyis[[#This Row],[Total_Price]]</f>
        <v>-667.00999999999976</v>
      </c>
      <c r="S121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12" spans="1:19" x14ac:dyDescent="0.25">
      <c r="A1212" s="1" t="s">
        <v>2047</v>
      </c>
      <c r="B1212" s="2">
        <v>45612</v>
      </c>
      <c r="C1212" s="1" t="s">
        <v>18</v>
      </c>
      <c r="D1212" s="1" t="s">
        <v>19</v>
      </c>
      <c r="E1212" s="1" t="s">
        <v>542</v>
      </c>
      <c r="F1212" s="1" t="s">
        <v>69</v>
      </c>
      <c r="G1212" s="1" t="s">
        <v>57</v>
      </c>
      <c r="H1212" s="1" t="s">
        <v>101</v>
      </c>
      <c r="I1212" s="1">
        <v>1568.05</v>
      </c>
      <c r="J1212" s="1">
        <v>8</v>
      </c>
      <c r="K1212" s="1">
        <v>12544.4</v>
      </c>
      <c r="L1212" s="1">
        <v>0</v>
      </c>
      <c r="M1212" s="1">
        <v>0</v>
      </c>
      <c r="N1212" s="1">
        <v>12544.4</v>
      </c>
      <c r="O1212" s="1" t="s">
        <v>46</v>
      </c>
      <c r="P1212" s="1" t="s">
        <v>969</v>
      </c>
      <c r="Q1212" s="1">
        <v>5</v>
      </c>
      <c r="R1212" s="1">
        <f>Retail_Sales_Analyis[[#This Row],[Final_Price]]-Retail_Sales_Analyis[[#This Row],[Total_Price]]</f>
        <v>0</v>
      </c>
      <c r="S12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13" spans="1:19" x14ac:dyDescent="0.25">
      <c r="A1213" s="1" t="s">
        <v>2048</v>
      </c>
      <c r="B1213" s="2">
        <v>45541</v>
      </c>
      <c r="C1213" s="1" t="s">
        <v>116</v>
      </c>
      <c r="D1213" s="1" t="s">
        <v>144</v>
      </c>
      <c r="E1213" s="1" t="s">
        <v>204</v>
      </c>
      <c r="F1213" s="1" t="s">
        <v>30</v>
      </c>
      <c r="G1213" s="1" t="s">
        <v>85</v>
      </c>
      <c r="H1213" s="1" t="s">
        <v>90</v>
      </c>
      <c r="I1213" s="1">
        <v>2286.62</v>
      </c>
      <c r="J1213" s="1">
        <v>9</v>
      </c>
      <c r="K1213" s="1">
        <v>20579.580000000002</v>
      </c>
      <c r="L1213" s="1">
        <v>5</v>
      </c>
      <c r="M1213" s="1">
        <v>1028.98</v>
      </c>
      <c r="N1213" s="1">
        <v>19550.599999999999</v>
      </c>
      <c r="O1213" s="1" t="s">
        <v>33</v>
      </c>
      <c r="P1213" s="1" t="s">
        <v>1669</v>
      </c>
      <c r="Q1213" s="1">
        <v>5</v>
      </c>
      <c r="R1213" s="1">
        <f>Retail_Sales_Analyis[[#This Row],[Final_Price]]-Retail_Sales_Analyis[[#This Row],[Total_Price]]</f>
        <v>-1028.9800000000032</v>
      </c>
      <c r="S12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14" spans="1:19" x14ac:dyDescent="0.25">
      <c r="A1214" s="1" t="s">
        <v>2049</v>
      </c>
      <c r="B1214" s="2">
        <v>45569</v>
      </c>
      <c r="C1214" s="1" t="s">
        <v>76</v>
      </c>
      <c r="D1214" s="1" t="s">
        <v>144</v>
      </c>
      <c r="E1214" s="1" t="s">
        <v>77</v>
      </c>
      <c r="F1214" s="1" t="s">
        <v>37</v>
      </c>
      <c r="G1214" s="1" t="s">
        <v>31</v>
      </c>
      <c r="H1214" s="1" t="s">
        <v>32</v>
      </c>
      <c r="I1214" s="1">
        <v>399.84</v>
      </c>
      <c r="J1214" s="1">
        <v>5</v>
      </c>
      <c r="K1214" s="1">
        <v>1999.2</v>
      </c>
      <c r="L1214" s="1">
        <v>15</v>
      </c>
      <c r="M1214" s="1">
        <v>299.88</v>
      </c>
      <c r="N1214" s="1">
        <v>1699.32</v>
      </c>
      <c r="O1214" s="1" t="s">
        <v>64</v>
      </c>
      <c r="P1214" s="1" t="s">
        <v>474</v>
      </c>
      <c r="Q1214" s="1">
        <v>3</v>
      </c>
      <c r="R1214" s="1">
        <f>Retail_Sales_Analyis[[#This Row],[Final_Price]]-Retail_Sales_Analyis[[#This Row],[Total_Price]]</f>
        <v>-299.88000000000011</v>
      </c>
      <c r="S12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15" spans="1:19" x14ac:dyDescent="0.25">
      <c r="A1215" s="1" t="s">
        <v>2050</v>
      </c>
      <c r="B1215" s="2">
        <v>45310</v>
      </c>
      <c r="C1215" s="1" t="s">
        <v>36</v>
      </c>
      <c r="D1215" s="1" t="s">
        <v>144</v>
      </c>
      <c r="E1215" s="1" t="s">
        <v>163</v>
      </c>
      <c r="F1215" s="1" t="s">
        <v>21</v>
      </c>
      <c r="G1215" s="1" t="s">
        <v>57</v>
      </c>
      <c r="H1215" s="1" t="s">
        <v>101</v>
      </c>
      <c r="I1215" s="1">
        <v>1972.6</v>
      </c>
      <c r="J1215" s="1">
        <v>6</v>
      </c>
      <c r="K1215" s="1">
        <v>11835.6</v>
      </c>
      <c r="L1215" s="1">
        <v>0</v>
      </c>
      <c r="M1215" s="1">
        <v>0</v>
      </c>
      <c r="N1215" s="1">
        <v>11835.6</v>
      </c>
      <c r="O1215" s="1" t="s">
        <v>80</v>
      </c>
      <c r="P1215" s="1" t="s">
        <v>262</v>
      </c>
      <c r="Q1215" s="1">
        <v>4</v>
      </c>
      <c r="R1215" s="1">
        <f>Retail_Sales_Analyis[[#This Row],[Final_Price]]-Retail_Sales_Analyis[[#This Row],[Total_Price]]</f>
        <v>0</v>
      </c>
      <c r="S12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16" spans="1:19" x14ac:dyDescent="0.25">
      <c r="A1216" s="1" t="s">
        <v>2051</v>
      </c>
      <c r="B1216" s="2">
        <v>45608</v>
      </c>
      <c r="C1216" s="1" t="s">
        <v>18</v>
      </c>
      <c r="D1216" s="1" t="s">
        <v>28</v>
      </c>
      <c r="E1216" s="1" t="s">
        <v>20</v>
      </c>
      <c r="F1216" s="1" t="s">
        <v>21</v>
      </c>
      <c r="G1216" s="1" t="s">
        <v>38</v>
      </c>
      <c r="H1216" s="1" t="s">
        <v>422</v>
      </c>
      <c r="I1216" s="1">
        <v>439.29</v>
      </c>
      <c r="J1216" s="1">
        <v>6</v>
      </c>
      <c r="K1216" s="1">
        <v>2635.74</v>
      </c>
      <c r="L1216" s="1">
        <v>10</v>
      </c>
      <c r="M1216" s="1">
        <v>263.57</v>
      </c>
      <c r="N1216" s="1">
        <v>2372.17</v>
      </c>
      <c r="O1216" s="1" t="s">
        <v>80</v>
      </c>
      <c r="P1216" s="1" t="s">
        <v>298</v>
      </c>
      <c r="Q1216" s="1">
        <v>2</v>
      </c>
      <c r="R1216" s="1">
        <f>Retail_Sales_Analyis[[#This Row],[Final_Price]]-Retail_Sales_Analyis[[#This Row],[Total_Price]]</f>
        <v>-263.56999999999971</v>
      </c>
      <c r="S12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17" spans="1:19" x14ac:dyDescent="0.25">
      <c r="A1217" s="1" t="s">
        <v>2052</v>
      </c>
      <c r="B1217" s="2">
        <v>45327</v>
      </c>
      <c r="C1217" s="1" t="s">
        <v>27</v>
      </c>
      <c r="D1217" s="1" t="s">
        <v>43</v>
      </c>
      <c r="E1217" s="1" t="s">
        <v>29</v>
      </c>
      <c r="F1217" s="1" t="s">
        <v>69</v>
      </c>
      <c r="G1217" s="1" t="s">
        <v>169</v>
      </c>
      <c r="H1217" s="1" t="s">
        <v>175</v>
      </c>
      <c r="I1217" s="1">
        <v>1180.0999999999999</v>
      </c>
      <c r="J1217" s="1">
        <v>4</v>
      </c>
      <c r="K1217" s="1">
        <v>4720.3999999999996</v>
      </c>
      <c r="L1217" s="1">
        <v>10</v>
      </c>
      <c r="M1217" s="1">
        <v>472.04</v>
      </c>
      <c r="N1217" s="1">
        <v>4248.3599999999997</v>
      </c>
      <c r="O1217" s="1" t="s">
        <v>80</v>
      </c>
      <c r="P1217" s="1" t="s">
        <v>439</v>
      </c>
      <c r="Q1217" s="1">
        <v>3</v>
      </c>
      <c r="R1217" s="1">
        <f>Retail_Sales_Analyis[[#This Row],[Final_Price]]-Retail_Sales_Analyis[[#This Row],[Total_Price]]</f>
        <v>-472.03999999999996</v>
      </c>
      <c r="S12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18" spans="1:19" x14ac:dyDescent="0.25">
      <c r="A1218" s="1" t="s">
        <v>2053</v>
      </c>
      <c r="B1218" s="2">
        <v>45412</v>
      </c>
      <c r="C1218" s="1" t="s">
        <v>54</v>
      </c>
      <c r="D1218" s="1" t="s">
        <v>28</v>
      </c>
      <c r="E1218" s="1" t="s">
        <v>20</v>
      </c>
      <c r="F1218" s="1" t="s">
        <v>69</v>
      </c>
      <c r="G1218" s="1" t="s">
        <v>112</v>
      </c>
      <c r="H1218" s="1" t="s">
        <v>118</v>
      </c>
      <c r="I1218" s="1">
        <v>891.48</v>
      </c>
      <c r="J1218" s="1">
        <v>3</v>
      </c>
      <c r="K1218" s="1">
        <v>2674.44</v>
      </c>
      <c r="L1218" s="1">
        <v>0</v>
      </c>
      <c r="M1218" s="1">
        <v>0</v>
      </c>
      <c r="N1218" s="1">
        <v>2674.44</v>
      </c>
      <c r="O1218" s="1" t="s">
        <v>24</v>
      </c>
      <c r="P1218" s="1" t="s">
        <v>586</v>
      </c>
      <c r="Q1218" s="1">
        <v>1</v>
      </c>
      <c r="R1218" s="1">
        <f>Retail_Sales_Analyis[[#This Row],[Final_Price]]-Retail_Sales_Analyis[[#This Row],[Total_Price]]</f>
        <v>0</v>
      </c>
      <c r="S12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19" spans="1:19" x14ac:dyDescent="0.25">
      <c r="A1219" s="1" t="s">
        <v>2054</v>
      </c>
      <c r="B1219" s="2">
        <v>45615</v>
      </c>
      <c r="C1219" s="1" t="s">
        <v>18</v>
      </c>
      <c r="D1219" s="1" t="s">
        <v>28</v>
      </c>
      <c r="E1219" s="1" t="s">
        <v>236</v>
      </c>
      <c r="F1219" s="1" t="s">
        <v>84</v>
      </c>
      <c r="G1219" s="1" t="s">
        <v>78</v>
      </c>
      <c r="H1219" s="1" t="s">
        <v>136</v>
      </c>
      <c r="I1219" s="1">
        <v>499.11</v>
      </c>
      <c r="J1219" s="1">
        <v>3</v>
      </c>
      <c r="K1219" s="1">
        <v>1497.33</v>
      </c>
      <c r="L1219" s="1">
        <v>5</v>
      </c>
      <c r="M1219" s="1">
        <v>74.87</v>
      </c>
      <c r="N1219" s="1">
        <v>1422.46</v>
      </c>
      <c r="O1219" s="1" t="s">
        <v>33</v>
      </c>
      <c r="P1219" s="1" t="s">
        <v>2055</v>
      </c>
      <c r="Q1219" s="1">
        <v>5</v>
      </c>
      <c r="R1219" s="1">
        <f>Retail_Sales_Analyis[[#This Row],[Final_Price]]-Retail_Sales_Analyis[[#This Row],[Total_Price]]</f>
        <v>-74.869999999999891</v>
      </c>
      <c r="S12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20" spans="1:19" x14ac:dyDescent="0.25">
      <c r="A1220" s="1" t="s">
        <v>2056</v>
      </c>
      <c r="B1220" s="2">
        <v>45642</v>
      </c>
      <c r="C1220" s="1" t="s">
        <v>73</v>
      </c>
      <c r="D1220" s="1" t="s">
        <v>43</v>
      </c>
      <c r="E1220" s="1" t="s">
        <v>56</v>
      </c>
      <c r="F1220" s="1" t="s">
        <v>30</v>
      </c>
      <c r="G1220" s="1" t="s">
        <v>78</v>
      </c>
      <c r="H1220" s="1" t="s">
        <v>79</v>
      </c>
      <c r="I1220" s="1">
        <v>571.61</v>
      </c>
      <c r="J1220" s="1">
        <v>8</v>
      </c>
      <c r="K1220" s="1">
        <v>4572.88</v>
      </c>
      <c r="L1220" s="1">
        <v>0</v>
      </c>
      <c r="M1220" s="1">
        <v>0</v>
      </c>
      <c r="N1220" s="1">
        <v>4572.88</v>
      </c>
      <c r="O1220" s="1" t="s">
        <v>64</v>
      </c>
      <c r="P1220" s="1" t="s">
        <v>490</v>
      </c>
      <c r="Q1220" s="1">
        <v>5</v>
      </c>
      <c r="R1220" s="1">
        <f>Retail_Sales_Analyis[[#This Row],[Final_Price]]-Retail_Sales_Analyis[[#This Row],[Total_Price]]</f>
        <v>0</v>
      </c>
      <c r="S12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21" spans="1:19" x14ac:dyDescent="0.25">
      <c r="A1221" s="1" t="s">
        <v>2057</v>
      </c>
      <c r="B1221" s="2">
        <v>45439</v>
      </c>
      <c r="C1221" s="1" t="s">
        <v>42</v>
      </c>
      <c r="D1221" s="1" t="s">
        <v>43</v>
      </c>
      <c r="E1221" s="1" t="s">
        <v>83</v>
      </c>
      <c r="F1221" s="1" t="s">
        <v>30</v>
      </c>
      <c r="G1221" s="1" t="s">
        <v>85</v>
      </c>
      <c r="H1221" s="1" t="s">
        <v>180</v>
      </c>
      <c r="I1221" s="1">
        <v>4824.42</v>
      </c>
      <c r="J1221" s="1">
        <v>2</v>
      </c>
      <c r="K1221" s="1">
        <v>9648.84</v>
      </c>
      <c r="L1221" s="1">
        <v>0</v>
      </c>
      <c r="M1221" s="1">
        <v>0</v>
      </c>
      <c r="N1221" s="1">
        <v>9648.84</v>
      </c>
      <c r="O1221" s="1" t="s">
        <v>46</v>
      </c>
      <c r="P1221" s="1" t="s">
        <v>1315</v>
      </c>
      <c r="Q1221" s="1">
        <v>5</v>
      </c>
      <c r="R1221" s="1">
        <f>Retail_Sales_Analyis[[#This Row],[Final_Price]]-Retail_Sales_Analyis[[#This Row],[Total_Price]]</f>
        <v>0</v>
      </c>
      <c r="S12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22" spans="1:19" x14ac:dyDescent="0.25">
      <c r="A1222" s="1" t="s">
        <v>2058</v>
      </c>
      <c r="B1222" s="2">
        <v>45408</v>
      </c>
      <c r="C1222" s="1" t="s">
        <v>54</v>
      </c>
      <c r="D1222" s="1" t="s">
        <v>144</v>
      </c>
      <c r="E1222" s="1" t="s">
        <v>129</v>
      </c>
      <c r="F1222" s="1" t="s">
        <v>30</v>
      </c>
      <c r="G1222" s="1" t="s">
        <v>78</v>
      </c>
      <c r="H1222" s="1" t="s">
        <v>136</v>
      </c>
      <c r="I1222" s="1">
        <v>397.56</v>
      </c>
      <c r="J1222" s="1">
        <v>7</v>
      </c>
      <c r="K1222" s="1">
        <v>2782.92</v>
      </c>
      <c r="L1222" s="1">
        <v>15</v>
      </c>
      <c r="M1222" s="1">
        <v>417.44</v>
      </c>
      <c r="N1222" s="1">
        <v>2365.48</v>
      </c>
      <c r="O1222" s="1" t="s">
        <v>46</v>
      </c>
      <c r="P1222" s="1" t="s">
        <v>540</v>
      </c>
      <c r="Q1222" s="1">
        <v>4</v>
      </c>
      <c r="R1222" s="1">
        <f>Retail_Sales_Analyis[[#This Row],[Final_Price]]-Retail_Sales_Analyis[[#This Row],[Total_Price]]</f>
        <v>-417.44000000000005</v>
      </c>
      <c r="S12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23" spans="1:19" x14ac:dyDescent="0.25">
      <c r="A1223" s="1" t="s">
        <v>2059</v>
      </c>
      <c r="B1223" s="2">
        <v>45338</v>
      </c>
      <c r="C1223" s="1" t="s">
        <v>27</v>
      </c>
      <c r="D1223" s="1" t="s">
        <v>144</v>
      </c>
      <c r="E1223" s="1" t="s">
        <v>204</v>
      </c>
      <c r="F1223" s="1" t="s">
        <v>21</v>
      </c>
      <c r="G1223" s="1" t="s">
        <v>112</v>
      </c>
      <c r="H1223" s="1" t="s">
        <v>118</v>
      </c>
      <c r="I1223" s="1">
        <v>986.02</v>
      </c>
      <c r="J1223" s="1">
        <v>10</v>
      </c>
      <c r="K1223" s="1">
        <v>9860.2000000000007</v>
      </c>
      <c r="L1223" s="1">
        <v>0</v>
      </c>
      <c r="M1223" s="1">
        <v>0</v>
      </c>
      <c r="N1223" s="1">
        <v>9860.2000000000007</v>
      </c>
      <c r="O1223" s="1" t="s">
        <v>80</v>
      </c>
      <c r="P1223" s="1" t="s">
        <v>2060</v>
      </c>
      <c r="Q1223" s="1">
        <v>1</v>
      </c>
      <c r="R1223" s="1">
        <f>Retail_Sales_Analyis[[#This Row],[Final_Price]]-Retail_Sales_Analyis[[#This Row],[Total_Price]]</f>
        <v>0</v>
      </c>
      <c r="S12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24" spans="1:19" x14ac:dyDescent="0.25">
      <c r="A1224" s="1" t="s">
        <v>2061</v>
      </c>
      <c r="B1224" s="2">
        <v>45514</v>
      </c>
      <c r="C1224" s="1" t="s">
        <v>93</v>
      </c>
      <c r="D1224" s="1" t="s">
        <v>19</v>
      </c>
      <c r="E1224" s="1" t="s">
        <v>239</v>
      </c>
      <c r="F1224" s="1" t="s">
        <v>30</v>
      </c>
      <c r="G1224" s="1" t="s">
        <v>169</v>
      </c>
      <c r="H1224" s="1" t="s">
        <v>208</v>
      </c>
      <c r="I1224" s="1">
        <v>467.89</v>
      </c>
      <c r="J1224" s="1">
        <v>2</v>
      </c>
      <c r="K1224" s="1">
        <v>935.78</v>
      </c>
      <c r="L1224" s="1">
        <v>10</v>
      </c>
      <c r="M1224" s="1">
        <v>93.58</v>
      </c>
      <c r="N1224" s="1">
        <v>842.2</v>
      </c>
      <c r="O1224" s="1" t="s">
        <v>64</v>
      </c>
      <c r="P1224" s="1" t="s">
        <v>2062</v>
      </c>
      <c r="Q1224" s="1">
        <v>2</v>
      </c>
      <c r="R1224" s="1">
        <f>Retail_Sales_Analyis[[#This Row],[Final_Price]]-Retail_Sales_Analyis[[#This Row],[Total_Price]]</f>
        <v>-93.579999999999927</v>
      </c>
      <c r="S12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25" spans="1:19" x14ac:dyDescent="0.25">
      <c r="A1225" s="1" t="s">
        <v>2063</v>
      </c>
      <c r="B1225" s="2">
        <v>45342</v>
      </c>
      <c r="C1225" s="1" t="s">
        <v>27</v>
      </c>
      <c r="D1225" s="1" t="s">
        <v>28</v>
      </c>
      <c r="E1225" s="1" t="s">
        <v>207</v>
      </c>
      <c r="F1225" s="1" t="s">
        <v>84</v>
      </c>
      <c r="G1225" s="1" t="s">
        <v>78</v>
      </c>
      <c r="H1225" s="1" t="s">
        <v>323</v>
      </c>
      <c r="I1225" s="1">
        <v>186.52</v>
      </c>
      <c r="J1225" s="1">
        <v>6</v>
      </c>
      <c r="K1225" s="1">
        <v>1119.1199999999999</v>
      </c>
      <c r="L1225" s="1">
        <v>20</v>
      </c>
      <c r="M1225" s="1">
        <v>223.82</v>
      </c>
      <c r="N1225" s="1">
        <v>895.3</v>
      </c>
      <c r="O1225" s="1" t="s">
        <v>24</v>
      </c>
      <c r="P1225" s="1" t="s">
        <v>1369</v>
      </c>
      <c r="Q1225" s="1">
        <v>4</v>
      </c>
      <c r="R1225" s="1">
        <f>Retail_Sales_Analyis[[#This Row],[Final_Price]]-Retail_Sales_Analyis[[#This Row],[Total_Price]]</f>
        <v>-223.81999999999994</v>
      </c>
      <c r="S12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26" spans="1:19" x14ac:dyDescent="0.25">
      <c r="A1226" s="1" t="s">
        <v>2064</v>
      </c>
      <c r="B1226" s="2">
        <v>45616</v>
      </c>
      <c r="C1226" s="1" t="s">
        <v>18</v>
      </c>
      <c r="D1226" s="1" t="s">
        <v>55</v>
      </c>
      <c r="E1226" s="1" t="s">
        <v>312</v>
      </c>
      <c r="F1226" s="1" t="s">
        <v>21</v>
      </c>
      <c r="G1226" s="1" t="s">
        <v>22</v>
      </c>
      <c r="H1226" s="1" t="s">
        <v>51</v>
      </c>
      <c r="I1226" s="1">
        <v>755.67</v>
      </c>
      <c r="J1226" s="1">
        <v>9</v>
      </c>
      <c r="K1226" s="1">
        <v>6801.03</v>
      </c>
      <c r="L1226" s="1">
        <v>20</v>
      </c>
      <c r="M1226" s="1">
        <v>1360.21</v>
      </c>
      <c r="N1226" s="1">
        <v>5440.82</v>
      </c>
      <c r="O1226" s="1" t="s">
        <v>24</v>
      </c>
      <c r="P1226" s="1" t="s">
        <v>532</v>
      </c>
      <c r="Q1226" s="1">
        <v>2</v>
      </c>
      <c r="R1226" s="1">
        <f>Retail_Sales_Analyis[[#This Row],[Final_Price]]-Retail_Sales_Analyis[[#This Row],[Total_Price]]</f>
        <v>-1360.21</v>
      </c>
      <c r="S12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27" spans="1:19" x14ac:dyDescent="0.25">
      <c r="A1227" s="1" t="s">
        <v>2065</v>
      </c>
      <c r="B1227" s="2">
        <v>45652</v>
      </c>
      <c r="C1227" s="1" t="s">
        <v>73</v>
      </c>
      <c r="D1227" s="1" t="s">
        <v>67</v>
      </c>
      <c r="E1227" s="1" t="s">
        <v>83</v>
      </c>
      <c r="F1227" s="1" t="s">
        <v>37</v>
      </c>
      <c r="G1227" s="1" t="s">
        <v>38</v>
      </c>
      <c r="H1227" s="1" t="s">
        <v>214</v>
      </c>
      <c r="I1227" s="1">
        <v>267.49</v>
      </c>
      <c r="J1227" s="1">
        <v>9</v>
      </c>
      <c r="K1227" s="1">
        <v>2407.41</v>
      </c>
      <c r="L1227" s="1">
        <v>0</v>
      </c>
      <c r="M1227" s="1">
        <v>0</v>
      </c>
      <c r="N1227" s="1">
        <v>2407.41</v>
      </c>
      <c r="O1227" s="1" t="s">
        <v>24</v>
      </c>
      <c r="P1227" s="1" t="s">
        <v>745</v>
      </c>
      <c r="Q1227" s="1">
        <v>2</v>
      </c>
      <c r="R1227" s="1">
        <f>Retail_Sales_Analyis[[#This Row],[Final_Price]]-Retail_Sales_Analyis[[#This Row],[Total_Price]]</f>
        <v>0</v>
      </c>
      <c r="S12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28" spans="1:19" x14ac:dyDescent="0.25">
      <c r="A1228" s="1" t="s">
        <v>2066</v>
      </c>
      <c r="B1228" s="2">
        <v>45343</v>
      </c>
      <c r="C1228" s="1" t="s">
        <v>27</v>
      </c>
      <c r="D1228" s="1" t="s">
        <v>55</v>
      </c>
      <c r="E1228" s="1" t="s">
        <v>121</v>
      </c>
      <c r="F1228" s="1" t="s">
        <v>69</v>
      </c>
      <c r="G1228" s="1" t="s">
        <v>57</v>
      </c>
      <c r="H1228" s="1" t="s">
        <v>101</v>
      </c>
      <c r="I1228" s="1">
        <v>2859.9</v>
      </c>
      <c r="J1228" s="1">
        <v>3</v>
      </c>
      <c r="K1228" s="1">
        <v>8579.7000000000007</v>
      </c>
      <c r="L1228" s="1">
        <v>10</v>
      </c>
      <c r="M1228" s="1">
        <v>857.97</v>
      </c>
      <c r="N1228" s="1">
        <v>7721.73</v>
      </c>
      <c r="O1228" s="1" t="s">
        <v>46</v>
      </c>
      <c r="P1228" s="1" t="s">
        <v>1561</v>
      </c>
      <c r="Q1228" s="1">
        <v>3</v>
      </c>
      <c r="R1228" s="1">
        <f>Retail_Sales_Analyis[[#This Row],[Final_Price]]-Retail_Sales_Analyis[[#This Row],[Total_Price]]</f>
        <v>-857.97000000000116</v>
      </c>
      <c r="S12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29" spans="1:19" x14ac:dyDescent="0.25">
      <c r="A1229" s="1" t="s">
        <v>2067</v>
      </c>
      <c r="B1229" s="2">
        <v>45519</v>
      </c>
      <c r="C1229" s="1" t="s">
        <v>93</v>
      </c>
      <c r="D1229" s="1" t="s">
        <v>67</v>
      </c>
      <c r="E1229" s="1" t="s">
        <v>186</v>
      </c>
      <c r="F1229" s="1" t="s">
        <v>84</v>
      </c>
      <c r="G1229" s="1" t="s">
        <v>38</v>
      </c>
      <c r="H1229" s="1" t="s">
        <v>108</v>
      </c>
      <c r="I1229" s="1">
        <v>116.46</v>
      </c>
      <c r="J1229" s="1">
        <v>7</v>
      </c>
      <c r="K1229" s="1">
        <v>815.22</v>
      </c>
      <c r="L1229" s="1">
        <v>10</v>
      </c>
      <c r="M1229" s="1">
        <v>81.52</v>
      </c>
      <c r="N1229" s="1">
        <v>733.7</v>
      </c>
      <c r="O1229" s="1" t="s">
        <v>24</v>
      </c>
      <c r="P1229" s="1" t="s">
        <v>1557</v>
      </c>
      <c r="Q1229" s="1">
        <v>1</v>
      </c>
      <c r="R1229" s="1">
        <f>Retail_Sales_Analyis[[#This Row],[Final_Price]]-Retail_Sales_Analyis[[#This Row],[Total_Price]]</f>
        <v>-81.519999999999982</v>
      </c>
      <c r="S12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30" spans="1:19" x14ac:dyDescent="0.25">
      <c r="A1230" s="1" t="s">
        <v>2068</v>
      </c>
      <c r="B1230" s="2">
        <v>45377</v>
      </c>
      <c r="C1230" s="1" t="s">
        <v>61</v>
      </c>
      <c r="D1230" s="1" t="s">
        <v>28</v>
      </c>
      <c r="E1230" s="1" t="s">
        <v>307</v>
      </c>
      <c r="F1230" s="1" t="s">
        <v>84</v>
      </c>
      <c r="G1230" s="1" t="s">
        <v>57</v>
      </c>
      <c r="H1230" s="1" t="s">
        <v>101</v>
      </c>
      <c r="I1230" s="1">
        <v>1831.67</v>
      </c>
      <c r="J1230" s="1">
        <v>1</v>
      </c>
      <c r="K1230" s="1">
        <v>1831.67</v>
      </c>
      <c r="L1230" s="1">
        <v>0</v>
      </c>
      <c r="M1230" s="1">
        <v>0</v>
      </c>
      <c r="N1230" s="1">
        <v>1831.67</v>
      </c>
      <c r="O1230" s="1" t="s">
        <v>24</v>
      </c>
      <c r="P1230" s="1" t="s">
        <v>2069</v>
      </c>
      <c r="Q1230" s="1">
        <v>5</v>
      </c>
      <c r="R1230" s="1">
        <f>Retail_Sales_Analyis[[#This Row],[Final_Price]]-Retail_Sales_Analyis[[#This Row],[Total_Price]]</f>
        <v>0</v>
      </c>
      <c r="S12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1" spans="1:19" x14ac:dyDescent="0.25">
      <c r="A1231" s="1" t="s">
        <v>2070</v>
      </c>
      <c r="B1231" s="2">
        <v>45647</v>
      </c>
      <c r="C1231" s="1" t="s">
        <v>73</v>
      </c>
      <c r="D1231" s="1" t="s">
        <v>19</v>
      </c>
      <c r="E1231" s="1" t="s">
        <v>199</v>
      </c>
      <c r="F1231" s="1" t="s">
        <v>84</v>
      </c>
      <c r="G1231" s="1" t="s">
        <v>85</v>
      </c>
      <c r="H1231" s="1" t="s">
        <v>86</v>
      </c>
      <c r="I1231" s="1">
        <v>1851.11</v>
      </c>
      <c r="J1231" s="1">
        <v>9</v>
      </c>
      <c r="K1231" s="1">
        <v>16659.990000000002</v>
      </c>
      <c r="L1231" s="1">
        <v>0</v>
      </c>
      <c r="M1231" s="1">
        <v>0</v>
      </c>
      <c r="N1231" s="1">
        <v>16659.990000000002</v>
      </c>
      <c r="O1231" s="1" t="s">
        <v>80</v>
      </c>
      <c r="P1231" s="1" t="s">
        <v>1050</v>
      </c>
      <c r="Q1231" s="1">
        <v>3</v>
      </c>
      <c r="R1231" s="1">
        <f>Retail_Sales_Analyis[[#This Row],[Final_Price]]-Retail_Sales_Analyis[[#This Row],[Total_Price]]</f>
        <v>0</v>
      </c>
      <c r="S12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2" spans="1:19" x14ac:dyDescent="0.25">
      <c r="A1232" s="1" t="s">
        <v>2071</v>
      </c>
      <c r="B1232" s="2">
        <v>45445</v>
      </c>
      <c r="C1232" s="1" t="s">
        <v>173</v>
      </c>
      <c r="D1232" s="1" t="s">
        <v>49</v>
      </c>
      <c r="E1232" s="1" t="s">
        <v>166</v>
      </c>
      <c r="F1232" s="1" t="s">
        <v>30</v>
      </c>
      <c r="G1232" s="1" t="s">
        <v>22</v>
      </c>
      <c r="H1232" s="1" t="s">
        <v>23</v>
      </c>
      <c r="I1232" s="1">
        <v>867.86</v>
      </c>
      <c r="J1232" s="1">
        <v>10</v>
      </c>
      <c r="K1232" s="1">
        <v>8678.6</v>
      </c>
      <c r="L1232" s="1">
        <v>0</v>
      </c>
      <c r="M1232" s="1">
        <v>0</v>
      </c>
      <c r="N1232" s="1">
        <v>8678.6</v>
      </c>
      <c r="O1232" s="1" t="s">
        <v>46</v>
      </c>
      <c r="P1232" s="1" t="s">
        <v>1680</v>
      </c>
      <c r="Q1232" s="1">
        <v>2</v>
      </c>
      <c r="R1232" s="1">
        <f>Retail_Sales_Analyis[[#This Row],[Final_Price]]-Retail_Sales_Analyis[[#This Row],[Total_Price]]</f>
        <v>0</v>
      </c>
      <c r="S12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3" spans="1:19" x14ac:dyDescent="0.25">
      <c r="A1233" s="1" t="s">
        <v>2072</v>
      </c>
      <c r="B1233" s="2">
        <v>45306</v>
      </c>
      <c r="C1233" s="1" t="s">
        <v>36</v>
      </c>
      <c r="D1233" s="1" t="s">
        <v>43</v>
      </c>
      <c r="E1233" s="1" t="s">
        <v>145</v>
      </c>
      <c r="F1233" s="1" t="s">
        <v>21</v>
      </c>
      <c r="G1233" s="1" t="s">
        <v>169</v>
      </c>
      <c r="H1233" s="1" t="s">
        <v>175</v>
      </c>
      <c r="I1233" s="1">
        <v>841.98</v>
      </c>
      <c r="J1233" s="1">
        <v>8</v>
      </c>
      <c r="K1233" s="1">
        <v>6735.84</v>
      </c>
      <c r="L1233" s="1">
        <v>10</v>
      </c>
      <c r="M1233" s="1">
        <v>673.58</v>
      </c>
      <c r="N1233" s="1">
        <v>6062.26</v>
      </c>
      <c r="O1233" s="1" t="s">
        <v>80</v>
      </c>
      <c r="P1233" s="1" t="s">
        <v>653</v>
      </c>
      <c r="Q1233" s="1">
        <v>4</v>
      </c>
      <c r="R1233" s="1">
        <f>Retail_Sales_Analyis[[#This Row],[Final_Price]]-Retail_Sales_Analyis[[#This Row],[Total_Price]]</f>
        <v>-673.57999999999993</v>
      </c>
      <c r="S12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34" spans="1:19" x14ac:dyDescent="0.25">
      <c r="A1234" s="1" t="s">
        <v>2073</v>
      </c>
      <c r="B1234" s="2">
        <v>45315</v>
      </c>
      <c r="C1234" s="1" t="s">
        <v>36</v>
      </c>
      <c r="D1234" s="1" t="s">
        <v>55</v>
      </c>
      <c r="E1234" s="1" t="s">
        <v>168</v>
      </c>
      <c r="F1234" s="1" t="s">
        <v>21</v>
      </c>
      <c r="G1234" s="1" t="s">
        <v>112</v>
      </c>
      <c r="H1234" s="1" t="s">
        <v>288</v>
      </c>
      <c r="I1234" s="1">
        <v>1706.95</v>
      </c>
      <c r="J1234" s="1">
        <v>4</v>
      </c>
      <c r="K1234" s="1">
        <v>6827.8</v>
      </c>
      <c r="L1234" s="1">
        <v>0</v>
      </c>
      <c r="M1234" s="1">
        <v>0</v>
      </c>
      <c r="N1234" s="1">
        <v>6827.8</v>
      </c>
      <c r="O1234" s="1" t="s">
        <v>80</v>
      </c>
      <c r="P1234" s="1" t="s">
        <v>2074</v>
      </c>
      <c r="Q1234" s="1">
        <v>3</v>
      </c>
      <c r="R1234" s="1">
        <f>Retail_Sales_Analyis[[#This Row],[Final_Price]]-Retail_Sales_Analyis[[#This Row],[Total_Price]]</f>
        <v>0</v>
      </c>
      <c r="S12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5" spans="1:19" x14ac:dyDescent="0.25">
      <c r="A1235" s="1" t="s">
        <v>2075</v>
      </c>
      <c r="B1235" s="2">
        <v>45458</v>
      </c>
      <c r="C1235" s="1" t="s">
        <v>173</v>
      </c>
      <c r="D1235" s="1" t="s">
        <v>19</v>
      </c>
      <c r="E1235" s="1" t="s">
        <v>213</v>
      </c>
      <c r="F1235" s="1" t="s">
        <v>37</v>
      </c>
      <c r="G1235" s="1" t="s">
        <v>38</v>
      </c>
      <c r="H1235" s="1" t="s">
        <v>422</v>
      </c>
      <c r="I1235" s="1">
        <v>424.65</v>
      </c>
      <c r="J1235" s="1">
        <v>4</v>
      </c>
      <c r="K1235" s="1">
        <v>1698.6</v>
      </c>
      <c r="L1235" s="1">
        <v>10</v>
      </c>
      <c r="M1235" s="1">
        <v>169.86</v>
      </c>
      <c r="N1235" s="1">
        <v>1528.74</v>
      </c>
      <c r="O1235" s="1" t="s">
        <v>46</v>
      </c>
      <c r="P1235" s="1" t="s">
        <v>2076</v>
      </c>
      <c r="Q1235" s="1">
        <v>2</v>
      </c>
      <c r="R1235" s="1">
        <f>Retail_Sales_Analyis[[#This Row],[Final_Price]]-Retail_Sales_Analyis[[#This Row],[Total_Price]]</f>
        <v>-169.8599999999999</v>
      </c>
      <c r="S12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36" spans="1:19" x14ac:dyDescent="0.25">
      <c r="A1236" s="1" t="s">
        <v>2077</v>
      </c>
      <c r="B1236" s="2">
        <v>45320</v>
      </c>
      <c r="C1236" s="1" t="s">
        <v>36</v>
      </c>
      <c r="D1236" s="1" t="s">
        <v>43</v>
      </c>
      <c r="E1236" s="1" t="s">
        <v>204</v>
      </c>
      <c r="F1236" s="1" t="s">
        <v>30</v>
      </c>
      <c r="G1236" s="1" t="s">
        <v>112</v>
      </c>
      <c r="H1236" s="1" t="s">
        <v>113</v>
      </c>
      <c r="I1236" s="1">
        <v>1744.38</v>
      </c>
      <c r="J1236" s="1">
        <v>6</v>
      </c>
      <c r="K1236" s="1">
        <v>10466.280000000001</v>
      </c>
      <c r="L1236" s="1">
        <v>0</v>
      </c>
      <c r="M1236" s="1">
        <v>0</v>
      </c>
      <c r="N1236" s="1">
        <v>10466.280000000001</v>
      </c>
      <c r="O1236" s="1" t="s">
        <v>33</v>
      </c>
      <c r="P1236" s="1" t="s">
        <v>81</v>
      </c>
      <c r="Q1236" s="1">
        <v>4</v>
      </c>
      <c r="R1236" s="1">
        <f>Retail_Sales_Analyis[[#This Row],[Final_Price]]-Retail_Sales_Analyis[[#This Row],[Total_Price]]</f>
        <v>0</v>
      </c>
      <c r="S12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7" spans="1:19" x14ac:dyDescent="0.25">
      <c r="A1237" s="1" t="s">
        <v>2078</v>
      </c>
      <c r="B1237" s="2">
        <v>45442</v>
      </c>
      <c r="C1237" s="1" t="s">
        <v>42</v>
      </c>
      <c r="D1237" s="1" t="s">
        <v>67</v>
      </c>
      <c r="E1237" s="1" t="s">
        <v>94</v>
      </c>
      <c r="F1237" s="1" t="s">
        <v>21</v>
      </c>
      <c r="G1237" s="1" t="s">
        <v>22</v>
      </c>
      <c r="H1237" s="1" t="s">
        <v>187</v>
      </c>
      <c r="I1237" s="1">
        <v>803.09</v>
      </c>
      <c r="J1237" s="1">
        <v>8</v>
      </c>
      <c r="K1237" s="1">
        <v>6424.72</v>
      </c>
      <c r="L1237" s="1">
        <v>5</v>
      </c>
      <c r="M1237" s="1">
        <v>321.24</v>
      </c>
      <c r="N1237" s="1">
        <v>6103.48</v>
      </c>
      <c r="O1237" s="1" t="s">
        <v>80</v>
      </c>
      <c r="P1237" s="1" t="s">
        <v>1377</v>
      </c>
      <c r="Q1237" s="1">
        <v>5</v>
      </c>
      <c r="R1237" s="1">
        <f>Retail_Sales_Analyis[[#This Row],[Final_Price]]-Retail_Sales_Analyis[[#This Row],[Total_Price]]</f>
        <v>-321.24000000000069</v>
      </c>
      <c r="S12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38" spans="1:19" x14ac:dyDescent="0.25">
      <c r="A1238" s="1" t="s">
        <v>2079</v>
      </c>
      <c r="B1238" s="2">
        <v>45475</v>
      </c>
      <c r="C1238" s="1" t="s">
        <v>195</v>
      </c>
      <c r="D1238" s="1" t="s">
        <v>28</v>
      </c>
      <c r="E1238" s="1" t="s">
        <v>157</v>
      </c>
      <c r="F1238" s="1" t="s">
        <v>30</v>
      </c>
      <c r="G1238" s="1" t="s">
        <v>169</v>
      </c>
      <c r="H1238" s="1" t="s">
        <v>208</v>
      </c>
      <c r="I1238" s="1">
        <v>1323.22</v>
      </c>
      <c r="J1238" s="1">
        <v>10</v>
      </c>
      <c r="K1238" s="1">
        <v>13232.2</v>
      </c>
      <c r="L1238" s="1">
        <v>0</v>
      </c>
      <c r="M1238" s="1">
        <v>0</v>
      </c>
      <c r="N1238" s="1">
        <v>13232.2</v>
      </c>
      <c r="O1238" s="1" t="s">
        <v>24</v>
      </c>
      <c r="P1238" s="1" t="s">
        <v>1517</v>
      </c>
      <c r="Q1238" s="1">
        <v>3</v>
      </c>
      <c r="R1238" s="1">
        <f>Retail_Sales_Analyis[[#This Row],[Final_Price]]-Retail_Sales_Analyis[[#This Row],[Total_Price]]</f>
        <v>0</v>
      </c>
      <c r="S12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39" spans="1:19" x14ac:dyDescent="0.25">
      <c r="A1239" s="1" t="s">
        <v>2080</v>
      </c>
      <c r="B1239" s="2">
        <v>45483</v>
      </c>
      <c r="C1239" s="1" t="s">
        <v>195</v>
      </c>
      <c r="D1239" s="1" t="s">
        <v>55</v>
      </c>
      <c r="E1239" s="1" t="s">
        <v>20</v>
      </c>
      <c r="F1239" s="1" t="s">
        <v>21</v>
      </c>
      <c r="G1239" s="1" t="s">
        <v>22</v>
      </c>
      <c r="H1239" s="1" t="s">
        <v>187</v>
      </c>
      <c r="I1239" s="1">
        <v>968.97</v>
      </c>
      <c r="J1239" s="1">
        <v>2</v>
      </c>
      <c r="K1239" s="1">
        <v>1937.94</v>
      </c>
      <c r="L1239" s="1">
        <v>0</v>
      </c>
      <c r="M1239" s="1">
        <v>0</v>
      </c>
      <c r="N1239" s="1">
        <v>1937.94</v>
      </c>
      <c r="O1239" s="1" t="s">
        <v>46</v>
      </c>
      <c r="P1239" s="1" t="s">
        <v>2081</v>
      </c>
      <c r="Q1239" s="1">
        <v>2</v>
      </c>
      <c r="R1239" s="1">
        <f>Retail_Sales_Analyis[[#This Row],[Final_Price]]-Retail_Sales_Analyis[[#This Row],[Total_Price]]</f>
        <v>0</v>
      </c>
      <c r="S12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40" spans="1:19" x14ac:dyDescent="0.25">
      <c r="A1240" s="1" t="s">
        <v>2082</v>
      </c>
      <c r="B1240" s="2">
        <v>45512</v>
      </c>
      <c r="C1240" s="1" t="s">
        <v>93</v>
      </c>
      <c r="D1240" s="1" t="s">
        <v>67</v>
      </c>
      <c r="E1240" s="1" t="s">
        <v>77</v>
      </c>
      <c r="F1240" s="1" t="s">
        <v>37</v>
      </c>
      <c r="G1240" s="1" t="s">
        <v>22</v>
      </c>
      <c r="H1240" s="1" t="s">
        <v>277</v>
      </c>
      <c r="I1240" s="1">
        <v>260.88</v>
      </c>
      <c r="J1240" s="1">
        <v>7</v>
      </c>
      <c r="K1240" s="1">
        <v>1826.16</v>
      </c>
      <c r="L1240" s="1">
        <v>15</v>
      </c>
      <c r="M1240" s="1">
        <v>273.92</v>
      </c>
      <c r="N1240" s="1">
        <v>1552.24</v>
      </c>
      <c r="O1240" s="1" t="s">
        <v>24</v>
      </c>
      <c r="P1240" s="1" t="s">
        <v>2069</v>
      </c>
      <c r="Q1240" s="1">
        <v>3</v>
      </c>
      <c r="R1240" s="1">
        <f>Retail_Sales_Analyis[[#This Row],[Final_Price]]-Retail_Sales_Analyis[[#This Row],[Total_Price]]</f>
        <v>-273.92000000000007</v>
      </c>
      <c r="S12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41" spans="1:19" x14ac:dyDescent="0.25">
      <c r="A1241" s="1" t="s">
        <v>2083</v>
      </c>
      <c r="B1241" s="2">
        <v>45366</v>
      </c>
      <c r="C1241" s="1" t="s">
        <v>61</v>
      </c>
      <c r="D1241" s="1" t="s">
        <v>144</v>
      </c>
      <c r="E1241" s="1" t="s">
        <v>328</v>
      </c>
      <c r="F1241" s="1" t="s">
        <v>37</v>
      </c>
      <c r="G1241" s="1" t="s">
        <v>169</v>
      </c>
      <c r="H1241" s="1" t="s">
        <v>175</v>
      </c>
      <c r="I1241" s="1">
        <v>470.21</v>
      </c>
      <c r="J1241" s="1">
        <v>8</v>
      </c>
      <c r="K1241" s="1">
        <v>3761.68</v>
      </c>
      <c r="L1241" s="1">
        <v>20</v>
      </c>
      <c r="M1241" s="1">
        <v>752.34</v>
      </c>
      <c r="N1241" s="1">
        <v>3009.34</v>
      </c>
      <c r="O1241" s="1" t="s">
        <v>64</v>
      </c>
      <c r="P1241" s="1" t="s">
        <v>1024</v>
      </c>
      <c r="Q1241" s="1">
        <v>1</v>
      </c>
      <c r="R1241" s="1">
        <f>Retail_Sales_Analyis[[#This Row],[Final_Price]]-Retail_Sales_Analyis[[#This Row],[Total_Price]]</f>
        <v>-752.33999999999969</v>
      </c>
      <c r="S12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42" spans="1:19" x14ac:dyDescent="0.25">
      <c r="A1242" s="1" t="s">
        <v>2084</v>
      </c>
      <c r="B1242" s="2">
        <v>45417</v>
      </c>
      <c r="C1242" s="1" t="s">
        <v>42</v>
      </c>
      <c r="D1242" s="1" t="s">
        <v>49</v>
      </c>
      <c r="E1242" s="1" t="s">
        <v>132</v>
      </c>
      <c r="F1242" s="1" t="s">
        <v>84</v>
      </c>
      <c r="G1242" s="1" t="s">
        <v>31</v>
      </c>
      <c r="H1242" s="1" t="s">
        <v>250</v>
      </c>
      <c r="I1242" s="1">
        <v>56.45</v>
      </c>
      <c r="J1242" s="1">
        <v>2</v>
      </c>
      <c r="K1242" s="1">
        <v>112.9</v>
      </c>
      <c r="L1242" s="1">
        <v>15</v>
      </c>
      <c r="M1242" s="1">
        <v>16.93</v>
      </c>
      <c r="N1242" s="1">
        <v>95.97</v>
      </c>
      <c r="O1242" s="1" t="s">
        <v>64</v>
      </c>
      <c r="P1242" s="1" t="s">
        <v>2085</v>
      </c>
      <c r="Q1242" s="1">
        <v>4</v>
      </c>
      <c r="R1242" s="1">
        <f>Retail_Sales_Analyis[[#This Row],[Final_Price]]-Retail_Sales_Analyis[[#This Row],[Total_Price]]</f>
        <v>-16.930000000000007</v>
      </c>
      <c r="S12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43" spans="1:19" x14ac:dyDescent="0.25">
      <c r="A1243" s="1" t="s">
        <v>2086</v>
      </c>
      <c r="B1243" s="2">
        <v>45563</v>
      </c>
      <c r="C1243" s="1" t="s">
        <v>116</v>
      </c>
      <c r="D1243" s="1" t="s">
        <v>19</v>
      </c>
      <c r="E1243" s="1" t="s">
        <v>192</v>
      </c>
      <c r="F1243" s="1" t="s">
        <v>69</v>
      </c>
      <c r="G1243" s="1" t="s">
        <v>38</v>
      </c>
      <c r="H1243" s="1" t="s">
        <v>39</v>
      </c>
      <c r="I1243" s="1">
        <v>592.01</v>
      </c>
      <c r="J1243" s="1">
        <v>8</v>
      </c>
      <c r="K1243" s="1">
        <v>4736.08</v>
      </c>
      <c r="L1243" s="1">
        <v>0</v>
      </c>
      <c r="M1243" s="1">
        <v>0</v>
      </c>
      <c r="N1243" s="1">
        <v>4736.08</v>
      </c>
      <c r="O1243" s="1" t="s">
        <v>64</v>
      </c>
      <c r="P1243" s="1" t="s">
        <v>1717</v>
      </c>
      <c r="Q1243" s="1">
        <v>2</v>
      </c>
      <c r="R1243" s="1">
        <f>Retail_Sales_Analyis[[#This Row],[Final_Price]]-Retail_Sales_Analyis[[#This Row],[Total_Price]]</f>
        <v>0</v>
      </c>
      <c r="S12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44" spans="1:19" x14ac:dyDescent="0.25">
      <c r="A1244" s="1" t="s">
        <v>2087</v>
      </c>
      <c r="B1244" s="2">
        <v>45502</v>
      </c>
      <c r="C1244" s="1" t="s">
        <v>195</v>
      </c>
      <c r="D1244" s="1" t="s">
        <v>43</v>
      </c>
      <c r="E1244" s="1" t="s">
        <v>129</v>
      </c>
      <c r="F1244" s="1" t="s">
        <v>37</v>
      </c>
      <c r="G1244" s="1" t="s">
        <v>22</v>
      </c>
      <c r="H1244" s="1" t="s">
        <v>133</v>
      </c>
      <c r="I1244" s="1">
        <v>229.73</v>
      </c>
      <c r="J1244" s="1">
        <v>7</v>
      </c>
      <c r="K1244" s="1">
        <v>1608.11</v>
      </c>
      <c r="L1244" s="1">
        <v>20</v>
      </c>
      <c r="M1244" s="1">
        <v>321.62</v>
      </c>
      <c r="N1244" s="1">
        <v>1286.49</v>
      </c>
      <c r="O1244" s="1" t="s">
        <v>33</v>
      </c>
      <c r="P1244" s="1" t="s">
        <v>1212</v>
      </c>
      <c r="Q1244" s="1">
        <v>4</v>
      </c>
      <c r="R1244" s="1">
        <f>Retail_Sales_Analyis[[#This Row],[Final_Price]]-Retail_Sales_Analyis[[#This Row],[Total_Price]]</f>
        <v>-321.61999999999989</v>
      </c>
      <c r="S124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45" spans="1:19" x14ac:dyDescent="0.25">
      <c r="A1245" s="1" t="s">
        <v>2088</v>
      </c>
      <c r="B1245" s="2">
        <v>45581</v>
      </c>
      <c r="C1245" s="1" t="s">
        <v>76</v>
      </c>
      <c r="D1245" s="1" t="s">
        <v>55</v>
      </c>
      <c r="E1245" s="1" t="s">
        <v>186</v>
      </c>
      <c r="F1245" s="1" t="s">
        <v>30</v>
      </c>
      <c r="G1245" s="1" t="s">
        <v>112</v>
      </c>
      <c r="H1245" s="1" t="s">
        <v>223</v>
      </c>
      <c r="I1245" s="1">
        <v>1939.14</v>
      </c>
      <c r="J1245" s="1">
        <v>5</v>
      </c>
      <c r="K1245" s="1">
        <v>9695.7000000000007</v>
      </c>
      <c r="L1245" s="1">
        <v>15</v>
      </c>
      <c r="M1245" s="1">
        <v>1454.36</v>
      </c>
      <c r="N1245" s="1">
        <v>8241.34</v>
      </c>
      <c r="O1245" s="1" t="s">
        <v>46</v>
      </c>
      <c r="P1245" s="1" t="s">
        <v>161</v>
      </c>
      <c r="Q1245" s="1">
        <v>4</v>
      </c>
      <c r="R1245" s="1">
        <f>Retail_Sales_Analyis[[#This Row],[Final_Price]]-Retail_Sales_Analyis[[#This Row],[Total_Price]]</f>
        <v>-1454.3600000000006</v>
      </c>
      <c r="S12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46" spans="1:19" x14ac:dyDescent="0.25">
      <c r="A1246" s="1" t="s">
        <v>2089</v>
      </c>
      <c r="B1246" s="2">
        <v>45641</v>
      </c>
      <c r="C1246" s="1" t="s">
        <v>73</v>
      </c>
      <c r="D1246" s="1" t="s">
        <v>49</v>
      </c>
      <c r="E1246" s="1" t="s">
        <v>196</v>
      </c>
      <c r="F1246" s="1" t="s">
        <v>69</v>
      </c>
      <c r="G1246" s="1" t="s">
        <v>38</v>
      </c>
      <c r="H1246" s="1" t="s">
        <v>214</v>
      </c>
      <c r="I1246" s="1">
        <v>264.37</v>
      </c>
      <c r="J1246" s="1">
        <v>8</v>
      </c>
      <c r="K1246" s="1">
        <v>2114.96</v>
      </c>
      <c r="L1246" s="1">
        <v>20</v>
      </c>
      <c r="M1246" s="1">
        <v>422.99</v>
      </c>
      <c r="N1246" s="1">
        <v>1691.97</v>
      </c>
      <c r="O1246" s="1" t="s">
        <v>24</v>
      </c>
      <c r="P1246" s="1" t="s">
        <v>2090</v>
      </c>
      <c r="Q1246" s="1">
        <v>1</v>
      </c>
      <c r="R1246" s="1">
        <f>Retail_Sales_Analyis[[#This Row],[Final_Price]]-Retail_Sales_Analyis[[#This Row],[Total_Price]]</f>
        <v>-422.99</v>
      </c>
      <c r="S12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47" spans="1:19" x14ac:dyDescent="0.25">
      <c r="A1247" s="1" t="s">
        <v>2091</v>
      </c>
      <c r="B1247" s="2">
        <v>45384</v>
      </c>
      <c r="C1247" s="1" t="s">
        <v>54</v>
      </c>
      <c r="D1247" s="1" t="s">
        <v>28</v>
      </c>
      <c r="E1247" s="1" t="s">
        <v>89</v>
      </c>
      <c r="F1247" s="1" t="s">
        <v>30</v>
      </c>
      <c r="G1247" s="1" t="s">
        <v>31</v>
      </c>
      <c r="H1247" s="1" t="s">
        <v>250</v>
      </c>
      <c r="I1247" s="1">
        <v>372.01</v>
      </c>
      <c r="J1247" s="1">
        <v>1</v>
      </c>
      <c r="K1247" s="1">
        <v>372.01</v>
      </c>
      <c r="L1247" s="1">
        <v>0</v>
      </c>
      <c r="M1247" s="1">
        <v>0</v>
      </c>
      <c r="N1247" s="1">
        <v>372.01</v>
      </c>
      <c r="O1247" s="1" t="s">
        <v>46</v>
      </c>
      <c r="P1247" s="1" t="s">
        <v>1884</v>
      </c>
      <c r="Q1247" s="1">
        <v>1</v>
      </c>
      <c r="R1247" s="1">
        <f>Retail_Sales_Analyis[[#This Row],[Final_Price]]-Retail_Sales_Analyis[[#This Row],[Total_Price]]</f>
        <v>0</v>
      </c>
      <c r="S12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48" spans="1:19" x14ac:dyDescent="0.25">
      <c r="A1248" s="1" t="s">
        <v>2092</v>
      </c>
      <c r="B1248" s="2">
        <v>45379</v>
      </c>
      <c r="C1248" s="1" t="s">
        <v>61</v>
      </c>
      <c r="D1248" s="1" t="s">
        <v>67</v>
      </c>
      <c r="E1248" s="1" t="s">
        <v>107</v>
      </c>
      <c r="F1248" s="1" t="s">
        <v>30</v>
      </c>
      <c r="G1248" s="1" t="s">
        <v>31</v>
      </c>
      <c r="H1248" s="1" t="s">
        <v>45</v>
      </c>
      <c r="I1248" s="1">
        <v>123.75</v>
      </c>
      <c r="J1248" s="1">
        <v>6</v>
      </c>
      <c r="K1248" s="1">
        <v>742.5</v>
      </c>
      <c r="L1248" s="1">
        <v>15</v>
      </c>
      <c r="M1248" s="1">
        <v>111.38</v>
      </c>
      <c r="N1248" s="1">
        <v>631.12</v>
      </c>
      <c r="O1248" s="1" t="s">
        <v>80</v>
      </c>
      <c r="P1248" s="1" t="s">
        <v>1192</v>
      </c>
      <c r="Q1248" s="1">
        <v>5</v>
      </c>
      <c r="R1248" s="1">
        <f>Retail_Sales_Analyis[[#This Row],[Final_Price]]-Retail_Sales_Analyis[[#This Row],[Total_Price]]</f>
        <v>-111.38</v>
      </c>
      <c r="S12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49" spans="1:19" x14ac:dyDescent="0.25">
      <c r="A1249" s="1" t="s">
        <v>2093</v>
      </c>
      <c r="B1249" s="2">
        <v>45381</v>
      </c>
      <c r="C1249" s="1" t="s">
        <v>61</v>
      </c>
      <c r="D1249" s="1" t="s">
        <v>19</v>
      </c>
      <c r="E1249" s="1" t="s">
        <v>77</v>
      </c>
      <c r="F1249" s="1" t="s">
        <v>30</v>
      </c>
      <c r="G1249" s="1" t="s">
        <v>78</v>
      </c>
      <c r="H1249" s="1" t="s">
        <v>136</v>
      </c>
      <c r="I1249" s="1">
        <v>228.28</v>
      </c>
      <c r="J1249" s="1">
        <v>7</v>
      </c>
      <c r="K1249" s="1">
        <v>1597.96</v>
      </c>
      <c r="L1249" s="1">
        <v>0</v>
      </c>
      <c r="M1249" s="1">
        <v>0</v>
      </c>
      <c r="N1249" s="1">
        <v>1597.96</v>
      </c>
      <c r="O1249" s="1" t="s">
        <v>33</v>
      </c>
      <c r="P1249" s="1" t="s">
        <v>1787</v>
      </c>
      <c r="Q1249" s="1">
        <v>3</v>
      </c>
      <c r="R1249" s="1">
        <f>Retail_Sales_Analyis[[#This Row],[Final_Price]]-Retail_Sales_Analyis[[#This Row],[Total_Price]]</f>
        <v>0</v>
      </c>
      <c r="S12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0" spans="1:19" x14ac:dyDescent="0.25">
      <c r="A1250" s="1" t="s">
        <v>2094</v>
      </c>
      <c r="B1250" s="2">
        <v>45332</v>
      </c>
      <c r="C1250" s="1" t="s">
        <v>27</v>
      </c>
      <c r="D1250" s="1" t="s">
        <v>19</v>
      </c>
      <c r="E1250" s="1" t="s">
        <v>68</v>
      </c>
      <c r="F1250" s="1" t="s">
        <v>30</v>
      </c>
      <c r="G1250" s="1" t="s">
        <v>31</v>
      </c>
      <c r="H1250" s="1" t="s">
        <v>45</v>
      </c>
      <c r="I1250" s="1">
        <v>233.52</v>
      </c>
      <c r="J1250" s="1">
        <v>7</v>
      </c>
      <c r="K1250" s="1">
        <v>1634.64</v>
      </c>
      <c r="L1250" s="1">
        <v>0</v>
      </c>
      <c r="M1250" s="1">
        <v>0</v>
      </c>
      <c r="N1250" s="1">
        <v>1634.64</v>
      </c>
      <c r="O1250" s="1" t="s">
        <v>80</v>
      </c>
      <c r="P1250" s="1" t="s">
        <v>754</v>
      </c>
      <c r="Q1250" s="1">
        <v>3</v>
      </c>
      <c r="R1250" s="1">
        <f>Retail_Sales_Analyis[[#This Row],[Final_Price]]-Retail_Sales_Analyis[[#This Row],[Total_Price]]</f>
        <v>0</v>
      </c>
      <c r="S12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1" spans="1:19" x14ac:dyDescent="0.25">
      <c r="A1251" s="1" t="s">
        <v>2095</v>
      </c>
      <c r="B1251" s="2">
        <v>45604</v>
      </c>
      <c r="C1251" s="1" t="s">
        <v>18</v>
      </c>
      <c r="D1251" s="1" t="s">
        <v>144</v>
      </c>
      <c r="E1251" s="1" t="s">
        <v>62</v>
      </c>
      <c r="F1251" s="1" t="s">
        <v>84</v>
      </c>
      <c r="G1251" s="1" t="s">
        <v>78</v>
      </c>
      <c r="H1251" s="1" t="s">
        <v>136</v>
      </c>
      <c r="I1251" s="1">
        <v>352.85</v>
      </c>
      <c r="J1251" s="1">
        <v>9</v>
      </c>
      <c r="K1251" s="1">
        <v>3175.65</v>
      </c>
      <c r="L1251" s="1">
        <v>20</v>
      </c>
      <c r="M1251" s="1">
        <v>635.13</v>
      </c>
      <c r="N1251" s="1">
        <v>2540.52</v>
      </c>
      <c r="O1251" s="1" t="s">
        <v>64</v>
      </c>
      <c r="P1251" s="1" t="s">
        <v>149</v>
      </c>
      <c r="Q1251" s="1">
        <v>1</v>
      </c>
      <c r="R1251" s="1">
        <f>Retail_Sales_Analyis[[#This Row],[Final_Price]]-Retail_Sales_Analyis[[#This Row],[Total_Price]]</f>
        <v>-635.13000000000011</v>
      </c>
      <c r="S125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52" spans="1:19" x14ac:dyDescent="0.25">
      <c r="A1252" s="1" t="s">
        <v>2096</v>
      </c>
      <c r="B1252" s="2">
        <v>45487</v>
      </c>
      <c r="C1252" s="1" t="s">
        <v>195</v>
      </c>
      <c r="D1252" s="1" t="s">
        <v>49</v>
      </c>
      <c r="E1252" s="1" t="s">
        <v>145</v>
      </c>
      <c r="F1252" s="1" t="s">
        <v>69</v>
      </c>
      <c r="G1252" s="1" t="s">
        <v>85</v>
      </c>
      <c r="H1252" s="1" t="s">
        <v>90</v>
      </c>
      <c r="I1252" s="1">
        <v>2366.6</v>
      </c>
      <c r="J1252" s="1">
        <v>3</v>
      </c>
      <c r="K1252" s="1">
        <v>7099.8</v>
      </c>
      <c r="L1252" s="1">
        <v>20</v>
      </c>
      <c r="M1252" s="1">
        <v>1419.96</v>
      </c>
      <c r="N1252" s="1">
        <v>5679.84</v>
      </c>
      <c r="O1252" s="1" t="s">
        <v>80</v>
      </c>
      <c r="P1252" s="1" t="s">
        <v>888</v>
      </c>
      <c r="Q1252" s="1">
        <v>2</v>
      </c>
      <c r="R1252" s="1">
        <f>Retail_Sales_Analyis[[#This Row],[Final_Price]]-Retail_Sales_Analyis[[#This Row],[Total_Price]]</f>
        <v>-1419.96</v>
      </c>
      <c r="S125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53" spans="1:19" x14ac:dyDescent="0.25">
      <c r="A1253" s="1" t="s">
        <v>2097</v>
      </c>
      <c r="B1253" s="2">
        <v>45609</v>
      </c>
      <c r="C1253" s="1" t="s">
        <v>18</v>
      </c>
      <c r="D1253" s="1" t="s">
        <v>55</v>
      </c>
      <c r="E1253" s="1" t="s">
        <v>196</v>
      </c>
      <c r="F1253" s="1" t="s">
        <v>37</v>
      </c>
      <c r="G1253" s="1" t="s">
        <v>22</v>
      </c>
      <c r="H1253" s="1" t="s">
        <v>133</v>
      </c>
      <c r="I1253" s="1">
        <v>992.4</v>
      </c>
      <c r="J1253" s="1">
        <v>9</v>
      </c>
      <c r="K1253" s="1">
        <v>8931.6</v>
      </c>
      <c r="L1253" s="1">
        <v>0</v>
      </c>
      <c r="M1253" s="1">
        <v>0</v>
      </c>
      <c r="N1253" s="1">
        <v>8931.6</v>
      </c>
      <c r="O1253" s="1" t="s">
        <v>80</v>
      </c>
      <c r="P1253" s="1" t="s">
        <v>2098</v>
      </c>
      <c r="Q1253" s="1">
        <v>1</v>
      </c>
      <c r="R1253" s="1">
        <f>Retail_Sales_Analyis[[#This Row],[Final_Price]]-Retail_Sales_Analyis[[#This Row],[Total_Price]]</f>
        <v>0</v>
      </c>
      <c r="S12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4" spans="1:19" x14ac:dyDescent="0.25">
      <c r="A1254" s="1" t="s">
        <v>2099</v>
      </c>
      <c r="B1254" s="2">
        <v>45641</v>
      </c>
      <c r="C1254" s="1" t="s">
        <v>73</v>
      </c>
      <c r="D1254" s="1" t="s">
        <v>49</v>
      </c>
      <c r="E1254" s="1" t="s">
        <v>204</v>
      </c>
      <c r="F1254" s="1" t="s">
        <v>30</v>
      </c>
      <c r="G1254" s="1" t="s">
        <v>85</v>
      </c>
      <c r="H1254" s="1" t="s">
        <v>98</v>
      </c>
      <c r="I1254" s="1">
        <v>3736.04</v>
      </c>
      <c r="J1254" s="1">
        <v>6</v>
      </c>
      <c r="K1254" s="1">
        <v>22416.240000000002</v>
      </c>
      <c r="L1254" s="1">
        <v>5</v>
      </c>
      <c r="M1254" s="1">
        <v>1120.81</v>
      </c>
      <c r="N1254" s="1">
        <v>21295.43</v>
      </c>
      <c r="O1254" s="1" t="s">
        <v>24</v>
      </c>
      <c r="P1254" s="1" t="s">
        <v>1923</v>
      </c>
      <c r="Q1254" s="1">
        <v>3</v>
      </c>
      <c r="R1254" s="1">
        <f>Retail_Sales_Analyis[[#This Row],[Final_Price]]-Retail_Sales_Analyis[[#This Row],[Total_Price]]</f>
        <v>-1120.8100000000013</v>
      </c>
      <c r="S12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55" spans="1:19" x14ac:dyDescent="0.25">
      <c r="A1255" s="1" t="s">
        <v>2100</v>
      </c>
      <c r="B1255" s="2">
        <v>45415</v>
      </c>
      <c r="C1255" s="1" t="s">
        <v>42</v>
      </c>
      <c r="D1255" s="1" t="s">
        <v>144</v>
      </c>
      <c r="E1255" s="1" t="s">
        <v>117</v>
      </c>
      <c r="F1255" s="1" t="s">
        <v>69</v>
      </c>
      <c r="G1255" s="1" t="s">
        <v>22</v>
      </c>
      <c r="H1255" s="1" t="s">
        <v>187</v>
      </c>
      <c r="I1255" s="1">
        <v>725.51</v>
      </c>
      <c r="J1255" s="1">
        <v>7</v>
      </c>
      <c r="K1255" s="1">
        <v>5078.57</v>
      </c>
      <c r="L1255" s="1">
        <v>0</v>
      </c>
      <c r="M1255" s="1">
        <v>0</v>
      </c>
      <c r="N1255" s="1">
        <v>5078.57</v>
      </c>
      <c r="O1255" s="1" t="s">
        <v>80</v>
      </c>
      <c r="P1255" s="1" t="s">
        <v>1425</v>
      </c>
      <c r="Q1255" s="1">
        <v>3</v>
      </c>
      <c r="R1255" s="1">
        <f>Retail_Sales_Analyis[[#This Row],[Final_Price]]-Retail_Sales_Analyis[[#This Row],[Total_Price]]</f>
        <v>0</v>
      </c>
      <c r="S12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6" spans="1:19" x14ac:dyDescent="0.25">
      <c r="A1256" s="1" t="s">
        <v>2101</v>
      </c>
      <c r="B1256" s="2">
        <v>45546</v>
      </c>
      <c r="C1256" s="1" t="s">
        <v>116</v>
      </c>
      <c r="D1256" s="1" t="s">
        <v>55</v>
      </c>
      <c r="E1256" s="1" t="s">
        <v>213</v>
      </c>
      <c r="F1256" s="1" t="s">
        <v>37</v>
      </c>
      <c r="G1256" s="1" t="s">
        <v>169</v>
      </c>
      <c r="H1256" s="1" t="s">
        <v>366</v>
      </c>
      <c r="I1256" s="1">
        <v>1068.56</v>
      </c>
      <c r="J1256" s="1">
        <v>8</v>
      </c>
      <c r="K1256" s="1">
        <v>8548.48</v>
      </c>
      <c r="L1256" s="1">
        <v>0</v>
      </c>
      <c r="M1256" s="1">
        <v>0</v>
      </c>
      <c r="N1256" s="1">
        <v>8548.48</v>
      </c>
      <c r="O1256" s="1" t="s">
        <v>64</v>
      </c>
      <c r="P1256" s="1" t="s">
        <v>2102</v>
      </c>
      <c r="Q1256" s="1">
        <v>1</v>
      </c>
      <c r="R1256" s="1">
        <f>Retail_Sales_Analyis[[#This Row],[Final_Price]]-Retail_Sales_Analyis[[#This Row],[Total_Price]]</f>
        <v>0</v>
      </c>
      <c r="S12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7" spans="1:19" x14ac:dyDescent="0.25">
      <c r="A1257" s="1" t="s">
        <v>2103</v>
      </c>
      <c r="B1257" s="2">
        <v>45590</v>
      </c>
      <c r="C1257" s="1" t="s">
        <v>76</v>
      </c>
      <c r="D1257" s="1" t="s">
        <v>144</v>
      </c>
      <c r="E1257" s="1" t="s">
        <v>145</v>
      </c>
      <c r="F1257" s="1" t="s">
        <v>84</v>
      </c>
      <c r="G1257" s="1" t="s">
        <v>85</v>
      </c>
      <c r="H1257" s="1" t="s">
        <v>297</v>
      </c>
      <c r="I1257" s="1">
        <v>3779.75</v>
      </c>
      <c r="J1257" s="1">
        <v>5</v>
      </c>
      <c r="K1257" s="1">
        <v>18898.75</v>
      </c>
      <c r="L1257" s="1">
        <v>0</v>
      </c>
      <c r="M1257" s="1">
        <v>0</v>
      </c>
      <c r="N1257" s="1">
        <v>18898.75</v>
      </c>
      <c r="O1257" s="1" t="s">
        <v>33</v>
      </c>
      <c r="P1257" s="1" t="s">
        <v>2104</v>
      </c>
      <c r="Q1257" s="1">
        <v>3</v>
      </c>
      <c r="R1257" s="1">
        <f>Retail_Sales_Analyis[[#This Row],[Final_Price]]-Retail_Sales_Analyis[[#This Row],[Total_Price]]</f>
        <v>0</v>
      </c>
      <c r="S12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8" spans="1:19" x14ac:dyDescent="0.25">
      <c r="A1258" s="1" t="s">
        <v>2105</v>
      </c>
      <c r="B1258" s="2">
        <v>45365</v>
      </c>
      <c r="C1258" s="1" t="s">
        <v>61</v>
      </c>
      <c r="D1258" s="1" t="s">
        <v>67</v>
      </c>
      <c r="E1258" s="1" t="s">
        <v>129</v>
      </c>
      <c r="F1258" s="1" t="s">
        <v>37</v>
      </c>
      <c r="G1258" s="1" t="s">
        <v>169</v>
      </c>
      <c r="H1258" s="1" t="s">
        <v>366</v>
      </c>
      <c r="I1258" s="1">
        <v>328.21</v>
      </c>
      <c r="J1258" s="1">
        <v>1</v>
      </c>
      <c r="K1258" s="1">
        <v>328.21</v>
      </c>
      <c r="L1258" s="1">
        <v>0</v>
      </c>
      <c r="M1258" s="1">
        <v>0</v>
      </c>
      <c r="N1258" s="1">
        <v>328.21</v>
      </c>
      <c r="O1258" s="1" t="s">
        <v>24</v>
      </c>
      <c r="P1258" s="1" t="s">
        <v>1669</v>
      </c>
      <c r="Q1258" s="1">
        <v>2</v>
      </c>
      <c r="R1258" s="1">
        <f>Retail_Sales_Analyis[[#This Row],[Final_Price]]-Retail_Sales_Analyis[[#This Row],[Total_Price]]</f>
        <v>0</v>
      </c>
      <c r="S12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59" spans="1:19" x14ac:dyDescent="0.25">
      <c r="A1259" s="1" t="s">
        <v>2106</v>
      </c>
      <c r="B1259" s="2">
        <v>45410</v>
      </c>
      <c r="C1259" s="1" t="s">
        <v>54</v>
      </c>
      <c r="D1259" s="1" t="s">
        <v>49</v>
      </c>
      <c r="E1259" s="1" t="s">
        <v>168</v>
      </c>
      <c r="F1259" s="1" t="s">
        <v>84</v>
      </c>
      <c r="G1259" s="1" t="s">
        <v>38</v>
      </c>
      <c r="H1259" s="1" t="s">
        <v>108</v>
      </c>
      <c r="I1259" s="1">
        <v>765.71</v>
      </c>
      <c r="J1259" s="1">
        <v>7</v>
      </c>
      <c r="K1259" s="1">
        <v>5359.97</v>
      </c>
      <c r="L1259" s="1">
        <v>0</v>
      </c>
      <c r="M1259" s="1">
        <v>0</v>
      </c>
      <c r="N1259" s="1">
        <v>5359.97</v>
      </c>
      <c r="O1259" s="1" t="s">
        <v>33</v>
      </c>
      <c r="P1259" s="1" t="s">
        <v>725</v>
      </c>
      <c r="Q1259" s="1">
        <v>1</v>
      </c>
      <c r="R1259" s="1">
        <f>Retail_Sales_Analyis[[#This Row],[Final_Price]]-Retail_Sales_Analyis[[#This Row],[Total_Price]]</f>
        <v>0</v>
      </c>
      <c r="S12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0" spans="1:19" x14ac:dyDescent="0.25">
      <c r="A1260" s="1" t="s">
        <v>2107</v>
      </c>
      <c r="B1260" s="2">
        <v>45528</v>
      </c>
      <c r="C1260" s="1" t="s">
        <v>93</v>
      </c>
      <c r="D1260" s="1" t="s">
        <v>19</v>
      </c>
      <c r="E1260" s="1" t="s">
        <v>83</v>
      </c>
      <c r="F1260" s="1" t="s">
        <v>84</v>
      </c>
      <c r="G1260" s="1" t="s">
        <v>78</v>
      </c>
      <c r="H1260" s="1" t="s">
        <v>136</v>
      </c>
      <c r="I1260" s="1">
        <v>318.70999999999998</v>
      </c>
      <c r="J1260" s="1">
        <v>5</v>
      </c>
      <c r="K1260" s="1">
        <v>1593.55</v>
      </c>
      <c r="L1260" s="1">
        <v>5</v>
      </c>
      <c r="M1260" s="1">
        <v>79.680000000000007</v>
      </c>
      <c r="N1260" s="1">
        <v>1513.87</v>
      </c>
      <c r="O1260" s="1" t="s">
        <v>80</v>
      </c>
      <c r="P1260" s="1" t="s">
        <v>641</v>
      </c>
      <c r="Q1260" s="1">
        <v>5</v>
      </c>
      <c r="R1260" s="1">
        <f>Retail_Sales_Analyis[[#This Row],[Final_Price]]-Retail_Sales_Analyis[[#This Row],[Total_Price]]</f>
        <v>-79.680000000000064</v>
      </c>
      <c r="S12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61" spans="1:19" x14ac:dyDescent="0.25">
      <c r="A1261" s="1" t="s">
        <v>2108</v>
      </c>
      <c r="B1261" s="2">
        <v>45618</v>
      </c>
      <c r="C1261" s="1" t="s">
        <v>18</v>
      </c>
      <c r="D1261" s="1" t="s">
        <v>144</v>
      </c>
      <c r="E1261" s="1" t="s">
        <v>151</v>
      </c>
      <c r="F1261" s="1" t="s">
        <v>69</v>
      </c>
      <c r="G1261" s="1" t="s">
        <v>112</v>
      </c>
      <c r="H1261" s="1" t="s">
        <v>288</v>
      </c>
      <c r="I1261" s="1">
        <v>1965.52</v>
      </c>
      <c r="J1261" s="1">
        <v>8</v>
      </c>
      <c r="K1261" s="1">
        <v>15724.16</v>
      </c>
      <c r="L1261" s="1">
        <v>0</v>
      </c>
      <c r="M1261" s="1">
        <v>0</v>
      </c>
      <c r="N1261" s="1">
        <v>15724.16</v>
      </c>
      <c r="O1261" s="1" t="s">
        <v>46</v>
      </c>
      <c r="P1261" s="1" t="s">
        <v>343</v>
      </c>
      <c r="Q1261" s="1">
        <v>1</v>
      </c>
      <c r="R1261" s="1">
        <f>Retail_Sales_Analyis[[#This Row],[Final_Price]]-Retail_Sales_Analyis[[#This Row],[Total_Price]]</f>
        <v>0</v>
      </c>
      <c r="S12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2" spans="1:19" x14ac:dyDescent="0.25">
      <c r="A1262" s="1" t="s">
        <v>2109</v>
      </c>
      <c r="B1262" s="2">
        <v>45422</v>
      </c>
      <c r="C1262" s="1" t="s">
        <v>42</v>
      </c>
      <c r="D1262" s="1" t="s">
        <v>144</v>
      </c>
      <c r="E1262" s="1" t="s">
        <v>411</v>
      </c>
      <c r="F1262" s="1" t="s">
        <v>69</v>
      </c>
      <c r="G1262" s="1" t="s">
        <v>22</v>
      </c>
      <c r="H1262" s="1" t="s">
        <v>187</v>
      </c>
      <c r="I1262" s="1">
        <v>815.83</v>
      </c>
      <c r="J1262" s="1">
        <v>7</v>
      </c>
      <c r="K1262" s="1">
        <v>5710.81</v>
      </c>
      <c r="L1262" s="1">
        <v>15</v>
      </c>
      <c r="M1262" s="1">
        <v>856.62</v>
      </c>
      <c r="N1262" s="1">
        <v>4854.1899999999996</v>
      </c>
      <c r="O1262" s="1" t="s">
        <v>80</v>
      </c>
      <c r="P1262" s="1" t="s">
        <v>2110</v>
      </c>
      <c r="Q1262" s="1">
        <v>5</v>
      </c>
      <c r="R1262" s="1">
        <f>Retail_Sales_Analyis[[#This Row],[Final_Price]]-Retail_Sales_Analyis[[#This Row],[Total_Price]]</f>
        <v>-856.6200000000008</v>
      </c>
      <c r="S12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63" spans="1:19" x14ac:dyDescent="0.25">
      <c r="A1263" s="1" t="s">
        <v>2111</v>
      </c>
      <c r="B1263" s="2">
        <v>45527</v>
      </c>
      <c r="C1263" s="1" t="s">
        <v>93</v>
      </c>
      <c r="D1263" s="1" t="s">
        <v>144</v>
      </c>
      <c r="E1263" s="1" t="s">
        <v>239</v>
      </c>
      <c r="F1263" s="1" t="s">
        <v>37</v>
      </c>
      <c r="G1263" s="1" t="s">
        <v>22</v>
      </c>
      <c r="H1263" s="1" t="s">
        <v>133</v>
      </c>
      <c r="I1263" s="1">
        <v>970.21</v>
      </c>
      <c r="J1263" s="1">
        <v>2</v>
      </c>
      <c r="K1263" s="1">
        <v>1940.42</v>
      </c>
      <c r="L1263" s="1">
        <v>5</v>
      </c>
      <c r="M1263" s="1">
        <v>97.02</v>
      </c>
      <c r="N1263" s="1">
        <v>1843.4</v>
      </c>
      <c r="O1263" s="1" t="s">
        <v>46</v>
      </c>
      <c r="P1263" s="1" t="s">
        <v>1423</v>
      </c>
      <c r="Q1263" s="1">
        <v>5</v>
      </c>
      <c r="R1263" s="1">
        <f>Retail_Sales_Analyis[[#This Row],[Final_Price]]-Retail_Sales_Analyis[[#This Row],[Total_Price]]</f>
        <v>-97.019999999999982</v>
      </c>
      <c r="S12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64" spans="1:19" x14ac:dyDescent="0.25">
      <c r="A1264" s="1" t="s">
        <v>2112</v>
      </c>
      <c r="B1264" s="2">
        <v>45422</v>
      </c>
      <c r="C1264" s="1" t="s">
        <v>42</v>
      </c>
      <c r="D1264" s="1" t="s">
        <v>144</v>
      </c>
      <c r="E1264" s="1" t="s">
        <v>342</v>
      </c>
      <c r="F1264" s="1" t="s">
        <v>30</v>
      </c>
      <c r="G1264" s="1" t="s">
        <v>169</v>
      </c>
      <c r="H1264" s="1" t="s">
        <v>348</v>
      </c>
      <c r="I1264" s="1">
        <v>755.82</v>
      </c>
      <c r="J1264" s="1">
        <v>6</v>
      </c>
      <c r="K1264" s="1">
        <v>4534.92</v>
      </c>
      <c r="L1264" s="1">
        <v>0</v>
      </c>
      <c r="M1264" s="1">
        <v>0</v>
      </c>
      <c r="N1264" s="1">
        <v>4534.92</v>
      </c>
      <c r="O1264" s="1" t="s">
        <v>80</v>
      </c>
      <c r="P1264" s="1" t="s">
        <v>2076</v>
      </c>
      <c r="Q1264" s="1">
        <v>4</v>
      </c>
      <c r="R1264" s="1">
        <f>Retail_Sales_Analyis[[#This Row],[Final_Price]]-Retail_Sales_Analyis[[#This Row],[Total_Price]]</f>
        <v>0</v>
      </c>
      <c r="S12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5" spans="1:19" x14ac:dyDescent="0.25">
      <c r="A1265" s="1" t="s">
        <v>2113</v>
      </c>
      <c r="B1265" s="2">
        <v>45633</v>
      </c>
      <c r="C1265" s="1" t="s">
        <v>73</v>
      </c>
      <c r="D1265" s="1" t="s">
        <v>19</v>
      </c>
      <c r="E1265" s="1" t="s">
        <v>285</v>
      </c>
      <c r="F1265" s="1" t="s">
        <v>37</v>
      </c>
      <c r="G1265" s="1" t="s">
        <v>31</v>
      </c>
      <c r="H1265" s="1" t="s">
        <v>250</v>
      </c>
      <c r="I1265" s="1">
        <v>326.17</v>
      </c>
      <c r="J1265" s="1">
        <v>2</v>
      </c>
      <c r="K1265" s="1">
        <v>652.34</v>
      </c>
      <c r="L1265" s="1">
        <v>0</v>
      </c>
      <c r="M1265" s="1">
        <v>0</v>
      </c>
      <c r="N1265" s="1">
        <v>652.34</v>
      </c>
      <c r="O1265" s="1" t="s">
        <v>64</v>
      </c>
      <c r="P1265" s="1" t="s">
        <v>817</v>
      </c>
      <c r="Q1265" s="1">
        <v>5</v>
      </c>
      <c r="R1265" s="1">
        <f>Retail_Sales_Analyis[[#This Row],[Final_Price]]-Retail_Sales_Analyis[[#This Row],[Total_Price]]</f>
        <v>0</v>
      </c>
      <c r="S12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6" spans="1:19" x14ac:dyDescent="0.25">
      <c r="A1266" s="1" t="s">
        <v>2114</v>
      </c>
      <c r="B1266" s="2">
        <v>45296</v>
      </c>
      <c r="C1266" s="1" t="s">
        <v>36</v>
      </c>
      <c r="D1266" s="1" t="s">
        <v>144</v>
      </c>
      <c r="E1266" s="1" t="s">
        <v>141</v>
      </c>
      <c r="F1266" s="1" t="s">
        <v>37</v>
      </c>
      <c r="G1266" s="1" t="s">
        <v>31</v>
      </c>
      <c r="H1266" s="1" t="s">
        <v>329</v>
      </c>
      <c r="I1266" s="1">
        <v>275.93</v>
      </c>
      <c r="J1266" s="1">
        <v>8</v>
      </c>
      <c r="K1266" s="1">
        <v>2207.44</v>
      </c>
      <c r="L1266" s="1">
        <v>0</v>
      </c>
      <c r="M1266" s="1">
        <v>0</v>
      </c>
      <c r="N1266" s="1">
        <v>2207.44</v>
      </c>
      <c r="O1266" s="1" t="s">
        <v>80</v>
      </c>
      <c r="P1266" s="1" t="s">
        <v>375</v>
      </c>
      <c r="Q1266" s="1">
        <v>4</v>
      </c>
      <c r="R1266" s="1">
        <f>Retail_Sales_Analyis[[#This Row],[Final_Price]]-Retail_Sales_Analyis[[#This Row],[Total_Price]]</f>
        <v>0</v>
      </c>
      <c r="S12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7" spans="1:19" x14ac:dyDescent="0.25">
      <c r="A1267" s="1" t="s">
        <v>2115</v>
      </c>
      <c r="B1267" s="2">
        <v>45530</v>
      </c>
      <c r="C1267" s="1" t="s">
        <v>93</v>
      </c>
      <c r="D1267" s="1" t="s">
        <v>43</v>
      </c>
      <c r="E1267" s="1" t="s">
        <v>94</v>
      </c>
      <c r="F1267" s="1" t="s">
        <v>84</v>
      </c>
      <c r="G1267" s="1" t="s">
        <v>169</v>
      </c>
      <c r="H1267" s="1" t="s">
        <v>170</v>
      </c>
      <c r="I1267" s="1">
        <v>889.32</v>
      </c>
      <c r="J1267" s="1">
        <v>8</v>
      </c>
      <c r="K1267" s="1">
        <v>7114.56</v>
      </c>
      <c r="L1267" s="1">
        <v>0</v>
      </c>
      <c r="M1267" s="1">
        <v>0</v>
      </c>
      <c r="N1267" s="1">
        <v>7114.56</v>
      </c>
      <c r="O1267" s="1" t="s">
        <v>64</v>
      </c>
      <c r="P1267" s="1" t="s">
        <v>2116</v>
      </c>
      <c r="Q1267" s="1">
        <v>1</v>
      </c>
      <c r="R1267" s="1">
        <f>Retail_Sales_Analyis[[#This Row],[Final_Price]]-Retail_Sales_Analyis[[#This Row],[Total_Price]]</f>
        <v>0</v>
      </c>
      <c r="S12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8" spans="1:19" x14ac:dyDescent="0.25">
      <c r="A1268" s="1" t="s">
        <v>2117</v>
      </c>
      <c r="B1268" s="2">
        <v>45439</v>
      </c>
      <c r="C1268" s="1" t="s">
        <v>42</v>
      </c>
      <c r="D1268" s="1" t="s">
        <v>43</v>
      </c>
      <c r="E1268" s="1" t="s">
        <v>29</v>
      </c>
      <c r="F1268" s="1" t="s">
        <v>37</v>
      </c>
      <c r="G1268" s="1" t="s">
        <v>22</v>
      </c>
      <c r="H1268" s="1" t="s">
        <v>133</v>
      </c>
      <c r="I1268" s="1">
        <v>749.45</v>
      </c>
      <c r="J1268" s="1">
        <v>2</v>
      </c>
      <c r="K1268" s="1">
        <v>1498.9</v>
      </c>
      <c r="L1268" s="1">
        <v>0</v>
      </c>
      <c r="M1268" s="1">
        <v>0</v>
      </c>
      <c r="N1268" s="1">
        <v>1498.9</v>
      </c>
      <c r="O1268" s="1" t="s">
        <v>33</v>
      </c>
      <c r="P1268" s="1" t="s">
        <v>1544</v>
      </c>
      <c r="Q1268" s="1">
        <v>4</v>
      </c>
      <c r="R1268" s="1">
        <f>Retail_Sales_Analyis[[#This Row],[Final_Price]]-Retail_Sales_Analyis[[#This Row],[Total_Price]]</f>
        <v>0</v>
      </c>
      <c r="S12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69" spans="1:19" x14ac:dyDescent="0.25">
      <c r="A1269" s="1" t="s">
        <v>2118</v>
      </c>
      <c r="B1269" s="2">
        <v>45638</v>
      </c>
      <c r="C1269" s="1" t="s">
        <v>73</v>
      </c>
      <c r="D1269" s="1" t="s">
        <v>67</v>
      </c>
      <c r="E1269" s="1" t="s">
        <v>44</v>
      </c>
      <c r="F1269" s="1" t="s">
        <v>21</v>
      </c>
      <c r="G1269" s="1" t="s">
        <v>85</v>
      </c>
      <c r="H1269" s="1" t="s">
        <v>86</v>
      </c>
      <c r="I1269" s="1">
        <v>1175.5</v>
      </c>
      <c r="J1269" s="1">
        <v>3</v>
      </c>
      <c r="K1269" s="1">
        <v>3526.5</v>
      </c>
      <c r="L1269" s="1">
        <v>0</v>
      </c>
      <c r="M1269" s="1">
        <v>0</v>
      </c>
      <c r="N1269" s="1">
        <v>3526.5</v>
      </c>
      <c r="O1269" s="1" t="s">
        <v>46</v>
      </c>
      <c r="P1269" s="1" t="s">
        <v>848</v>
      </c>
      <c r="Q1269" s="1">
        <v>5</v>
      </c>
      <c r="R1269" s="1">
        <f>Retail_Sales_Analyis[[#This Row],[Final_Price]]-Retail_Sales_Analyis[[#This Row],[Total_Price]]</f>
        <v>0</v>
      </c>
      <c r="S12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0" spans="1:19" x14ac:dyDescent="0.25">
      <c r="A1270" s="1" t="s">
        <v>2119</v>
      </c>
      <c r="B1270" s="2">
        <v>45571</v>
      </c>
      <c r="C1270" s="1" t="s">
        <v>76</v>
      </c>
      <c r="D1270" s="1" t="s">
        <v>49</v>
      </c>
      <c r="E1270" s="1" t="s">
        <v>337</v>
      </c>
      <c r="F1270" s="1" t="s">
        <v>69</v>
      </c>
      <c r="G1270" s="1" t="s">
        <v>31</v>
      </c>
      <c r="H1270" s="1" t="s">
        <v>329</v>
      </c>
      <c r="I1270" s="1">
        <v>95.69</v>
      </c>
      <c r="J1270" s="1">
        <v>3</v>
      </c>
      <c r="K1270" s="1">
        <v>287.07</v>
      </c>
      <c r="L1270" s="1">
        <v>0</v>
      </c>
      <c r="M1270" s="1">
        <v>0</v>
      </c>
      <c r="N1270" s="1">
        <v>287.07</v>
      </c>
      <c r="O1270" s="1" t="s">
        <v>80</v>
      </c>
      <c r="P1270" s="1" t="s">
        <v>2060</v>
      </c>
      <c r="Q1270" s="1">
        <v>5</v>
      </c>
      <c r="R1270" s="1">
        <f>Retail_Sales_Analyis[[#This Row],[Final_Price]]-Retail_Sales_Analyis[[#This Row],[Total_Price]]</f>
        <v>0</v>
      </c>
      <c r="S12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1" spans="1:19" x14ac:dyDescent="0.25">
      <c r="A1271" s="1" t="s">
        <v>2120</v>
      </c>
      <c r="B1271" s="2">
        <v>45372</v>
      </c>
      <c r="C1271" s="1" t="s">
        <v>61</v>
      </c>
      <c r="D1271" s="1" t="s">
        <v>67</v>
      </c>
      <c r="E1271" s="1" t="s">
        <v>542</v>
      </c>
      <c r="F1271" s="1" t="s">
        <v>69</v>
      </c>
      <c r="G1271" s="1" t="s">
        <v>78</v>
      </c>
      <c r="H1271" s="1" t="s">
        <v>136</v>
      </c>
      <c r="I1271" s="1">
        <v>159.24</v>
      </c>
      <c r="J1271" s="1">
        <v>9</v>
      </c>
      <c r="K1271" s="1">
        <v>1433.16</v>
      </c>
      <c r="L1271" s="1">
        <v>15</v>
      </c>
      <c r="M1271" s="1">
        <v>214.97</v>
      </c>
      <c r="N1271" s="1">
        <v>1218.19</v>
      </c>
      <c r="O1271" s="1" t="s">
        <v>46</v>
      </c>
      <c r="P1271" s="1" t="s">
        <v>474</v>
      </c>
      <c r="Q1271" s="1">
        <v>5</v>
      </c>
      <c r="R1271" s="1">
        <f>Retail_Sales_Analyis[[#This Row],[Final_Price]]-Retail_Sales_Analyis[[#This Row],[Total_Price]]</f>
        <v>-214.97000000000003</v>
      </c>
      <c r="S12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72" spans="1:19" x14ac:dyDescent="0.25">
      <c r="A1272" s="1" t="s">
        <v>2121</v>
      </c>
      <c r="B1272" s="2">
        <v>45329</v>
      </c>
      <c r="C1272" s="1" t="s">
        <v>27</v>
      </c>
      <c r="D1272" s="1" t="s">
        <v>55</v>
      </c>
      <c r="E1272" s="1" t="s">
        <v>151</v>
      </c>
      <c r="F1272" s="1" t="s">
        <v>30</v>
      </c>
      <c r="G1272" s="1" t="s">
        <v>112</v>
      </c>
      <c r="H1272" s="1" t="s">
        <v>118</v>
      </c>
      <c r="I1272" s="1">
        <v>1154.44</v>
      </c>
      <c r="J1272" s="1">
        <v>7</v>
      </c>
      <c r="K1272" s="1">
        <v>8081.08</v>
      </c>
      <c r="L1272" s="1">
        <v>0</v>
      </c>
      <c r="M1272" s="1">
        <v>0</v>
      </c>
      <c r="N1272" s="1">
        <v>8081.08</v>
      </c>
      <c r="O1272" s="1" t="s">
        <v>24</v>
      </c>
      <c r="P1272" s="1" t="s">
        <v>2122</v>
      </c>
      <c r="Q1272" s="1">
        <v>1</v>
      </c>
      <c r="R1272" s="1">
        <f>Retail_Sales_Analyis[[#This Row],[Final_Price]]-Retail_Sales_Analyis[[#This Row],[Total_Price]]</f>
        <v>0</v>
      </c>
      <c r="S12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3" spans="1:19" x14ac:dyDescent="0.25">
      <c r="A1273" s="1" t="s">
        <v>2123</v>
      </c>
      <c r="B1273" s="2">
        <v>45518</v>
      </c>
      <c r="C1273" s="1" t="s">
        <v>93</v>
      </c>
      <c r="D1273" s="1" t="s">
        <v>55</v>
      </c>
      <c r="E1273" s="1" t="s">
        <v>239</v>
      </c>
      <c r="F1273" s="1" t="s">
        <v>84</v>
      </c>
      <c r="G1273" s="1" t="s">
        <v>22</v>
      </c>
      <c r="H1273" s="1" t="s">
        <v>187</v>
      </c>
      <c r="I1273" s="1">
        <v>935.42</v>
      </c>
      <c r="J1273" s="1">
        <v>3</v>
      </c>
      <c r="K1273" s="1">
        <v>2806.26</v>
      </c>
      <c r="L1273" s="1">
        <v>0</v>
      </c>
      <c r="M1273" s="1">
        <v>0</v>
      </c>
      <c r="N1273" s="1">
        <v>2806.26</v>
      </c>
      <c r="O1273" s="1" t="s">
        <v>24</v>
      </c>
      <c r="P1273" s="1" t="s">
        <v>2124</v>
      </c>
      <c r="Q1273" s="1">
        <v>2</v>
      </c>
      <c r="R1273" s="1">
        <f>Retail_Sales_Analyis[[#This Row],[Final_Price]]-Retail_Sales_Analyis[[#This Row],[Total_Price]]</f>
        <v>0</v>
      </c>
      <c r="S12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4" spans="1:19" x14ac:dyDescent="0.25">
      <c r="A1274" s="1" t="s">
        <v>2125</v>
      </c>
      <c r="B1274" s="2">
        <v>45468</v>
      </c>
      <c r="C1274" s="1" t="s">
        <v>173</v>
      </c>
      <c r="D1274" s="1" t="s">
        <v>28</v>
      </c>
      <c r="E1274" s="1" t="s">
        <v>83</v>
      </c>
      <c r="F1274" s="1" t="s">
        <v>37</v>
      </c>
      <c r="G1274" s="1" t="s">
        <v>57</v>
      </c>
      <c r="H1274" s="1" t="s">
        <v>58</v>
      </c>
      <c r="I1274" s="1">
        <v>2047.61</v>
      </c>
      <c r="J1274" s="1">
        <v>9</v>
      </c>
      <c r="K1274" s="1">
        <v>18428.490000000002</v>
      </c>
      <c r="L1274" s="1">
        <v>0</v>
      </c>
      <c r="M1274" s="1">
        <v>0</v>
      </c>
      <c r="N1274" s="1">
        <v>18428.490000000002</v>
      </c>
      <c r="O1274" s="1" t="s">
        <v>80</v>
      </c>
      <c r="P1274" s="1" t="s">
        <v>2081</v>
      </c>
      <c r="Q1274" s="1">
        <v>3</v>
      </c>
      <c r="R1274" s="1">
        <f>Retail_Sales_Analyis[[#This Row],[Final_Price]]-Retail_Sales_Analyis[[#This Row],[Total_Price]]</f>
        <v>0</v>
      </c>
      <c r="S12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5" spans="1:19" x14ac:dyDescent="0.25">
      <c r="A1275" s="1" t="s">
        <v>2126</v>
      </c>
      <c r="B1275" s="2">
        <v>45592</v>
      </c>
      <c r="C1275" s="1" t="s">
        <v>76</v>
      </c>
      <c r="D1275" s="1" t="s">
        <v>49</v>
      </c>
      <c r="E1275" s="1" t="s">
        <v>107</v>
      </c>
      <c r="F1275" s="1" t="s">
        <v>30</v>
      </c>
      <c r="G1275" s="1" t="s">
        <v>85</v>
      </c>
      <c r="H1275" s="1" t="s">
        <v>90</v>
      </c>
      <c r="I1275" s="1">
        <v>2653.02</v>
      </c>
      <c r="J1275" s="1">
        <v>9</v>
      </c>
      <c r="K1275" s="1">
        <v>23877.18</v>
      </c>
      <c r="L1275" s="1">
        <v>0</v>
      </c>
      <c r="M1275" s="1">
        <v>0</v>
      </c>
      <c r="N1275" s="1">
        <v>23877.18</v>
      </c>
      <c r="O1275" s="1" t="s">
        <v>64</v>
      </c>
      <c r="P1275" s="1" t="s">
        <v>2127</v>
      </c>
      <c r="Q1275" s="1">
        <v>2</v>
      </c>
      <c r="R1275" s="1">
        <f>Retail_Sales_Analyis[[#This Row],[Final_Price]]-Retail_Sales_Analyis[[#This Row],[Total_Price]]</f>
        <v>0</v>
      </c>
      <c r="S12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6" spans="1:19" x14ac:dyDescent="0.25">
      <c r="A1276" s="1" t="s">
        <v>2128</v>
      </c>
      <c r="B1276" s="2">
        <v>45445</v>
      </c>
      <c r="C1276" s="1" t="s">
        <v>173</v>
      </c>
      <c r="D1276" s="1" t="s">
        <v>49</v>
      </c>
      <c r="E1276" s="1" t="s">
        <v>139</v>
      </c>
      <c r="F1276" s="1" t="s">
        <v>30</v>
      </c>
      <c r="G1276" s="1" t="s">
        <v>22</v>
      </c>
      <c r="H1276" s="1" t="s">
        <v>133</v>
      </c>
      <c r="I1276" s="1">
        <v>497.49</v>
      </c>
      <c r="J1276" s="1">
        <v>9</v>
      </c>
      <c r="K1276" s="1">
        <v>4477.41</v>
      </c>
      <c r="L1276" s="1">
        <v>20</v>
      </c>
      <c r="M1276" s="1">
        <v>895.48</v>
      </c>
      <c r="N1276" s="1">
        <v>3581.93</v>
      </c>
      <c r="O1276" s="1" t="s">
        <v>24</v>
      </c>
      <c r="P1276" s="1" t="s">
        <v>2129</v>
      </c>
      <c r="Q1276" s="1">
        <v>1</v>
      </c>
      <c r="R1276" s="1">
        <f>Retail_Sales_Analyis[[#This Row],[Final_Price]]-Retail_Sales_Analyis[[#This Row],[Total_Price]]</f>
        <v>-895.48</v>
      </c>
      <c r="S12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77" spans="1:19" x14ac:dyDescent="0.25">
      <c r="A1277" s="1" t="s">
        <v>2130</v>
      </c>
      <c r="B1277" s="2">
        <v>45619</v>
      </c>
      <c r="C1277" s="1" t="s">
        <v>18</v>
      </c>
      <c r="D1277" s="1" t="s">
        <v>19</v>
      </c>
      <c r="E1277" s="1" t="s">
        <v>145</v>
      </c>
      <c r="F1277" s="1" t="s">
        <v>21</v>
      </c>
      <c r="G1277" s="1" t="s">
        <v>112</v>
      </c>
      <c r="H1277" s="1" t="s">
        <v>118</v>
      </c>
      <c r="I1277" s="1">
        <v>1820.58</v>
      </c>
      <c r="J1277" s="1">
        <v>3</v>
      </c>
      <c r="K1277" s="1">
        <v>5461.74</v>
      </c>
      <c r="L1277" s="1">
        <v>0</v>
      </c>
      <c r="M1277" s="1">
        <v>0</v>
      </c>
      <c r="N1277" s="1">
        <v>5461.74</v>
      </c>
      <c r="O1277" s="1" t="s">
        <v>64</v>
      </c>
      <c r="P1277" s="1" t="s">
        <v>1474</v>
      </c>
      <c r="Q1277" s="1">
        <v>4</v>
      </c>
      <c r="R1277" s="1">
        <f>Retail_Sales_Analyis[[#This Row],[Final_Price]]-Retail_Sales_Analyis[[#This Row],[Total_Price]]</f>
        <v>0</v>
      </c>
      <c r="S12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8" spans="1:19" x14ac:dyDescent="0.25">
      <c r="A1278" s="1" t="s">
        <v>2131</v>
      </c>
      <c r="B1278" s="2">
        <v>45509</v>
      </c>
      <c r="C1278" s="1" t="s">
        <v>93</v>
      </c>
      <c r="D1278" s="1" t="s">
        <v>43</v>
      </c>
      <c r="E1278" s="1" t="s">
        <v>328</v>
      </c>
      <c r="F1278" s="1" t="s">
        <v>84</v>
      </c>
      <c r="G1278" s="1" t="s">
        <v>31</v>
      </c>
      <c r="H1278" s="1" t="s">
        <v>32</v>
      </c>
      <c r="I1278" s="1">
        <v>265.43</v>
      </c>
      <c r="J1278" s="1">
        <v>2</v>
      </c>
      <c r="K1278" s="1">
        <v>530.86</v>
      </c>
      <c r="L1278" s="1">
        <v>0</v>
      </c>
      <c r="M1278" s="1">
        <v>0</v>
      </c>
      <c r="N1278" s="1">
        <v>530.86</v>
      </c>
      <c r="O1278" s="1" t="s">
        <v>33</v>
      </c>
      <c r="P1278" s="1" t="s">
        <v>1791</v>
      </c>
      <c r="Q1278" s="1">
        <v>5</v>
      </c>
      <c r="R1278" s="1">
        <f>Retail_Sales_Analyis[[#This Row],[Final_Price]]-Retail_Sales_Analyis[[#This Row],[Total_Price]]</f>
        <v>0</v>
      </c>
      <c r="S12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79" spans="1:19" x14ac:dyDescent="0.25">
      <c r="A1279" s="1" t="s">
        <v>2132</v>
      </c>
      <c r="B1279" s="2">
        <v>45645</v>
      </c>
      <c r="C1279" s="1" t="s">
        <v>73</v>
      </c>
      <c r="D1279" s="1" t="s">
        <v>67</v>
      </c>
      <c r="E1279" s="1" t="s">
        <v>213</v>
      </c>
      <c r="F1279" s="1" t="s">
        <v>37</v>
      </c>
      <c r="G1279" s="1" t="s">
        <v>169</v>
      </c>
      <c r="H1279" s="1" t="s">
        <v>366</v>
      </c>
      <c r="I1279" s="1">
        <v>1100.5</v>
      </c>
      <c r="J1279" s="1">
        <v>9</v>
      </c>
      <c r="K1279" s="1">
        <v>9904.5</v>
      </c>
      <c r="L1279" s="1">
        <v>0</v>
      </c>
      <c r="M1279" s="1">
        <v>0</v>
      </c>
      <c r="N1279" s="1">
        <v>9904.5</v>
      </c>
      <c r="O1279" s="1" t="s">
        <v>24</v>
      </c>
      <c r="P1279" s="1" t="s">
        <v>2133</v>
      </c>
      <c r="Q1279" s="1">
        <v>4</v>
      </c>
      <c r="R1279" s="1">
        <f>Retail_Sales_Analyis[[#This Row],[Final_Price]]-Retail_Sales_Analyis[[#This Row],[Total_Price]]</f>
        <v>0</v>
      </c>
      <c r="S12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80" spans="1:19" x14ac:dyDescent="0.25">
      <c r="A1280" s="1" t="s">
        <v>2134</v>
      </c>
      <c r="B1280" s="2">
        <v>45420</v>
      </c>
      <c r="C1280" s="1" t="s">
        <v>42</v>
      </c>
      <c r="D1280" s="1" t="s">
        <v>55</v>
      </c>
      <c r="E1280" s="1" t="s">
        <v>151</v>
      </c>
      <c r="F1280" s="1" t="s">
        <v>69</v>
      </c>
      <c r="G1280" s="1" t="s">
        <v>85</v>
      </c>
      <c r="H1280" s="1" t="s">
        <v>98</v>
      </c>
      <c r="I1280" s="1">
        <v>3507.76</v>
      </c>
      <c r="J1280" s="1">
        <v>7</v>
      </c>
      <c r="K1280" s="1">
        <v>24554.32</v>
      </c>
      <c r="L1280" s="1">
        <v>20</v>
      </c>
      <c r="M1280" s="1">
        <v>4910.8599999999997</v>
      </c>
      <c r="N1280" s="1">
        <v>19643.46</v>
      </c>
      <c r="O1280" s="1" t="s">
        <v>46</v>
      </c>
      <c r="P1280" s="1" t="s">
        <v>665</v>
      </c>
      <c r="Q1280" s="1">
        <v>2</v>
      </c>
      <c r="R1280" s="1">
        <f>Retail_Sales_Analyis[[#This Row],[Final_Price]]-Retail_Sales_Analyis[[#This Row],[Total_Price]]</f>
        <v>-4910.8600000000006</v>
      </c>
      <c r="S12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81" spans="1:19" x14ac:dyDescent="0.25">
      <c r="A1281" s="1" t="s">
        <v>2135</v>
      </c>
      <c r="B1281" s="2">
        <v>45525</v>
      </c>
      <c r="C1281" s="1" t="s">
        <v>93</v>
      </c>
      <c r="D1281" s="1" t="s">
        <v>55</v>
      </c>
      <c r="E1281" s="1" t="s">
        <v>207</v>
      </c>
      <c r="F1281" s="1" t="s">
        <v>69</v>
      </c>
      <c r="G1281" s="1" t="s">
        <v>22</v>
      </c>
      <c r="H1281" s="1" t="s">
        <v>133</v>
      </c>
      <c r="I1281" s="1">
        <v>896.53</v>
      </c>
      <c r="J1281" s="1">
        <v>7</v>
      </c>
      <c r="K1281" s="1">
        <v>6275.71</v>
      </c>
      <c r="L1281" s="1">
        <v>0</v>
      </c>
      <c r="M1281" s="1">
        <v>0</v>
      </c>
      <c r="N1281" s="1">
        <v>6275.71</v>
      </c>
      <c r="O1281" s="1" t="s">
        <v>64</v>
      </c>
      <c r="P1281" s="1" t="s">
        <v>280</v>
      </c>
      <c r="Q1281" s="1">
        <v>3</v>
      </c>
      <c r="R1281" s="1">
        <f>Retail_Sales_Analyis[[#This Row],[Final_Price]]-Retail_Sales_Analyis[[#This Row],[Total_Price]]</f>
        <v>0</v>
      </c>
      <c r="S12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82" spans="1:19" x14ac:dyDescent="0.25">
      <c r="A1282" s="1" t="s">
        <v>2136</v>
      </c>
      <c r="B1282" s="2">
        <v>45446</v>
      </c>
      <c r="C1282" s="1" t="s">
        <v>173</v>
      </c>
      <c r="D1282" s="1" t="s">
        <v>43</v>
      </c>
      <c r="E1282" s="1" t="s">
        <v>89</v>
      </c>
      <c r="F1282" s="1" t="s">
        <v>84</v>
      </c>
      <c r="G1282" s="1" t="s">
        <v>57</v>
      </c>
      <c r="H1282" s="1" t="s">
        <v>101</v>
      </c>
      <c r="I1282" s="1">
        <v>1542.22</v>
      </c>
      <c r="J1282" s="1">
        <v>9</v>
      </c>
      <c r="K1282" s="1">
        <v>13879.98</v>
      </c>
      <c r="L1282" s="1">
        <v>5</v>
      </c>
      <c r="M1282" s="1">
        <v>694</v>
      </c>
      <c r="N1282" s="1">
        <v>13185.98</v>
      </c>
      <c r="O1282" s="1" t="s">
        <v>64</v>
      </c>
      <c r="P1282" s="1" t="s">
        <v>2137</v>
      </c>
      <c r="Q1282" s="1">
        <v>2</v>
      </c>
      <c r="R1282" s="1">
        <f>Retail_Sales_Analyis[[#This Row],[Final_Price]]-Retail_Sales_Analyis[[#This Row],[Total_Price]]</f>
        <v>-694</v>
      </c>
      <c r="S12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83" spans="1:19" x14ac:dyDescent="0.25">
      <c r="A1283" s="1" t="s">
        <v>2138</v>
      </c>
      <c r="B1283" s="2">
        <v>45393</v>
      </c>
      <c r="C1283" s="1" t="s">
        <v>54</v>
      </c>
      <c r="D1283" s="1" t="s">
        <v>67</v>
      </c>
      <c r="E1283" s="1" t="s">
        <v>239</v>
      </c>
      <c r="F1283" s="1" t="s">
        <v>21</v>
      </c>
      <c r="G1283" s="1" t="s">
        <v>31</v>
      </c>
      <c r="H1283" s="1" t="s">
        <v>329</v>
      </c>
      <c r="I1283" s="1">
        <v>244.73</v>
      </c>
      <c r="J1283" s="1">
        <v>1</v>
      </c>
      <c r="K1283" s="1">
        <v>244.73</v>
      </c>
      <c r="L1283" s="1">
        <v>5</v>
      </c>
      <c r="M1283" s="1">
        <v>12.24</v>
      </c>
      <c r="N1283" s="1">
        <v>232.49</v>
      </c>
      <c r="O1283" s="1" t="s">
        <v>24</v>
      </c>
      <c r="P1283" s="1" t="s">
        <v>2139</v>
      </c>
      <c r="Q1283" s="1">
        <v>5</v>
      </c>
      <c r="R1283" s="1">
        <f>Retail_Sales_Analyis[[#This Row],[Final_Price]]-Retail_Sales_Analyis[[#This Row],[Total_Price]]</f>
        <v>-12.239999999999981</v>
      </c>
      <c r="S12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84" spans="1:19" x14ac:dyDescent="0.25">
      <c r="A1284" s="1" t="s">
        <v>2140</v>
      </c>
      <c r="B1284" s="2">
        <v>45488</v>
      </c>
      <c r="C1284" s="1" t="s">
        <v>195</v>
      </c>
      <c r="D1284" s="1" t="s">
        <v>43</v>
      </c>
      <c r="E1284" s="1" t="s">
        <v>141</v>
      </c>
      <c r="F1284" s="1" t="s">
        <v>84</v>
      </c>
      <c r="G1284" s="1" t="s">
        <v>112</v>
      </c>
      <c r="H1284" s="1" t="s">
        <v>118</v>
      </c>
      <c r="I1284" s="1">
        <v>916.08</v>
      </c>
      <c r="J1284" s="1">
        <v>5</v>
      </c>
      <c r="K1284" s="1">
        <v>4580.3999999999996</v>
      </c>
      <c r="L1284" s="1">
        <v>5</v>
      </c>
      <c r="M1284" s="1">
        <v>229.02</v>
      </c>
      <c r="N1284" s="1">
        <v>4351.38</v>
      </c>
      <c r="O1284" s="1" t="s">
        <v>46</v>
      </c>
      <c r="P1284" s="1" t="s">
        <v>429</v>
      </c>
      <c r="Q1284" s="1">
        <v>3</v>
      </c>
      <c r="R1284" s="1">
        <f>Retail_Sales_Analyis[[#This Row],[Final_Price]]-Retail_Sales_Analyis[[#This Row],[Total_Price]]</f>
        <v>-229.01999999999953</v>
      </c>
      <c r="S12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285" spans="1:19" x14ac:dyDescent="0.25">
      <c r="A1285" s="1" t="s">
        <v>2141</v>
      </c>
      <c r="B1285" s="2">
        <v>45539</v>
      </c>
      <c r="C1285" s="1" t="s">
        <v>116</v>
      </c>
      <c r="D1285" s="1" t="s">
        <v>55</v>
      </c>
      <c r="E1285" s="1" t="s">
        <v>285</v>
      </c>
      <c r="F1285" s="1" t="s">
        <v>84</v>
      </c>
      <c r="G1285" s="1" t="s">
        <v>38</v>
      </c>
      <c r="H1285" s="1" t="s">
        <v>108</v>
      </c>
      <c r="I1285" s="1">
        <v>458.01</v>
      </c>
      <c r="J1285" s="1">
        <v>7</v>
      </c>
      <c r="K1285" s="1">
        <v>3206.07</v>
      </c>
      <c r="L1285" s="1">
        <v>20</v>
      </c>
      <c r="M1285" s="1">
        <v>641.21</v>
      </c>
      <c r="N1285" s="1">
        <v>2564.86</v>
      </c>
      <c r="O1285" s="1" t="s">
        <v>80</v>
      </c>
      <c r="P1285" s="1" t="s">
        <v>1183</v>
      </c>
      <c r="Q1285" s="1">
        <v>5</v>
      </c>
      <c r="R1285" s="1">
        <f>Retail_Sales_Analyis[[#This Row],[Final_Price]]-Retail_Sales_Analyis[[#This Row],[Total_Price]]</f>
        <v>-641.21</v>
      </c>
      <c r="S128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86" spans="1:19" x14ac:dyDescent="0.25">
      <c r="A1286" s="1" t="s">
        <v>2142</v>
      </c>
      <c r="B1286" s="2">
        <v>45346</v>
      </c>
      <c r="C1286" s="1" t="s">
        <v>27</v>
      </c>
      <c r="D1286" s="1" t="s">
        <v>19</v>
      </c>
      <c r="E1286" s="1" t="s">
        <v>50</v>
      </c>
      <c r="F1286" s="1" t="s">
        <v>37</v>
      </c>
      <c r="G1286" s="1" t="s">
        <v>85</v>
      </c>
      <c r="H1286" s="1" t="s">
        <v>86</v>
      </c>
      <c r="I1286" s="1">
        <v>2348.3000000000002</v>
      </c>
      <c r="J1286" s="1">
        <v>8</v>
      </c>
      <c r="K1286" s="1">
        <v>18786.400000000001</v>
      </c>
      <c r="L1286" s="1">
        <v>0</v>
      </c>
      <c r="M1286" s="1">
        <v>0</v>
      </c>
      <c r="N1286" s="1">
        <v>18786.400000000001</v>
      </c>
      <c r="O1286" s="1" t="s">
        <v>80</v>
      </c>
      <c r="P1286" s="1" t="s">
        <v>2143</v>
      </c>
      <c r="Q1286" s="1">
        <v>5</v>
      </c>
      <c r="R1286" s="1">
        <f>Retail_Sales_Analyis[[#This Row],[Final_Price]]-Retail_Sales_Analyis[[#This Row],[Total_Price]]</f>
        <v>0</v>
      </c>
      <c r="S12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87" spans="1:19" x14ac:dyDescent="0.25">
      <c r="A1287" s="1" t="s">
        <v>2144</v>
      </c>
      <c r="B1287" s="2">
        <v>45413</v>
      </c>
      <c r="C1287" s="1" t="s">
        <v>42</v>
      </c>
      <c r="D1287" s="1" t="s">
        <v>55</v>
      </c>
      <c r="E1287" s="1" t="s">
        <v>166</v>
      </c>
      <c r="F1287" s="1" t="s">
        <v>21</v>
      </c>
      <c r="G1287" s="1" t="s">
        <v>38</v>
      </c>
      <c r="H1287" s="1" t="s">
        <v>422</v>
      </c>
      <c r="I1287" s="1">
        <v>712.33</v>
      </c>
      <c r="J1287" s="1">
        <v>10</v>
      </c>
      <c r="K1287" s="1">
        <v>7123.3</v>
      </c>
      <c r="L1287" s="1">
        <v>10</v>
      </c>
      <c r="M1287" s="1">
        <v>712.33</v>
      </c>
      <c r="N1287" s="1">
        <v>6410.97</v>
      </c>
      <c r="O1287" s="1" t="s">
        <v>64</v>
      </c>
      <c r="P1287" s="1" t="s">
        <v>2133</v>
      </c>
      <c r="Q1287" s="1">
        <v>3</v>
      </c>
      <c r="R1287" s="1">
        <f>Retail_Sales_Analyis[[#This Row],[Final_Price]]-Retail_Sales_Analyis[[#This Row],[Total_Price]]</f>
        <v>-712.32999999999993</v>
      </c>
      <c r="S12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288" spans="1:19" x14ac:dyDescent="0.25">
      <c r="A1288" s="1" t="s">
        <v>2145</v>
      </c>
      <c r="B1288" s="2">
        <v>45487</v>
      </c>
      <c r="C1288" s="1" t="s">
        <v>195</v>
      </c>
      <c r="D1288" s="1" t="s">
        <v>49</v>
      </c>
      <c r="E1288" s="1" t="s">
        <v>285</v>
      </c>
      <c r="F1288" s="1" t="s">
        <v>69</v>
      </c>
      <c r="G1288" s="1" t="s">
        <v>57</v>
      </c>
      <c r="H1288" s="1" t="s">
        <v>158</v>
      </c>
      <c r="I1288" s="1">
        <v>2922.55</v>
      </c>
      <c r="J1288" s="1">
        <v>4</v>
      </c>
      <c r="K1288" s="1">
        <v>11690.2</v>
      </c>
      <c r="L1288" s="1">
        <v>20</v>
      </c>
      <c r="M1288" s="1">
        <v>2338.04</v>
      </c>
      <c r="N1288" s="1">
        <v>9352.16</v>
      </c>
      <c r="O1288" s="1" t="s">
        <v>46</v>
      </c>
      <c r="P1288" s="1" t="s">
        <v>2146</v>
      </c>
      <c r="Q1288" s="1">
        <v>5</v>
      </c>
      <c r="R1288" s="1">
        <f>Retail_Sales_Analyis[[#This Row],[Final_Price]]-Retail_Sales_Analyis[[#This Row],[Total_Price]]</f>
        <v>-2338.0400000000009</v>
      </c>
      <c r="S12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89" spans="1:19" x14ac:dyDescent="0.25">
      <c r="A1289" s="1" t="s">
        <v>2147</v>
      </c>
      <c r="B1289" s="2">
        <v>45584</v>
      </c>
      <c r="C1289" s="1" t="s">
        <v>76</v>
      </c>
      <c r="D1289" s="1" t="s">
        <v>19</v>
      </c>
      <c r="E1289" s="1" t="s">
        <v>77</v>
      </c>
      <c r="F1289" s="1" t="s">
        <v>30</v>
      </c>
      <c r="G1289" s="1" t="s">
        <v>38</v>
      </c>
      <c r="H1289" s="1" t="s">
        <v>70</v>
      </c>
      <c r="I1289" s="1">
        <v>396.69</v>
      </c>
      <c r="J1289" s="1">
        <v>4</v>
      </c>
      <c r="K1289" s="1">
        <v>1586.76</v>
      </c>
      <c r="L1289" s="1">
        <v>20</v>
      </c>
      <c r="M1289" s="1">
        <v>317.35000000000002</v>
      </c>
      <c r="N1289" s="1">
        <v>1269.4100000000001</v>
      </c>
      <c r="O1289" s="1" t="s">
        <v>80</v>
      </c>
      <c r="P1289" s="1" t="s">
        <v>2148</v>
      </c>
      <c r="Q1289" s="1">
        <v>2</v>
      </c>
      <c r="R1289" s="1">
        <f>Retail_Sales_Analyis[[#This Row],[Final_Price]]-Retail_Sales_Analyis[[#This Row],[Total_Price]]</f>
        <v>-317.34999999999991</v>
      </c>
      <c r="S12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90" spans="1:19" x14ac:dyDescent="0.25">
      <c r="A1290" s="1" t="s">
        <v>2149</v>
      </c>
      <c r="B1290" s="2">
        <v>45475</v>
      </c>
      <c r="C1290" s="1" t="s">
        <v>195</v>
      </c>
      <c r="D1290" s="1" t="s">
        <v>28</v>
      </c>
      <c r="E1290" s="1" t="s">
        <v>139</v>
      </c>
      <c r="F1290" s="1" t="s">
        <v>21</v>
      </c>
      <c r="G1290" s="1" t="s">
        <v>78</v>
      </c>
      <c r="H1290" s="1" t="s">
        <v>126</v>
      </c>
      <c r="I1290" s="1">
        <v>398.81</v>
      </c>
      <c r="J1290" s="1">
        <v>4</v>
      </c>
      <c r="K1290" s="1">
        <v>1595.24</v>
      </c>
      <c r="L1290" s="1">
        <v>20</v>
      </c>
      <c r="M1290" s="1">
        <v>319.05</v>
      </c>
      <c r="N1290" s="1">
        <v>1276.19</v>
      </c>
      <c r="O1290" s="1" t="s">
        <v>33</v>
      </c>
      <c r="P1290" s="1" t="s">
        <v>1593</v>
      </c>
      <c r="Q1290" s="1">
        <v>5</v>
      </c>
      <c r="R1290" s="1">
        <f>Retail_Sales_Analyis[[#This Row],[Final_Price]]-Retail_Sales_Analyis[[#This Row],[Total_Price]]</f>
        <v>-319.04999999999995</v>
      </c>
      <c r="S129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291" spans="1:19" x14ac:dyDescent="0.25">
      <c r="A1291" s="1" t="s">
        <v>2150</v>
      </c>
      <c r="B1291" s="2">
        <v>45586</v>
      </c>
      <c r="C1291" s="1" t="s">
        <v>76</v>
      </c>
      <c r="D1291" s="1" t="s">
        <v>43</v>
      </c>
      <c r="E1291" s="1" t="s">
        <v>29</v>
      </c>
      <c r="F1291" s="1" t="s">
        <v>69</v>
      </c>
      <c r="G1291" s="1" t="s">
        <v>38</v>
      </c>
      <c r="H1291" s="1" t="s">
        <v>214</v>
      </c>
      <c r="I1291" s="1">
        <v>244.01</v>
      </c>
      <c r="J1291" s="1">
        <v>6</v>
      </c>
      <c r="K1291" s="1">
        <v>1464.06</v>
      </c>
      <c r="L1291" s="1">
        <v>0</v>
      </c>
      <c r="M1291" s="1">
        <v>0</v>
      </c>
      <c r="N1291" s="1">
        <v>1464.06</v>
      </c>
      <c r="O1291" s="1" t="s">
        <v>33</v>
      </c>
      <c r="P1291" s="1" t="s">
        <v>699</v>
      </c>
      <c r="Q1291" s="1">
        <v>3</v>
      </c>
      <c r="R1291" s="1">
        <f>Retail_Sales_Analyis[[#This Row],[Final_Price]]-Retail_Sales_Analyis[[#This Row],[Total_Price]]</f>
        <v>0</v>
      </c>
      <c r="S12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2" spans="1:19" x14ac:dyDescent="0.25">
      <c r="A1292" s="1" t="s">
        <v>2151</v>
      </c>
      <c r="B1292" s="2">
        <v>45443</v>
      </c>
      <c r="C1292" s="1" t="s">
        <v>42</v>
      </c>
      <c r="D1292" s="1" t="s">
        <v>144</v>
      </c>
      <c r="E1292" s="1" t="s">
        <v>192</v>
      </c>
      <c r="F1292" s="1" t="s">
        <v>30</v>
      </c>
      <c r="G1292" s="1" t="s">
        <v>38</v>
      </c>
      <c r="H1292" s="1" t="s">
        <v>70</v>
      </c>
      <c r="I1292" s="1">
        <v>421.36</v>
      </c>
      <c r="J1292" s="1">
        <v>6</v>
      </c>
      <c r="K1292" s="1">
        <v>2528.16</v>
      </c>
      <c r="L1292" s="1">
        <v>0</v>
      </c>
      <c r="M1292" s="1">
        <v>0</v>
      </c>
      <c r="N1292" s="1">
        <v>2528.16</v>
      </c>
      <c r="O1292" s="1" t="s">
        <v>46</v>
      </c>
      <c r="P1292" s="1" t="s">
        <v>2152</v>
      </c>
      <c r="Q1292" s="1">
        <v>5</v>
      </c>
      <c r="R1292" s="1">
        <f>Retail_Sales_Analyis[[#This Row],[Final_Price]]-Retail_Sales_Analyis[[#This Row],[Total_Price]]</f>
        <v>0</v>
      </c>
      <c r="S12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3" spans="1:19" x14ac:dyDescent="0.25">
      <c r="A1293" s="1" t="s">
        <v>2153</v>
      </c>
      <c r="B1293" s="2">
        <v>45650</v>
      </c>
      <c r="C1293" s="1" t="s">
        <v>73</v>
      </c>
      <c r="D1293" s="1" t="s">
        <v>28</v>
      </c>
      <c r="E1293" s="1" t="s">
        <v>44</v>
      </c>
      <c r="F1293" s="1" t="s">
        <v>69</v>
      </c>
      <c r="G1293" s="1" t="s">
        <v>22</v>
      </c>
      <c r="H1293" s="1" t="s">
        <v>187</v>
      </c>
      <c r="I1293" s="1">
        <v>987.09</v>
      </c>
      <c r="J1293" s="1">
        <v>1</v>
      </c>
      <c r="K1293" s="1">
        <v>987.09</v>
      </c>
      <c r="L1293" s="1">
        <v>0</v>
      </c>
      <c r="M1293" s="1">
        <v>0</v>
      </c>
      <c r="N1293" s="1">
        <v>987.09</v>
      </c>
      <c r="O1293" s="1" t="s">
        <v>64</v>
      </c>
      <c r="P1293" s="1" t="s">
        <v>817</v>
      </c>
      <c r="Q1293" s="1">
        <v>3</v>
      </c>
      <c r="R1293" s="1">
        <f>Retail_Sales_Analyis[[#This Row],[Final_Price]]-Retail_Sales_Analyis[[#This Row],[Total_Price]]</f>
        <v>0</v>
      </c>
      <c r="S12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4" spans="1:19" x14ac:dyDescent="0.25">
      <c r="A1294" s="1" t="s">
        <v>2154</v>
      </c>
      <c r="B1294" s="2">
        <v>45443</v>
      </c>
      <c r="C1294" s="1" t="s">
        <v>42</v>
      </c>
      <c r="D1294" s="1" t="s">
        <v>144</v>
      </c>
      <c r="E1294" s="1" t="s">
        <v>328</v>
      </c>
      <c r="F1294" s="1" t="s">
        <v>69</v>
      </c>
      <c r="G1294" s="1" t="s">
        <v>38</v>
      </c>
      <c r="H1294" s="1" t="s">
        <v>70</v>
      </c>
      <c r="I1294" s="1">
        <v>497.22</v>
      </c>
      <c r="J1294" s="1">
        <v>4</v>
      </c>
      <c r="K1294" s="1">
        <v>1988.88</v>
      </c>
      <c r="L1294" s="1">
        <v>0</v>
      </c>
      <c r="M1294" s="1">
        <v>0</v>
      </c>
      <c r="N1294" s="1">
        <v>1988.88</v>
      </c>
      <c r="O1294" s="1" t="s">
        <v>24</v>
      </c>
      <c r="P1294" s="1" t="s">
        <v>767</v>
      </c>
      <c r="Q1294" s="1">
        <v>4</v>
      </c>
      <c r="R1294" s="1">
        <f>Retail_Sales_Analyis[[#This Row],[Final_Price]]-Retail_Sales_Analyis[[#This Row],[Total_Price]]</f>
        <v>0</v>
      </c>
      <c r="S12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5" spans="1:19" x14ac:dyDescent="0.25">
      <c r="A1295" s="1" t="s">
        <v>2155</v>
      </c>
      <c r="B1295" s="2">
        <v>45303</v>
      </c>
      <c r="C1295" s="1" t="s">
        <v>36</v>
      </c>
      <c r="D1295" s="1" t="s">
        <v>144</v>
      </c>
      <c r="E1295" s="1" t="s">
        <v>322</v>
      </c>
      <c r="F1295" s="1" t="s">
        <v>30</v>
      </c>
      <c r="G1295" s="1" t="s">
        <v>169</v>
      </c>
      <c r="H1295" s="1" t="s">
        <v>348</v>
      </c>
      <c r="I1295" s="1">
        <v>824.61</v>
      </c>
      <c r="J1295" s="1">
        <v>6</v>
      </c>
      <c r="K1295" s="1">
        <v>4947.66</v>
      </c>
      <c r="L1295" s="1">
        <v>0</v>
      </c>
      <c r="M1295" s="1">
        <v>0</v>
      </c>
      <c r="N1295" s="1">
        <v>4947.66</v>
      </c>
      <c r="O1295" s="1" t="s">
        <v>64</v>
      </c>
      <c r="P1295" s="1" t="s">
        <v>1652</v>
      </c>
      <c r="Q1295" s="1">
        <v>2</v>
      </c>
      <c r="R1295" s="1">
        <f>Retail_Sales_Analyis[[#This Row],[Final_Price]]-Retail_Sales_Analyis[[#This Row],[Total_Price]]</f>
        <v>0</v>
      </c>
      <c r="S12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6" spans="1:19" x14ac:dyDescent="0.25">
      <c r="A1296" s="1" t="s">
        <v>2156</v>
      </c>
      <c r="B1296" s="2">
        <v>45629</v>
      </c>
      <c r="C1296" s="1" t="s">
        <v>73</v>
      </c>
      <c r="D1296" s="1" t="s">
        <v>28</v>
      </c>
      <c r="E1296" s="1" t="s">
        <v>199</v>
      </c>
      <c r="F1296" s="1" t="s">
        <v>21</v>
      </c>
      <c r="G1296" s="1" t="s">
        <v>112</v>
      </c>
      <c r="H1296" s="1" t="s">
        <v>223</v>
      </c>
      <c r="I1296" s="1">
        <v>1770.76</v>
      </c>
      <c r="J1296" s="1">
        <v>5</v>
      </c>
      <c r="K1296" s="1">
        <v>8853.7999999999993</v>
      </c>
      <c r="L1296" s="1">
        <v>0</v>
      </c>
      <c r="M1296" s="1">
        <v>0</v>
      </c>
      <c r="N1296" s="1">
        <v>8853.7999999999993</v>
      </c>
      <c r="O1296" s="1" t="s">
        <v>80</v>
      </c>
      <c r="P1296" s="1" t="s">
        <v>262</v>
      </c>
      <c r="Q1296" s="1">
        <v>5</v>
      </c>
      <c r="R1296" s="1">
        <f>Retail_Sales_Analyis[[#This Row],[Final_Price]]-Retail_Sales_Analyis[[#This Row],[Total_Price]]</f>
        <v>0</v>
      </c>
      <c r="S12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7" spans="1:19" x14ac:dyDescent="0.25">
      <c r="A1297" s="1" t="s">
        <v>2157</v>
      </c>
      <c r="B1297" s="2">
        <v>45494</v>
      </c>
      <c r="C1297" s="1" t="s">
        <v>195</v>
      </c>
      <c r="D1297" s="1" t="s">
        <v>49</v>
      </c>
      <c r="E1297" s="1" t="s">
        <v>62</v>
      </c>
      <c r="F1297" s="1" t="s">
        <v>84</v>
      </c>
      <c r="G1297" s="1" t="s">
        <v>169</v>
      </c>
      <c r="H1297" s="1" t="s">
        <v>348</v>
      </c>
      <c r="I1297" s="1">
        <v>545.87</v>
      </c>
      <c r="J1297" s="1">
        <v>10</v>
      </c>
      <c r="K1297" s="1">
        <v>5458.7</v>
      </c>
      <c r="L1297" s="1">
        <v>0</v>
      </c>
      <c r="M1297" s="1">
        <v>0</v>
      </c>
      <c r="N1297" s="1">
        <v>5458.7</v>
      </c>
      <c r="O1297" s="1" t="s">
        <v>24</v>
      </c>
      <c r="P1297" s="1" t="s">
        <v>1508</v>
      </c>
      <c r="Q1297" s="1">
        <v>1</v>
      </c>
      <c r="R1297" s="1">
        <f>Retail_Sales_Analyis[[#This Row],[Final_Price]]-Retail_Sales_Analyis[[#This Row],[Total_Price]]</f>
        <v>0</v>
      </c>
      <c r="S12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8" spans="1:19" x14ac:dyDescent="0.25">
      <c r="A1298" s="1" t="s">
        <v>2158</v>
      </c>
      <c r="B1298" s="2">
        <v>45432</v>
      </c>
      <c r="C1298" s="1" t="s">
        <v>42</v>
      </c>
      <c r="D1298" s="1" t="s">
        <v>43</v>
      </c>
      <c r="E1298" s="1" t="s">
        <v>196</v>
      </c>
      <c r="F1298" s="1" t="s">
        <v>30</v>
      </c>
      <c r="G1298" s="1" t="s">
        <v>38</v>
      </c>
      <c r="H1298" s="1" t="s">
        <v>422</v>
      </c>
      <c r="I1298" s="1">
        <v>400.86</v>
      </c>
      <c r="J1298" s="1">
        <v>4</v>
      </c>
      <c r="K1298" s="1">
        <v>1603.44</v>
      </c>
      <c r="L1298" s="1">
        <v>0</v>
      </c>
      <c r="M1298" s="1">
        <v>0</v>
      </c>
      <c r="N1298" s="1">
        <v>1603.44</v>
      </c>
      <c r="O1298" s="1" t="s">
        <v>80</v>
      </c>
      <c r="P1298" s="1" t="s">
        <v>2159</v>
      </c>
      <c r="Q1298" s="1">
        <v>5</v>
      </c>
      <c r="R1298" s="1">
        <f>Retail_Sales_Analyis[[#This Row],[Final_Price]]-Retail_Sales_Analyis[[#This Row],[Total_Price]]</f>
        <v>0</v>
      </c>
      <c r="S12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299" spans="1:19" x14ac:dyDescent="0.25">
      <c r="A1299" s="1" t="s">
        <v>2160</v>
      </c>
      <c r="B1299" s="2">
        <v>45296</v>
      </c>
      <c r="C1299" s="1" t="s">
        <v>36</v>
      </c>
      <c r="D1299" s="1" t="s">
        <v>144</v>
      </c>
      <c r="E1299" s="1" t="s">
        <v>236</v>
      </c>
      <c r="F1299" s="1" t="s">
        <v>69</v>
      </c>
      <c r="G1299" s="1" t="s">
        <v>78</v>
      </c>
      <c r="H1299" s="1" t="s">
        <v>146</v>
      </c>
      <c r="I1299" s="1">
        <v>218.27</v>
      </c>
      <c r="J1299" s="1">
        <v>9</v>
      </c>
      <c r="K1299" s="1">
        <v>1964.43</v>
      </c>
      <c r="L1299" s="1">
        <v>10</v>
      </c>
      <c r="M1299" s="1">
        <v>196.44</v>
      </c>
      <c r="N1299" s="1">
        <v>1767.99</v>
      </c>
      <c r="O1299" s="1" t="s">
        <v>46</v>
      </c>
      <c r="P1299" s="1" t="s">
        <v>114</v>
      </c>
      <c r="Q1299" s="1">
        <v>2</v>
      </c>
      <c r="R1299" s="1">
        <f>Retail_Sales_Analyis[[#This Row],[Final_Price]]-Retail_Sales_Analyis[[#This Row],[Total_Price]]</f>
        <v>-196.44000000000005</v>
      </c>
      <c r="S12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00" spans="1:19" x14ac:dyDescent="0.25">
      <c r="A1300" s="1" t="s">
        <v>2161</v>
      </c>
      <c r="B1300" s="2">
        <v>45581</v>
      </c>
      <c r="C1300" s="1" t="s">
        <v>76</v>
      </c>
      <c r="D1300" s="1" t="s">
        <v>55</v>
      </c>
      <c r="E1300" s="1" t="s">
        <v>542</v>
      </c>
      <c r="F1300" s="1" t="s">
        <v>21</v>
      </c>
      <c r="G1300" s="1" t="s">
        <v>112</v>
      </c>
      <c r="H1300" s="1" t="s">
        <v>113</v>
      </c>
      <c r="I1300" s="1">
        <v>636.77</v>
      </c>
      <c r="J1300" s="1">
        <v>10</v>
      </c>
      <c r="K1300" s="1">
        <v>6367.7</v>
      </c>
      <c r="L1300" s="1">
        <v>0</v>
      </c>
      <c r="M1300" s="1">
        <v>0</v>
      </c>
      <c r="N1300" s="1">
        <v>6367.7</v>
      </c>
      <c r="O1300" s="1" t="s">
        <v>33</v>
      </c>
      <c r="P1300" s="1" t="s">
        <v>1233</v>
      </c>
      <c r="Q1300" s="1">
        <v>1</v>
      </c>
      <c r="R1300" s="1">
        <f>Retail_Sales_Analyis[[#This Row],[Final_Price]]-Retail_Sales_Analyis[[#This Row],[Total_Price]]</f>
        <v>0</v>
      </c>
      <c r="S13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1" spans="1:19" x14ac:dyDescent="0.25">
      <c r="A1301" s="1" t="s">
        <v>2162</v>
      </c>
      <c r="B1301" s="2">
        <v>45643</v>
      </c>
      <c r="C1301" s="1" t="s">
        <v>73</v>
      </c>
      <c r="D1301" s="1" t="s">
        <v>28</v>
      </c>
      <c r="E1301" s="1" t="s">
        <v>199</v>
      </c>
      <c r="F1301" s="1" t="s">
        <v>37</v>
      </c>
      <c r="G1301" s="1" t="s">
        <v>22</v>
      </c>
      <c r="H1301" s="1" t="s">
        <v>23</v>
      </c>
      <c r="I1301" s="1">
        <v>393.62</v>
      </c>
      <c r="J1301" s="1">
        <v>10</v>
      </c>
      <c r="K1301" s="1">
        <v>3936.2</v>
      </c>
      <c r="L1301" s="1">
        <v>0</v>
      </c>
      <c r="M1301" s="1">
        <v>0</v>
      </c>
      <c r="N1301" s="1">
        <v>3936.2</v>
      </c>
      <c r="O1301" s="1" t="s">
        <v>64</v>
      </c>
      <c r="P1301" s="1" t="s">
        <v>1161</v>
      </c>
      <c r="Q1301" s="1">
        <v>2</v>
      </c>
      <c r="R1301" s="1">
        <f>Retail_Sales_Analyis[[#This Row],[Final_Price]]-Retail_Sales_Analyis[[#This Row],[Total_Price]]</f>
        <v>0</v>
      </c>
      <c r="S13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2" spans="1:19" x14ac:dyDescent="0.25">
      <c r="A1302" s="1" t="s">
        <v>2163</v>
      </c>
      <c r="B1302" s="2">
        <v>45317</v>
      </c>
      <c r="C1302" s="1" t="s">
        <v>36</v>
      </c>
      <c r="D1302" s="1" t="s">
        <v>144</v>
      </c>
      <c r="E1302" s="1" t="s">
        <v>145</v>
      </c>
      <c r="F1302" s="1" t="s">
        <v>21</v>
      </c>
      <c r="G1302" s="1" t="s">
        <v>57</v>
      </c>
      <c r="H1302" s="1" t="s">
        <v>158</v>
      </c>
      <c r="I1302" s="1">
        <v>1418.54</v>
      </c>
      <c r="J1302" s="1">
        <v>10</v>
      </c>
      <c r="K1302" s="1">
        <v>14185.4</v>
      </c>
      <c r="L1302" s="1">
        <v>20</v>
      </c>
      <c r="M1302" s="1">
        <v>2837.08</v>
      </c>
      <c r="N1302" s="1">
        <v>11348.32</v>
      </c>
      <c r="O1302" s="1" t="s">
        <v>33</v>
      </c>
      <c r="P1302" s="1" t="s">
        <v>265</v>
      </c>
      <c r="Q1302" s="1">
        <v>4</v>
      </c>
      <c r="R1302" s="1">
        <f>Retail_Sales_Analyis[[#This Row],[Final_Price]]-Retail_Sales_Analyis[[#This Row],[Total_Price]]</f>
        <v>-2837.08</v>
      </c>
      <c r="S130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03" spans="1:19" x14ac:dyDescent="0.25">
      <c r="A1303" s="1" t="s">
        <v>2164</v>
      </c>
      <c r="B1303" s="2">
        <v>45602</v>
      </c>
      <c r="C1303" s="1" t="s">
        <v>18</v>
      </c>
      <c r="D1303" s="1" t="s">
        <v>55</v>
      </c>
      <c r="E1303" s="1" t="s">
        <v>174</v>
      </c>
      <c r="F1303" s="1" t="s">
        <v>69</v>
      </c>
      <c r="G1303" s="1" t="s">
        <v>169</v>
      </c>
      <c r="H1303" s="1" t="s">
        <v>348</v>
      </c>
      <c r="I1303" s="1">
        <v>1154.9100000000001</v>
      </c>
      <c r="J1303" s="1">
        <v>8</v>
      </c>
      <c r="K1303" s="1">
        <v>9239.2800000000007</v>
      </c>
      <c r="L1303" s="1">
        <v>0</v>
      </c>
      <c r="M1303" s="1">
        <v>0</v>
      </c>
      <c r="N1303" s="1">
        <v>9239.2800000000007</v>
      </c>
      <c r="O1303" s="1" t="s">
        <v>33</v>
      </c>
      <c r="P1303" s="1" t="s">
        <v>940</v>
      </c>
      <c r="Q1303" s="1">
        <v>5</v>
      </c>
      <c r="R1303" s="1">
        <f>Retail_Sales_Analyis[[#This Row],[Final_Price]]-Retail_Sales_Analyis[[#This Row],[Total_Price]]</f>
        <v>0</v>
      </c>
      <c r="S13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4" spans="1:19" x14ac:dyDescent="0.25">
      <c r="A1304" s="1" t="s">
        <v>2165</v>
      </c>
      <c r="B1304" s="2">
        <v>45546</v>
      </c>
      <c r="C1304" s="1" t="s">
        <v>116</v>
      </c>
      <c r="D1304" s="1" t="s">
        <v>55</v>
      </c>
      <c r="E1304" s="1" t="s">
        <v>166</v>
      </c>
      <c r="F1304" s="1" t="s">
        <v>37</v>
      </c>
      <c r="G1304" s="1" t="s">
        <v>38</v>
      </c>
      <c r="H1304" s="1" t="s">
        <v>214</v>
      </c>
      <c r="I1304" s="1">
        <v>717.26</v>
      </c>
      <c r="J1304" s="1">
        <v>8</v>
      </c>
      <c r="K1304" s="1">
        <v>5738.08</v>
      </c>
      <c r="L1304" s="1">
        <v>5</v>
      </c>
      <c r="M1304" s="1">
        <v>286.89999999999998</v>
      </c>
      <c r="N1304" s="1">
        <v>5451.18</v>
      </c>
      <c r="O1304" s="1" t="s">
        <v>80</v>
      </c>
      <c r="P1304" s="1" t="s">
        <v>803</v>
      </c>
      <c r="Q1304" s="1">
        <v>3</v>
      </c>
      <c r="R1304" s="1">
        <f>Retail_Sales_Analyis[[#This Row],[Final_Price]]-Retail_Sales_Analyis[[#This Row],[Total_Price]]</f>
        <v>-286.89999999999964</v>
      </c>
      <c r="S13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05" spans="1:19" x14ac:dyDescent="0.25">
      <c r="A1305" s="1" t="s">
        <v>2166</v>
      </c>
      <c r="B1305" s="2">
        <v>45438</v>
      </c>
      <c r="C1305" s="1" t="s">
        <v>42</v>
      </c>
      <c r="D1305" s="1" t="s">
        <v>49</v>
      </c>
      <c r="E1305" s="1" t="s">
        <v>168</v>
      </c>
      <c r="F1305" s="1" t="s">
        <v>69</v>
      </c>
      <c r="G1305" s="1" t="s">
        <v>22</v>
      </c>
      <c r="H1305" s="1" t="s">
        <v>51</v>
      </c>
      <c r="I1305" s="1">
        <v>685.24</v>
      </c>
      <c r="J1305" s="1">
        <v>6</v>
      </c>
      <c r="K1305" s="1">
        <v>4111.4399999999996</v>
      </c>
      <c r="L1305" s="1">
        <v>0</v>
      </c>
      <c r="M1305" s="1">
        <v>0</v>
      </c>
      <c r="N1305" s="1">
        <v>4111.4399999999996</v>
      </c>
      <c r="O1305" s="1" t="s">
        <v>24</v>
      </c>
      <c r="P1305" s="1" t="s">
        <v>2167</v>
      </c>
      <c r="Q1305" s="1">
        <v>5</v>
      </c>
      <c r="R1305" s="1">
        <f>Retail_Sales_Analyis[[#This Row],[Final_Price]]-Retail_Sales_Analyis[[#This Row],[Total_Price]]</f>
        <v>0</v>
      </c>
      <c r="S13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6" spans="1:19" x14ac:dyDescent="0.25">
      <c r="A1306" s="1" t="s">
        <v>2168</v>
      </c>
      <c r="B1306" s="2">
        <v>45409</v>
      </c>
      <c r="C1306" s="1" t="s">
        <v>54</v>
      </c>
      <c r="D1306" s="1" t="s">
        <v>19</v>
      </c>
      <c r="E1306" s="1" t="s">
        <v>97</v>
      </c>
      <c r="F1306" s="1" t="s">
        <v>30</v>
      </c>
      <c r="G1306" s="1" t="s">
        <v>22</v>
      </c>
      <c r="H1306" s="1" t="s">
        <v>23</v>
      </c>
      <c r="I1306" s="1">
        <v>374.34</v>
      </c>
      <c r="J1306" s="1">
        <v>6</v>
      </c>
      <c r="K1306" s="1">
        <v>2246.04</v>
      </c>
      <c r="L1306" s="1">
        <v>5</v>
      </c>
      <c r="M1306" s="1">
        <v>112.3</v>
      </c>
      <c r="N1306" s="1">
        <v>2133.7399999999998</v>
      </c>
      <c r="O1306" s="1" t="s">
        <v>46</v>
      </c>
      <c r="P1306" s="1" t="s">
        <v>2069</v>
      </c>
      <c r="Q1306" s="1">
        <v>2</v>
      </c>
      <c r="R1306" s="1">
        <f>Retail_Sales_Analyis[[#This Row],[Final_Price]]-Retail_Sales_Analyis[[#This Row],[Total_Price]]</f>
        <v>-112.30000000000018</v>
      </c>
      <c r="S13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07" spans="1:19" x14ac:dyDescent="0.25">
      <c r="A1307" s="1" t="s">
        <v>2169</v>
      </c>
      <c r="B1307" s="2">
        <v>45602</v>
      </c>
      <c r="C1307" s="1" t="s">
        <v>18</v>
      </c>
      <c r="D1307" s="1" t="s">
        <v>55</v>
      </c>
      <c r="E1307" s="1" t="s">
        <v>20</v>
      </c>
      <c r="F1307" s="1" t="s">
        <v>37</v>
      </c>
      <c r="G1307" s="1" t="s">
        <v>57</v>
      </c>
      <c r="H1307" s="1" t="s">
        <v>58</v>
      </c>
      <c r="I1307" s="1">
        <v>1881.22</v>
      </c>
      <c r="J1307" s="1">
        <v>8</v>
      </c>
      <c r="K1307" s="1">
        <v>15049.76</v>
      </c>
      <c r="L1307" s="1">
        <v>0</v>
      </c>
      <c r="M1307" s="1">
        <v>0</v>
      </c>
      <c r="N1307" s="1">
        <v>15049.76</v>
      </c>
      <c r="O1307" s="1" t="s">
        <v>80</v>
      </c>
      <c r="P1307" s="1" t="s">
        <v>2170</v>
      </c>
      <c r="Q1307" s="1">
        <v>2</v>
      </c>
      <c r="R1307" s="1">
        <f>Retail_Sales_Analyis[[#This Row],[Final_Price]]-Retail_Sales_Analyis[[#This Row],[Total_Price]]</f>
        <v>0</v>
      </c>
      <c r="S13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08" spans="1:19" x14ac:dyDescent="0.25">
      <c r="A1308" s="1" t="s">
        <v>2171</v>
      </c>
      <c r="B1308" s="2">
        <v>45472</v>
      </c>
      <c r="C1308" s="1" t="s">
        <v>173</v>
      </c>
      <c r="D1308" s="1" t="s">
        <v>19</v>
      </c>
      <c r="E1308" s="1" t="s">
        <v>302</v>
      </c>
      <c r="F1308" s="1" t="s">
        <v>69</v>
      </c>
      <c r="G1308" s="1" t="s">
        <v>112</v>
      </c>
      <c r="H1308" s="1" t="s">
        <v>288</v>
      </c>
      <c r="I1308" s="1">
        <v>1357.48</v>
      </c>
      <c r="J1308" s="1">
        <v>6</v>
      </c>
      <c r="K1308" s="1">
        <v>8144.88</v>
      </c>
      <c r="L1308" s="1">
        <v>5</v>
      </c>
      <c r="M1308" s="1">
        <v>407.24</v>
      </c>
      <c r="N1308" s="1">
        <v>7737.64</v>
      </c>
      <c r="O1308" s="1" t="s">
        <v>24</v>
      </c>
      <c r="P1308" s="1" t="s">
        <v>465</v>
      </c>
      <c r="Q1308" s="1">
        <v>4</v>
      </c>
      <c r="R1308" s="1">
        <f>Retail_Sales_Analyis[[#This Row],[Final_Price]]-Retail_Sales_Analyis[[#This Row],[Total_Price]]</f>
        <v>-407.23999999999978</v>
      </c>
      <c r="S13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09" spans="1:19" x14ac:dyDescent="0.25">
      <c r="A1309" s="1" t="s">
        <v>2172</v>
      </c>
      <c r="B1309" s="2">
        <v>45404</v>
      </c>
      <c r="C1309" s="1" t="s">
        <v>54</v>
      </c>
      <c r="D1309" s="1" t="s">
        <v>43</v>
      </c>
      <c r="E1309" s="1" t="s">
        <v>151</v>
      </c>
      <c r="F1309" s="1" t="s">
        <v>69</v>
      </c>
      <c r="G1309" s="1" t="s">
        <v>22</v>
      </c>
      <c r="H1309" s="1" t="s">
        <v>133</v>
      </c>
      <c r="I1309" s="1">
        <v>549.89</v>
      </c>
      <c r="J1309" s="1">
        <v>6</v>
      </c>
      <c r="K1309" s="1">
        <v>3299.34</v>
      </c>
      <c r="L1309" s="1">
        <v>0</v>
      </c>
      <c r="M1309" s="1">
        <v>0</v>
      </c>
      <c r="N1309" s="1">
        <v>3299.34</v>
      </c>
      <c r="O1309" s="1" t="s">
        <v>46</v>
      </c>
      <c r="P1309" s="1" t="s">
        <v>230</v>
      </c>
      <c r="Q1309" s="1">
        <v>3</v>
      </c>
      <c r="R1309" s="1">
        <f>Retail_Sales_Analyis[[#This Row],[Final_Price]]-Retail_Sales_Analyis[[#This Row],[Total_Price]]</f>
        <v>0</v>
      </c>
      <c r="S13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10" spans="1:19" x14ac:dyDescent="0.25">
      <c r="A1310" s="1" t="s">
        <v>2173</v>
      </c>
      <c r="B1310" s="2">
        <v>45617</v>
      </c>
      <c r="C1310" s="1" t="s">
        <v>18</v>
      </c>
      <c r="D1310" s="1" t="s">
        <v>67</v>
      </c>
      <c r="E1310" s="1" t="s">
        <v>342</v>
      </c>
      <c r="F1310" s="1" t="s">
        <v>69</v>
      </c>
      <c r="G1310" s="1" t="s">
        <v>85</v>
      </c>
      <c r="H1310" s="1" t="s">
        <v>98</v>
      </c>
      <c r="I1310" s="1">
        <v>4414.59</v>
      </c>
      <c r="J1310" s="1">
        <v>9</v>
      </c>
      <c r="K1310" s="1">
        <v>39731.31</v>
      </c>
      <c r="L1310" s="1">
        <v>10</v>
      </c>
      <c r="M1310" s="1">
        <v>3973.13</v>
      </c>
      <c r="N1310" s="1">
        <v>35758.18</v>
      </c>
      <c r="O1310" s="1" t="s">
        <v>80</v>
      </c>
      <c r="P1310" s="1" t="s">
        <v>197</v>
      </c>
      <c r="Q1310" s="1">
        <v>2</v>
      </c>
      <c r="R1310" s="1">
        <f>Retail_Sales_Analyis[[#This Row],[Final_Price]]-Retail_Sales_Analyis[[#This Row],[Total_Price]]</f>
        <v>-3973.1299999999974</v>
      </c>
      <c r="S13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11" spans="1:19" x14ac:dyDescent="0.25">
      <c r="A1311" s="1" t="s">
        <v>2174</v>
      </c>
      <c r="B1311" s="2">
        <v>45389</v>
      </c>
      <c r="C1311" s="1" t="s">
        <v>54</v>
      </c>
      <c r="D1311" s="1" t="s">
        <v>49</v>
      </c>
      <c r="E1311" s="1" t="s">
        <v>111</v>
      </c>
      <c r="F1311" s="1" t="s">
        <v>30</v>
      </c>
      <c r="G1311" s="1" t="s">
        <v>112</v>
      </c>
      <c r="H1311" s="1" t="s">
        <v>113</v>
      </c>
      <c r="I1311" s="1">
        <v>634.96</v>
      </c>
      <c r="J1311" s="1">
        <v>3</v>
      </c>
      <c r="K1311" s="1">
        <v>1904.88</v>
      </c>
      <c r="L1311" s="1">
        <v>0</v>
      </c>
      <c r="M1311" s="1">
        <v>0</v>
      </c>
      <c r="N1311" s="1">
        <v>1904.88</v>
      </c>
      <c r="O1311" s="1" t="s">
        <v>80</v>
      </c>
      <c r="P1311" s="1" t="s">
        <v>2175</v>
      </c>
      <c r="Q1311" s="1">
        <v>5</v>
      </c>
      <c r="R1311" s="1">
        <f>Retail_Sales_Analyis[[#This Row],[Final_Price]]-Retail_Sales_Analyis[[#This Row],[Total_Price]]</f>
        <v>0</v>
      </c>
      <c r="S13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12" spans="1:19" x14ac:dyDescent="0.25">
      <c r="A1312" s="1" t="s">
        <v>2176</v>
      </c>
      <c r="B1312" s="2">
        <v>45609</v>
      </c>
      <c r="C1312" s="1" t="s">
        <v>18</v>
      </c>
      <c r="D1312" s="1" t="s">
        <v>55</v>
      </c>
      <c r="E1312" s="1" t="s">
        <v>129</v>
      </c>
      <c r="F1312" s="1" t="s">
        <v>21</v>
      </c>
      <c r="G1312" s="1" t="s">
        <v>38</v>
      </c>
      <c r="H1312" s="1" t="s">
        <v>108</v>
      </c>
      <c r="I1312" s="1">
        <v>204.32</v>
      </c>
      <c r="J1312" s="1">
        <v>3</v>
      </c>
      <c r="K1312" s="1">
        <v>612.96</v>
      </c>
      <c r="L1312" s="1">
        <v>20</v>
      </c>
      <c r="M1312" s="1">
        <v>122.59</v>
      </c>
      <c r="N1312" s="1">
        <v>490.37</v>
      </c>
      <c r="O1312" s="1" t="s">
        <v>33</v>
      </c>
      <c r="P1312" s="1" t="s">
        <v>2177</v>
      </c>
      <c r="Q1312" s="1">
        <v>3</v>
      </c>
      <c r="R1312" s="1">
        <f>Retail_Sales_Analyis[[#This Row],[Final_Price]]-Retail_Sales_Analyis[[#This Row],[Total_Price]]</f>
        <v>-122.59000000000003</v>
      </c>
      <c r="S13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13" spans="1:19" x14ac:dyDescent="0.25">
      <c r="A1313" s="1" t="s">
        <v>2178</v>
      </c>
      <c r="B1313" s="2">
        <v>45420</v>
      </c>
      <c r="C1313" s="1" t="s">
        <v>42</v>
      </c>
      <c r="D1313" s="1" t="s">
        <v>55</v>
      </c>
      <c r="E1313" s="1" t="s">
        <v>111</v>
      </c>
      <c r="F1313" s="1" t="s">
        <v>84</v>
      </c>
      <c r="G1313" s="1" t="s">
        <v>38</v>
      </c>
      <c r="H1313" s="1" t="s">
        <v>214</v>
      </c>
      <c r="I1313" s="1">
        <v>464.36</v>
      </c>
      <c r="J1313" s="1">
        <v>4</v>
      </c>
      <c r="K1313" s="1">
        <v>1857.44</v>
      </c>
      <c r="L1313" s="1">
        <v>20</v>
      </c>
      <c r="M1313" s="1">
        <v>371.49</v>
      </c>
      <c r="N1313" s="1">
        <v>1485.95</v>
      </c>
      <c r="O1313" s="1" t="s">
        <v>24</v>
      </c>
      <c r="P1313" s="1" t="s">
        <v>451</v>
      </c>
      <c r="Q1313" s="1">
        <v>5</v>
      </c>
      <c r="R1313" s="1">
        <f>Retail_Sales_Analyis[[#This Row],[Final_Price]]-Retail_Sales_Analyis[[#This Row],[Total_Price]]</f>
        <v>-371.49</v>
      </c>
      <c r="S13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14" spans="1:19" x14ac:dyDescent="0.25">
      <c r="A1314" s="1" t="s">
        <v>2179</v>
      </c>
      <c r="B1314" s="2">
        <v>45639</v>
      </c>
      <c r="C1314" s="1" t="s">
        <v>73</v>
      </c>
      <c r="D1314" s="1" t="s">
        <v>144</v>
      </c>
      <c r="E1314" s="1" t="s">
        <v>186</v>
      </c>
      <c r="F1314" s="1" t="s">
        <v>84</v>
      </c>
      <c r="G1314" s="1" t="s">
        <v>85</v>
      </c>
      <c r="H1314" s="1" t="s">
        <v>180</v>
      </c>
      <c r="I1314" s="1">
        <v>3191.75</v>
      </c>
      <c r="J1314" s="1">
        <v>7</v>
      </c>
      <c r="K1314" s="1">
        <v>22342.25</v>
      </c>
      <c r="L1314" s="1">
        <v>0</v>
      </c>
      <c r="M1314" s="1">
        <v>0</v>
      </c>
      <c r="N1314" s="1">
        <v>22342.25</v>
      </c>
      <c r="O1314" s="1" t="s">
        <v>64</v>
      </c>
      <c r="P1314" s="1" t="s">
        <v>1738</v>
      </c>
      <c r="Q1314" s="1">
        <v>1</v>
      </c>
      <c r="R1314" s="1">
        <f>Retail_Sales_Analyis[[#This Row],[Final_Price]]-Retail_Sales_Analyis[[#This Row],[Total_Price]]</f>
        <v>0</v>
      </c>
      <c r="S13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15" spans="1:19" x14ac:dyDescent="0.25">
      <c r="A1315" s="1" t="s">
        <v>2180</v>
      </c>
      <c r="B1315" s="2">
        <v>45629</v>
      </c>
      <c r="C1315" s="1" t="s">
        <v>73</v>
      </c>
      <c r="D1315" s="1" t="s">
        <v>28</v>
      </c>
      <c r="E1315" s="1" t="s">
        <v>322</v>
      </c>
      <c r="F1315" s="1" t="s">
        <v>69</v>
      </c>
      <c r="G1315" s="1" t="s">
        <v>169</v>
      </c>
      <c r="H1315" s="1" t="s">
        <v>208</v>
      </c>
      <c r="I1315" s="1">
        <v>1227.4000000000001</v>
      </c>
      <c r="J1315" s="1">
        <v>5</v>
      </c>
      <c r="K1315" s="1">
        <v>6137</v>
      </c>
      <c r="L1315" s="1">
        <v>20</v>
      </c>
      <c r="M1315" s="1">
        <v>1227.4000000000001</v>
      </c>
      <c r="N1315" s="1">
        <v>4909.6000000000004</v>
      </c>
      <c r="O1315" s="1" t="s">
        <v>64</v>
      </c>
      <c r="P1315" s="1" t="s">
        <v>643</v>
      </c>
      <c r="Q1315" s="1">
        <v>5</v>
      </c>
      <c r="R1315" s="1">
        <f>Retail_Sales_Analyis[[#This Row],[Final_Price]]-Retail_Sales_Analyis[[#This Row],[Total_Price]]</f>
        <v>-1227.3999999999996</v>
      </c>
      <c r="S13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16" spans="1:19" x14ac:dyDescent="0.25">
      <c r="A1316" s="1" t="s">
        <v>2181</v>
      </c>
      <c r="B1316" s="2">
        <v>45640</v>
      </c>
      <c r="C1316" s="1" t="s">
        <v>73</v>
      </c>
      <c r="D1316" s="1" t="s">
        <v>19</v>
      </c>
      <c r="E1316" s="1" t="s">
        <v>236</v>
      </c>
      <c r="F1316" s="1" t="s">
        <v>30</v>
      </c>
      <c r="G1316" s="1" t="s">
        <v>78</v>
      </c>
      <c r="H1316" s="1" t="s">
        <v>146</v>
      </c>
      <c r="I1316" s="1">
        <v>218.72</v>
      </c>
      <c r="J1316" s="1">
        <v>3</v>
      </c>
      <c r="K1316" s="1">
        <v>656.16</v>
      </c>
      <c r="L1316" s="1">
        <v>0</v>
      </c>
      <c r="M1316" s="1">
        <v>0</v>
      </c>
      <c r="N1316" s="1">
        <v>656.16</v>
      </c>
      <c r="O1316" s="1" t="s">
        <v>24</v>
      </c>
      <c r="P1316" s="1" t="s">
        <v>880</v>
      </c>
      <c r="Q1316" s="1">
        <v>3</v>
      </c>
      <c r="R1316" s="1">
        <f>Retail_Sales_Analyis[[#This Row],[Final_Price]]-Retail_Sales_Analyis[[#This Row],[Total_Price]]</f>
        <v>0</v>
      </c>
      <c r="S13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17" spans="1:19" x14ac:dyDescent="0.25">
      <c r="A1317" s="1" t="s">
        <v>2182</v>
      </c>
      <c r="B1317" s="2">
        <v>45362</v>
      </c>
      <c r="C1317" s="1" t="s">
        <v>61</v>
      </c>
      <c r="D1317" s="1" t="s">
        <v>43</v>
      </c>
      <c r="E1317" s="1" t="s">
        <v>111</v>
      </c>
      <c r="F1317" s="1" t="s">
        <v>69</v>
      </c>
      <c r="G1317" s="1" t="s">
        <v>112</v>
      </c>
      <c r="H1317" s="1" t="s">
        <v>183</v>
      </c>
      <c r="I1317" s="1">
        <v>1256.76</v>
      </c>
      <c r="J1317" s="1">
        <v>1</v>
      </c>
      <c r="K1317" s="1">
        <v>1256.76</v>
      </c>
      <c r="L1317" s="1">
        <v>5</v>
      </c>
      <c r="M1317" s="1">
        <v>62.84</v>
      </c>
      <c r="N1317" s="1">
        <v>1193.92</v>
      </c>
      <c r="O1317" s="1" t="s">
        <v>64</v>
      </c>
      <c r="P1317" s="1" t="s">
        <v>443</v>
      </c>
      <c r="Q1317" s="1">
        <v>2</v>
      </c>
      <c r="R1317" s="1">
        <f>Retail_Sales_Analyis[[#This Row],[Final_Price]]-Retail_Sales_Analyis[[#This Row],[Total_Price]]</f>
        <v>-62.839999999999918</v>
      </c>
      <c r="S13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18" spans="1:19" x14ac:dyDescent="0.25">
      <c r="A1318" s="1" t="s">
        <v>2183</v>
      </c>
      <c r="B1318" s="2">
        <v>45613</v>
      </c>
      <c r="C1318" s="1" t="s">
        <v>18</v>
      </c>
      <c r="D1318" s="1" t="s">
        <v>49</v>
      </c>
      <c r="E1318" s="1" t="s">
        <v>29</v>
      </c>
      <c r="F1318" s="1" t="s">
        <v>69</v>
      </c>
      <c r="G1318" s="1" t="s">
        <v>85</v>
      </c>
      <c r="H1318" s="1" t="s">
        <v>98</v>
      </c>
      <c r="I1318" s="1">
        <v>4446.75</v>
      </c>
      <c r="J1318" s="1">
        <v>6</v>
      </c>
      <c r="K1318" s="1">
        <v>26680.5</v>
      </c>
      <c r="L1318" s="1">
        <v>10</v>
      </c>
      <c r="M1318" s="1">
        <v>2668.05</v>
      </c>
      <c r="N1318" s="1">
        <v>24012.45</v>
      </c>
      <c r="O1318" s="1" t="s">
        <v>46</v>
      </c>
      <c r="P1318" s="1" t="s">
        <v>202</v>
      </c>
      <c r="Q1318" s="1">
        <v>4</v>
      </c>
      <c r="R1318" s="1">
        <f>Retail_Sales_Analyis[[#This Row],[Final_Price]]-Retail_Sales_Analyis[[#This Row],[Total_Price]]</f>
        <v>-2668.0499999999993</v>
      </c>
      <c r="S13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19" spans="1:19" x14ac:dyDescent="0.25">
      <c r="A1319" s="1" t="s">
        <v>2184</v>
      </c>
      <c r="B1319" s="2">
        <v>45341</v>
      </c>
      <c r="C1319" s="1" t="s">
        <v>27</v>
      </c>
      <c r="D1319" s="1" t="s">
        <v>43</v>
      </c>
      <c r="E1319" s="1" t="s">
        <v>121</v>
      </c>
      <c r="F1319" s="1" t="s">
        <v>21</v>
      </c>
      <c r="G1319" s="1" t="s">
        <v>169</v>
      </c>
      <c r="H1319" s="1" t="s">
        <v>366</v>
      </c>
      <c r="I1319" s="1">
        <v>494.5</v>
      </c>
      <c r="J1319" s="1">
        <v>10</v>
      </c>
      <c r="K1319" s="1">
        <v>4945</v>
      </c>
      <c r="L1319" s="1">
        <v>20</v>
      </c>
      <c r="M1319" s="1">
        <v>989</v>
      </c>
      <c r="N1319" s="1">
        <v>3956</v>
      </c>
      <c r="O1319" s="1" t="s">
        <v>24</v>
      </c>
      <c r="P1319" s="1" t="s">
        <v>389</v>
      </c>
      <c r="Q1319" s="1">
        <v>1</v>
      </c>
      <c r="R1319" s="1">
        <f>Retail_Sales_Analyis[[#This Row],[Final_Price]]-Retail_Sales_Analyis[[#This Row],[Total_Price]]</f>
        <v>-989</v>
      </c>
      <c r="S13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20" spans="1:19" x14ac:dyDescent="0.25">
      <c r="A1320" s="1" t="s">
        <v>2185</v>
      </c>
      <c r="B1320" s="2">
        <v>45613</v>
      </c>
      <c r="C1320" s="1" t="s">
        <v>18</v>
      </c>
      <c r="D1320" s="1" t="s">
        <v>49</v>
      </c>
      <c r="E1320" s="1" t="s">
        <v>141</v>
      </c>
      <c r="F1320" s="1" t="s">
        <v>69</v>
      </c>
      <c r="G1320" s="1" t="s">
        <v>38</v>
      </c>
      <c r="H1320" s="1" t="s">
        <v>108</v>
      </c>
      <c r="I1320" s="1">
        <v>470.23</v>
      </c>
      <c r="J1320" s="1">
        <v>8</v>
      </c>
      <c r="K1320" s="1">
        <v>3761.84</v>
      </c>
      <c r="L1320" s="1">
        <v>15</v>
      </c>
      <c r="M1320" s="1">
        <v>564.28</v>
      </c>
      <c r="N1320" s="1">
        <v>3197.56</v>
      </c>
      <c r="O1320" s="1" t="s">
        <v>33</v>
      </c>
      <c r="P1320" s="1" t="s">
        <v>907</v>
      </c>
      <c r="Q1320" s="1">
        <v>5</v>
      </c>
      <c r="R1320" s="1">
        <f>Retail_Sales_Analyis[[#This Row],[Final_Price]]-Retail_Sales_Analyis[[#This Row],[Total_Price]]</f>
        <v>-564.2800000000002</v>
      </c>
      <c r="S13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21" spans="1:19" x14ac:dyDescent="0.25">
      <c r="A1321" s="1" t="s">
        <v>2186</v>
      </c>
      <c r="B1321" s="2">
        <v>45622</v>
      </c>
      <c r="C1321" s="1" t="s">
        <v>18</v>
      </c>
      <c r="D1321" s="1" t="s">
        <v>28</v>
      </c>
      <c r="E1321" s="1" t="s">
        <v>139</v>
      </c>
      <c r="F1321" s="1" t="s">
        <v>69</v>
      </c>
      <c r="G1321" s="1" t="s">
        <v>31</v>
      </c>
      <c r="H1321" s="1" t="s">
        <v>45</v>
      </c>
      <c r="I1321" s="1">
        <v>209.27</v>
      </c>
      <c r="J1321" s="1">
        <v>10</v>
      </c>
      <c r="K1321" s="1">
        <v>2092.6999999999998</v>
      </c>
      <c r="L1321" s="1">
        <v>10</v>
      </c>
      <c r="M1321" s="1">
        <v>209.27</v>
      </c>
      <c r="N1321" s="1">
        <v>1883.43</v>
      </c>
      <c r="O1321" s="1" t="s">
        <v>33</v>
      </c>
      <c r="P1321" s="1" t="s">
        <v>794</v>
      </c>
      <c r="Q1321" s="1">
        <v>3</v>
      </c>
      <c r="R1321" s="1">
        <f>Retail_Sales_Analyis[[#This Row],[Final_Price]]-Retail_Sales_Analyis[[#This Row],[Total_Price]]</f>
        <v>-209.26999999999975</v>
      </c>
      <c r="S13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22" spans="1:19" x14ac:dyDescent="0.25">
      <c r="A1322" s="1" t="s">
        <v>2187</v>
      </c>
      <c r="B1322" s="2">
        <v>45312</v>
      </c>
      <c r="C1322" s="1" t="s">
        <v>36</v>
      </c>
      <c r="D1322" s="1" t="s">
        <v>49</v>
      </c>
      <c r="E1322" s="1" t="s">
        <v>351</v>
      </c>
      <c r="F1322" s="1" t="s">
        <v>37</v>
      </c>
      <c r="G1322" s="1" t="s">
        <v>31</v>
      </c>
      <c r="H1322" s="1" t="s">
        <v>250</v>
      </c>
      <c r="I1322" s="1">
        <v>412.18</v>
      </c>
      <c r="J1322" s="1">
        <v>4</v>
      </c>
      <c r="K1322" s="1">
        <v>1648.72</v>
      </c>
      <c r="L1322" s="1">
        <v>0</v>
      </c>
      <c r="M1322" s="1">
        <v>0</v>
      </c>
      <c r="N1322" s="1">
        <v>1648.72</v>
      </c>
      <c r="O1322" s="1" t="s">
        <v>80</v>
      </c>
      <c r="P1322" s="1" t="s">
        <v>553</v>
      </c>
      <c r="Q1322" s="1">
        <v>3</v>
      </c>
      <c r="R1322" s="1">
        <f>Retail_Sales_Analyis[[#This Row],[Final_Price]]-Retail_Sales_Analyis[[#This Row],[Total_Price]]</f>
        <v>0</v>
      </c>
      <c r="S13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23" spans="1:19" x14ac:dyDescent="0.25">
      <c r="A1323" s="1" t="s">
        <v>2188</v>
      </c>
      <c r="B1323" s="2">
        <v>45450</v>
      </c>
      <c r="C1323" s="1" t="s">
        <v>173</v>
      </c>
      <c r="D1323" s="1" t="s">
        <v>144</v>
      </c>
      <c r="E1323" s="1" t="s">
        <v>186</v>
      </c>
      <c r="F1323" s="1" t="s">
        <v>37</v>
      </c>
      <c r="G1323" s="1" t="s">
        <v>22</v>
      </c>
      <c r="H1323" s="1" t="s">
        <v>51</v>
      </c>
      <c r="I1323" s="1">
        <v>500.76</v>
      </c>
      <c r="J1323" s="1">
        <v>6</v>
      </c>
      <c r="K1323" s="1">
        <v>3004.56</v>
      </c>
      <c r="L1323" s="1">
        <v>0</v>
      </c>
      <c r="M1323" s="1">
        <v>0</v>
      </c>
      <c r="N1323" s="1">
        <v>3004.56</v>
      </c>
      <c r="O1323" s="1" t="s">
        <v>46</v>
      </c>
      <c r="P1323" s="1" t="s">
        <v>716</v>
      </c>
      <c r="Q1323" s="1">
        <v>4</v>
      </c>
      <c r="R1323" s="1">
        <f>Retail_Sales_Analyis[[#This Row],[Final_Price]]-Retail_Sales_Analyis[[#This Row],[Total_Price]]</f>
        <v>0</v>
      </c>
      <c r="S13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24" spans="1:19" x14ac:dyDescent="0.25">
      <c r="A1324" s="1" t="s">
        <v>2189</v>
      </c>
      <c r="B1324" s="2">
        <v>45517</v>
      </c>
      <c r="C1324" s="1" t="s">
        <v>93</v>
      </c>
      <c r="D1324" s="1" t="s">
        <v>28</v>
      </c>
      <c r="E1324" s="1" t="s">
        <v>207</v>
      </c>
      <c r="F1324" s="1" t="s">
        <v>21</v>
      </c>
      <c r="G1324" s="1" t="s">
        <v>22</v>
      </c>
      <c r="H1324" s="1" t="s">
        <v>23</v>
      </c>
      <c r="I1324" s="1">
        <v>559.95000000000005</v>
      </c>
      <c r="J1324" s="1">
        <v>10</v>
      </c>
      <c r="K1324" s="1">
        <v>5599.5</v>
      </c>
      <c r="L1324" s="1">
        <v>20</v>
      </c>
      <c r="M1324" s="1">
        <v>1119.9000000000001</v>
      </c>
      <c r="N1324" s="1">
        <v>4479.6000000000004</v>
      </c>
      <c r="O1324" s="1" t="s">
        <v>64</v>
      </c>
      <c r="P1324" s="1" t="s">
        <v>1315</v>
      </c>
      <c r="Q1324" s="1">
        <v>3</v>
      </c>
      <c r="R1324" s="1">
        <f>Retail_Sales_Analyis[[#This Row],[Final_Price]]-Retail_Sales_Analyis[[#This Row],[Total_Price]]</f>
        <v>-1119.8999999999996</v>
      </c>
      <c r="S132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25" spans="1:19" x14ac:dyDescent="0.25">
      <c r="A1325" s="1" t="s">
        <v>2190</v>
      </c>
      <c r="B1325" s="2">
        <v>45309</v>
      </c>
      <c r="C1325" s="1" t="s">
        <v>36</v>
      </c>
      <c r="D1325" s="1" t="s">
        <v>67</v>
      </c>
      <c r="E1325" s="1" t="s">
        <v>97</v>
      </c>
      <c r="F1325" s="1" t="s">
        <v>69</v>
      </c>
      <c r="G1325" s="1" t="s">
        <v>112</v>
      </c>
      <c r="H1325" s="1" t="s">
        <v>113</v>
      </c>
      <c r="I1325" s="1">
        <v>1855.5</v>
      </c>
      <c r="J1325" s="1">
        <v>5</v>
      </c>
      <c r="K1325" s="1">
        <v>9277.5</v>
      </c>
      <c r="L1325" s="1">
        <v>5</v>
      </c>
      <c r="M1325" s="1">
        <v>463.88</v>
      </c>
      <c r="N1325" s="1">
        <v>8813.6200000000008</v>
      </c>
      <c r="O1325" s="1" t="s">
        <v>33</v>
      </c>
      <c r="P1325" s="1" t="s">
        <v>957</v>
      </c>
      <c r="Q1325" s="1">
        <v>4</v>
      </c>
      <c r="R1325" s="1">
        <f>Retail_Sales_Analyis[[#This Row],[Final_Price]]-Retail_Sales_Analyis[[#This Row],[Total_Price]]</f>
        <v>-463.8799999999992</v>
      </c>
      <c r="S13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26" spans="1:19" x14ac:dyDescent="0.25">
      <c r="A1326" s="1" t="s">
        <v>2191</v>
      </c>
      <c r="B1326" s="2">
        <v>45588</v>
      </c>
      <c r="C1326" s="1" t="s">
        <v>76</v>
      </c>
      <c r="D1326" s="1" t="s">
        <v>55</v>
      </c>
      <c r="E1326" s="1" t="s">
        <v>94</v>
      </c>
      <c r="F1326" s="1" t="s">
        <v>30</v>
      </c>
      <c r="G1326" s="1" t="s">
        <v>57</v>
      </c>
      <c r="H1326" s="1" t="s">
        <v>58</v>
      </c>
      <c r="I1326" s="1">
        <v>565.16</v>
      </c>
      <c r="J1326" s="1">
        <v>1</v>
      </c>
      <c r="K1326" s="1">
        <v>565.16</v>
      </c>
      <c r="L1326" s="1">
        <v>0</v>
      </c>
      <c r="M1326" s="1">
        <v>0</v>
      </c>
      <c r="N1326" s="1">
        <v>565.16</v>
      </c>
      <c r="O1326" s="1" t="s">
        <v>64</v>
      </c>
      <c r="P1326" s="1" t="s">
        <v>588</v>
      </c>
      <c r="Q1326" s="1">
        <v>1</v>
      </c>
      <c r="R1326" s="1">
        <f>Retail_Sales_Analyis[[#This Row],[Final_Price]]-Retail_Sales_Analyis[[#This Row],[Total_Price]]</f>
        <v>0</v>
      </c>
      <c r="S13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27" spans="1:19" x14ac:dyDescent="0.25">
      <c r="A1327" s="1" t="s">
        <v>2192</v>
      </c>
      <c r="B1327" s="2">
        <v>45478</v>
      </c>
      <c r="C1327" s="1" t="s">
        <v>195</v>
      </c>
      <c r="D1327" s="1" t="s">
        <v>144</v>
      </c>
      <c r="E1327" s="1" t="s">
        <v>411</v>
      </c>
      <c r="F1327" s="1" t="s">
        <v>84</v>
      </c>
      <c r="G1327" s="1" t="s">
        <v>78</v>
      </c>
      <c r="H1327" s="1" t="s">
        <v>136</v>
      </c>
      <c r="I1327" s="1">
        <v>559.23</v>
      </c>
      <c r="J1327" s="1">
        <v>7</v>
      </c>
      <c r="K1327" s="1">
        <v>3914.61</v>
      </c>
      <c r="L1327" s="1">
        <v>0</v>
      </c>
      <c r="M1327" s="1">
        <v>0</v>
      </c>
      <c r="N1327" s="1">
        <v>3914.61</v>
      </c>
      <c r="O1327" s="1" t="s">
        <v>80</v>
      </c>
      <c r="P1327" s="1" t="s">
        <v>1301</v>
      </c>
      <c r="Q1327" s="1">
        <v>3</v>
      </c>
      <c r="R1327" s="1">
        <f>Retail_Sales_Analyis[[#This Row],[Final_Price]]-Retail_Sales_Analyis[[#This Row],[Total_Price]]</f>
        <v>0</v>
      </c>
      <c r="S13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28" spans="1:19" x14ac:dyDescent="0.25">
      <c r="A1328" s="1" t="s">
        <v>2193</v>
      </c>
      <c r="B1328" s="2">
        <v>45359</v>
      </c>
      <c r="C1328" s="1" t="s">
        <v>61</v>
      </c>
      <c r="D1328" s="1" t="s">
        <v>144</v>
      </c>
      <c r="E1328" s="1" t="s">
        <v>186</v>
      </c>
      <c r="F1328" s="1" t="s">
        <v>30</v>
      </c>
      <c r="G1328" s="1" t="s">
        <v>31</v>
      </c>
      <c r="H1328" s="1" t="s">
        <v>329</v>
      </c>
      <c r="I1328" s="1">
        <v>470.29</v>
      </c>
      <c r="J1328" s="1">
        <v>8</v>
      </c>
      <c r="K1328" s="1">
        <v>3762.32</v>
      </c>
      <c r="L1328" s="1">
        <v>0</v>
      </c>
      <c r="M1328" s="1">
        <v>0</v>
      </c>
      <c r="N1328" s="1">
        <v>3762.32</v>
      </c>
      <c r="O1328" s="1" t="s">
        <v>46</v>
      </c>
      <c r="P1328" s="1" t="s">
        <v>237</v>
      </c>
      <c r="Q1328" s="1">
        <v>3</v>
      </c>
      <c r="R1328" s="1">
        <f>Retail_Sales_Analyis[[#This Row],[Final_Price]]-Retail_Sales_Analyis[[#This Row],[Total_Price]]</f>
        <v>0</v>
      </c>
      <c r="S13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29" spans="1:19" x14ac:dyDescent="0.25">
      <c r="A1329" s="1" t="s">
        <v>2194</v>
      </c>
      <c r="B1329" s="2">
        <v>45338</v>
      </c>
      <c r="C1329" s="1" t="s">
        <v>27</v>
      </c>
      <c r="D1329" s="1" t="s">
        <v>144</v>
      </c>
      <c r="E1329" s="1" t="s">
        <v>111</v>
      </c>
      <c r="F1329" s="1" t="s">
        <v>37</v>
      </c>
      <c r="G1329" s="1" t="s">
        <v>85</v>
      </c>
      <c r="H1329" s="1" t="s">
        <v>297</v>
      </c>
      <c r="I1329" s="1">
        <v>4968.3999999999996</v>
      </c>
      <c r="J1329" s="1">
        <v>3</v>
      </c>
      <c r="K1329" s="1">
        <v>14905.2</v>
      </c>
      <c r="L1329" s="1">
        <v>15</v>
      </c>
      <c r="M1329" s="1">
        <v>2235.7800000000002</v>
      </c>
      <c r="N1329" s="1">
        <v>12669.42</v>
      </c>
      <c r="O1329" s="1" t="s">
        <v>80</v>
      </c>
      <c r="P1329" s="1" t="s">
        <v>2195</v>
      </c>
      <c r="Q1329" s="1">
        <v>3</v>
      </c>
      <c r="R1329" s="1">
        <f>Retail_Sales_Analyis[[#This Row],[Final_Price]]-Retail_Sales_Analyis[[#This Row],[Total_Price]]</f>
        <v>-2235.7800000000007</v>
      </c>
      <c r="S13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0" spans="1:19" x14ac:dyDescent="0.25">
      <c r="A1330" s="1" t="s">
        <v>2196</v>
      </c>
      <c r="B1330" s="2">
        <v>45443</v>
      </c>
      <c r="C1330" s="1" t="s">
        <v>42</v>
      </c>
      <c r="D1330" s="1" t="s">
        <v>144</v>
      </c>
      <c r="E1330" s="1" t="s">
        <v>56</v>
      </c>
      <c r="F1330" s="1" t="s">
        <v>30</v>
      </c>
      <c r="G1330" s="1" t="s">
        <v>57</v>
      </c>
      <c r="H1330" s="1" t="s">
        <v>122</v>
      </c>
      <c r="I1330" s="1">
        <v>1239.55</v>
      </c>
      <c r="J1330" s="1">
        <v>8</v>
      </c>
      <c r="K1330" s="1">
        <v>9916.4</v>
      </c>
      <c r="L1330" s="1">
        <v>5</v>
      </c>
      <c r="M1330" s="1">
        <v>495.82</v>
      </c>
      <c r="N1330" s="1">
        <v>9420.58</v>
      </c>
      <c r="O1330" s="1" t="s">
        <v>46</v>
      </c>
      <c r="P1330" s="1" t="s">
        <v>1968</v>
      </c>
      <c r="Q1330" s="1">
        <v>5</v>
      </c>
      <c r="R1330" s="1">
        <f>Retail_Sales_Analyis[[#This Row],[Final_Price]]-Retail_Sales_Analyis[[#This Row],[Total_Price]]</f>
        <v>-495.81999999999971</v>
      </c>
      <c r="S133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31" spans="1:19" x14ac:dyDescent="0.25">
      <c r="A1331" s="1" t="s">
        <v>2197</v>
      </c>
      <c r="B1331" s="2">
        <v>45459</v>
      </c>
      <c r="C1331" s="1" t="s">
        <v>173</v>
      </c>
      <c r="D1331" s="1" t="s">
        <v>49</v>
      </c>
      <c r="E1331" s="1" t="s">
        <v>174</v>
      </c>
      <c r="F1331" s="1" t="s">
        <v>69</v>
      </c>
      <c r="G1331" s="1" t="s">
        <v>78</v>
      </c>
      <c r="H1331" s="1" t="s">
        <v>323</v>
      </c>
      <c r="I1331" s="1">
        <v>315.58999999999997</v>
      </c>
      <c r="J1331" s="1">
        <v>9</v>
      </c>
      <c r="K1331" s="1">
        <v>2840.31</v>
      </c>
      <c r="L1331" s="1">
        <v>10</v>
      </c>
      <c r="M1331" s="1">
        <v>284.02999999999997</v>
      </c>
      <c r="N1331" s="1">
        <v>2556.2800000000002</v>
      </c>
      <c r="O1331" s="1" t="s">
        <v>24</v>
      </c>
      <c r="P1331" s="1" t="s">
        <v>853</v>
      </c>
      <c r="Q1331" s="1">
        <v>4</v>
      </c>
      <c r="R1331" s="1">
        <f>Retail_Sales_Analyis[[#This Row],[Final_Price]]-Retail_Sales_Analyis[[#This Row],[Total_Price]]</f>
        <v>-284.02999999999975</v>
      </c>
      <c r="S13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2" spans="1:19" x14ac:dyDescent="0.25">
      <c r="A1332" s="1" t="s">
        <v>2198</v>
      </c>
      <c r="B1332" s="2">
        <v>45504</v>
      </c>
      <c r="C1332" s="1" t="s">
        <v>195</v>
      </c>
      <c r="D1332" s="1" t="s">
        <v>55</v>
      </c>
      <c r="E1332" s="1" t="s">
        <v>121</v>
      </c>
      <c r="F1332" s="1" t="s">
        <v>30</v>
      </c>
      <c r="G1332" s="1" t="s">
        <v>112</v>
      </c>
      <c r="H1332" s="1" t="s">
        <v>183</v>
      </c>
      <c r="I1332" s="1">
        <v>1593</v>
      </c>
      <c r="J1332" s="1">
        <v>10</v>
      </c>
      <c r="K1332" s="1">
        <v>15930</v>
      </c>
      <c r="L1332" s="1">
        <v>10</v>
      </c>
      <c r="M1332" s="1">
        <v>1593</v>
      </c>
      <c r="N1332" s="1">
        <v>14337</v>
      </c>
      <c r="O1332" s="1" t="s">
        <v>24</v>
      </c>
      <c r="P1332" s="1" t="s">
        <v>613</v>
      </c>
      <c r="Q1332" s="1">
        <v>2</v>
      </c>
      <c r="R1332" s="1">
        <f>Retail_Sales_Analyis[[#This Row],[Final_Price]]-Retail_Sales_Analyis[[#This Row],[Total_Price]]</f>
        <v>-1593</v>
      </c>
      <c r="S13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3" spans="1:19" x14ac:dyDescent="0.25">
      <c r="A1333" s="1" t="s">
        <v>2199</v>
      </c>
      <c r="B1333" s="2">
        <v>45381</v>
      </c>
      <c r="C1333" s="1" t="s">
        <v>61</v>
      </c>
      <c r="D1333" s="1" t="s">
        <v>19</v>
      </c>
      <c r="E1333" s="1" t="s">
        <v>199</v>
      </c>
      <c r="F1333" s="1" t="s">
        <v>69</v>
      </c>
      <c r="G1333" s="1" t="s">
        <v>31</v>
      </c>
      <c r="H1333" s="1" t="s">
        <v>63</v>
      </c>
      <c r="I1333" s="1">
        <v>114.78</v>
      </c>
      <c r="J1333" s="1">
        <v>4</v>
      </c>
      <c r="K1333" s="1">
        <v>459.12</v>
      </c>
      <c r="L1333" s="1">
        <v>0</v>
      </c>
      <c r="M1333" s="1">
        <v>0</v>
      </c>
      <c r="N1333" s="1">
        <v>459.12</v>
      </c>
      <c r="O1333" s="1" t="s">
        <v>80</v>
      </c>
      <c r="P1333" s="1" t="s">
        <v>667</v>
      </c>
      <c r="Q1333" s="1">
        <v>4</v>
      </c>
      <c r="R1333" s="1">
        <f>Retail_Sales_Analyis[[#This Row],[Final_Price]]-Retail_Sales_Analyis[[#This Row],[Total_Price]]</f>
        <v>0</v>
      </c>
      <c r="S13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34" spans="1:19" x14ac:dyDescent="0.25">
      <c r="A1334" s="1" t="s">
        <v>2200</v>
      </c>
      <c r="B1334" s="2">
        <v>45394</v>
      </c>
      <c r="C1334" s="1" t="s">
        <v>54</v>
      </c>
      <c r="D1334" s="1" t="s">
        <v>144</v>
      </c>
      <c r="E1334" s="1" t="s">
        <v>186</v>
      </c>
      <c r="F1334" s="1" t="s">
        <v>69</v>
      </c>
      <c r="G1334" s="1" t="s">
        <v>112</v>
      </c>
      <c r="H1334" s="1" t="s">
        <v>223</v>
      </c>
      <c r="I1334" s="1">
        <v>954.37</v>
      </c>
      <c r="J1334" s="1">
        <v>3</v>
      </c>
      <c r="K1334" s="1">
        <v>2863.11</v>
      </c>
      <c r="L1334" s="1">
        <v>0</v>
      </c>
      <c r="M1334" s="1">
        <v>0</v>
      </c>
      <c r="N1334" s="1">
        <v>2863.11</v>
      </c>
      <c r="O1334" s="1" t="s">
        <v>33</v>
      </c>
      <c r="P1334" s="1" t="s">
        <v>2201</v>
      </c>
      <c r="Q1334" s="1">
        <v>5</v>
      </c>
      <c r="R1334" s="1">
        <f>Retail_Sales_Analyis[[#This Row],[Final_Price]]-Retail_Sales_Analyis[[#This Row],[Total_Price]]</f>
        <v>0</v>
      </c>
      <c r="S13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35" spans="1:19" x14ac:dyDescent="0.25">
      <c r="A1335" s="1" t="s">
        <v>2202</v>
      </c>
      <c r="B1335" s="2">
        <v>45359</v>
      </c>
      <c r="C1335" s="1" t="s">
        <v>61</v>
      </c>
      <c r="D1335" s="1" t="s">
        <v>144</v>
      </c>
      <c r="E1335" s="1" t="s">
        <v>236</v>
      </c>
      <c r="F1335" s="1" t="s">
        <v>37</v>
      </c>
      <c r="G1335" s="1" t="s">
        <v>85</v>
      </c>
      <c r="H1335" s="1" t="s">
        <v>86</v>
      </c>
      <c r="I1335" s="1">
        <v>3188.22</v>
      </c>
      <c r="J1335" s="1">
        <v>5</v>
      </c>
      <c r="K1335" s="1">
        <v>15941.1</v>
      </c>
      <c r="L1335" s="1">
        <v>0</v>
      </c>
      <c r="M1335" s="1">
        <v>0</v>
      </c>
      <c r="N1335" s="1">
        <v>15941.1</v>
      </c>
      <c r="O1335" s="1" t="s">
        <v>24</v>
      </c>
      <c r="P1335" s="1" t="s">
        <v>796</v>
      </c>
      <c r="Q1335" s="1">
        <v>1</v>
      </c>
      <c r="R1335" s="1">
        <f>Retail_Sales_Analyis[[#This Row],[Final_Price]]-Retail_Sales_Analyis[[#This Row],[Total_Price]]</f>
        <v>0</v>
      </c>
      <c r="S13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36" spans="1:19" x14ac:dyDescent="0.25">
      <c r="A1336" s="1" t="s">
        <v>2203</v>
      </c>
      <c r="B1336" s="2">
        <v>45568</v>
      </c>
      <c r="C1336" s="1" t="s">
        <v>76</v>
      </c>
      <c r="D1336" s="1" t="s">
        <v>67</v>
      </c>
      <c r="E1336" s="1" t="s">
        <v>239</v>
      </c>
      <c r="F1336" s="1" t="s">
        <v>69</v>
      </c>
      <c r="G1336" s="1" t="s">
        <v>31</v>
      </c>
      <c r="H1336" s="1" t="s">
        <v>329</v>
      </c>
      <c r="I1336" s="1">
        <v>148.59</v>
      </c>
      <c r="J1336" s="1">
        <v>3</v>
      </c>
      <c r="K1336" s="1">
        <v>445.77</v>
      </c>
      <c r="L1336" s="1">
        <v>15</v>
      </c>
      <c r="M1336" s="1">
        <v>66.87</v>
      </c>
      <c r="N1336" s="1">
        <v>378.9</v>
      </c>
      <c r="O1336" s="1" t="s">
        <v>33</v>
      </c>
      <c r="P1336" s="1" t="s">
        <v>2204</v>
      </c>
      <c r="Q1336" s="1">
        <v>1</v>
      </c>
      <c r="R1336" s="1">
        <f>Retail_Sales_Analyis[[#This Row],[Final_Price]]-Retail_Sales_Analyis[[#This Row],[Total_Price]]</f>
        <v>-66.87</v>
      </c>
      <c r="S13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7" spans="1:19" x14ac:dyDescent="0.25">
      <c r="A1337" s="1" t="s">
        <v>2205</v>
      </c>
      <c r="B1337" s="2">
        <v>45479</v>
      </c>
      <c r="C1337" s="1" t="s">
        <v>195</v>
      </c>
      <c r="D1337" s="1" t="s">
        <v>19</v>
      </c>
      <c r="E1337" s="1" t="s">
        <v>196</v>
      </c>
      <c r="F1337" s="1" t="s">
        <v>84</v>
      </c>
      <c r="G1337" s="1" t="s">
        <v>78</v>
      </c>
      <c r="H1337" s="1" t="s">
        <v>126</v>
      </c>
      <c r="I1337" s="1">
        <v>477.56</v>
      </c>
      <c r="J1337" s="1">
        <v>6</v>
      </c>
      <c r="K1337" s="1">
        <v>2865.36</v>
      </c>
      <c r="L1337" s="1">
        <v>20</v>
      </c>
      <c r="M1337" s="1">
        <v>573.07000000000005</v>
      </c>
      <c r="N1337" s="1">
        <v>2292.29</v>
      </c>
      <c r="O1337" s="1" t="s">
        <v>33</v>
      </c>
      <c r="P1337" s="1" t="s">
        <v>1923</v>
      </c>
      <c r="Q1337" s="1">
        <v>3</v>
      </c>
      <c r="R1337" s="1">
        <f>Retail_Sales_Analyis[[#This Row],[Final_Price]]-Retail_Sales_Analyis[[#This Row],[Total_Price]]</f>
        <v>-573.07000000000016</v>
      </c>
      <c r="S13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38" spans="1:19" x14ac:dyDescent="0.25">
      <c r="A1338" s="1" t="s">
        <v>2206</v>
      </c>
      <c r="B1338" s="2">
        <v>45563</v>
      </c>
      <c r="C1338" s="1" t="s">
        <v>116</v>
      </c>
      <c r="D1338" s="1" t="s">
        <v>19</v>
      </c>
      <c r="E1338" s="1" t="s">
        <v>77</v>
      </c>
      <c r="F1338" s="1" t="s">
        <v>21</v>
      </c>
      <c r="G1338" s="1" t="s">
        <v>78</v>
      </c>
      <c r="H1338" s="1" t="s">
        <v>323</v>
      </c>
      <c r="I1338" s="1">
        <v>387.02</v>
      </c>
      <c r="J1338" s="1">
        <v>10</v>
      </c>
      <c r="K1338" s="1">
        <v>3870.2</v>
      </c>
      <c r="L1338" s="1">
        <v>10</v>
      </c>
      <c r="M1338" s="1">
        <v>387.02</v>
      </c>
      <c r="N1338" s="1">
        <v>3483.18</v>
      </c>
      <c r="O1338" s="1" t="s">
        <v>46</v>
      </c>
      <c r="P1338" s="1" t="s">
        <v>761</v>
      </c>
      <c r="Q1338" s="1">
        <v>5</v>
      </c>
      <c r="R1338" s="1">
        <f>Retail_Sales_Analyis[[#This Row],[Final_Price]]-Retail_Sales_Analyis[[#This Row],[Total_Price]]</f>
        <v>-387.02</v>
      </c>
      <c r="S13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39" spans="1:19" x14ac:dyDescent="0.25">
      <c r="A1339" s="1" t="s">
        <v>2207</v>
      </c>
      <c r="B1339" s="2">
        <v>45548</v>
      </c>
      <c r="C1339" s="1" t="s">
        <v>116</v>
      </c>
      <c r="D1339" s="1" t="s">
        <v>144</v>
      </c>
      <c r="E1339" s="1" t="s">
        <v>204</v>
      </c>
      <c r="F1339" s="1" t="s">
        <v>69</v>
      </c>
      <c r="G1339" s="1" t="s">
        <v>112</v>
      </c>
      <c r="H1339" s="1" t="s">
        <v>288</v>
      </c>
      <c r="I1339" s="1">
        <v>1225.0899999999999</v>
      </c>
      <c r="J1339" s="1">
        <v>6</v>
      </c>
      <c r="K1339" s="1">
        <v>7350.54</v>
      </c>
      <c r="L1339" s="1">
        <v>10</v>
      </c>
      <c r="M1339" s="1">
        <v>735.05</v>
      </c>
      <c r="N1339" s="1">
        <v>6615.49</v>
      </c>
      <c r="O1339" s="1" t="s">
        <v>46</v>
      </c>
      <c r="P1339" s="1" t="s">
        <v>2208</v>
      </c>
      <c r="Q1339" s="1">
        <v>4</v>
      </c>
      <c r="R1339" s="1">
        <f>Retail_Sales_Analyis[[#This Row],[Final_Price]]-Retail_Sales_Analyis[[#This Row],[Total_Price]]</f>
        <v>-735.05000000000018</v>
      </c>
      <c r="S13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40" spans="1:19" x14ac:dyDescent="0.25">
      <c r="A1340" s="1" t="s">
        <v>2209</v>
      </c>
      <c r="B1340" s="2">
        <v>45431</v>
      </c>
      <c r="C1340" s="1" t="s">
        <v>42</v>
      </c>
      <c r="D1340" s="1" t="s">
        <v>49</v>
      </c>
      <c r="E1340" s="1" t="s">
        <v>29</v>
      </c>
      <c r="F1340" s="1" t="s">
        <v>69</v>
      </c>
      <c r="G1340" s="1" t="s">
        <v>38</v>
      </c>
      <c r="H1340" s="1" t="s">
        <v>422</v>
      </c>
      <c r="I1340" s="1">
        <v>174.55</v>
      </c>
      <c r="J1340" s="1">
        <v>3</v>
      </c>
      <c r="K1340" s="1">
        <v>523.65</v>
      </c>
      <c r="L1340" s="1">
        <v>10</v>
      </c>
      <c r="M1340" s="1">
        <v>52.37</v>
      </c>
      <c r="N1340" s="1">
        <v>471.28</v>
      </c>
      <c r="O1340" s="1" t="s">
        <v>64</v>
      </c>
      <c r="P1340" s="1" t="s">
        <v>2210</v>
      </c>
      <c r="Q1340" s="1">
        <v>2</v>
      </c>
      <c r="R1340" s="1">
        <f>Retail_Sales_Analyis[[#This Row],[Final_Price]]-Retail_Sales_Analyis[[#This Row],[Total_Price]]</f>
        <v>-52.370000000000005</v>
      </c>
      <c r="S13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41" spans="1:19" x14ac:dyDescent="0.25">
      <c r="A1341" s="1" t="s">
        <v>2211</v>
      </c>
      <c r="B1341" s="2">
        <v>45376</v>
      </c>
      <c r="C1341" s="1" t="s">
        <v>61</v>
      </c>
      <c r="D1341" s="1" t="s">
        <v>43</v>
      </c>
      <c r="E1341" s="1" t="s">
        <v>261</v>
      </c>
      <c r="F1341" s="1" t="s">
        <v>84</v>
      </c>
      <c r="G1341" s="1" t="s">
        <v>85</v>
      </c>
      <c r="H1341" s="1" t="s">
        <v>297</v>
      </c>
      <c r="I1341" s="1">
        <v>3789.53</v>
      </c>
      <c r="J1341" s="1">
        <v>9</v>
      </c>
      <c r="K1341" s="1">
        <v>34105.769999999997</v>
      </c>
      <c r="L1341" s="1">
        <v>0</v>
      </c>
      <c r="M1341" s="1">
        <v>0</v>
      </c>
      <c r="N1341" s="1">
        <v>34105.769999999997</v>
      </c>
      <c r="O1341" s="1" t="s">
        <v>33</v>
      </c>
      <c r="P1341" s="1" t="s">
        <v>2116</v>
      </c>
      <c r="Q1341" s="1">
        <v>4</v>
      </c>
      <c r="R1341" s="1">
        <f>Retail_Sales_Analyis[[#This Row],[Final_Price]]-Retail_Sales_Analyis[[#This Row],[Total_Price]]</f>
        <v>0</v>
      </c>
      <c r="S13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42" spans="1:19" x14ac:dyDescent="0.25">
      <c r="A1342" s="1" t="s">
        <v>2212</v>
      </c>
      <c r="B1342" s="2">
        <v>45423</v>
      </c>
      <c r="C1342" s="1" t="s">
        <v>42</v>
      </c>
      <c r="D1342" s="1" t="s">
        <v>19</v>
      </c>
      <c r="E1342" s="1" t="s">
        <v>111</v>
      </c>
      <c r="F1342" s="1" t="s">
        <v>69</v>
      </c>
      <c r="G1342" s="1" t="s">
        <v>38</v>
      </c>
      <c r="H1342" s="1" t="s">
        <v>39</v>
      </c>
      <c r="I1342" s="1">
        <v>269.75</v>
      </c>
      <c r="J1342" s="1">
        <v>10</v>
      </c>
      <c r="K1342" s="1">
        <v>2697.5</v>
      </c>
      <c r="L1342" s="1">
        <v>5</v>
      </c>
      <c r="M1342" s="1">
        <v>134.88</v>
      </c>
      <c r="N1342" s="1">
        <v>2562.62</v>
      </c>
      <c r="O1342" s="1" t="s">
        <v>24</v>
      </c>
      <c r="P1342" s="1" t="s">
        <v>1881</v>
      </c>
      <c r="Q1342" s="1">
        <v>3</v>
      </c>
      <c r="R1342" s="1">
        <f>Retail_Sales_Analyis[[#This Row],[Final_Price]]-Retail_Sales_Analyis[[#This Row],[Total_Price]]</f>
        <v>-134.88000000000011</v>
      </c>
      <c r="S13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43" spans="1:19" x14ac:dyDescent="0.25">
      <c r="A1343" s="1" t="s">
        <v>2213</v>
      </c>
      <c r="B1343" s="2">
        <v>45538</v>
      </c>
      <c r="C1343" s="1" t="s">
        <v>116</v>
      </c>
      <c r="D1343" s="1" t="s">
        <v>28</v>
      </c>
      <c r="E1343" s="1" t="s">
        <v>351</v>
      </c>
      <c r="F1343" s="1" t="s">
        <v>21</v>
      </c>
      <c r="G1343" s="1" t="s">
        <v>22</v>
      </c>
      <c r="H1343" s="1" t="s">
        <v>23</v>
      </c>
      <c r="I1343" s="1">
        <v>531.38</v>
      </c>
      <c r="J1343" s="1">
        <v>1</v>
      </c>
      <c r="K1343" s="1">
        <v>531.38</v>
      </c>
      <c r="L1343" s="1">
        <v>0</v>
      </c>
      <c r="M1343" s="1">
        <v>0</v>
      </c>
      <c r="N1343" s="1">
        <v>531.38</v>
      </c>
      <c r="O1343" s="1" t="s">
        <v>46</v>
      </c>
      <c r="P1343" s="1" t="s">
        <v>2214</v>
      </c>
      <c r="Q1343" s="1">
        <v>1</v>
      </c>
      <c r="R1343" s="1">
        <f>Retail_Sales_Analyis[[#This Row],[Final_Price]]-Retail_Sales_Analyis[[#This Row],[Total_Price]]</f>
        <v>0</v>
      </c>
      <c r="S13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44" spans="1:19" x14ac:dyDescent="0.25">
      <c r="A1344" s="1" t="s">
        <v>2215</v>
      </c>
      <c r="B1344" s="2">
        <v>45443</v>
      </c>
      <c r="C1344" s="1" t="s">
        <v>42</v>
      </c>
      <c r="D1344" s="1" t="s">
        <v>144</v>
      </c>
      <c r="E1344" s="1" t="s">
        <v>29</v>
      </c>
      <c r="F1344" s="1" t="s">
        <v>84</v>
      </c>
      <c r="G1344" s="1" t="s">
        <v>31</v>
      </c>
      <c r="H1344" s="1" t="s">
        <v>32</v>
      </c>
      <c r="I1344" s="1">
        <v>314.79000000000002</v>
      </c>
      <c r="J1344" s="1">
        <v>7</v>
      </c>
      <c r="K1344" s="1">
        <v>2203.5300000000002</v>
      </c>
      <c r="L1344" s="1">
        <v>5</v>
      </c>
      <c r="M1344" s="1">
        <v>110.18</v>
      </c>
      <c r="N1344" s="1">
        <v>2093.35</v>
      </c>
      <c r="O1344" s="1" t="s">
        <v>64</v>
      </c>
      <c r="P1344" s="1" t="s">
        <v>2216</v>
      </c>
      <c r="Q1344" s="1">
        <v>3</v>
      </c>
      <c r="R1344" s="1">
        <f>Retail_Sales_Analyis[[#This Row],[Final_Price]]-Retail_Sales_Analyis[[#This Row],[Total_Price]]</f>
        <v>-110.18000000000029</v>
      </c>
      <c r="S13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45" spans="1:19" x14ac:dyDescent="0.25">
      <c r="A1345" s="1" t="s">
        <v>2217</v>
      </c>
      <c r="B1345" s="2">
        <v>45465</v>
      </c>
      <c r="C1345" s="1" t="s">
        <v>173</v>
      </c>
      <c r="D1345" s="1" t="s">
        <v>19</v>
      </c>
      <c r="E1345" s="1" t="s">
        <v>542</v>
      </c>
      <c r="F1345" s="1" t="s">
        <v>37</v>
      </c>
      <c r="G1345" s="1" t="s">
        <v>85</v>
      </c>
      <c r="H1345" s="1" t="s">
        <v>180</v>
      </c>
      <c r="I1345" s="1">
        <v>1636.77</v>
      </c>
      <c r="J1345" s="1">
        <v>6</v>
      </c>
      <c r="K1345" s="1">
        <v>9820.6200000000008</v>
      </c>
      <c r="L1345" s="1">
        <v>10</v>
      </c>
      <c r="M1345" s="1">
        <v>982.06</v>
      </c>
      <c r="N1345" s="1">
        <v>8838.56</v>
      </c>
      <c r="O1345" s="1" t="s">
        <v>33</v>
      </c>
      <c r="P1345" s="1" t="s">
        <v>759</v>
      </c>
      <c r="Q1345" s="1">
        <v>1</v>
      </c>
      <c r="R1345" s="1">
        <f>Retail_Sales_Analyis[[#This Row],[Final_Price]]-Retail_Sales_Analyis[[#This Row],[Total_Price]]</f>
        <v>-982.06000000000131</v>
      </c>
      <c r="S13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46" spans="1:19" x14ac:dyDescent="0.25">
      <c r="A1346" s="1" t="s">
        <v>2218</v>
      </c>
      <c r="B1346" s="2">
        <v>45350</v>
      </c>
      <c r="C1346" s="1" t="s">
        <v>27</v>
      </c>
      <c r="D1346" s="1" t="s">
        <v>55</v>
      </c>
      <c r="E1346" s="1" t="s">
        <v>157</v>
      </c>
      <c r="F1346" s="1" t="s">
        <v>69</v>
      </c>
      <c r="G1346" s="1" t="s">
        <v>112</v>
      </c>
      <c r="H1346" s="1" t="s">
        <v>113</v>
      </c>
      <c r="I1346" s="1">
        <v>1310.56</v>
      </c>
      <c r="J1346" s="1">
        <v>8</v>
      </c>
      <c r="K1346" s="1">
        <v>10484.48</v>
      </c>
      <c r="L1346" s="1">
        <v>0</v>
      </c>
      <c r="M1346" s="1">
        <v>0</v>
      </c>
      <c r="N1346" s="1">
        <v>10484.48</v>
      </c>
      <c r="O1346" s="1" t="s">
        <v>64</v>
      </c>
      <c r="P1346" s="1" t="s">
        <v>345</v>
      </c>
      <c r="Q1346" s="1">
        <v>1</v>
      </c>
      <c r="R1346" s="1">
        <f>Retail_Sales_Analyis[[#This Row],[Final_Price]]-Retail_Sales_Analyis[[#This Row],[Total_Price]]</f>
        <v>0</v>
      </c>
      <c r="S13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47" spans="1:19" x14ac:dyDescent="0.25">
      <c r="A1347" s="1" t="s">
        <v>2219</v>
      </c>
      <c r="B1347" s="2">
        <v>45531</v>
      </c>
      <c r="C1347" s="1" t="s">
        <v>93</v>
      </c>
      <c r="D1347" s="1" t="s">
        <v>28</v>
      </c>
      <c r="E1347" s="1" t="s">
        <v>239</v>
      </c>
      <c r="F1347" s="1" t="s">
        <v>37</v>
      </c>
      <c r="G1347" s="1" t="s">
        <v>112</v>
      </c>
      <c r="H1347" s="1" t="s">
        <v>113</v>
      </c>
      <c r="I1347" s="1">
        <v>937.13</v>
      </c>
      <c r="J1347" s="1">
        <v>6</v>
      </c>
      <c r="K1347" s="1">
        <v>5622.78</v>
      </c>
      <c r="L1347" s="1">
        <v>15</v>
      </c>
      <c r="M1347" s="1">
        <v>843.42</v>
      </c>
      <c r="N1347" s="1">
        <v>4779.3599999999997</v>
      </c>
      <c r="O1347" s="1" t="s">
        <v>46</v>
      </c>
      <c r="P1347" s="1" t="s">
        <v>2220</v>
      </c>
      <c r="Q1347" s="1">
        <v>5</v>
      </c>
      <c r="R1347" s="1">
        <f>Retail_Sales_Analyis[[#This Row],[Final_Price]]-Retail_Sales_Analyis[[#This Row],[Total_Price]]</f>
        <v>-843.42000000000007</v>
      </c>
      <c r="S13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48" spans="1:19" x14ac:dyDescent="0.25">
      <c r="A1348" s="1" t="s">
        <v>2221</v>
      </c>
      <c r="B1348" s="2">
        <v>45330</v>
      </c>
      <c r="C1348" s="1" t="s">
        <v>27</v>
      </c>
      <c r="D1348" s="1" t="s">
        <v>67</v>
      </c>
      <c r="E1348" s="1" t="s">
        <v>157</v>
      </c>
      <c r="F1348" s="1" t="s">
        <v>21</v>
      </c>
      <c r="G1348" s="1" t="s">
        <v>38</v>
      </c>
      <c r="H1348" s="1" t="s">
        <v>422</v>
      </c>
      <c r="I1348" s="1">
        <v>169.98</v>
      </c>
      <c r="J1348" s="1">
        <v>10</v>
      </c>
      <c r="K1348" s="1">
        <v>1699.8</v>
      </c>
      <c r="L1348" s="1">
        <v>0</v>
      </c>
      <c r="M1348" s="1">
        <v>0</v>
      </c>
      <c r="N1348" s="1">
        <v>1699.8</v>
      </c>
      <c r="O1348" s="1" t="s">
        <v>24</v>
      </c>
      <c r="P1348" s="1" t="s">
        <v>1807</v>
      </c>
      <c r="Q1348" s="1">
        <v>5</v>
      </c>
      <c r="R1348" s="1">
        <f>Retail_Sales_Analyis[[#This Row],[Final_Price]]-Retail_Sales_Analyis[[#This Row],[Total_Price]]</f>
        <v>0</v>
      </c>
      <c r="S13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49" spans="1:19" x14ac:dyDescent="0.25">
      <c r="A1349" s="1" t="s">
        <v>2222</v>
      </c>
      <c r="B1349" s="2">
        <v>45364</v>
      </c>
      <c r="C1349" s="1" t="s">
        <v>61</v>
      </c>
      <c r="D1349" s="1" t="s">
        <v>55</v>
      </c>
      <c r="E1349" s="1" t="s">
        <v>94</v>
      </c>
      <c r="F1349" s="1" t="s">
        <v>84</v>
      </c>
      <c r="G1349" s="1" t="s">
        <v>85</v>
      </c>
      <c r="H1349" s="1" t="s">
        <v>86</v>
      </c>
      <c r="I1349" s="1">
        <v>4296.76</v>
      </c>
      <c r="J1349" s="1">
        <v>8</v>
      </c>
      <c r="K1349" s="1">
        <v>34374.080000000002</v>
      </c>
      <c r="L1349" s="1">
        <v>0</v>
      </c>
      <c r="M1349" s="1">
        <v>0</v>
      </c>
      <c r="N1349" s="1">
        <v>34374.080000000002</v>
      </c>
      <c r="O1349" s="1" t="s">
        <v>46</v>
      </c>
      <c r="P1349" s="1" t="s">
        <v>1098</v>
      </c>
      <c r="Q1349" s="1">
        <v>5</v>
      </c>
      <c r="R1349" s="1">
        <f>Retail_Sales_Analyis[[#This Row],[Final_Price]]-Retail_Sales_Analyis[[#This Row],[Total_Price]]</f>
        <v>0</v>
      </c>
      <c r="S13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0" spans="1:19" x14ac:dyDescent="0.25">
      <c r="A1350" s="1" t="s">
        <v>2223</v>
      </c>
      <c r="B1350" s="2">
        <v>45407</v>
      </c>
      <c r="C1350" s="1" t="s">
        <v>54</v>
      </c>
      <c r="D1350" s="1" t="s">
        <v>67</v>
      </c>
      <c r="E1350" s="1" t="s">
        <v>236</v>
      </c>
      <c r="F1350" s="1" t="s">
        <v>84</v>
      </c>
      <c r="G1350" s="1" t="s">
        <v>169</v>
      </c>
      <c r="H1350" s="1" t="s">
        <v>170</v>
      </c>
      <c r="I1350" s="1">
        <v>641.33000000000004</v>
      </c>
      <c r="J1350" s="1">
        <v>2</v>
      </c>
      <c r="K1350" s="1">
        <v>1282.6600000000001</v>
      </c>
      <c r="L1350" s="1">
        <v>5</v>
      </c>
      <c r="M1350" s="1">
        <v>64.13</v>
      </c>
      <c r="N1350" s="1">
        <v>1218.53</v>
      </c>
      <c r="O1350" s="1" t="s">
        <v>80</v>
      </c>
      <c r="P1350" s="1" t="s">
        <v>246</v>
      </c>
      <c r="Q1350" s="1">
        <v>3</v>
      </c>
      <c r="R1350" s="1">
        <f>Retail_Sales_Analyis[[#This Row],[Final_Price]]-Retail_Sales_Analyis[[#This Row],[Total_Price]]</f>
        <v>-64.130000000000109</v>
      </c>
      <c r="S13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51" spans="1:19" x14ac:dyDescent="0.25">
      <c r="A1351" s="1" t="s">
        <v>2224</v>
      </c>
      <c r="B1351" s="2">
        <v>45638</v>
      </c>
      <c r="C1351" s="1" t="s">
        <v>73</v>
      </c>
      <c r="D1351" s="1" t="s">
        <v>67</v>
      </c>
      <c r="E1351" s="1" t="s">
        <v>104</v>
      </c>
      <c r="F1351" s="1" t="s">
        <v>21</v>
      </c>
      <c r="G1351" s="1" t="s">
        <v>31</v>
      </c>
      <c r="H1351" s="1" t="s">
        <v>45</v>
      </c>
      <c r="I1351" s="1">
        <v>150.71</v>
      </c>
      <c r="J1351" s="1">
        <v>5</v>
      </c>
      <c r="K1351" s="1">
        <v>753.55</v>
      </c>
      <c r="L1351" s="1">
        <v>0</v>
      </c>
      <c r="M1351" s="1">
        <v>0</v>
      </c>
      <c r="N1351" s="1">
        <v>753.55</v>
      </c>
      <c r="O1351" s="1" t="s">
        <v>33</v>
      </c>
      <c r="P1351" s="1" t="s">
        <v>506</v>
      </c>
      <c r="Q1351" s="1">
        <v>3</v>
      </c>
      <c r="R1351" s="1">
        <f>Retail_Sales_Analyis[[#This Row],[Final_Price]]-Retail_Sales_Analyis[[#This Row],[Total_Price]]</f>
        <v>0</v>
      </c>
      <c r="S13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2" spans="1:19" x14ac:dyDescent="0.25">
      <c r="A1352" s="1" t="s">
        <v>2225</v>
      </c>
      <c r="B1352" s="2">
        <v>45637</v>
      </c>
      <c r="C1352" s="1" t="s">
        <v>73</v>
      </c>
      <c r="D1352" s="1" t="s">
        <v>55</v>
      </c>
      <c r="E1352" s="1" t="s">
        <v>261</v>
      </c>
      <c r="F1352" s="1" t="s">
        <v>21</v>
      </c>
      <c r="G1352" s="1" t="s">
        <v>31</v>
      </c>
      <c r="H1352" s="1" t="s">
        <v>32</v>
      </c>
      <c r="I1352" s="1">
        <v>211.44</v>
      </c>
      <c r="J1352" s="1">
        <v>9</v>
      </c>
      <c r="K1352" s="1">
        <v>1902.96</v>
      </c>
      <c r="L1352" s="1">
        <v>0</v>
      </c>
      <c r="M1352" s="1">
        <v>0</v>
      </c>
      <c r="N1352" s="1">
        <v>1902.96</v>
      </c>
      <c r="O1352" s="1" t="s">
        <v>46</v>
      </c>
      <c r="P1352" s="1" t="s">
        <v>2226</v>
      </c>
      <c r="Q1352" s="1">
        <v>4</v>
      </c>
      <c r="R1352" s="1">
        <f>Retail_Sales_Analyis[[#This Row],[Final_Price]]-Retail_Sales_Analyis[[#This Row],[Total_Price]]</f>
        <v>0</v>
      </c>
      <c r="S13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3" spans="1:19" x14ac:dyDescent="0.25">
      <c r="A1353" s="1" t="s">
        <v>2227</v>
      </c>
      <c r="B1353" s="2">
        <v>45495</v>
      </c>
      <c r="C1353" s="1" t="s">
        <v>195</v>
      </c>
      <c r="D1353" s="1" t="s">
        <v>43</v>
      </c>
      <c r="E1353" s="1" t="s">
        <v>239</v>
      </c>
      <c r="F1353" s="1" t="s">
        <v>37</v>
      </c>
      <c r="G1353" s="1" t="s">
        <v>38</v>
      </c>
      <c r="H1353" s="1" t="s">
        <v>422</v>
      </c>
      <c r="I1353" s="1">
        <v>247.38</v>
      </c>
      <c r="J1353" s="1">
        <v>8</v>
      </c>
      <c r="K1353" s="1">
        <v>1979.04</v>
      </c>
      <c r="L1353" s="1">
        <v>0</v>
      </c>
      <c r="M1353" s="1">
        <v>0</v>
      </c>
      <c r="N1353" s="1">
        <v>1979.04</v>
      </c>
      <c r="O1353" s="1" t="s">
        <v>64</v>
      </c>
      <c r="P1353" s="1" t="s">
        <v>2228</v>
      </c>
      <c r="Q1353" s="1">
        <v>1</v>
      </c>
      <c r="R1353" s="1">
        <f>Retail_Sales_Analyis[[#This Row],[Final_Price]]-Retail_Sales_Analyis[[#This Row],[Total_Price]]</f>
        <v>0</v>
      </c>
      <c r="S13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4" spans="1:19" x14ac:dyDescent="0.25">
      <c r="A1354" s="1" t="s">
        <v>2229</v>
      </c>
      <c r="B1354" s="2">
        <v>45577</v>
      </c>
      <c r="C1354" s="1" t="s">
        <v>76</v>
      </c>
      <c r="D1354" s="1" t="s">
        <v>19</v>
      </c>
      <c r="E1354" s="1" t="s">
        <v>94</v>
      </c>
      <c r="F1354" s="1" t="s">
        <v>30</v>
      </c>
      <c r="G1354" s="1" t="s">
        <v>169</v>
      </c>
      <c r="H1354" s="1" t="s">
        <v>366</v>
      </c>
      <c r="I1354" s="1">
        <v>429.21</v>
      </c>
      <c r="J1354" s="1">
        <v>8</v>
      </c>
      <c r="K1354" s="1">
        <v>3433.68</v>
      </c>
      <c r="L1354" s="1">
        <v>0</v>
      </c>
      <c r="M1354" s="1">
        <v>0</v>
      </c>
      <c r="N1354" s="1">
        <v>3433.68</v>
      </c>
      <c r="O1354" s="1" t="s">
        <v>64</v>
      </c>
      <c r="P1354" s="1" t="s">
        <v>1425</v>
      </c>
      <c r="Q1354" s="1">
        <v>1</v>
      </c>
      <c r="R1354" s="1">
        <f>Retail_Sales_Analyis[[#This Row],[Final_Price]]-Retail_Sales_Analyis[[#This Row],[Total_Price]]</f>
        <v>0</v>
      </c>
      <c r="S13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5" spans="1:19" x14ac:dyDescent="0.25">
      <c r="A1355" s="1" t="s">
        <v>2230</v>
      </c>
      <c r="B1355" s="2">
        <v>45479</v>
      </c>
      <c r="C1355" s="1" t="s">
        <v>195</v>
      </c>
      <c r="D1355" s="1" t="s">
        <v>19</v>
      </c>
      <c r="E1355" s="1" t="s">
        <v>20</v>
      </c>
      <c r="F1355" s="1" t="s">
        <v>84</v>
      </c>
      <c r="G1355" s="1" t="s">
        <v>78</v>
      </c>
      <c r="H1355" s="1" t="s">
        <v>126</v>
      </c>
      <c r="I1355" s="1">
        <v>257.66000000000003</v>
      </c>
      <c r="J1355" s="1">
        <v>8</v>
      </c>
      <c r="K1355" s="1">
        <v>2061.2800000000002</v>
      </c>
      <c r="L1355" s="1">
        <v>5</v>
      </c>
      <c r="M1355" s="1">
        <v>103.06</v>
      </c>
      <c r="N1355" s="1">
        <v>1958.22</v>
      </c>
      <c r="O1355" s="1" t="s">
        <v>33</v>
      </c>
      <c r="P1355" s="1" t="s">
        <v>1006</v>
      </c>
      <c r="Q1355" s="1">
        <v>1</v>
      </c>
      <c r="R1355" s="1">
        <f>Retail_Sales_Analyis[[#This Row],[Final_Price]]-Retail_Sales_Analyis[[#This Row],[Total_Price]]</f>
        <v>-103.06000000000017</v>
      </c>
      <c r="S13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56" spans="1:19" x14ac:dyDescent="0.25">
      <c r="A1356" s="1" t="s">
        <v>2231</v>
      </c>
      <c r="B1356" s="2">
        <v>45338</v>
      </c>
      <c r="C1356" s="1" t="s">
        <v>27</v>
      </c>
      <c r="D1356" s="1" t="s">
        <v>144</v>
      </c>
      <c r="E1356" s="1" t="s">
        <v>186</v>
      </c>
      <c r="F1356" s="1" t="s">
        <v>30</v>
      </c>
      <c r="G1356" s="1" t="s">
        <v>38</v>
      </c>
      <c r="H1356" s="1" t="s">
        <v>214</v>
      </c>
      <c r="I1356" s="1">
        <v>726.91</v>
      </c>
      <c r="J1356" s="1">
        <v>1</v>
      </c>
      <c r="K1356" s="1">
        <v>726.91</v>
      </c>
      <c r="L1356" s="1">
        <v>0</v>
      </c>
      <c r="M1356" s="1">
        <v>0</v>
      </c>
      <c r="N1356" s="1">
        <v>726.91</v>
      </c>
      <c r="O1356" s="1" t="s">
        <v>64</v>
      </c>
      <c r="P1356" s="1" t="s">
        <v>557</v>
      </c>
      <c r="Q1356" s="1">
        <v>4</v>
      </c>
      <c r="R1356" s="1">
        <f>Retail_Sales_Analyis[[#This Row],[Final_Price]]-Retail_Sales_Analyis[[#This Row],[Total_Price]]</f>
        <v>0</v>
      </c>
      <c r="S13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57" spans="1:19" x14ac:dyDescent="0.25">
      <c r="A1357" s="1" t="s">
        <v>2232</v>
      </c>
      <c r="B1357" s="2">
        <v>45494</v>
      </c>
      <c r="C1357" s="1" t="s">
        <v>195</v>
      </c>
      <c r="D1357" s="1" t="s">
        <v>49</v>
      </c>
      <c r="E1357" s="1" t="s">
        <v>56</v>
      </c>
      <c r="F1357" s="1" t="s">
        <v>69</v>
      </c>
      <c r="G1357" s="1" t="s">
        <v>112</v>
      </c>
      <c r="H1357" s="1" t="s">
        <v>223</v>
      </c>
      <c r="I1357" s="1">
        <v>1761.68</v>
      </c>
      <c r="J1357" s="1">
        <v>5</v>
      </c>
      <c r="K1357" s="1">
        <v>8808.4</v>
      </c>
      <c r="L1357" s="1">
        <v>5</v>
      </c>
      <c r="M1357" s="1">
        <v>440.42</v>
      </c>
      <c r="N1357" s="1">
        <v>8367.98</v>
      </c>
      <c r="O1357" s="1" t="s">
        <v>64</v>
      </c>
      <c r="P1357" s="1" t="s">
        <v>262</v>
      </c>
      <c r="Q1357" s="1">
        <v>4</v>
      </c>
      <c r="R1357" s="1">
        <f>Retail_Sales_Analyis[[#This Row],[Final_Price]]-Retail_Sales_Analyis[[#This Row],[Total_Price]]</f>
        <v>-440.42000000000007</v>
      </c>
      <c r="S135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58" spans="1:19" x14ac:dyDescent="0.25">
      <c r="A1358" s="1" t="s">
        <v>2233</v>
      </c>
      <c r="B1358" s="2">
        <v>45299</v>
      </c>
      <c r="C1358" s="1" t="s">
        <v>36</v>
      </c>
      <c r="D1358" s="1" t="s">
        <v>43</v>
      </c>
      <c r="E1358" s="1" t="s">
        <v>174</v>
      </c>
      <c r="F1358" s="1" t="s">
        <v>84</v>
      </c>
      <c r="G1358" s="1" t="s">
        <v>78</v>
      </c>
      <c r="H1358" s="1" t="s">
        <v>136</v>
      </c>
      <c r="I1358" s="1">
        <v>209.81</v>
      </c>
      <c r="J1358" s="1">
        <v>6</v>
      </c>
      <c r="K1358" s="1">
        <v>1258.8599999999999</v>
      </c>
      <c r="L1358" s="1">
        <v>15</v>
      </c>
      <c r="M1358" s="1">
        <v>188.83</v>
      </c>
      <c r="N1358" s="1">
        <v>1070.03</v>
      </c>
      <c r="O1358" s="1" t="s">
        <v>33</v>
      </c>
      <c r="P1358" s="1" t="s">
        <v>324</v>
      </c>
      <c r="Q1358" s="1">
        <v>3</v>
      </c>
      <c r="R1358" s="1">
        <f>Retail_Sales_Analyis[[#This Row],[Final_Price]]-Retail_Sales_Analyis[[#This Row],[Total_Price]]</f>
        <v>-188.82999999999993</v>
      </c>
      <c r="S13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59" spans="1:19" x14ac:dyDescent="0.25">
      <c r="A1359" s="1" t="s">
        <v>2234</v>
      </c>
      <c r="B1359" s="2">
        <v>45427</v>
      </c>
      <c r="C1359" s="1" t="s">
        <v>42</v>
      </c>
      <c r="D1359" s="1" t="s">
        <v>55</v>
      </c>
      <c r="E1359" s="1" t="s">
        <v>44</v>
      </c>
      <c r="F1359" s="1" t="s">
        <v>30</v>
      </c>
      <c r="G1359" s="1" t="s">
        <v>85</v>
      </c>
      <c r="H1359" s="1" t="s">
        <v>297</v>
      </c>
      <c r="I1359" s="1">
        <v>4476.7</v>
      </c>
      <c r="J1359" s="1">
        <v>3</v>
      </c>
      <c r="K1359" s="1">
        <v>13430.1</v>
      </c>
      <c r="L1359" s="1">
        <v>0</v>
      </c>
      <c r="M1359" s="1">
        <v>0</v>
      </c>
      <c r="N1359" s="1">
        <v>13430.1</v>
      </c>
      <c r="O1359" s="1" t="s">
        <v>33</v>
      </c>
      <c r="P1359" s="1" t="s">
        <v>1787</v>
      </c>
      <c r="Q1359" s="1">
        <v>1</v>
      </c>
      <c r="R1359" s="1">
        <f>Retail_Sales_Analyis[[#This Row],[Final_Price]]-Retail_Sales_Analyis[[#This Row],[Total_Price]]</f>
        <v>0</v>
      </c>
      <c r="S13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60" spans="1:19" x14ac:dyDescent="0.25">
      <c r="A1360" s="1" t="s">
        <v>2235</v>
      </c>
      <c r="B1360" s="2">
        <v>45566</v>
      </c>
      <c r="C1360" s="1" t="s">
        <v>76</v>
      </c>
      <c r="D1360" s="1" t="s">
        <v>28</v>
      </c>
      <c r="E1360" s="1" t="s">
        <v>204</v>
      </c>
      <c r="F1360" s="1" t="s">
        <v>21</v>
      </c>
      <c r="G1360" s="1" t="s">
        <v>112</v>
      </c>
      <c r="H1360" s="1" t="s">
        <v>113</v>
      </c>
      <c r="I1360" s="1">
        <v>860.04</v>
      </c>
      <c r="J1360" s="1">
        <v>10</v>
      </c>
      <c r="K1360" s="1">
        <v>8600.4</v>
      </c>
      <c r="L1360" s="1">
        <v>5</v>
      </c>
      <c r="M1360" s="1">
        <v>430.02</v>
      </c>
      <c r="N1360" s="1">
        <v>8170.38</v>
      </c>
      <c r="O1360" s="1" t="s">
        <v>46</v>
      </c>
      <c r="P1360" s="1" t="s">
        <v>2236</v>
      </c>
      <c r="Q1360" s="1">
        <v>2</v>
      </c>
      <c r="R1360" s="1">
        <f>Retail_Sales_Analyis[[#This Row],[Final_Price]]-Retail_Sales_Analyis[[#This Row],[Total_Price]]</f>
        <v>-430.01999999999953</v>
      </c>
      <c r="S13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61" spans="1:19" x14ac:dyDescent="0.25">
      <c r="A1361" s="1" t="s">
        <v>2237</v>
      </c>
      <c r="B1361" s="2">
        <v>45355</v>
      </c>
      <c r="C1361" s="1" t="s">
        <v>61</v>
      </c>
      <c r="D1361" s="1" t="s">
        <v>43</v>
      </c>
      <c r="E1361" s="1" t="s">
        <v>62</v>
      </c>
      <c r="F1361" s="1" t="s">
        <v>37</v>
      </c>
      <c r="G1361" s="1" t="s">
        <v>112</v>
      </c>
      <c r="H1361" s="1" t="s">
        <v>223</v>
      </c>
      <c r="I1361" s="1">
        <v>1447.31</v>
      </c>
      <c r="J1361" s="1">
        <v>6</v>
      </c>
      <c r="K1361" s="1">
        <v>8683.86</v>
      </c>
      <c r="L1361" s="1">
        <v>20</v>
      </c>
      <c r="M1361" s="1">
        <v>1736.77</v>
      </c>
      <c r="N1361" s="1">
        <v>6947.09</v>
      </c>
      <c r="O1361" s="1" t="s">
        <v>80</v>
      </c>
      <c r="P1361" s="1" t="s">
        <v>922</v>
      </c>
      <c r="Q1361" s="1">
        <v>3</v>
      </c>
      <c r="R1361" s="1">
        <f>Retail_Sales_Analyis[[#This Row],[Final_Price]]-Retail_Sales_Analyis[[#This Row],[Total_Price]]</f>
        <v>-1736.7700000000004</v>
      </c>
      <c r="S13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62" spans="1:19" x14ac:dyDescent="0.25">
      <c r="A1362" s="1" t="s">
        <v>2238</v>
      </c>
      <c r="B1362" s="2">
        <v>45524</v>
      </c>
      <c r="C1362" s="1" t="s">
        <v>93</v>
      </c>
      <c r="D1362" s="1" t="s">
        <v>28</v>
      </c>
      <c r="E1362" s="1" t="s">
        <v>139</v>
      </c>
      <c r="F1362" s="1" t="s">
        <v>69</v>
      </c>
      <c r="G1362" s="1" t="s">
        <v>31</v>
      </c>
      <c r="H1362" s="1" t="s">
        <v>45</v>
      </c>
      <c r="I1362" s="1">
        <v>140.77000000000001</v>
      </c>
      <c r="J1362" s="1">
        <v>3</v>
      </c>
      <c r="K1362" s="1">
        <v>422.31</v>
      </c>
      <c r="L1362" s="1">
        <v>0</v>
      </c>
      <c r="M1362" s="1">
        <v>0</v>
      </c>
      <c r="N1362" s="1">
        <v>422.31</v>
      </c>
      <c r="O1362" s="1" t="s">
        <v>80</v>
      </c>
      <c r="P1362" s="1" t="s">
        <v>907</v>
      </c>
      <c r="Q1362" s="1">
        <v>3</v>
      </c>
      <c r="R1362" s="1">
        <f>Retail_Sales_Analyis[[#This Row],[Final_Price]]-Retail_Sales_Analyis[[#This Row],[Total_Price]]</f>
        <v>0</v>
      </c>
      <c r="S13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63" spans="1:19" x14ac:dyDescent="0.25">
      <c r="A1363" s="1" t="s">
        <v>2239</v>
      </c>
      <c r="B1363" s="2">
        <v>45480</v>
      </c>
      <c r="C1363" s="1" t="s">
        <v>195</v>
      </c>
      <c r="D1363" s="1" t="s">
        <v>49</v>
      </c>
      <c r="E1363" s="1" t="s">
        <v>94</v>
      </c>
      <c r="F1363" s="1" t="s">
        <v>84</v>
      </c>
      <c r="G1363" s="1" t="s">
        <v>57</v>
      </c>
      <c r="H1363" s="1" t="s">
        <v>58</v>
      </c>
      <c r="I1363" s="1">
        <v>2355.19</v>
      </c>
      <c r="J1363" s="1">
        <v>1</v>
      </c>
      <c r="K1363" s="1">
        <v>2355.19</v>
      </c>
      <c r="L1363" s="1">
        <v>5</v>
      </c>
      <c r="M1363" s="1">
        <v>117.76</v>
      </c>
      <c r="N1363" s="1">
        <v>2237.4299999999998</v>
      </c>
      <c r="O1363" s="1" t="s">
        <v>80</v>
      </c>
      <c r="P1363" s="1" t="s">
        <v>127</v>
      </c>
      <c r="Q1363" s="1">
        <v>5</v>
      </c>
      <c r="R1363" s="1">
        <f>Retail_Sales_Analyis[[#This Row],[Final_Price]]-Retail_Sales_Analyis[[#This Row],[Total_Price]]</f>
        <v>-117.76000000000022</v>
      </c>
      <c r="S13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64" spans="1:19" x14ac:dyDescent="0.25">
      <c r="A1364" s="1" t="s">
        <v>2240</v>
      </c>
      <c r="B1364" s="2">
        <v>45636</v>
      </c>
      <c r="C1364" s="1" t="s">
        <v>73</v>
      </c>
      <c r="D1364" s="1" t="s">
        <v>28</v>
      </c>
      <c r="E1364" s="1" t="s">
        <v>83</v>
      </c>
      <c r="F1364" s="1" t="s">
        <v>69</v>
      </c>
      <c r="G1364" s="1" t="s">
        <v>31</v>
      </c>
      <c r="H1364" s="1" t="s">
        <v>329</v>
      </c>
      <c r="I1364" s="1">
        <v>178.02</v>
      </c>
      <c r="J1364" s="1">
        <v>1</v>
      </c>
      <c r="K1364" s="1">
        <v>178.02</v>
      </c>
      <c r="L1364" s="1">
        <v>5</v>
      </c>
      <c r="M1364" s="1">
        <v>8.9</v>
      </c>
      <c r="N1364" s="1">
        <v>169.12</v>
      </c>
      <c r="O1364" s="1" t="s">
        <v>80</v>
      </c>
      <c r="P1364" s="1" t="s">
        <v>2241</v>
      </c>
      <c r="Q1364" s="1">
        <v>1</v>
      </c>
      <c r="R1364" s="1">
        <f>Retail_Sales_Analyis[[#This Row],[Final_Price]]-Retail_Sales_Analyis[[#This Row],[Total_Price]]</f>
        <v>-8.9000000000000057</v>
      </c>
      <c r="S13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65" spans="1:19" x14ac:dyDescent="0.25">
      <c r="A1365" s="1" t="s">
        <v>2242</v>
      </c>
      <c r="B1365" s="2">
        <v>45636</v>
      </c>
      <c r="C1365" s="1" t="s">
        <v>73</v>
      </c>
      <c r="D1365" s="1" t="s">
        <v>28</v>
      </c>
      <c r="E1365" s="1" t="s">
        <v>312</v>
      </c>
      <c r="F1365" s="1" t="s">
        <v>30</v>
      </c>
      <c r="G1365" s="1" t="s">
        <v>31</v>
      </c>
      <c r="H1365" s="1" t="s">
        <v>45</v>
      </c>
      <c r="I1365" s="1">
        <v>307.35000000000002</v>
      </c>
      <c r="J1365" s="1">
        <v>6</v>
      </c>
      <c r="K1365" s="1">
        <v>1844.1</v>
      </c>
      <c r="L1365" s="1">
        <v>20</v>
      </c>
      <c r="M1365" s="1">
        <v>368.82</v>
      </c>
      <c r="N1365" s="1">
        <v>1475.28</v>
      </c>
      <c r="O1365" s="1" t="s">
        <v>80</v>
      </c>
      <c r="P1365" s="1" t="s">
        <v>725</v>
      </c>
      <c r="Q1365" s="1">
        <v>2</v>
      </c>
      <c r="R1365" s="1">
        <f>Retail_Sales_Analyis[[#This Row],[Final_Price]]-Retail_Sales_Analyis[[#This Row],[Total_Price]]</f>
        <v>-368.81999999999994</v>
      </c>
      <c r="S136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66" spans="1:19" x14ac:dyDescent="0.25">
      <c r="A1366" s="1" t="s">
        <v>2243</v>
      </c>
      <c r="B1366" s="2">
        <v>45426</v>
      </c>
      <c r="C1366" s="1" t="s">
        <v>42</v>
      </c>
      <c r="D1366" s="1" t="s">
        <v>28</v>
      </c>
      <c r="E1366" s="1" t="s">
        <v>157</v>
      </c>
      <c r="F1366" s="1" t="s">
        <v>84</v>
      </c>
      <c r="G1366" s="1" t="s">
        <v>112</v>
      </c>
      <c r="H1366" s="1" t="s">
        <v>113</v>
      </c>
      <c r="I1366" s="1">
        <v>1502.65</v>
      </c>
      <c r="J1366" s="1">
        <v>10</v>
      </c>
      <c r="K1366" s="1">
        <v>15026.5</v>
      </c>
      <c r="L1366" s="1">
        <v>0</v>
      </c>
      <c r="M1366" s="1">
        <v>0</v>
      </c>
      <c r="N1366" s="1">
        <v>15026.5</v>
      </c>
      <c r="O1366" s="1" t="s">
        <v>33</v>
      </c>
      <c r="P1366" s="1" t="s">
        <v>1121</v>
      </c>
      <c r="Q1366" s="1">
        <v>3</v>
      </c>
      <c r="R1366" s="1">
        <f>Retail_Sales_Analyis[[#This Row],[Final_Price]]-Retail_Sales_Analyis[[#This Row],[Total_Price]]</f>
        <v>0</v>
      </c>
      <c r="S13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67" spans="1:19" x14ac:dyDescent="0.25">
      <c r="A1367" s="1" t="s">
        <v>2244</v>
      </c>
      <c r="B1367" s="2">
        <v>45591</v>
      </c>
      <c r="C1367" s="1" t="s">
        <v>76</v>
      </c>
      <c r="D1367" s="1" t="s">
        <v>19</v>
      </c>
      <c r="E1367" s="1" t="s">
        <v>302</v>
      </c>
      <c r="F1367" s="1" t="s">
        <v>37</v>
      </c>
      <c r="G1367" s="1" t="s">
        <v>112</v>
      </c>
      <c r="H1367" s="1" t="s">
        <v>113</v>
      </c>
      <c r="I1367" s="1">
        <v>1928.01</v>
      </c>
      <c r="J1367" s="1">
        <v>8</v>
      </c>
      <c r="K1367" s="1">
        <v>15424.08</v>
      </c>
      <c r="L1367" s="1">
        <v>0</v>
      </c>
      <c r="M1367" s="1">
        <v>0</v>
      </c>
      <c r="N1367" s="1">
        <v>15424.08</v>
      </c>
      <c r="O1367" s="1" t="s">
        <v>33</v>
      </c>
      <c r="P1367" s="1" t="s">
        <v>1929</v>
      </c>
      <c r="Q1367" s="1">
        <v>1</v>
      </c>
      <c r="R1367" s="1">
        <f>Retail_Sales_Analyis[[#This Row],[Final_Price]]-Retail_Sales_Analyis[[#This Row],[Total_Price]]</f>
        <v>0</v>
      </c>
      <c r="S13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68" spans="1:19" x14ac:dyDescent="0.25">
      <c r="A1368" s="1" t="s">
        <v>2245</v>
      </c>
      <c r="B1368" s="2">
        <v>45487</v>
      </c>
      <c r="C1368" s="1" t="s">
        <v>195</v>
      </c>
      <c r="D1368" s="1" t="s">
        <v>49</v>
      </c>
      <c r="E1368" s="1" t="s">
        <v>204</v>
      </c>
      <c r="F1368" s="1" t="s">
        <v>30</v>
      </c>
      <c r="G1368" s="1" t="s">
        <v>169</v>
      </c>
      <c r="H1368" s="1" t="s">
        <v>175</v>
      </c>
      <c r="I1368" s="1">
        <v>942.31</v>
      </c>
      <c r="J1368" s="1">
        <v>9</v>
      </c>
      <c r="K1368" s="1">
        <v>8480.7900000000009</v>
      </c>
      <c r="L1368" s="1">
        <v>5</v>
      </c>
      <c r="M1368" s="1">
        <v>424.04</v>
      </c>
      <c r="N1368" s="1">
        <v>8056.75</v>
      </c>
      <c r="O1368" s="1" t="s">
        <v>24</v>
      </c>
      <c r="P1368" s="1" t="s">
        <v>1350</v>
      </c>
      <c r="Q1368" s="1">
        <v>5</v>
      </c>
      <c r="R1368" s="1">
        <f>Retail_Sales_Analyis[[#This Row],[Final_Price]]-Retail_Sales_Analyis[[#This Row],[Total_Price]]</f>
        <v>-424.04000000000087</v>
      </c>
      <c r="S13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69" spans="1:19" x14ac:dyDescent="0.25">
      <c r="A1369" s="1" t="s">
        <v>2246</v>
      </c>
      <c r="B1369" s="2">
        <v>45618</v>
      </c>
      <c r="C1369" s="1" t="s">
        <v>18</v>
      </c>
      <c r="D1369" s="1" t="s">
        <v>144</v>
      </c>
      <c r="E1369" s="1" t="s">
        <v>77</v>
      </c>
      <c r="F1369" s="1" t="s">
        <v>37</v>
      </c>
      <c r="G1369" s="1" t="s">
        <v>112</v>
      </c>
      <c r="H1369" s="1" t="s">
        <v>288</v>
      </c>
      <c r="I1369" s="1">
        <v>1983.3</v>
      </c>
      <c r="J1369" s="1">
        <v>4</v>
      </c>
      <c r="K1369" s="1">
        <v>7933.2</v>
      </c>
      <c r="L1369" s="1">
        <v>10</v>
      </c>
      <c r="M1369" s="1">
        <v>793.32</v>
      </c>
      <c r="N1369" s="1">
        <v>7139.88</v>
      </c>
      <c r="O1369" s="1" t="s">
        <v>80</v>
      </c>
      <c r="P1369" s="1" t="s">
        <v>259</v>
      </c>
      <c r="Q1369" s="1">
        <v>3</v>
      </c>
      <c r="R1369" s="1">
        <f>Retail_Sales_Analyis[[#This Row],[Final_Price]]-Retail_Sales_Analyis[[#This Row],[Total_Price]]</f>
        <v>-793.31999999999971</v>
      </c>
      <c r="S13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70" spans="1:19" x14ac:dyDescent="0.25">
      <c r="A1370" s="1" t="s">
        <v>2247</v>
      </c>
      <c r="B1370" s="2">
        <v>45482</v>
      </c>
      <c r="C1370" s="1" t="s">
        <v>195</v>
      </c>
      <c r="D1370" s="1" t="s">
        <v>28</v>
      </c>
      <c r="E1370" s="1" t="s">
        <v>157</v>
      </c>
      <c r="F1370" s="1" t="s">
        <v>69</v>
      </c>
      <c r="G1370" s="1" t="s">
        <v>57</v>
      </c>
      <c r="H1370" s="1" t="s">
        <v>58</v>
      </c>
      <c r="I1370" s="1">
        <v>1770.11</v>
      </c>
      <c r="J1370" s="1">
        <v>6</v>
      </c>
      <c r="K1370" s="1">
        <v>10620.66</v>
      </c>
      <c r="L1370" s="1">
        <v>0</v>
      </c>
      <c r="M1370" s="1">
        <v>0</v>
      </c>
      <c r="N1370" s="1">
        <v>10620.66</v>
      </c>
      <c r="O1370" s="1" t="s">
        <v>80</v>
      </c>
      <c r="P1370" s="1" t="s">
        <v>2175</v>
      </c>
      <c r="Q1370" s="1">
        <v>2</v>
      </c>
      <c r="R1370" s="1">
        <f>Retail_Sales_Analyis[[#This Row],[Final_Price]]-Retail_Sales_Analyis[[#This Row],[Total_Price]]</f>
        <v>0</v>
      </c>
      <c r="S13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1" spans="1:19" x14ac:dyDescent="0.25">
      <c r="A1371" s="1" t="s">
        <v>2248</v>
      </c>
      <c r="B1371" s="2">
        <v>45347</v>
      </c>
      <c r="C1371" s="1" t="s">
        <v>27</v>
      </c>
      <c r="D1371" s="1" t="s">
        <v>49</v>
      </c>
      <c r="E1371" s="1" t="s">
        <v>236</v>
      </c>
      <c r="F1371" s="1" t="s">
        <v>30</v>
      </c>
      <c r="G1371" s="1" t="s">
        <v>78</v>
      </c>
      <c r="H1371" s="1" t="s">
        <v>146</v>
      </c>
      <c r="I1371" s="1">
        <v>575.96</v>
      </c>
      <c r="J1371" s="1">
        <v>1</v>
      </c>
      <c r="K1371" s="1">
        <v>575.96</v>
      </c>
      <c r="L1371" s="1">
        <v>0</v>
      </c>
      <c r="M1371" s="1">
        <v>0</v>
      </c>
      <c r="N1371" s="1">
        <v>575.96</v>
      </c>
      <c r="O1371" s="1" t="s">
        <v>64</v>
      </c>
      <c r="P1371" s="1" t="s">
        <v>2249</v>
      </c>
      <c r="Q1371" s="1">
        <v>3</v>
      </c>
      <c r="R1371" s="1">
        <f>Retail_Sales_Analyis[[#This Row],[Final_Price]]-Retail_Sales_Analyis[[#This Row],[Total_Price]]</f>
        <v>0</v>
      </c>
      <c r="S13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2" spans="1:19" x14ac:dyDescent="0.25">
      <c r="A1372" s="1" t="s">
        <v>2250</v>
      </c>
      <c r="B1372" s="2">
        <v>45637</v>
      </c>
      <c r="C1372" s="1" t="s">
        <v>73</v>
      </c>
      <c r="D1372" s="1" t="s">
        <v>55</v>
      </c>
      <c r="E1372" s="1" t="s">
        <v>542</v>
      </c>
      <c r="F1372" s="1" t="s">
        <v>30</v>
      </c>
      <c r="G1372" s="1" t="s">
        <v>38</v>
      </c>
      <c r="H1372" s="1" t="s">
        <v>108</v>
      </c>
      <c r="I1372" s="1">
        <v>213.3</v>
      </c>
      <c r="J1372" s="1">
        <v>7</v>
      </c>
      <c r="K1372" s="1">
        <v>1493.1</v>
      </c>
      <c r="L1372" s="1">
        <v>0</v>
      </c>
      <c r="M1372" s="1">
        <v>0</v>
      </c>
      <c r="N1372" s="1">
        <v>1493.1</v>
      </c>
      <c r="O1372" s="1" t="s">
        <v>64</v>
      </c>
      <c r="P1372" s="1" t="s">
        <v>1117</v>
      </c>
      <c r="Q1372" s="1">
        <v>3</v>
      </c>
      <c r="R1372" s="1">
        <f>Retail_Sales_Analyis[[#This Row],[Final_Price]]-Retail_Sales_Analyis[[#This Row],[Total_Price]]</f>
        <v>0</v>
      </c>
      <c r="S13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3" spans="1:19" x14ac:dyDescent="0.25">
      <c r="A1373" s="1" t="s">
        <v>2251</v>
      </c>
      <c r="B1373" s="2">
        <v>45411</v>
      </c>
      <c r="C1373" s="1" t="s">
        <v>54</v>
      </c>
      <c r="D1373" s="1" t="s">
        <v>43</v>
      </c>
      <c r="E1373" s="1" t="s">
        <v>192</v>
      </c>
      <c r="F1373" s="1" t="s">
        <v>30</v>
      </c>
      <c r="G1373" s="1" t="s">
        <v>169</v>
      </c>
      <c r="H1373" s="1" t="s">
        <v>208</v>
      </c>
      <c r="I1373" s="1">
        <v>1479.38</v>
      </c>
      <c r="J1373" s="1">
        <v>2</v>
      </c>
      <c r="K1373" s="1">
        <v>2958.76</v>
      </c>
      <c r="L1373" s="1">
        <v>20</v>
      </c>
      <c r="M1373" s="1">
        <v>591.75</v>
      </c>
      <c r="N1373" s="1">
        <v>2367.0100000000002</v>
      </c>
      <c r="O1373" s="1" t="s">
        <v>24</v>
      </c>
      <c r="P1373" s="1" t="s">
        <v>1375</v>
      </c>
      <c r="Q1373" s="1">
        <v>2</v>
      </c>
      <c r="R1373" s="1">
        <f>Retail_Sales_Analyis[[#This Row],[Final_Price]]-Retail_Sales_Analyis[[#This Row],[Total_Price]]</f>
        <v>-591.75</v>
      </c>
      <c r="S13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74" spans="1:19" x14ac:dyDescent="0.25">
      <c r="A1374" s="1" t="s">
        <v>2252</v>
      </c>
      <c r="B1374" s="2">
        <v>45533</v>
      </c>
      <c r="C1374" s="1" t="s">
        <v>93</v>
      </c>
      <c r="D1374" s="1" t="s">
        <v>67</v>
      </c>
      <c r="E1374" s="1" t="s">
        <v>56</v>
      </c>
      <c r="F1374" s="1" t="s">
        <v>84</v>
      </c>
      <c r="G1374" s="1" t="s">
        <v>85</v>
      </c>
      <c r="H1374" s="1" t="s">
        <v>297</v>
      </c>
      <c r="I1374" s="1">
        <v>4059.6</v>
      </c>
      <c r="J1374" s="1">
        <v>6</v>
      </c>
      <c r="K1374" s="1">
        <v>24357.599999999999</v>
      </c>
      <c r="L1374" s="1">
        <v>0</v>
      </c>
      <c r="M1374" s="1">
        <v>0</v>
      </c>
      <c r="N1374" s="1">
        <v>24357.599999999999</v>
      </c>
      <c r="O1374" s="1" t="s">
        <v>80</v>
      </c>
      <c r="P1374" s="1" t="s">
        <v>1405</v>
      </c>
      <c r="Q1374" s="1">
        <v>5</v>
      </c>
      <c r="R1374" s="1">
        <f>Retail_Sales_Analyis[[#This Row],[Final_Price]]-Retail_Sales_Analyis[[#This Row],[Total_Price]]</f>
        <v>0</v>
      </c>
      <c r="S13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5" spans="1:19" x14ac:dyDescent="0.25">
      <c r="A1375" s="1" t="s">
        <v>2253</v>
      </c>
      <c r="B1375" s="2">
        <v>45304</v>
      </c>
      <c r="C1375" s="1" t="s">
        <v>36</v>
      </c>
      <c r="D1375" s="1" t="s">
        <v>19</v>
      </c>
      <c r="E1375" s="1" t="s">
        <v>129</v>
      </c>
      <c r="F1375" s="1" t="s">
        <v>69</v>
      </c>
      <c r="G1375" s="1" t="s">
        <v>31</v>
      </c>
      <c r="H1375" s="1" t="s">
        <v>45</v>
      </c>
      <c r="I1375" s="1">
        <v>175.24</v>
      </c>
      <c r="J1375" s="1">
        <v>2</v>
      </c>
      <c r="K1375" s="1">
        <v>350.48</v>
      </c>
      <c r="L1375" s="1">
        <v>0</v>
      </c>
      <c r="M1375" s="1">
        <v>0</v>
      </c>
      <c r="N1375" s="1">
        <v>350.48</v>
      </c>
      <c r="O1375" s="1" t="s">
        <v>24</v>
      </c>
      <c r="P1375" s="1" t="s">
        <v>1389</v>
      </c>
      <c r="Q1375" s="1">
        <v>3</v>
      </c>
      <c r="R1375" s="1">
        <f>Retail_Sales_Analyis[[#This Row],[Final_Price]]-Retail_Sales_Analyis[[#This Row],[Total_Price]]</f>
        <v>0</v>
      </c>
      <c r="S13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6" spans="1:19" x14ac:dyDescent="0.25">
      <c r="A1376" s="1" t="s">
        <v>2254</v>
      </c>
      <c r="B1376" s="2">
        <v>45609</v>
      </c>
      <c r="C1376" s="1" t="s">
        <v>18</v>
      </c>
      <c r="D1376" s="1" t="s">
        <v>55</v>
      </c>
      <c r="E1376" s="1" t="s">
        <v>236</v>
      </c>
      <c r="F1376" s="1" t="s">
        <v>21</v>
      </c>
      <c r="G1376" s="1" t="s">
        <v>57</v>
      </c>
      <c r="H1376" s="1" t="s">
        <v>122</v>
      </c>
      <c r="I1376" s="1">
        <v>2845.83</v>
      </c>
      <c r="J1376" s="1">
        <v>1</v>
      </c>
      <c r="K1376" s="1">
        <v>2845.83</v>
      </c>
      <c r="L1376" s="1">
        <v>10</v>
      </c>
      <c r="M1376" s="1">
        <v>284.58</v>
      </c>
      <c r="N1376" s="1">
        <v>2561.25</v>
      </c>
      <c r="O1376" s="1" t="s">
        <v>24</v>
      </c>
      <c r="P1376" s="1" t="s">
        <v>1798</v>
      </c>
      <c r="Q1376" s="1">
        <v>1</v>
      </c>
      <c r="R1376" s="1">
        <f>Retail_Sales_Analyis[[#This Row],[Final_Price]]-Retail_Sales_Analyis[[#This Row],[Total_Price]]</f>
        <v>-284.57999999999993</v>
      </c>
      <c r="S13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77" spans="1:19" x14ac:dyDescent="0.25">
      <c r="A1377" s="1" t="s">
        <v>2255</v>
      </c>
      <c r="B1377" s="2">
        <v>45579</v>
      </c>
      <c r="C1377" s="1" t="s">
        <v>76</v>
      </c>
      <c r="D1377" s="1" t="s">
        <v>43</v>
      </c>
      <c r="E1377" s="1" t="s">
        <v>337</v>
      </c>
      <c r="F1377" s="1" t="s">
        <v>30</v>
      </c>
      <c r="G1377" s="1" t="s">
        <v>85</v>
      </c>
      <c r="H1377" s="1" t="s">
        <v>90</v>
      </c>
      <c r="I1377" s="1">
        <v>4260.87</v>
      </c>
      <c r="J1377" s="1">
        <v>9</v>
      </c>
      <c r="K1377" s="1">
        <v>38347.83</v>
      </c>
      <c r="L1377" s="1">
        <v>0</v>
      </c>
      <c r="M1377" s="1">
        <v>0</v>
      </c>
      <c r="N1377" s="1">
        <v>38347.83</v>
      </c>
      <c r="O1377" s="1" t="s">
        <v>33</v>
      </c>
      <c r="P1377" s="1" t="s">
        <v>2256</v>
      </c>
      <c r="Q1377" s="1">
        <v>3</v>
      </c>
      <c r="R1377" s="1">
        <f>Retail_Sales_Analyis[[#This Row],[Final_Price]]-Retail_Sales_Analyis[[#This Row],[Total_Price]]</f>
        <v>0</v>
      </c>
      <c r="S13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78" spans="1:19" x14ac:dyDescent="0.25">
      <c r="A1378" s="1" t="s">
        <v>2257</v>
      </c>
      <c r="B1378" s="2">
        <v>45459</v>
      </c>
      <c r="C1378" s="1" t="s">
        <v>173</v>
      </c>
      <c r="D1378" s="1" t="s">
        <v>49</v>
      </c>
      <c r="E1378" s="1" t="s">
        <v>236</v>
      </c>
      <c r="F1378" s="1" t="s">
        <v>21</v>
      </c>
      <c r="G1378" s="1" t="s">
        <v>22</v>
      </c>
      <c r="H1378" s="1" t="s">
        <v>51</v>
      </c>
      <c r="I1378" s="1">
        <v>282.86</v>
      </c>
      <c r="J1378" s="1">
        <v>9</v>
      </c>
      <c r="K1378" s="1">
        <v>2545.7399999999998</v>
      </c>
      <c r="L1378" s="1">
        <v>20</v>
      </c>
      <c r="M1378" s="1">
        <v>509.15</v>
      </c>
      <c r="N1378" s="1">
        <v>2036.59</v>
      </c>
      <c r="O1378" s="1" t="s">
        <v>33</v>
      </c>
      <c r="P1378" s="1" t="s">
        <v>2258</v>
      </c>
      <c r="Q1378" s="1">
        <v>2</v>
      </c>
      <c r="R1378" s="1">
        <f>Retail_Sales_Analyis[[#This Row],[Final_Price]]-Retail_Sales_Analyis[[#This Row],[Total_Price]]</f>
        <v>-509.14999999999986</v>
      </c>
      <c r="S13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79" spans="1:19" x14ac:dyDescent="0.25">
      <c r="A1379" s="1" t="s">
        <v>2259</v>
      </c>
      <c r="B1379" s="2">
        <v>45604</v>
      </c>
      <c r="C1379" s="1" t="s">
        <v>18</v>
      </c>
      <c r="D1379" s="1" t="s">
        <v>144</v>
      </c>
      <c r="E1379" s="1" t="s">
        <v>163</v>
      </c>
      <c r="F1379" s="1" t="s">
        <v>69</v>
      </c>
      <c r="G1379" s="1" t="s">
        <v>31</v>
      </c>
      <c r="H1379" s="1" t="s">
        <v>45</v>
      </c>
      <c r="I1379" s="1">
        <v>386.48</v>
      </c>
      <c r="J1379" s="1">
        <v>2</v>
      </c>
      <c r="K1379" s="1">
        <v>772.96</v>
      </c>
      <c r="L1379" s="1">
        <v>15</v>
      </c>
      <c r="M1379" s="1">
        <v>115.94</v>
      </c>
      <c r="N1379" s="1">
        <v>657.02</v>
      </c>
      <c r="O1379" s="1" t="s">
        <v>64</v>
      </c>
      <c r="P1379" s="1" t="s">
        <v>1544</v>
      </c>
      <c r="Q1379" s="1">
        <v>4</v>
      </c>
      <c r="R1379" s="1">
        <f>Retail_Sales_Analyis[[#This Row],[Final_Price]]-Retail_Sales_Analyis[[#This Row],[Total_Price]]</f>
        <v>-115.94000000000005</v>
      </c>
      <c r="S13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80" spans="1:19" x14ac:dyDescent="0.25">
      <c r="A1380" s="1" t="s">
        <v>2260</v>
      </c>
      <c r="B1380" s="2">
        <v>45405</v>
      </c>
      <c r="C1380" s="1" t="s">
        <v>54</v>
      </c>
      <c r="D1380" s="1" t="s">
        <v>28</v>
      </c>
      <c r="E1380" s="1" t="s">
        <v>157</v>
      </c>
      <c r="F1380" s="1" t="s">
        <v>84</v>
      </c>
      <c r="G1380" s="1" t="s">
        <v>78</v>
      </c>
      <c r="H1380" s="1" t="s">
        <v>323</v>
      </c>
      <c r="I1380" s="1">
        <v>239.6</v>
      </c>
      <c r="J1380" s="1">
        <v>1</v>
      </c>
      <c r="K1380" s="1">
        <v>239.6</v>
      </c>
      <c r="L1380" s="1">
        <v>0</v>
      </c>
      <c r="M1380" s="1">
        <v>0</v>
      </c>
      <c r="N1380" s="1">
        <v>239.6</v>
      </c>
      <c r="O1380" s="1" t="s">
        <v>33</v>
      </c>
      <c r="P1380" s="1" t="s">
        <v>2261</v>
      </c>
      <c r="Q1380" s="1">
        <v>2</v>
      </c>
      <c r="R1380" s="1">
        <f>Retail_Sales_Analyis[[#This Row],[Final_Price]]-Retail_Sales_Analyis[[#This Row],[Total_Price]]</f>
        <v>0</v>
      </c>
      <c r="S13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81" spans="1:19" x14ac:dyDescent="0.25">
      <c r="A1381" s="1" t="s">
        <v>2262</v>
      </c>
      <c r="B1381" s="2">
        <v>45623</v>
      </c>
      <c r="C1381" s="1" t="s">
        <v>18</v>
      </c>
      <c r="D1381" s="1" t="s">
        <v>55</v>
      </c>
      <c r="E1381" s="1" t="s">
        <v>56</v>
      </c>
      <c r="F1381" s="1" t="s">
        <v>37</v>
      </c>
      <c r="G1381" s="1" t="s">
        <v>112</v>
      </c>
      <c r="H1381" s="1" t="s">
        <v>118</v>
      </c>
      <c r="I1381" s="1">
        <v>1473.08</v>
      </c>
      <c r="J1381" s="1">
        <v>7</v>
      </c>
      <c r="K1381" s="1">
        <v>10311.56</v>
      </c>
      <c r="L1381" s="1">
        <v>15</v>
      </c>
      <c r="M1381" s="1">
        <v>1546.73</v>
      </c>
      <c r="N1381" s="1">
        <v>8764.83</v>
      </c>
      <c r="O1381" s="1" t="s">
        <v>24</v>
      </c>
      <c r="P1381" s="1" t="s">
        <v>200</v>
      </c>
      <c r="Q1381" s="1">
        <v>3</v>
      </c>
      <c r="R1381" s="1">
        <f>Retail_Sales_Analyis[[#This Row],[Final_Price]]-Retail_Sales_Analyis[[#This Row],[Total_Price]]</f>
        <v>-1546.7299999999996</v>
      </c>
      <c r="S13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82" spans="1:19" x14ac:dyDescent="0.25">
      <c r="A1382" s="1" t="s">
        <v>2263</v>
      </c>
      <c r="B1382" s="2">
        <v>45324</v>
      </c>
      <c r="C1382" s="1" t="s">
        <v>27</v>
      </c>
      <c r="D1382" s="1" t="s">
        <v>144</v>
      </c>
      <c r="E1382" s="1" t="s">
        <v>44</v>
      </c>
      <c r="F1382" s="1" t="s">
        <v>84</v>
      </c>
      <c r="G1382" s="1" t="s">
        <v>169</v>
      </c>
      <c r="H1382" s="1" t="s">
        <v>170</v>
      </c>
      <c r="I1382" s="1">
        <v>924.62</v>
      </c>
      <c r="J1382" s="1">
        <v>2</v>
      </c>
      <c r="K1382" s="1">
        <v>1849.24</v>
      </c>
      <c r="L1382" s="1">
        <v>10</v>
      </c>
      <c r="M1382" s="1">
        <v>184.92</v>
      </c>
      <c r="N1382" s="1">
        <v>1664.32</v>
      </c>
      <c r="O1382" s="1" t="s">
        <v>64</v>
      </c>
      <c r="P1382" s="1" t="s">
        <v>1301</v>
      </c>
      <c r="Q1382" s="1">
        <v>4</v>
      </c>
      <c r="R1382" s="1">
        <f>Retail_Sales_Analyis[[#This Row],[Final_Price]]-Retail_Sales_Analyis[[#This Row],[Total_Price]]</f>
        <v>-184.92000000000007</v>
      </c>
      <c r="S13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83" spans="1:19" x14ac:dyDescent="0.25">
      <c r="A1383" s="1" t="s">
        <v>2264</v>
      </c>
      <c r="B1383" s="2">
        <v>45617</v>
      </c>
      <c r="C1383" s="1" t="s">
        <v>18</v>
      </c>
      <c r="D1383" s="1" t="s">
        <v>67</v>
      </c>
      <c r="E1383" s="1" t="s">
        <v>351</v>
      </c>
      <c r="F1383" s="1" t="s">
        <v>84</v>
      </c>
      <c r="G1383" s="1" t="s">
        <v>78</v>
      </c>
      <c r="H1383" s="1" t="s">
        <v>79</v>
      </c>
      <c r="I1383" s="1">
        <v>431.23</v>
      </c>
      <c r="J1383" s="1">
        <v>1</v>
      </c>
      <c r="K1383" s="1">
        <v>431.23</v>
      </c>
      <c r="L1383" s="1">
        <v>20</v>
      </c>
      <c r="M1383" s="1">
        <v>86.25</v>
      </c>
      <c r="N1383" s="1">
        <v>344.98</v>
      </c>
      <c r="O1383" s="1" t="s">
        <v>46</v>
      </c>
      <c r="P1383" s="1" t="s">
        <v>1219</v>
      </c>
      <c r="Q1383" s="1">
        <v>2</v>
      </c>
      <c r="R1383" s="1">
        <f>Retail_Sales_Analyis[[#This Row],[Final_Price]]-Retail_Sales_Analyis[[#This Row],[Total_Price]]</f>
        <v>-86.25</v>
      </c>
      <c r="S13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84" spans="1:19" x14ac:dyDescent="0.25">
      <c r="A1384" s="1" t="s">
        <v>2265</v>
      </c>
      <c r="B1384" s="2">
        <v>45529</v>
      </c>
      <c r="C1384" s="1" t="s">
        <v>93</v>
      </c>
      <c r="D1384" s="1" t="s">
        <v>49</v>
      </c>
      <c r="E1384" s="1" t="s">
        <v>168</v>
      </c>
      <c r="F1384" s="1" t="s">
        <v>30</v>
      </c>
      <c r="G1384" s="1" t="s">
        <v>22</v>
      </c>
      <c r="H1384" s="1" t="s">
        <v>277</v>
      </c>
      <c r="I1384" s="1">
        <v>231.15</v>
      </c>
      <c r="J1384" s="1">
        <v>2</v>
      </c>
      <c r="K1384" s="1">
        <v>462.3</v>
      </c>
      <c r="L1384" s="1">
        <v>0</v>
      </c>
      <c r="M1384" s="1">
        <v>0</v>
      </c>
      <c r="N1384" s="1">
        <v>462.3</v>
      </c>
      <c r="O1384" s="1" t="s">
        <v>46</v>
      </c>
      <c r="P1384" s="1" t="s">
        <v>896</v>
      </c>
      <c r="Q1384" s="1">
        <v>2</v>
      </c>
      <c r="R1384" s="1">
        <f>Retail_Sales_Analyis[[#This Row],[Final_Price]]-Retail_Sales_Analyis[[#This Row],[Total_Price]]</f>
        <v>0</v>
      </c>
      <c r="S13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85" spans="1:19" x14ac:dyDescent="0.25">
      <c r="A1385" s="1" t="s">
        <v>2266</v>
      </c>
      <c r="B1385" s="2">
        <v>45650</v>
      </c>
      <c r="C1385" s="1" t="s">
        <v>73</v>
      </c>
      <c r="D1385" s="1" t="s">
        <v>28</v>
      </c>
      <c r="E1385" s="1" t="s">
        <v>192</v>
      </c>
      <c r="F1385" s="1" t="s">
        <v>69</v>
      </c>
      <c r="G1385" s="1" t="s">
        <v>22</v>
      </c>
      <c r="H1385" s="1" t="s">
        <v>23</v>
      </c>
      <c r="I1385" s="1">
        <v>424.53</v>
      </c>
      <c r="J1385" s="1">
        <v>7</v>
      </c>
      <c r="K1385" s="1">
        <v>2971.71</v>
      </c>
      <c r="L1385" s="1">
        <v>0</v>
      </c>
      <c r="M1385" s="1">
        <v>0</v>
      </c>
      <c r="N1385" s="1">
        <v>2971.71</v>
      </c>
      <c r="O1385" s="1" t="s">
        <v>80</v>
      </c>
      <c r="P1385" s="1" t="s">
        <v>513</v>
      </c>
      <c r="Q1385" s="1">
        <v>3</v>
      </c>
      <c r="R1385" s="1">
        <f>Retail_Sales_Analyis[[#This Row],[Final_Price]]-Retail_Sales_Analyis[[#This Row],[Total_Price]]</f>
        <v>0</v>
      </c>
      <c r="S13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86" spans="1:19" x14ac:dyDescent="0.25">
      <c r="A1386" s="1" t="s">
        <v>2267</v>
      </c>
      <c r="B1386" s="2">
        <v>45446</v>
      </c>
      <c r="C1386" s="1" t="s">
        <v>173</v>
      </c>
      <c r="D1386" s="1" t="s">
        <v>43</v>
      </c>
      <c r="E1386" s="1" t="s">
        <v>68</v>
      </c>
      <c r="F1386" s="1" t="s">
        <v>84</v>
      </c>
      <c r="G1386" s="1" t="s">
        <v>38</v>
      </c>
      <c r="H1386" s="1" t="s">
        <v>108</v>
      </c>
      <c r="I1386" s="1">
        <v>115.91</v>
      </c>
      <c r="J1386" s="1">
        <v>5</v>
      </c>
      <c r="K1386" s="1">
        <v>579.54999999999995</v>
      </c>
      <c r="L1386" s="1">
        <v>0</v>
      </c>
      <c r="M1386" s="1">
        <v>0</v>
      </c>
      <c r="N1386" s="1">
        <v>579.54999999999995</v>
      </c>
      <c r="O1386" s="1" t="s">
        <v>64</v>
      </c>
      <c r="P1386" s="1" t="s">
        <v>2268</v>
      </c>
      <c r="Q1386" s="1">
        <v>1</v>
      </c>
      <c r="R1386" s="1">
        <f>Retail_Sales_Analyis[[#This Row],[Final_Price]]-Retail_Sales_Analyis[[#This Row],[Total_Price]]</f>
        <v>0</v>
      </c>
      <c r="S13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87" spans="1:19" x14ac:dyDescent="0.25">
      <c r="A1387" s="1" t="s">
        <v>2269</v>
      </c>
      <c r="B1387" s="2">
        <v>45624</v>
      </c>
      <c r="C1387" s="1" t="s">
        <v>18</v>
      </c>
      <c r="D1387" s="1" t="s">
        <v>67</v>
      </c>
      <c r="E1387" s="1" t="s">
        <v>322</v>
      </c>
      <c r="F1387" s="1" t="s">
        <v>21</v>
      </c>
      <c r="G1387" s="1" t="s">
        <v>169</v>
      </c>
      <c r="H1387" s="1" t="s">
        <v>175</v>
      </c>
      <c r="I1387" s="1">
        <v>436.05</v>
      </c>
      <c r="J1387" s="1">
        <v>5</v>
      </c>
      <c r="K1387" s="1">
        <v>2180.25</v>
      </c>
      <c r="L1387" s="1">
        <v>20</v>
      </c>
      <c r="M1387" s="1">
        <v>436.05</v>
      </c>
      <c r="N1387" s="1">
        <v>1744.2</v>
      </c>
      <c r="O1387" s="1" t="s">
        <v>46</v>
      </c>
      <c r="P1387" s="1" t="s">
        <v>1212</v>
      </c>
      <c r="Q1387" s="1">
        <v>3</v>
      </c>
      <c r="R1387" s="1">
        <f>Retail_Sales_Analyis[[#This Row],[Final_Price]]-Retail_Sales_Analyis[[#This Row],[Total_Price]]</f>
        <v>-436.04999999999995</v>
      </c>
      <c r="S13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388" spans="1:19" x14ac:dyDescent="0.25">
      <c r="A1388" s="1" t="s">
        <v>2270</v>
      </c>
      <c r="B1388" s="2">
        <v>45501</v>
      </c>
      <c r="C1388" s="1" t="s">
        <v>195</v>
      </c>
      <c r="D1388" s="1" t="s">
        <v>49</v>
      </c>
      <c r="E1388" s="1" t="s">
        <v>174</v>
      </c>
      <c r="F1388" s="1" t="s">
        <v>84</v>
      </c>
      <c r="G1388" s="1" t="s">
        <v>57</v>
      </c>
      <c r="H1388" s="1" t="s">
        <v>122</v>
      </c>
      <c r="I1388" s="1">
        <v>2441.04</v>
      </c>
      <c r="J1388" s="1">
        <v>4</v>
      </c>
      <c r="K1388" s="1">
        <v>9764.16</v>
      </c>
      <c r="L1388" s="1">
        <v>0</v>
      </c>
      <c r="M1388" s="1">
        <v>0</v>
      </c>
      <c r="N1388" s="1">
        <v>9764.16</v>
      </c>
      <c r="O1388" s="1" t="s">
        <v>46</v>
      </c>
      <c r="P1388" s="1" t="s">
        <v>2271</v>
      </c>
      <c r="Q1388" s="1">
        <v>3</v>
      </c>
      <c r="R1388" s="1">
        <f>Retail_Sales_Analyis[[#This Row],[Final_Price]]-Retail_Sales_Analyis[[#This Row],[Total_Price]]</f>
        <v>0</v>
      </c>
      <c r="S13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89" spans="1:19" x14ac:dyDescent="0.25">
      <c r="A1389" s="1" t="s">
        <v>2272</v>
      </c>
      <c r="B1389" s="2">
        <v>45351</v>
      </c>
      <c r="C1389" s="1" t="s">
        <v>27</v>
      </c>
      <c r="D1389" s="1" t="s">
        <v>67</v>
      </c>
      <c r="E1389" s="1" t="s">
        <v>542</v>
      </c>
      <c r="F1389" s="1" t="s">
        <v>69</v>
      </c>
      <c r="G1389" s="1" t="s">
        <v>169</v>
      </c>
      <c r="H1389" s="1" t="s">
        <v>170</v>
      </c>
      <c r="I1389" s="1">
        <v>1422.25</v>
      </c>
      <c r="J1389" s="1">
        <v>9</v>
      </c>
      <c r="K1389" s="1">
        <v>12800.25</v>
      </c>
      <c r="L1389" s="1">
        <v>0</v>
      </c>
      <c r="M1389" s="1">
        <v>0</v>
      </c>
      <c r="N1389" s="1">
        <v>12800.25</v>
      </c>
      <c r="O1389" s="1" t="s">
        <v>80</v>
      </c>
      <c r="P1389" s="1" t="s">
        <v>1022</v>
      </c>
      <c r="Q1389" s="1">
        <v>3</v>
      </c>
      <c r="R1389" s="1">
        <f>Retail_Sales_Analyis[[#This Row],[Final_Price]]-Retail_Sales_Analyis[[#This Row],[Total_Price]]</f>
        <v>0</v>
      </c>
      <c r="S13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0" spans="1:19" x14ac:dyDescent="0.25">
      <c r="A1390" s="1" t="s">
        <v>2273</v>
      </c>
      <c r="B1390" s="2">
        <v>45363</v>
      </c>
      <c r="C1390" s="1" t="s">
        <v>61</v>
      </c>
      <c r="D1390" s="1" t="s">
        <v>28</v>
      </c>
      <c r="E1390" s="1" t="s">
        <v>117</v>
      </c>
      <c r="F1390" s="1" t="s">
        <v>37</v>
      </c>
      <c r="G1390" s="1" t="s">
        <v>112</v>
      </c>
      <c r="H1390" s="1" t="s">
        <v>118</v>
      </c>
      <c r="I1390" s="1">
        <v>1878.26</v>
      </c>
      <c r="J1390" s="1">
        <v>7</v>
      </c>
      <c r="K1390" s="1">
        <v>13147.82</v>
      </c>
      <c r="L1390" s="1">
        <v>0</v>
      </c>
      <c r="M1390" s="1">
        <v>0</v>
      </c>
      <c r="N1390" s="1">
        <v>13147.82</v>
      </c>
      <c r="O1390" s="1" t="s">
        <v>46</v>
      </c>
      <c r="P1390" s="1" t="s">
        <v>2274</v>
      </c>
      <c r="Q1390" s="1">
        <v>3</v>
      </c>
      <c r="R1390" s="1">
        <f>Retail_Sales_Analyis[[#This Row],[Final_Price]]-Retail_Sales_Analyis[[#This Row],[Total_Price]]</f>
        <v>0</v>
      </c>
      <c r="S13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1" spans="1:19" x14ac:dyDescent="0.25">
      <c r="A1391" s="1" t="s">
        <v>2275</v>
      </c>
      <c r="B1391" s="2">
        <v>45315</v>
      </c>
      <c r="C1391" s="1" t="s">
        <v>36</v>
      </c>
      <c r="D1391" s="1" t="s">
        <v>55</v>
      </c>
      <c r="E1391" s="1" t="s">
        <v>342</v>
      </c>
      <c r="F1391" s="1" t="s">
        <v>69</v>
      </c>
      <c r="G1391" s="1" t="s">
        <v>169</v>
      </c>
      <c r="H1391" s="1" t="s">
        <v>208</v>
      </c>
      <c r="I1391" s="1">
        <v>1438.78</v>
      </c>
      <c r="J1391" s="1">
        <v>10</v>
      </c>
      <c r="K1391" s="1">
        <v>14387.8</v>
      </c>
      <c r="L1391" s="1">
        <v>0</v>
      </c>
      <c r="M1391" s="1">
        <v>0</v>
      </c>
      <c r="N1391" s="1">
        <v>14387.8</v>
      </c>
      <c r="O1391" s="1" t="s">
        <v>24</v>
      </c>
      <c r="P1391" s="1" t="s">
        <v>358</v>
      </c>
      <c r="Q1391" s="1">
        <v>4</v>
      </c>
      <c r="R1391" s="1">
        <f>Retail_Sales_Analyis[[#This Row],[Final_Price]]-Retail_Sales_Analyis[[#This Row],[Total_Price]]</f>
        <v>0</v>
      </c>
      <c r="S13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2" spans="1:19" x14ac:dyDescent="0.25">
      <c r="A1392" s="1" t="s">
        <v>2276</v>
      </c>
      <c r="B1392" s="2">
        <v>45311</v>
      </c>
      <c r="C1392" s="1" t="s">
        <v>36</v>
      </c>
      <c r="D1392" s="1" t="s">
        <v>19</v>
      </c>
      <c r="E1392" s="1" t="s">
        <v>29</v>
      </c>
      <c r="F1392" s="1" t="s">
        <v>37</v>
      </c>
      <c r="G1392" s="1" t="s">
        <v>78</v>
      </c>
      <c r="H1392" s="1" t="s">
        <v>136</v>
      </c>
      <c r="I1392" s="1">
        <v>393.88</v>
      </c>
      <c r="J1392" s="1">
        <v>5</v>
      </c>
      <c r="K1392" s="1">
        <v>1969.4</v>
      </c>
      <c r="L1392" s="1">
        <v>0</v>
      </c>
      <c r="M1392" s="1">
        <v>0</v>
      </c>
      <c r="N1392" s="1">
        <v>1969.4</v>
      </c>
      <c r="O1392" s="1" t="s">
        <v>80</v>
      </c>
      <c r="P1392" s="1" t="s">
        <v>2277</v>
      </c>
      <c r="Q1392" s="1">
        <v>5</v>
      </c>
      <c r="R1392" s="1">
        <f>Retail_Sales_Analyis[[#This Row],[Final_Price]]-Retail_Sales_Analyis[[#This Row],[Total_Price]]</f>
        <v>0</v>
      </c>
      <c r="S13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3" spans="1:19" x14ac:dyDescent="0.25">
      <c r="A1393" s="1" t="s">
        <v>2278</v>
      </c>
      <c r="B1393" s="2">
        <v>45447</v>
      </c>
      <c r="C1393" s="1" t="s">
        <v>173</v>
      </c>
      <c r="D1393" s="1" t="s">
        <v>28</v>
      </c>
      <c r="E1393" s="1" t="s">
        <v>83</v>
      </c>
      <c r="F1393" s="1" t="s">
        <v>21</v>
      </c>
      <c r="G1393" s="1" t="s">
        <v>85</v>
      </c>
      <c r="H1393" s="1" t="s">
        <v>98</v>
      </c>
      <c r="I1393" s="1">
        <v>3593.94</v>
      </c>
      <c r="J1393" s="1">
        <v>10</v>
      </c>
      <c r="K1393" s="1">
        <v>35939.4</v>
      </c>
      <c r="L1393" s="1">
        <v>15</v>
      </c>
      <c r="M1393" s="1">
        <v>5390.91</v>
      </c>
      <c r="N1393" s="1">
        <v>30548.49</v>
      </c>
      <c r="O1393" s="1" t="s">
        <v>24</v>
      </c>
      <c r="P1393" s="1" t="s">
        <v>1006</v>
      </c>
      <c r="Q1393" s="1">
        <v>1</v>
      </c>
      <c r="R1393" s="1">
        <f>Retail_Sales_Analyis[[#This Row],[Final_Price]]-Retail_Sales_Analyis[[#This Row],[Total_Price]]</f>
        <v>-5390.91</v>
      </c>
      <c r="S13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94" spans="1:19" x14ac:dyDescent="0.25">
      <c r="A1394" s="1" t="s">
        <v>2279</v>
      </c>
      <c r="B1394" s="2">
        <v>45544</v>
      </c>
      <c r="C1394" s="1" t="s">
        <v>116</v>
      </c>
      <c r="D1394" s="1" t="s">
        <v>43</v>
      </c>
      <c r="E1394" s="1" t="s">
        <v>285</v>
      </c>
      <c r="F1394" s="1" t="s">
        <v>84</v>
      </c>
      <c r="G1394" s="1" t="s">
        <v>85</v>
      </c>
      <c r="H1394" s="1" t="s">
        <v>98</v>
      </c>
      <c r="I1394" s="1">
        <v>3951.45</v>
      </c>
      <c r="J1394" s="1">
        <v>9</v>
      </c>
      <c r="K1394" s="1">
        <v>35563.050000000003</v>
      </c>
      <c r="L1394" s="1">
        <v>0</v>
      </c>
      <c r="M1394" s="1">
        <v>0</v>
      </c>
      <c r="N1394" s="1">
        <v>35563.050000000003</v>
      </c>
      <c r="O1394" s="1" t="s">
        <v>33</v>
      </c>
      <c r="P1394" s="1" t="s">
        <v>1320</v>
      </c>
      <c r="Q1394" s="1">
        <v>1</v>
      </c>
      <c r="R1394" s="1">
        <f>Retail_Sales_Analyis[[#This Row],[Final_Price]]-Retail_Sales_Analyis[[#This Row],[Total_Price]]</f>
        <v>0</v>
      </c>
      <c r="S13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5" spans="1:19" x14ac:dyDescent="0.25">
      <c r="A1395" s="1" t="s">
        <v>2280</v>
      </c>
      <c r="B1395" s="2">
        <v>45351</v>
      </c>
      <c r="C1395" s="1" t="s">
        <v>27</v>
      </c>
      <c r="D1395" s="1" t="s">
        <v>67</v>
      </c>
      <c r="E1395" s="1" t="s">
        <v>111</v>
      </c>
      <c r="F1395" s="1" t="s">
        <v>69</v>
      </c>
      <c r="G1395" s="1" t="s">
        <v>38</v>
      </c>
      <c r="H1395" s="1" t="s">
        <v>70</v>
      </c>
      <c r="I1395" s="1">
        <v>656.26</v>
      </c>
      <c r="J1395" s="1">
        <v>4</v>
      </c>
      <c r="K1395" s="1">
        <v>2625.04</v>
      </c>
      <c r="L1395" s="1">
        <v>5</v>
      </c>
      <c r="M1395" s="1">
        <v>131.25</v>
      </c>
      <c r="N1395" s="1">
        <v>2493.79</v>
      </c>
      <c r="O1395" s="1" t="s">
        <v>80</v>
      </c>
      <c r="P1395" s="1" t="s">
        <v>184</v>
      </c>
      <c r="Q1395" s="1">
        <v>2</v>
      </c>
      <c r="R1395" s="1">
        <f>Retail_Sales_Analyis[[#This Row],[Final_Price]]-Retail_Sales_Analyis[[#This Row],[Total_Price]]</f>
        <v>-131.25</v>
      </c>
      <c r="S13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396" spans="1:19" x14ac:dyDescent="0.25">
      <c r="A1396" s="1" t="s">
        <v>2281</v>
      </c>
      <c r="B1396" s="2">
        <v>45341</v>
      </c>
      <c r="C1396" s="1" t="s">
        <v>27</v>
      </c>
      <c r="D1396" s="1" t="s">
        <v>43</v>
      </c>
      <c r="E1396" s="1" t="s">
        <v>132</v>
      </c>
      <c r="F1396" s="1" t="s">
        <v>69</v>
      </c>
      <c r="G1396" s="1" t="s">
        <v>22</v>
      </c>
      <c r="H1396" s="1" t="s">
        <v>23</v>
      </c>
      <c r="I1396" s="1">
        <v>860.02</v>
      </c>
      <c r="J1396" s="1">
        <v>5</v>
      </c>
      <c r="K1396" s="1">
        <v>4300.1000000000004</v>
      </c>
      <c r="L1396" s="1">
        <v>0</v>
      </c>
      <c r="M1396" s="1">
        <v>0</v>
      </c>
      <c r="N1396" s="1">
        <v>4300.1000000000004</v>
      </c>
      <c r="O1396" s="1" t="s">
        <v>64</v>
      </c>
      <c r="P1396" s="1" t="s">
        <v>2282</v>
      </c>
      <c r="Q1396" s="1">
        <v>4</v>
      </c>
      <c r="R1396" s="1">
        <f>Retail_Sales_Analyis[[#This Row],[Final_Price]]-Retail_Sales_Analyis[[#This Row],[Total_Price]]</f>
        <v>0</v>
      </c>
      <c r="S13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397" spans="1:19" x14ac:dyDescent="0.25">
      <c r="A1397" s="1" t="s">
        <v>2283</v>
      </c>
      <c r="B1397" s="2">
        <v>45412</v>
      </c>
      <c r="C1397" s="1" t="s">
        <v>54</v>
      </c>
      <c r="D1397" s="1" t="s">
        <v>28</v>
      </c>
      <c r="E1397" s="1" t="s">
        <v>20</v>
      </c>
      <c r="F1397" s="1" t="s">
        <v>84</v>
      </c>
      <c r="G1397" s="1" t="s">
        <v>38</v>
      </c>
      <c r="H1397" s="1" t="s">
        <v>422</v>
      </c>
      <c r="I1397" s="1">
        <v>274.32</v>
      </c>
      <c r="J1397" s="1">
        <v>2</v>
      </c>
      <c r="K1397" s="1">
        <v>548.64</v>
      </c>
      <c r="L1397" s="1">
        <v>15</v>
      </c>
      <c r="M1397" s="1">
        <v>82.3</v>
      </c>
      <c r="N1397" s="1">
        <v>466.34</v>
      </c>
      <c r="O1397" s="1" t="s">
        <v>33</v>
      </c>
      <c r="P1397" s="1" t="s">
        <v>494</v>
      </c>
      <c r="Q1397" s="1">
        <v>3</v>
      </c>
      <c r="R1397" s="1">
        <f>Retail_Sales_Analyis[[#This Row],[Final_Price]]-Retail_Sales_Analyis[[#This Row],[Total_Price]]</f>
        <v>-82.300000000000011</v>
      </c>
      <c r="S13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98" spans="1:19" x14ac:dyDescent="0.25">
      <c r="A1398" s="1" t="s">
        <v>2284</v>
      </c>
      <c r="B1398" s="2">
        <v>45567</v>
      </c>
      <c r="C1398" s="1" t="s">
        <v>76</v>
      </c>
      <c r="D1398" s="1" t="s">
        <v>55</v>
      </c>
      <c r="E1398" s="1" t="s">
        <v>196</v>
      </c>
      <c r="F1398" s="1" t="s">
        <v>21</v>
      </c>
      <c r="G1398" s="1" t="s">
        <v>112</v>
      </c>
      <c r="H1398" s="1" t="s">
        <v>223</v>
      </c>
      <c r="I1398" s="1">
        <v>1108.32</v>
      </c>
      <c r="J1398" s="1">
        <v>4</v>
      </c>
      <c r="K1398" s="1">
        <v>4433.28</v>
      </c>
      <c r="L1398" s="1">
        <v>15</v>
      </c>
      <c r="M1398" s="1">
        <v>664.99</v>
      </c>
      <c r="N1398" s="1">
        <v>3768.29</v>
      </c>
      <c r="O1398" s="1" t="s">
        <v>46</v>
      </c>
      <c r="P1398" s="1" t="s">
        <v>1382</v>
      </c>
      <c r="Q1398" s="1">
        <v>2</v>
      </c>
      <c r="R1398" s="1">
        <f>Retail_Sales_Analyis[[#This Row],[Final_Price]]-Retail_Sales_Analyis[[#This Row],[Total_Price]]</f>
        <v>-664.98999999999978</v>
      </c>
      <c r="S13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399" spans="1:19" x14ac:dyDescent="0.25">
      <c r="A1399" s="1" t="s">
        <v>2285</v>
      </c>
      <c r="B1399" s="2">
        <v>45361</v>
      </c>
      <c r="C1399" s="1" t="s">
        <v>61</v>
      </c>
      <c r="D1399" s="1" t="s">
        <v>49</v>
      </c>
      <c r="E1399" s="1" t="s">
        <v>204</v>
      </c>
      <c r="F1399" s="1" t="s">
        <v>37</v>
      </c>
      <c r="G1399" s="1" t="s">
        <v>169</v>
      </c>
      <c r="H1399" s="1" t="s">
        <v>366</v>
      </c>
      <c r="I1399" s="1">
        <v>458.94</v>
      </c>
      <c r="J1399" s="1">
        <v>1</v>
      </c>
      <c r="K1399" s="1">
        <v>458.94</v>
      </c>
      <c r="L1399" s="1">
        <v>0</v>
      </c>
      <c r="M1399" s="1">
        <v>0</v>
      </c>
      <c r="N1399" s="1">
        <v>458.94</v>
      </c>
      <c r="O1399" s="1" t="s">
        <v>64</v>
      </c>
      <c r="P1399" s="1" t="s">
        <v>2041</v>
      </c>
      <c r="Q1399" s="1">
        <v>1</v>
      </c>
      <c r="R1399" s="1">
        <f>Retail_Sales_Analyis[[#This Row],[Final_Price]]-Retail_Sales_Analyis[[#This Row],[Total_Price]]</f>
        <v>0</v>
      </c>
      <c r="S13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0" spans="1:19" x14ac:dyDescent="0.25">
      <c r="A1400" s="1" t="s">
        <v>2286</v>
      </c>
      <c r="B1400" s="2">
        <v>45490</v>
      </c>
      <c r="C1400" s="1" t="s">
        <v>195</v>
      </c>
      <c r="D1400" s="1" t="s">
        <v>55</v>
      </c>
      <c r="E1400" s="1" t="s">
        <v>20</v>
      </c>
      <c r="F1400" s="1" t="s">
        <v>21</v>
      </c>
      <c r="G1400" s="1" t="s">
        <v>22</v>
      </c>
      <c r="H1400" s="1" t="s">
        <v>23</v>
      </c>
      <c r="I1400" s="1">
        <v>972.18</v>
      </c>
      <c r="J1400" s="1">
        <v>5</v>
      </c>
      <c r="K1400" s="1">
        <v>4860.8999999999996</v>
      </c>
      <c r="L1400" s="1">
        <v>0</v>
      </c>
      <c r="M1400" s="1">
        <v>0</v>
      </c>
      <c r="N1400" s="1">
        <v>4860.8999999999996</v>
      </c>
      <c r="O1400" s="1" t="s">
        <v>80</v>
      </c>
      <c r="P1400" s="1" t="s">
        <v>798</v>
      </c>
      <c r="Q1400" s="1">
        <v>1</v>
      </c>
      <c r="R1400" s="1">
        <f>Retail_Sales_Analyis[[#This Row],[Final_Price]]-Retail_Sales_Analyis[[#This Row],[Total_Price]]</f>
        <v>0</v>
      </c>
      <c r="S14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1" spans="1:19" x14ac:dyDescent="0.25">
      <c r="A1401" s="1" t="s">
        <v>2287</v>
      </c>
      <c r="B1401" s="2">
        <v>45524</v>
      </c>
      <c r="C1401" s="1" t="s">
        <v>93</v>
      </c>
      <c r="D1401" s="1" t="s">
        <v>28</v>
      </c>
      <c r="E1401" s="1" t="s">
        <v>107</v>
      </c>
      <c r="F1401" s="1" t="s">
        <v>37</v>
      </c>
      <c r="G1401" s="1" t="s">
        <v>169</v>
      </c>
      <c r="H1401" s="1" t="s">
        <v>208</v>
      </c>
      <c r="I1401" s="1">
        <v>796.03</v>
      </c>
      <c r="J1401" s="1">
        <v>6</v>
      </c>
      <c r="K1401" s="1">
        <v>4776.18</v>
      </c>
      <c r="L1401" s="1">
        <v>0</v>
      </c>
      <c r="M1401" s="1">
        <v>0</v>
      </c>
      <c r="N1401" s="1">
        <v>4776.18</v>
      </c>
      <c r="O1401" s="1" t="s">
        <v>33</v>
      </c>
      <c r="P1401" s="1" t="s">
        <v>2288</v>
      </c>
      <c r="Q1401" s="1">
        <v>2</v>
      </c>
      <c r="R1401" s="1">
        <f>Retail_Sales_Analyis[[#This Row],[Final_Price]]-Retail_Sales_Analyis[[#This Row],[Total_Price]]</f>
        <v>0</v>
      </c>
      <c r="S14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2" spans="1:19" x14ac:dyDescent="0.25">
      <c r="A1402" s="1" t="s">
        <v>2289</v>
      </c>
      <c r="B1402" s="2">
        <v>45481</v>
      </c>
      <c r="C1402" s="1" t="s">
        <v>195</v>
      </c>
      <c r="D1402" s="1" t="s">
        <v>43</v>
      </c>
      <c r="E1402" s="1" t="s">
        <v>312</v>
      </c>
      <c r="F1402" s="1" t="s">
        <v>21</v>
      </c>
      <c r="G1402" s="1" t="s">
        <v>78</v>
      </c>
      <c r="H1402" s="1" t="s">
        <v>323</v>
      </c>
      <c r="I1402" s="1">
        <v>589.76</v>
      </c>
      <c r="J1402" s="1">
        <v>7</v>
      </c>
      <c r="K1402" s="1">
        <v>4128.32</v>
      </c>
      <c r="L1402" s="1">
        <v>15</v>
      </c>
      <c r="M1402" s="1">
        <v>619.25</v>
      </c>
      <c r="N1402" s="1">
        <v>3509.07</v>
      </c>
      <c r="O1402" s="1" t="s">
        <v>80</v>
      </c>
      <c r="P1402" s="1" t="s">
        <v>594</v>
      </c>
      <c r="Q1402" s="1">
        <v>3</v>
      </c>
      <c r="R1402" s="1">
        <f>Retail_Sales_Analyis[[#This Row],[Final_Price]]-Retail_Sales_Analyis[[#This Row],[Total_Price]]</f>
        <v>-619.24999999999955</v>
      </c>
      <c r="S14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03" spans="1:19" x14ac:dyDescent="0.25">
      <c r="A1403" s="1" t="s">
        <v>2290</v>
      </c>
      <c r="B1403" s="2">
        <v>45635</v>
      </c>
      <c r="C1403" s="1" t="s">
        <v>73</v>
      </c>
      <c r="D1403" s="1" t="s">
        <v>43</v>
      </c>
      <c r="E1403" s="1" t="s">
        <v>44</v>
      </c>
      <c r="F1403" s="1" t="s">
        <v>30</v>
      </c>
      <c r="G1403" s="1" t="s">
        <v>85</v>
      </c>
      <c r="H1403" s="1" t="s">
        <v>98</v>
      </c>
      <c r="I1403" s="1">
        <v>2556.84</v>
      </c>
      <c r="J1403" s="1">
        <v>4</v>
      </c>
      <c r="K1403" s="1">
        <v>10227.36</v>
      </c>
      <c r="L1403" s="1">
        <v>20</v>
      </c>
      <c r="M1403" s="1">
        <v>2045.47</v>
      </c>
      <c r="N1403" s="1">
        <v>8181.89</v>
      </c>
      <c r="O1403" s="1" t="s">
        <v>64</v>
      </c>
      <c r="P1403" s="1" t="s">
        <v>354</v>
      </c>
      <c r="Q1403" s="1">
        <v>4</v>
      </c>
      <c r="R1403" s="1">
        <f>Retail_Sales_Analyis[[#This Row],[Final_Price]]-Retail_Sales_Analyis[[#This Row],[Total_Price]]</f>
        <v>-2045.4700000000003</v>
      </c>
      <c r="S14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04" spans="1:19" x14ac:dyDescent="0.25">
      <c r="A1404" s="1" t="s">
        <v>2291</v>
      </c>
      <c r="B1404" s="2">
        <v>45648</v>
      </c>
      <c r="C1404" s="1" t="s">
        <v>73</v>
      </c>
      <c r="D1404" s="1" t="s">
        <v>49</v>
      </c>
      <c r="E1404" s="1" t="s">
        <v>117</v>
      </c>
      <c r="F1404" s="1" t="s">
        <v>69</v>
      </c>
      <c r="G1404" s="1" t="s">
        <v>112</v>
      </c>
      <c r="H1404" s="1" t="s">
        <v>118</v>
      </c>
      <c r="I1404" s="1">
        <v>504.59</v>
      </c>
      <c r="J1404" s="1">
        <v>8</v>
      </c>
      <c r="K1404" s="1">
        <v>4036.72</v>
      </c>
      <c r="L1404" s="1">
        <v>0</v>
      </c>
      <c r="M1404" s="1">
        <v>0</v>
      </c>
      <c r="N1404" s="1">
        <v>4036.72</v>
      </c>
      <c r="O1404" s="1" t="s">
        <v>24</v>
      </c>
      <c r="P1404" s="1" t="s">
        <v>338</v>
      </c>
      <c r="Q1404" s="1">
        <v>1</v>
      </c>
      <c r="R1404" s="1">
        <f>Retail_Sales_Analyis[[#This Row],[Final_Price]]-Retail_Sales_Analyis[[#This Row],[Total_Price]]</f>
        <v>0</v>
      </c>
      <c r="S14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5" spans="1:19" x14ac:dyDescent="0.25">
      <c r="A1405" s="1" t="s">
        <v>2292</v>
      </c>
      <c r="B1405" s="2">
        <v>45568</v>
      </c>
      <c r="C1405" s="1" t="s">
        <v>76</v>
      </c>
      <c r="D1405" s="1" t="s">
        <v>67</v>
      </c>
      <c r="E1405" s="1" t="s">
        <v>129</v>
      </c>
      <c r="F1405" s="1" t="s">
        <v>69</v>
      </c>
      <c r="G1405" s="1" t="s">
        <v>38</v>
      </c>
      <c r="H1405" s="1" t="s">
        <v>214</v>
      </c>
      <c r="I1405" s="1">
        <v>389.38</v>
      </c>
      <c r="J1405" s="1">
        <v>5</v>
      </c>
      <c r="K1405" s="1">
        <v>1946.9</v>
      </c>
      <c r="L1405" s="1">
        <v>0</v>
      </c>
      <c r="M1405" s="1">
        <v>0</v>
      </c>
      <c r="N1405" s="1">
        <v>1946.9</v>
      </c>
      <c r="O1405" s="1" t="s">
        <v>46</v>
      </c>
      <c r="P1405" s="1" t="s">
        <v>1350</v>
      </c>
      <c r="Q1405" s="1">
        <v>3</v>
      </c>
      <c r="R1405" s="1">
        <f>Retail_Sales_Analyis[[#This Row],[Final_Price]]-Retail_Sales_Analyis[[#This Row],[Total_Price]]</f>
        <v>0</v>
      </c>
      <c r="S14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6" spans="1:19" x14ac:dyDescent="0.25">
      <c r="A1406" s="1" t="s">
        <v>2293</v>
      </c>
      <c r="B1406" s="2">
        <v>45506</v>
      </c>
      <c r="C1406" s="1" t="s">
        <v>93</v>
      </c>
      <c r="D1406" s="1" t="s">
        <v>144</v>
      </c>
      <c r="E1406" s="1" t="s">
        <v>411</v>
      </c>
      <c r="F1406" s="1" t="s">
        <v>30</v>
      </c>
      <c r="G1406" s="1" t="s">
        <v>112</v>
      </c>
      <c r="H1406" s="1" t="s">
        <v>288</v>
      </c>
      <c r="I1406" s="1">
        <v>1678.54</v>
      </c>
      <c r="J1406" s="1">
        <v>9</v>
      </c>
      <c r="K1406" s="1">
        <v>15106.86</v>
      </c>
      <c r="L1406" s="1">
        <v>0</v>
      </c>
      <c r="M1406" s="1">
        <v>0</v>
      </c>
      <c r="N1406" s="1">
        <v>15106.86</v>
      </c>
      <c r="O1406" s="1" t="s">
        <v>80</v>
      </c>
      <c r="P1406" s="1" t="s">
        <v>967</v>
      </c>
      <c r="Q1406" s="1">
        <v>4</v>
      </c>
      <c r="R1406" s="1">
        <f>Retail_Sales_Analyis[[#This Row],[Final_Price]]-Retail_Sales_Analyis[[#This Row],[Total_Price]]</f>
        <v>0</v>
      </c>
      <c r="S14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07" spans="1:19" x14ac:dyDescent="0.25">
      <c r="A1407" s="1" t="s">
        <v>2294</v>
      </c>
      <c r="B1407" s="2">
        <v>45592</v>
      </c>
      <c r="C1407" s="1" t="s">
        <v>76</v>
      </c>
      <c r="D1407" s="1" t="s">
        <v>49</v>
      </c>
      <c r="E1407" s="1" t="s">
        <v>199</v>
      </c>
      <c r="F1407" s="1" t="s">
        <v>21</v>
      </c>
      <c r="G1407" s="1" t="s">
        <v>57</v>
      </c>
      <c r="H1407" s="1" t="s">
        <v>58</v>
      </c>
      <c r="I1407" s="1">
        <v>762.59</v>
      </c>
      <c r="J1407" s="1">
        <v>5</v>
      </c>
      <c r="K1407" s="1">
        <v>3812.95</v>
      </c>
      <c r="L1407" s="1">
        <v>20</v>
      </c>
      <c r="M1407" s="1">
        <v>762.59</v>
      </c>
      <c r="N1407" s="1">
        <v>3050.36</v>
      </c>
      <c r="O1407" s="1" t="s">
        <v>33</v>
      </c>
      <c r="P1407" s="1" t="s">
        <v>1311</v>
      </c>
      <c r="Q1407" s="1">
        <v>4</v>
      </c>
      <c r="R1407" s="1">
        <f>Retail_Sales_Analyis[[#This Row],[Final_Price]]-Retail_Sales_Analyis[[#This Row],[Total_Price]]</f>
        <v>-762.58999999999969</v>
      </c>
      <c r="S14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08" spans="1:19" x14ac:dyDescent="0.25">
      <c r="A1408" s="1" t="s">
        <v>2295</v>
      </c>
      <c r="B1408" s="2">
        <v>45371</v>
      </c>
      <c r="C1408" s="1" t="s">
        <v>61</v>
      </c>
      <c r="D1408" s="1" t="s">
        <v>55</v>
      </c>
      <c r="E1408" s="1" t="s">
        <v>121</v>
      </c>
      <c r="F1408" s="1" t="s">
        <v>21</v>
      </c>
      <c r="G1408" s="1" t="s">
        <v>57</v>
      </c>
      <c r="H1408" s="1" t="s">
        <v>58</v>
      </c>
      <c r="I1408" s="1">
        <v>2733.46</v>
      </c>
      <c r="J1408" s="1">
        <v>1</v>
      </c>
      <c r="K1408" s="1">
        <v>2733.46</v>
      </c>
      <c r="L1408" s="1">
        <v>20</v>
      </c>
      <c r="M1408" s="1">
        <v>546.69000000000005</v>
      </c>
      <c r="N1408" s="1">
        <v>2186.77</v>
      </c>
      <c r="O1408" s="1" t="s">
        <v>64</v>
      </c>
      <c r="P1408" s="1" t="s">
        <v>217</v>
      </c>
      <c r="Q1408" s="1">
        <v>4</v>
      </c>
      <c r="R1408" s="1">
        <f>Retail_Sales_Analyis[[#This Row],[Final_Price]]-Retail_Sales_Analyis[[#This Row],[Total_Price]]</f>
        <v>-546.69000000000005</v>
      </c>
      <c r="S14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09" spans="1:19" x14ac:dyDescent="0.25">
      <c r="A1409" s="1" t="s">
        <v>2296</v>
      </c>
      <c r="B1409" s="2">
        <v>45504</v>
      </c>
      <c r="C1409" s="1" t="s">
        <v>195</v>
      </c>
      <c r="D1409" s="1" t="s">
        <v>55</v>
      </c>
      <c r="E1409" s="1" t="s">
        <v>199</v>
      </c>
      <c r="F1409" s="1" t="s">
        <v>84</v>
      </c>
      <c r="G1409" s="1" t="s">
        <v>85</v>
      </c>
      <c r="H1409" s="1" t="s">
        <v>297</v>
      </c>
      <c r="I1409" s="1">
        <v>2070.6999999999998</v>
      </c>
      <c r="J1409" s="1">
        <v>6</v>
      </c>
      <c r="K1409" s="1">
        <v>12424.2</v>
      </c>
      <c r="L1409" s="1">
        <v>10</v>
      </c>
      <c r="M1409" s="1">
        <v>1242.42</v>
      </c>
      <c r="N1409" s="1">
        <v>11181.78</v>
      </c>
      <c r="O1409" s="1" t="s">
        <v>46</v>
      </c>
      <c r="P1409" s="1" t="s">
        <v>2201</v>
      </c>
      <c r="Q1409" s="1">
        <v>1</v>
      </c>
      <c r="R1409" s="1">
        <f>Retail_Sales_Analyis[[#This Row],[Final_Price]]-Retail_Sales_Analyis[[#This Row],[Total_Price]]</f>
        <v>-1242.42</v>
      </c>
      <c r="S14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10" spans="1:19" x14ac:dyDescent="0.25">
      <c r="A1410" s="1" t="s">
        <v>2297</v>
      </c>
      <c r="B1410" s="2">
        <v>45627</v>
      </c>
      <c r="C1410" s="1" t="s">
        <v>73</v>
      </c>
      <c r="D1410" s="1" t="s">
        <v>49</v>
      </c>
      <c r="E1410" s="1" t="s">
        <v>151</v>
      </c>
      <c r="F1410" s="1" t="s">
        <v>21</v>
      </c>
      <c r="G1410" s="1" t="s">
        <v>38</v>
      </c>
      <c r="H1410" s="1" t="s">
        <v>108</v>
      </c>
      <c r="I1410" s="1">
        <v>114.21</v>
      </c>
      <c r="J1410" s="1">
        <v>10</v>
      </c>
      <c r="K1410" s="1">
        <v>1142.0999999999999</v>
      </c>
      <c r="L1410" s="1">
        <v>0</v>
      </c>
      <c r="M1410" s="1">
        <v>0</v>
      </c>
      <c r="N1410" s="1">
        <v>1142.0999999999999</v>
      </c>
      <c r="O1410" s="1" t="s">
        <v>64</v>
      </c>
      <c r="P1410" s="1" t="s">
        <v>564</v>
      </c>
      <c r="Q1410" s="1">
        <v>3</v>
      </c>
      <c r="R1410" s="1">
        <f>Retail_Sales_Analyis[[#This Row],[Final_Price]]-Retail_Sales_Analyis[[#This Row],[Total_Price]]</f>
        <v>0</v>
      </c>
      <c r="S14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11" spans="1:19" x14ac:dyDescent="0.25">
      <c r="A1411" s="1" t="s">
        <v>2298</v>
      </c>
      <c r="B1411" s="2">
        <v>45342</v>
      </c>
      <c r="C1411" s="1" t="s">
        <v>27</v>
      </c>
      <c r="D1411" s="1" t="s">
        <v>28</v>
      </c>
      <c r="E1411" s="1" t="s">
        <v>77</v>
      </c>
      <c r="F1411" s="1" t="s">
        <v>84</v>
      </c>
      <c r="G1411" s="1" t="s">
        <v>85</v>
      </c>
      <c r="H1411" s="1" t="s">
        <v>86</v>
      </c>
      <c r="I1411" s="1">
        <v>4909.8100000000004</v>
      </c>
      <c r="J1411" s="1">
        <v>1</v>
      </c>
      <c r="K1411" s="1">
        <v>4909.8100000000004</v>
      </c>
      <c r="L1411" s="1">
        <v>0</v>
      </c>
      <c r="M1411" s="1">
        <v>0</v>
      </c>
      <c r="N1411" s="1">
        <v>4909.8100000000004</v>
      </c>
      <c r="O1411" s="1" t="s">
        <v>24</v>
      </c>
      <c r="P1411" s="1" t="s">
        <v>732</v>
      </c>
      <c r="Q1411" s="1">
        <v>3</v>
      </c>
      <c r="R1411" s="1">
        <f>Retail_Sales_Analyis[[#This Row],[Final_Price]]-Retail_Sales_Analyis[[#This Row],[Total_Price]]</f>
        <v>0</v>
      </c>
      <c r="S14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12" spans="1:19" x14ac:dyDescent="0.25">
      <c r="A1412" s="1" t="s">
        <v>2299</v>
      </c>
      <c r="B1412" s="2">
        <v>45542</v>
      </c>
      <c r="C1412" s="1" t="s">
        <v>116</v>
      </c>
      <c r="D1412" s="1" t="s">
        <v>19</v>
      </c>
      <c r="E1412" s="1" t="s">
        <v>151</v>
      </c>
      <c r="F1412" s="1" t="s">
        <v>30</v>
      </c>
      <c r="G1412" s="1" t="s">
        <v>78</v>
      </c>
      <c r="H1412" s="1" t="s">
        <v>79</v>
      </c>
      <c r="I1412" s="1">
        <v>366.46</v>
      </c>
      <c r="J1412" s="1">
        <v>3</v>
      </c>
      <c r="K1412" s="1">
        <v>1099.3800000000001</v>
      </c>
      <c r="L1412" s="1">
        <v>0</v>
      </c>
      <c r="M1412" s="1">
        <v>0</v>
      </c>
      <c r="N1412" s="1">
        <v>1099.3800000000001</v>
      </c>
      <c r="O1412" s="1" t="s">
        <v>46</v>
      </c>
      <c r="P1412" s="1" t="s">
        <v>1032</v>
      </c>
      <c r="Q1412" s="1">
        <v>4</v>
      </c>
      <c r="R1412" s="1">
        <f>Retail_Sales_Analyis[[#This Row],[Final_Price]]-Retail_Sales_Analyis[[#This Row],[Total_Price]]</f>
        <v>0</v>
      </c>
      <c r="S14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13" spans="1:19" x14ac:dyDescent="0.25">
      <c r="A1413" s="1" t="s">
        <v>2300</v>
      </c>
      <c r="B1413" s="2">
        <v>45607</v>
      </c>
      <c r="C1413" s="1" t="s">
        <v>18</v>
      </c>
      <c r="D1413" s="1" t="s">
        <v>43</v>
      </c>
      <c r="E1413" s="1" t="s">
        <v>542</v>
      </c>
      <c r="F1413" s="1" t="s">
        <v>69</v>
      </c>
      <c r="G1413" s="1" t="s">
        <v>57</v>
      </c>
      <c r="H1413" s="1" t="s">
        <v>58</v>
      </c>
      <c r="I1413" s="1">
        <v>2075.54</v>
      </c>
      <c r="J1413" s="1">
        <v>10</v>
      </c>
      <c r="K1413" s="1">
        <v>20755.400000000001</v>
      </c>
      <c r="L1413" s="1">
        <v>10</v>
      </c>
      <c r="M1413" s="1">
        <v>2075.54</v>
      </c>
      <c r="N1413" s="1">
        <v>18679.86</v>
      </c>
      <c r="O1413" s="1" t="s">
        <v>80</v>
      </c>
      <c r="P1413" s="1" t="s">
        <v>2301</v>
      </c>
      <c r="Q1413" s="1">
        <v>3</v>
      </c>
      <c r="R1413" s="1">
        <f>Retail_Sales_Analyis[[#This Row],[Final_Price]]-Retail_Sales_Analyis[[#This Row],[Total_Price]]</f>
        <v>-2075.5400000000009</v>
      </c>
      <c r="S14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14" spans="1:19" x14ac:dyDescent="0.25">
      <c r="A1414" s="1" t="s">
        <v>2302</v>
      </c>
      <c r="B1414" s="2">
        <v>45500</v>
      </c>
      <c r="C1414" s="1" t="s">
        <v>195</v>
      </c>
      <c r="D1414" s="1" t="s">
        <v>19</v>
      </c>
      <c r="E1414" s="1" t="s">
        <v>141</v>
      </c>
      <c r="F1414" s="1" t="s">
        <v>30</v>
      </c>
      <c r="G1414" s="1" t="s">
        <v>57</v>
      </c>
      <c r="H1414" s="1" t="s">
        <v>101</v>
      </c>
      <c r="I1414" s="1">
        <v>1109.2</v>
      </c>
      <c r="J1414" s="1">
        <v>6</v>
      </c>
      <c r="K1414" s="1">
        <v>6655.2</v>
      </c>
      <c r="L1414" s="1">
        <v>0</v>
      </c>
      <c r="M1414" s="1">
        <v>0</v>
      </c>
      <c r="N1414" s="1">
        <v>6655.2</v>
      </c>
      <c r="O1414" s="1" t="s">
        <v>33</v>
      </c>
      <c r="P1414" s="1" t="s">
        <v>2303</v>
      </c>
      <c r="Q1414" s="1">
        <v>2</v>
      </c>
      <c r="R1414" s="1">
        <f>Retail_Sales_Analyis[[#This Row],[Final_Price]]-Retail_Sales_Analyis[[#This Row],[Total_Price]]</f>
        <v>0</v>
      </c>
      <c r="S14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15" spans="1:19" x14ac:dyDescent="0.25">
      <c r="A1415" s="1" t="s">
        <v>2304</v>
      </c>
      <c r="B1415" s="2">
        <v>45435</v>
      </c>
      <c r="C1415" s="1" t="s">
        <v>42</v>
      </c>
      <c r="D1415" s="1" t="s">
        <v>67</v>
      </c>
      <c r="E1415" s="1" t="s">
        <v>196</v>
      </c>
      <c r="F1415" s="1" t="s">
        <v>21</v>
      </c>
      <c r="G1415" s="1" t="s">
        <v>57</v>
      </c>
      <c r="H1415" s="1" t="s">
        <v>58</v>
      </c>
      <c r="I1415" s="1">
        <v>2881.01</v>
      </c>
      <c r="J1415" s="1">
        <v>1</v>
      </c>
      <c r="K1415" s="1">
        <v>2881.01</v>
      </c>
      <c r="L1415" s="1">
        <v>15</v>
      </c>
      <c r="M1415" s="1">
        <v>432.15</v>
      </c>
      <c r="N1415" s="1">
        <v>2448.86</v>
      </c>
      <c r="O1415" s="1" t="s">
        <v>24</v>
      </c>
      <c r="P1415" s="1" t="s">
        <v>1399</v>
      </c>
      <c r="Q1415" s="1">
        <v>1</v>
      </c>
      <c r="R1415" s="1">
        <f>Retail_Sales_Analyis[[#This Row],[Final_Price]]-Retail_Sales_Analyis[[#This Row],[Total_Price]]</f>
        <v>-432.15000000000009</v>
      </c>
      <c r="S14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16" spans="1:19" x14ac:dyDescent="0.25">
      <c r="A1416" s="1" t="s">
        <v>2305</v>
      </c>
      <c r="B1416" s="2">
        <v>45308</v>
      </c>
      <c r="C1416" s="1" t="s">
        <v>36</v>
      </c>
      <c r="D1416" s="1" t="s">
        <v>55</v>
      </c>
      <c r="E1416" s="1" t="s">
        <v>285</v>
      </c>
      <c r="F1416" s="1" t="s">
        <v>84</v>
      </c>
      <c r="G1416" s="1" t="s">
        <v>22</v>
      </c>
      <c r="H1416" s="1" t="s">
        <v>133</v>
      </c>
      <c r="I1416" s="1">
        <v>363.97</v>
      </c>
      <c r="J1416" s="1">
        <v>7</v>
      </c>
      <c r="K1416" s="1">
        <v>2547.79</v>
      </c>
      <c r="L1416" s="1">
        <v>10</v>
      </c>
      <c r="M1416" s="1">
        <v>254.78</v>
      </c>
      <c r="N1416" s="1">
        <v>2293.0100000000002</v>
      </c>
      <c r="O1416" s="1" t="s">
        <v>24</v>
      </c>
      <c r="P1416" s="1" t="s">
        <v>2306</v>
      </c>
      <c r="Q1416" s="1">
        <v>1</v>
      </c>
      <c r="R1416" s="1">
        <f>Retail_Sales_Analyis[[#This Row],[Final_Price]]-Retail_Sales_Analyis[[#This Row],[Total_Price]]</f>
        <v>-254.77999999999975</v>
      </c>
      <c r="S14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17" spans="1:19" x14ac:dyDescent="0.25">
      <c r="A1417" s="1" t="s">
        <v>2307</v>
      </c>
      <c r="B1417" s="2">
        <v>45645</v>
      </c>
      <c r="C1417" s="1" t="s">
        <v>73</v>
      </c>
      <c r="D1417" s="1" t="s">
        <v>67</v>
      </c>
      <c r="E1417" s="1" t="s">
        <v>151</v>
      </c>
      <c r="F1417" s="1" t="s">
        <v>37</v>
      </c>
      <c r="G1417" s="1" t="s">
        <v>85</v>
      </c>
      <c r="H1417" s="1" t="s">
        <v>98</v>
      </c>
      <c r="I1417" s="1">
        <v>3952.1</v>
      </c>
      <c r="J1417" s="1">
        <v>4</v>
      </c>
      <c r="K1417" s="1">
        <v>15808.4</v>
      </c>
      <c r="L1417" s="1">
        <v>0</v>
      </c>
      <c r="M1417" s="1">
        <v>0</v>
      </c>
      <c r="N1417" s="1">
        <v>15808.4</v>
      </c>
      <c r="O1417" s="1" t="s">
        <v>24</v>
      </c>
      <c r="P1417" s="1" t="s">
        <v>149</v>
      </c>
      <c r="Q1417" s="1">
        <v>1</v>
      </c>
      <c r="R1417" s="1">
        <f>Retail_Sales_Analyis[[#This Row],[Final_Price]]-Retail_Sales_Analyis[[#This Row],[Total_Price]]</f>
        <v>0</v>
      </c>
      <c r="S14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18" spans="1:19" x14ac:dyDescent="0.25">
      <c r="A1418" s="1" t="s">
        <v>2308</v>
      </c>
      <c r="B1418" s="2">
        <v>45481</v>
      </c>
      <c r="C1418" s="1" t="s">
        <v>195</v>
      </c>
      <c r="D1418" s="1" t="s">
        <v>43</v>
      </c>
      <c r="E1418" s="1" t="s">
        <v>62</v>
      </c>
      <c r="F1418" s="1" t="s">
        <v>21</v>
      </c>
      <c r="G1418" s="1" t="s">
        <v>22</v>
      </c>
      <c r="H1418" s="1" t="s">
        <v>133</v>
      </c>
      <c r="I1418" s="1">
        <v>993.05</v>
      </c>
      <c r="J1418" s="1">
        <v>10</v>
      </c>
      <c r="K1418" s="1">
        <v>9930.5</v>
      </c>
      <c r="L1418" s="1">
        <v>5</v>
      </c>
      <c r="M1418" s="1">
        <v>496.53</v>
      </c>
      <c r="N1418" s="1">
        <v>9433.9699999999993</v>
      </c>
      <c r="O1418" s="1" t="s">
        <v>64</v>
      </c>
      <c r="P1418" s="1" t="s">
        <v>568</v>
      </c>
      <c r="Q1418" s="1">
        <v>1</v>
      </c>
      <c r="R1418" s="1">
        <f>Retail_Sales_Analyis[[#This Row],[Final_Price]]-Retail_Sales_Analyis[[#This Row],[Total_Price]]</f>
        <v>-496.53000000000065</v>
      </c>
      <c r="S14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19" spans="1:19" x14ac:dyDescent="0.25">
      <c r="A1419" s="1" t="s">
        <v>2309</v>
      </c>
      <c r="B1419" s="2">
        <v>45403</v>
      </c>
      <c r="C1419" s="1" t="s">
        <v>54</v>
      </c>
      <c r="D1419" s="1" t="s">
        <v>49</v>
      </c>
      <c r="E1419" s="1" t="s">
        <v>83</v>
      </c>
      <c r="F1419" s="1" t="s">
        <v>30</v>
      </c>
      <c r="G1419" s="1" t="s">
        <v>169</v>
      </c>
      <c r="H1419" s="1" t="s">
        <v>208</v>
      </c>
      <c r="I1419" s="1">
        <v>1266.5</v>
      </c>
      <c r="J1419" s="1">
        <v>10</v>
      </c>
      <c r="K1419" s="1">
        <v>12665</v>
      </c>
      <c r="L1419" s="1">
        <v>10</v>
      </c>
      <c r="M1419" s="1">
        <v>1266.5</v>
      </c>
      <c r="N1419" s="1">
        <v>11398.5</v>
      </c>
      <c r="O1419" s="1" t="s">
        <v>64</v>
      </c>
      <c r="P1419" s="1" t="s">
        <v>2310</v>
      </c>
      <c r="Q1419" s="1">
        <v>1</v>
      </c>
      <c r="R1419" s="1">
        <f>Retail_Sales_Analyis[[#This Row],[Final_Price]]-Retail_Sales_Analyis[[#This Row],[Total_Price]]</f>
        <v>-1266.5</v>
      </c>
      <c r="S14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20" spans="1:19" x14ac:dyDescent="0.25">
      <c r="A1420" s="1" t="s">
        <v>2311</v>
      </c>
      <c r="B1420" s="2">
        <v>45519</v>
      </c>
      <c r="C1420" s="1" t="s">
        <v>93</v>
      </c>
      <c r="D1420" s="1" t="s">
        <v>67</v>
      </c>
      <c r="E1420" s="1" t="s">
        <v>62</v>
      </c>
      <c r="F1420" s="1" t="s">
        <v>37</v>
      </c>
      <c r="G1420" s="1" t="s">
        <v>85</v>
      </c>
      <c r="H1420" s="1" t="s">
        <v>297</v>
      </c>
      <c r="I1420" s="1">
        <v>4704.91</v>
      </c>
      <c r="J1420" s="1">
        <v>8</v>
      </c>
      <c r="K1420" s="1">
        <v>37639.279999999999</v>
      </c>
      <c r="L1420" s="1">
        <v>20</v>
      </c>
      <c r="M1420" s="1">
        <v>7527.86</v>
      </c>
      <c r="N1420" s="1">
        <v>30111.42</v>
      </c>
      <c r="O1420" s="1" t="s">
        <v>64</v>
      </c>
      <c r="P1420" s="1" t="s">
        <v>1500</v>
      </c>
      <c r="Q1420" s="1">
        <v>4</v>
      </c>
      <c r="R1420" s="1">
        <f>Retail_Sales_Analyis[[#This Row],[Final_Price]]-Retail_Sales_Analyis[[#This Row],[Total_Price]]</f>
        <v>-7527.8600000000006</v>
      </c>
      <c r="S14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21" spans="1:19" x14ac:dyDescent="0.25">
      <c r="A1421" s="1" t="s">
        <v>2312</v>
      </c>
      <c r="B1421" s="2">
        <v>45519</v>
      </c>
      <c r="C1421" s="1" t="s">
        <v>93</v>
      </c>
      <c r="D1421" s="1" t="s">
        <v>67</v>
      </c>
      <c r="E1421" s="1" t="s">
        <v>174</v>
      </c>
      <c r="F1421" s="1" t="s">
        <v>69</v>
      </c>
      <c r="G1421" s="1" t="s">
        <v>57</v>
      </c>
      <c r="H1421" s="1" t="s">
        <v>122</v>
      </c>
      <c r="I1421" s="1">
        <v>977.48</v>
      </c>
      <c r="J1421" s="1">
        <v>7</v>
      </c>
      <c r="K1421" s="1">
        <v>6842.36</v>
      </c>
      <c r="L1421" s="1">
        <v>15</v>
      </c>
      <c r="M1421" s="1">
        <v>1026.3499999999999</v>
      </c>
      <c r="N1421" s="1">
        <v>5816.01</v>
      </c>
      <c r="O1421" s="1" t="s">
        <v>46</v>
      </c>
      <c r="P1421" s="1" t="s">
        <v>1926</v>
      </c>
      <c r="Q1421" s="1">
        <v>3</v>
      </c>
      <c r="R1421" s="1">
        <f>Retail_Sales_Analyis[[#This Row],[Final_Price]]-Retail_Sales_Analyis[[#This Row],[Total_Price]]</f>
        <v>-1026.3499999999995</v>
      </c>
      <c r="S14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22" spans="1:19" x14ac:dyDescent="0.25">
      <c r="A1422" s="1" t="s">
        <v>2313</v>
      </c>
      <c r="B1422" s="2">
        <v>45412</v>
      </c>
      <c r="C1422" s="1" t="s">
        <v>54</v>
      </c>
      <c r="D1422" s="1" t="s">
        <v>28</v>
      </c>
      <c r="E1422" s="1" t="s">
        <v>129</v>
      </c>
      <c r="F1422" s="1" t="s">
        <v>21</v>
      </c>
      <c r="G1422" s="1" t="s">
        <v>85</v>
      </c>
      <c r="H1422" s="1" t="s">
        <v>297</v>
      </c>
      <c r="I1422" s="1">
        <v>3955.6</v>
      </c>
      <c r="J1422" s="1">
        <v>10</v>
      </c>
      <c r="K1422" s="1">
        <v>39556</v>
      </c>
      <c r="L1422" s="1">
        <v>0</v>
      </c>
      <c r="M1422" s="1">
        <v>0</v>
      </c>
      <c r="N1422" s="1">
        <v>39556</v>
      </c>
      <c r="O1422" s="1" t="s">
        <v>46</v>
      </c>
      <c r="P1422" s="1" t="s">
        <v>1061</v>
      </c>
      <c r="Q1422" s="1">
        <v>2</v>
      </c>
      <c r="R1422" s="1">
        <f>Retail_Sales_Analyis[[#This Row],[Final_Price]]-Retail_Sales_Analyis[[#This Row],[Total_Price]]</f>
        <v>0</v>
      </c>
      <c r="S14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23" spans="1:19" x14ac:dyDescent="0.25">
      <c r="A1423" s="1" t="s">
        <v>2314</v>
      </c>
      <c r="B1423" s="2">
        <v>45477</v>
      </c>
      <c r="C1423" s="1" t="s">
        <v>195</v>
      </c>
      <c r="D1423" s="1" t="s">
        <v>67</v>
      </c>
      <c r="E1423" s="1" t="s">
        <v>56</v>
      </c>
      <c r="F1423" s="1" t="s">
        <v>37</v>
      </c>
      <c r="G1423" s="1" t="s">
        <v>112</v>
      </c>
      <c r="H1423" s="1" t="s">
        <v>113</v>
      </c>
      <c r="I1423" s="1">
        <v>793.78</v>
      </c>
      <c r="J1423" s="1">
        <v>4</v>
      </c>
      <c r="K1423" s="1">
        <v>3175.12</v>
      </c>
      <c r="L1423" s="1">
        <v>0</v>
      </c>
      <c r="M1423" s="1">
        <v>0</v>
      </c>
      <c r="N1423" s="1">
        <v>3175.12</v>
      </c>
      <c r="O1423" s="1" t="s">
        <v>64</v>
      </c>
      <c r="P1423" s="1" t="s">
        <v>2315</v>
      </c>
      <c r="Q1423" s="1">
        <v>3</v>
      </c>
      <c r="R1423" s="1">
        <f>Retail_Sales_Analyis[[#This Row],[Final_Price]]-Retail_Sales_Analyis[[#This Row],[Total_Price]]</f>
        <v>0</v>
      </c>
      <c r="S14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24" spans="1:19" x14ac:dyDescent="0.25">
      <c r="A1424" s="1" t="s">
        <v>2316</v>
      </c>
      <c r="B1424" s="2">
        <v>45342</v>
      </c>
      <c r="C1424" s="1" t="s">
        <v>27</v>
      </c>
      <c r="D1424" s="1" t="s">
        <v>28</v>
      </c>
      <c r="E1424" s="1" t="s">
        <v>328</v>
      </c>
      <c r="F1424" s="1" t="s">
        <v>30</v>
      </c>
      <c r="G1424" s="1" t="s">
        <v>31</v>
      </c>
      <c r="H1424" s="1" t="s">
        <v>250</v>
      </c>
      <c r="I1424" s="1">
        <v>328.39</v>
      </c>
      <c r="J1424" s="1">
        <v>1</v>
      </c>
      <c r="K1424" s="1">
        <v>328.39</v>
      </c>
      <c r="L1424" s="1">
        <v>0</v>
      </c>
      <c r="M1424" s="1">
        <v>0</v>
      </c>
      <c r="N1424" s="1">
        <v>328.39</v>
      </c>
      <c r="O1424" s="1" t="s">
        <v>64</v>
      </c>
      <c r="P1424" s="1" t="s">
        <v>723</v>
      </c>
      <c r="Q1424" s="1">
        <v>3</v>
      </c>
      <c r="R1424" s="1">
        <f>Retail_Sales_Analyis[[#This Row],[Final_Price]]-Retail_Sales_Analyis[[#This Row],[Total_Price]]</f>
        <v>0</v>
      </c>
      <c r="S14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25" spans="1:19" x14ac:dyDescent="0.25">
      <c r="A1425" s="1" t="s">
        <v>2317</v>
      </c>
      <c r="B1425" s="2">
        <v>45643</v>
      </c>
      <c r="C1425" s="1" t="s">
        <v>73</v>
      </c>
      <c r="D1425" s="1" t="s">
        <v>28</v>
      </c>
      <c r="E1425" s="1" t="s">
        <v>236</v>
      </c>
      <c r="F1425" s="1" t="s">
        <v>30</v>
      </c>
      <c r="G1425" s="1" t="s">
        <v>22</v>
      </c>
      <c r="H1425" s="1" t="s">
        <v>23</v>
      </c>
      <c r="I1425" s="1">
        <v>750.33</v>
      </c>
      <c r="J1425" s="1">
        <v>3</v>
      </c>
      <c r="K1425" s="1">
        <v>2250.9899999999998</v>
      </c>
      <c r="L1425" s="1">
        <v>5</v>
      </c>
      <c r="M1425" s="1">
        <v>112.55</v>
      </c>
      <c r="N1425" s="1">
        <v>2138.44</v>
      </c>
      <c r="O1425" s="1" t="s">
        <v>33</v>
      </c>
      <c r="P1425" s="1" t="s">
        <v>823</v>
      </c>
      <c r="Q1425" s="1">
        <v>1</v>
      </c>
      <c r="R1425" s="1">
        <f>Retail_Sales_Analyis[[#This Row],[Final_Price]]-Retail_Sales_Analyis[[#This Row],[Total_Price]]</f>
        <v>-112.54999999999973</v>
      </c>
      <c r="S14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26" spans="1:19" x14ac:dyDescent="0.25">
      <c r="A1426" s="1" t="s">
        <v>2318</v>
      </c>
      <c r="B1426" s="2">
        <v>45480</v>
      </c>
      <c r="C1426" s="1" t="s">
        <v>195</v>
      </c>
      <c r="D1426" s="1" t="s">
        <v>49</v>
      </c>
      <c r="E1426" s="1" t="s">
        <v>261</v>
      </c>
      <c r="F1426" s="1" t="s">
        <v>37</v>
      </c>
      <c r="G1426" s="1" t="s">
        <v>85</v>
      </c>
      <c r="H1426" s="1" t="s">
        <v>86</v>
      </c>
      <c r="I1426" s="1">
        <v>1434.1</v>
      </c>
      <c r="J1426" s="1">
        <v>3</v>
      </c>
      <c r="K1426" s="1">
        <v>4302.3</v>
      </c>
      <c r="L1426" s="1">
        <v>0</v>
      </c>
      <c r="M1426" s="1">
        <v>0</v>
      </c>
      <c r="N1426" s="1">
        <v>4302.3</v>
      </c>
      <c r="O1426" s="1" t="s">
        <v>24</v>
      </c>
      <c r="P1426" s="1" t="s">
        <v>841</v>
      </c>
      <c r="Q1426" s="1">
        <v>2</v>
      </c>
      <c r="R1426" s="1">
        <f>Retail_Sales_Analyis[[#This Row],[Final_Price]]-Retail_Sales_Analyis[[#This Row],[Total_Price]]</f>
        <v>0</v>
      </c>
      <c r="S14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27" spans="1:19" x14ac:dyDescent="0.25">
      <c r="A1427" s="1" t="s">
        <v>2319</v>
      </c>
      <c r="B1427" s="2">
        <v>45570</v>
      </c>
      <c r="C1427" s="1" t="s">
        <v>76</v>
      </c>
      <c r="D1427" s="1" t="s">
        <v>19</v>
      </c>
      <c r="E1427" s="1" t="s">
        <v>132</v>
      </c>
      <c r="F1427" s="1" t="s">
        <v>84</v>
      </c>
      <c r="G1427" s="1" t="s">
        <v>57</v>
      </c>
      <c r="H1427" s="1" t="s">
        <v>101</v>
      </c>
      <c r="I1427" s="1">
        <v>945.19</v>
      </c>
      <c r="J1427" s="1">
        <v>9</v>
      </c>
      <c r="K1427" s="1">
        <v>8506.7099999999991</v>
      </c>
      <c r="L1427" s="1">
        <v>15</v>
      </c>
      <c r="M1427" s="1">
        <v>1276.01</v>
      </c>
      <c r="N1427" s="1">
        <v>7230.7</v>
      </c>
      <c r="O1427" s="1" t="s">
        <v>80</v>
      </c>
      <c r="P1427" s="1" t="s">
        <v>1633</v>
      </c>
      <c r="Q1427" s="1">
        <v>5</v>
      </c>
      <c r="R1427" s="1">
        <f>Retail_Sales_Analyis[[#This Row],[Final_Price]]-Retail_Sales_Analyis[[#This Row],[Total_Price]]</f>
        <v>-1276.0099999999993</v>
      </c>
      <c r="S14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28" spans="1:19" x14ac:dyDescent="0.25">
      <c r="A1428" s="1" t="s">
        <v>2320</v>
      </c>
      <c r="B1428" s="2">
        <v>45622</v>
      </c>
      <c r="C1428" s="1" t="s">
        <v>18</v>
      </c>
      <c r="D1428" s="1" t="s">
        <v>28</v>
      </c>
      <c r="E1428" s="1" t="s">
        <v>312</v>
      </c>
      <c r="F1428" s="1" t="s">
        <v>69</v>
      </c>
      <c r="G1428" s="1" t="s">
        <v>31</v>
      </c>
      <c r="H1428" s="1" t="s">
        <v>250</v>
      </c>
      <c r="I1428" s="1">
        <v>422.95</v>
      </c>
      <c r="J1428" s="1">
        <v>10</v>
      </c>
      <c r="K1428" s="1">
        <v>4229.5</v>
      </c>
      <c r="L1428" s="1">
        <v>10</v>
      </c>
      <c r="M1428" s="1">
        <v>422.95</v>
      </c>
      <c r="N1428" s="1">
        <v>3806.55</v>
      </c>
      <c r="O1428" s="1" t="s">
        <v>80</v>
      </c>
      <c r="P1428" s="1" t="s">
        <v>2321</v>
      </c>
      <c r="Q1428" s="1">
        <v>2</v>
      </c>
      <c r="R1428" s="1">
        <f>Retail_Sales_Analyis[[#This Row],[Final_Price]]-Retail_Sales_Analyis[[#This Row],[Total_Price]]</f>
        <v>-422.94999999999982</v>
      </c>
      <c r="S14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29" spans="1:19" x14ac:dyDescent="0.25">
      <c r="A1429" s="1" t="s">
        <v>2322</v>
      </c>
      <c r="B1429" s="2">
        <v>45475</v>
      </c>
      <c r="C1429" s="1" t="s">
        <v>195</v>
      </c>
      <c r="D1429" s="1" t="s">
        <v>28</v>
      </c>
      <c r="E1429" s="1" t="s">
        <v>207</v>
      </c>
      <c r="F1429" s="1" t="s">
        <v>30</v>
      </c>
      <c r="G1429" s="1" t="s">
        <v>31</v>
      </c>
      <c r="H1429" s="1" t="s">
        <v>63</v>
      </c>
      <c r="I1429" s="1">
        <v>192.08</v>
      </c>
      <c r="J1429" s="1">
        <v>10</v>
      </c>
      <c r="K1429" s="1">
        <v>1920.8</v>
      </c>
      <c r="L1429" s="1">
        <v>0</v>
      </c>
      <c r="M1429" s="1">
        <v>0</v>
      </c>
      <c r="N1429" s="1">
        <v>1920.8</v>
      </c>
      <c r="O1429" s="1" t="s">
        <v>24</v>
      </c>
      <c r="P1429" s="1" t="s">
        <v>257</v>
      </c>
      <c r="Q1429" s="1">
        <v>2</v>
      </c>
      <c r="R1429" s="1">
        <f>Retail_Sales_Analyis[[#This Row],[Final_Price]]-Retail_Sales_Analyis[[#This Row],[Total_Price]]</f>
        <v>0</v>
      </c>
      <c r="S14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0" spans="1:19" x14ac:dyDescent="0.25">
      <c r="A1430" s="1" t="s">
        <v>2323</v>
      </c>
      <c r="B1430" s="2">
        <v>45323</v>
      </c>
      <c r="C1430" s="1" t="s">
        <v>27</v>
      </c>
      <c r="D1430" s="1" t="s">
        <v>67</v>
      </c>
      <c r="E1430" s="1" t="s">
        <v>125</v>
      </c>
      <c r="F1430" s="1" t="s">
        <v>84</v>
      </c>
      <c r="G1430" s="1" t="s">
        <v>31</v>
      </c>
      <c r="H1430" s="1" t="s">
        <v>329</v>
      </c>
      <c r="I1430" s="1">
        <v>443.63</v>
      </c>
      <c r="J1430" s="1">
        <v>2</v>
      </c>
      <c r="K1430" s="1">
        <v>887.26</v>
      </c>
      <c r="L1430" s="1">
        <v>20</v>
      </c>
      <c r="M1430" s="1">
        <v>177.45</v>
      </c>
      <c r="N1430" s="1">
        <v>709.81</v>
      </c>
      <c r="O1430" s="1" t="s">
        <v>64</v>
      </c>
      <c r="P1430" s="1" t="s">
        <v>2324</v>
      </c>
      <c r="Q1430" s="1">
        <v>1</v>
      </c>
      <c r="R1430" s="1">
        <f>Retail_Sales_Analyis[[#This Row],[Final_Price]]-Retail_Sales_Analyis[[#This Row],[Total_Price]]</f>
        <v>-177.45000000000005</v>
      </c>
      <c r="S14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31" spans="1:19" x14ac:dyDescent="0.25">
      <c r="A1431" s="1" t="s">
        <v>2325</v>
      </c>
      <c r="B1431" s="2">
        <v>45495</v>
      </c>
      <c r="C1431" s="1" t="s">
        <v>195</v>
      </c>
      <c r="D1431" s="1" t="s">
        <v>43</v>
      </c>
      <c r="E1431" s="1" t="s">
        <v>139</v>
      </c>
      <c r="F1431" s="1" t="s">
        <v>21</v>
      </c>
      <c r="G1431" s="1" t="s">
        <v>169</v>
      </c>
      <c r="H1431" s="1" t="s">
        <v>170</v>
      </c>
      <c r="I1431" s="1">
        <v>875.19</v>
      </c>
      <c r="J1431" s="1">
        <v>10</v>
      </c>
      <c r="K1431" s="1">
        <v>8751.9</v>
      </c>
      <c r="L1431" s="1">
        <v>15</v>
      </c>
      <c r="M1431" s="1">
        <v>1312.78</v>
      </c>
      <c r="N1431" s="1">
        <v>7439.12</v>
      </c>
      <c r="O1431" s="1" t="s">
        <v>64</v>
      </c>
      <c r="P1431" s="1" t="s">
        <v>995</v>
      </c>
      <c r="Q1431" s="1">
        <v>1</v>
      </c>
      <c r="R1431" s="1">
        <f>Retail_Sales_Analyis[[#This Row],[Final_Price]]-Retail_Sales_Analyis[[#This Row],[Total_Price]]</f>
        <v>-1312.7799999999997</v>
      </c>
      <c r="S14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32" spans="1:19" x14ac:dyDescent="0.25">
      <c r="A1432" s="1" t="s">
        <v>2326</v>
      </c>
      <c r="B1432" s="2">
        <v>45433</v>
      </c>
      <c r="C1432" s="1" t="s">
        <v>42</v>
      </c>
      <c r="D1432" s="1" t="s">
        <v>28</v>
      </c>
      <c r="E1432" s="1" t="s">
        <v>192</v>
      </c>
      <c r="F1432" s="1" t="s">
        <v>21</v>
      </c>
      <c r="G1432" s="1" t="s">
        <v>57</v>
      </c>
      <c r="H1432" s="1" t="s">
        <v>101</v>
      </c>
      <c r="I1432" s="1">
        <v>873.35</v>
      </c>
      <c r="J1432" s="1">
        <v>1</v>
      </c>
      <c r="K1432" s="1">
        <v>873.35</v>
      </c>
      <c r="L1432" s="1">
        <v>10</v>
      </c>
      <c r="M1432" s="1">
        <v>87.34</v>
      </c>
      <c r="N1432" s="1">
        <v>786.01</v>
      </c>
      <c r="O1432" s="1" t="s">
        <v>80</v>
      </c>
      <c r="P1432" s="1" t="s">
        <v>995</v>
      </c>
      <c r="Q1432" s="1">
        <v>5</v>
      </c>
      <c r="R1432" s="1">
        <f>Retail_Sales_Analyis[[#This Row],[Final_Price]]-Retail_Sales_Analyis[[#This Row],[Total_Price]]</f>
        <v>-87.340000000000032</v>
      </c>
      <c r="S14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33" spans="1:19" x14ac:dyDescent="0.25">
      <c r="A1433" s="1" t="s">
        <v>2327</v>
      </c>
      <c r="B1433" s="2">
        <v>45389</v>
      </c>
      <c r="C1433" s="1" t="s">
        <v>54</v>
      </c>
      <c r="D1433" s="1" t="s">
        <v>49</v>
      </c>
      <c r="E1433" s="1" t="s">
        <v>163</v>
      </c>
      <c r="F1433" s="1" t="s">
        <v>21</v>
      </c>
      <c r="G1433" s="1" t="s">
        <v>169</v>
      </c>
      <c r="H1433" s="1" t="s">
        <v>175</v>
      </c>
      <c r="I1433" s="1">
        <v>930.09</v>
      </c>
      <c r="J1433" s="1">
        <v>2</v>
      </c>
      <c r="K1433" s="1">
        <v>1860.18</v>
      </c>
      <c r="L1433" s="1">
        <v>0</v>
      </c>
      <c r="M1433" s="1">
        <v>0</v>
      </c>
      <c r="N1433" s="1">
        <v>1860.18</v>
      </c>
      <c r="O1433" s="1" t="s">
        <v>46</v>
      </c>
      <c r="P1433" s="1" t="s">
        <v>2328</v>
      </c>
      <c r="Q1433" s="1">
        <v>3</v>
      </c>
      <c r="R1433" s="1">
        <f>Retail_Sales_Analyis[[#This Row],[Final_Price]]-Retail_Sales_Analyis[[#This Row],[Total_Price]]</f>
        <v>0</v>
      </c>
      <c r="S14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4" spans="1:19" x14ac:dyDescent="0.25">
      <c r="A1434" s="1" t="s">
        <v>2329</v>
      </c>
      <c r="B1434" s="2">
        <v>45354</v>
      </c>
      <c r="C1434" s="1" t="s">
        <v>61</v>
      </c>
      <c r="D1434" s="1" t="s">
        <v>49</v>
      </c>
      <c r="E1434" s="1" t="s">
        <v>139</v>
      </c>
      <c r="F1434" s="1" t="s">
        <v>21</v>
      </c>
      <c r="G1434" s="1" t="s">
        <v>85</v>
      </c>
      <c r="H1434" s="1" t="s">
        <v>297</v>
      </c>
      <c r="I1434" s="1">
        <v>2710.88</v>
      </c>
      <c r="J1434" s="1">
        <v>4</v>
      </c>
      <c r="K1434" s="1">
        <v>10843.52</v>
      </c>
      <c r="L1434" s="1">
        <v>0</v>
      </c>
      <c r="M1434" s="1">
        <v>0</v>
      </c>
      <c r="N1434" s="1">
        <v>10843.52</v>
      </c>
      <c r="O1434" s="1" t="s">
        <v>64</v>
      </c>
      <c r="P1434" s="1" t="s">
        <v>2330</v>
      </c>
      <c r="Q1434" s="1">
        <v>1</v>
      </c>
      <c r="R1434" s="1">
        <f>Retail_Sales_Analyis[[#This Row],[Final_Price]]-Retail_Sales_Analyis[[#This Row],[Total_Price]]</f>
        <v>0</v>
      </c>
      <c r="S14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5" spans="1:19" x14ac:dyDescent="0.25">
      <c r="A1435" s="1" t="s">
        <v>2331</v>
      </c>
      <c r="B1435" s="2">
        <v>45524</v>
      </c>
      <c r="C1435" s="1" t="s">
        <v>93</v>
      </c>
      <c r="D1435" s="1" t="s">
        <v>28</v>
      </c>
      <c r="E1435" s="1" t="s">
        <v>236</v>
      </c>
      <c r="F1435" s="1" t="s">
        <v>30</v>
      </c>
      <c r="G1435" s="1" t="s">
        <v>31</v>
      </c>
      <c r="H1435" s="1" t="s">
        <v>329</v>
      </c>
      <c r="I1435" s="1">
        <v>239.96</v>
      </c>
      <c r="J1435" s="1">
        <v>9</v>
      </c>
      <c r="K1435" s="1">
        <v>2159.64</v>
      </c>
      <c r="L1435" s="1">
        <v>0</v>
      </c>
      <c r="M1435" s="1">
        <v>0</v>
      </c>
      <c r="N1435" s="1">
        <v>2159.64</v>
      </c>
      <c r="O1435" s="1" t="s">
        <v>46</v>
      </c>
      <c r="P1435" s="1" t="s">
        <v>582</v>
      </c>
      <c r="Q1435" s="1">
        <v>4</v>
      </c>
      <c r="R1435" s="1">
        <f>Retail_Sales_Analyis[[#This Row],[Final_Price]]-Retail_Sales_Analyis[[#This Row],[Total_Price]]</f>
        <v>0</v>
      </c>
      <c r="S14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6" spans="1:19" x14ac:dyDescent="0.25">
      <c r="A1436" s="1" t="s">
        <v>2332</v>
      </c>
      <c r="B1436" s="2">
        <v>45338</v>
      </c>
      <c r="C1436" s="1" t="s">
        <v>27</v>
      </c>
      <c r="D1436" s="1" t="s">
        <v>144</v>
      </c>
      <c r="E1436" s="1" t="s">
        <v>204</v>
      </c>
      <c r="F1436" s="1" t="s">
        <v>37</v>
      </c>
      <c r="G1436" s="1" t="s">
        <v>78</v>
      </c>
      <c r="H1436" s="1" t="s">
        <v>79</v>
      </c>
      <c r="I1436" s="1">
        <v>164.9</v>
      </c>
      <c r="J1436" s="1">
        <v>1</v>
      </c>
      <c r="K1436" s="1">
        <v>164.9</v>
      </c>
      <c r="L1436" s="1">
        <v>20</v>
      </c>
      <c r="M1436" s="1">
        <v>32.979999999999997</v>
      </c>
      <c r="N1436" s="1">
        <v>131.91999999999999</v>
      </c>
      <c r="O1436" s="1" t="s">
        <v>24</v>
      </c>
      <c r="P1436" s="1" t="s">
        <v>2333</v>
      </c>
      <c r="Q1436" s="1">
        <v>1</v>
      </c>
      <c r="R1436" s="1">
        <f>Retail_Sales_Analyis[[#This Row],[Final_Price]]-Retail_Sales_Analyis[[#This Row],[Total_Price]]</f>
        <v>-32.980000000000018</v>
      </c>
      <c r="S14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37" spans="1:19" x14ac:dyDescent="0.25">
      <c r="A1437" s="1" t="s">
        <v>2334</v>
      </c>
      <c r="B1437" s="2">
        <v>45631</v>
      </c>
      <c r="C1437" s="1" t="s">
        <v>73</v>
      </c>
      <c r="D1437" s="1" t="s">
        <v>67</v>
      </c>
      <c r="E1437" s="1" t="s">
        <v>83</v>
      </c>
      <c r="F1437" s="1" t="s">
        <v>37</v>
      </c>
      <c r="G1437" s="1" t="s">
        <v>78</v>
      </c>
      <c r="H1437" s="1" t="s">
        <v>146</v>
      </c>
      <c r="I1437" s="1">
        <v>490.9</v>
      </c>
      <c r="J1437" s="1">
        <v>10</v>
      </c>
      <c r="K1437" s="1">
        <v>4909</v>
      </c>
      <c r="L1437" s="1">
        <v>0</v>
      </c>
      <c r="M1437" s="1">
        <v>0</v>
      </c>
      <c r="N1437" s="1">
        <v>4909</v>
      </c>
      <c r="O1437" s="1" t="s">
        <v>24</v>
      </c>
      <c r="P1437" s="1" t="s">
        <v>2335</v>
      </c>
      <c r="Q1437" s="1">
        <v>2</v>
      </c>
      <c r="R1437" s="1">
        <f>Retail_Sales_Analyis[[#This Row],[Final_Price]]-Retail_Sales_Analyis[[#This Row],[Total_Price]]</f>
        <v>0</v>
      </c>
      <c r="S14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8" spans="1:19" x14ac:dyDescent="0.25">
      <c r="A1438" s="1" t="s">
        <v>2336</v>
      </c>
      <c r="B1438" s="2">
        <v>45400</v>
      </c>
      <c r="C1438" s="1" t="s">
        <v>54</v>
      </c>
      <c r="D1438" s="1" t="s">
        <v>67</v>
      </c>
      <c r="E1438" s="1" t="s">
        <v>166</v>
      </c>
      <c r="F1438" s="1" t="s">
        <v>69</v>
      </c>
      <c r="G1438" s="1" t="s">
        <v>78</v>
      </c>
      <c r="H1438" s="1" t="s">
        <v>79</v>
      </c>
      <c r="I1438" s="1">
        <v>504.36</v>
      </c>
      <c r="J1438" s="1">
        <v>10</v>
      </c>
      <c r="K1438" s="1">
        <v>5043.6000000000004</v>
      </c>
      <c r="L1438" s="1">
        <v>0</v>
      </c>
      <c r="M1438" s="1">
        <v>0</v>
      </c>
      <c r="N1438" s="1">
        <v>5043.6000000000004</v>
      </c>
      <c r="O1438" s="1" t="s">
        <v>64</v>
      </c>
      <c r="P1438" s="1" t="s">
        <v>1898</v>
      </c>
      <c r="Q1438" s="1">
        <v>3</v>
      </c>
      <c r="R1438" s="1">
        <f>Retail_Sales_Analyis[[#This Row],[Final_Price]]-Retail_Sales_Analyis[[#This Row],[Total_Price]]</f>
        <v>0</v>
      </c>
      <c r="S14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39" spans="1:19" x14ac:dyDescent="0.25">
      <c r="A1439" s="1" t="s">
        <v>2337</v>
      </c>
      <c r="B1439" s="2">
        <v>45620</v>
      </c>
      <c r="C1439" s="1" t="s">
        <v>18</v>
      </c>
      <c r="D1439" s="1" t="s">
        <v>49</v>
      </c>
      <c r="E1439" s="1" t="s">
        <v>141</v>
      </c>
      <c r="F1439" s="1" t="s">
        <v>21</v>
      </c>
      <c r="G1439" s="1" t="s">
        <v>169</v>
      </c>
      <c r="H1439" s="1" t="s">
        <v>170</v>
      </c>
      <c r="I1439" s="1">
        <v>1074.73</v>
      </c>
      <c r="J1439" s="1">
        <v>5</v>
      </c>
      <c r="K1439" s="1">
        <v>5373.65</v>
      </c>
      <c r="L1439" s="1">
        <v>0</v>
      </c>
      <c r="M1439" s="1">
        <v>0</v>
      </c>
      <c r="N1439" s="1">
        <v>5373.65</v>
      </c>
      <c r="O1439" s="1" t="s">
        <v>64</v>
      </c>
      <c r="P1439" s="1" t="s">
        <v>1579</v>
      </c>
      <c r="Q1439" s="1">
        <v>1</v>
      </c>
      <c r="R1439" s="1">
        <f>Retail_Sales_Analyis[[#This Row],[Final_Price]]-Retail_Sales_Analyis[[#This Row],[Total_Price]]</f>
        <v>0</v>
      </c>
      <c r="S14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40" spans="1:19" x14ac:dyDescent="0.25">
      <c r="A1440" s="1" t="s">
        <v>2338</v>
      </c>
      <c r="B1440" s="2">
        <v>45619</v>
      </c>
      <c r="C1440" s="1" t="s">
        <v>18</v>
      </c>
      <c r="D1440" s="1" t="s">
        <v>19</v>
      </c>
      <c r="E1440" s="1" t="s">
        <v>213</v>
      </c>
      <c r="F1440" s="1" t="s">
        <v>84</v>
      </c>
      <c r="G1440" s="1" t="s">
        <v>31</v>
      </c>
      <c r="H1440" s="1" t="s">
        <v>63</v>
      </c>
      <c r="I1440" s="1">
        <v>271.01</v>
      </c>
      <c r="J1440" s="1">
        <v>2</v>
      </c>
      <c r="K1440" s="1">
        <v>542.02</v>
      </c>
      <c r="L1440" s="1">
        <v>0</v>
      </c>
      <c r="M1440" s="1">
        <v>0</v>
      </c>
      <c r="N1440" s="1">
        <v>542.02</v>
      </c>
      <c r="O1440" s="1" t="s">
        <v>64</v>
      </c>
      <c r="P1440" s="1" t="s">
        <v>1701</v>
      </c>
      <c r="Q1440" s="1">
        <v>3</v>
      </c>
      <c r="R1440" s="1">
        <f>Retail_Sales_Analyis[[#This Row],[Final_Price]]-Retail_Sales_Analyis[[#This Row],[Total_Price]]</f>
        <v>0</v>
      </c>
      <c r="S14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41" spans="1:19" x14ac:dyDescent="0.25">
      <c r="A1441" s="1" t="s">
        <v>2339</v>
      </c>
      <c r="B1441" s="2">
        <v>45597</v>
      </c>
      <c r="C1441" s="1" t="s">
        <v>18</v>
      </c>
      <c r="D1441" s="1" t="s">
        <v>144</v>
      </c>
      <c r="E1441" s="1" t="s">
        <v>337</v>
      </c>
      <c r="F1441" s="1" t="s">
        <v>37</v>
      </c>
      <c r="G1441" s="1" t="s">
        <v>112</v>
      </c>
      <c r="H1441" s="1" t="s">
        <v>118</v>
      </c>
      <c r="I1441" s="1">
        <v>1069.17</v>
      </c>
      <c r="J1441" s="1">
        <v>1</v>
      </c>
      <c r="K1441" s="1">
        <v>1069.17</v>
      </c>
      <c r="L1441" s="1">
        <v>10</v>
      </c>
      <c r="M1441" s="1">
        <v>106.92</v>
      </c>
      <c r="N1441" s="1">
        <v>962.25</v>
      </c>
      <c r="O1441" s="1" t="s">
        <v>33</v>
      </c>
      <c r="P1441" s="1" t="s">
        <v>1183</v>
      </c>
      <c r="Q1441" s="1">
        <v>4</v>
      </c>
      <c r="R1441" s="1">
        <f>Retail_Sales_Analyis[[#This Row],[Final_Price]]-Retail_Sales_Analyis[[#This Row],[Total_Price]]</f>
        <v>-106.92000000000007</v>
      </c>
      <c r="S14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42" spans="1:19" x14ac:dyDescent="0.25">
      <c r="A1442" s="1" t="s">
        <v>2340</v>
      </c>
      <c r="B1442" s="2">
        <v>45302</v>
      </c>
      <c r="C1442" s="1" t="s">
        <v>36</v>
      </c>
      <c r="D1442" s="1" t="s">
        <v>67</v>
      </c>
      <c r="E1442" s="1" t="s">
        <v>239</v>
      </c>
      <c r="F1442" s="1" t="s">
        <v>30</v>
      </c>
      <c r="G1442" s="1" t="s">
        <v>112</v>
      </c>
      <c r="H1442" s="1" t="s">
        <v>223</v>
      </c>
      <c r="I1442" s="1">
        <v>1493.06</v>
      </c>
      <c r="J1442" s="1">
        <v>4</v>
      </c>
      <c r="K1442" s="1">
        <v>5972.24</v>
      </c>
      <c r="L1442" s="1">
        <v>5</v>
      </c>
      <c r="M1442" s="1">
        <v>298.61</v>
      </c>
      <c r="N1442" s="1">
        <v>5673.63</v>
      </c>
      <c r="O1442" s="1" t="s">
        <v>46</v>
      </c>
      <c r="P1442" s="1" t="s">
        <v>153</v>
      </c>
      <c r="Q1442" s="1">
        <v>3</v>
      </c>
      <c r="R1442" s="1">
        <f>Retail_Sales_Analyis[[#This Row],[Final_Price]]-Retail_Sales_Analyis[[#This Row],[Total_Price]]</f>
        <v>-298.60999999999967</v>
      </c>
      <c r="S14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43" spans="1:19" x14ac:dyDescent="0.25">
      <c r="A1443" s="1" t="s">
        <v>2341</v>
      </c>
      <c r="B1443" s="2">
        <v>45317</v>
      </c>
      <c r="C1443" s="1" t="s">
        <v>36</v>
      </c>
      <c r="D1443" s="1" t="s">
        <v>144</v>
      </c>
      <c r="E1443" s="1" t="s">
        <v>261</v>
      </c>
      <c r="F1443" s="1" t="s">
        <v>21</v>
      </c>
      <c r="G1443" s="1" t="s">
        <v>38</v>
      </c>
      <c r="H1443" s="1" t="s">
        <v>70</v>
      </c>
      <c r="I1443" s="1">
        <v>204.97</v>
      </c>
      <c r="J1443" s="1">
        <v>7</v>
      </c>
      <c r="K1443" s="1">
        <v>1434.79</v>
      </c>
      <c r="L1443" s="1">
        <v>10</v>
      </c>
      <c r="M1443" s="1">
        <v>143.47999999999999</v>
      </c>
      <c r="N1443" s="1">
        <v>1291.31</v>
      </c>
      <c r="O1443" s="1" t="s">
        <v>24</v>
      </c>
      <c r="P1443" s="1" t="s">
        <v>2342</v>
      </c>
      <c r="Q1443" s="1">
        <v>2</v>
      </c>
      <c r="R1443" s="1">
        <f>Retail_Sales_Analyis[[#This Row],[Final_Price]]-Retail_Sales_Analyis[[#This Row],[Total_Price]]</f>
        <v>-143.48000000000002</v>
      </c>
      <c r="S14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44" spans="1:19" x14ac:dyDescent="0.25">
      <c r="A1444" s="1" t="s">
        <v>2343</v>
      </c>
      <c r="B1444" s="2">
        <v>45462</v>
      </c>
      <c r="C1444" s="1" t="s">
        <v>173</v>
      </c>
      <c r="D1444" s="1" t="s">
        <v>55</v>
      </c>
      <c r="E1444" s="1" t="s">
        <v>351</v>
      </c>
      <c r="F1444" s="1" t="s">
        <v>21</v>
      </c>
      <c r="G1444" s="1" t="s">
        <v>38</v>
      </c>
      <c r="H1444" s="1" t="s">
        <v>70</v>
      </c>
      <c r="I1444" s="1">
        <v>259.49</v>
      </c>
      <c r="J1444" s="1">
        <v>6</v>
      </c>
      <c r="K1444" s="1">
        <v>1556.94</v>
      </c>
      <c r="L1444" s="1">
        <v>0</v>
      </c>
      <c r="M1444" s="1">
        <v>0</v>
      </c>
      <c r="N1444" s="1">
        <v>1556.94</v>
      </c>
      <c r="O1444" s="1" t="s">
        <v>24</v>
      </c>
      <c r="P1444" s="1" t="s">
        <v>2344</v>
      </c>
      <c r="Q1444" s="1">
        <v>3</v>
      </c>
      <c r="R1444" s="1">
        <f>Retail_Sales_Analyis[[#This Row],[Final_Price]]-Retail_Sales_Analyis[[#This Row],[Total_Price]]</f>
        <v>0</v>
      </c>
      <c r="S14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45" spans="1:19" x14ac:dyDescent="0.25">
      <c r="A1445" s="1" t="s">
        <v>2345</v>
      </c>
      <c r="B1445" s="2">
        <v>45416</v>
      </c>
      <c r="C1445" s="1" t="s">
        <v>42</v>
      </c>
      <c r="D1445" s="1" t="s">
        <v>19</v>
      </c>
      <c r="E1445" s="1" t="s">
        <v>261</v>
      </c>
      <c r="F1445" s="1" t="s">
        <v>21</v>
      </c>
      <c r="G1445" s="1" t="s">
        <v>22</v>
      </c>
      <c r="H1445" s="1" t="s">
        <v>133</v>
      </c>
      <c r="I1445" s="1">
        <v>642.03</v>
      </c>
      <c r="J1445" s="1">
        <v>1</v>
      </c>
      <c r="K1445" s="1">
        <v>642.03</v>
      </c>
      <c r="L1445" s="1">
        <v>15</v>
      </c>
      <c r="M1445" s="1">
        <v>96.3</v>
      </c>
      <c r="N1445" s="1">
        <v>545.73</v>
      </c>
      <c r="O1445" s="1" t="s">
        <v>33</v>
      </c>
      <c r="P1445" s="1" t="s">
        <v>675</v>
      </c>
      <c r="Q1445" s="1">
        <v>1</v>
      </c>
      <c r="R1445" s="1">
        <f>Retail_Sales_Analyis[[#This Row],[Final_Price]]-Retail_Sales_Analyis[[#This Row],[Total_Price]]</f>
        <v>-96.299999999999955</v>
      </c>
      <c r="S14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46" spans="1:19" x14ac:dyDescent="0.25">
      <c r="A1446" s="1" t="s">
        <v>2346</v>
      </c>
      <c r="B1446" s="2">
        <v>45356</v>
      </c>
      <c r="C1446" s="1" t="s">
        <v>61</v>
      </c>
      <c r="D1446" s="1" t="s">
        <v>28</v>
      </c>
      <c r="E1446" s="1" t="s">
        <v>337</v>
      </c>
      <c r="F1446" s="1" t="s">
        <v>84</v>
      </c>
      <c r="G1446" s="1" t="s">
        <v>22</v>
      </c>
      <c r="H1446" s="1" t="s">
        <v>187</v>
      </c>
      <c r="I1446" s="1">
        <v>884.82</v>
      </c>
      <c r="J1446" s="1">
        <v>9</v>
      </c>
      <c r="K1446" s="1">
        <v>7963.38</v>
      </c>
      <c r="L1446" s="1">
        <v>5</v>
      </c>
      <c r="M1446" s="1">
        <v>398.17</v>
      </c>
      <c r="N1446" s="1">
        <v>7565.21</v>
      </c>
      <c r="O1446" s="1" t="s">
        <v>80</v>
      </c>
      <c r="P1446" s="1" t="s">
        <v>2347</v>
      </c>
      <c r="Q1446" s="1">
        <v>3</v>
      </c>
      <c r="R1446" s="1">
        <f>Retail_Sales_Analyis[[#This Row],[Final_Price]]-Retail_Sales_Analyis[[#This Row],[Total_Price]]</f>
        <v>-398.17000000000007</v>
      </c>
      <c r="S14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47" spans="1:19" x14ac:dyDescent="0.25">
      <c r="A1447" s="1" t="s">
        <v>2348</v>
      </c>
      <c r="B1447" s="2">
        <v>45581</v>
      </c>
      <c r="C1447" s="1" t="s">
        <v>76</v>
      </c>
      <c r="D1447" s="1" t="s">
        <v>55</v>
      </c>
      <c r="E1447" s="1" t="s">
        <v>207</v>
      </c>
      <c r="F1447" s="1" t="s">
        <v>30</v>
      </c>
      <c r="G1447" s="1" t="s">
        <v>85</v>
      </c>
      <c r="H1447" s="1" t="s">
        <v>98</v>
      </c>
      <c r="I1447" s="1">
        <v>1258.06</v>
      </c>
      <c r="J1447" s="1">
        <v>5</v>
      </c>
      <c r="K1447" s="1">
        <v>6290.3</v>
      </c>
      <c r="L1447" s="1">
        <v>20</v>
      </c>
      <c r="M1447" s="1">
        <v>1258.06</v>
      </c>
      <c r="N1447" s="1">
        <v>5032.24</v>
      </c>
      <c r="O1447" s="1" t="s">
        <v>24</v>
      </c>
      <c r="P1447" s="1" t="s">
        <v>723</v>
      </c>
      <c r="Q1447" s="1">
        <v>1</v>
      </c>
      <c r="R1447" s="1">
        <f>Retail_Sales_Analyis[[#This Row],[Final_Price]]-Retail_Sales_Analyis[[#This Row],[Total_Price]]</f>
        <v>-1258.0600000000004</v>
      </c>
      <c r="S144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48" spans="1:19" x14ac:dyDescent="0.25">
      <c r="A1448" s="1" t="s">
        <v>2349</v>
      </c>
      <c r="B1448" s="2">
        <v>45397</v>
      </c>
      <c r="C1448" s="1" t="s">
        <v>54</v>
      </c>
      <c r="D1448" s="1" t="s">
        <v>43</v>
      </c>
      <c r="E1448" s="1" t="s">
        <v>163</v>
      </c>
      <c r="F1448" s="1" t="s">
        <v>69</v>
      </c>
      <c r="G1448" s="1" t="s">
        <v>169</v>
      </c>
      <c r="H1448" s="1" t="s">
        <v>170</v>
      </c>
      <c r="I1448" s="1">
        <v>1398.28</v>
      </c>
      <c r="J1448" s="1">
        <v>1</v>
      </c>
      <c r="K1448" s="1">
        <v>1398.28</v>
      </c>
      <c r="L1448" s="1">
        <v>0</v>
      </c>
      <c r="M1448" s="1">
        <v>0</v>
      </c>
      <c r="N1448" s="1">
        <v>1398.28</v>
      </c>
      <c r="O1448" s="1" t="s">
        <v>46</v>
      </c>
      <c r="P1448" s="1" t="s">
        <v>293</v>
      </c>
      <c r="Q1448" s="1">
        <v>2</v>
      </c>
      <c r="R1448" s="1">
        <f>Retail_Sales_Analyis[[#This Row],[Final_Price]]-Retail_Sales_Analyis[[#This Row],[Total_Price]]</f>
        <v>0</v>
      </c>
      <c r="S14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49" spans="1:19" x14ac:dyDescent="0.25">
      <c r="A1449" s="1" t="s">
        <v>2350</v>
      </c>
      <c r="B1449" s="2">
        <v>45327</v>
      </c>
      <c r="C1449" s="1" t="s">
        <v>27</v>
      </c>
      <c r="D1449" s="1" t="s">
        <v>43</v>
      </c>
      <c r="E1449" s="1" t="s">
        <v>199</v>
      </c>
      <c r="F1449" s="1" t="s">
        <v>21</v>
      </c>
      <c r="G1449" s="1" t="s">
        <v>57</v>
      </c>
      <c r="H1449" s="1" t="s">
        <v>122</v>
      </c>
      <c r="I1449" s="1">
        <v>742.8</v>
      </c>
      <c r="J1449" s="1">
        <v>4</v>
      </c>
      <c r="K1449" s="1">
        <v>2971.2</v>
      </c>
      <c r="L1449" s="1">
        <v>10</v>
      </c>
      <c r="M1449" s="1">
        <v>297.12</v>
      </c>
      <c r="N1449" s="1">
        <v>2674.08</v>
      </c>
      <c r="O1449" s="1" t="s">
        <v>24</v>
      </c>
      <c r="P1449" s="1" t="s">
        <v>419</v>
      </c>
      <c r="Q1449" s="1">
        <v>4</v>
      </c>
      <c r="R1449" s="1">
        <f>Retail_Sales_Analyis[[#This Row],[Final_Price]]-Retail_Sales_Analyis[[#This Row],[Total_Price]]</f>
        <v>-297.11999999999989</v>
      </c>
      <c r="S14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50" spans="1:19" x14ac:dyDescent="0.25">
      <c r="A1450" s="1" t="s">
        <v>2351</v>
      </c>
      <c r="B1450" s="2">
        <v>45575</v>
      </c>
      <c r="C1450" s="1" t="s">
        <v>76</v>
      </c>
      <c r="D1450" s="1" t="s">
        <v>67</v>
      </c>
      <c r="E1450" s="1" t="s">
        <v>139</v>
      </c>
      <c r="F1450" s="1" t="s">
        <v>84</v>
      </c>
      <c r="G1450" s="1" t="s">
        <v>169</v>
      </c>
      <c r="H1450" s="1" t="s">
        <v>366</v>
      </c>
      <c r="I1450" s="1">
        <v>1135.97</v>
      </c>
      <c r="J1450" s="1">
        <v>10</v>
      </c>
      <c r="K1450" s="1">
        <v>11359.7</v>
      </c>
      <c r="L1450" s="1">
        <v>15</v>
      </c>
      <c r="M1450" s="1">
        <v>1703.96</v>
      </c>
      <c r="N1450" s="1">
        <v>9655.74</v>
      </c>
      <c r="O1450" s="1" t="s">
        <v>46</v>
      </c>
      <c r="P1450" s="1" t="s">
        <v>1435</v>
      </c>
      <c r="Q1450" s="1">
        <v>2</v>
      </c>
      <c r="R1450" s="1">
        <f>Retail_Sales_Analyis[[#This Row],[Final_Price]]-Retail_Sales_Analyis[[#This Row],[Total_Price]]</f>
        <v>-1703.9600000000009</v>
      </c>
      <c r="S14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51" spans="1:19" x14ac:dyDescent="0.25">
      <c r="A1451" s="1" t="s">
        <v>2352</v>
      </c>
      <c r="B1451" s="2">
        <v>45398</v>
      </c>
      <c r="C1451" s="1" t="s">
        <v>54</v>
      </c>
      <c r="D1451" s="1" t="s">
        <v>28</v>
      </c>
      <c r="E1451" s="1" t="s">
        <v>307</v>
      </c>
      <c r="F1451" s="1" t="s">
        <v>84</v>
      </c>
      <c r="G1451" s="1" t="s">
        <v>38</v>
      </c>
      <c r="H1451" s="1" t="s">
        <v>108</v>
      </c>
      <c r="I1451" s="1">
        <v>308.31</v>
      </c>
      <c r="J1451" s="1">
        <v>1</v>
      </c>
      <c r="K1451" s="1">
        <v>308.31</v>
      </c>
      <c r="L1451" s="1">
        <v>0</v>
      </c>
      <c r="M1451" s="1">
        <v>0</v>
      </c>
      <c r="N1451" s="1">
        <v>308.31</v>
      </c>
      <c r="O1451" s="1" t="s">
        <v>33</v>
      </c>
      <c r="P1451" s="1" t="s">
        <v>2353</v>
      </c>
      <c r="Q1451" s="1">
        <v>2</v>
      </c>
      <c r="R1451" s="1">
        <f>Retail_Sales_Analyis[[#This Row],[Final_Price]]-Retail_Sales_Analyis[[#This Row],[Total_Price]]</f>
        <v>0</v>
      </c>
      <c r="S14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2" spans="1:19" x14ac:dyDescent="0.25">
      <c r="A1452" s="1" t="s">
        <v>2354</v>
      </c>
      <c r="B1452" s="2">
        <v>45592</v>
      </c>
      <c r="C1452" s="1" t="s">
        <v>76</v>
      </c>
      <c r="D1452" s="1" t="s">
        <v>49</v>
      </c>
      <c r="E1452" s="1" t="s">
        <v>121</v>
      </c>
      <c r="F1452" s="1" t="s">
        <v>30</v>
      </c>
      <c r="G1452" s="1" t="s">
        <v>57</v>
      </c>
      <c r="H1452" s="1" t="s">
        <v>152</v>
      </c>
      <c r="I1452" s="1">
        <v>1066.8399999999999</v>
      </c>
      <c r="J1452" s="1">
        <v>5</v>
      </c>
      <c r="K1452" s="1">
        <v>5334.2</v>
      </c>
      <c r="L1452" s="1">
        <v>0</v>
      </c>
      <c r="M1452" s="1">
        <v>0</v>
      </c>
      <c r="N1452" s="1">
        <v>5334.2</v>
      </c>
      <c r="O1452" s="1" t="s">
        <v>33</v>
      </c>
      <c r="P1452" s="1" t="s">
        <v>1428</v>
      </c>
      <c r="Q1452" s="1">
        <v>1</v>
      </c>
      <c r="R1452" s="1">
        <f>Retail_Sales_Analyis[[#This Row],[Final_Price]]-Retail_Sales_Analyis[[#This Row],[Total_Price]]</f>
        <v>0</v>
      </c>
      <c r="S14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3" spans="1:19" x14ac:dyDescent="0.25">
      <c r="A1453" s="1" t="s">
        <v>2355</v>
      </c>
      <c r="B1453" s="2">
        <v>45402</v>
      </c>
      <c r="C1453" s="1" t="s">
        <v>54</v>
      </c>
      <c r="D1453" s="1" t="s">
        <v>19</v>
      </c>
      <c r="E1453" s="1" t="s">
        <v>129</v>
      </c>
      <c r="F1453" s="1" t="s">
        <v>69</v>
      </c>
      <c r="G1453" s="1" t="s">
        <v>22</v>
      </c>
      <c r="H1453" s="1" t="s">
        <v>23</v>
      </c>
      <c r="I1453" s="1">
        <v>483.74</v>
      </c>
      <c r="J1453" s="1">
        <v>6</v>
      </c>
      <c r="K1453" s="1">
        <v>2902.44</v>
      </c>
      <c r="L1453" s="1">
        <v>20</v>
      </c>
      <c r="M1453" s="1">
        <v>580.49</v>
      </c>
      <c r="N1453" s="1">
        <v>2321.9499999999998</v>
      </c>
      <c r="O1453" s="1" t="s">
        <v>46</v>
      </c>
      <c r="P1453" s="1" t="s">
        <v>1701</v>
      </c>
      <c r="Q1453" s="1">
        <v>1</v>
      </c>
      <c r="R1453" s="1">
        <f>Retail_Sales_Analyis[[#This Row],[Final_Price]]-Retail_Sales_Analyis[[#This Row],[Total_Price]]</f>
        <v>-580.49000000000024</v>
      </c>
      <c r="S14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54" spans="1:19" x14ac:dyDescent="0.25">
      <c r="A1454" s="1" t="s">
        <v>2356</v>
      </c>
      <c r="B1454" s="2">
        <v>45411</v>
      </c>
      <c r="C1454" s="1" t="s">
        <v>54</v>
      </c>
      <c r="D1454" s="1" t="s">
        <v>43</v>
      </c>
      <c r="E1454" s="1" t="s">
        <v>104</v>
      </c>
      <c r="F1454" s="1" t="s">
        <v>37</v>
      </c>
      <c r="G1454" s="1" t="s">
        <v>57</v>
      </c>
      <c r="H1454" s="1" t="s">
        <v>158</v>
      </c>
      <c r="I1454" s="1">
        <v>1151.81</v>
      </c>
      <c r="J1454" s="1">
        <v>3</v>
      </c>
      <c r="K1454" s="1">
        <v>3455.43</v>
      </c>
      <c r="L1454" s="1">
        <v>0</v>
      </c>
      <c r="M1454" s="1">
        <v>0</v>
      </c>
      <c r="N1454" s="1">
        <v>3455.43</v>
      </c>
      <c r="O1454" s="1" t="s">
        <v>64</v>
      </c>
      <c r="P1454" s="1" t="s">
        <v>369</v>
      </c>
      <c r="Q1454" s="1">
        <v>1</v>
      </c>
      <c r="R1454" s="1">
        <f>Retail_Sales_Analyis[[#This Row],[Final_Price]]-Retail_Sales_Analyis[[#This Row],[Total_Price]]</f>
        <v>0</v>
      </c>
      <c r="S14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5" spans="1:19" x14ac:dyDescent="0.25">
      <c r="A1455" s="1" t="s">
        <v>2357</v>
      </c>
      <c r="B1455" s="2">
        <v>45460</v>
      </c>
      <c r="C1455" s="1" t="s">
        <v>173</v>
      </c>
      <c r="D1455" s="1" t="s">
        <v>43</v>
      </c>
      <c r="E1455" s="1" t="s">
        <v>196</v>
      </c>
      <c r="F1455" s="1" t="s">
        <v>84</v>
      </c>
      <c r="G1455" s="1" t="s">
        <v>22</v>
      </c>
      <c r="H1455" s="1" t="s">
        <v>277</v>
      </c>
      <c r="I1455" s="1">
        <v>528.95000000000005</v>
      </c>
      <c r="J1455" s="1">
        <v>5</v>
      </c>
      <c r="K1455" s="1">
        <v>2644.75</v>
      </c>
      <c r="L1455" s="1">
        <v>20</v>
      </c>
      <c r="M1455" s="1">
        <v>528.95000000000005</v>
      </c>
      <c r="N1455" s="1">
        <v>2115.8000000000002</v>
      </c>
      <c r="O1455" s="1" t="s">
        <v>46</v>
      </c>
      <c r="P1455" s="1" t="s">
        <v>25</v>
      </c>
      <c r="Q1455" s="1">
        <v>5</v>
      </c>
      <c r="R1455" s="1">
        <f>Retail_Sales_Analyis[[#This Row],[Final_Price]]-Retail_Sales_Analyis[[#This Row],[Total_Price]]</f>
        <v>-528.94999999999982</v>
      </c>
      <c r="S14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56" spans="1:19" x14ac:dyDescent="0.25">
      <c r="A1456" s="1" t="s">
        <v>2358</v>
      </c>
      <c r="B1456" s="2">
        <v>45367</v>
      </c>
      <c r="C1456" s="1" t="s">
        <v>61</v>
      </c>
      <c r="D1456" s="1" t="s">
        <v>19</v>
      </c>
      <c r="E1456" s="1" t="s">
        <v>139</v>
      </c>
      <c r="F1456" s="1" t="s">
        <v>21</v>
      </c>
      <c r="G1456" s="1" t="s">
        <v>112</v>
      </c>
      <c r="H1456" s="1" t="s">
        <v>113</v>
      </c>
      <c r="I1456" s="1">
        <v>1596.17</v>
      </c>
      <c r="J1456" s="1">
        <v>6</v>
      </c>
      <c r="K1456" s="1">
        <v>9577.02</v>
      </c>
      <c r="L1456" s="1">
        <v>0</v>
      </c>
      <c r="M1456" s="1">
        <v>0</v>
      </c>
      <c r="N1456" s="1">
        <v>9577.02</v>
      </c>
      <c r="O1456" s="1" t="s">
        <v>80</v>
      </c>
      <c r="P1456" s="1" t="s">
        <v>2359</v>
      </c>
      <c r="Q1456" s="1">
        <v>5</v>
      </c>
      <c r="R1456" s="1">
        <f>Retail_Sales_Analyis[[#This Row],[Final_Price]]-Retail_Sales_Analyis[[#This Row],[Total_Price]]</f>
        <v>0</v>
      </c>
      <c r="S14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7" spans="1:19" x14ac:dyDescent="0.25">
      <c r="A1457" s="1" t="s">
        <v>2360</v>
      </c>
      <c r="B1457" s="2">
        <v>45597</v>
      </c>
      <c r="C1457" s="1" t="s">
        <v>18</v>
      </c>
      <c r="D1457" s="1" t="s">
        <v>144</v>
      </c>
      <c r="E1457" s="1" t="s">
        <v>285</v>
      </c>
      <c r="F1457" s="1" t="s">
        <v>30</v>
      </c>
      <c r="G1457" s="1" t="s">
        <v>38</v>
      </c>
      <c r="H1457" s="1" t="s">
        <v>422</v>
      </c>
      <c r="I1457" s="1">
        <v>607.85</v>
      </c>
      <c r="J1457" s="1">
        <v>3</v>
      </c>
      <c r="K1457" s="1">
        <v>1823.55</v>
      </c>
      <c r="L1457" s="1">
        <v>5</v>
      </c>
      <c r="M1457" s="1">
        <v>91.18</v>
      </c>
      <c r="N1457" s="1">
        <v>1732.37</v>
      </c>
      <c r="O1457" s="1" t="s">
        <v>80</v>
      </c>
      <c r="P1457" s="1" t="s">
        <v>425</v>
      </c>
      <c r="Q1457" s="1">
        <v>1</v>
      </c>
      <c r="R1457" s="1">
        <f>Retail_Sales_Analyis[[#This Row],[Final_Price]]-Retail_Sales_Analyis[[#This Row],[Total_Price]]</f>
        <v>-91.180000000000064</v>
      </c>
      <c r="S145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58" spans="1:19" x14ac:dyDescent="0.25">
      <c r="A1458" s="1" t="s">
        <v>2361</v>
      </c>
      <c r="B1458" s="2">
        <v>45293</v>
      </c>
      <c r="C1458" s="1" t="s">
        <v>36</v>
      </c>
      <c r="D1458" s="1" t="s">
        <v>28</v>
      </c>
      <c r="E1458" s="1" t="s">
        <v>145</v>
      </c>
      <c r="F1458" s="1" t="s">
        <v>30</v>
      </c>
      <c r="G1458" s="1" t="s">
        <v>38</v>
      </c>
      <c r="H1458" s="1" t="s">
        <v>39</v>
      </c>
      <c r="I1458" s="1">
        <v>795.19</v>
      </c>
      <c r="J1458" s="1">
        <v>5</v>
      </c>
      <c r="K1458" s="1">
        <v>3975.95</v>
      </c>
      <c r="L1458" s="1">
        <v>0</v>
      </c>
      <c r="M1458" s="1">
        <v>0</v>
      </c>
      <c r="N1458" s="1">
        <v>3975.95</v>
      </c>
      <c r="O1458" s="1" t="s">
        <v>64</v>
      </c>
      <c r="P1458" s="1" t="s">
        <v>1479</v>
      </c>
      <c r="Q1458" s="1">
        <v>2</v>
      </c>
      <c r="R1458" s="1">
        <f>Retail_Sales_Analyis[[#This Row],[Final_Price]]-Retail_Sales_Analyis[[#This Row],[Total_Price]]</f>
        <v>0</v>
      </c>
      <c r="S14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59" spans="1:19" x14ac:dyDescent="0.25">
      <c r="A1459" s="1" t="s">
        <v>2362</v>
      </c>
      <c r="B1459" s="2">
        <v>45433</v>
      </c>
      <c r="C1459" s="1" t="s">
        <v>42</v>
      </c>
      <c r="D1459" s="1" t="s">
        <v>28</v>
      </c>
      <c r="E1459" s="1" t="s">
        <v>542</v>
      </c>
      <c r="F1459" s="1" t="s">
        <v>37</v>
      </c>
      <c r="G1459" s="1" t="s">
        <v>38</v>
      </c>
      <c r="H1459" s="1" t="s">
        <v>70</v>
      </c>
      <c r="I1459" s="1">
        <v>320.55</v>
      </c>
      <c r="J1459" s="1">
        <v>2</v>
      </c>
      <c r="K1459" s="1">
        <v>641.1</v>
      </c>
      <c r="L1459" s="1">
        <v>5</v>
      </c>
      <c r="M1459" s="1">
        <v>32.049999999999997</v>
      </c>
      <c r="N1459" s="1">
        <v>609.04999999999995</v>
      </c>
      <c r="O1459" s="1" t="s">
        <v>64</v>
      </c>
      <c r="P1459" s="1" t="s">
        <v>1687</v>
      </c>
      <c r="Q1459" s="1">
        <v>2</v>
      </c>
      <c r="R1459" s="1">
        <f>Retail_Sales_Analyis[[#This Row],[Final_Price]]-Retail_Sales_Analyis[[#This Row],[Total_Price]]</f>
        <v>-32.050000000000068</v>
      </c>
      <c r="S14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60" spans="1:19" x14ac:dyDescent="0.25">
      <c r="A1460" s="1" t="s">
        <v>2363</v>
      </c>
      <c r="B1460" s="2">
        <v>45366</v>
      </c>
      <c r="C1460" s="1" t="s">
        <v>61</v>
      </c>
      <c r="D1460" s="1" t="s">
        <v>144</v>
      </c>
      <c r="E1460" s="1" t="s">
        <v>186</v>
      </c>
      <c r="F1460" s="1" t="s">
        <v>21</v>
      </c>
      <c r="G1460" s="1" t="s">
        <v>31</v>
      </c>
      <c r="H1460" s="1" t="s">
        <v>45</v>
      </c>
      <c r="I1460" s="1">
        <v>259.89999999999998</v>
      </c>
      <c r="J1460" s="1">
        <v>2</v>
      </c>
      <c r="K1460" s="1">
        <v>519.79999999999995</v>
      </c>
      <c r="L1460" s="1">
        <v>10</v>
      </c>
      <c r="M1460" s="1">
        <v>51.98</v>
      </c>
      <c r="N1460" s="1">
        <v>467.82</v>
      </c>
      <c r="O1460" s="1" t="s">
        <v>24</v>
      </c>
      <c r="P1460" s="1" t="s">
        <v>641</v>
      </c>
      <c r="Q1460" s="1">
        <v>5</v>
      </c>
      <c r="R1460" s="1">
        <f>Retail_Sales_Analyis[[#This Row],[Final_Price]]-Retail_Sales_Analyis[[#This Row],[Total_Price]]</f>
        <v>-51.979999999999961</v>
      </c>
      <c r="S14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61" spans="1:19" x14ac:dyDescent="0.25">
      <c r="A1461" s="1" t="s">
        <v>2364</v>
      </c>
      <c r="B1461" s="2">
        <v>45358</v>
      </c>
      <c r="C1461" s="1" t="s">
        <v>61</v>
      </c>
      <c r="D1461" s="1" t="s">
        <v>67</v>
      </c>
      <c r="E1461" s="1" t="s">
        <v>342</v>
      </c>
      <c r="F1461" s="1" t="s">
        <v>69</v>
      </c>
      <c r="G1461" s="1" t="s">
        <v>169</v>
      </c>
      <c r="H1461" s="1" t="s">
        <v>366</v>
      </c>
      <c r="I1461" s="1">
        <v>891.1</v>
      </c>
      <c r="J1461" s="1">
        <v>3</v>
      </c>
      <c r="K1461" s="1">
        <v>2673.3</v>
      </c>
      <c r="L1461" s="1">
        <v>5</v>
      </c>
      <c r="M1461" s="1">
        <v>133.66999999999999</v>
      </c>
      <c r="N1461" s="1">
        <v>2539.63</v>
      </c>
      <c r="O1461" s="1" t="s">
        <v>46</v>
      </c>
      <c r="P1461" s="1" t="s">
        <v>259</v>
      </c>
      <c r="Q1461" s="1">
        <v>2</v>
      </c>
      <c r="R1461" s="1">
        <f>Retail_Sales_Analyis[[#This Row],[Final_Price]]-Retail_Sales_Analyis[[#This Row],[Total_Price]]</f>
        <v>-133.67000000000007</v>
      </c>
      <c r="S14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62" spans="1:19" x14ac:dyDescent="0.25">
      <c r="A1462" s="1" t="s">
        <v>2365</v>
      </c>
      <c r="B1462" s="2">
        <v>45568</v>
      </c>
      <c r="C1462" s="1" t="s">
        <v>76</v>
      </c>
      <c r="D1462" s="1" t="s">
        <v>67</v>
      </c>
      <c r="E1462" s="1" t="s">
        <v>174</v>
      </c>
      <c r="F1462" s="1" t="s">
        <v>30</v>
      </c>
      <c r="G1462" s="1" t="s">
        <v>112</v>
      </c>
      <c r="H1462" s="1" t="s">
        <v>223</v>
      </c>
      <c r="I1462" s="1">
        <v>1934.32</v>
      </c>
      <c r="J1462" s="1">
        <v>10</v>
      </c>
      <c r="K1462" s="1">
        <v>19343.2</v>
      </c>
      <c r="L1462" s="1">
        <v>20</v>
      </c>
      <c r="M1462" s="1">
        <v>3868.64</v>
      </c>
      <c r="N1462" s="1">
        <v>15474.56</v>
      </c>
      <c r="O1462" s="1" t="s">
        <v>80</v>
      </c>
      <c r="P1462" s="1" t="s">
        <v>119</v>
      </c>
      <c r="Q1462" s="1">
        <v>4</v>
      </c>
      <c r="R1462" s="1">
        <f>Retail_Sales_Analyis[[#This Row],[Final_Price]]-Retail_Sales_Analyis[[#This Row],[Total_Price]]</f>
        <v>-3868.6400000000012</v>
      </c>
      <c r="S14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63" spans="1:19" x14ac:dyDescent="0.25">
      <c r="A1463" s="1" t="s">
        <v>2366</v>
      </c>
      <c r="B1463" s="2">
        <v>45420</v>
      </c>
      <c r="C1463" s="1" t="s">
        <v>42</v>
      </c>
      <c r="D1463" s="1" t="s">
        <v>55</v>
      </c>
      <c r="E1463" s="1" t="s">
        <v>157</v>
      </c>
      <c r="F1463" s="1" t="s">
        <v>37</v>
      </c>
      <c r="G1463" s="1" t="s">
        <v>169</v>
      </c>
      <c r="H1463" s="1" t="s">
        <v>348</v>
      </c>
      <c r="I1463" s="1">
        <v>1452.89</v>
      </c>
      <c r="J1463" s="1">
        <v>7</v>
      </c>
      <c r="K1463" s="1">
        <v>10170.23</v>
      </c>
      <c r="L1463" s="1">
        <v>20</v>
      </c>
      <c r="M1463" s="1">
        <v>2034.05</v>
      </c>
      <c r="N1463" s="1">
        <v>8136.18</v>
      </c>
      <c r="O1463" s="1" t="s">
        <v>80</v>
      </c>
      <c r="P1463" s="1" t="s">
        <v>1955</v>
      </c>
      <c r="Q1463" s="1">
        <v>5</v>
      </c>
      <c r="R1463" s="1">
        <f>Retail_Sales_Analyis[[#This Row],[Final_Price]]-Retail_Sales_Analyis[[#This Row],[Total_Price]]</f>
        <v>-2034.0499999999993</v>
      </c>
      <c r="S14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64" spans="1:19" x14ac:dyDescent="0.25">
      <c r="A1464" s="1" t="s">
        <v>2367</v>
      </c>
      <c r="B1464" s="2">
        <v>45381</v>
      </c>
      <c r="C1464" s="1" t="s">
        <v>61</v>
      </c>
      <c r="D1464" s="1" t="s">
        <v>19</v>
      </c>
      <c r="E1464" s="1" t="s">
        <v>77</v>
      </c>
      <c r="F1464" s="1" t="s">
        <v>69</v>
      </c>
      <c r="G1464" s="1" t="s">
        <v>85</v>
      </c>
      <c r="H1464" s="1" t="s">
        <v>98</v>
      </c>
      <c r="I1464" s="1">
        <v>4281.3999999999996</v>
      </c>
      <c r="J1464" s="1">
        <v>1</v>
      </c>
      <c r="K1464" s="1">
        <v>4281.3999999999996</v>
      </c>
      <c r="L1464" s="1">
        <v>10</v>
      </c>
      <c r="M1464" s="1">
        <v>428.14</v>
      </c>
      <c r="N1464" s="1">
        <v>3853.26</v>
      </c>
      <c r="O1464" s="1" t="s">
        <v>24</v>
      </c>
      <c r="P1464" s="1" t="s">
        <v>691</v>
      </c>
      <c r="Q1464" s="1">
        <v>3</v>
      </c>
      <c r="R1464" s="1">
        <f>Retail_Sales_Analyis[[#This Row],[Final_Price]]-Retail_Sales_Analyis[[#This Row],[Total_Price]]</f>
        <v>-428.13999999999942</v>
      </c>
      <c r="S14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65" spans="1:19" x14ac:dyDescent="0.25">
      <c r="A1465" s="1" t="s">
        <v>2368</v>
      </c>
      <c r="B1465" s="2">
        <v>45348</v>
      </c>
      <c r="C1465" s="1" t="s">
        <v>27</v>
      </c>
      <c r="D1465" s="1" t="s">
        <v>43</v>
      </c>
      <c r="E1465" s="1" t="s">
        <v>83</v>
      </c>
      <c r="F1465" s="1" t="s">
        <v>69</v>
      </c>
      <c r="G1465" s="1" t="s">
        <v>85</v>
      </c>
      <c r="H1465" s="1" t="s">
        <v>90</v>
      </c>
      <c r="I1465" s="1">
        <v>3095.48</v>
      </c>
      <c r="J1465" s="1">
        <v>1</v>
      </c>
      <c r="K1465" s="1">
        <v>3095.48</v>
      </c>
      <c r="L1465" s="1">
        <v>0</v>
      </c>
      <c r="M1465" s="1">
        <v>0</v>
      </c>
      <c r="N1465" s="1">
        <v>3095.48</v>
      </c>
      <c r="O1465" s="1" t="s">
        <v>33</v>
      </c>
      <c r="P1465" s="1" t="s">
        <v>1705</v>
      </c>
      <c r="Q1465" s="1">
        <v>3</v>
      </c>
      <c r="R1465" s="1">
        <f>Retail_Sales_Analyis[[#This Row],[Final_Price]]-Retail_Sales_Analyis[[#This Row],[Total_Price]]</f>
        <v>0</v>
      </c>
      <c r="S14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66" spans="1:19" x14ac:dyDescent="0.25">
      <c r="A1466" s="1" t="s">
        <v>2369</v>
      </c>
      <c r="B1466" s="2">
        <v>45630</v>
      </c>
      <c r="C1466" s="1" t="s">
        <v>73</v>
      </c>
      <c r="D1466" s="1" t="s">
        <v>55</v>
      </c>
      <c r="E1466" s="1" t="s">
        <v>207</v>
      </c>
      <c r="F1466" s="1" t="s">
        <v>30</v>
      </c>
      <c r="G1466" s="1" t="s">
        <v>38</v>
      </c>
      <c r="H1466" s="1" t="s">
        <v>70</v>
      </c>
      <c r="I1466" s="1">
        <v>183.79</v>
      </c>
      <c r="J1466" s="1">
        <v>7</v>
      </c>
      <c r="K1466" s="1">
        <v>1286.53</v>
      </c>
      <c r="L1466" s="1">
        <v>0</v>
      </c>
      <c r="M1466" s="1">
        <v>0</v>
      </c>
      <c r="N1466" s="1">
        <v>1286.53</v>
      </c>
      <c r="O1466" s="1" t="s">
        <v>80</v>
      </c>
      <c r="P1466" s="1" t="s">
        <v>1820</v>
      </c>
      <c r="Q1466" s="1">
        <v>2</v>
      </c>
      <c r="R1466" s="1">
        <f>Retail_Sales_Analyis[[#This Row],[Final_Price]]-Retail_Sales_Analyis[[#This Row],[Total_Price]]</f>
        <v>0</v>
      </c>
      <c r="S14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67" spans="1:19" x14ac:dyDescent="0.25">
      <c r="A1467" s="1" t="s">
        <v>2370</v>
      </c>
      <c r="B1467" s="2">
        <v>45305</v>
      </c>
      <c r="C1467" s="1" t="s">
        <v>36</v>
      </c>
      <c r="D1467" s="1" t="s">
        <v>49</v>
      </c>
      <c r="E1467" s="1" t="s">
        <v>322</v>
      </c>
      <c r="F1467" s="1" t="s">
        <v>84</v>
      </c>
      <c r="G1467" s="1" t="s">
        <v>78</v>
      </c>
      <c r="H1467" s="1" t="s">
        <v>146</v>
      </c>
      <c r="I1467" s="1">
        <v>548.65</v>
      </c>
      <c r="J1467" s="1">
        <v>2</v>
      </c>
      <c r="K1467" s="1">
        <v>1097.3</v>
      </c>
      <c r="L1467" s="1">
        <v>0</v>
      </c>
      <c r="M1467" s="1">
        <v>0</v>
      </c>
      <c r="N1467" s="1">
        <v>1097.3</v>
      </c>
      <c r="O1467" s="1" t="s">
        <v>80</v>
      </c>
      <c r="P1467" s="1" t="s">
        <v>2371</v>
      </c>
      <c r="Q1467" s="1">
        <v>1</v>
      </c>
      <c r="R1467" s="1">
        <f>Retail_Sales_Analyis[[#This Row],[Final_Price]]-Retail_Sales_Analyis[[#This Row],[Total_Price]]</f>
        <v>0</v>
      </c>
      <c r="S14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68" spans="1:19" x14ac:dyDescent="0.25">
      <c r="A1468" s="1" t="s">
        <v>2372</v>
      </c>
      <c r="B1468" s="2">
        <v>45359</v>
      </c>
      <c r="C1468" s="1" t="s">
        <v>61</v>
      </c>
      <c r="D1468" s="1" t="s">
        <v>144</v>
      </c>
      <c r="E1468" s="1" t="s">
        <v>83</v>
      </c>
      <c r="F1468" s="1" t="s">
        <v>30</v>
      </c>
      <c r="G1468" s="1" t="s">
        <v>38</v>
      </c>
      <c r="H1468" s="1" t="s">
        <v>39</v>
      </c>
      <c r="I1468" s="1">
        <v>477.46</v>
      </c>
      <c r="J1468" s="1">
        <v>4</v>
      </c>
      <c r="K1468" s="1">
        <v>1909.84</v>
      </c>
      <c r="L1468" s="1">
        <v>0</v>
      </c>
      <c r="M1468" s="1">
        <v>0</v>
      </c>
      <c r="N1468" s="1">
        <v>1909.84</v>
      </c>
      <c r="O1468" s="1" t="s">
        <v>33</v>
      </c>
      <c r="P1468" s="1" t="s">
        <v>2373</v>
      </c>
      <c r="Q1468" s="1">
        <v>5</v>
      </c>
      <c r="R1468" s="1">
        <f>Retail_Sales_Analyis[[#This Row],[Final_Price]]-Retail_Sales_Analyis[[#This Row],[Total_Price]]</f>
        <v>0</v>
      </c>
      <c r="S14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69" spans="1:19" x14ac:dyDescent="0.25">
      <c r="A1469" s="1" t="s">
        <v>2374</v>
      </c>
      <c r="B1469" s="2">
        <v>45299</v>
      </c>
      <c r="C1469" s="1" t="s">
        <v>36</v>
      </c>
      <c r="D1469" s="1" t="s">
        <v>43</v>
      </c>
      <c r="E1469" s="1" t="s">
        <v>145</v>
      </c>
      <c r="F1469" s="1" t="s">
        <v>84</v>
      </c>
      <c r="G1469" s="1" t="s">
        <v>112</v>
      </c>
      <c r="H1469" s="1" t="s">
        <v>183</v>
      </c>
      <c r="I1469" s="1">
        <v>708.94</v>
      </c>
      <c r="J1469" s="1">
        <v>7</v>
      </c>
      <c r="K1469" s="1">
        <v>4962.58</v>
      </c>
      <c r="L1469" s="1">
        <v>0</v>
      </c>
      <c r="M1469" s="1">
        <v>0</v>
      </c>
      <c r="N1469" s="1">
        <v>4962.58</v>
      </c>
      <c r="O1469" s="1" t="s">
        <v>64</v>
      </c>
      <c r="P1469" s="1" t="s">
        <v>955</v>
      </c>
      <c r="Q1469" s="1">
        <v>2</v>
      </c>
      <c r="R1469" s="1">
        <f>Retail_Sales_Analyis[[#This Row],[Final_Price]]-Retail_Sales_Analyis[[#This Row],[Total_Price]]</f>
        <v>0</v>
      </c>
      <c r="S14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70" spans="1:19" x14ac:dyDescent="0.25">
      <c r="A1470" s="1" t="s">
        <v>2375</v>
      </c>
      <c r="B1470" s="2">
        <v>45475</v>
      </c>
      <c r="C1470" s="1" t="s">
        <v>195</v>
      </c>
      <c r="D1470" s="1" t="s">
        <v>28</v>
      </c>
      <c r="E1470" s="1" t="s">
        <v>192</v>
      </c>
      <c r="F1470" s="1" t="s">
        <v>37</v>
      </c>
      <c r="G1470" s="1" t="s">
        <v>85</v>
      </c>
      <c r="H1470" s="1" t="s">
        <v>297</v>
      </c>
      <c r="I1470" s="1">
        <v>1960.57</v>
      </c>
      <c r="J1470" s="1">
        <v>5</v>
      </c>
      <c r="K1470" s="1">
        <v>9802.85</v>
      </c>
      <c r="L1470" s="1">
        <v>0</v>
      </c>
      <c r="M1470" s="1">
        <v>0</v>
      </c>
      <c r="N1470" s="1">
        <v>9802.85</v>
      </c>
      <c r="O1470" s="1" t="s">
        <v>46</v>
      </c>
      <c r="P1470" s="1" t="s">
        <v>2376</v>
      </c>
      <c r="Q1470" s="1">
        <v>4</v>
      </c>
      <c r="R1470" s="1">
        <f>Retail_Sales_Analyis[[#This Row],[Final_Price]]-Retail_Sales_Analyis[[#This Row],[Total_Price]]</f>
        <v>0</v>
      </c>
      <c r="S14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71" spans="1:19" x14ac:dyDescent="0.25">
      <c r="A1471" s="1" t="s">
        <v>2377</v>
      </c>
      <c r="B1471" s="2">
        <v>45413</v>
      </c>
      <c r="C1471" s="1" t="s">
        <v>42</v>
      </c>
      <c r="D1471" s="1" t="s">
        <v>55</v>
      </c>
      <c r="E1471" s="1" t="s">
        <v>328</v>
      </c>
      <c r="F1471" s="1" t="s">
        <v>37</v>
      </c>
      <c r="G1471" s="1" t="s">
        <v>112</v>
      </c>
      <c r="H1471" s="1" t="s">
        <v>118</v>
      </c>
      <c r="I1471" s="1">
        <v>695.08</v>
      </c>
      <c r="J1471" s="1">
        <v>9</v>
      </c>
      <c r="K1471" s="1">
        <v>6255.72</v>
      </c>
      <c r="L1471" s="1">
        <v>5</v>
      </c>
      <c r="M1471" s="1">
        <v>312.79000000000002</v>
      </c>
      <c r="N1471" s="1">
        <v>5942.93</v>
      </c>
      <c r="O1471" s="1" t="s">
        <v>24</v>
      </c>
      <c r="P1471" s="1" t="s">
        <v>1811</v>
      </c>
      <c r="Q1471" s="1">
        <v>3</v>
      </c>
      <c r="R1471" s="1">
        <f>Retail_Sales_Analyis[[#This Row],[Final_Price]]-Retail_Sales_Analyis[[#This Row],[Total_Price]]</f>
        <v>-312.78999999999996</v>
      </c>
      <c r="S14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72" spans="1:19" x14ac:dyDescent="0.25">
      <c r="A1472" s="1" t="s">
        <v>2378</v>
      </c>
      <c r="B1472" s="2">
        <v>45593</v>
      </c>
      <c r="C1472" s="1" t="s">
        <v>76</v>
      </c>
      <c r="D1472" s="1" t="s">
        <v>43</v>
      </c>
      <c r="E1472" s="1" t="s">
        <v>139</v>
      </c>
      <c r="F1472" s="1" t="s">
        <v>37</v>
      </c>
      <c r="G1472" s="1" t="s">
        <v>78</v>
      </c>
      <c r="H1472" s="1" t="s">
        <v>146</v>
      </c>
      <c r="I1472" s="1">
        <v>371.57</v>
      </c>
      <c r="J1472" s="1">
        <v>7</v>
      </c>
      <c r="K1472" s="1">
        <v>2600.9899999999998</v>
      </c>
      <c r="L1472" s="1">
        <v>5</v>
      </c>
      <c r="M1472" s="1">
        <v>130.05000000000001</v>
      </c>
      <c r="N1472" s="1">
        <v>2470.94</v>
      </c>
      <c r="O1472" s="1" t="s">
        <v>33</v>
      </c>
      <c r="P1472" s="1" t="s">
        <v>1699</v>
      </c>
      <c r="Q1472" s="1">
        <v>1</v>
      </c>
      <c r="R1472" s="1">
        <f>Retail_Sales_Analyis[[#This Row],[Final_Price]]-Retail_Sales_Analyis[[#This Row],[Total_Price]]</f>
        <v>-130.04999999999973</v>
      </c>
      <c r="S14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73" spans="1:19" x14ac:dyDescent="0.25">
      <c r="A1473" s="1" t="s">
        <v>2379</v>
      </c>
      <c r="B1473" s="2">
        <v>45457</v>
      </c>
      <c r="C1473" s="1" t="s">
        <v>173</v>
      </c>
      <c r="D1473" s="1" t="s">
        <v>144</v>
      </c>
      <c r="E1473" s="1" t="s">
        <v>139</v>
      </c>
      <c r="F1473" s="1" t="s">
        <v>21</v>
      </c>
      <c r="G1473" s="1" t="s">
        <v>85</v>
      </c>
      <c r="H1473" s="1" t="s">
        <v>86</v>
      </c>
      <c r="I1473" s="1">
        <v>4121.2299999999996</v>
      </c>
      <c r="J1473" s="1">
        <v>1</v>
      </c>
      <c r="K1473" s="1">
        <v>4121.2299999999996</v>
      </c>
      <c r="L1473" s="1">
        <v>0</v>
      </c>
      <c r="M1473" s="1">
        <v>0</v>
      </c>
      <c r="N1473" s="1">
        <v>4121.2299999999996</v>
      </c>
      <c r="O1473" s="1" t="s">
        <v>64</v>
      </c>
      <c r="P1473" s="1" t="s">
        <v>401</v>
      </c>
      <c r="Q1473" s="1">
        <v>1</v>
      </c>
      <c r="R1473" s="1">
        <f>Retail_Sales_Analyis[[#This Row],[Final_Price]]-Retail_Sales_Analyis[[#This Row],[Total_Price]]</f>
        <v>0</v>
      </c>
      <c r="S14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74" spans="1:19" x14ac:dyDescent="0.25">
      <c r="A1474" s="1" t="s">
        <v>2380</v>
      </c>
      <c r="B1474" s="2">
        <v>45300</v>
      </c>
      <c r="C1474" s="1" t="s">
        <v>36</v>
      </c>
      <c r="D1474" s="1" t="s">
        <v>28</v>
      </c>
      <c r="E1474" s="1" t="s">
        <v>107</v>
      </c>
      <c r="F1474" s="1" t="s">
        <v>69</v>
      </c>
      <c r="G1474" s="1" t="s">
        <v>22</v>
      </c>
      <c r="H1474" s="1" t="s">
        <v>51</v>
      </c>
      <c r="I1474" s="1">
        <v>907.63</v>
      </c>
      <c r="J1474" s="1">
        <v>2</v>
      </c>
      <c r="K1474" s="1">
        <v>1815.26</v>
      </c>
      <c r="L1474" s="1">
        <v>20</v>
      </c>
      <c r="M1474" s="1">
        <v>363.05</v>
      </c>
      <c r="N1474" s="1">
        <v>1452.21</v>
      </c>
      <c r="O1474" s="1" t="s">
        <v>24</v>
      </c>
      <c r="P1474" s="1" t="s">
        <v>2381</v>
      </c>
      <c r="Q1474" s="1">
        <v>4</v>
      </c>
      <c r="R1474" s="1">
        <f>Retail_Sales_Analyis[[#This Row],[Final_Price]]-Retail_Sales_Analyis[[#This Row],[Total_Price]]</f>
        <v>-363.04999999999995</v>
      </c>
      <c r="S147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75" spans="1:19" x14ac:dyDescent="0.25">
      <c r="A1475" s="1" t="s">
        <v>2382</v>
      </c>
      <c r="B1475" s="2">
        <v>45381</v>
      </c>
      <c r="C1475" s="1" t="s">
        <v>61</v>
      </c>
      <c r="D1475" s="1" t="s">
        <v>19</v>
      </c>
      <c r="E1475" s="1" t="s">
        <v>62</v>
      </c>
      <c r="F1475" s="1" t="s">
        <v>30</v>
      </c>
      <c r="G1475" s="1" t="s">
        <v>78</v>
      </c>
      <c r="H1475" s="1" t="s">
        <v>146</v>
      </c>
      <c r="I1475" s="1">
        <v>194.98</v>
      </c>
      <c r="J1475" s="1">
        <v>3</v>
      </c>
      <c r="K1475" s="1">
        <v>584.94000000000005</v>
      </c>
      <c r="L1475" s="1">
        <v>20</v>
      </c>
      <c r="M1475" s="1">
        <v>116.99</v>
      </c>
      <c r="N1475" s="1">
        <v>467.95</v>
      </c>
      <c r="O1475" s="1" t="s">
        <v>64</v>
      </c>
      <c r="P1475" s="1" t="s">
        <v>1261</v>
      </c>
      <c r="Q1475" s="1">
        <v>3</v>
      </c>
      <c r="R1475" s="1">
        <f>Retail_Sales_Analyis[[#This Row],[Final_Price]]-Retail_Sales_Analyis[[#This Row],[Total_Price]]</f>
        <v>-116.99000000000007</v>
      </c>
      <c r="S14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76" spans="1:19" x14ac:dyDescent="0.25">
      <c r="A1476" s="1" t="s">
        <v>2383</v>
      </c>
      <c r="B1476" s="2">
        <v>45427</v>
      </c>
      <c r="C1476" s="1" t="s">
        <v>42</v>
      </c>
      <c r="D1476" s="1" t="s">
        <v>55</v>
      </c>
      <c r="E1476" s="1" t="s">
        <v>328</v>
      </c>
      <c r="F1476" s="1" t="s">
        <v>69</v>
      </c>
      <c r="G1476" s="1" t="s">
        <v>22</v>
      </c>
      <c r="H1476" s="1" t="s">
        <v>187</v>
      </c>
      <c r="I1476" s="1">
        <v>640.23</v>
      </c>
      <c r="J1476" s="1">
        <v>7</v>
      </c>
      <c r="K1476" s="1">
        <v>4481.6099999999997</v>
      </c>
      <c r="L1476" s="1">
        <v>10</v>
      </c>
      <c r="M1476" s="1">
        <v>448.16</v>
      </c>
      <c r="N1476" s="1">
        <v>4033.45</v>
      </c>
      <c r="O1476" s="1" t="s">
        <v>24</v>
      </c>
      <c r="P1476" s="1" t="s">
        <v>580</v>
      </c>
      <c r="Q1476" s="1">
        <v>4</v>
      </c>
      <c r="R1476" s="1">
        <f>Retail_Sales_Analyis[[#This Row],[Final_Price]]-Retail_Sales_Analyis[[#This Row],[Total_Price]]</f>
        <v>-448.15999999999985</v>
      </c>
      <c r="S14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77" spans="1:19" x14ac:dyDescent="0.25">
      <c r="A1477" s="1" t="s">
        <v>2384</v>
      </c>
      <c r="B1477" s="2">
        <v>45318</v>
      </c>
      <c r="C1477" s="1" t="s">
        <v>36</v>
      </c>
      <c r="D1477" s="1" t="s">
        <v>19</v>
      </c>
      <c r="E1477" s="1" t="s">
        <v>117</v>
      </c>
      <c r="F1477" s="1" t="s">
        <v>37</v>
      </c>
      <c r="G1477" s="1" t="s">
        <v>85</v>
      </c>
      <c r="H1477" s="1" t="s">
        <v>90</v>
      </c>
      <c r="I1477" s="1">
        <v>1843.43</v>
      </c>
      <c r="J1477" s="1">
        <v>9</v>
      </c>
      <c r="K1477" s="1">
        <v>16590.87</v>
      </c>
      <c r="L1477" s="1">
        <v>20</v>
      </c>
      <c r="M1477" s="1">
        <v>3318.17</v>
      </c>
      <c r="N1477" s="1">
        <v>13272.7</v>
      </c>
      <c r="O1477" s="1" t="s">
        <v>46</v>
      </c>
      <c r="P1477" s="1" t="s">
        <v>532</v>
      </c>
      <c r="Q1477" s="1">
        <v>3</v>
      </c>
      <c r="R1477" s="1">
        <f>Retail_Sales_Analyis[[#This Row],[Final_Price]]-Retail_Sales_Analyis[[#This Row],[Total_Price]]</f>
        <v>-3318.1699999999983</v>
      </c>
      <c r="S147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78" spans="1:19" x14ac:dyDescent="0.25">
      <c r="A1478" s="1" t="s">
        <v>2385</v>
      </c>
      <c r="B1478" s="2">
        <v>45356</v>
      </c>
      <c r="C1478" s="1" t="s">
        <v>61</v>
      </c>
      <c r="D1478" s="1" t="s">
        <v>28</v>
      </c>
      <c r="E1478" s="1" t="s">
        <v>77</v>
      </c>
      <c r="F1478" s="1" t="s">
        <v>21</v>
      </c>
      <c r="G1478" s="1" t="s">
        <v>57</v>
      </c>
      <c r="H1478" s="1" t="s">
        <v>158</v>
      </c>
      <c r="I1478" s="1">
        <v>2709.81</v>
      </c>
      <c r="J1478" s="1">
        <v>1</v>
      </c>
      <c r="K1478" s="1">
        <v>2709.81</v>
      </c>
      <c r="L1478" s="1">
        <v>20</v>
      </c>
      <c r="M1478" s="1">
        <v>541.96</v>
      </c>
      <c r="N1478" s="1">
        <v>2167.85</v>
      </c>
      <c r="O1478" s="1" t="s">
        <v>80</v>
      </c>
      <c r="P1478" s="1" t="s">
        <v>1798</v>
      </c>
      <c r="Q1478" s="1">
        <v>4</v>
      </c>
      <c r="R1478" s="1">
        <f>Retail_Sales_Analyis[[#This Row],[Final_Price]]-Retail_Sales_Analyis[[#This Row],[Total_Price]]</f>
        <v>-541.96</v>
      </c>
      <c r="S14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79" spans="1:19" x14ac:dyDescent="0.25">
      <c r="A1479" s="1" t="s">
        <v>2386</v>
      </c>
      <c r="B1479" s="2">
        <v>45507</v>
      </c>
      <c r="C1479" s="1" t="s">
        <v>93</v>
      </c>
      <c r="D1479" s="1" t="s">
        <v>19</v>
      </c>
      <c r="E1479" s="1" t="s">
        <v>261</v>
      </c>
      <c r="F1479" s="1" t="s">
        <v>37</v>
      </c>
      <c r="G1479" s="1" t="s">
        <v>38</v>
      </c>
      <c r="H1479" s="1" t="s">
        <v>214</v>
      </c>
      <c r="I1479" s="1">
        <v>433.82</v>
      </c>
      <c r="J1479" s="1">
        <v>9</v>
      </c>
      <c r="K1479" s="1">
        <v>3904.38</v>
      </c>
      <c r="L1479" s="1">
        <v>15</v>
      </c>
      <c r="M1479" s="1">
        <v>585.66</v>
      </c>
      <c r="N1479" s="1">
        <v>3318.72</v>
      </c>
      <c r="O1479" s="1" t="s">
        <v>80</v>
      </c>
      <c r="P1479" s="1" t="s">
        <v>209</v>
      </c>
      <c r="Q1479" s="1">
        <v>2</v>
      </c>
      <c r="R1479" s="1">
        <f>Retail_Sales_Analyis[[#This Row],[Final_Price]]-Retail_Sales_Analyis[[#This Row],[Total_Price]]</f>
        <v>-585.66000000000031</v>
      </c>
      <c r="S14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80" spans="1:19" x14ac:dyDescent="0.25">
      <c r="A1480" s="1" t="s">
        <v>2387</v>
      </c>
      <c r="B1480" s="2">
        <v>45561</v>
      </c>
      <c r="C1480" s="1" t="s">
        <v>116</v>
      </c>
      <c r="D1480" s="1" t="s">
        <v>67</v>
      </c>
      <c r="E1480" s="1" t="s">
        <v>312</v>
      </c>
      <c r="F1480" s="1" t="s">
        <v>37</v>
      </c>
      <c r="G1480" s="1" t="s">
        <v>57</v>
      </c>
      <c r="H1480" s="1" t="s">
        <v>158</v>
      </c>
      <c r="I1480" s="1">
        <v>1920.62</v>
      </c>
      <c r="J1480" s="1">
        <v>2</v>
      </c>
      <c r="K1480" s="1">
        <v>3841.24</v>
      </c>
      <c r="L1480" s="1">
        <v>0</v>
      </c>
      <c r="M1480" s="1">
        <v>0</v>
      </c>
      <c r="N1480" s="1">
        <v>3841.24</v>
      </c>
      <c r="O1480" s="1" t="s">
        <v>24</v>
      </c>
      <c r="P1480" s="1" t="s">
        <v>280</v>
      </c>
      <c r="Q1480" s="1">
        <v>3</v>
      </c>
      <c r="R1480" s="1">
        <f>Retail_Sales_Analyis[[#This Row],[Final_Price]]-Retail_Sales_Analyis[[#This Row],[Total_Price]]</f>
        <v>0</v>
      </c>
      <c r="S14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81" spans="1:19" x14ac:dyDescent="0.25">
      <c r="A1481" s="1" t="s">
        <v>2388</v>
      </c>
      <c r="B1481" s="2">
        <v>45350</v>
      </c>
      <c r="C1481" s="1" t="s">
        <v>27</v>
      </c>
      <c r="D1481" s="1" t="s">
        <v>55</v>
      </c>
      <c r="E1481" s="1" t="s">
        <v>94</v>
      </c>
      <c r="F1481" s="1" t="s">
        <v>84</v>
      </c>
      <c r="G1481" s="1" t="s">
        <v>112</v>
      </c>
      <c r="H1481" s="1" t="s">
        <v>183</v>
      </c>
      <c r="I1481" s="1">
        <v>1052.3599999999999</v>
      </c>
      <c r="J1481" s="1">
        <v>10</v>
      </c>
      <c r="K1481" s="1">
        <v>10523.6</v>
      </c>
      <c r="L1481" s="1">
        <v>10</v>
      </c>
      <c r="M1481" s="1">
        <v>1052.3599999999999</v>
      </c>
      <c r="N1481" s="1">
        <v>9471.24</v>
      </c>
      <c r="O1481" s="1" t="s">
        <v>24</v>
      </c>
      <c r="P1481" s="1" t="s">
        <v>2389</v>
      </c>
      <c r="Q1481" s="1">
        <v>3</v>
      </c>
      <c r="R1481" s="1">
        <f>Retail_Sales_Analyis[[#This Row],[Final_Price]]-Retail_Sales_Analyis[[#This Row],[Total_Price]]</f>
        <v>-1052.3600000000006</v>
      </c>
      <c r="S14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82" spans="1:19" x14ac:dyDescent="0.25">
      <c r="A1482" s="1" t="s">
        <v>2390</v>
      </c>
      <c r="B1482" s="2">
        <v>45324</v>
      </c>
      <c r="C1482" s="1" t="s">
        <v>27</v>
      </c>
      <c r="D1482" s="1" t="s">
        <v>144</v>
      </c>
      <c r="E1482" s="1" t="s">
        <v>174</v>
      </c>
      <c r="F1482" s="1" t="s">
        <v>84</v>
      </c>
      <c r="G1482" s="1" t="s">
        <v>112</v>
      </c>
      <c r="H1482" s="1" t="s">
        <v>288</v>
      </c>
      <c r="I1482" s="1">
        <v>1987.84</v>
      </c>
      <c r="J1482" s="1">
        <v>10</v>
      </c>
      <c r="K1482" s="1">
        <v>19878.400000000001</v>
      </c>
      <c r="L1482" s="1">
        <v>20</v>
      </c>
      <c r="M1482" s="1">
        <v>3975.68</v>
      </c>
      <c r="N1482" s="1">
        <v>15902.72</v>
      </c>
      <c r="O1482" s="1" t="s">
        <v>64</v>
      </c>
      <c r="P1482" s="1" t="s">
        <v>1617</v>
      </c>
      <c r="Q1482" s="1">
        <v>4</v>
      </c>
      <c r="R1482" s="1">
        <f>Retail_Sales_Analyis[[#This Row],[Final_Price]]-Retail_Sales_Analyis[[#This Row],[Total_Price]]</f>
        <v>-3975.6800000000021</v>
      </c>
      <c r="S14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83" spans="1:19" x14ac:dyDescent="0.25">
      <c r="A1483" s="1" t="s">
        <v>2391</v>
      </c>
      <c r="B1483" s="2">
        <v>45535</v>
      </c>
      <c r="C1483" s="1" t="s">
        <v>93</v>
      </c>
      <c r="D1483" s="1" t="s">
        <v>19</v>
      </c>
      <c r="E1483" s="1" t="s">
        <v>20</v>
      </c>
      <c r="F1483" s="1" t="s">
        <v>84</v>
      </c>
      <c r="G1483" s="1" t="s">
        <v>22</v>
      </c>
      <c r="H1483" s="1" t="s">
        <v>187</v>
      </c>
      <c r="I1483" s="1">
        <v>658.17</v>
      </c>
      <c r="J1483" s="1">
        <v>7</v>
      </c>
      <c r="K1483" s="1">
        <v>4607.1899999999996</v>
      </c>
      <c r="L1483" s="1">
        <v>20</v>
      </c>
      <c r="M1483" s="1">
        <v>921.44</v>
      </c>
      <c r="N1483" s="1">
        <v>3685.75</v>
      </c>
      <c r="O1483" s="1" t="s">
        <v>46</v>
      </c>
      <c r="P1483" s="1" t="s">
        <v>2392</v>
      </c>
      <c r="Q1483" s="1">
        <v>5</v>
      </c>
      <c r="R1483" s="1">
        <f>Retail_Sales_Analyis[[#This Row],[Final_Price]]-Retail_Sales_Analyis[[#This Row],[Total_Price]]</f>
        <v>-921.4399999999996</v>
      </c>
      <c r="S14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84" spans="1:19" x14ac:dyDescent="0.25">
      <c r="A1484" s="1" t="s">
        <v>2393</v>
      </c>
      <c r="B1484" s="2">
        <v>45521</v>
      </c>
      <c r="C1484" s="1" t="s">
        <v>93</v>
      </c>
      <c r="D1484" s="1" t="s">
        <v>19</v>
      </c>
      <c r="E1484" s="1" t="s">
        <v>132</v>
      </c>
      <c r="F1484" s="1" t="s">
        <v>69</v>
      </c>
      <c r="G1484" s="1" t="s">
        <v>31</v>
      </c>
      <c r="H1484" s="1" t="s">
        <v>329</v>
      </c>
      <c r="I1484" s="1">
        <v>450.12</v>
      </c>
      <c r="J1484" s="1">
        <v>5</v>
      </c>
      <c r="K1484" s="1">
        <v>2250.6</v>
      </c>
      <c r="L1484" s="1">
        <v>0</v>
      </c>
      <c r="M1484" s="1">
        <v>0</v>
      </c>
      <c r="N1484" s="1">
        <v>2250.6</v>
      </c>
      <c r="O1484" s="1" t="s">
        <v>80</v>
      </c>
      <c r="P1484" s="1" t="s">
        <v>1464</v>
      </c>
      <c r="Q1484" s="1">
        <v>3</v>
      </c>
      <c r="R1484" s="1">
        <f>Retail_Sales_Analyis[[#This Row],[Final_Price]]-Retail_Sales_Analyis[[#This Row],[Total_Price]]</f>
        <v>0</v>
      </c>
      <c r="S14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85" spans="1:19" x14ac:dyDescent="0.25">
      <c r="A1485" s="1" t="s">
        <v>2394</v>
      </c>
      <c r="B1485" s="2">
        <v>45477</v>
      </c>
      <c r="C1485" s="1" t="s">
        <v>195</v>
      </c>
      <c r="D1485" s="1" t="s">
        <v>67</v>
      </c>
      <c r="E1485" s="1" t="s">
        <v>351</v>
      </c>
      <c r="F1485" s="1" t="s">
        <v>84</v>
      </c>
      <c r="G1485" s="1" t="s">
        <v>57</v>
      </c>
      <c r="H1485" s="1" t="s">
        <v>101</v>
      </c>
      <c r="I1485" s="1">
        <v>1124.99</v>
      </c>
      <c r="J1485" s="1">
        <v>2</v>
      </c>
      <c r="K1485" s="1">
        <v>2249.98</v>
      </c>
      <c r="L1485" s="1">
        <v>0</v>
      </c>
      <c r="M1485" s="1">
        <v>0</v>
      </c>
      <c r="N1485" s="1">
        <v>2249.98</v>
      </c>
      <c r="O1485" s="1" t="s">
        <v>24</v>
      </c>
      <c r="P1485" s="1" t="s">
        <v>701</v>
      </c>
      <c r="Q1485" s="1">
        <v>5</v>
      </c>
      <c r="R1485" s="1">
        <f>Retail_Sales_Analyis[[#This Row],[Final_Price]]-Retail_Sales_Analyis[[#This Row],[Total_Price]]</f>
        <v>0</v>
      </c>
      <c r="S14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86" spans="1:19" x14ac:dyDescent="0.25">
      <c r="A1486" s="1" t="s">
        <v>2395</v>
      </c>
      <c r="B1486" s="2">
        <v>45554</v>
      </c>
      <c r="C1486" s="1" t="s">
        <v>116</v>
      </c>
      <c r="D1486" s="1" t="s">
        <v>67</v>
      </c>
      <c r="E1486" s="1" t="s">
        <v>77</v>
      </c>
      <c r="F1486" s="1" t="s">
        <v>21</v>
      </c>
      <c r="G1486" s="1" t="s">
        <v>57</v>
      </c>
      <c r="H1486" s="1" t="s">
        <v>101</v>
      </c>
      <c r="I1486" s="1">
        <v>2693.51</v>
      </c>
      <c r="J1486" s="1">
        <v>2</v>
      </c>
      <c r="K1486" s="1">
        <v>5387.02</v>
      </c>
      <c r="L1486" s="1">
        <v>0</v>
      </c>
      <c r="M1486" s="1">
        <v>0</v>
      </c>
      <c r="N1486" s="1">
        <v>5387.02</v>
      </c>
      <c r="O1486" s="1" t="s">
        <v>64</v>
      </c>
      <c r="P1486" s="1" t="s">
        <v>1030</v>
      </c>
      <c r="Q1486" s="1">
        <v>3</v>
      </c>
      <c r="R1486" s="1">
        <f>Retail_Sales_Analyis[[#This Row],[Final_Price]]-Retail_Sales_Analyis[[#This Row],[Total_Price]]</f>
        <v>0</v>
      </c>
      <c r="S14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87" spans="1:19" x14ac:dyDescent="0.25">
      <c r="A1487" s="1" t="s">
        <v>2396</v>
      </c>
      <c r="B1487" s="2">
        <v>45595</v>
      </c>
      <c r="C1487" s="1" t="s">
        <v>76</v>
      </c>
      <c r="D1487" s="1" t="s">
        <v>55</v>
      </c>
      <c r="E1487" s="1" t="s">
        <v>163</v>
      </c>
      <c r="F1487" s="1" t="s">
        <v>69</v>
      </c>
      <c r="G1487" s="1" t="s">
        <v>22</v>
      </c>
      <c r="H1487" s="1" t="s">
        <v>51</v>
      </c>
      <c r="I1487" s="1">
        <v>651.13</v>
      </c>
      <c r="J1487" s="1">
        <v>1</v>
      </c>
      <c r="K1487" s="1">
        <v>651.13</v>
      </c>
      <c r="L1487" s="1">
        <v>5</v>
      </c>
      <c r="M1487" s="1">
        <v>32.56</v>
      </c>
      <c r="N1487" s="1">
        <v>618.57000000000005</v>
      </c>
      <c r="O1487" s="1" t="s">
        <v>80</v>
      </c>
      <c r="P1487" s="1" t="s">
        <v>419</v>
      </c>
      <c r="Q1487" s="1">
        <v>1</v>
      </c>
      <c r="R1487" s="1">
        <f>Retail_Sales_Analyis[[#This Row],[Final_Price]]-Retail_Sales_Analyis[[#This Row],[Total_Price]]</f>
        <v>-32.559999999999945</v>
      </c>
      <c r="S14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88" spans="1:19" x14ac:dyDescent="0.25">
      <c r="A1488" s="1" t="s">
        <v>2397</v>
      </c>
      <c r="B1488" s="2">
        <v>45347</v>
      </c>
      <c r="C1488" s="1" t="s">
        <v>27</v>
      </c>
      <c r="D1488" s="1" t="s">
        <v>49</v>
      </c>
      <c r="E1488" s="1" t="s">
        <v>117</v>
      </c>
      <c r="F1488" s="1" t="s">
        <v>21</v>
      </c>
      <c r="G1488" s="1" t="s">
        <v>22</v>
      </c>
      <c r="H1488" s="1" t="s">
        <v>133</v>
      </c>
      <c r="I1488" s="1">
        <v>565.75</v>
      </c>
      <c r="J1488" s="1">
        <v>7</v>
      </c>
      <c r="K1488" s="1">
        <v>3960.25</v>
      </c>
      <c r="L1488" s="1">
        <v>0</v>
      </c>
      <c r="M1488" s="1">
        <v>0</v>
      </c>
      <c r="N1488" s="1">
        <v>3960.25</v>
      </c>
      <c r="O1488" s="1" t="s">
        <v>33</v>
      </c>
      <c r="P1488" s="1" t="s">
        <v>1117</v>
      </c>
      <c r="Q1488" s="1">
        <v>2</v>
      </c>
      <c r="R1488" s="1">
        <f>Retail_Sales_Analyis[[#This Row],[Final_Price]]-Retail_Sales_Analyis[[#This Row],[Total_Price]]</f>
        <v>0</v>
      </c>
      <c r="S14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89" spans="1:19" x14ac:dyDescent="0.25">
      <c r="A1489" s="1" t="s">
        <v>2398</v>
      </c>
      <c r="B1489" s="2">
        <v>45523</v>
      </c>
      <c r="C1489" s="1" t="s">
        <v>93</v>
      </c>
      <c r="D1489" s="1" t="s">
        <v>43</v>
      </c>
      <c r="E1489" s="1" t="s">
        <v>20</v>
      </c>
      <c r="F1489" s="1" t="s">
        <v>21</v>
      </c>
      <c r="G1489" s="1" t="s">
        <v>57</v>
      </c>
      <c r="H1489" s="1" t="s">
        <v>122</v>
      </c>
      <c r="I1489" s="1">
        <v>1898.85</v>
      </c>
      <c r="J1489" s="1">
        <v>6</v>
      </c>
      <c r="K1489" s="1">
        <v>11393.1</v>
      </c>
      <c r="L1489" s="1">
        <v>15</v>
      </c>
      <c r="M1489" s="1">
        <v>1708.96</v>
      </c>
      <c r="N1489" s="1">
        <v>9684.14</v>
      </c>
      <c r="O1489" s="1" t="s">
        <v>80</v>
      </c>
      <c r="P1489" s="1" t="s">
        <v>2069</v>
      </c>
      <c r="Q1489" s="1">
        <v>3</v>
      </c>
      <c r="R1489" s="1">
        <f>Retail_Sales_Analyis[[#This Row],[Final_Price]]-Retail_Sales_Analyis[[#This Row],[Total_Price]]</f>
        <v>-1708.9600000000009</v>
      </c>
      <c r="S14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90" spans="1:19" x14ac:dyDescent="0.25">
      <c r="A1490" s="1" t="s">
        <v>2399</v>
      </c>
      <c r="B1490" s="2">
        <v>45549</v>
      </c>
      <c r="C1490" s="1" t="s">
        <v>116</v>
      </c>
      <c r="D1490" s="1" t="s">
        <v>19</v>
      </c>
      <c r="E1490" s="1" t="s">
        <v>261</v>
      </c>
      <c r="F1490" s="1" t="s">
        <v>37</v>
      </c>
      <c r="G1490" s="1" t="s">
        <v>85</v>
      </c>
      <c r="H1490" s="1" t="s">
        <v>90</v>
      </c>
      <c r="I1490" s="1">
        <v>4028.05</v>
      </c>
      <c r="J1490" s="1">
        <v>5</v>
      </c>
      <c r="K1490" s="1">
        <v>20140.25</v>
      </c>
      <c r="L1490" s="1">
        <v>20</v>
      </c>
      <c r="M1490" s="1">
        <v>4028.05</v>
      </c>
      <c r="N1490" s="1">
        <v>16112.2</v>
      </c>
      <c r="O1490" s="1" t="s">
        <v>24</v>
      </c>
      <c r="P1490" s="1" t="s">
        <v>1315</v>
      </c>
      <c r="Q1490" s="1">
        <v>3</v>
      </c>
      <c r="R1490" s="1">
        <f>Retail_Sales_Analyis[[#This Row],[Final_Price]]-Retail_Sales_Analyis[[#This Row],[Total_Price]]</f>
        <v>-4028.0499999999993</v>
      </c>
      <c r="S149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91" spans="1:19" x14ac:dyDescent="0.25">
      <c r="A1491" s="1" t="s">
        <v>2400</v>
      </c>
      <c r="B1491" s="2">
        <v>45405</v>
      </c>
      <c r="C1491" s="1" t="s">
        <v>54</v>
      </c>
      <c r="D1491" s="1" t="s">
        <v>28</v>
      </c>
      <c r="E1491" s="1" t="s">
        <v>141</v>
      </c>
      <c r="F1491" s="1" t="s">
        <v>21</v>
      </c>
      <c r="G1491" s="1" t="s">
        <v>22</v>
      </c>
      <c r="H1491" s="1" t="s">
        <v>277</v>
      </c>
      <c r="I1491" s="1">
        <v>223.95</v>
      </c>
      <c r="J1491" s="1">
        <v>3</v>
      </c>
      <c r="K1491" s="1">
        <v>671.85</v>
      </c>
      <c r="L1491" s="1">
        <v>5</v>
      </c>
      <c r="M1491" s="1">
        <v>33.590000000000003</v>
      </c>
      <c r="N1491" s="1">
        <v>638.26</v>
      </c>
      <c r="O1491" s="1" t="s">
        <v>80</v>
      </c>
      <c r="P1491" s="1" t="s">
        <v>932</v>
      </c>
      <c r="Q1491" s="1">
        <v>3</v>
      </c>
      <c r="R1491" s="1">
        <f>Retail_Sales_Analyis[[#This Row],[Final_Price]]-Retail_Sales_Analyis[[#This Row],[Total_Price]]</f>
        <v>-33.590000000000032</v>
      </c>
      <c r="S149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92" spans="1:19" x14ac:dyDescent="0.25">
      <c r="A1492" s="1" t="s">
        <v>2401</v>
      </c>
      <c r="B1492" s="2">
        <v>45606</v>
      </c>
      <c r="C1492" s="1" t="s">
        <v>18</v>
      </c>
      <c r="D1492" s="1" t="s">
        <v>49</v>
      </c>
      <c r="E1492" s="1" t="s">
        <v>261</v>
      </c>
      <c r="F1492" s="1" t="s">
        <v>37</v>
      </c>
      <c r="G1492" s="1" t="s">
        <v>38</v>
      </c>
      <c r="H1492" s="1" t="s">
        <v>39</v>
      </c>
      <c r="I1492" s="1">
        <v>648.52</v>
      </c>
      <c r="J1492" s="1">
        <v>7</v>
      </c>
      <c r="K1492" s="1">
        <v>4539.6400000000003</v>
      </c>
      <c r="L1492" s="1">
        <v>10</v>
      </c>
      <c r="M1492" s="1">
        <v>453.96</v>
      </c>
      <c r="N1492" s="1">
        <v>4085.68</v>
      </c>
      <c r="O1492" s="1" t="s">
        <v>33</v>
      </c>
      <c r="P1492" s="1" t="s">
        <v>837</v>
      </c>
      <c r="Q1492" s="1">
        <v>3</v>
      </c>
      <c r="R1492" s="1">
        <f>Retail_Sales_Analyis[[#This Row],[Final_Price]]-Retail_Sales_Analyis[[#This Row],[Total_Price]]</f>
        <v>-453.96000000000049</v>
      </c>
      <c r="S14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93" spans="1:19" x14ac:dyDescent="0.25">
      <c r="A1493" s="1" t="s">
        <v>2402</v>
      </c>
      <c r="B1493" s="2">
        <v>45314</v>
      </c>
      <c r="C1493" s="1" t="s">
        <v>36</v>
      </c>
      <c r="D1493" s="1" t="s">
        <v>28</v>
      </c>
      <c r="E1493" s="1" t="s">
        <v>139</v>
      </c>
      <c r="F1493" s="1" t="s">
        <v>30</v>
      </c>
      <c r="G1493" s="1" t="s">
        <v>57</v>
      </c>
      <c r="H1493" s="1" t="s">
        <v>152</v>
      </c>
      <c r="I1493" s="1">
        <v>1773.02</v>
      </c>
      <c r="J1493" s="1">
        <v>7</v>
      </c>
      <c r="K1493" s="1">
        <v>12411.14</v>
      </c>
      <c r="L1493" s="1">
        <v>0</v>
      </c>
      <c r="M1493" s="1">
        <v>0</v>
      </c>
      <c r="N1493" s="1">
        <v>12411.14</v>
      </c>
      <c r="O1493" s="1" t="s">
        <v>64</v>
      </c>
      <c r="P1493" s="1" t="s">
        <v>313</v>
      </c>
      <c r="Q1493" s="1">
        <v>2</v>
      </c>
      <c r="R1493" s="1">
        <f>Retail_Sales_Analyis[[#This Row],[Final_Price]]-Retail_Sales_Analyis[[#This Row],[Total_Price]]</f>
        <v>0</v>
      </c>
      <c r="S14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494" spans="1:19" x14ac:dyDescent="0.25">
      <c r="A1494" s="1" t="s">
        <v>2403</v>
      </c>
      <c r="B1494" s="2">
        <v>45629</v>
      </c>
      <c r="C1494" s="1" t="s">
        <v>73</v>
      </c>
      <c r="D1494" s="1" t="s">
        <v>28</v>
      </c>
      <c r="E1494" s="1" t="s">
        <v>141</v>
      </c>
      <c r="F1494" s="1" t="s">
        <v>21</v>
      </c>
      <c r="G1494" s="1" t="s">
        <v>78</v>
      </c>
      <c r="H1494" s="1" t="s">
        <v>79</v>
      </c>
      <c r="I1494" s="1">
        <v>263.37</v>
      </c>
      <c r="J1494" s="1">
        <v>4</v>
      </c>
      <c r="K1494" s="1">
        <v>1053.48</v>
      </c>
      <c r="L1494" s="1">
        <v>20</v>
      </c>
      <c r="M1494" s="1">
        <v>210.7</v>
      </c>
      <c r="N1494" s="1">
        <v>842.78</v>
      </c>
      <c r="O1494" s="1" t="s">
        <v>46</v>
      </c>
      <c r="P1494" s="1" t="s">
        <v>675</v>
      </c>
      <c r="Q1494" s="1">
        <v>4</v>
      </c>
      <c r="R1494" s="1">
        <f>Retail_Sales_Analyis[[#This Row],[Final_Price]]-Retail_Sales_Analyis[[#This Row],[Total_Price]]</f>
        <v>-210.70000000000005</v>
      </c>
      <c r="S14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95" spans="1:19" x14ac:dyDescent="0.25">
      <c r="A1495" s="1" t="s">
        <v>2404</v>
      </c>
      <c r="B1495" s="2">
        <v>45558</v>
      </c>
      <c r="C1495" s="1" t="s">
        <v>116</v>
      </c>
      <c r="D1495" s="1" t="s">
        <v>43</v>
      </c>
      <c r="E1495" s="1" t="s">
        <v>83</v>
      </c>
      <c r="F1495" s="1" t="s">
        <v>21</v>
      </c>
      <c r="G1495" s="1" t="s">
        <v>38</v>
      </c>
      <c r="H1495" s="1" t="s">
        <v>70</v>
      </c>
      <c r="I1495" s="1">
        <v>290.33</v>
      </c>
      <c r="J1495" s="1">
        <v>1</v>
      </c>
      <c r="K1495" s="1">
        <v>290.33</v>
      </c>
      <c r="L1495" s="1">
        <v>20</v>
      </c>
      <c r="M1495" s="1">
        <v>58.07</v>
      </c>
      <c r="N1495" s="1">
        <v>232.26</v>
      </c>
      <c r="O1495" s="1" t="s">
        <v>24</v>
      </c>
      <c r="P1495" s="1" t="s">
        <v>1296</v>
      </c>
      <c r="Q1495" s="1">
        <v>2</v>
      </c>
      <c r="R1495" s="1">
        <f>Retail_Sales_Analyis[[#This Row],[Final_Price]]-Retail_Sales_Analyis[[#This Row],[Total_Price]]</f>
        <v>-58.069999999999993</v>
      </c>
      <c r="S149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96" spans="1:19" x14ac:dyDescent="0.25">
      <c r="A1496" s="1" t="s">
        <v>2405</v>
      </c>
      <c r="B1496" s="2">
        <v>45446</v>
      </c>
      <c r="C1496" s="1" t="s">
        <v>173</v>
      </c>
      <c r="D1496" s="1" t="s">
        <v>43</v>
      </c>
      <c r="E1496" s="1" t="s">
        <v>322</v>
      </c>
      <c r="F1496" s="1" t="s">
        <v>69</v>
      </c>
      <c r="G1496" s="1" t="s">
        <v>112</v>
      </c>
      <c r="H1496" s="1" t="s">
        <v>183</v>
      </c>
      <c r="I1496" s="1">
        <v>1151.3699999999999</v>
      </c>
      <c r="J1496" s="1">
        <v>7</v>
      </c>
      <c r="K1496" s="1">
        <v>8059.59</v>
      </c>
      <c r="L1496" s="1">
        <v>5</v>
      </c>
      <c r="M1496" s="1">
        <v>402.98</v>
      </c>
      <c r="N1496" s="1">
        <v>7656.61</v>
      </c>
      <c r="O1496" s="1" t="s">
        <v>24</v>
      </c>
      <c r="P1496" s="1" t="s">
        <v>102</v>
      </c>
      <c r="Q1496" s="1">
        <v>1</v>
      </c>
      <c r="R1496" s="1">
        <f>Retail_Sales_Analyis[[#This Row],[Final_Price]]-Retail_Sales_Analyis[[#This Row],[Total_Price]]</f>
        <v>-402.98000000000047</v>
      </c>
      <c r="S14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497" spans="1:19" x14ac:dyDescent="0.25">
      <c r="A1497" s="1" t="s">
        <v>2406</v>
      </c>
      <c r="B1497" s="2">
        <v>45526</v>
      </c>
      <c r="C1497" s="1" t="s">
        <v>93</v>
      </c>
      <c r="D1497" s="1" t="s">
        <v>67</v>
      </c>
      <c r="E1497" s="1" t="s">
        <v>337</v>
      </c>
      <c r="F1497" s="1" t="s">
        <v>37</v>
      </c>
      <c r="G1497" s="1" t="s">
        <v>57</v>
      </c>
      <c r="H1497" s="1" t="s">
        <v>152</v>
      </c>
      <c r="I1497" s="1">
        <v>427.4</v>
      </c>
      <c r="J1497" s="1">
        <v>4</v>
      </c>
      <c r="K1497" s="1">
        <v>1709.6</v>
      </c>
      <c r="L1497" s="1">
        <v>20</v>
      </c>
      <c r="M1497" s="1">
        <v>341.92</v>
      </c>
      <c r="N1497" s="1">
        <v>1367.68</v>
      </c>
      <c r="O1497" s="1" t="s">
        <v>80</v>
      </c>
      <c r="P1497" s="1" t="s">
        <v>1428</v>
      </c>
      <c r="Q1497" s="1">
        <v>3</v>
      </c>
      <c r="R1497" s="1">
        <f>Retail_Sales_Analyis[[#This Row],[Final_Price]]-Retail_Sales_Analyis[[#This Row],[Total_Price]]</f>
        <v>-341.91999999999985</v>
      </c>
      <c r="S14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498" spans="1:19" x14ac:dyDescent="0.25">
      <c r="A1498" s="1" t="s">
        <v>2407</v>
      </c>
      <c r="B1498" s="2">
        <v>45621</v>
      </c>
      <c r="C1498" s="1" t="s">
        <v>18</v>
      </c>
      <c r="D1498" s="1" t="s">
        <v>43</v>
      </c>
      <c r="E1498" s="1" t="s">
        <v>94</v>
      </c>
      <c r="F1498" s="1" t="s">
        <v>84</v>
      </c>
      <c r="G1498" s="1" t="s">
        <v>169</v>
      </c>
      <c r="H1498" s="1" t="s">
        <v>348</v>
      </c>
      <c r="I1498" s="1">
        <v>933.37</v>
      </c>
      <c r="J1498" s="1">
        <v>10</v>
      </c>
      <c r="K1498" s="1">
        <v>9333.7000000000007</v>
      </c>
      <c r="L1498" s="1">
        <v>15</v>
      </c>
      <c r="M1498" s="1">
        <v>1400.06</v>
      </c>
      <c r="N1498" s="1">
        <v>7933.64</v>
      </c>
      <c r="O1498" s="1" t="s">
        <v>46</v>
      </c>
      <c r="P1498" s="1" t="s">
        <v>2381</v>
      </c>
      <c r="Q1498" s="1">
        <v>1</v>
      </c>
      <c r="R1498" s="1">
        <f>Retail_Sales_Analyis[[#This Row],[Final_Price]]-Retail_Sales_Analyis[[#This Row],[Total_Price]]</f>
        <v>-1400.0600000000004</v>
      </c>
      <c r="S14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499" spans="1:19" x14ac:dyDescent="0.25">
      <c r="A1499" s="1" t="s">
        <v>2408</v>
      </c>
      <c r="B1499" s="2">
        <v>45307</v>
      </c>
      <c r="C1499" s="1" t="s">
        <v>36</v>
      </c>
      <c r="D1499" s="1" t="s">
        <v>28</v>
      </c>
      <c r="E1499" s="1" t="s">
        <v>132</v>
      </c>
      <c r="F1499" s="1" t="s">
        <v>69</v>
      </c>
      <c r="G1499" s="1" t="s">
        <v>78</v>
      </c>
      <c r="H1499" s="1" t="s">
        <v>79</v>
      </c>
      <c r="I1499" s="1">
        <v>353.91</v>
      </c>
      <c r="J1499" s="1">
        <v>3</v>
      </c>
      <c r="K1499" s="1">
        <v>1061.73</v>
      </c>
      <c r="L1499" s="1">
        <v>20</v>
      </c>
      <c r="M1499" s="1">
        <v>212.35</v>
      </c>
      <c r="N1499" s="1">
        <v>849.38</v>
      </c>
      <c r="O1499" s="1" t="s">
        <v>80</v>
      </c>
      <c r="P1499" s="1" t="s">
        <v>578</v>
      </c>
      <c r="Q1499" s="1">
        <v>2</v>
      </c>
      <c r="R1499" s="1">
        <f>Retail_Sales_Analyis[[#This Row],[Final_Price]]-Retail_Sales_Analyis[[#This Row],[Total_Price]]</f>
        <v>-212.35000000000002</v>
      </c>
      <c r="S149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00" spans="1:19" x14ac:dyDescent="0.25">
      <c r="A1500" s="1" t="s">
        <v>2409</v>
      </c>
      <c r="B1500" s="2">
        <v>45323</v>
      </c>
      <c r="C1500" s="1" t="s">
        <v>27</v>
      </c>
      <c r="D1500" s="1" t="s">
        <v>67</v>
      </c>
      <c r="E1500" s="1" t="s">
        <v>337</v>
      </c>
      <c r="F1500" s="1" t="s">
        <v>69</v>
      </c>
      <c r="G1500" s="1" t="s">
        <v>22</v>
      </c>
      <c r="H1500" s="1" t="s">
        <v>23</v>
      </c>
      <c r="I1500" s="1">
        <v>240.24</v>
      </c>
      <c r="J1500" s="1">
        <v>6</v>
      </c>
      <c r="K1500" s="1">
        <v>1441.44</v>
      </c>
      <c r="L1500" s="1">
        <v>0</v>
      </c>
      <c r="M1500" s="1">
        <v>0</v>
      </c>
      <c r="N1500" s="1">
        <v>1441.44</v>
      </c>
      <c r="O1500" s="1" t="s">
        <v>46</v>
      </c>
      <c r="P1500" s="1" t="s">
        <v>2306</v>
      </c>
      <c r="Q1500" s="1">
        <v>3</v>
      </c>
      <c r="R1500" s="1">
        <f>Retail_Sales_Analyis[[#This Row],[Final_Price]]-Retail_Sales_Analyis[[#This Row],[Total_Price]]</f>
        <v>0</v>
      </c>
      <c r="S15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1" spans="1:19" x14ac:dyDescent="0.25">
      <c r="A1501" s="1" t="s">
        <v>2410</v>
      </c>
      <c r="B1501" s="2">
        <v>45537</v>
      </c>
      <c r="C1501" s="1" t="s">
        <v>116</v>
      </c>
      <c r="D1501" s="1" t="s">
        <v>43</v>
      </c>
      <c r="E1501" s="1" t="s">
        <v>204</v>
      </c>
      <c r="F1501" s="1" t="s">
        <v>69</v>
      </c>
      <c r="G1501" s="1" t="s">
        <v>31</v>
      </c>
      <c r="H1501" s="1" t="s">
        <v>45</v>
      </c>
      <c r="I1501" s="1">
        <v>176.68</v>
      </c>
      <c r="J1501" s="1">
        <v>3</v>
      </c>
      <c r="K1501" s="1">
        <v>530.04</v>
      </c>
      <c r="L1501" s="1">
        <v>0</v>
      </c>
      <c r="M1501" s="1">
        <v>0</v>
      </c>
      <c r="N1501" s="1">
        <v>530.04</v>
      </c>
      <c r="O1501" s="1" t="s">
        <v>33</v>
      </c>
      <c r="P1501" s="1" t="s">
        <v>1358</v>
      </c>
      <c r="Q1501" s="1">
        <v>2</v>
      </c>
      <c r="R1501" s="1">
        <f>Retail_Sales_Analyis[[#This Row],[Final_Price]]-Retail_Sales_Analyis[[#This Row],[Total_Price]]</f>
        <v>0</v>
      </c>
      <c r="S15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2" spans="1:19" x14ac:dyDescent="0.25">
      <c r="A1502" s="1" t="s">
        <v>2411</v>
      </c>
      <c r="B1502" s="2">
        <v>45497</v>
      </c>
      <c r="C1502" s="1" t="s">
        <v>195</v>
      </c>
      <c r="D1502" s="1" t="s">
        <v>55</v>
      </c>
      <c r="E1502" s="1" t="s">
        <v>117</v>
      </c>
      <c r="F1502" s="1" t="s">
        <v>69</v>
      </c>
      <c r="G1502" s="1" t="s">
        <v>22</v>
      </c>
      <c r="H1502" s="1" t="s">
        <v>23</v>
      </c>
      <c r="I1502" s="1">
        <v>677.05</v>
      </c>
      <c r="J1502" s="1">
        <v>6</v>
      </c>
      <c r="K1502" s="1">
        <v>4062.3</v>
      </c>
      <c r="L1502" s="1">
        <v>0</v>
      </c>
      <c r="M1502" s="1">
        <v>0</v>
      </c>
      <c r="N1502" s="1">
        <v>4062.3</v>
      </c>
      <c r="O1502" s="1" t="s">
        <v>80</v>
      </c>
      <c r="P1502" s="1" t="s">
        <v>1977</v>
      </c>
      <c r="Q1502" s="1">
        <v>1</v>
      </c>
      <c r="R1502" s="1">
        <f>Retail_Sales_Analyis[[#This Row],[Final_Price]]-Retail_Sales_Analyis[[#This Row],[Total_Price]]</f>
        <v>0</v>
      </c>
      <c r="S15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3" spans="1:19" x14ac:dyDescent="0.25">
      <c r="A1503" s="1" t="s">
        <v>2412</v>
      </c>
      <c r="B1503" s="2">
        <v>45510</v>
      </c>
      <c r="C1503" s="1" t="s">
        <v>93</v>
      </c>
      <c r="D1503" s="1" t="s">
        <v>28</v>
      </c>
      <c r="E1503" s="1" t="s">
        <v>77</v>
      </c>
      <c r="F1503" s="1" t="s">
        <v>30</v>
      </c>
      <c r="G1503" s="1" t="s">
        <v>31</v>
      </c>
      <c r="H1503" s="1" t="s">
        <v>32</v>
      </c>
      <c r="I1503" s="1">
        <v>465.39</v>
      </c>
      <c r="J1503" s="1">
        <v>3</v>
      </c>
      <c r="K1503" s="1">
        <v>1396.17</v>
      </c>
      <c r="L1503" s="1">
        <v>10</v>
      </c>
      <c r="M1503" s="1">
        <v>139.62</v>
      </c>
      <c r="N1503" s="1">
        <v>1256.55</v>
      </c>
      <c r="O1503" s="1" t="s">
        <v>80</v>
      </c>
      <c r="P1503" s="1" t="s">
        <v>940</v>
      </c>
      <c r="Q1503" s="1">
        <v>1</v>
      </c>
      <c r="R1503" s="1">
        <f>Retail_Sales_Analyis[[#This Row],[Final_Price]]-Retail_Sales_Analyis[[#This Row],[Total_Price]]</f>
        <v>-139.62000000000012</v>
      </c>
      <c r="S15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04" spans="1:19" x14ac:dyDescent="0.25">
      <c r="A1504" s="1" t="s">
        <v>2413</v>
      </c>
      <c r="B1504" s="2">
        <v>45643</v>
      </c>
      <c r="C1504" s="1" t="s">
        <v>73</v>
      </c>
      <c r="D1504" s="1" t="s">
        <v>28</v>
      </c>
      <c r="E1504" s="1" t="s">
        <v>186</v>
      </c>
      <c r="F1504" s="1" t="s">
        <v>69</v>
      </c>
      <c r="G1504" s="1" t="s">
        <v>22</v>
      </c>
      <c r="H1504" s="1" t="s">
        <v>187</v>
      </c>
      <c r="I1504" s="1">
        <v>739.71</v>
      </c>
      <c r="J1504" s="1">
        <v>5</v>
      </c>
      <c r="K1504" s="1">
        <v>3698.55</v>
      </c>
      <c r="L1504" s="1">
        <v>0</v>
      </c>
      <c r="M1504" s="1">
        <v>0</v>
      </c>
      <c r="N1504" s="1">
        <v>3698.55</v>
      </c>
      <c r="O1504" s="1" t="s">
        <v>64</v>
      </c>
      <c r="P1504" s="1" t="s">
        <v>905</v>
      </c>
      <c r="Q1504" s="1">
        <v>2</v>
      </c>
      <c r="R1504" s="1">
        <f>Retail_Sales_Analyis[[#This Row],[Final_Price]]-Retail_Sales_Analyis[[#This Row],[Total_Price]]</f>
        <v>0</v>
      </c>
      <c r="S15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5" spans="1:19" x14ac:dyDescent="0.25">
      <c r="A1505" s="1" t="s">
        <v>2414</v>
      </c>
      <c r="B1505" s="2">
        <v>45347</v>
      </c>
      <c r="C1505" s="1" t="s">
        <v>27</v>
      </c>
      <c r="D1505" s="1" t="s">
        <v>49</v>
      </c>
      <c r="E1505" s="1" t="s">
        <v>411</v>
      </c>
      <c r="F1505" s="1" t="s">
        <v>69</v>
      </c>
      <c r="G1505" s="1" t="s">
        <v>169</v>
      </c>
      <c r="H1505" s="1" t="s">
        <v>366</v>
      </c>
      <c r="I1505" s="1">
        <v>1445.03</v>
      </c>
      <c r="J1505" s="1">
        <v>6</v>
      </c>
      <c r="K1505" s="1">
        <v>8670.18</v>
      </c>
      <c r="L1505" s="1">
        <v>0</v>
      </c>
      <c r="M1505" s="1">
        <v>0</v>
      </c>
      <c r="N1505" s="1">
        <v>8670.18</v>
      </c>
      <c r="O1505" s="1" t="s">
        <v>64</v>
      </c>
      <c r="P1505" s="1" t="s">
        <v>562</v>
      </c>
      <c r="Q1505" s="1">
        <v>2</v>
      </c>
      <c r="R1505" s="1">
        <f>Retail_Sales_Analyis[[#This Row],[Final_Price]]-Retail_Sales_Analyis[[#This Row],[Total_Price]]</f>
        <v>0</v>
      </c>
      <c r="S15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6" spans="1:19" x14ac:dyDescent="0.25">
      <c r="A1506" s="1" t="s">
        <v>2415</v>
      </c>
      <c r="B1506" s="2">
        <v>45543</v>
      </c>
      <c r="C1506" s="1" t="s">
        <v>116</v>
      </c>
      <c r="D1506" s="1" t="s">
        <v>49</v>
      </c>
      <c r="E1506" s="1" t="s">
        <v>285</v>
      </c>
      <c r="F1506" s="1" t="s">
        <v>37</v>
      </c>
      <c r="G1506" s="1" t="s">
        <v>31</v>
      </c>
      <c r="H1506" s="1" t="s">
        <v>45</v>
      </c>
      <c r="I1506" s="1">
        <v>467.23</v>
      </c>
      <c r="J1506" s="1">
        <v>8</v>
      </c>
      <c r="K1506" s="1">
        <v>3737.84</v>
      </c>
      <c r="L1506" s="1">
        <v>0</v>
      </c>
      <c r="M1506" s="1">
        <v>0</v>
      </c>
      <c r="N1506" s="1">
        <v>3737.84</v>
      </c>
      <c r="O1506" s="1" t="s">
        <v>64</v>
      </c>
      <c r="P1506" s="1" t="s">
        <v>586</v>
      </c>
      <c r="Q1506" s="1">
        <v>2</v>
      </c>
      <c r="R1506" s="1">
        <f>Retail_Sales_Analyis[[#This Row],[Final_Price]]-Retail_Sales_Analyis[[#This Row],[Total_Price]]</f>
        <v>0</v>
      </c>
      <c r="S15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07" spans="1:19" x14ac:dyDescent="0.25">
      <c r="A1507" s="1" t="s">
        <v>2416</v>
      </c>
      <c r="B1507" s="2">
        <v>45656</v>
      </c>
      <c r="C1507" s="1" t="s">
        <v>73</v>
      </c>
      <c r="D1507" s="1" t="s">
        <v>43</v>
      </c>
      <c r="E1507" s="1" t="s">
        <v>213</v>
      </c>
      <c r="F1507" s="1" t="s">
        <v>30</v>
      </c>
      <c r="G1507" s="1" t="s">
        <v>85</v>
      </c>
      <c r="H1507" s="1" t="s">
        <v>297</v>
      </c>
      <c r="I1507" s="1">
        <v>2519.3200000000002</v>
      </c>
      <c r="J1507" s="1">
        <v>4</v>
      </c>
      <c r="K1507" s="1">
        <v>10077.280000000001</v>
      </c>
      <c r="L1507" s="1">
        <v>20</v>
      </c>
      <c r="M1507" s="1">
        <v>2015.46</v>
      </c>
      <c r="N1507" s="1">
        <v>8061.82</v>
      </c>
      <c r="O1507" s="1" t="s">
        <v>33</v>
      </c>
      <c r="P1507" s="1" t="s">
        <v>2016</v>
      </c>
      <c r="Q1507" s="1">
        <v>2</v>
      </c>
      <c r="R1507" s="1">
        <f>Retail_Sales_Analyis[[#This Row],[Final_Price]]-Retail_Sales_Analyis[[#This Row],[Total_Price]]</f>
        <v>-2015.4600000000009</v>
      </c>
      <c r="S15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08" spans="1:19" x14ac:dyDescent="0.25">
      <c r="A1508" s="1" t="s">
        <v>2417</v>
      </c>
      <c r="B1508" s="2">
        <v>45519</v>
      </c>
      <c r="C1508" s="1" t="s">
        <v>93</v>
      </c>
      <c r="D1508" s="1" t="s">
        <v>67</v>
      </c>
      <c r="E1508" s="1" t="s">
        <v>145</v>
      </c>
      <c r="F1508" s="1" t="s">
        <v>69</v>
      </c>
      <c r="G1508" s="1" t="s">
        <v>31</v>
      </c>
      <c r="H1508" s="1" t="s">
        <v>32</v>
      </c>
      <c r="I1508" s="1">
        <v>295.75</v>
      </c>
      <c r="J1508" s="1">
        <v>6</v>
      </c>
      <c r="K1508" s="1">
        <v>1774.5</v>
      </c>
      <c r="L1508" s="1">
        <v>5</v>
      </c>
      <c r="M1508" s="1">
        <v>88.73</v>
      </c>
      <c r="N1508" s="1">
        <v>1685.77</v>
      </c>
      <c r="O1508" s="1" t="s">
        <v>24</v>
      </c>
      <c r="P1508" s="1" t="s">
        <v>2418</v>
      </c>
      <c r="Q1508" s="1">
        <v>2</v>
      </c>
      <c r="R1508" s="1">
        <f>Retail_Sales_Analyis[[#This Row],[Final_Price]]-Retail_Sales_Analyis[[#This Row],[Total_Price]]</f>
        <v>-88.730000000000018</v>
      </c>
      <c r="S15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09" spans="1:19" x14ac:dyDescent="0.25">
      <c r="A1509" s="1" t="s">
        <v>2419</v>
      </c>
      <c r="B1509" s="2">
        <v>45329</v>
      </c>
      <c r="C1509" s="1" t="s">
        <v>27</v>
      </c>
      <c r="D1509" s="1" t="s">
        <v>55</v>
      </c>
      <c r="E1509" s="1" t="s">
        <v>166</v>
      </c>
      <c r="F1509" s="1" t="s">
        <v>37</v>
      </c>
      <c r="G1509" s="1" t="s">
        <v>38</v>
      </c>
      <c r="H1509" s="1" t="s">
        <v>422</v>
      </c>
      <c r="I1509" s="1">
        <v>285.22000000000003</v>
      </c>
      <c r="J1509" s="1">
        <v>1</v>
      </c>
      <c r="K1509" s="1">
        <v>285.22000000000003</v>
      </c>
      <c r="L1509" s="1">
        <v>15</v>
      </c>
      <c r="M1509" s="1">
        <v>42.78</v>
      </c>
      <c r="N1509" s="1">
        <v>242.44</v>
      </c>
      <c r="O1509" s="1" t="s">
        <v>64</v>
      </c>
      <c r="P1509" s="1" t="s">
        <v>1611</v>
      </c>
      <c r="Q1509" s="1">
        <v>5</v>
      </c>
      <c r="R1509" s="1">
        <f>Retail_Sales_Analyis[[#This Row],[Final_Price]]-Retail_Sales_Analyis[[#This Row],[Total_Price]]</f>
        <v>-42.78000000000003</v>
      </c>
      <c r="S15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10" spans="1:19" x14ac:dyDescent="0.25">
      <c r="A1510" s="1" t="s">
        <v>2420</v>
      </c>
      <c r="B1510" s="2">
        <v>45333</v>
      </c>
      <c r="C1510" s="1" t="s">
        <v>27</v>
      </c>
      <c r="D1510" s="1" t="s">
        <v>49</v>
      </c>
      <c r="E1510" s="1" t="s">
        <v>111</v>
      </c>
      <c r="F1510" s="1" t="s">
        <v>21</v>
      </c>
      <c r="G1510" s="1" t="s">
        <v>22</v>
      </c>
      <c r="H1510" s="1" t="s">
        <v>277</v>
      </c>
      <c r="I1510" s="1">
        <v>608.21</v>
      </c>
      <c r="J1510" s="1">
        <v>2</v>
      </c>
      <c r="K1510" s="1">
        <v>1216.42</v>
      </c>
      <c r="L1510" s="1">
        <v>5</v>
      </c>
      <c r="M1510" s="1">
        <v>60.82</v>
      </c>
      <c r="N1510" s="1">
        <v>1155.5999999999999</v>
      </c>
      <c r="O1510" s="1" t="s">
        <v>46</v>
      </c>
      <c r="P1510" s="1" t="s">
        <v>1761</v>
      </c>
      <c r="Q1510" s="1">
        <v>3</v>
      </c>
      <c r="R1510" s="1">
        <f>Retail_Sales_Analyis[[#This Row],[Final_Price]]-Retail_Sales_Analyis[[#This Row],[Total_Price]]</f>
        <v>-60.820000000000164</v>
      </c>
      <c r="S15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11" spans="1:19" x14ac:dyDescent="0.25">
      <c r="A1511" s="1" t="s">
        <v>2421</v>
      </c>
      <c r="B1511" s="2">
        <v>45456</v>
      </c>
      <c r="C1511" s="1" t="s">
        <v>173</v>
      </c>
      <c r="D1511" s="1" t="s">
        <v>67</v>
      </c>
      <c r="E1511" s="1" t="s">
        <v>107</v>
      </c>
      <c r="F1511" s="1" t="s">
        <v>69</v>
      </c>
      <c r="G1511" s="1" t="s">
        <v>57</v>
      </c>
      <c r="H1511" s="1" t="s">
        <v>158</v>
      </c>
      <c r="I1511" s="1">
        <v>2529.6</v>
      </c>
      <c r="J1511" s="1">
        <v>7</v>
      </c>
      <c r="K1511" s="1">
        <v>17707.2</v>
      </c>
      <c r="L1511" s="1">
        <v>5</v>
      </c>
      <c r="M1511" s="1">
        <v>885.36</v>
      </c>
      <c r="N1511" s="1">
        <v>16821.84</v>
      </c>
      <c r="O1511" s="1" t="s">
        <v>80</v>
      </c>
      <c r="P1511" s="1" t="s">
        <v>1176</v>
      </c>
      <c r="Q1511" s="1">
        <v>1</v>
      </c>
      <c r="R1511" s="1">
        <f>Retail_Sales_Analyis[[#This Row],[Final_Price]]-Retail_Sales_Analyis[[#This Row],[Total_Price]]</f>
        <v>-885.36000000000058</v>
      </c>
      <c r="S15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12" spans="1:19" x14ac:dyDescent="0.25">
      <c r="A1512" s="1" t="s">
        <v>2422</v>
      </c>
      <c r="B1512" s="2">
        <v>45603</v>
      </c>
      <c r="C1512" s="1" t="s">
        <v>18</v>
      </c>
      <c r="D1512" s="1" t="s">
        <v>67</v>
      </c>
      <c r="E1512" s="1" t="s">
        <v>328</v>
      </c>
      <c r="F1512" s="1" t="s">
        <v>37</v>
      </c>
      <c r="G1512" s="1" t="s">
        <v>31</v>
      </c>
      <c r="H1512" s="1" t="s">
        <v>45</v>
      </c>
      <c r="I1512" s="1">
        <v>126.64</v>
      </c>
      <c r="J1512" s="1">
        <v>3</v>
      </c>
      <c r="K1512" s="1">
        <v>379.92</v>
      </c>
      <c r="L1512" s="1">
        <v>0</v>
      </c>
      <c r="M1512" s="1">
        <v>0</v>
      </c>
      <c r="N1512" s="1">
        <v>379.92</v>
      </c>
      <c r="O1512" s="1" t="s">
        <v>24</v>
      </c>
      <c r="P1512" s="1" t="s">
        <v>2423</v>
      </c>
      <c r="Q1512" s="1">
        <v>2</v>
      </c>
      <c r="R1512" s="1">
        <f>Retail_Sales_Analyis[[#This Row],[Final_Price]]-Retail_Sales_Analyis[[#This Row],[Total_Price]]</f>
        <v>0</v>
      </c>
      <c r="S15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13" spans="1:19" x14ac:dyDescent="0.25">
      <c r="A1513" s="1" t="s">
        <v>2424</v>
      </c>
      <c r="B1513" s="2">
        <v>45367</v>
      </c>
      <c r="C1513" s="1" t="s">
        <v>61</v>
      </c>
      <c r="D1513" s="1" t="s">
        <v>19</v>
      </c>
      <c r="E1513" s="1" t="s">
        <v>139</v>
      </c>
      <c r="F1513" s="1" t="s">
        <v>69</v>
      </c>
      <c r="G1513" s="1" t="s">
        <v>31</v>
      </c>
      <c r="H1513" s="1" t="s">
        <v>45</v>
      </c>
      <c r="I1513" s="1">
        <v>291.31</v>
      </c>
      <c r="J1513" s="1">
        <v>3</v>
      </c>
      <c r="K1513" s="1">
        <v>873.93</v>
      </c>
      <c r="L1513" s="1">
        <v>0</v>
      </c>
      <c r="M1513" s="1">
        <v>0</v>
      </c>
      <c r="N1513" s="1">
        <v>873.93</v>
      </c>
      <c r="O1513" s="1" t="s">
        <v>64</v>
      </c>
      <c r="P1513" s="1" t="s">
        <v>2425</v>
      </c>
      <c r="Q1513" s="1">
        <v>3</v>
      </c>
      <c r="R1513" s="1">
        <f>Retail_Sales_Analyis[[#This Row],[Final_Price]]-Retail_Sales_Analyis[[#This Row],[Total_Price]]</f>
        <v>0</v>
      </c>
      <c r="S15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14" spans="1:19" x14ac:dyDescent="0.25">
      <c r="A1514" s="1" t="s">
        <v>2426</v>
      </c>
      <c r="B1514" s="2">
        <v>45325</v>
      </c>
      <c r="C1514" s="1" t="s">
        <v>27</v>
      </c>
      <c r="D1514" s="1" t="s">
        <v>19</v>
      </c>
      <c r="E1514" s="1" t="s">
        <v>125</v>
      </c>
      <c r="F1514" s="1" t="s">
        <v>84</v>
      </c>
      <c r="G1514" s="1" t="s">
        <v>78</v>
      </c>
      <c r="H1514" s="1" t="s">
        <v>136</v>
      </c>
      <c r="I1514" s="1">
        <v>502.98</v>
      </c>
      <c r="J1514" s="1">
        <v>10</v>
      </c>
      <c r="K1514" s="1">
        <v>5029.8</v>
      </c>
      <c r="L1514" s="1">
        <v>5</v>
      </c>
      <c r="M1514" s="1">
        <v>251.49</v>
      </c>
      <c r="N1514" s="1">
        <v>4778.3100000000004</v>
      </c>
      <c r="O1514" s="1" t="s">
        <v>64</v>
      </c>
      <c r="P1514" s="1" t="s">
        <v>636</v>
      </c>
      <c r="Q1514" s="1">
        <v>4</v>
      </c>
      <c r="R1514" s="1">
        <f>Retail_Sales_Analyis[[#This Row],[Final_Price]]-Retail_Sales_Analyis[[#This Row],[Total_Price]]</f>
        <v>-251.48999999999978</v>
      </c>
      <c r="S15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15" spans="1:19" x14ac:dyDescent="0.25">
      <c r="A1515" s="1" t="s">
        <v>2427</v>
      </c>
      <c r="B1515" s="2">
        <v>45356</v>
      </c>
      <c r="C1515" s="1" t="s">
        <v>61</v>
      </c>
      <c r="D1515" s="1" t="s">
        <v>28</v>
      </c>
      <c r="E1515" s="1" t="s">
        <v>125</v>
      </c>
      <c r="F1515" s="1" t="s">
        <v>84</v>
      </c>
      <c r="G1515" s="1" t="s">
        <v>169</v>
      </c>
      <c r="H1515" s="1" t="s">
        <v>170</v>
      </c>
      <c r="I1515" s="1">
        <v>512.66</v>
      </c>
      <c r="J1515" s="1">
        <v>6</v>
      </c>
      <c r="K1515" s="1">
        <v>3075.96</v>
      </c>
      <c r="L1515" s="1">
        <v>5</v>
      </c>
      <c r="M1515" s="1">
        <v>153.80000000000001</v>
      </c>
      <c r="N1515" s="1">
        <v>2922.16</v>
      </c>
      <c r="O1515" s="1" t="s">
        <v>24</v>
      </c>
      <c r="P1515" s="1" t="s">
        <v>969</v>
      </c>
      <c r="Q1515" s="1">
        <v>3</v>
      </c>
      <c r="R1515" s="1">
        <f>Retail_Sales_Analyis[[#This Row],[Final_Price]]-Retail_Sales_Analyis[[#This Row],[Total_Price]]</f>
        <v>-153.80000000000018</v>
      </c>
      <c r="S151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16" spans="1:19" x14ac:dyDescent="0.25">
      <c r="A1516" s="1" t="s">
        <v>2428</v>
      </c>
      <c r="B1516" s="2">
        <v>45432</v>
      </c>
      <c r="C1516" s="1" t="s">
        <v>42</v>
      </c>
      <c r="D1516" s="1" t="s">
        <v>43</v>
      </c>
      <c r="E1516" s="1" t="s">
        <v>285</v>
      </c>
      <c r="F1516" s="1" t="s">
        <v>37</v>
      </c>
      <c r="G1516" s="1" t="s">
        <v>31</v>
      </c>
      <c r="H1516" s="1" t="s">
        <v>329</v>
      </c>
      <c r="I1516" s="1">
        <v>271.77</v>
      </c>
      <c r="J1516" s="1">
        <v>10</v>
      </c>
      <c r="K1516" s="1">
        <v>2717.7</v>
      </c>
      <c r="L1516" s="1">
        <v>10</v>
      </c>
      <c r="M1516" s="1">
        <v>271.77</v>
      </c>
      <c r="N1516" s="1">
        <v>2445.9299999999998</v>
      </c>
      <c r="O1516" s="1" t="s">
        <v>33</v>
      </c>
      <c r="P1516" s="1" t="s">
        <v>496</v>
      </c>
      <c r="Q1516" s="1">
        <v>4</v>
      </c>
      <c r="R1516" s="1">
        <f>Retail_Sales_Analyis[[#This Row],[Final_Price]]-Retail_Sales_Analyis[[#This Row],[Total_Price]]</f>
        <v>-271.77</v>
      </c>
      <c r="S15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17" spans="1:19" x14ac:dyDescent="0.25">
      <c r="A1517" s="1" t="s">
        <v>2429</v>
      </c>
      <c r="B1517" s="2">
        <v>45611</v>
      </c>
      <c r="C1517" s="1" t="s">
        <v>18</v>
      </c>
      <c r="D1517" s="1" t="s">
        <v>144</v>
      </c>
      <c r="E1517" s="1" t="s">
        <v>77</v>
      </c>
      <c r="F1517" s="1" t="s">
        <v>21</v>
      </c>
      <c r="G1517" s="1" t="s">
        <v>31</v>
      </c>
      <c r="H1517" s="1" t="s">
        <v>329</v>
      </c>
      <c r="I1517" s="1">
        <v>231.2</v>
      </c>
      <c r="J1517" s="1">
        <v>8</v>
      </c>
      <c r="K1517" s="1">
        <v>1849.6</v>
      </c>
      <c r="L1517" s="1">
        <v>0</v>
      </c>
      <c r="M1517" s="1">
        <v>0</v>
      </c>
      <c r="N1517" s="1">
        <v>1849.6</v>
      </c>
      <c r="O1517" s="1" t="s">
        <v>33</v>
      </c>
      <c r="P1517" s="1" t="s">
        <v>807</v>
      </c>
      <c r="Q1517" s="1">
        <v>5</v>
      </c>
      <c r="R1517" s="1">
        <f>Retail_Sales_Analyis[[#This Row],[Final_Price]]-Retail_Sales_Analyis[[#This Row],[Total_Price]]</f>
        <v>0</v>
      </c>
      <c r="S15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18" spans="1:19" x14ac:dyDescent="0.25">
      <c r="A1518" s="1" t="s">
        <v>2430</v>
      </c>
      <c r="B1518" s="2">
        <v>45616</v>
      </c>
      <c r="C1518" s="1" t="s">
        <v>18</v>
      </c>
      <c r="D1518" s="1" t="s">
        <v>55</v>
      </c>
      <c r="E1518" s="1" t="s">
        <v>104</v>
      </c>
      <c r="F1518" s="1" t="s">
        <v>21</v>
      </c>
      <c r="G1518" s="1" t="s">
        <v>112</v>
      </c>
      <c r="H1518" s="1" t="s">
        <v>118</v>
      </c>
      <c r="I1518" s="1">
        <v>1646.8</v>
      </c>
      <c r="J1518" s="1">
        <v>7</v>
      </c>
      <c r="K1518" s="1">
        <v>11527.6</v>
      </c>
      <c r="L1518" s="1">
        <v>10</v>
      </c>
      <c r="M1518" s="1">
        <v>1152.76</v>
      </c>
      <c r="N1518" s="1">
        <v>10374.84</v>
      </c>
      <c r="O1518" s="1" t="s">
        <v>64</v>
      </c>
      <c r="P1518" s="1" t="s">
        <v>863</v>
      </c>
      <c r="Q1518" s="1">
        <v>1</v>
      </c>
      <c r="R1518" s="1">
        <f>Retail_Sales_Analyis[[#This Row],[Final_Price]]-Retail_Sales_Analyis[[#This Row],[Total_Price]]</f>
        <v>-1152.7600000000002</v>
      </c>
      <c r="S15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19" spans="1:19" x14ac:dyDescent="0.25">
      <c r="A1519" s="1" t="s">
        <v>2431</v>
      </c>
      <c r="B1519" s="2">
        <v>45591</v>
      </c>
      <c r="C1519" s="1" t="s">
        <v>76</v>
      </c>
      <c r="D1519" s="1" t="s">
        <v>19</v>
      </c>
      <c r="E1519" s="1" t="s">
        <v>157</v>
      </c>
      <c r="F1519" s="1" t="s">
        <v>30</v>
      </c>
      <c r="G1519" s="1" t="s">
        <v>57</v>
      </c>
      <c r="H1519" s="1" t="s">
        <v>158</v>
      </c>
      <c r="I1519" s="1">
        <v>1118.0899999999999</v>
      </c>
      <c r="J1519" s="1">
        <v>3</v>
      </c>
      <c r="K1519" s="1">
        <v>3354.27</v>
      </c>
      <c r="L1519" s="1">
        <v>0</v>
      </c>
      <c r="M1519" s="1">
        <v>0</v>
      </c>
      <c r="N1519" s="1">
        <v>3354.27</v>
      </c>
      <c r="O1519" s="1" t="s">
        <v>33</v>
      </c>
      <c r="P1519" s="1" t="s">
        <v>1749</v>
      </c>
      <c r="Q1519" s="1">
        <v>3</v>
      </c>
      <c r="R1519" s="1">
        <f>Retail_Sales_Analyis[[#This Row],[Final_Price]]-Retail_Sales_Analyis[[#This Row],[Total_Price]]</f>
        <v>0</v>
      </c>
      <c r="S15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20" spans="1:19" x14ac:dyDescent="0.25">
      <c r="A1520" s="1" t="s">
        <v>2432</v>
      </c>
      <c r="B1520" s="2">
        <v>45572</v>
      </c>
      <c r="C1520" s="1" t="s">
        <v>76</v>
      </c>
      <c r="D1520" s="1" t="s">
        <v>43</v>
      </c>
      <c r="E1520" s="1" t="s">
        <v>139</v>
      </c>
      <c r="F1520" s="1" t="s">
        <v>21</v>
      </c>
      <c r="G1520" s="1" t="s">
        <v>31</v>
      </c>
      <c r="H1520" s="1" t="s">
        <v>329</v>
      </c>
      <c r="I1520" s="1">
        <v>359.04</v>
      </c>
      <c r="J1520" s="1">
        <v>7</v>
      </c>
      <c r="K1520" s="1">
        <v>2513.2800000000002</v>
      </c>
      <c r="L1520" s="1">
        <v>10</v>
      </c>
      <c r="M1520" s="1">
        <v>251.33</v>
      </c>
      <c r="N1520" s="1">
        <v>2261.9499999999998</v>
      </c>
      <c r="O1520" s="1" t="s">
        <v>64</v>
      </c>
      <c r="P1520" s="1" t="s">
        <v>2381</v>
      </c>
      <c r="Q1520" s="1">
        <v>1</v>
      </c>
      <c r="R1520" s="1">
        <f>Retail_Sales_Analyis[[#This Row],[Final_Price]]-Retail_Sales_Analyis[[#This Row],[Total_Price]]</f>
        <v>-251.33000000000038</v>
      </c>
      <c r="S15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21" spans="1:19" x14ac:dyDescent="0.25">
      <c r="A1521" s="1" t="s">
        <v>2433</v>
      </c>
      <c r="B1521" s="2">
        <v>45656</v>
      </c>
      <c r="C1521" s="1" t="s">
        <v>73</v>
      </c>
      <c r="D1521" s="1" t="s">
        <v>43</v>
      </c>
      <c r="E1521" s="1" t="s">
        <v>163</v>
      </c>
      <c r="F1521" s="1" t="s">
        <v>84</v>
      </c>
      <c r="G1521" s="1" t="s">
        <v>85</v>
      </c>
      <c r="H1521" s="1" t="s">
        <v>180</v>
      </c>
      <c r="I1521" s="1">
        <v>3271.47</v>
      </c>
      <c r="J1521" s="1">
        <v>8</v>
      </c>
      <c r="K1521" s="1">
        <v>26171.759999999998</v>
      </c>
      <c r="L1521" s="1">
        <v>20</v>
      </c>
      <c r="M1521" s="1">
        <v>5234.3500000000004</v>
      </c>
      <c r="N1521" s="1">
        <v>20937.41</v>
      </c>
      <c r="O1521" s="1" t="s">
        <v>80</v>
      </c>
      <c r="P1521" s="1" t="s">
        <v>1961</v>
      </c>
      <c r="Q1521" s="1">
        <v>1</v>
      </c>
      <c r="R1521" s="1">
        <f>Retail_Sales_Analyis[[#This Row],[Final_Price]]-Retail_Sales_Analyis[[#This Row],[Total_Price]]</f>
        <v>-5234.3499999999985</v>
      </c>
      <c r="S15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22" spans="1:19" x14ac:dyDescent="0.25">
      <c r="A1522" s="1" t="s">
        <v>2434</v>
      </c>
      <c r="B1522" s="2">
        <v>45458</v>
      </c>
      <c r="C1522" s="1" t="s">
        <v>173</v>
      </c>
      <c r="D1522" s="1" t="s">
        <v>19</v>
      </c>
      <c r="E1522" s="1" t="s">
        <v>337</v>
      </c>
      <c r="F1522" s="1" t="s">
        <v>21</v>
      </c>
      <c r="G1522" s="1" t="s">
        <v>38</v>
      </c>
      <c r="H1522" s="1" t="s">
        <v>214</v>
      </c>
      <c r="I1522" s="1">
        <v>400.97</v>
      </c>
      <c r="J1522" s="1">
        <v>10</v>
      </c>
      <c r="K1522" s="1">
        <v>4009.7</v>
      </c>
      <c r="L1522" s="1">
        <v>10</v>
      </c>
      <c r="M1522" s="1">
        <v>400.97</v>
      </c>
      <c r="N1522" s="1">
        <v>3608.73</v>
      </c>
      <c r="O1522" s="1" t="s">
        <v>46</v>
      </c>
      <c r="P1522" s="1" t="s">
        <v>1887</v>
      </c>
      <c r="Q1522" s="1">
        <v>5</v>
      </c>
      <c r="R1522" s="1">
        <f>Retail_Sales_Analyis[[#This Row],[Final_Price]]-Retail_Sales_Analyis[[#This Row],[Total_Price]]</f>
        <v>-400.9699999999998</v>
      </c>
      <c r="S15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23" spans="1:19" x14ac:dyDescent="0.25">
      <c r="A1523" s="1" t="s">
        <v>2435</v>
      </c>
      <c r="B1523" s="2">
        <v>45487</v>
      </c>
      <c r="C1523" s="1" t="s">
        <v>195</v>
      </c>
      <c r="D1523" s="1" t="s">
        <v>49</v>
      </c>
      <c r="E1523" s="1" t="s">
        <v>302</v>
      </c>
      <c r="F1523" s="1" t="s">
        <v>84</v>
      </c>
      <c r="G1523" s="1" t="s">
        <v>112</v>
      </c>
      <c r="H1523" s="1" t="s">
        <v>118</v>
      </c>
      <c r="I1523" s="1">
        <v>1697.58</v>
      </c>
      <c r="J1523" s="1">
        <v>10</v>
      </c>
      <c r="K1523" s="1">
        <v>16975.8</v>
      </c>
      <c r="L1523" s="1">
        <v>15</v>
      </c>
      <c r="M1523" s="1">
        <v>2546.37</v>
      </c>
      <c r="N1523" s="1">
        <v>14429.43</v>
      </c>
      <c r="O1523" s="1" t="s">
        <v>64</v>
      </c>
      <c r="P1523" s="1" t="s">
        <v>74</v>
      </c>
      <c r="Q1523" s="1">
        <v>5</v>
      </c>
      <c r="R1523" s="1">
        <f>Retail_Sales_Analyis[[#This Row],[Final_Price]]-Retail_Sales_Analyis[[#This Row],[Total_Price]]</f>
        <v>-2546.369999999999</v>
      </c>
      <c r="S15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24" spans="1:19" x14ac:dyDescent="0.25">
      <c r="A1524" s="1" t="s">
        <v>2436</v>
      </c>
      <c r="B1524" s="2">
        <v>45597</v>
      </c>
      <c r="C1524" s="1" t="s">
        <v>18</v>
      </c>
      <c r="D1524" s="1" t="s">
        <v>144</v>
      </c>
      <c r="E1524" s="1" t="s">
        <v>117</v>
      </c>
      <c r="F1524" s="1" t="s">
        <v>84</v>
      </c>
      <c r="G1524" s="1" t="s">
        <v>38</v>
      </c>
      <c r="H1524" s="1" t="s">
        <v>70</v>
      </c>
      <c r="I1524" s="1">
        <v>778.35</v>
      </c>
      <c r="J1524" s="1">
        <v>3</v>
      </c>
      <c r="K1524" s="1">
        <v>2335.0500000000002</v>
      </c>
      <c r="L1524" s="1">
        <v>0</v>
      </c>
      <c r="M1524" s="1">
        <v>0</v>
      </c>
      <c r="N1524" s="1">
        <v>2335.0500000000002</v>
      </c>
      <c r="O1524" s="1" t="s">
        <v>80</v>
      </c>
      <c r="P1524" s="1" t="s">
        <v>2437</v>
      </c>
      <c r="Q1524" s="1">
        <v>3</v>
      </c>
      <c r="R1524" s="1">
        <f>Retail_Sales_Analyis[[#This Row],[Final_Price]]-Retail_Sales_Analyis[[#This Row],[Total_Price]]</f>
        <v>0</v>
      </c>
      <c r="S15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25" spans="1:19" x14ac:dyDescent="0.25">
      <c r="A1525" s="1" t="s">
        <v>2438</v>
      </c>
      <c r="B1525" s="2">
        <v>45563</v>
      </c>
      <c r="C1525" s="1" t="s">
        <v>116</v>
      </c>
      <c r="D1525" s="1" t="s">
        <v>19</v>
      </c>
      <c r="E1525" s="1" t="s">
        <v>56</v>
      </c>
      <c r="F1525" s="1" t="s">
        <v>37</v>
      </c>
      <c r="G1525" s="1" t="s">
        <v>169</v>
      </c>
      <c r="H1525" s="1" t="s">
        <v>208</v>
      </c>
      <c r="I1525" s="1">
        <v>640.28</v>
      </c>
      <c r="J1525" s="1">
        <v>8</v>
      </c>
      <c r="K1525" s="1">
        <v>5122.24</v>
      </c>
      <c r="L1525" s="1">
        <v>15</v>
      </c>
      <c r="M1525" s="1">
        <v>768.34</v>
      </c>
      <c r="N1525" s="1">
        <v>4353.8999999999996</v>
      </c>
      <c r="O1525" s="1" t="s">
        <v>80</v>
      </c>
      <c r="P1525" s="1" t="s">
        <v>506</v>
      </c>
      <c r="Q1525" s="1">
        <v>5</v>
      </c>
      <c r="R1525" s="1">
        <f>Retail_Sales_Analyis[[#This Row],[Final_Price]]-Retail_Sales_Analyis[[#This Row],[Total_Price]]</f>
        <v>-768.34000000000015</v>
      </c>
      <c r="S15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26" spans="1:19" x14ac:dyDescent="0.25">
      <c r="A1526" s="1" t="s">
        <v>2439</v>
      </c>
      <c r="B1526" s="2">
        <v>45442</v>
      </c>
      <c r="C1526" s="1" t="s">
        <v>42</v>
      </c>
      <c r="D1526" s="1" t="s">
        <v>67</v>
      </c>
      <c r="E1526" s="1" t="s">
        <v>312</v>
      </c>
      <c r="F1526" s="1" t="s">
        <v>69</v>
      </c>
      <c r="G1526" s="1" t="s">
        <v>31</v>
      </c>
      <c r="H1526" s="1" t="s">
        <v>329</v>
      </c>
      <c r="I1526" s="1">
        <v>210.62</v>
      </c>
      <c r="J1526" s="1">
        <v>3</v>
      </c>
      <c r="K1526" s="1">
        <v>631.86</v>
      </c>
      <c r="L1526" s="1">
        <v>0</v>
      </c>
      <c r="M1526" s="1">
        <v>0</v>
      </c>
      <c r="N1526" s="1">
        <v>631.86</v>
      </c>
      <c r="O1526" s="1" t="s">
        <v>80</v>
      </c>
      <c r="P1526" s="1" t="s">
        <v>2440</v>
      </c>
      <c r="Q1526" s="1">
        <v>4</v>
      </c>
      <c r="R1526" s="1">
        <f>Retail_Sales_Analyis[[#This Row],[Final_Price]]-Retail_Sales_Analyis[[#This Row],[Total_Price]]</f>
        <v>0</v>
      </c>
      <c r="S15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27" spans="1:19" x14ac:dyDescent="0.25">
      <c r="A1527" s="1" t="s">
        <v>2441</v>
      </c>
      <c r="B1527" s="2">
        <v>45524</v>
      </c>
      <c r="C1527" s="1" t="s">
        <v>93</v>
      </c>
      <c r="D1527" s="1" t="s">
        <v>28</v>
      </c>
      <c r="E1527" s="1" t="s">
        <v>199</v>
      </c>
      <c r="F1527" s="1" t="s">
        <v>69</v>
      </c>
      <c r="G1527" s="1" t="s">
        <v>57</v>
      </c>
      <c r="H1527" s="1" t="s">
        <v>122</v>
      </c>
      <c r="I1527" s="1">
        <v>2353.5</v>
      </c>
      <c r="J1527" s="1">
        <v>3</v>
      </c>
      <c r="K1527" s="1">
        <v>7060.5</v>
      </c>
      <c r="L1527" s="1">
        <v>0</v>
      </c>
      <c r="M1527" s="1">
        <v>0</v>
      </c>
      <c r="N1527" s="1">
        <v>7060.5</v>
      </c>
      <c r="O1527" s="1" t="s">
        <v>80</v>
      </c>
      <c r="P1527" s="1" t="s">
        <v>1851</v>
      </c>
      <c r="Q1527" s="1">
        <v>4</v>
      </c>
      <c r="R1527" s="1">
        <f>Retail_Sales_Analyis[[#This Row],[Final_Price]]-Retail_Sales_Analyis[[#This Row],[Total_Price]]</f>
        <v>0</v>
      </c>
      <c r="S15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28" spans="1:19" x14ac:dyDescent="0.25">
      <c r="A1528" s="1" t="s">
        <v>2442</v>
      </c>
      <c r="B1528" s="2">
        <v>45550</v>
      </c>
      <c r="C1528" s="1" t="s">
        <v>116</v>
      </c>
      <c r="D1528" s="1" t="s">
        <v>49</v>
      </c>
      <c r="E1528" s="1" t="s">
        <v>44</v>
      </c>
      <c r="F1528" s="1" t="s">
        <v>69</v>
      </c>
      <c r="G1528" s="1" t="s">
        <v>169</v>
      </c>
      <c r="H1528" s="1" t="s">
        <v>170</v>
      </c>
      <c r="I1528" s="1">
        <v>376.18</v>
      </c>
      <c r="J1528" s="1">
        <v>8</v>
      </c>
      <c r="K1528" s="1">
        <v>3009.44</v>
      </c>
      <c r="L1528" s="1">
        <v>5</v>
      </c>
      <c r="M1528" s="1">
        <v>150.47</v>
      </c>
      <c r="N1528" s="1">
        <v>2858.97</v>
      </c>
      <c r="O1528" s="1" t="s">
        <v>80</v>
      </c>
      <c r="P1528" s="1" t="s">
        <v>2310</v>
      </c>
      <c r="Q1528" s="1">
        <v>5</v>
      </c>
      <c r="R1528" s="1">
        <f>Retail_Sales_Analyis[[#This Row],[Final_Price]]-Retail_Sales_Analyis[[#This Row],[Total_Price]]</f>
        <v>-150.47000000000025</v>
      </c>
      <c r="S15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29" spans="1:19" x14ac:dyDescent="0.25">
      <c r="A1529" s="1" t="s">
        <v>2443</v>
      </c>
      <c r="B1529" s="2">
        <v>45601</v>
      </c>
      <c r="C1529" s="1" t="s">
        <v>18</v>
      </c>
      <c r="D1529" s="1" t="s">
        <v>28</v>
      </c>
      <c r="E1529" s="1" t="s">
        <v>68</v>
      </c>
      <c r="F1529" s="1" t="s">
        <v>30</v>
      </c>
      <c r="G1529" s="1" t="s">
        <v>85</v>
      </c>
      <c r="H1529" s="1" t="s">
        <v>90</v>
      </c>
      <c r="I1529" s="1">
        <v>3298.37</v>
      </c>
      <c r="J1529" s="1">
        <v>7</v>
      </c>
      <c r="K1529" s="1">
        <v>23088.59</v>
      </c>
      <c r="L1529" s="1">
        <v>10</v>
      </c>
      <c r="M1529" s="1">
        <v>2308.86</v>
      </c>
      <c r="N1529" s="1">
        <v>20779.73</v>
      </c>
      <c r="O1529" s="1" t="s">
        <v>33</v>
      </c>
      <c r="P1529" s="1" t="s">
        <v>1506</v>
      </c>
      <c r="Q1529" s="1">
        <v>2</v>
      </c>
      <c r="R1529" s="1">
        <f>Retail_Sales_Analyis[[#This Row],[Final_Price]]-Retail_Sales_Analyis[[#This Row],[Total_Price]]</f>
        <v>-2308.8600000000006</v>
      </c>
      <c r="S15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30" spans="1:19" x14ac:dyDescent="0.25">
      <c r="A1530" s="1" t="s">
        <v>2444</v>
      </c>
      <c r="B1530" s="2">
        <v>45512</v>
      </c>
      <c r="C1530" s="1" t="s">
        <v>93</v>
      </c>
      <c r="D1530" s="1" t="s">
        <v>67</v>
      </c>
      <c r="E1530" s="1" t="s">
        <v>285</v>
      </c>
      <c r="F1530" s="1" t="s">
        <v>84</v>
      </c>
      <c r="G1530" s="1" t="s">
        <v>57</v>
      </c>
      <c r="H1530" s="1" t="s">
        <v>58</v>
      </c>
      <c r="I1530" s="1">
        <v>2983.74</v>
      </c>
      <c r="J1530" s="1">
        <v>1</v>
      </c>
      <c r="K1530" s="1">
        <v>2983.74</v>
      </c>
      <c r="L1530" s="1">
        <v>20</v>
      </c>
      <c r="M1530" s="1">
        <v>596.75</v>
      </c>
      <c r="N1530" s="1">
        <v>2386.9899999999998</v>
      </c>
      <c r="O1530" s="1" t="s">
        <v>80</v>
      </c>
      <c r="P1530" s="1" t="s">
        <v>389</v>
      </c>
      <c r="Q1530" s="1">
        <v>3</v>
      </c>
      <c r="R1530" s="1">
        <f>Retail_Sales_Analyis[[#This Row],[Final_Price]]-Retail_Sales_Analyis[[#This Row],[Total_Price]]</f>
        <v>-596.75</v>
      </c>
      <c r="S15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31" spans="1:19" x14ac:dyDescent="0.25">
      <c r="A1531" s="1" t="s">
        <v>2445</v>
      </c>
      <c r="B1531" s="2">
        <v>45342</v>
      </c>
      <c r="C1531" s="1" t="s">
        <v>27</v>
      </c>
      <c r="D1531" s="1" t="s">
        <v>28</v>
      </c>
      <c r="E1531" s="1" t="s">
        <v>337</v>
      </c>
      <c r="F1531" s="1" t="s">
        <v>30</v>
      </c>
      <c r="G1531" s="1" t="s">
        <v>22</v>
      </c>
      <c r="H1531" s="1" t="s">
        <v>23</v>
      </c>
      <c r="I1531" s="1">
        <v>745.87</v>
      </c>
      <c r="J1531" s="1">
        <v>4</v>
      </c>
      <c r="K1531" s="1">
        <v>2983.48</v>
      </c>
      <c r="L1531" s="1">
        <v>0</v>
      </c>
      <c r="M1531" s="1">
        <v>0</v>
      </c>
      <c r="N1531" s="1">
        <v>2983.48</v>
      </c>
      <c r="O1531" s="1" t="s">
        <v>24</v>
      </c>
      <c r="P1531" s="1" t="s">
        <v>127</v>
      </c>
      <c r="Q1531" s="1">
        <v>3</v>
      </c>
      <c r="R1531" s="1">
        <f>Retail_Sales_Analyis[[#This Row],[Final_Price]]-Retail_Sales_Analyis[[#This Row],[Total_Price]]</f>
        <v>0</v>
      </c>
      <c r="S15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32" spans="1:19" x14ac:dyDescent="0.25">
      <c r="A1532" s="1" t="s">
        <v>2446</v>
      </c>
      <c r="B1532" s="2">
        <v>45651</v>
      </c>
      <c r="C1532" s="1" t="s">
        <v>73</v>
      </c>
      <c r="D1532" s="1" t="s">
        <v>55</v>
      </c>
      <c r="E1532" s="1" t="s">
        <v>342</v>
      </c>
      <c r="F1532" s="1" t="s">
        <v>37</v>
      </c>
      <c r="G1532" s="1" t="s">
        <v>22</v>
      </c>
      <c r="H1532" s="1" t="s">
        <v>51</v>
      </c>
      <c r="I1532" s="1">
        <v>782.15</v>
      </c>
      <c r="J1532" s="1">
        <v>6</v>
      </c>
      <c r="K1532" s="1">
        <v>4692.8999999999996</v>
      </c>
      <c r="L1532" s="1">
        <v>15</v>
      </c>
      <c r="M1532" s="1">
        <v>703.93</v>
      </c>
      <c r="N1532" s="1">
        <v>3988.97</v>
      </c>
      <c r="O1532" s="1" t="s">
        <v>33</v>
      </c>
      <c r="P1532" s="1" t="s">
        <v>2447</v>
      </c>
      <c r="Q1532" s="1">
        <v>5</v>
      </c>
      <c r="R1532" s="1">
        <f>Retail_Sales_Analyis[[#This Row],[Final_Price]]-Retail_Sales_Analyis[[#This Row],[Total_Price]]</f>
        <v>-703.92999999999984</v>
      </c>
      <c r="S15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33" spans="1:19" x14ac:dyDescent="0.25">
      <c r="A1533" s="1" t="s">
        <v>2448</v>
      </c>
      <c r="B1533" s="2">
        <v>45350</v>
      </c>
      <c r="C1533" s="1" t="s">
        <v>27</v>
      </c>
      <c r="D1533" s="1" t="s">
        <v>55</v>
      </c>
      <c r="E1533" s="1" t="s">
        <v>199</v>
      </c>
      <c r="F1533" s="1" t="s">
        <v>30</v>
      </c>
      <c r="G1533" s="1" t="s">
        <v>169</v>
      </c>
      <c r="H1533" s="1" t="s">
        <v>366</v>
      </c>
      <c r="I1533" s="1">
        <v>635.52</v>
      </c>
      <c r="J1533" s="1">
        <v>9</v>
      </c>
      <c r="K1533" s="1">
        <v>5719.68</v>
      </c>
      <c r="L1533" s="1">
        <v>0</v>
      </c>
      <c r="M1533" s="1">
        <v>0</v>
      </c>
      <c r="N1533" s="1">
        <v>5719.68</v>
      </c>
      <c r="O1533" s="1" t="s">
        <v>46</v>
      </c>
      <c r="P1533" s="1" t="s">
        <v>2389</v>
      </c>
      <c r="Q1533" s="1">
        <v>3</v>
      </c>
      <c r="R1533" s="1">
        <f>Retail_Sales_Analyis[[#This Row],[Final_Price]]-Retail_Sales_Analyis[[#This Row],[Total_Price]]</f>
        <v>0</v>
      </c>
      <c r="S15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34" spans="1:19" x14ac:dyDescent="0.25">
      <c r="A1534" s="1" t="s">
        <v>2449</v>
      </c>
      <c r="B1534" s="2">
        <v>45627</v>
      </c>
      <c r="C1534" s="1" t="s">
        <v>73</v>
      </c>
      <c r="D1534" s="1" t="s">
        <v>49</v>
      </c>
      <c r="E1534" s="1" t="s">
        <v>94</v>
      </c>
      <c r="F1534" s="1" t="s">
        <v>21</v>
      </c>
      <c r="G1534" s="1" t="s">
        <v>22</v>
      </c>
      <c r="H1534" s="1" t="s">
        <v>51</v>
      </c>
      <c r="I1534" s="1">
        <v>674.88</v>
      </c>
      <c r="J1534" s="1">
        <v>4</v>
      </c>
      <c r="K1534" s="1">
        <v>2699.52</v>
      </c>
      <c r="L1534" s="1">
        <v>0</v>
      </c>
      <c r="M1534" s="1">
        <v>0</v>
      </c>
      <c r="N1534" s="1">
        <v>2699.52</v>
      </c>
      <c r="O1534" s="1" t="s">
        <v>46</v>
      </c>
      <c r="P1534" s="1" t="s">
        <v>2104</v>
      </c>
      <c r="Q1534" s="1">
        <v>5</v>
      </c>
      <c r="R1534" s="1">
        <f>Retail_Sales_Analyis[[#This Row],[Final_Price]]-Retail_Sales_Analyis[[#This Row],[Total_Price]]</f>
        <v>0</v>
      </c>
      <c r="S15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35" spans="1:19" x14ac:dyDescent="0.25">
      <c r="A1535" s="1" t="s">
        <v>2450</v>
      </c>
      <c r="B1535" s="2">
        <v>45625</v>
      </c>
      <c r="C1535" s="1" t="s">
        <v>18</v>
      </c>
      <c r="D1535" s="1" t="s">
        <v>144</v>
      </c>
      <c r="E1535" s="1" t="s">
        <v>125</v>
      </c>
      <c r="F1535" s="1" t="s">
        <v>21</v>
      </c>
      <c r="G1535" s="1" t="s">
        <v>57</v>
      </c>
      <c r="H1535" s="1" t="s">
        <v>101</v>
      </c>
      <c r="I1535" s="1">
        <v>2113.87</v>
      </c>
      <c r="J1535" s="1">
        <v>10</v>
      </c>
      <c r="K1535" s="1">
        <v>21138.7</v>
      </c>
      <c r="L1535" s="1">
        <v>20</v>
      </c>
      <c r="M1535" s="1">
        <v>4227.74</v>
      </c>
      <c r="N1535" s="1">
        <v>16910.96</v>
      </c>
      <c r="O1535" s="1" t="s">
        <v>46</v>
      </c>
      <c r="P1535" s="1" t="s">
        <v>447</v>
      </c>
      <c r="Q1535" s="1">
        <v>4</v>
      </c>
      <c r="R1535" s="1">
        <f>Retail_Sales_Analyis[[#This Row],[Final_Price]]-Retail_Sales_Analyis[[#This Row],[Total_Price]]</f>
        <v>-4227.7400000000016</v>
      </c>
      <c r="S15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36" spans="1:19" x14ac:dyDescent="0.25">
      <c r="A1536" s="1" t="s">
        <v>2451</v>
      </c>
      <c r="B1536" s="2">
        <v>45574</v>
      </c>
      <c r="C1536" s="1" t="s">
        <v>76</v>
      </c>
      <c r="D1536" s="1" t="s">
        <v>55</v>
      </c>
      <c r="E1536" s="1" t="s">
        <v>141</v>
      </c>
      <c r="F1536" s="1" t="s">
        <v>30</v>
      </c>
      <c r="G1536" s="1" t="s">
        <v>169</v>
      </c>
      <c r="H1536" s="1" t="s">
        <v>175</v>
      </c>
      <c r="I1536" s="1">
        <v>785.88</v>
      </c>
      <c r="J1536" s="1">
        <v>5</v>
      </c>
      <c r="K1536" s="1">
        <v>3929.4</v>
      </c>
      <c r="L1536" s="1">
        <v>0</v>
      </c>
      <c r="M1536" s="1">
        <v>0</v>
      </c>
      <c r="N1536" s="1">
        <v>3929.4</v>
      </c>
      <c r="O1536" s="1" t="s">
        <v>46</v>
      </c>
      <c r="P1536" s="1" t="s">
        <v>1783</v>
      </c>
      <c r="Q1536" s="1">
        <v>2</v>
      </c>
      <c r="R1536" s="1">
        <f>Retail_Sales_Analyis[[#This Row],[Final_Price]]-Retail_Sales_Analyis[[#This Row],[Total_Price]]</f>
        <v>0</v>
      </c>
      <c r="S15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37" spans="1:19" x14ac:dyDescent="0.25">
      <c r="A1537" s="1" t="s">
        <v>2452</v>
      </c>
      <c r="B1537" s="2">
        <v>45402</v>
      </c>
      <c r="C1537" s="1" t="s">
        <v>54</v>
      </c>
      <c r="D1537" s="1" t="s">
        <v>19</v>
      </c>
      <c r="E1537" s="1" t="s">
        <v>236</v>
      </c>
      <c r="F1537" s="1" t="s">
        <v>69</v>
      </c>
      <c r="G1537" s="1" t="s">
        <v>31</v>
      </c>
      <c r="H1537" s="1" t="s">
        <v>250</v>
      </c>
      <c r="I1537" s="1">
        <v>461.28</v>
      </c>
      <c r="J1537" s="1">
        <v>6</v>
      </c>
      <c r="K1537" s="1">
        <v>2767.68</v>
      </c>
      <c r="L1537" s="1">
        <v>5</v>
      </c>
      <c r="M1537" s="1">
        <v>138.38</v>
      </c>
      <c r="N1537" s="1">
        <v>2629.3</v>
      </c>
      <c r="O1537" s="1" t="s">
        <v>64</v>
      </c>
      <c r="P1537" s="1" t="s">
        <v>1428</v>
      </c>
      <c r="Q1537" s="1">
        <v>5</v>
      </c>
      <c r="R1537" s="1">
        <f>Retail_Sales_Analyis[[#This Row],[Final_Price]]-Retail_Sales_Analyis[[#This Row],[Total_Price]]</f>
        <v>-138.37999999999965</v>
      </c>
      <c r="S15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38" spans="1:19" x14ac:dyDescent="0.25">
      <c r="A1538" s="1" t="s">
        <v>2453</v>
      </c>
      <c r="B1538" s="2">
        <v>45512</v>
      </c>
      <c r="C1538" s="1" t="s">
        <v>93</v>
      </c>
      <c r="D1538" s="1" t="s">
        <v>67</v>
      </c>
      <c r="E1538" s="1" t="s">
        <v>125</v>
      </c>
      <c r="F1538" s="1" t="s">
        <v>84</v>
      </c>
      <c r="G1538" s="1" t="s">
        <v>57</v>
      </c>
      <c r="H1538" s="1" t="s">
        <v>101</v>
      </c>
      <c r="I1538" s="1">
        <v>1161.31</v>
      </c>
      <c r="J1538" s="1">
        <v>10</v>
      </c>
      <c r="K1538" s="1">
        <v>11613.1</v>
      </c>
      <c r="L1538" s="1">
        <v>20</v>
      </c>
      <c r="M1538" s="1">
        <v>2322.62</v>
      </c>
      <c r="N1538" s="1">
        <v>9290.48</v>
      </c>
      <c r="O1538" s="1" t="s">
        <v>46</v>
      </c>
      <c r="P1538" s="1" t="s">
        <v>2454</v>
      </c>
      <c r="Q1538" s="1">
        <v>1</v>
      </c>
      <c r="R1538" s="1">
        <f>Retail_Sales_Analyis[[#This Row],[Final_Price]]-Retail_Sales_Analyis[[#This Row],[Total_Price]]</f>
        <v>-2322.6200000000008</v>
      </c>
      <c r="S153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39" spans="1:19" x14ac:dyDescent="0.25">
      <c r="A1539" s="1" t="s">
        <v>2455</v>
      </c>
      <c r="B1539" s="2">
        <v>45523</v>
      </c>
      <c r="C1539" s="1" t="s">
        <v>93</v>
      </c>
      <c r="D1539" s="1" t="s">
        <v>43</v>
      </c>
      <c r="E1539" s="1" t="s">
        <v>163</v>
      </c>
      <c r="F1539" s="1" t="s">
        <v>30</v>
      </c>
      <c r="G1539" s="1" t="s">
        <v>22</v>
      </c>
      <c r="H1539" s="1" t="s">
        <v>277</v>
      </c>
      <c r="I1539" s="1">
        <v>492.64</v>
      </c>
      <c r="J1539" s="1">
        <v>8</v>
      </c>
      <c r="K1539" s="1">
        <v>3941.12</v>
      </c>
      <c r="L1539" s="1">
        <v>10</v>
      </c>
      <c r="M1539" s="1">
        <v>394.11</v>
      </c>
      <c r="N1539" s="1">
        <v>3547.01</v>
      </c>
      <c r="O1539" s="1" t="s">
        <v>46</v>
      </c>
      <c r="P1539" s="1" t="s">
        <v>2035</v>
      </c>
      <c r="Q1539" s="1">
        <v>4</v>
      </c>
      <c r="R1539" s="1">
        <f>Retail_Sales_Analyis[[#This Row],[Final_Price]]-Retail_Sales_Analyis[[#This Row],[Total_Price]]</f>
        <v>-394.10999999999967</v>
      </c>
      <c r="S15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40" spans="1:19" x14ac:dyDescent="0.25">
      <c r="A1540" s="1" t="s">
        <v>2456</v>
      </c>
      <c r="B1540" s="2">
        <v>45408</v>
      </c>
      <c r="C1540" s="1" t="s">
        <v>54</v>
      </c>
      <c r="D1540" s="1" t="s">
        <v>144</v>
      </c>
      <c r="E1540" s="1" t="s">
        <v>157</v>
      </c>
      <c r="F1540" s="1" t="s">
        <v>21</v>
      </c>
      <c r="G1540" s="1" t="s">
        <v>78</v>
      </c>
      <c r="H1540" s="1" t="s">
        <v>136</v>
      </c>
      <c r="I1540" s="1">
        <v>497.85</v>
      </c>
      <c r="J1540" s="1">
        <v>5</v>
      </c>
      <c r="K1540" s="1">
        <v>2489.25</v>
      </c>
      <c r="L1540" s="1">
        <v>20</v>
      </c>
      <c r="M1540" s="1">
        <v>497.85</v>
      </c>
      <c r="N1540" s="1">
        <v>1991.4</v>
      </c>
      <c r="O1540" s="1" t="s">
        <v>46</v>
      </c>
      <c r="P1540" s="1" t="s">
        <v>2457</v>
      </c>
      <c r="Q1540" s="1">
        <v>2</v>
      </c>
      <c r="R1540" s="1">
        <f>Retail_Sales_Analyis[[#This Row],[Final_Price]]-Retail_Sales_Analyis[[#This Row],[Total_Price]]</f>
        <v>-497.84999999999991</v>
      </c>
      <c r="S15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41" spans="1:19" x14ac:dyDescent="0.25">
      <c r="A1541" s="1" t="s">
        <v>2458</v>
      </c>
      <c r="B1541" s="2">
        <v>45503</v>
      </c>
      <c r="C1541" s="1" t="s">
        <v>195</v>
      </c>
      <c r="D1541" s="1" t="s">
        <v>28</v>
      </c>
      <c r="E1541" s="1" t="s">
        <v>89</v>
      </c>
      <c r="F1541" s="1" t="s">
        <v>69</v>
      </c>
      <c r="G1541" s="1" t="s">
        <v>169</v>
      </c>
      <c r="H1541" s="1" t="s">
        <v>170</v>
      </c>
      <c r="I1541" s="1">
        <v>1289.19</v>
      </c>
      <c r="J1541" s="1">
        <v>2</v>
      </c>
      <c r="K1541" s="1">
        <v>2578.38</v>
      </c>
      <c r="L1541" s="1">
        <v>20</v>
      </c>
      <c r="M1541" s="1">
        <v>515.67999999999995</v>
      </c>
      <c r="N1541" s="1">
        <v>2062.6999999999998</v>
      </c>
      <c r="O1541" s="1" t="s">
        <v>24</v>
      </c>
      <c r="P1541" s="1" t="s">
        <v>2459</v>
      </c>
      <c r="Q1541" s="1">
        <v>4</v>
      </c>
      <c r="R1541" s="1">
        <f>Retail_Sales_Analyis[[#This Row],[Final_Price]]-Retail_Sales_Analyis[[#This Row],[Total_Price]]</f>
        <v>-515.68000000000029</v>
      </c>
      <c r="S15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42" spans="1:19" x14ac:dyDescent="0.25">
      <c r="A1542" s="1" t="s">
        <v>2460</v>
      </c>
      <c r="B1542" s="2">
        <v>45465</v>
      </c>
      <c r="C1542" s="1" t="s">
        <v>173</v>
      </c>
      <c r="D1542" s="1" t="s">
        <v>19</v>
      </c>
      <c r="E1542" s="1" t="s">
        <v>342</v>
      </c>
      <c r="F1542" s="1" t="s">
        <v>37</v>
      </c>
      <c r="G1542" s="1" t="s">
        <v>112</v>
      </c>
      <c r="H1542" s="1" t="s">
        <v>113</v>
      </c>
      <c r="I1542" s="1">
        <v>1282.31</v>
      </c>
      <c r="J1542" s="1">
        <v>6</v>
      </c>
      <c r="K1542" s="1">
        <v>7693.86</v>
      </c>
      <c r="L1542" s="1">
        <v>10</v>
      </c>
      <c r="M1542" s="1">
        <v>769.39</v>
      </c>
      <c r="N1542" s="1">
        <v>6924.47</v>
      </c>
      <c r="O1542" s="1" t="s">
        <v>64</v>
      </c>
      <c r="P1542" s="1" t="s">
        <v>2373</v>
      </c>
      <c r="Q1542" s="1">
        <v>3</v>
      </c>
      <c r="R1542" s="1">
        <f>Retail_Sales_Analyis[[#This Row],[Final_Price]]-Retail_Sales_Analyis[[#This Row],[Total_Price]]</f>
        <v>-769.38999999999942</v>
      </c>
      <c r="S15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43" spans="1:19" x14ac:dyDescent="0.25">
      <c r="A1543" s="1" t="s">
        <v>2461</v>
      </c>
      <c r="B1543" s="2">
        <v>45524</v>
      </c>
      <c r="C1543" s="1" t="s">
        <v>93</v>
      </c>
      <c r="D1543" s="1" t="s">
        <v>28</v>
      </c>
      <c r="E1543" s="1" t="s">
        <v>542</v>
      </c>
      <c r="F1543" s="1" t="s">
        <v>30</v>
      </c>
      <c r="G1543" s="1" t="s">
        <v>78</v>
      </c>
      <c r="H1543" s="1" t="s">
        <v>146</v>
      </c>
      <c r="I1543" s="1">
        <v>327.54000000000002</v>
      </c>
      <c r="J1543" s="1">
        <v>2</v>
      </c>
      <c r="K1543" s="1">
        <v>655.08000000000004</v>
      </c>
      <c r="L1543" s="1">
        <v>0</v>
      </c>
      <c r="M1543" s="1">
        <v>0</v>
      </c>
      <c r="N1543" s="1">
        <v>655.08000000000004</v>
      </c>
      <c r="O1543" s="1" t="s">
        <v>46</v>
      </c>
      <c r="P1543" s="1" t="s">
        <v>2328</v>
      </c>
      <c r="Q1543" s="1">
        <v>4</v>
      </c>
      <c r="R1543" s="1">
        <f>Retail_Sales_Analyis[[#This Row],[Final_Price]]-Retail_Sales_Analyis[[#This Row],[Total_Price]]</f>
        <v>0</v>
      </c>
      <c r="S15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44" spans="1:19" x14ac:dyDescent="0.25">
      <c r="A1544" s="1" t="s">
        <v>2462</v>
      </c>
      <c r="B1544" s="2">
        <v>45496</v>
      </c>
      <c r="C1544" s="1" t="s">
        <v>195</v>
      </c>
      <c r="D1544" s="1" t="s">
        <v>28</v>
      </c>
      <c r="E1544" s="1" t="s">
        <v>261</v>
      </c>
      <c r="F1544" s="1" t="s">
        <v>69</v>
      </c>
      <c r="G1544" s="1" t="s">
        <v>78</v>
      </c>
      <c r="H1544" s="1" t="s">
        <v>146</v>
      </c>
      <c r="I1544" s="1">
        <v>198.25</v>
      </c>
      <c r="J1544" s="1">
        <v>3</v>
      </c>
      <c r="K1544" s="1">
        <v>594.75</v>
      </c>
      <c r="L1544" s="1">
        <v>0</v>
      </c>
      <c r="M1544" s="1">
        <v>0</v>
      </c>
      <c r="N1544" s="1">
        <v>594.75</v>
      </c>
      <c r="O1544" s="1" t="s">
        <v>80</v>
      </c>
      <c r="P1544" s="1" t="s">
        <v>2463</v>
      </c>
      <c r="Q1544" s="1">
        <v>2</v>
      </c>
      <c r="R1544" s="1">
        <f>Retail_Sales_Analyis[[#This Row],[Final_Price]]-Retail_Sales_Analyis[[#This Row],[Total_Price]]</f>
        <v>0</v>
      </c>
      <c r="S15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45" spans="1:19" x14ac:dyDescent="0.25">
      <c r="A1545" s="1" t="s">
        <v>2464</v>
      </c>
      <c r="B1545" s="2">
        <v>45504</v>
      </c>
      <c r="C1545" s="1" t="s">
        <v>195</v>
      </c>
      <c r="D1545" s="1" t="s">
        <v>55</v>
      </c>
      <c r="E1545" s="1" t="s">
        <v>337</v>
      </c>
      <c r="F1545" s="1" t="s">
        <v>84</v>
      </c>
      <c r="G1545" s="1" t="s">
        <v>169</v>
      </c>
      <c r="H1545" s="1" t="s">
        <v>366</v>
      </c>
      <c r="I1545" s="1">
        <v>1258.56</v>
      </c>
      <c r="J1545" s="1">
        <v>8</v>
      </c>
      <c r="K1545" s="1">
        <v>10068.48</v>
      </c>
      <c r="L1545" s="1">
        <v>20</v>
      </c>
      <c r="M1545" s="1">
        <v>2013.7</v>
      </c>
      <c r="N1545" s="1">
        <v>8054.78</v>
      </c>
      <c r="O1545" s="1" t="s">
        <v>46</v>
      </c>
      <c r="P1545" s="1" t="s">
        <v>926</v>
      </c>
      <c r="Q1545" s="1">
        <v>1</v>
      </c>
      <c r="R1545" s="1">
        <f>Retail_Sales_Analyis[[#This Row],[Final_Price]]-Retail_Sales_Analyis[[#This Row],[Total_Price]]</f>
        <v>-2013.6999999999998</v>
      </c>
      <c r="S15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46" spans="1:19" x14ac:dyDescent="0.25">
      <c r="A1546" s="1" t="s">
        <v>2465</v>
      </c>
      <c r="B1546" s="2">
        <v>45340</v>
      </c>
      <c r="C1546" s="1" t="s">
        <v>27</v>
      </c>
      <c r="D1546" s="1" t="s">
        <v>49</v>
      </c>
      <c r="E1546" s="1" t="s">
        <v>56</v>
      </c>
      <c r="F1546" s="1" t="s">
        <v>69</v>
      </c>
      <c r="G1546" s="1" t="s">
        <v>85</v>
      </c>
      <c r="H1546" s="1" t="s">
        <v>297</v>
      </c>
      <c r="I1546" s="1">
        <v>2133.92</v>
      </c>
      <c r="J1546" s="1">
        <v>2</v>
      </c>
      <c r="K1546" s="1">
        <v>4267.84</v>
      </c>
      <c r="L1546" s="1">
        <v>0</v>
      </c>
      <c r="M1546" s="1">
        <v>0</v>
      </c>
      <c r="N1546" s="1">
        <v>4267.84</v>
      </c>
      <c r="O1546" s="1" t="s">
        <v>46</v>
      </c>
      <c r="P1546" s="1" t="s">
        <v>515</v>
      </c>
      <c r="Q1546" s="1">
        <v>2</v>
      </c>
      <c r="R1546" s="1">
        <f>Retail_Sales_Analyis[[#This Row],[Final_Price]]-Retail_Sales_Analyis[[#This Row],[Total_Price]]</f>
        <v>0</v>
      </c>
      <c r="S15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47" spans="1:19" x14ac:dyDescent="0.25">
      <c r="A1547" s="1" t="s">
        <v>2466</v>
      </c>
      <c r="B1547" s="2">
        <v>45452</v>
      </c>
      <c r="C1547" s="1" t="s">
        <v>173</v>
      </c>
      <c r="D1547" s="1" t="s">
        <v>49</v>
      </c>
      <c r="E1547" s="1" t="s">
        <v>174</v>
      </c>
      <c r="F1547" s="1" t="s">
        <v>69</v>
      </c>
      <c r="G1547" s="1" t="s">
        <v>169</v>
      </c>
      <c r="H1547" s="1" t="s">
        <v>170</v>
      </c>
      <c r="I1547" s="1">
        <v>928.47</v>
      </c>
      <c r="J1547" s="1">
        <v>9</v>
      </c>
      <c r="K1547" s="1">
        <v>8356.23</v>
      </c>
      <c r="L1547" s="1">
        <v>0</v>
      </c>
      <c r="M1547" s="1">
        <v>0</v>
      </c>
      <c r="N1547" s="1">
        <v>8356.23</v>
      </c>
      <c r="O1547" s="1" t="s">
        <v>80</v>
      </c>
      <c r="P1547" s="1" t="s">
        <v>1985</v>
      </c>
      <c r="Q1547" s="1">
        <v>2</v>
      </c>
      <c r="R1547" s="1">
        <f>Retail_Sales_Analyis[[#This Row],[Final_Price]]-Retail_Sales_Analyis[[#This Row],[Total_Price]]</f>
        <v>0</v>
      </c>
      <c r="S15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48" spans="1:19" x14ac:dyDescent="0.25">
      <c r="A1548" s="1" t="s">
        <v>2467</v>
      </c>
      <c r="B1548" s="2">
        <v>45510</v>
      </c>
      <c r="C1548" s="1" t="s">
        <v>93</v>
      </c>
      <c r="D1548" s="1" t="s">
        <v>28</v>
      </c>
      <c r="E1548" s="1" t="s">
        <v>207</v>
      </c>
      <c r="F1548" s="1" t="s">
        <v>21</v>
      </c>
      <c r="G1548" s="1" t="s">
        <v>38</v>
      </c>
      <c r="H1548" s="1" t="s">
        <v>422</v>
      </c>
      <c r="I1548" s="1">
        <v>190.84</v>
      </c>
      <c r="J1548" s="1">
        <v>9</v>
      </c>
      <c r="K1548" s="1">
        <v>1717.56</v>
      </c>
      <c r="L1548" s="1">
        <v>10</v>
      </c>
      <c r="M1548" s="1">
        <v>171.76</v>
      </c>
      <c r="N1548" s="1">
        <v>1545.8</v>
      </c>
      <c r="O1548" s="1" t="s">
        <v>80</v>
      </c>
      <c r="P1548" s="1" t="s">
        <v>52</v>
      </c>
      <c r="Q1548" s="1">
        <v>3</v>
      </c>
      <c r="R1548" s="1">
        <f>Retail_Sales_Analyis[[#This Row],[Final_Price]]-Retail_Sales_Analyis[[#This Row],[Total_Price]]</f>
        <v>-171.76</v>
      </c>
      <c r="S15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49" spans="1:19" x14ac:dyDescent="0.25">
      <c r="A1549" s="1" t="s">
        <v>2468</v>
      </c>
      <c r="B1549" s="2">
        <v>45452</v>
      </c>
      <c r="C1549" s="1" t="s">
        <v>173</v>
      </c>
      <c r="D1549" s="1" t="s">
        <v>49</v>
      </c>
      <c r="E1549" s="1" t="s">
        <v>77</v>
      </c>
      <c r="F1549" s="1" t="s">
        <v>84</v>
      </c>
      <c r="G1549" s="1" t="s">
        <v>85</v>
      </c>
      <c r="H1549" s="1" t="s">
        <v>180</v>
      </c>
      <c r="I1549" s="1">
        <v>3229.63</v>
      </c>
      <c r="J1549" s="1">
        <v>7</v>
      </c>
      <c r="K1549" s="1">
        <v>22607.41</v>
      </c>
      <c r="L1549" s="1">
        <v>5</v>
      </c>
      <c r="M1549" s="1">
        <v>1130.3699999999999</v>
      </c>
      <c r="N1549" s="1">
        <v>21477.040000000001</v>
      </c>
      <c r="O1549" s="1" t="s">
        <v>24</v>
      </c>
      <c r="P1549" s="1" t="s">
        <v>830</v>
      </c>
      <c r="Q1549" s="1">
        <v>3</v>
      </c>
      <c r="R1549" s="1">
        <f>Retail_Sales_Analyis[[#This Row],[Final_Price]]-Retail_Sales_Analyis[[#This Row],[Total_Price]]</f>
        <v>-1130.369999999999</v>
      </c>
      <c r="S15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50" spans="1:19" x14ac:dyDescent="0.25">
      <c r="A1550" s="1" t="s">
        <v>2469</v>
      </c>
      <c r="B1550" s="2">
        <v>45632</v>
      </c>
      <c r="C1550" s="1" t="s">
        <v>73</v>
      </c>
      <c r="D1550" s="1" t="s">
        <v>144</v>
      </c>
      <c r="E1550" s="1" t="s">
        <v>44</v>
      </c>
      <c r="F1550" s="1" t="s">
        <v>30</v>
      </c>
      <c r="G1550" s="1" t="s">
        <v>22</v>
      </c>
      <c r="H1550" s="1" t="s">
        <v>51</v>
      </c>
      <c r="I1550" s="1">
        <v>631.13</v>
      </c>
      <c r="J1550" s="1">
        <v>5</v>
      </c>
      <c r="K1550" s="1">
        <v>3155.65</v>
      </c>
      <c r="L1550" s="1">
        <v>0</v>
      </c>
      <c r="M1550" s="1">
        <v>0</v>
      </c>
      <c r="N1550" s="1">
        <v>3155.65</v>
      </c>
      <c r="O1550" s="1" t="s">
        <v>64</v>
      </c>
      <c r="P1550" s="1" t="s">
        <v>2470</v>
      </c>
      <c r="Q1550" s="1">
        <v>2</v>
      </c>
      <c r="R1550" s="1">
        <f>Retail_Sales_Analyis[[#This Row],[Final_Price]]-Retail_Sales_Analyis[[#This Row],[Total_Price]]</f>
        <v>0</v>
      </c>
      <c r="S15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1" spans="1:19" x14ac:dyDescent="0.25">
      <c r="A1551" s="1" t="s">
        <v>2471</v>
      </c>
      <c r="B1551" s="2">
        <v>45422</v>
      </c>
      <c r="C1551" s="1" t="s">
        <v>42</v>
      </c>
      <c r="D1551" s="1" t="s">
        <v>144</v>
      </c>
      <c r="E1551" s="1" t="s">
        <v>307</v>
      </c>
      <c r="F1551" s="1" t="s">
        <v>30</v>
      </c>
      <c r="G1551" s="1" t="s">
        <v>78</v>
      </c>
      <c r="H1551" s="1" t="s">
        <v>323</v>
      </c>
      <c r="I1551" s="1">
        <v>393.61</v>
      </c>
      <c r="J1551" s="1">
        <v>6</v>
      </c>
      <c r="K1551" s="1">
        <v>2361.66</v>
      </c>
      <c r="L1551" s="1">
        <v>15</v>
      </c>
      <c r="M1551" s="1">
        <v>354.25</v>
      </c>
      <c r="N1551" s="1">
        <v>2007.41</v>
      </c>
      <c r="O1551" s="1" t="s">
        <v>80</v>
      </c>
      <c r="P1551" s="1" t="s">
        <v>633</v>
      </c>
      <c r="Q1551" s="1">
        <v>4</v>
      </c>
      <c r="R1551" s="1">
        <f>Retail_Sales_Analyis[[#This Row],[Final_Price]]-Retail_Sales_Analyis[[#This Row],[Total_Price]]</f>
        <v>-354.24999999999977</v>
      </c>
      <c r="S15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52" spans="1:19" x14ac:dyDescent="0.25">
      <c r="A1552" s="1" t="s">
        <v>2472</v>
      </c>
      <c r="B1552" s="2">
        <v>45483</v>
      </c>
      <c r="C1552" s="1" t="s">
        <v>195</v>
      </c>
      <c r="D1552" s="1" t="s">
        <v>55</v>
      </c>
      <c r="E1552" s="1" t="s">
        <v>168</v>
      </c>
      <c r="F1552" s="1" t="s">
        <v>69</v>
      </c>
      <c r="G1552" s="1" t="s">
        <v>38</v>
      </c>
      <c r="H1552" s="1" t="s">
        <v>214</v>
      </c>
      <c r="I1552" s="1">
        <v>451.42</v>
      </c>
      <c r="J1552" s="1">
        <v>5</v>
      </c>
      <c r="K1552" s="1">
        <v>2257.1</v>
      </c>
      <c r="L1552" s="1">
        <v>10</v>
      </c>
      <c r="M1552" s="1">
        <v>225.71</v>
      </c>
      <c r="N1552" s="1">
        <v>2031.39</v>
      </c>
      <c r="O1552" s="1" t="s">
        <v>24</v>
      </c>
      <c r="P1552" s="1" t="s">
        <v>545</v>
      </c>
      <c r="Q1552" s="1">
        <v>1</v>
      </c>
      <c r="R1552" s="1">
        <f>Retail_Sales_Analyis[[#This Row],[Final_Price]]-Retail_Sales_Analyis[[#This Row],[Total_Price]]</f>
        <v>-225.70999999999981</v>
      </c>
      <c r="S15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53" spans="1:19" x14ac:dyDescent="0.25">
      <c r="A1553" s="1" t="s">
        <v>2473</v>
      </c>
      <c r="B1553" s="2">
        <v>45370</v>
      </c>
      <c r="C1553" s="1" t="s">
        <v>61</v>
      </c>
      <c r="D1553" s="1" t="s">
        <v>28</v>
      </c>
      <c r="E1553" s="1" t="s">
        <v>351</v>
      </c>
      <c r="F1553" s="1" t="s">
        <v>30</v>
      </c>
      <c r="G1553" s="1" t="s">
        <v>112</v>
      </c>
      <c r="H1553" s="1" t="s">
        <v>113</v>
      </c>
      <c r="I1553" s="1">
        <v>1898.86</v>
      </c>
      <c r="J1553" s="1">
        <v>1</v>
      </c>
      <c r="K1553" s="1">
        <v>1898.86</v>
      </c>
      <c r="L1553" s="1">
        <v>0</v>
      </c>
      <c r="M1553" s="1">
        <v>0</v>
      </c>
      <c r="N1553" s="1">
        <v>1898.86</v>
      </c>
      <c r="O1553" s="1" t="s">
        <v>24</v>
      </c>
      <c r="P1553" s="1" t="s">
        <v>2371</v>
      </c>
      <c r="Q1553" s="1">
        <v>2</v>
      </c>
      <c r="R1553" s="1">
        <f>Retail_Sales_Analyis[[#This Row],[Final_Price]]-Retail_Sales_Analyis[[#This Row],[Total_Price]]</f>
        <v>0</v>
      </c>
      <c r="S15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4" spans="1:19" x14ac:dyDescent="0.25">
      <c r="A1554" s="1" t="s">
        <v>2474</v>
      </c>
      <c r="B1554" s="2">
        <v>45643</v>
      </c>
      <c r="C1554" s="1" t="s">
        <v>73</v>
      </c>
      <c r="D1554" s="1" t="s">
        <v>28</v>
      </c>
      <c r="E1554" s="1" t="s">
        <v>20</v>
      </c>
      <c r="F1554" s="1" t="s">
        <v>37</v>
      </c>
      <c r="G1554" s="1" t="s">
        <v>57</v>
      </c>
      <c r="H1554" s="1" t="s">
        <v>122</v>
      </c>
      <c r="I1554" s="1">
        <v>2012.55</v>
      </c>
      <c r="J1554" s="1">
        <v>4</v>
      </c>
      <c r="K1554" s="1">
        <v>8050.2</v>
      </c>
      <c r="L1554" s="1">
        <v>0</v>
      </c>
      <c r="M1554" s="1">
        <v>0</v>
      </c>
      <c r="N1554" s="1">
        <v>8050.2</v>
      </c>
      <c r="O1554" s="1" t="s">
        <v>64</v>
      </c>
      <c r="P1554" s="1" t="s">
        <v>2201</v>
      </c>
      <c r="Q1554" s="1">
        <v>2</v>
      </c>
      <c r="R1554" s="1">
        <f>Retail_Sales_Analyis[[#This Row],[Final_Price]]-Retail_Sales_Analyis[[#This Row],[Total_Price]]</f>
        <v>0</v>
      </c>
      <c r="S15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5" spans="1:19" x14ac:dyDescent="0.25">
      <c r="A1555" s="1" t="s">
        <v>2475</v>
      </c>
      <c r="B1555" s="2">
        <v>45534</v>
      </c>
      <c r="C1555" s="1" t="s">
        <v>93</v>
      </c>
      <c r="D1555" s="1" t="s">
        <v>144</v>
      </c>
      <c r="E1555" s="1" t="s">
        <v>342</v>
      </c>
      <c r="F1555" s="1" t="s">
        <v>84</v>
      </c>
      <c r="G1555" s="1" t="s">
        <v>78</v>
      </c>
      <c r="H1555" s="1" t="s">
        <v>323</v>
      </c>
      <c r="I1555" s="1">
        <v>181.16</v>
      </c>
      <c r="J1555" s="1">
        <v>1</v>
      </c>
      <c r="K1555" s="1">
        <v>181.16</v>
      </c>
      <c r="L1555" s="1">
        <v>0</v>
      </c>
      <c r="M1555" s="1">
        <v>0</v>
      </c>
      <c r="N1555" s="1">
        <v>181.16</v>
      </c>
      <c r="O1555" s="1" t="s">
        <v>46</v>
      </c>
      <c r="P1555" s="1" t="s">
        <v>114</v>
      </c>
      <c r="Q1555" s="1">
        <v>4</v>
      </c>
      <c r="R1555" s="1">
        <f>Retail_Sales_Analyis[[#This Row],[Final_Price]]-Retail_Sales_Analyis[[#This Row],[Total_Price]]</f>
        <v>0</v>
      </c>
      <c r="S15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6" spans="1:19" x14ac:dyDescent="0.25">
      <c r="A1556" s="1" t="s">
        <v>2476</v>
      </c>
      <c r="B1556" s="2">
        <v>45326</v>
      </c>
      <c r="C1556" s="1" t="s">
        <v>27</v>
      </c>
      <c r="D1556" s="1" t="s">
        <v>49</v>
      </c>
      <c r="E1556" s="1" t="s">
        <v>139</v>
      </c>
      <c r="F1556" s="1" t="s">
        <v>84</v>
      </c>
      <c r="G1556" s="1" t="s">
        <v>22</v>
      </c>
      <c r="H1556" s="1" t="s">
        <v>187</v>
      </c>
      <c r="I1556" s="1">
        <v>790.52</v>
      </c>
      <c r="J1556" s="1">
        <v>2</v>
      </c>
      <c r="K1556" s="1">
        <v>1581.04</v>
      </c>
      <c r="L1556" s="1">
        <v>0</v>
      </c>
      <c r="M1556" s="1">
        <v>0</v>
      </c>
      <c r="N1556" s="1">
        <v>1581.04</v>
      </c>
      <c r="O1556" s="1" t="s">
        <v>46</v>
      </c>
      <c r="P1556" s="1" t="s">
        <v>441</v>
      </c>
      <c r="Q1556" s="1">
        <v>3</v>
      </c>
      <c r="R1556" s="1">
        <f>Retail_Sales_Analyis[[#This Row],[Final_Price]]-Retail_Sales_Analyis[[#This Row],[Total_Price]]</f>
        <v>0</v>
      </c>
      <c r="S15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7" spans="1:19" x14ac:dyDescent="0.25">
      <c r="A1557" s="1" t="s">
        <v>2477</v>
      </c>
      <c r="B1557" s="2">
        <v>45338</v>
      </c>
      <c r="C1557" s="1" t="s">
        <v>27</v>
      </c>
      <c r="D1557" s="1" t="s">
        <v>144</v>
      </c>
      <c r="E1557" s="1" t="s">
        <v>302</v>
      </c>
      <c r="F1557" s="1" t="s">
        <v>69</v>
      </c>
      <c r="G1557" s="1" t="s">
        <v>22</v>
      </c>
      <c r="H1557" s="1" t="s">
        <v>51</v>
      </c>
      <c r="I1557" s="1">
        <v>669.15</v>
      </c>
      <c r="J1557" s="1">
        <v>8</v>
      </c>
      <c r="K1557" s="1">
        <v>5353.2</v>
      </c>
      <c r="L1557" s="1">
        <v>0</v>
      </c>
      <c r="M1557" s="1">
        <v>0</v>
      </c>
      <c r="N1557" s="1">
        <v>5353.2</v>
      </c>
      <c r="O1557" s="1" t="s">
        <v>33</v>
      </c>
      <c r="P1557" s="1" t="s">
        <v>2069</v>
      </c>
      <c r="Q1557" s="1">
        <v>2</v>
      </c>
      <c r="R1557" s="1">
        <f>Retail_Sales_Analyis[[#This Row],[Final_Price]]-Retail_Sales_Analyis[[#This Row],[Total_Price]]</f>
        <v>0</v>
      </c>
      <c r="S15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58" spans="1:19" x14ac:dyDescent="0.25">
      <c r="A1558" s="1" t="s">
        <v>2478</v>
      </c>
      <c r="B1558" s="2">
        <v>45335</v>
      </c>
      <c r="C1558" s="1" t="s">
        <v>27</v>
      </c>
      <c r="D1558" s="1" t="s">
        <v>28</v>
      </c>
      <c r="E1558" s="1" t="s">
        <v>307</v>
      </c>
      <c r="F1558" s="1" t="s">
        <v>84</v>
      </c>
      <c r="G1558" s="1" t="s">
        <v>31</v>
      </c>
      <c r="H1558" s="1" t="s">
        <v>63</v>
      </c>
      <c r="I1558" s="1">
        <v>339.42</v>
      </c>
      <c r="J1558" s="1">
        <v>3</v>
      </c>
      <c r="K1558" s="1">
        <v>1018.26</v>
      </c>
      <c r="L1558" s="1">
        <v>15</v>
      </c>
      <c r="M1558" s="1">
        <v>152.74</v>
      </c>
      <c r="N1558" s="1">
        <v>865.52</v>
      </c>
      <c r="O1558" s="1" t="s">
        <v>24</v>
      </c>
      <c r="P1558" s="1" t="s">
        <v>1963</v>
      </c>
      <c r="Q1558" s="1">
        <v>2</v>
      </c>
      <c r="R1558" s="1">
        <f>Retail_Sales_Analyis[[#This Row],[Final_Price]]-Retail_Sales_Analyis[[#This Row],[Total_Price]]</f>
        <v>-152.74</v>
      </c>
      <c r="S15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59" spans="1:19" x14ac:dyDescent="0.25">
      <c r="A1559" s="1" t="s">
        <v>2479</v>
      </c>
      <c r="B1559" s="2">
        <v>45339</v>
      </c>
      <c r="C1559" s="1" t="s">
        <v>27</v>
      </c>
      <c r="D1559" s="1" t="s">
        <v>19</v>
      </c>
      <c r="E1559" s="1" t="s">
        <v>97</v>
      </c>
      <c r="F1559" s="1" t="s">
        <v>84</v>
      </c>
      <c r="G1559" s="1" t="s">
        <v>85</v>
      </c>
      <c r="H1559" s="1" t="s">
        <v>180</v>
      </c>
      <c r="I1559" s="1">
        <v>2151.65</v>
      </c>
      <c r="J1559" s="1">
        <v>2</v>
      </c>
      <c r="K1559" s="1">
        <v>4303.3</v>
      </c>
      <c r="L1559" s="1">
        <v>10</v>
      </c>
      <c r="M1559" s="1">
        <v>430.33</v>
      </c>
      <c r="N1559" s="1">
        <v>3872.97</v>
      </c>
      <c r="O1559" s="1" t="s">
        <v>64</v>
      </c>
      <c r="P1559" s="1" t="s">
        <v>2480</v>
      </c>
      <c r="Q1559" s="1">
        <v>2</v>
      </c>
      <c r="R1559" s="1">
        <f>Retail_Sales_Analyis[[#This Row],[Final_Price]]-Retail_Sales_Analyis[[#This Row],[Total_Price]]</f>
        <v>-430.33000000000038</v>
      </c>
      <c r="S15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0" spans="1:19" x14ac:dyDescent="0.25">
      <c r="A1560" s="1" t="s">
        <v>2481</v>
      </c>
      <c r="B1560" s="2">
        <v>45513</v>
      </c>
      <c r="C1560" s="1" t="s">
        <v>93</v>
      </c>
      <c r="D1560" s="1" t="s">
        <v>144</v>
      </c>
      <c r="E1560" s="1" t="s">
        <v>107</v>
      </c>
      <c r="F1560" s="1" t="s">
        <v>37</v>
      </c>
      <c r="G1560" s="1" t="s">
        <v>169</v>
      </c>
      <c r="H1560" s="1" t="s">
        <v>366</v>
      </c>
      <c r="I1560" s="1">
        <v>528.51</v>
      </c>
      <c r="J1560" s="1">
        <v>2</v>
      </c>
      <c r="K1560" s="1">
        <v>1057.02</v>
      </c>
      <c r="L1560" s="1">
        <v>0</v>
      </c>
      <c r="M1560" s="1">
        <v>0</v>
      </c>
      <c r="N1560" s="1">
        <v>1057.02</v>
      </c>
      <c r="O1560" s="1" t="s">
        <v>64</v>
      </c>
      <c r="P1560" s="1" t="s">
        <v>1153</v>
      </c>
      <c r="Q1560" s="1">
        <v>5</v>
      </c>
      <c r="R1560" s="1">
        <f>Retail_Sales_Analyis[[#This Row],[Final_Price]]-Retail_Sales_Analyis[[#This Row],[Total_Price]]</f>
        <v>0</v>
      </c>
      <c r="S15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61" spans="1:19" x14ac:dyDescent="0.25">
      <c r="A1561" s="1" t="s">
        <v>2482</v>
      </c>
      <c r="B1561" s="2">
        <v>45341</v>
      </c>
      <c r="C1561" s="1" t="s">
        <v>27</v>
      </c>
      <c r="D1561" s="1" t="s">
        <v>43</v>
      </c>
      <c r="E1561" s="1" t="s">
        <v>139</v>
      </c>
      <c r="F1561" s="1" t="s">
        <v>21</v>
      </c>
      <c r="G1561" s="1" t="s">
        <v>38</v>
      </c>
      <c r="H1561" s="1" t="s">
        <v>70</v>
      </c>
      <c r="I1561" s="1">
        <v>164.82</v>
      </c>
      <c r="J1561" s="1">
        <v>7</v>
      </c>
      <c r="K1561" s="1">
        <v>1153.74</v>
      </c>
      <c r="L1561" s="1">
        <v>15</v>
      </c>
      <c r="M1561" s="1">
        <v>173.06</v>
      </c>
      <c r="N1561" s="1">
        <v>980.68</v>
      </c>
      <c r="O1561" s="1" t="s">
        <v>24</v>
      </c>
      <c r="P1561" s="1" t="s">
        <v>407</v>
      </c>
      <c r="Q1561" s="1">
        <v>1</v>
      </c>
      <c r="R1561" s="1">
        <f>Retail_Sales_Analyis[[#This Row],[Final_Price]]-Retail_Sales_Analyis[[#This Row],[Total_Price]]</f>
        <v>-173.06000000000006</v>
      </c>
      <c r="S15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2" spans="1:19" x14ac:dyDescent="0.25">
      <c r="A1562" s="1" t="s">
        <v>2483</v>
      </c>
      <c r="B1562" s="2">
        <v>45482</v>
      </c>
      <c r="C1562" s="1" t="s">
        <v>195</v>
      </c>
      <c r="D1562" s="1" t="s">
        <v>28</v>
      </c>
      <c r="E1562" s="1" t="s">
        <v>141</v>
      </c>
      <c r="F1562" s="1" t="s">
        <v>21</v>
      </c>
      <c r="G1562" s="1" t="s">
        <v>38</v>
      </c>
      <c r="H1562" s="1" t="s">
        <v>108</v>
      </c>
      <c r="I1562" s="1">
        <v>212.11</v>
      </c>
      <c r="J1562" s="1">
        <v>9</v>
      </c>
      <c r="K1562" s="1">
        <v>1908.99</v>
      </c>
      <c r="L1562" s="1">
        <v>5</v>
      </c>
      <c r="M1562" s="1">
        <v>95.45</v>
      </c>
      <c r="N1562" s="1">
        <v>1813.54</v>
      </c>
      <c r="O1562" s="1" t="s">
        <v>46</v>
      </c>
      <c r="P1562" s="1" t="s">
        <v>1100</v>
      </c>
      <c r="Q1562" s="1">
        <v>1</v>
      </c>
      <c r="R1562" s="1">
        <f>Retail_Sales_Analyis[[#This Row],[Final_Price]]-Retail_Sales_Analyis[[#This Row],[Total_Price]]</f>
        <v>-95.450000000000045</v>
      </c>
      <c r="S15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63" spans="1:19" x14ac:dyDescent="0.25">
      <c r="A1563" s="1" t="s">
        <v>2484</v>
      </c>
      <c r="B1563" s="2">
        <v>45358</v>
      </c>
      <c r="C1563" s="1" t="s">
        <v>61</v>
      </c>
      <c r="D1563" s="1" t="s">
        <v>67</v>
      </c>
      <c r="E1563" s="1" t="s">
        <v>129</v>
      </c>
      <c r="F1563" s="1" t="s">
        <v>30</v>
      </c>
      <c r="G1563" s="1" t="s">
        <v>31</v>
      </c>
      <c r="H1563" s="1" t="s">
        <v>32</v>
      </c>
      <c r="I1563" s="1">
        <v>283.41000000000003</v>
      </c>
      <c r="J1563" s="1">
        <v>2</v>
      </c>
      <c r="K1563" s="1">
        <v>566.82000000000005</v>
      </c>
      <c r="L1563" s="1">
        <v>15</v>
      </c>
      <c r="M1563" s="1">
        <v>85.02</v>
      </c>
      <c r="N1563" s="1">
        <v>481.8</v>
      </c>
      <c r="O1563" s="1" t="s">
        <v>33</v>
      </c>
      <c r="P1563" s="1" t="s">
        <v>1311</v>
      </c>
      <c r="Q1563" s="1">
        <v>2</v>
      </c>
      <c r="R1563" s="1">
        <f>Retail_Sales_Analyis[[#This Row],[Final_Price]]-Retail_Sales_Analyis[[#This Row],[Total_Price]]</f>
        <v>-85.020000000000039</v>
      </c>
      <c r="S15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4" spans="1:19" x14ac:dyDescent="0.25">
      <c r="A1564" s="1" t="s">
        <v>2485</v>
      </c>
      <c r="B1564" s="2">
        <v>45576</v>
      </c>
      <c r="C1564" s="1" t="s">
        <v>76</v>
      </c>
      <c r="D1564" s="1" t="s">
        <v>144</v>
      </c>
      <c r="E1564" s="1" t="s">
        <v>68</v>
      </c>
      <c r="F1564" s="1" t="s">
        <v>69</v>
      </c>
      <c r="G1564" s="1" t="s">
        <v>31</v>
      </c>
      <c r="H1564" s="1" t="s">
        <v>63</v>
      </c>
      <c r="I1564" s="1">
        <v>167.15</v>
      </c>
      <c r="J1564" s="1">
        <v>6</v>
      </c>
      <c r="K1564" s="1">
        <v>1002.9</v>
      </c>
      <c r="L1564" s="1">
        <v>10</v>
      </c>
      <c r="M1564" s="1">
        <v>100.29</v>
      </c>
      <c r="N1564" s="1">
        <v>902.61</v>
      </c>
      <c r="O1564" s="1" t="s">
        <v>46</v>
      </c>
      <c r="P1564" s="1" t="s">
        <v>419</v>
      </c>
      <c r="Q1564" s="1">
        <v>4</v>
      </c>
      <c r="R1564" s="1">
        <f>Retail_Sales_Analyis[[#This Row],[Final_Price]]-Retail_Sales_Analyis[[#This Row],[Total_Price]]</f>
        <v>-100.28999999999996</v>
      </c>
      <c r="S15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5" spans="1:19" x14ac:dyDescent="0.25">
      <c r="A1565" s="1" t="s">
        <v>2486</v>
      </c>
      <c r="B1565" s="2">
        <v>45322</v>
      </c>
      <c r="C1565" s="1" t="s">
        <v>36</v>
      </c>
      <c r="D1565" s="1" t="s">
        <v>55</v>
      </c>
      <c r="E1565" s="1" t="s">
        <v>104</v>
      </c>
      <c r="F1565" s="1" t="s">
        <v>84</v>
      </c>
      <c r="G1565" s="1" t="s">
        <v>112</v>
      </c>
      <c r="H1565" s="1" t="s">
        <v>118</v>
      </c>
      <c r="I1565" s="1">
        <v>713.67</v>
      </c>
      <c r="J1565" s="1">
        <v>2</v>
      </c>
      <c r="K1565" s="1">
        <v>1427.34</v>
      </c>
      <c r="L1565" s="1">
        <v>10</v>
      </c>
      <c r="M1565" s="1">
        <v>142.72999999999999</v>
      </c>
      <c r="N1565" s="1">
        <v>1284.6099999999999</v>
      </c>
      <c r="O1565" s="1" t="s">
        <v>33</v>
      </c>
      <c r="P1565" s="1" t="s">
        <v>675</v>
      </c>
      <c r="Q1565" s="1">
        <v>4</v>
      </c>
      <c r="R1565" s="1">
        <f>Retail_Sales_Analyis[[#This Row],[Final_Price]]-Retail_Sales_Analyis[[#This Row],[Total_Price]]</f>
        <v>-142.73000000000002</v>
      </c>
      <c r="S15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6" spans="1:19" x14ac:dyDescent="0.25">
      <c r="A1566" s="1" t="s">
        <v>2487</v>
      </c>
      <c r="B1566" s="2">
        <v>45592</v>
      </c>
      <c r="C1566" s="1" t="s">
        <v>76</v>
      </c>
      <c r="D1566" s="1" t="s">
        <v>49</v>
      </c>
      <c r="E1566" s="1" t="s">
        <v>20</v>
      </c>
      <c r="F1566" s="1" t="s">
        <v>69</v>
      </c>
      <c r="G1566" s="1" t="s">
        <v>169</v>
      </c>
      <c r="H1566" s="1" t="s">
        <v>348</v>
      </c>
      <c r="I1566" s="1">
        <v>363.72</v>
      </c>
      <c r="J1566" s="1">
        <v>3</v>
      </c>
      <c r="K1566" s="1">
        <v>1091.1600000000001</v>
      </c>
      <c r="L1566" s="1">
        <v>15</v>
      </c>
      <c r="M1566" s="1">
        <v>163.66999999999999</v>
      </c>
      <c r="N1566" s="1">
        <v>927.49</v>
      </c>
      <c r="O1566" s="1" t="s">
        <v>33</v>
      </c>
      <c r="P1566" s="1" t="s">
        <v>202</v>
      </c>
      <c r="Q1566" s="1">
        <v>1</v>
      </c>
      <c r="R1566" s="1">
        <f>Retail_Sales_Analyis[[#This Row],[Final_Price]]-Retail_Sales_Analyis[[#This Row],[Total_Price]]</f>
        <v>-163.67000000000007</v>
      </c>
      <c r="S15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67" spans="1:19" x14ac:dyDescent="0.25">
      <c r="A1567" s="1" t="s">
        <v>2488</v>
      </c>
      <c r="B1567" s="2">
        <v>45579</v>
      </c>
      <c r="C1567" s="1" t="s">
        <v>76</v>
      </c>
      <c r="D1567" s="1" t="s">
        <v>43</v>
      </c>
      <c r="E1567" s="1" t="s">
        <v>20</v>
      </c>
      <c r="F1567" s="1" t="s">
        <v>84</v>
      </c>
      <c r="G1567" s="1" t="s">
        <v>169</v>
      </c>
      <c r="H1567" s="1" t="s">
        <v>348</v>
      </c>
      <c r="I1567" s="1">
        <v>1124.98</v>
      </c>
      <c r="J1567" s="1">
        <v>4</v>
      </c>
      <c r="K1567" s="1">
        <v>4499.92</v>
      </c>
      <c r="L1567" s="1">
        <v>5</v>
      </c>
      <c r="M1567" s="1">
        <v>225</v>
      </c>
      <c r="N1567" s="1">
        <v>4274.92</v>
      </c>
      <c r="O1567" s="1" t="s">
        <v>64</v>
      </c>
      <c r="P1567" s="1" t="s">
        <v>892</v>
      </c>
      <c r="Q1567" s="1">
        <v>5</v>
      </c>
      <c r="R1567" s="1">
        <f>Retail_Sales_Analyis[[#This Row],[Final_Price]]-Retail_Sales_Analyis[[#This Row],[Total_Price]]</f>
        <v>-225</v>
      </c>
      <c r="S15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68" spans="1:19" x14ac:dyDescent="0.25">
      <c r="A1568" s="1" t="s">
        <v>2489</v>
      </c>
      <c r="B1568" s="2">
        <v>45579</v>
      </c>
      <c r="C1568" s="1" t="s">
        <v>76</v>
      </c>
      <c r="D1568" s="1" t="s">
        <v>43</v>
      </c>
      <c r="E1568" s="1" t="s">
        <v>50</v>
      </c>
      <c r="F1568" s="1" t="s">
        <v>21</v>
      </c>
      <c r="G1568" s="1" t="s">
        <v>85</v>
      </c>
      <c r="H1568" s="1" t="s">
        <v>297</v>
      </c>
      <c r="I1568" s="1">
        <v>2303.29</v>
      </c>
      <c r="J1568" s="1">
        <v>3</v>
      </c>
      <c r="K1568" s="1">
        <v>6909.87</v>
      </c>
      <c r="L1568" s="1">
        <v>0</v>
      </c>
      <c r="M1568" s="1">
        <v>0</v>
      </c>
      <c r="N1568" s="1">
        <v>6909.87</v>
      </c>
      <c r="O1568" s="1" t="s">
        <v>80</v>
      </c>
      <c r="P1568" s="1" t="s">
        <v>1176</v>
      </c>
      <c r="Q1568" s="1">
        <v>5</v>
      </c>
      <c r="R1568" s="1">
        <f>Retail_Sales_Analyis[[#This Row],[Final_Price]]-Retail_Sales_Analyis[[#This Row],[Total_Price]]</f>
        <v>0</v>
      </c>
      <c r="S15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69" spans="1:19" x14ac:dyDescent="0.25">
      <c r="A1569" s="1" t="s">
        <v>2490</v>
      </c>
      <c r="B1569" s="2">
        <v>45460</v>
      </c>
      <c r="C1569" s="1" t="s">
        <v>173</v>
      </c>
      <c r="D1569" s="1" t="s">
        <v>43</v>
      </c>
      <c r="E1569" s="1" t="s">
        <v>192</v>
      </c>
      <c r="F1569" s="1" t="s">
        <v>30</v>
      </c>
      <c r="G1569" s="1" t="s">
        <v>22</v>
      </c>
      <c r="H1569" s="1" t="s">
        <v>23</v>
      </c>
      <c r="I1569" s="1">
        <v>964.27</v>
      </c>
      <c r="J1569" s="1">
        <v>7</v>
      </c>
      <c r="K1569" s="1">
        <v>6749.89</v>
      </c>
      <c r="L1569" s="1">
        <v>20</v>
      </c>
      <c r="M1569" s="1">
        <v>1349.98</v>
      </c>
      <c r="N1569" s="1">
        <v>5399.91</v>
      </c>
      <c r="O1569" s="1" t="s">
        <v>46</v>
      </c>
      <c r="P1569" s="1" t="s">
        <v>457</v>
      </c>
      <c r="Q1569" s="1">
        <v>5</v>
      </c>
      <c r="R1569" s="1">
        <f>Retail_Sales_Analyis[[#This Row],[Final_Price]]-Retail_Sales_Analyis[[#This Row],[Total_Price]]</f>
        <v>-1349.9800000000005</v>
      </c>
      <c r="S15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70" spans="1:19" x14ac:dyDescent="0.25">
      <c r="A1570" s="1" t="s">
        <v>2491</v>
      </c>
      <c r="B1570" s="2">
        <v>45635</v>
      </c>
      <c r="C1570" s="1" t="s">
        <v>73</v>
      </c>
      <c r="D1570" s="1" t="s">
        <v>43</v>
      </c>
      <c r="E1570" s="1" t="s">
        <v>196</v>
      </c>
      <c r="F1570" s="1" t="s">
        <v>84</v>
      </c>
      <c r="G1570" s="1" t="s">
        <v>85</v>
      </c>
      <c r="H1570" s="1" t="s">
        <v>98</v>
      </c>
      <c r="I1570" s="1">
        <v>4586.83</v>
      </c>
      <c r="J1570" s="1">
        <v>6</v>
      </c>
      <c r="K1570" s="1">
        <v>27520.98</v>
      </c>
      <c r="L1570" s="1">
        <v>15</v>
      </c>
      <c r="M1570" s="1">
        <v>4128.1499999999996</v>
      </c>
      <c r="N1570" s="1">
        <v>23392.83</v>
      </c>
      <c r="O1570" s="1" t="s">
        <v>46</v>
      </c>
      <c r="P1570" s="1" t="s">
        <v>114</v>
      </c>
      <c r="Q1570" s="1">
        <v>2</v>
      </c>
      <c r="R1570" s="1">
        <f>Retail_Sales_Analyis[[#This Row],[Final_Price]]-Retail_Sales_Analyis[[#This Row],[Total_Price]]</f>
        <v>-4128.1499999999978</v>
      </c>
      <c r="S15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71" spans="1:19" x14ac:dyDescent="0.25">
      <c r="A1571" s="1" t="s">
        <v>2492</v>
      </c>
      <c r="B1571" s="2">
        <v>45354</v>
      </c>
      <c r="C1571" s="1" t="s">
        <v>61</v>
      </c>
      <c r="D1571" s="1" t="s">
        <v>49</v>
      </c>
      <c r="E1571" s="1" t="s">
        <v>204</v>
      </c>
      <c r="F1571" s="1" t="s">
        <v>69</v>
      </c>
      <c r="G1571" s="1" t="s">
        <v>78</v>
      </c>
      <c r="H1571" s="1" t="s">
        <v>126</v>
      </c>
      <c r="I1571" s="1">
        <v>572.86</v>
      </c>
      <c r="J1571" s="1">
        <v>5</v>
      </c>
      <c r="K1571" s="1">
        <v>2864.3</v>
      </c>
      <c r="L1571" s="1">
        <v>5</v>
      </c>
      <c r="M1571" s="1">
        <v>143.22</v>
      </c>
      <c r="N1571" s="1">
        <v>2721.08</v>
      </c>
      <c r="O1571" s="1" t="s">
        <v>24</v>
      </c>
      <c r="P1571" s="1" t="s">
        <v>2020</v>
      </c>
      <c r="Q1571" s="1">
        <v>4</v>
      </c>
      <c r="R1571" s="1">
        <f>Retail_Sales_Analyis[[#This Row],[Final_Price]]-Retail_Sales_Analyis[[#This Row],[Total_Price]]</f>
        <v>-143.22000000000025</v>
      </c>
      <c r="S15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72" spans="1:19" x14ac:dyDescent="0.25">
      <c r="A1572" s="1" t="s">
        <v>2493</v>
      </c>
      <c r="B1572" s="2">
        <v>45502</v>
      </c>
      <c r="C1572" s="1" t="s">
        <v>195</v>
      </c>
      <c r="D1572" s="1" t="s">
        <v>43</v>
      </c>
      <c r="E1572" s="1" t="s">
        <v>196</v>
      </c>
      <c r="F1572" s="1" t="s">
        <v>30</v>
      </c>
      <c r="G1572" s="1" t="s">
        <v>31</v>
      </c>
      <c r="H1572" s="1" t="s">
        <v>250</v>
      </c>
      <c r="I1572" s="1">
        <v>122.7</v>
      </c>
      <c r="J1572" s="1">
        <v>7</v>
      </c>
      <c r="K1572" s="1">
        <v>858.9</v>
      </c>
      <c r="L1572" s="1">
        <v>0</v>
      </c>
      <c r="M1572" s="1">
        <v>0</v>
      </c>
      <c r="N1572" s="1">
        <v>858.9</v>
      </c>
      <c r="O1572" s="1" t="s">
        <v>64</v>
      </c>
      <c r="P1572" s="1" t="s">
        <v>1142</v>
      </c>
      <c r="Q1572" s="1">
        <v>1</v>
      </c>
      <c r="R1572" s="1">
        <f>Retail_Sales_Analyis[[#This Row],[Final_Price]]-Retail_Sales_Analyis[[#This Row],[Total_Price]]</f>
        <v>0</v>
      </c>
      <c r="S15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73" spans="1:19" x14ac:dyDescent="0.25">
      <c r="A1573" s="1" t="s">
        <v>2494</v>
      </c>
      <c r="B1573" s="2">
        <v>45473</v>
      </c>
      <c r="C1573" s="1" t="s">
        <v>173</v>
      </c>
      <c r="D1573" s="1" t="s">
        <v>49</v>
      </c>
      <c r="E1573" s="1" t="s">
        <v>312</v>
      </c>
      <c r="F1573" s="1" t="s">
        <v>84</v>
      </c>
      <c r="G1573" s="1" t="s">
        <v>38</v>
      </c>
      <c r="H1573" s="1" t="s">
        <v>70</v>
      </c>
      <c r="I1573" s="1">
        <v>667.53</v>
      </c>
      <c r="J1573" s="1">
        <v>8</v>
      </c>
      <c r="K1573" s="1">
        <v>5340.24</v>
      </c>
      <c r="L1573" s="1">
        <v>10</v>
      </c>
      <c r="M1573" s="1">
        <v>534.02</v>
      </c>
      <c r="N1573" s="1">
        <v>4806.22</v>
      </c>
      <c r="O1573" s="1" t="s">
        <v>24</v>
      </c>
      <c r="P1573" s="1" t="s">
        <v>1833</v>
      </c>
      <c r="Q1573" s="1">
        <v>2</v>
      </c>
      <c r="R1573" s="1">
        <f>Retail_Sales_Analyis[[#This Row],[Final_Price]]-Retail_Sales_Analyis[[#This Row],[Total_Price]]</f>
        <v>-534.01999999999953</v>
      </c>
      <c r="S15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74" spans="1:19" x14ac:dyDescent="0.25">
      <c r="A1574" s="1" t="s">
        <v>2495</v>
      </c>
      <c r="B1574" s="2">
        <v>45632</v>
      </c>
      <c r="C1574" s="1" t="s">
        <v>73</v>
      </c>
      <c r="D1574" s="1" t="s">
        <v>144</v>
      </c>
      <c r="E1574" s="1" t="s">
        <v>111</v>
      </c>
      <c r="F1574" s="1" t="s">
        <v>30</v>
      </c>
      <c r="G1574" s="1" t="s">
        <v>31</v>
      </c>
      <c r="H1574" s="1" t="s">
        <v>329</v>
      </c>
      <c r="I1574" s="1">
        <v>134.06</v>
      </c>
      <c r="J1574" s="1">
        <v>3</v>
      </c>
      <c r="K1574" s="1">
        <v>402.18</v>
      </c>
      <c r="L1574" s="1">
        <v>5</v>
      </c>
      <c r="M1574" s="1">
        <v>20.11</v>
      </c>
      <c r="N1574" s="1">
        <v>382.07</v>
      </c>
      <c r="O1574" s="1" t="s">
        <v>24</v>
      </c>
      <c r="P1574" s="1" t="s">
        <v>2044</v>
      </c>
      <c r="Q1574" s="1">
        <v>2</v>
      </c>
      <c r="R1574" s="1">
        <f>Retail_Sales_Analyis[[#This Row],[Final_Price]]-Retail_Sales_Analyis[[#This Row],[Total_Price]]</f>
        <v>-20.110000000000014</v>
      </c>
      <c r="S15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75" spans="1:19" x14ac:dyDescent="0.25">
      <c r="A1575" s="1" t="s">
        <v>2496</v>
      </c>
      <c r="B1575" s="2">
        <v>45508</v>
      </c>
      <c r="C1575" s="1" t="s">
        <v>93</v>
      </c>
      <c r="D1575" s="1" t="s">
        <v>49</v>
      </c>
      <c r="E1575" s="1" t="s">
        <v>68</v>
      </c>
      <c r="F1575" s="1" t="s">
        <v>84</v>
      </c>
      <c r="G1575" s="1" t="s">
        <v>31</v>
      </c>
      <c r="H1575" s="1" t="s">
        <v>45</v>
      </c>
      <c r="I1575" s="1">
        <v>459.8</v>
      </c>
      <c r="J1575" s="1">
        <v>2</v>
      </c>
      <c r="K1575" s="1">
        <v>919.6</v>
      </c>
      <c r="L1575" s="1">
        <v>0</v>
      </c>
      <c r="M1575" s="1">
        <v>0</v>
      </c>
      <c r="N1575" s="1">
        <v>919.6</v>
      </c>
      <c r="O1575" s="1" t="s">
        <v>33</v>
      </c>
      <c r="P1575" s="1" t="s">
        <v>1773</v>
      </c>
      <c r="Q1575" s="1">
        <v>3</v>
      </c>
      <c r="R1575" s="1">
        <f>Retail_Sales_Analyis[[#This Row],[Final_Price]]-Retail_Sales_Analyis[[#This Row],[Total_Price]]</f>
        <v>0</v>
      </c>
      <c r="S15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76" spans="1:19" x14ac:dyDescent="0.25">
      <c r="A1576" s="1" t="s">
        <v>2497</v>
      </c>
      <c r="B1576" s="2">
        <v>45318</v>
      </c>
      <c r="C1576" s="1" t="s">
        <v>36</v>
      </c>
      <c r="D1576" s="1" t="s">
        <v>19</v>
      </c>
      <c r="E1576" s="1" t="s">
        <v>204</v>
      </c>
      <c r="F1576" s="1" t="s">
        <v>37</v>
      </c>
      <c r="G1576" s="1" t="s">
        <v>57</v>
      </c>
      <c r="H1576" s="1" t="s">
        <v>101</v>
      </c>
      <c r="I1576" s="1">
        <v>617.87</v>
      </c>
      <c r="J1576" s="1">
        <v>2</v>
      </c>
      <c r="K1576" s="1">
        <v>1235.74</v>
      </c>
      <c r="L1576" s="1">
        <v>0</v>
      </c>
      <c r="M1576" s="1">
        <v>0</v>
      </c>
      <c r="N1576" s="1">
        <v>1235.74</v>
      </c>
      <c r="O1576" s="1" t="s">
        <v>46</v>
      </c>
      <c r="P1576" s="1" t="s">
        <v>1923</v>
      </c>
      <c r="Q1576" s="1">
        <v>4</v>
      </c>
      <c r="R1576" s="1">
        <f>Retail_Sales_Analyis[[#This Row],[Final_Price]]-Retail_Sales_Analyis[[#This Row],[Total_Price]]</f>
        <v>0</v>
      </c>
      <c r="S15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77" spans="1:19" x14ac:dyDescent="0.25">
      <c r="A1577" s="1" t="s">
        <v>2498</v>
      </c>
      <c r="B1577" s="2">
        <v>45439</v>
      </c>
      <c r="C1577" s="1" t="s">
        <v>42</v>
      </c>
      <c r="D1577" s="1" t="s">
        <v>43</v>
      </c>
      <c r="E1577" s="1" t="s">
        <v>89</v>
      </c>
      <c r="F1577" s="1" t="s">
        <v>69</v>
      </c>
      <c r="G1577" s="1" t="s">
        <v>57</v>
      </c>
      <c r="H1577" s="1" t="s">
        <v>101</v>
      </c>
      <c r="I1577" s="1">
        <v>305.44</v>
      </c>
      <c r="J1577" s="1">
        <v>1</v>
      </c>
      <c r="K1577" s="1">
        <v>305.44</v>
      </c>
      <c r="L1577" s="1">
        <v>0</v>
      </c>
      <c r="M1577" s="1">
        <v>0</v>
      </c>
      <c r="N1577" s="1">
        <v>305.44</v>
      </c>
      <c r="O1577" s="1" t="s">
        <v>80</v>
      </c>
      <c r="P1577" s="1" t="s">
        <v>1664</v>
      </c>
      <c r="Q1577" s="1">
        <v>4</v>
      </c>
      <c r="R1577" s="1">
        <f>Retail_Sales_Analyis[[#This Row],[Final_Price]]-Retail_Sales_Analyis[[#This Row],[Total_Price]]</f>
        <v>0</v>
      </c>
      <c r="S15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78" spans="1:19" x14ac:dyDescent="0.25">
      <c r="A1578" s="1" t="s">
        <v>2499</v>
      </c>
      <c r="B1578" s="2">
        <v>45599</v>
      </c>
      <c r="C1578" s="1" t="s">
        <v>18</v>
      </c>
      <c r="D1578" s="1" t="s">
        <v>49</v>
      </c>
      <c r="E1578" s="1" t="s">
        <v>129</v>
      </c>
      <c r="F1578" s="1" t="s">
        <v>21</v>
      </c>
      <c r="G1578" s="1" t="s">
        <v>31</v>
      </c>
      <c r="H1578" s="1" t="s">
        <v>63</v>
      </c>
      <c r="I1578" s="1">
        <v>357.62</v>
      </c>
      <c r="J1578" s="1">
        <v>6</v>
      </c>
      <c r="K1578" s="1">
        <v>2145.7199999999998</v>
      </c>
      <c r="L1578" s="1">
        <v>15</v>
      </c>
      <c r="M1578" s="1">
        <v>321.86</v>
      </c>
      <c r="N1578" s="1">
        <v>1823.86</v>
      </c>
      <c r="O1578" s="1" t="s">
        <v>80</v>
      </c>
      <c r="P1578" s="1" t="s">
        <v>1464</v>
      </c>
      <c r="Q1578" s="1">
        <v>3</v>
      </c>
      <c r="R1578" s="1">
        <f>Retail_Sales_Analyis[[#This Row],[Final_Price]]-Retail_Sales_Analyis[[#This Row],[Total_Price]]</f>
        <v>-321.8599999999999</v>
      </c>
      <c r="S15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79" spans="1:19" x14ac:dyDescent="0.25">
      <c r="A1579" s="1" t="s">
        <v>2500</v>
      </c>
      <c r="B1579" s="2">
        <v>45451</v>
      </c>
      <c r="C1579" s="1" t="s">
        <v>173</v>
      </c>
      <c r="D1579" s="1" t="s">
        <v>19</v>
      </c>
      <c r="E1579" s="1" t="s">
        <v>351</v>
      </c>
      <c r="F1579" s="1" t="s">
        <v>21</v>
      </c>
      <c r="G1579" s="1" t="s">
        <v>22</v>
      </c>
      <c r="H1579" s="1" t="s">
        <v>133</v>
      </c>
      <c r="I1579" s="1">
        <v>838.95</v>
      </c>
      <c r="J1579" s="1">
        <v>1</v>
      </c>
      <c r="K1579" s="1">
        <v>838.95</v>
      </c>
      <c r="L1579" s="1">
        <v>0</v>
      </c>
      <c r="M1579" s="1">
        <v>0</v>
      </c>
      <c r="N1579" s="1">
        <v>838.95</v>
      </c>
      <c r="O1579" s="1" t="s">
        <v>24</v>
      </c>
      <c r="P1579" s="1" t="s">
        <v>237</v>
      </c>
      <c r="Q1579" s="1">
        <v>3</v>
      </c>
      <c r="R1579" s="1">
        <f>Retail_Sales_Analyis[[#This Row],[Final_Price]]-Retail_Sales_Analyis[[#This Row],[Total_Price]]</f>
        <v>0</v>
      </c>
      <c r="S15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0" spans="1:19" x14ac:dyDescent="0.25">
      <c r="A1580" s="1" t="s">
        <v>2501</v>
      </c>
      <c r="B1580" s="2">
        <v>45472</v>
      </c>
      <c r="C1580" s="1" t="s">
        <v>173</v>
      </c>
      <c r="D1580" s="1" t="s">
        <v>19</v>
      </c>
      <c r="E1580" s="1" t="s">
        <v>192</v>
      </c>
      <c r="F1580" s="1" t="s">
        <v>30</v>
      </c>
      <c r="G1580" s="1" t="s">
        <v>22</v>
      </c>
      <c r="H1580" s="1" t="s">
        <v>133</v>
      </c>
      <c r="I1580" s="1">
        <v>851.74</v>
      </c>
      <c r="J1580" s="1">
        <v>10</v>
      </c>
      <c r="K1580" s="1">
        <v>8517.4</v>
      </c>
      <c r="L1580" s="1">
        <v>0</v>
      </c>
      <c r="M1580" s="1">
        <v>0</v>
      </c>
      <c r="N1580" s="1">
        <v>8517.4</v>
      </c>
      <c r="O1580" s="1" t="s">
        <v>24</v>
      </c>
      <c r="P1580" s="1" t="s">
        <v>518</v>
      </c>
      <c r="Q1580" s="1">
        <v>4</v>
      </c>
      <c r="R1580" s="1">
        <f>Retail_Sales_Analyis[[#This Row],[Final_Price]]-Retail_Sales_Analyis[[#This Row],[Total_Price]]</f>
        <v>0</v>
      </c>
      <c r="S15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1" spans="1:19" x14ac:dyDescent="0.25">
      <c r="A1581" s="1" t="s">
        <v>2502</v>
      </c>
      <c r="B1581" s="2">
        <v>45345</v>
      </c>
      <c r="C1581" s="1" t="s">
        <v>27</v>
      </c>
      <c r="D1581" s="1" t="s">
        <v>144</v>
      </c>
      <c r="E1581" s="1" t="s">
        <v>77</v>
      </c>
      <c r="F1581" s="1" t="s">
        <v>21</v>
      </c>
      <c r="G1581" s="1" t="s">
        <v>85</v>
      </c>
      <c r="H1581" s="1" t="s">
        <v>98</v>
      </c>
      <c r="I1581" s="1">
        <v>4488.03</v>
      </c>
      <c r="J1581" s="1">
        <v>10</v>
      </c>
      <c r="K1581" s="1">
        <v>44880.3</v>
      </c>
      <c r="L1581" s="1">
        <v>20</v>
      </c>
      <c r="M1581" s="1">
        <v>8976.06</v>
      </c>
      <c r="N1581" s="1">
        <v>35904.239999999998</v>
      </c>
      <c r="O1581" s="1" t="s">
        <v>24</v>
      </c>
      <c r="P1581" s="1" t="s">
        <v>631</v>
      </c>
      <c r="Q1581" s="1">
        <v>1</v>
      </c>
      <c r="R1581" s="1">
        <f>Retail_Sales_Analyis[[#This Row],[Final_Price]]-Retail_Sales_Analyis[[#This Row],[Total_Price]]</f>
        <v>-8976.0600000000049</v>
      </c>
      <c r="S15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82" spans="1:19" x14ac:dyDescent="0.25">
      <c r="A1582" s="1" t="s">
        <v>2503</v>
      </c>
      <c r="B1582" s="2">
        <v>45587</v>
      </c>
      <c r="C1582" s="1" t="s">
        <v>76</v>
      </c>
      <c r="D1582" s="1" t="s">
        <v>28</v>
      </c>
      <c r="E1582" s="1" t="s">
        <v>83</v>
      </c>
      <c r="F1582" s="1" t="s">
        <v>30</v>
      </c>
      <c r="G1582" s="1" t="s">
        <v>85</v>
      </c>
      <c r="H1582" s="1" t="s">
        <v>90</v>
      </c>
      <c r="I1582" s="1">
        <v>3997.11</v>
      </c>
      <c r="J1582" s="1">
        <v>1</v>
      </c>
      <c r="K1582" s="1">
        <v>3997.11</v>
      </c>
      <c r="L1582" s="1">
        <v>0</v>
      </c>
      <c r="M1582" s="1">
        <v>0</v>
      </c>
      <c r="N1582" s="1">
        <v>3997.11</v>
      </c>
      <c r="O1582" s="1" t="s">
        <v>46</v>
      </c>
      <c r="P1582" s="1" t="s">
        <v>1174</v>
      </c>
      <c r="Q1582" s="1">
        <v>2</v>
      </c>
      <c r="R1582" s="1">
        <f>Retail_Sales_Analyis[[#This Row],[Final_Price]]-Retail_Sales_Analyis[[#This Row],[Total_Price]]</f>
        <v>0</v>
      </c>
      <c r="S15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3" spans="1:19" x14ac:dyDescent="0.25">
      <c r="A1583" s="1" t="s">
        <v>2504</v>
      </c>
      <c r="B1583" s="2">
        <v>45551</v>
      </c>
      <c r="C1583" s="1" t="s">
        <v>116</v>
      </c>
      <c r="D1583" s="1" t="s">
        <v>43</v>
      </c>
      <c r="E1583" s="1" t="s">
        <v>83</v>
      </c>
      <c r="F1583" s="1" t="s">
        <v>37</v>
      </c>
      <c r="G1583" s="1" t="s">
        <v>57</v>
      </c>
      <c r="H1583" s="1" t="s">
        <v>152</v>
      </c>
      <c r="I1583" s="1">
        <v>1913.82</v>
      </c>
      <c r="J1583" s="1">
        <v>4</v>
      </c>
      <c r="K1583" s="1">
        <v>7655.28</v>
      </c>
      <c r="L1583" s="1">
        <v>0</v>
      </c>
      <c r="M1583" s="1">
        <v>0</v>
      </c>
      <c r="N1583" s="1">
        <v>7655.28</v>
      </c>
      <c r="O1583" s="1" t="s">
        <v>80</v>
      </c>
      <c r="P1583" s="1" t="s">
        <v>159</v>
      </c>
      <c r="Q1583" s="1">
        <v>4</v>
      </c>
      <c r="R1583" s="1">
        <f>Retail_Sales_Analyis[[#This Row],[Final_Price]]-Retail_Sales_Analyis[[#This Row],[Total_Price]]</f>
        <v>0</v>
      </c>
      <c r="S15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4" spans="1:19" x14ac:dyDescent="0.25">
      <c r="A1584" s="1" t="s">
        <v>2505</v>
      </c>
      <c r="B1584" s="2">
        <v>45400</v>
      </c>
      <c r="C1584" s="1" t="s">
        <v>54</v>
      </c>
      <c r="D1584" s="1" t="s">
        <v>67</v>
      </c>
      <c r="E1584" s="1" t="s">
        <v>328</v>
      </c>
      <c r="F1584" s="1" t="s">
        <v>21</v>
      </c>
      <c r="G1584" s="1" t="s">
        <v>31</v>
      </c>
      <c r="H1584" s="1" t="s">
        <v>329</v>
      </c>
      <c r="I1584" s="1">
        <v>323.91000000000003</v>
      </c>
      <c r="J1584" s="1">
        <v>2</v>
      </c>
      <c r="K1584" s="1">
        <v>647.82000000000005</v>
      </c>
      <c r="L1584" s="1">
        <v>0</v>
      </c>
      <c r="M1584" s="1">
        <v>0</v>
      </c>
      <c r="N1584" s="1">
        <v>647.82000000000005</v>
      </c>
      <c r="O1584" s="1" t="s">
        <v>33</v>
      </c>
      <c r="P1584" s="1" t="s">
        <v>942</v>
      </c>
      <c r="Q1584" s="1">
        <v>1</v>
      </c>
      <c r="R1584" s="1">
        <f>Retail_Sales_Analyis[[#This Row],[Final_Price]]-Retail_Sales_Analyis[[#This Row],[Total_Price]]</f>
        <v>0</v>
      </c>
      <c r="S15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5" spans="1:19" x14ac:dyDescent="0.25">
      <c r="A1585" s="1" t="s">
        <v>2506</v>
      </c>
      <c r="B1585" s="2">
        <v>45371</v>
      </c>
      <c r="C1585" s="1" t="s">
        <v>61</v>
      </c>
      <c r="D1585" s="1" t="s">
        <v>55</v>
      </c>
      <c r="E1585" s="1" t="s">
        <v>56</v>
      </c>
      <c r="F1585" s="1" t="s">
        <v>21</v>
      </c>
      <c r="G1585" s="1" t="s">
        <v>85</v>
      </c>
      <c r="H1585" s="1" t="s">
        <v>297</v>
      </c>
      <c r="I1585" s="1">
        <v>1828.98</v>
      </c>
      <c r="J1585" s="1">
        <v>2</v>
      </c>
      <c r="K1585" s="1">
        <v>3657.96</v>
      </c>
      <c r="L1585" s="1">
        <v>20</v>
      </c>
      <c r="M1585" s="1">
        <v>731.59</v>
      </c>
      <c r="N1585" s="1">
        <v>2926.37</v>
      </c>
      <c r="O1585" s="1" t="s">
        <v>33</v>
      </c>
      <c r="P1585" s="1" t="s">
        <v>588</v>
      </c>
      <c r="Q1585" s="1">
        <v>4</v>
      </c>
      <c r="R1585" s="1">
        <f>Retail_Sales_Analyis[[#This Row],[Final_Price]]-Retail_Sales_Analyis[[#This Row],[Total_Price]]</f>
        <v>-731.59000000000015</v>
      </c>
      <c r="S158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86" spans="1:19" x14ac:dyDescent="0.25">
      <c r="A1586" s="1" t="s">
        <v>2507</v>
      </c>
      <c r="B1586" s="2">
        <v>45628</v>
      </c>
      <c r="C1586" s="1" t="s">
        <v>73</v>
      </c>
      <c r="D1586" s="1" t="s">
        <v>43</v>
      </c>
      <c r="E1586" s="1" t="s">
        <v>207</v>
      </c>
      <c r="F1586" s="1" t="s">
        <v>37</v>
      </c>
      <c r="G1586" s="1" t="s">
        <v>169</v>
      </c>
      <c r="H1586" s="1" t="s">
        <v>170</v>
      </c>
      <c r="I1586" s="1">
        <v>1225.6500000000001</v>
      </c>
      <c r="J1586" s="1">
        <v>2</v>
      </c>
      <c r="K1586" s="1">
        <v>2451.3000000000002</v>
      </c>
      <c r="L1586" s="1">
        <v>0</v>
      </c>
      <c r="M1586" s="1">
        <v>0</v>
      </c>
      <c r="N1586" s="1">
        <v>2451.3000000000002</v>
      </c>
      <c r="O1586" s="1" t="s">
        <v>24</v>
      </c>
      <c r="P1586" s="1" t="s">
        <v>953</v>
      </c>
      <c r="Q1586" s="1">
        <v>4</v>
      </c>
      <c r="R1586" s="1">
        <f>Retail_Sales_Analyis[[#This Row],[Final_Price]]-Retail_Sales_Analyis[[#This Row],[Total_Price]]</f>
        <v>0</v>
      </c>
      <c r="S15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87" spans="1:19" x14ac:dyDescent="0.25">
      <c r="A1587" s="1" t="s">
        <v>2508</v>
      </c>
      <c r="B1587" s="2">
        <v>45538</v>
      </c>
      <c r="C1587" s="1" t="s">
        <v>116</v>
      </c>
      <c r="D1587" s="1" t="s">
        <v>28</v>
      </c>
      <c r="E1587" s="1" t="s">
        <v>104</v>
      </c>
      <c r="F1587" s="1" t="s">
        <v>84</v>
      </c>
      <c r="G1587" s="1" t="s">
        <v>85</v>
      </c>
      <c r="H1587" s="1" t="s">
        <v>297</v>
      </c>
      <c r="I1587" s="1">
        <v>1483.83</v>
      </c>
      <c r="J1587" s="1">
        <v>1</v>
      </c>
      <c r="K1587" s="1">
        <v>1483.83</v>
      </c>
      <c r="L1587" s="1">
        <v>5</v>
      </c>
      <c r="M1587" s="1">
        <v>74.19</v>
      </c>
      <c r="N1587" s="1">
        <v>1409.64</v>
      </c>
      <c r="O1587" s="1" t="s">
        <v>64</v>
      </c>
      <c r="P1587" s="1" t="s">
        <v>1652</v>
      </c>
      <c r="Q1587" s="1">
        <v>3</v>
      </c>
      <c r="R1587" s="1">
        <f>Retail_Sales_Analyis[[#This Row],[Final_Price]]-Retail_Sales_Analyis[[#This Row],[Total_Price]]</f>
        <v>-74.189999999999827</v>
      </c>
      <c r="S15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88" spans="1:19" x14ac:dyDescent="0.25">
      <c r="A1588" s="1" t="s">
        <v>2509</v>
      </c>
      <c r="B1588" s="2">
        <v>45406</v>
      </c>
      <c r="C1588" s="1" t="s">
        <v>54</v>
      </c>
      <c r="D1588" s="1" t="s">
        <v>55</v>
      </c>
      <c r="E1588" s="1" t="s">
        <v>94</v>
      </c>
      <c r="F1588" s="1" t="s">
        <v>84</v>
      </c>
      <c r="G1588" s="1" t="s">
        <v>31</v>
      </c>
      <c r="H1588" s="1" t="s">
        <v>250</v>
      </c>
      <c r="I1588" s="1">
        <v>139.08000000000001</v>
      </c>
      <c r="J1588" s="1">
        <v>10</v>
      </c>
      <c r="K1588" s="1">
        <v>1390.8</v>
      </c>
      <c r="L1588" s="1">
        <v>15</v>
      </c>
      <c r="M1588" s="1">
        <v>208.62</v>
      </c>
      <c r="N1588" s="1">
        <v>1182.18</v>
      </c>
      <c r="O1588" s="1" t="s">
        <v>64</v>
      </c>
      <c r="P1588" s="1" t="s">
        <v>1282</v>
      </c>
      <c r="Q1588" s="1">
        <v>1</v>
      </c>
      <c r="R1588" s="1">
        <f>Retail_Sales_Analyis[[#This Row],[Final_Price]]-Retail_Sales_Analyis[[#This Row],[Total_Price]]</f>
        <v>-208.61999999999989</v>
      </c>
      <c r="S15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89" spans="1:19" x14ac:dyDescent="0.25">
      <c r="A1589" s="1" t="s">
        <v>2510</v>
      </c>
      <c r="B1589" s="2">
        <v>45347</v>
      </c>
      <c r="C1589" s="1" t="s">
        <v>27</v>
      </c>
      <c r="D1589" s="1" t="s">
        <v>49</v>
      </c>
      <c r="E1589" s="1" t="s">
        <v>20</v>
      </c>
      <c r="F1589" s="1" t="s">
        <v>30</v>
      </c>
      <c r="G1589" s="1" t="s">
        <v>22</v>
      </c>
      <c r="H1589" s="1" t="s">
        <v>51</v>
      </c>
      <c r="I1589" s="1">
        <v>469.85</v>
      </c>
      <c r="J1589" s="1">
        <v>9</v>
      </c>
      <c r="K1589" s="1">
        <v>4228.6499999999996</v>
      </c>
      <c r="L1589" s="1">
        <v>0</v>
      </c>
      <c r="M1589" s="1">
        <v>0</v>
      </c>
      <c r="N1589" s="1">
        <v>4228.6499999999996</v>
      </c>
      <c r="O1589" s="1" t="s">
        <v>64</v>
      </c>
      <c r="P1589" s="1" t="s">
        <v>2511</v>
      </c>
      <c r="Q1589" s="1">
        <v>4</v>
      </c>
      <c r="R1589" s="1">
        <f>Retail_Sales_Analyis[[#This Row],[Final_Price]]-Retail_Sales_Analyis[[#This Row],[Total_Price]]</f>
        <v>0</v>
      </c>
      <c r="S15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90" spans="1:19" x14ac:dyDescent="0.25">
      <c r="A1590" s="1" t="s">
        <v>2512</v>
      </c>
      <c r="B1590" s="2">
        <v>45471</v>
      </c>
      <c r="C1590" s="1" t="s">
        <v>173</v>
      </c>
      <c r="D1590" s="1" t="s">
        <v>144</v>
      </c>
      <c r="E1590" s="1" t="s">
        <v>94</v>
      </c>
      <c r="F1590" s="1" t="s">
        <v>37</v>
      </c>
      <c r="G1590" s="1" t="s">
        <v>169</v>
      </c>
      <c r="H1590" s="1" t="s">
        <v>366</v>
      </c>
      <c r="I1590" s="1">
        <v>1217.23</v>
      </c>
      <c r="J1590" s="1">
        <v>5</v>
      </c>
      <c r="K1590" s="1">
        <v>6086.15</v>
      </c>
      <c r="L1590" s="1">
        <v>0</v>
      </c>
      <c r="M1590" s="1">
        <v>0</v>
      </c>
      <c r="N1590" s="1">
        <v>6086.15</v>
      </c>
      <c r="O1590" s="1" t="s">
        <v>24</v>
      </c>
      <c r="P1590" s="1" t="s">
        <v>1807</v>
      </c>
      <c r="Q1590" s="1">
        <v>1</v>
      </c>
      <c r="R1590" s="1">
        <f>Retail_Sales_Analyis[[#This Row],[Final_Price]]-Retail_Sales_Analyis[[#This Row],[Total_Price]]</f>
        <v>0</v>
      </c>
      <c r="S15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91" spans="1:19" x14ac:dyDescent="0.25">
      <c r="A1591" s="1" t="s">
        <v>2513</v>
      </c>
      <c r="B1591" s="2">
        <v>45576</v>
      </c>
      <c r="C1591" s="1" t="s">
        <v>76</v>
      </c>
      <c r="D1591" s="1" t="s">
        <v>144</v>
      </c>
      <c r="E1591" s="1" t="s">
        <v>104</v>
      </c>
      <c r="F1591" s="1" t="s">
        <v>30</v>
      </c>
      <c r="G1591" s="1" t="s">
        <v>22</v>
      </c>
      <c r="H1591" s="1" t="s">
        <v>187</v>
      </c>
      <c r="I1591" s="1">
        <v>312.49</v>
      </c>
      <c r="J1591" s="1">
        <v>6</v>
      </c>
      <c r="K1591" s="1">
        <v>1874.94</v>
      </c>
      <c r="L1591" s="1">
        <v>20</v>
      </c>
      <c r="M1591" s="1">
        <v>374.99</v>
      </c>
      <c r="N1591" s="1">
        <v>1499.95</v>
      </c>
      <c r="O1591" s="1" t="s">
        <v>24</v>
      </c>
      <c r="P1591" s="1" t="s">
        <v>200</v>
      </c>
      <c r="Q1591" s="1">
        <v>5</v>
      </c>
      <c r="R1591" s="1">
        <f>Retail_Sales_Analyis[[#This Row],[Final_Price]]-Retail_Sales_Analyis[[#This Row],[Total_Price]]</f>
        <v>-374.99</v>
      </c>
      <c r="S15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92" spans="1:19" x14ac:dyDescent="0.25">
      <c r="A1592" s="1" t="s">
        <v>2514</v>
      </c>
      <c r="B1592" s="2">
        <v>45480</v>
      </c>
      <c r="C1592" s="1" t="s">
        <v>195</v>
      </c>
      <c r="D1592" s="1" t="s">
        <v>49</v>
      </c>
      <c r="E1592" s="1" t="s">
        <v>168</v>
      </c>
      <c r="F1592" s="1" t="s">
        <v>30</v>
      </c>
      <c r="G1592" s="1" t="s">
        <v>85</v>
      </c>
      <c r="H1592" s="1" t="s">
        <v>90</v>
      </c>
      <c r="I1592" s="1">
        <v>2146.85</v>
      </c>
      <c r="J1592" s="1">
        <v>3</v>
      </c>
      <c r="K1592" s="1">
        <v>6440.55</v>
      </c>
      <c r="L1592" s="1">
        <v>0</v>
      </c>
      <c r="M1592" s="1">
        <v>0</v>
      </c>
      <c r="N1592" s="1">
        <v>6440.55</v>
      </c>
      <c r="O1592" s="1" t="s">
        <v>80</v>
      </c>
      <c r="P1592" s="1" t="s">
        <v>1000</v>
      </c>
      <c r="Q1592" s="1">
        <v>2</v>
      </c>
      <c r="R1592" s="1">
        <f>Retail_Sales_Analyis[[#This Row],[Final_Price]]-Retail_Sales_Analyis[[#This Row],[Total_Price]]</f>
        <v>0</v>
      </c>
      <c r="S15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93" spans="1:19" x14ac:dyDescent="0.25">
      <c r="A1593" s="1" t="s">
        <v>2515</v>
      </c>
      <c r="B1593" s="2">
        <v>45350</v>
      </c>
      <c r="C1593" s="1" t="s">
        <v>27</v>
      </c>
      <c r="D1593" s="1" t="s">
        <v>55</v>
      </c>
      <c r="E1593" s="1" t="s">
        <v>97</v>
      </c>
      <c r="F1593" s="1" t="s">
        <v>84</v>
      </c>
      <c r="G1593" s="1" t="s">
        <v>78</v>
      </c>
      <c r="H1593" s="1" t="s">
        <v>136</v>
      </c>
      <c r="I1593" s="1">
        <v>527.84</v>
      </c>
      <c r="J1593" s="1">
        <v>2</v>
      </c>
      <c r="K1593" s="1">
        <v>1055.68</v>
      </c>
      <c r="L1593" s="1">
        <v>20</v>
      </c>
      <c r="M1593" s="1">
        <v>211.14</v>
      </c>
      <c r="N1593" s="1">
        <v>844.54</v>
      </c>
      <c r="O1593" s="1" t="s">
        <v>24</v>
      </c>
      <c r="P1593" s="1" t="s">
        <v>560</v>
      </c>
      <c r="Q1593" s="1">
        <v>2</v>
      </c>
      <c r="R1593" s="1">
        <f>Retail_Sales_Analyis[[#This Row],[Final_Price]]-Retail_Sales_Analyis[[#This Row],[Total_Price]]</f>
        <v>-211.1400000000001</v>
      </c>
      <c r="S15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594" spans="1:19" x14ac:dyDescent="0.25">
      <c r="A1594" s="1" t="s">
        <v>2516</v>
      </c>
      <c r="B1594" s="2">
        <v>45434</v>
      </c>
      <c r="C1594" s="1" t="s">
        <v>42</v>
      </c>
      <c r="D1594" s="1" t="s">
        <v>55</v>
      </c>
      <c r="E1594" s="1" t="s">
        <v>125</v>
      </c>
      <c r="F1594" s="1" t="s">
        <v>69</v>
      </c>
      <c r="G1594" s="1" t="s">
        <v>78</v>
      </c>
      <c r="H1594" s="1" t="s">
        <v>146</v>
      </c>
      <c r="I1594" s="1">
        <v>500.65</v>
      </c>
      <c r="J1594" s="1">
        <v>10</v>
      </c>
      <c r="K1594" s="1">
        <v>5006.5</v>
      </c>
      <c r="L1594" s="1">
        <v>5</v>
      </c>
      <c r="M1594" s="1">
        <v>250.33</v>
      </c>
      <c r="N1594" s="1">
        <v>4756.17</v>
      </c>
      <c r="O1594" s="1" t="s">
        <v>24</v>
      </c>
      <c r="P1594" s="1" t="s">
        <v>1257</v>
      </c>
      <c r="Q1594" s="1">
        <v>1</v>
      </c>
      <c r="R1594" s="1">
        <f>Retail_Sales_Analyis[[#This Row],[Final_Price]]-Retail_Sales_Analyis[[#This Row],[Total_Price]]</f>
        <v>-250.32999999999993</v>
      </c>
      <c r="S159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95" spans="1:19" x14ac:dyDescent="0.25">
      <c r="A1595" s="1" t="s">
        <v>2517</v>
      </c>
      <c r="B1595" s="2">
        <v>45585</v>
      </c>
      <c r="C1595" s="1" t="s">
        <v>76</v>
      </c>
      <c r="D1595" s="1" t="s">
        <v>49</v>
      </c>
      <c r="E1595" s="1" t="s">
        <v>307</v>
      </c>
      <c r="F1595" s="1" t="s">
        <v>69</v>
      </c>
      <c r="G1595" s="1" t="s">
        <v>85</v>
      </c>
      <c r="H1595" s="1" t="s">
        <v>180</v>
      </c>
      <c r="I1595" s="1">
        <v>1763.03</v>
      </c>
      <c r="J1595" s="1">
        <v>6</v>
      </c>
      <c r="K1595" s="1">
        <v>10578.18</v>
      </c>
      <c r="L1595" s="1">
        <v>10</v>
      </c>
      <c r="M1595" s="1">
        <v>1057.82</v>
      </c>
      <c r="N1595" s="1">
        <v>9520.36</v>
      </c>
      <c r="O1595" s="1" t="s">
        <v>46</v>
      </c>
      <c r="P1595" s="1" t="s">
        <v>2518</v>
      </c>
      <c r="Q1595" s="1">
        <v>5</v>
      </c>
      <c r="R1595" s="1">
        <f>Retail_Sales_Analyis[[#This Row],[Final_Price]]-Retail_Sales_Analyis[[#This Row],[Total_Price]]</f>
        <v>-1057.8199999999997</v>
      </c>
      <c r="S15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596" spans="1:19" x14ac:dyDescent="0.25">
      <c r="A1596" s="1" t="s">
        <v>2519</v>
      </c>
      <c r="B1596" s="2">
        <v>45407</v>
      </c>
      <c r="C1596" s="1" t="s">
        <v>54</v>
      </c>
      <c r="D1596" s="1" t="s">
        <v>67</v>
      </c>
      <c r="E1596" s="1" t="s">
        <v>107</v>
      </c>
      <c r="F1596" s="1" t="s">
        <v>69</v>
      </c>
      <c r="G1596" s="1" t="s">
        <v>85</v>
      </c>
      <c r="H1596" s="1" t="s">
        <v>98</v>
      </c>
      <c r="I1596" s="1">
        <v>4385.37</v>
      </c>
      <c r="J1596" s="1">
        <v>5</v>
      </c>
      <c r="K1596" s="1">
        <v>21926.85</v>
      </c>
      <c r="L1596" s="1">
        <v>0</v>
      </c>
      <c r="M1596" s="1">
        <v>0</v>
      </c>
      <c r="N1596" s="1">
        <v>21926.85</v>
      </c>
      <c r="O1596" s="1" t="s">
        <v>64</v>
      </c>
      <c r="P1596" s="1" t="s">
        <v>2520</v>
      </c>
      <c r="Q1596" s="1">
        <v>1</v>
      </c>
      <c r="R1596" s="1">
        <f>Retail_Sales_Analyis[[#This Row],[Final_Price]]-Retail_Sales_Analyis[[#This Row],[Total_Price]]</f>
        <v>0</v>
      </c>
      <c r="S15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97" spans="1:19" x14ac:dyDescent="0.25">
      <c r="A1597" s="1" t="s">
        <v>2521</v>
      </c>
      <c r="B1597" s="2">
        <v>45511</v>
      </c>
      <c r="C1597" s="1" t="s">
        <v>93</v>
      </c>
      <c r="D1597" s="1" t="s">
        <v>55</v>
      </c>
      <c r="E1597" s="1" t="s">
        <v>163</v>
      </c>
      <c r="F1597" s="1" t="s">
        <v>69</v>
      </c>
      <c r="G1597" s="1" t="s">
        <v>112</v>
      </c>
      <c r="H1597" s="1" t="s">
        <v>288</v>
      </c>
      <c r="I1597" s="1">
        <v>684.67</v>
      </c>
      <c r="J1597" s="1">
        <v>10</v>
      </c>
      <c r="K1597" s="1">
        <v>6846.7</v>
      </c>
      <c r="L1597" s="1">
        <v>0</v>
      </c>
      <c r="M1597" s="1">
        <v>0</v>
      </c>
      <c r="N1597" s="1">
        <v>6846.7</v>
      </c>
      <c r="O1597" s="1" t="s">
        <v>33</v>
      </c>
      <c r="P1597" s="1" t="s">
        <v>1559</v>
      </c>
      <c r="Q1597" s="1">
        <v>2</v>
      </c>
      <c r="R1597" s="1">
        <f>Retail_Sales_Analyis[[#This Row],[Final_Price]]-Retail_Sales_Analyis[[#This Row],[Total_Price]]</f>
        <v>0</v>
      </c>
      <c r="S15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598" spans="1:19" x14ac:dyDescent="0.25">
      <c r="A1598" s="1" t="s">
        <v>2522</v>
      </c>
      <c r="B1598" s="2">
        <v>45579</v>
      </c>
      <c r="C1598" s="1" t="s">
        <v>76</v>
      </c>
      <c r="D1598" s="1" t="s">
        <v>43</v>
      </c>
      <c r="E1598" s="1" t="s">
        <v>302</v>
      </c>
      <c r="F1598" s="1" t="s">
        <v>84</v>
      </c>
      <c r="G1598" s="1" t="s">
        <v>112</v>
      </c>
      <c r="H1598" s="1" t="s">
        <v>113</v>
      </c>
      <c r="I1598" s="1">
        <v>1398.6</v>
      </c>
      <c r="J1598" s="1">
        <v>1</v>
      </c>
      <c r="K1598" s="1">
        <v>1398.6</v>
      </c>
      <c r="L1598" s="1">
        <v>5</v>
      </c>
      <c r="M1598" s="1">
        <v>69.930000000000007</v>
      </c>
      <c r="N1598" s="1">
        <v>1328.67</v>
      </c>
      <c r="O1598" s="1" t="s">
        <v>24</v>
      </c>
      <c r="P1598" s="1" t="s">
        <v>695</v>
      </c>
      <c r="Q1598" s="1">
        <v>4</v>
      </c>
      <c r="R1598" s="1">
        <f>Retail_Sales_Analyis[[#This Row],[Final_Price]]-Retail_Sales_Analyis[[#This Row],[Total_Price]]</f>
        <v>-69.929999999999836</v>
      </c>
      <c r="S15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599" spans="1:19" x14ac:dyDescent="0.25">
      <c r="A1599" s="1" t="s">
        <v>2523</v>
      </c>
      <c r="B1599" s="2">
        <v>45610</v>
      </c>
      <c r="C1599" s="1" t="s">
        <v>18</v>
      </c>
      <c r="D1599" s="1" t="s">
        <v>67</v>
      </c>
      <c r="E1599" s="1" t="s">
        <v>166</v>
      </c>
      <c r="F1599" s="1" t="s">
        <v>30</v>
      </c>
      <c r="G1599" s="1" t="s">
        <v>22</v>
      </c>
      <c r="H1599" s="1" t="s">
        <v>23</v>
      </c>
      <c r="I1599" s="1">
        <v>303.99</v>
      </c>
      <c r="J1599" s="1">
        <v>5</v>
      </c>
      <c r="K1599" s="1">
        <v>1519.95</v>
      </c>
      <c r="L1599" s="1">
        <v>10</v>
      </c>
      <c r="M1599" s="1">
        <v>152</v>
      </c>
      <c r="N1599" s="1">
        <v>1367.95</v>
      </c>
      <c r="O1599" s="1" t="s">
        <v>24</v>
      </c>
      <c r="P1599" s="1" t="s">
        <v>1242</v>
      </c>
      <c r="Q1599" s="1">
        <v>3</v>
      </c>
      <c r="R1599" s="1">
        <f>Retail_Sales_Analyis[[#This Row],[Final_Price]]-Retail_Sales_Analyis[[#This Row],[Total_Price]]</f>
        <v>-152</v>
      </c>
      <c r="S15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00" spans="1:19" x14ac:dyDescent="0.25">
      <c r="A1600" s="1" t="s">
        <v>2524</v>
      </c>
      <c r="B1600" s="2">
        <v>45606</v>
      </c>
      <c r="C1600" s="1" t="s">
        <v>18</v>
      </c>
      <c r="D1600" s="1" t="s">
        <v>49</v>
      </c>
      <c r="E1600" s="1" t="s">
        <v>322</v>
      </c>
      <c r="F1600" s="1" t="s">
        <v>37</v>
      </c>
      <c r="G1600" s="1" t="s">
        <v>85</v>
      </c>
      <c r="H1600" s="1" t="s">
        <v>297</v>
      </c>
      <c r="I1600" s="1">
        <v>1887.35</v>
      </c>
      <c r="J1600" s="1">
        <v>5</v>
      </c>
      <c r="K1600" s="1">
        <v>9436.75</v>
      </c>
      <c r="L1600" s="1">
        <v>0</v>
      </c>
      <c r="M1600" s="1">
        <v>0</v>
      </c>
      <c r="N1600" s="1">
        <v>9436.75</v>
      </c>
      <c r="O1600" s="1" t="s">
        <v>64</v>
      </c>
      <c r="P1600" s="1" t="s">
        <v>515</v>
      </c>
      <c r="Q1600" s="1">
        <v>1</v>
      </c>
      <c r="R1600" s="1">
        <f>Retail_Sales_Analyis[[#This Row],[Final_Price]]-Retail_Sales_Analyis[[#This Row],[Total_Price]]</f>
        <v>0</v>
      </c>
      <c r="S16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01" spans="1:19" x14ac:dyDescent="0.25">
      <c r="A1601" s="1" t="s">
        <v>2525</v>
      </c>
      <c r="B1601" s="2">
        <v>45637</v>
      </c>
      <c r="C1601" s="1" t="s">
        <v>73</v>
      </c>
      <c r="D1601" s="1" t="s">
        <v>55</v>
      </c>
      <c r="E1601" s="1" t="s">
        <v>302</v>
      </c>
      <c r="F1601" s="1" t="s">
        <v>30</v>
      </c>
      <c r="G1601" s="1" t="s">
        <v>78</v>
      </c>
      <c r="H1601" s="1" t="s">
        <v>136</v>
      </c>
      <c r="I1601" s="1">
        <v>580.47</v>
      </c>
      <c r="J1601" s="1">
        <v>10</v>
      </c>
      <c r="K1601" s="1">
        <v>5804.7</v>
      </c>
      <c r="L1601" s="1">
        <v>20</v>
      </c>
      <c r="M1601" s="1">
        <v>1160.94</v>
      </c>
      <c r="N1601" s="1">
        <v>4643.76</v>
      </c>
      <c r="O1601" s="1" t="s">
        <v>33</v>
      </c>
      <c r="P1601" s="1" t="s">
        <v>2526</v>
      </c>
      <c r="Q1601" s="1">
        <v>3</v>
      </c>
      <c r="R1601" s="1">
        <f>Retail_Sales_Analyis[[#This Row],[Final_Price]]-Retail_Sales_Analyis[[#This Row],[Total_Price]]</f>
        <v>-1160.9399999999996</v>
      </c>
      <c r="S16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02" spans="1:19" x14ac:dyDescent="0.25">
      <c r="A1602" s="1" t="s">
        <v>2527</v>
      </c>
      <c r="B1602" s="2">
        <v>45621</v>
      </c>
      <c r="C1602" s="1" t="s">
        <v>18</v>
      </c>
      <c r="D1602" s="1" t="s">
        <v>43</v>
      </c>
      <c r="E1602" s="1" t="s">
        <v>129</v>
      </c>
      <c r="F1602" s="1" t="s">
        <v>21</v>
      </c>
      <c r="G1602" s="1" t="s">
        <v>169</v>
      </c>
      <c r="H1602" s="1" t="s">
        <v>175</v>
      </c>
      <c r="I1602" s="1">
        <v>831.37</v>
      </c>
      <c r="J1602" s="1">
        <v>6</v>
      </c>
      <c r="K1602" s="1">
        <v>4988.22</v>
      </c>
      <c r="L1602" s="1">
        <v>0</v>
      </c>
      <c r="M1602" s="1">
        <v>0</v>
      </c>
      <c r="N1602" s="1">
        <v>4988.22</v>
      </c>
      <c r="O1602" s="1" t="s">
        <v>46</v>
      </c>
      <c r="P1602" s="1" t="s">
        <v>2143</v>
      </c>
      <c r="Q1602" s="1">
        <v>4</v>
      </c>
      <c r="R1602" s="1">
        <f>Retail_Sales_Analyis[[#This Row],[Final_Price]]-Retail_Sales_Analyis[[#This Row],[Total_Price]]</f>
        <v>0</v>
      </c>
      <c r="S16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03" spans="1:19" x14ac:dyDescent="0.25">
      <c r="A1603" s="1" t="s">
        <v>2528</v>
      </c>
      <c r="B1603" s="2">
        <v>45577</v>
      </c>
      <c r="C1603" s="1" t="s">
        <v>76</v>
      </c>
      <c r="D1603" s="1" t="s">
        <v>19</v>
      </c>
      <c r="E1603" s="1" t="s">
        <v>322</v>
      </c>
      <c r="F1603" s="1" t="s">
        <v>37</v>
      </c>
      <c r="G1603" s="1" t="s">
        <v>31</v>
      </c>
      <c r="H1603" s="1" t="s">
        <v>329</v>
      </c>
      <c r="I1603" s="1">
        <v>111.59</v>
      </c>
      <c r="J1603" s="1">
        <v>5</v>
      </c>
      <c r="K1603" s="1">
        <v>557.95000000000005</v>
      </c>
      <c r="L1603" s="1">
        <v>5</v>
      </c>
      <c r="M1603" s="1">
        <v>27.9</v>
      </c>
      <c r="N1603" s="1">
        <v>530.04999999999995</v>
      </c>
      <c r="O1603" s="1" t="s">
        <v>33</v>
      </c>
      <c r="P1603" s="1" t="s">
        <v>574</v>
      </c>
      <c r="Q1603" s="1">
        <v>1</v>
      </c>
      <c r="R1603" s="1">
        <f>Retail_Sales_Analyis[[#This Row],[Final_Price]]-Retail_Sales_Analyis[[#This Row],[Total_Price]]</f>
        <v>-27.900000000000091</v>
      </c>
      <c r="S16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04" spans="1:19" x14ac:dyDescent="0.25">
      <c r="A1604" s="1" t="s">
        <v>2529</v>
      </c>
      <c r="B1604" s="2">
        <v>45305</v>
      </c>
      <c r="C1604" s="1" t="s">
        <v>36</v>
      </c>
      <c r="D1604" s="1" t="s">
        <v>49</v>
      </c>
      <c r="E1604" s="1" t="s">
        <v>337</v>
      </c>
      <c r="F1604" s="1" t="s">
        <v>69</v>
      </c>
      <c r="G1604" s="1" t="s">
        <v>112</v>
      </c>
      <c r="H1604" s="1" t="s">
        <v>223</v>
      </c>
      <c r="I1604" s="1">
        <v>1695.89</v>
      </c>
      <c r="J1604" s="1">
        <v>9</v>
      </c>
      <c r="K1604" s="1">
        <v>15263.01</v>
      </c>
      <c r="L1604" s="1">
        <v>0</v>
      </c>
      <c r="M1604" s="1">
        <v>0</v>
      </c>
      <c r="N1604" s="1">
        <v>15263.01</v>
      </c>
      <c r="O1604" s="1" t="s">
        <v>24</v>
      </c>
      <c r="P1604" s="1" t="s">
        <v>1495</v>
      </c>
      <c r="Q1604" s="1">
        <v>2</v>
      </c>
      <c r="R1604" s="1">
        <f>Retail_Sales_Analyis[[#This Row],[Final_Price]]-Retail_Sales_Analyis[[#This Row],[Total_Price]]</f>
        <v>0</v>
      </c>
      <c r="S16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05" spans="1:19" x14ac:dyDescent="0.25">
      <c r="A1605" s="1" t="s">
        <v>2530</v>
      </c>
      <c r="B1605" s="2">
        <v>45603</v>
      </c>
      <c r="C1605" s="1" t="s">
        <v>18</v>
      </c>
      <c r="D1605" s="1" t="s">
        <v>67</v>
      </c>
      <c r="E1605" s="1" t="s">
        <v>236</v>
      </c>
      <c r="F1605" s="1" t="s">
        <v>69</v>
      </c>
      <c r="G1605" s="1" t="s">
        <v>57</v>
      </c>
      <c r="H1605" s="1" t="s">
        <v>152</v>
      </c>
      <c r="I1605" s="1">
        <v>1458.11</v>
      </c>
      <c r="J1605" s="1">
        <v>5</v>
      </c>
      <c r="K1605" s="1">
        <v>7290.55</v>
      </c>
      <c r="L1605" s="1">
        <v>20</v>
      </c>
      <c r="M1605" s="1">
        <v>1458.11</v>
      </c>
      <c r="N1605" s="1">
        <v>5832.44</v>
      </c>
      <c r="O1605" s="1" t="s">
        <v>24</v>
      </c>
      <c r="P1605" s="1" t="s">
        <v>1506</v>
      </c>
      <c r="Q1605" s="1">
        <v>4</v>
      </c>
      <c r="R1605" s="1">
        <f>Retail_Sales_Analyis[[#This Row],[Final_Price]]-Retail_Sales_Analyis[[#This Row],[Total_Price]]</f>
        <v>-1458.1100000000006</v>
      </c>
      <c r="S16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06" spans="1:19" x14ac:dyDescent="0.25">
      <c r="A1606" s="1" t="s">
        <v>2531</v>
      </c>
      <c r="B1606" s="2">
        <v>45628</v>
      </c>
      <c r="C1606" s="1" t="s">
        <v>73</v>
      </c>
      <c r="D1606" s="1" t="s">
        <v>43</v>
      </c>
      <c r="E1606" s="1" t="s">
        <v>542</v>
      </c>
      <c r="F1606" s="1" t="s">
        <v>21</v>
      </c>
      <c r="G1606" s="1" t="s">
        <v>112</v>
      </c>
      <c r="H1606" s="1" t="s">
        <v>183</v>
      </c>
      <c r="I1606" s="1">
        <v>519.69000000000005</v>
      </c>
      <c r="J1606" s="1">
        <v>2</v>
      </c>
      <c r="K1606" s="1">
        <v>1039.3800000000001</v>
      </c>
      <c r="L1606" s="1">
        <v>20</v>
      </c>
      <c r="M1606" s="1">
        <v>207.88</v>
      </c>
      <c r="N1606" s="1">
        <v>831.5</v>
      </c>
      <c r="O1606" s="1" t="s">
        <v>46</v>
      </c>
      <c r="P1606" s="1" t="s">
        <v>659</v>
      </c>
      <c r="Q1606" s="1">
        <v>4</v>
      </c>
      <c r="R1606" s="1">
        <f>Retail_Sales_Analyis[[#This Row],[Final_Price]]-Retail_Sales_Analyis[[#This Row],[Total_Price]]</f>
        <v>-207.88000000000011</v>
      </c>
      <c r="S16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07" spans="1:19" x14ac:dyDescent="0.25">
      <c r="A1607" s="1" t="s">
        <v>2532</v>
      </c>
      <c r="B1607" s="2">
        <v>45647</v>
      </c>
      <c r="C1607" s="1" t="s">
        <v>73</v>
      </c>
      <c r="D1607" s="1" t="s">
        <v>19</v>
      </c>
      <c r="E1607" s="1" t="s">
        <v>213</v>
      </c>
      <c r="F1607" s="1" t="s">
        <v>37</v>
      </c>
      <c r="G1607" s="1" t="s">
        <v>112</v>
      </c>
      <c r="H1607" s="1" t="s">
        <v>223</v>
      </c>
      <c r="I1607" s="1">
        <v>1961.3</v>
      </c>
      <c r="J1607" s="1">
        <v>1</v>
      </c>
      <c r="K1607" s="1">
        <v>1961.3</v>
      </c>
      <c r="L1607" s="1">
        <v>5</v>
      </c>
      <c r="M1607" s="1">
        <v>98.06</v>
      </c>
      <c r="N1607" s="1">
        <v>1863.24</v>
      </c>
      <c r="O1607" s="1" t="s">
        <v>24</v>
      </c>
      <c r="P1607" s="1" t="s">
        <v>255</v>
      </c>
      <c r="Q1607" s="1">
        <v>2</v>
      </c>
      <c r="R1607" s="1">
        <f>Retail_Sales_Analyis[[#This Row],[Final_Price]]-Retail_Sales_Analyis[[#This Row],[Total_Price]]</f>
        <v>-98.059999999999945</v>
      </c>
      <c r="S16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08" spans="1:19" x14ac:dyDescent="0.25">
      <c r="A1608" s="1" t="s">
        <v>2533</v>
      </c>
      <c r="B1608" s="2">
        <v>45428</v>
      </c>
      <c r="C1608" s="1" t="s">
        <v>42</v>
      </c>
      <c r="D1608" s="1" t="s">
        <v>67</v>
      </c>
      <c r="E1608" s="1" t="s">
        <v>239</v>
      </c>
      <c r="F1608" s="1" t="s">
        <v>37</v>
      </c>
      <c r="G1608" s="1" t="s">
        <v>31</v>
      </c>
      <c r="H1608" s="1" t="s">
        <v>329</v>
      </c>
      <c r="I1608" s="1">
        <v>160.93</v>
      </c>
      <c r="J1608" s="1">
        <v>8</v>
      </c>
      <c r="K1608" s="1">
        <v>1287.44</v>
      </c>
      <c r="L1608" s="1">
        <v>15</v>
      </c>
      <c r="M1608" s="1">
        <v>193.12</v>
      </c>
      <c r="N1608" s="1">
        <v>1094.32</v>
      </c>
      <c r="O1608" s="1" t="s">
        <v>64</v>
      </c>
      <c r="P1608" s="1" t="s">
        <v>1549</v>
      </c>
      <c r="Q1608" s="1">
        <v>3</v>
      </c>
      <c r="R1608" s="1">
        <f>Retail_Sales_Analyis[[#This Row],[Final_Price]]-Retail_Sales_Analyis[[#This Row],[Total_Price]]</f>
        <v>-193.12000000000012</v>
      </c>
      <c r="S16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09" spans="1:19" x14ac:dyDescent="0.25">
      <c r="A1609" s="1" t="s">
        <v>2534</v>
      </c>
      <c r="B1609" s="2">
        <v>45306</v>
      </c>
      <c r="C1609" s="1" t="s">
        <v>36</v>
      </c>
      <c r="D1609" s="1" t="s">
        <v>43</v>
      </c>
      <c r="E1609" s="1" t="s">
        <v>207</v>
      </c>
      <c r="F1609" s="1" t="s">
        <v>21</v>
      </c>
      <c r="G1609" s="1" t="s">
        <v>38</v>
      </c>
      <c r="H1609" s="1" t="s">
        <v>422</v>
      </c>
      <c r="I1609" s="1">
        <v>778.98</v>
      </c>
      <c r="J1609" s="1">
        <v>5</v>
      </c>
      <c r="K1609" s="1">
        <v>3894.9</v>
      </c>
      <c r="L1609" s="1">
        <v>5</v>
      </c>
      <c r="M1609" s="1">
        <v>194.75</v>
      </c>
      <c r="N1609" s="1">
        <v>3700.15</v>
      </c>
      <c r="O1609" s="1" t="s">
        <v>46</v>
      </c>
      <c r="P1609" s="1" t="s">
        <v>2535</v>
      </c>
      <c r="Q1609" s="1">
        <v>2</v>
      </c>
      <c r="R1609" s="1">
        <f>Retail_Sales_Analyis[[#This Row],[Final_Price]]-Retail_Sales_Analyis[[#This Row],[Total_Price]]</f>
        <v>-194.75</v>
      </c>
      <c r="S16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10" spans="1:19" x14ac:dyDescent="0.25">
      <c r="A1610" s="1" t="s">
        <v>2536</v>
      </c>
      <c r="B1610" s="2">
        <v>45384</v>
      </c>
      <c r="C1610" s="1" t="s">
        <v>54</v>
      </c>
      <c r="D1610" s="1" t="s">
        <v>28</v>
      </c>
      <c r="E1610" s="1" t="s">
        <v>139</v>
      </c>
      <c r="F1610" s="1" t="s">
        <v>30</v>
      </c>
      <c r="G1610" s="1" t="s">
        <v>57</v>
      </c>
      <c r="H1610" s="1" t="s">
        <v>152</v>
      </c>
      <c r="I1610" s="1">
        <v>248.8</v>
      </c>
      <c r="J1610" s="1">
        <v>7</v>
      </c>
      <c r="K1610" s="1">
        <v>1741.6</v>
      </c>
      <c r="L1610" s="1">
        <v>0</v>
      </c>
      <c r="M1610" s="1">
        <v>0</v>
      </c>
      <c r="N1610" s="1">
        <v>1741.6</v>
      </c>
      <c r="O1610" s="1" t="s">
        <v>46</v>
      </c>
      <c r="P1610" s="1" t="s">
        <v>1206</v>
      </c>
      <c r="Q1610" s="1">
        <v>5</v>
      </c>
      <c r="R1610" s="1">
        <f>Retail_Sales_Analyis[[#This Row],[Final_Price]]-Retail_Sales_Analyis[[#This Row],[Total_Price]]</f>
        <v>0</v>
      </c>
      <c r="S16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11" spans="1:19" x14ac:dyDescent="0.25">
      <c r="A1611" s="1" t="s">
        <v>2537</v>
      </c>
      <c r="B1611" s="2">
        <v>45431</v>
      </c>
      <c r="C1611" s="1" t="s">
        <v>42</v>
      </c>
      <c r="D1611" s="1" t="s">
        <v>49</v>
      </c>
      <c r="E1611" s="1" t="s">
        <v>163</v>
      </c>
      <c r="F1611" s="1" t="s">
        <v>37</v>
      </c>
      <c r="G1611" s="1" t="s">
        <v>22</v>
      </c>
      <c r="H1611" s="1" t="s">
        <v>51</v>
      </c>
      <c r="I1611" s="1">
        <v>676.93</v>
      </c>
      <c r="J1611" s="1">
        <v>8</v>
      </c>
      <c r="K1611" s="1">
        <v>5415.44</v>
      </c>
      <c r="L1611" s="1">
        <v>0</v>
      </c>
      <c r="M1611" s="1">
        <v>0</v>
      </c>
      <c r="N1611" s="1">
        <v>5415.44</v>
      </c>
      <c r="O1611" s="1" t="s">
        <v>64</v>
      </c>
      <c r="P1611" s="1" t="s">
        <v>1134</v>
      </c>
      <c r="Q1611" s="1">
        <v>1</v>
      </c>
      <c r="R1611" s="1">
        <f>Retail_Sales_Analyis[[#This Row],[Final_Price]]-Retail_Sales_Analyis[[#This Row],[Total_Price]]</f>
        <v>0</v>
      </c>
      <c r="S16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12" spans="1:19" x14ac:dyDescent="0.25">
      <c r="A1612" s="1" t="s">
        <v>2538</v>
      </c>
      <c r="B1612" s="2">
        <v>45651</v>
      </c>
      <c r="C1612" s="1" t="s">
        <v>73</v>
      </c>
      <c r="D1612" s="1" t="s">
        <v>55</v>
      </c>
      <c r="E1612" s="1" t="s">
        <v>302</v>
      </c>
      <c r="F1612" s="1" t="s">
        <v>69</v>
      </c>
      <c r="G1612" s="1" t="s">
        <v>57</v>
      </c>
      <c r="H1612" s="1" t="s">
        <v>101</v>
      </c>
      <c r="I1612" s="1">
        <v>1899.5</v>
      </c>
      <c r="J1612" s="1">
        <v>3</v>
      </c>
      <c r="K1612" s="1">
        <v>5698.5</v>
      </c>
      <c r="L1612" s="1">
        <v>20</v>
      </c>
      <c r="M1612" s="1">
        <v>1139.7</v>
      </c>
      <c r="N1612" s="1">
        <v>4558.8</v>
      </c>
      <c r="O1612" s="1" t="s">
        <v>33</v>
      </c>
      <c r="P1612" s="1" t="s">
        <v>354</v>
      </c>
      <c r="Q1612" s="1">
        <v>3</v>
      </c>
      <c r="R1612" s="1">
        <f>Retail_Sales_Analyis[[#This Row],[Final_Price]]-Retail_Sales_Analyis[[#This Row],[Total_Price]]</f>
        <v>-1139.6999999999998</v>
      </c>
      <c r="S16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13" spans="1:19" x14ac:dyDescent="0.25">
      <c r="A1613" s="1" t="s">
        <v>2539</v>
      </c>
      <c r="B1613" s="2">
        <v>45450</v>
      </c>
      <c r="C1613" s="1" t="s">
        <v>173</v>
      </c>
      <c r="D1613" s="1" t="s">
        <v>144</v>
      </c>
      <c r="E1613" s="1" t="s">
        <v>168</v>
      </c>
      <c r="F1613" s="1" t="s">
        <v>69</v>
      </c>
      <c r="G1613" s="1" t="s">
        <v>85</v>
      </c>
      <c r="H1613" s="1" t="s">
        <v>297</v>
      </c>
      <c r="I1613" s="1">
        <v>2412.9299999999998</v>
      </c>
      <c r="J1613" s="1">
        <v>2</v>
      </c>
      <c r="K1613" s="1">
        <v>4825.8599999999997</v>
      </c>
      <c r="L1613" s="1">
        <v>10</v>
      </c>
      <c r="M1613" s="1">
        <v>482.59</v>
      </c>
      <c r="N1613" s="1">
        <v>4343.2700000000004</v>
      </c>
      <c r="O1613" s="1" t="s">
        <v>64</v>
      </c>
      <c r="P1613" s="1" t="s">
        <v>1561</v>
      </c>
      <c r="Q1613" s="1">
        <v>2</v>
      </c>
      <c r="R1613" s="1">
        <f>Retail_Sales_Analyis[[#This Row],[Final_Price]]-Retail_Sales_Analyis[[#This Row],[Total_Price]]</f>
        <v>-482.58999999999924</v>
      </c>
      <c r="S16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14" spans="1:19" x14ac:dyDescent="0.25">
      <c r="A1614" s="1" t="s">
        <v>2540</v>
      </c>
      <c r="B1614" s="2">
        <v>45465</v>
      </c>
      <c r="C1614" s="1" t="s">
        <v>173</v>
      </c>
      <c r="D1614" s="1" t="s">
        <v>19</v>
      </c>
      <c r="E1614" s="1" t="s">
        <v>351</v>
      </c>
      <c r="F1614" s="1" t="s">
        <v>30</v>
      </c>
      <c r="G1614" s="1" t="s">
        <v>112</v>
      </c>
      <c r="H1614" s="1" t="s">
        <v>223</v>
      </c>
      <c r="I1614" s="1">
        <v>1969.73</v>
      </c>
      <c r="J1614" s="1">
        <v>7</v>
      </c>
      <c r="K1614" s="1">
        <v>13788.11</v>
      </c>
      <c r="L1614" s="1">
        <v>5</v>
      </c>
      <c r="M1614" s="1">
        <v>689.41</v>
      </c>
      <c r="N1614" s="1">
        <v>13098.7</v>
      </c>
      <c r="O1614" s="1" t="s">
        <v>33</v>
      </c>
      <c r="P1614" s="1" t="s">
        <v>1153</v>
      </c>
      <c r="Q1614" s="1">
        <v>1</v>
      </c>
      <c r="R1614" s="1">
        <f>Retail_Sales_Analyis[[#This Row],[Final_Price]]-Retail_Sales_Analyis[[#This Row],[Total_Price]]</f>
        <v>-689.40999999999985</v>
      </c>
      <c r="S16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15" spans="1:19" x14ac:dyDescent="0.25">
      <c r="A1615" s="1" t="s">
        <v>2541</v>
      </c>
      <c r="B1615" s="2">
        <v>45471</v>
      </c>
      <c r="C1615" s="1" t="s">
        <v>173</v>
      </c>
      <c r="D1615" s="1" t="s">
        <v>144</v>
      </c>
      <c r="E1615" s="1" t="s">
        <v>104</v>
      </c>
      <c r="F1615" s="1" t="s">
        <v>69</v>
      </c>
      <c r="G1615" s="1" t="s">
        <v>112</v>
      </c>
      <c r="H1615" s="1" t="s">
        <v>223</v>
      </c>
      <c r="I1615" s="1">
        <v>1692.66</v>
      </c>
      <c r="J1615" s="1">
        <v>1</v>
      </c>
      <c r="K1615" s="1">
        <v>1692.66</v>
      </c>
      <c r="L1615" s="1">
        <v>5</v>
      </c>
      <c r="M1615" s="1">
        <v>84.63</v>
      </c>
      <c r="N1615" s="1">
        <v>1608.03</v>
      </c>
      <c r="O1615" s="1" t="s">
        <v>80</v>
      </c>
      <c r="P1615" s="1" t="s">
        <v>2152</v>
      </c>
      <c r="Q1615" s="1">
        <v>4</v>
      </c>
      <c r="R1615" s="1">
        <f>Retail_Sales_Analyis[[#This Row],[Final_Price]]-Retail_Sales_Analyis[[#This Row],[Total_Price]]</f>
        <v>-84.630000000000109</v>
      </c>
      <c r="S161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16" spans="1:19" x14ac:dyDescent="0.25">
      <c r="A1616" s="1" t="s">
        <v>2542</v>
      </c>
      <c r="B1616" s="2">
        <v>45295</v>
      </c>
      <c r="C1616" s="1" t="s">
        <v>36</v>
      </c>
      <c r="D1616" s="1" t="s">
        <v>67</v>
      </c>
      <c r="E1616" s="1" t="s">
        <v>77</v>
      </c>
      <c r="F1616" s="1" t="s">
        <v>84</v>
      </c>
      <c r="G1616" s="1" t="s">
        <v>38</v>
      </c>
      <c r="H1616" s="1" t="s">
        <v>39</v>
      </c>
      <c r="I1616" s="1">
        <v>113.75</v>
      </c>
      <c r="J1616" s="1">
        <v>5</v>
      </c>
      <c r="K1616" s="1">
        <v>568.75</v>
      </c>
      <c r="L1616" s="1">
        <v>10</v>
      </c>
      <c r="M1616" s="1">
        <v>56.88</v>
      </c>
      <c r="N1616" s="1">
        <v>511.87</v>
      </c>
      <c r="O1616" s="1" t="s">
        <v>64</v>
      </c>
      <c r="P1616" s="1" t="s">
        <v>2543</v>
      </c>
      <c r="Q1616" s="1">
        <v>5</v>
      </c>
      <c r="R1616" s="1">
        <f>Retail_Sales_Analyis[[#This Row],[Final_Price]]-Retail_Sales_Analyis[[#This Row],[Total_Price]]</f>
        <v>-56.879999999999995</v>
      </c>
      <c r="S16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17" spans="1:19" x14ac:dyDescent="0.25">
      <c r="A1617" s="1" t="s">
        <v>2544</v>
      </c>
      <c r="B1617" s="2">
        <v>45384</v>
      </c>
      <c r="C1617" s="1" t="s">
        <v>54</v>
      </c>
      <c r="D1617" s="1" t="s">
        <v>28</v>
      </c>
      <c r="E1617" s="1" t="s">
        <v>129</v>
      </c>
      <c r="F1617" s="1" t="s">
        <v>37</v>
      </c>
      <c r="G1617" s="1" t="s">
        <v>38</v>
      </c>
      <c r="H1617" s="1" t="s">
        <v>70</v>
      </c>
      <c r="I1617" s="1">
        <v>102.12</v>
      </c>
      <c r="J1617" s="1">
        <v>4</v>
      </c>
      <c r="K1617" s="1">
        <v>408.48</v>
      </c>
      <c r="L1617" s="1">
        <v>15</v>
      </c>
      <c r="M1617" s="1">
        <v>61.27</v>
      </c>
      <c r="N1617" s="1">
        <v>347.21</v>
      </c>
      <c r="O1617" s="1" t="s">
        <v>24</v>
      </c>
      <c r="P1617" s="1" t="s">
        <v>2376</v>
      </c>
      <c r="Q1617" s="1">
        <v>3</v>
      </c>
      <c r="R1617" s="1">
        <f>Retail_Sales_Analyis[[#This Row],[Final_Price]]-Retail_Sales_Analyis[[#This Row],[Total_Price]]</f>
        <v>-61.270000000000039</v>
      </c>
      <c r="S16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18" spans="1:19" x14ac:dyDescent="0.25">
      <c r="A1618" s="1" t="s">
        <v>2545</v>
      </c>
      <c r="B1618" s="2">
        <v>45365</v>
      </c>
      <c r="C1618" s="1" t="s">
        <v>61</v>
      </c>
      <c r="D1618" s="1" t="s">
        <v>67</v>
      </c>
      <c r="E1618" s="1" t="s">
        <v>89</v>
      </c>
      <c r="F1618" s="1" t="s">
        <v>84</v>
      </c>
      <c r="G1618" s="1" t="s">
        <v>112</v>
      </c>
      <c r="H1618" s="1" t="s">
        <v>183</v>
      </c>
      <c r="I1618" s="1">
        <v>946.44</v>
      </c>
      <c r="J1618" s="1">
        <v>10</v>
      </c>
      <c r="K1618" s="1">
        <v>9464.4</v>
      </c>
      <c r="L1618" s="1">
        <v>20</v>
      </c>
      <c r="M1618" s="1">
        <v>1892.88</v>
      </c>
      <c r="N1618" s="1">
        <v>7571.52</v>
      </c>
      <c r="O1618" s="1" t="s">
        <v>33</v>
      </c>
      <c r="P1618" s="1" t="s">
        <v>2303</v>
      </c>
      <c r="Q1618" s="1">
        <v>4</v>
      </c>
      <c r="R1618" s="1">
        <f>Retail_Sales_Analyis[[#This Row],[Final_Price]]-Retail_Sales_Analyis[[#This Row],[Total_Price]]</f>
        <v>-1892.8799999999992</v>
      </c>
      <c r="S16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19" spans="1:19" x14ac:dyDescent="0.25">
      <c r="A1619" s="1" t="s">
        <v>2546</v>
      </c>
      <c r="B1619" s="2">
        <v>45581</v>
      </c>
      <c r="C1619" s="1" t="s">
        <v>76</v>
      </c>
      <c r="D1619" s="1" t="s">
        <v>55</v>
      </c>
      <c r="E1619" s="1" t="s">
        <v>121</v>
      </c>
      <c r="F1619" s="1" t="s">
        <v>84</v>
      </c>
      <c r="G1619" s="1" t="s">
        <v>57</v>
      </c>
      <c r="H1619" s="1" t="s">
        <v>152</v>
      </c>
      <c r="I1619" s="1">
        <v>756.26</v>
      </c>
      <c r="J1619" s="1">
        <v>10</v>
      </c>
      <c r="K1619" s="1">
        <v>7562.6</v>
      </c>
      <c r="L1619" s="1">
        <v>5</v>
      </c>
      <c r="M1619" s="1">
        <v>378.13</v>
      </c>
      <c r="N1619" s="1">
        <v>7184.47</v>
      </c>
      <c r="O1619" s="1" t="s">
        <v>24</v>
      </c>
      <c r="P1619" s="1" t="s">
        <v>1926</v>
      </c>
      <c r="Q1619" s="1">
        <v>4</v>
      </c>
      <c r="R1619" s="1">
        <f>Retail_Sales_Analyis[[#This Row],[Final_Price]]-Retail_Sales_Analyis[[#This Row],[Total_Price]]</f>
        <v>-378.13000000000011</v>
      </c>
      <c r="S16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20" spans="1:19" x14ac:dyDescent="0.25">
      <c r="A1620" s="1" t="s">
        <v>2547</v>
      </c>
      <c r="B1620" s="2">
        <v>45628</v>
      </c>
      <c r="C1620" s="1" t="s">
        <v>73</v>
      </c>
      <c r="D1620" s="1" t="s">
        <v>43</v>
      </c>
      <c r="E1620" s="1" t="s">
        <v>44</v>
      </c>
      <c r="F1620" s="1" t="s">
        <v>30</v>
      </c>
      <c r="G1620" s="1" t="s">
        <v>38</v>
      </c>
      <c r="H1620" s="1" t="s">
        <v>39</v>
      </c>
      <c r="I1620" s="1">
        <v>387.62</v>
      </c>
      <c r="J1620" s="1">
        <v>7</v>
      </c>
      <c r="K1620" s="1">
        <v>2713.34</v>
      </c>
      <c r="L1620" s="1">
        <v>0</v>
      </c>
      <c r="M1620" s="1">
        <v>0</v>
      </c>
      <c r="N1620" s="1">
        <v>2713.34</v>
      </c>
      <c r="O1620" s="1" t="s">
        <v>64</v>
      </c>
      <c r="P1620" s="1" t="s">
        <v>1242</v>
      </c>
      <c r="Q1620" s="1">
        <v>2</v>
      </c>
      <c r="R1620" s="1">
        <f>Retail_Sales_Analyis[[#This Row],[Final_Price]]-Retail_Sales_Analyis[[#This Row],[Total_Price]]</f>
        <v>0</v>
      </c>
      <c r="S16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21" spans="1:19" x14ac:dyDescent="0.25">
      <c r="A1621" s="1" t="s">
        <v>2548</v>
      </c>
      <c r="B1621" s="2">
        <v>45497</v>
      </c>
      <c r="C1621" s="1" t="s">
        <v>195</v>
      </c>
      <c r="D1621" s="1" t="s">
        <v>55</v>
      </c>
      <c r="E1621" s="1" t="s">
        <v>174</v>
      </c>
      <c r="F1621" s="1" t="s">
        <v>30</v>
      </c>
      <c r="G1621" s="1" t="s">
        <v>112</v>
      </c>
      <c r="H1621" s="1" t="s">
        <v>288</v>
      </c>
      <c r="I1621" s="1">
        <v>1219.8399999999999</v>
      </c>
      <c r="J1621" s="1">
        <v>5</v>
      </c>
      <c r="K1621" s="1">
        <v>6099.2</v>
      </c>
      <c r="L1621" s="1">
        <v>0</v>
      </c>
      <c r="M1621" s="1">
        <v>0</v>
      </c>
      <c r="N1621" s="1">
        <v>6099.2</v>
      </c>
      <c r="O1621" s="1" t="s">
        <v>64</v>
      </c>
      <c r="P1621" s="1" t="s">
        <v>354</v>
      </c>
      <c r="Q1621" s="1">
        <v>2</v>
      </c>
      <c r="R1621" s="1">
        <f>Retail_Sales_Analyis[[#This Row],[Final_Price]]-Retail_Sales_Analyis[[#This Row],[Total_Price]]</f>
        <v>0</v>
      </c>
      <c r="S16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22" spans="1:19" x14ac:dyDescent="0.25">
      <c r="A1622" s="1" t="s">
        <v>2549</v>
      </c>
      <c r="B1622" s="2">
        <v>45327</v>
      </c>
      <c r="C1622" s="1" t="s">
        <v>27</v>
      </c>
      <c r="D1622" s="1" t="s">
        <v>43</v>
      </c>
      <c r="E1622" s="1" t="s">
        <v>94</v>
      </c>
      <c r="F1622" s="1" t="s">
        <v>84</v>
      </c>
      <c r="G1622" s="1" t="s">
        <v>85</v>
      </c>
      <c r="H1622" s="1" t="s">
        <v>98</v>
      </c>
      <c r="I1622" s="1">
        <v>3947.87</v>
      </c>
      <c r="J1622" s="1">
        <v>9</v>
      </c>
      <c r="K1622" s="1">
        <v>35530.83</v>
      </c>
      <c r="L1622" s="1">
        <v>15</v>
      </c>
      <c r="M1622" s="1">
        <v>5329.62</v>
      </c>
      <c r="N1622" s="1">
        <v>30201.21</v>
      </c>
      <c r="O1622" s="1" t="s">
        <v>80</v>
      </c>
      <c r="P1622" s="1" t="s">
        <v>780</v>
      </c>
      <c r="Q1622" s="1">
        <v>5</v>
      </c>
      <c r="R1622" s="1">
        <f>Retail_Sales_Analyis[[#This Row],[Final_Price]]-Retail_Sales_Analyis[[#This Row],[Total_Price]]</f>
        <v>-5329.6200000000026</v>
      </c>
      <c r="S16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23" spans="1:19" x14ac:dyDescent="0.25">
      <c r="A1623" s="1" t="s">
        <v>2550</v>
      </c>
      <c r="B1623" s="2">
        <v>45364</v>
      </c>
      <c r="C1623" s="1" t="s">
        <v>61</v>
      </c>
      <c r="D1623" s="1" t="s">
        <v>55</v>
      </c>
      <c r="E1623" s="1" t="s">
        <v>302</v>
      </c>
      <c r="F1623" s="1" t="s">
        <v>21</v>
      </c>
      <c r="G1623" s="1" t="s">
        <v>169</v>
      </c>
      <c r="H1623" s="1" t="s">
        <v>170</v>
      </c>
      <c r="I1623" s="1">
        <v>835.28</v>
      </c>
      <c r="J1623" s="1">
        <v>1</v>
      </c>
      <c r="K1623" s="1">
        <v>835.28</v>
      </c>
      <c r="L1623" s="1">
        <v>0</v>
      </c>
      <c r="M1623" s="1">
        <v>0</v>
      </c>
      <c r="N1623" s="1">
        <v>835.28</v>
      </c>
      <c r="O1623" s="1" t="s">
        <v>46</v>
      </c>
      <c r="P1623" s="1" t="s">
        <v>2551</v>
      </c>
      <c r="Q1623" s="1">
        <v>2</v>
      </c>
      <c r="R1623" s="1">
        <f>Retail_Sales_Analyis[[#This Row],[Final_Price]]-Retail_Sales_Analyis[[#This Row],[Total_Price]]</f>
        <v>0</v>
      </c>
      <c r="S16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24" spans="1:19" x14ac:dyDescent="0.25">
      <c r="A1624" s="1" t="s">
        <v>2552</v>
      </c>
      <c r="B1624" s="2">
        <v>45616</v>
      </c>
      <c r="C1624" s="1" t="s">
        <v>18</v>
      </c>
      <c r="D1624" s="1" t="s">
        <v>55</v>
      </c>
      <c r="E1624" s="1" t="s">
        <v>542</v>
      </c>
      <c r="F1624" s="1" t="s">
        <v>37</v>
      </c>
      <c r="G1624" s="1" t="s">
        <v>57</v>
      </c>
      <c r="H1624" s="1" t="s">
        <v>58</v>
      </c>
      <c r="I1624" s="1">
        <v>342.75</v>
      </c>
      <c r="J1624" s="1">
        <v>8</v>
      </c>
      <c r="K1624" s="1">
        <v>2742</v>
      </c>
      <c r="L1624" s="1">
        <v>20</v>
      </c>
      <c r="M1624" s="1">
        <v>548.4</v>
      </c>
      <c r="N1624" s="1">
        <v>2193.6</v>
      </c>
      <c r="O1624" s="1" t="s">
        <v>80</v>
      </c>
      <c r="P1624" s="1" t="s">
        <v>2553</v>
      </c>
      <c r="Q1624" s="1">
        <v>2</v>
      </c>
      <c r="R1624" s="1">
        <f>Retail_Sales_Analyis[[#This Row],[Final_Price]]-Retail_Sales_Analyis[[#This Row],[Total_Price]]</f>
        <v>-548.40000000000009</v>
      </c>
      <c r="S162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25" spans="1:19" x14ac:dyDescent="0.25">
      <c r="A1625" s="1" t="s">
        <v>2554</v>
      </c>
      <c r="B1625" s="2">
        <v>45307</v>
      </c>
      <c r="C1625" s="1" t="s">
        <v>36</v>
      </c>
      <c r="D1625" s="1" t="s">
        <v>28</v>
      </c>
      <c r="E1625" s="1" t="s">
        <v>141</v>
      </c>
      <c r="F1625" s="1" t="s">
        <v>37</v>
      </c>
      <c r="G1625" s="1" t="s">
        <v>112</v>
      </c>
      <c r="H1625" s="1" t="s">
        <v>113</v>
      </c>
      <c r="I1625" s="1">
        <v>1491.13</v>
      </c>
      <c r="J1625" s="1">
        <v>1</v>
      </c>
      <c r="K1625" s="1">
        <v>1491.13</v>
      </c>
      <c r="L1625" s="1">
        <v>15</v>
      </c>
      <c r="M1625" s="1">
        <v>223.67</v>
      </c>
      <c r="N1625" s="1">
        <v>1267.46</v>
      </c>
      <c r="O1625" s="1" t="s">
        <v>46</v>
      </c>
      <c r="P1625" s="1" t="s">
        <v>2039</v>
      </c>
      <c r="Q1625" s="1">
        <v>1</v>
      </c>
      <c r="R1625" s="1">
        <f>Retail_Sales_Analyis[[#This Row],[Final_Price]]-Retail_Sales_Analyis[[#This Row],[Total_Price]]</f>
        <v>-223.67000000000007</v>
      </c>
      <c r="S16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26" spans="1:19" x14ac:dyDescent="0.25">
      <c r="A1626" s="1" t="s">
        <v>2555</v>
      </c>
      <c r="B1626" s="2">
        <v>45338</v>
      </c>
      <c r="C1626" s="1" t="s">
        <v>27</v>
      </c>
      <c r="D1626" s="1" t="s">
        <v>144</v>
      </c>
      <c r="E1626" s="1" t="s">
        <v>107</v>
      </c>
      <c r="F1626" s="1" t="s">
        <v>37</v>
      </c>
      <c r="G1626" s="1" t="s">
        <v>78</v>
      </c>
      <c r="H1626" s="1" t="s">
        <v>126</v>
      </c>
      <c r="I1626" s="1">
        <v>407.2</v>
      </c>
      <c r="J1626" s="1">
        <v>10</v>
      </c>
      <c r="K1626" s="1">
        <v>4072</v>
      </c>
      <c r="L1626" s="1">
        <v>10</v>
      </c>
      <c r="M1626" s="1">
        <v>407.2</v>
      </c>
      <c r="N1626" s="1">
        <v>3664.8</v>
      </c>
      <c r="O1626" s="1" t="s">
        <v>80</v>
      </c>
      <c r="P1626" s="1" t="s">
        <v>2333</v>
      </c>
      <c r="Q1626" s="1">
        <v>4</v>
      </c>
      <c r="R1626" s="1">
        <f>Retail_Sales_Analyis[[#This Row],[Final_Price]]-Retail_Sales_Analyis[[#This Row],[Total_Price]]</f>
        <v>-407.19999999999982</v>
      </c>
      <c r="S16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27" spans="1:19" x14ac:dyDescent="0.25">
      <c r="A1627" s="1" t="s">
        <v>2556</v>
      </c>
      <c r="B1627" s="2">
        <v>45563</v>
      </c>
      <c r="C1627" s="1" t="s">
        <v>116</v>
      </c>
      <c r="D1627" s="1" t="s">
        <v>19</v>
      </c>
      <c r="E1627" s="1" t="s">
        <v>104</v>
      </c>
      <c r="F1627" s="1" t="s">
        <v>84</v>
      </c>
      <c r="G1627" s="1" t="s">
        <v>31</v>
      </c>
      <c r="H1627" s="1" t="s">
        <v>329</v>
      </c>
      <c r="I1627" s="1">
        <v>378.93</v>
      </c>
      <c r="J1627" s="1">
        <v>9</v>
      </c>
      <c r="K1627" s="1">
        <v>3410.37</v>
      </c>
      <c r="L1627" s="1">
        <v>10</v>
      </c>
      <c r="M1627" s="1">
        <v>341.04</v>
      </c>
      <c r="N1627" s="1">
        <v>3069.33</v>
      </c>
      <c r="O1627" s="1" t="s">
        <v>80</v>
      </c>
      <c r="P1627" s="1" t="s">
        <v>1948</v>
      </c>
      <c r="Q1627" s="1">
        <v>3</v>
      </c>
      <c r="R1627" s="1">
        <f>Retail_Sales_Analyis[[#This Row],[Final_Price]]-Retail_Sales_Analyis[[#This Row],[Total_Price]]</f>
        <v>-341.03999999999996</v>
      </c>
      <c r="S16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28" spans="1:19" x14ac:dyDescent="0.25">
      <c r="A1628" s="1" t="s">
        <v>2557</v>
      </c>
      <c r="B1628" s="2">
        <v>45402</v>
      </c>
      <c r="C1628" s="1" t="s">
        <v>54</v>
      </c>
      <c r="D1628" s="1" t="s">
        <v>19</v>
      </c>
      <c r="E1628" s="1" t="s">
        <v>236</v>
      </c>
      <c r="F1628" s="1" t="s">
        <v>37</v>
      </c>
      <c r="G1628" s="1" t="s">
        <v>169</v>
      </c>
      <c r="H1628" s="1" t="s">
        <v>170</v>
      </c>
      <c r="I1628" s="1">
        <v>1413.69</v>
      </c>
      <c r="J1628" s="1">
        <v>5</v>
      </c>
      <c r="K1628" s="1">
        <v>7068.45</v>
      </c>
      <c r="L1628" s="1">
        <v>0</v>
      </c>
      <c r="M1628" s="1">
        <v>0</v>
      </c>
      <c r="N1628" s="1">
        <v>7068.45</v>
      </c>
      <c r="O1628" s="1" t="s">
        <v>80</v>
      </c>
      <c r="P1628" s="1" t="s">
        <v>1761</v>
      </c>
      <c r="Q1628" s="1">
        <v>2</v>
      </c>
      <c r="R1628" s="1">
        <f>Retail_Sales_Analyis[[#This Row],[Final_Price]]-Retail_Sales_Analyis[[#This Row],[Total_Price]]</f>
        <v>0</v>
      </c>
      <c r="S16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29" spans="1:19" x14ac:dyDescent="0.25">
      <c r="A1629" s="1" t="s">
        <v>2558</v>
      </c>
      <c r="B1629" s="2">
        <v>45484</v>
      </c>
      <c r="C1629" s="1" t="s">
        <v>195</v>
      </c>
      <c r="D1629" s="1" t="s">
        <v>67</v>
      </c>
      <c r="E1629" s="1" t="s">
        <v>307</v>
      </c>
      <c r="F1629" s="1" t="s">
        <v>69</v>
      </c>
      <c r="G1629" s="1" t="s">
        <v>78</v>
      </c>
      <c r="H1629" s="1" t="s">
        <v>126</v>
      </c>
      <c r="I1629" s="1">
        <v>380.92</v>
      </c>
      <c r="J1629" s="1">
        <v>4</v>
      </c>
      <c r="K1629" s="1">
        <v>1523.68</v>
      </c>
      <c r="L1629" s="1">
        <v>10</v>
      </c>
      <c r="M1629" s="1">
        <v>152.37</v>
      </c>
      <c r="N1629" s="1">
        <v>1371.31</v>
      </c>
      <c r="O1629" s="1" t="s">
        <v>33</v>
      </c>
      <c r="P1629" s="1" t="s">
        <v>693</v>
      </c>
      <c r="Q1629" s="1">
        <v>5</v>
      </c>
      <c r="R1629" s="1">
        <f>Retail_Sales_Analyis[[#This Row],[Final_Price]]-Retail_Sales_Analyis[[#This Row],[Total_Price]]</f>
        <v>-152.37000000000012</v>
      </c>
      <c r="S16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30" spans="1:19" x14ac:dyDescent="0.25">
      <c r="A1630" s="1" t="s">
        <v>2559</v>
      </c>
      <c r="B1630" s="2">
        <v>45506</v>
      </c>
      <c r="C1630" s="1" t="s">
        <v>93</v>
      </c>
      <c r="D1630" s="1" t="s">
        <v>144</v>
      </c>
      <c r="E1630" s="1" t="s">
        <v>261</v>
      </c>
      <c r="F1630" s="1" t="s">
        <v>69</v>
      </c>
      <c r="G1630" s="1" t="s">
        <v>112</v>
      </c>
      <c r="H1630" s="1" t="s">
        <v>183</v>
      </c>
      <c r="I1630" s="1">
        <v>758.86</v>
      </c>
      <c r="J1630" s="1">
        <v>1</v>
      </c>
      <c r="K1630" s="1">
        <v>758.86</v>
      </c>
      <c r="L1630" s="1">
        <v>0</v>
      </c>
      <c r="M1630" s="1">
        <v>0</v>
      </c>
      <c r="N1630" s="1">
        <v>758.86</v>
      </c>
      <c r="O1630" s="1" t="s">
        <v>80</v>
      </c>
      <c r="P1630" s="1" t="s">
        <v>1322</v>
      </c>
      <c r="Q1630" s="1">
        <v>1</v>
      </c>
      <c r="R1630" s="1">
        <f>Retail_Sales_Analyis[[#This Row],[Final_Price]]-Retail_Sales_Analyis[[#This Row],[Total_Price]]</f>
        <v>0</v>
      </c>
      <c r="S16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31" spans="1:19" x14ac:dyDescent="0.25">
      <c r="A1631" s="1" t="s">
        <v>2560</v>
      </c>
      <c r="B1631" s="2">
        <v>45524</v>
      </c>
      <c r="C1631" s="1" t="s">
        <v>93</v>
      </c>
      <c r="D1631" s="1" t="s">
        <v>28</v>
      </c>
      <c r="E1631" s="1" t="s">
        <v>196</v>
      </c>
      <c r="F1631" s="1" t="s">
        <v>37</v>
      </c>
      <c r="G1631" s="1" t="s">
        <v>31</v>
      </c>
      <c r="H1631" s="1" t="s">
        <v>329</v>
      </c>
      <c r="I1631" s="1">
        <v>422.96</v>
      </c>
      <c r="J1631" s="1">
        <v>3</v>
      </c>
      <c r="K1631" s="1">
        <v>1268.8800000000001</v>
      </c>
      <c r="L1631" s="1">
        <v>20</v>
      </c>
      <c r="M1631" s="1">
        <v>253.78</v>
      </c>
      <c r="N1631" s="1">
        <v>1015.1</v>
      </c>
      <c r="O1631" s="1" t="s">
        <v>64</v>
      </c>
      <c r="P1631" s="1" t="s">
        <v>627</v>
      </c>
      <c r="Q1631" s="1">
        <v>4</v>
      </c>
      <c r="R1631" s="1">
        <f>Retail_Sales_Analyis[[#This Row],[Final_Price]]-Retail_Sales_Analyis[[#This Row],[Total_Price]]</f>
        <v>-253.78000000000009</v>
      </c>
      <c r="S163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32" spans="1:19" x14ac:dyDescent="0.25">
      <c r="A1632" s="1" t="s">
        <v>2561</v>
      </c>
      <c r="B1632" s="2">
        <v>45466</v>
      </c>
      <c r="C1632" s="1" t="s">
        <v>173</v>
      </c>
      <c r="D1632" s="1" t="s">
        <v>49</v>
      </c>
      <c r="E1632" s="1" t="s">
        <v>285</v>
      </c>
      <c r="F1632" s="1" t="s">
        <v>84</v>
      </c>
      <c r="G1632" s="1" t="s">
        <v>22</v>
      </c>
      <c r="H1632" s="1" t="s">
        <v>133</v>
      </c>
      <c r="I1632" s="1">
        <v>811.69</v>
      </c>
      <c r="J1632" s="1">
        <v>2</v>
      </c>
      <c r="K1632" s="1">
        <v>1623.38</v>
      </c>
      <c r="L1632" s="1">
        <v>0</v>
      </c>
      <c r="M1632" s="1">
        <v>0</v>
      </c>
      <c r="N1632" s="1">
        <v>1623.38</v>
      </c>
      <c r="O1632" s="1" t="s">
        <v>80</v>
      </c>
      <c r="P1632" s="1" t="s">
        <v>1221</v>
      </c>
      <c r="Q1632" s="1">
        <v>4</v>
      </c>
      <c r="R1632" s="1">
        <f>Retail_Sales_Analyis[[#This Row],[Final_Price]]-Retail_Sales_Analyis[[#This Row],[Total_Price]]</f>
        <v>0</v>
      </c>
      <c r="S16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33" spans="1:19" x14ac:dyDescent="0.25">
      <c r="A1633" s="1" t="s">
        <v>2562</v>
      </c>
      <c r="B1633" s="2">
        <v>45372</v>
      </c>
      <c r="C1633" s="1" t="s">
        <v>61</v>
      </c>
      <c r="D1633" s="1" t="s">
        <v>67</v>
      </c>
      <c r="E1633" s="1" t="s">
        <v>204</v>
      </c>
      <c r="F1633" s="1" t="s">
        <v>69</v>
      </c>
      <c r="G1633" s="1" t="s">
        <v>85</v>
      </c>
      <c r="H1633" s="1" t="s">
        <v>90</v>
      </c>
      <c r="I1633" s="1">
        <v>3681.65</v>
      </c>
      <c r="J1633" s="1">
        <v>9</v>
      </c>
      <c r="K1633" s="1">
        <v>33134.85</v>
      </c>
      <c r="L1633" s="1">
        <v>10</v>
      </c>
      <c r="M1633" s="1">
        <v>3313.49</v>
      </c>
      <c r="N1633" s="1">
        <v>29821.360000000001</v>
      </c>
      <c r="O1633" s="1" t="s">
        <v>64</v>
      </c>
      <c r="P1633" s="1" t="s">
        <v>224</v>
      </c>
      <c r="Q1633" s="1">
        <v>4</v>
      </c>
      <c r="R1633" s="1">
        <f>Retail_Sales_Analyis[[#This Row],[Final_Price]]-Retail_Sales_Analyis[[#This Row],[Total_Price]]</f>
        <v>-3313.489999999998</v>
      </c>
      <c r="S16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34" spans="1:19" x14ac:dyDescent="0.25">
      <c r="A1634" s="1" t="s">
        <v>2563</v>
      </c>
      <c r="B1634" s="2">
        <v>45481</v>
      </c>
      <c r="C1634" s="1" t="s">
        <v>195</v>
      </c>
      <c r="D1634" s="1" t="s">
        <v>43</v>
      </c>
      <c r="E1634" s="1" t="s">
        <v>151</v>
      </c>
      <c r="F1634" s="1" t="s">
        <v>37</v>
      </c>
      <c r="G1634" s="1" t="s">
        <v>31</v>
      </c>
      <c r="H1634" s="1" t="s">
        <v>329</v>
      </c>
      <c r="I1634" s="1">
        <v>170.21</v>
      </c>
      <c r="J1634" s="1">
        <v>10</v>
      </c>
      <c r="K1634" s="1">
        <v>1702.1</v>
      </c>
      <c r="L1634" s="1">
        <v>0</v>
      </c>
      <c r="M1634" s="1">
        <v>0</v>
      </c>
      <c r="N1634" s="1">
        <v>1702.1</v>
      </c>
      <c r="O1634" s="1" t="s">
        <v>64</v>
      </c>
      <c r="P1634" s="1" t="s">
        <v>2564</v>
      </c>
      <c r="Q1634" s="1">
        <v>1</v>
      </c>
      <c r="R1634" s="1">
        <f>Retail_Sales_Analyis[[#This Row],[Final_Price]]-Retail_Sales_Analyis[[#This Row],[Total_Price]]</f>
        <v>0</v>
      </c>
      <c r="S16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35" spans="1:19" x14ac:dyDescent="0.25">
      <c r="A1635" s="1" t="s">
        <v>2565</v>
      </c>
      <c r="B1635" s="2">
        <v>45451</v>
      </c>
      <c r="C1635" s="1" t="s">
        <v>173</v>
      </c>
      <c r="D1635" s="1" t="s">
        <v>19</v>
      </c>
      <c r="E1635" s="1" t="s">
        <v>129</v>
      </c>
      <c r="F1635" s="1" t="s">
        <v>69</v>
      </c>
      <c r="G1635" s="1" t="s">
        <v>22</v>
      </c>
      <c r="H1635" s="1" t="s">
        <v>133</v>
      </c>
      <c r="I1635" s="1">
        <v>483.69</v>
      </c>
      <c r="J1635" s="1">
        <v>1</v>
      </c>
      <c r="K1635" s="1">
        <v>483.69</v>
      </c>
      <c r="L1635" s="1">
        <v>5</v>
      </c>
      <c r="M1635" s="1">
        <v>24.18</v>
      </c>
      <c r="N1635" s="1">
        <v>459.51</v>
      </c>
      <c r="O1635" s="1" t="s">
        <v>80</v>
      </c>
      <c r="P1635" s="1" t="s">
        <v>1515</v>
      </c>
      <c r="Q1635" s="1">
        <v>2</v>
      </c>
      <c r="R1635" s="1">
        <f>Retail_Sales_Analyis[[#This Row],[Final_Price]]-Retail_Sales_Analyis[[#This Row],[Total_Price]]</f>
        <v>-24.180000000000007</v>
      </c>
      <c r="S163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36" spans="1:19" x14ac:dyDescent="0.25">
      <c r="A1636" s="1" t="s">
        <v>2566</v>
      </c>
      <c r="B1636" s="2">
        <v>45458</v>
      </c>
      <c r="C1636" s="1" t="s">
        <v>173</v>
      </c>
      <c r="D1636" s="1" t="s">
        <v>19</v>
      </c>
      <c r="E1636" s="1" t="s">
        <v>104</v>
      </c>
      <c r="F1636" s="1" t="s">
        <v>69</v>
      </c>
      <c r="G1636" s="1" t="s">
        <v>57</v>
      </c>
      <c r="H1636" s="1" t="s">
        <v>158</v>
      </c>
      <c r="I1636" s="1">
        <v>2224.02</v>
      </c>
      <c r="J1636" s="1">
        <v>6</v>
      </c>
      <c r="K1636" s="1">
        <v>13344.12</v>
      </c>
      <c r="L1636" s="1">
        <v>0</v>
      </c>
      <c r="M1636" s="1">
        <v>0</v>
      </c>
      <c r="N1636" s="1">
        <v>13344.12</v>
      </c>
      <c r="O1636" s="1" t="s">
        <v>33</v>
      </c>
      <c r="P1636" s="1" t="s">
        <v>2389</v>
      </c>
      <c r="Q1636" s="1">
        <v>5</v>
      </c>
      <c r="R1636" s="1">
        <f>Retail_Sales_Analyis[[#This Row],[Final_Price]]-Retail_Sales_Analyis[[#This Row],[Total_Price]]</f>
        <v>0</v>
      </c>
      <c r="S16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37" spans="1:19" x14ac:dyDescent="0.25">
      <c r="A1637" s="1" t="s">
        <v>2567</v>
      </c>
      <c r="B1637" s="2">
        <v>45582</v>
      </c>
      <c r="C1637" s="1" t="s">
        <v>76</v>
      </c>
      <c r="D1637" s="1" t="s">
        <v>67</v>
      </c>
      <c r="E1637" s="1" t="s">
        <v>121</v>
      </c>
      <c r="F1637" s="1" t="s">
        <v>69</v>
      </c>
      <c r="G1637" s="1" t="s">
        <v>38</v>
      </c>
      <c r="H1637" s="1" t="s">
        <v>39</v>
      </c>
      <c r="I1637" s="1">
        <v>719.34</v>
      </c>
      <c r="J1637" s="1">
        <v>7</v>
      </c>
      <c r="K1637" s="1">
        <v>5035.38</v>
      </c>
      <c r="L1637" s="1">
        <v>15</v>
      </c>
      <c r="M1637" s="1">
        <v>755.31</v>
      </c>
      <c r="N1637" s="1">
        <v>4280.07</v>
      </c>
      <c r="O1637" s="1" t="s">
        <v>46</v>
      </c>
      <c r="P1637" s="1" t="s">
        <v>447</v>
      </c>
      <c r="Q1637" s="1">
        <v>5</v>
      </c>
      <c r="R1637" s="1">
        <f>Retail_Sales_Analyis[[#This Row],[Final_Price]]-Retail_Sales_Analyis[[#This Row],[Total_Price]]</f>
        <v>-755.3100000000004</v>
      </c>
      <c r="S16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38" spans="1:19" x14ac:dyDescent="0.25">
      <c r="A1638" s="1" t="s">
        <v>2568</v>
      </c>
      <c r="B1638" s="2">
        <v>45597</v>
      </c>
      <c r="C1638" s="1" t="s">
        <v>18</v>
      </c>
      <c r="D1638" s="1" t="s">
        <v>144</v>
      </c>
      <c r="E1638" s="1" t="s">
        <v>213</v>
      </c>
      <c r="F1638" s="1" t="s">
        <v>30</v>
      </c>
      <c r="G1638" s="1" t="s">
        <v>57</v>
      </c>
      <c r="H1638" s="1" t="s">
        <v>158</v>
      </c>
      <c r="I1638" s="1">
        <v>2819.56</v>
      </c>
      <c r="J1638" s="1">
        <v>7</v>
      </c>
      <c r="K1638" s="1">
        <v>19736.919999999998</v>
      </c>
      <c r="L1638" s="1">
        <v>0</v>
      </c>
      <c r="M1638" s="1">
        <v>0</v>
      </c>
      <c r="N1638" s="1">
        <v>19736.919999999998</v>
      </c>
      <c r="O1638" s="1" t="s">
        <v>46</v>
      </c>
      <c r="P1638" s="1" t="s">
        <v>459</v>
      </c>
      <c r="Q1638" s="1">
        <v>4</v>
      </c>
      <c r="R1638" s="1">
        <f>Retail_Sales_Analyis[[#This Row],[Final_Price]]-Retail_Sales_Analyis[[#This Row],[Total_Price]]</f>
        <v>0</v>
      </c>
      <c r="S16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39" spans="1:19" x14ac:dyDescent="0.25">
      <c r="A1639" s="1" t="s">
        <v>2569</v>
      </c>
      <c r="B1639" s="2">
        <v>45335</v>
      </c>
      <c r="C1639" s="1" t="s">
        <v>27</v>
      </c>
      <c r="D1639" s="1" t="s">
        <v>28</v>
      </c>
      <c r="E1639" s="1" t="s">
        <v>107</v>
      </c>
      <c r="F1639" s="1" t="s">
        <v>21</v>
      </c>
      <c r="G1639" s="1" t="s">
        <v>169</v>
      </c>
      <c r="H1639" s="1" t="s">
        <v>348</v>
      </c>
      <c r="I1639" s="1">
        <v>313.94</v>
      </c>
      <c r="J1639" s="1">
        <v>9</v>
      </c>
      <c r="K1639" s="1">
        <v>2825.46</v>
      </c>
      <c r="L1639" s="1">
        <v>0</v>
      </c>
      <c r="M1639" s="1">
        <v>0</v>
      </c>
      <c r="N1639" s="1">
        <v>2825.46</v>
      </c>
      <c r="O1639" s="1" t="s">
        <v>24</v>
      </c>
      <c r="P1639" s="1" t="s">
        <v>2570</v>
      </c>
      <c r="Q1639" s="1">
        <v>4</v>
      </c>
      <c r="R1639" s="1">
        <f>Retail_Sales_Analyis[[#This Row],[Final_Price]]-Retail_Sales_Analyis[[#This Row],[Total_Price]]</f>
        <v>0</v>
      </c>
      <c r="S16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0" spans="1:19" x14ac:dyDescent="0.25">
      <c r="A1640" s="1" t="s">
        <v>2571</v>
      </c>
      <c r="B1640" s="2">
        <v>45318</v>
      </c>
      <c r="C1640" s="1" t="s">
        <v>36</v>
      </c>
      <c r="D1640" s="1" t="s">
        <v>19</v>
      </c>
      <c r="E1640" s="1" t="s">
        <v>68</v>
      </c>
      <c r="F1640" s="1" t="s">
        <v>37</v>
      </c>
      <c r="G1640" s="1" t="s">
        <v>78</v>
      </c>
      <c r="H1640" s="1" t="s">
        <v>126</v>
      </c>
      <c r="I1640" s="1">
        <v>492.02</v>
      </c>
      <c r="J1640" s="1">
        <v>7</v>
      </c>
      <c r="K1640" s="1">
        <v>3444.14</v>
      </c>
      <c r="L1640" s="1">
        <v>0</v>
      </c>
      <c r="M1640" s="1">
        <v>0</v>
      </c>
      <c r="N1640" s="1">
        <v>3444.14</v>
      </c>
      <c r="O1640" s="1" t="s">
        <v>80</v>
      </c>
      <c r="P1640" s="1" t="s">
        <v>2572</v>
      </c>
      <c r="Q1640" s="1">
        <v>5</v>
      </c>
      <c r="R1640" s="1">
        <f>Retail_Sales_Analyis[[#This Row],[Final_Price]]-Retail_Sales_Analyis[[#This Row],[Total_Price]]</f>
        <v>0</v>
      </c>
      <c r="S16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1" spans="1:19" x14ac:dyDescent="0.25">
      <c r="A1641" s="1" t="s">
        <v>2573</v>
      </c>
      <c r="B1641" s="2">
        <v>45371</v>
      </c>
      <c r="C1641" s="1" t="s">
        <v>61</v>
      </c>
      <c r="D1641" s="1" t="s">
        <v>55</v>
      </c>
      <c r="E1641" s="1" t="s">
        <v>50</v>
      </c>
      <c r="F1641" s="1" t="s">
        <v>37</v>
      </c>
      <c r="G1641" s="1" t="s">
        <v>57</v>
      </c>
      <c r="H1641" s="1" t="s">
        <v>158</v>
      </c>
      <c r="I1641" s="1">
        <v>1696.94</v>
      </c>
      <c r="J1641" s="1">
        <v>9</v>
      </c>
      <c r="K1641" s="1">
        <v>15272.46</v>
      </c>
      <c r="L1641" s="1">
        <v>15</v>
      </c>
      <c r="M1641" s="1">
        <v>2290.87</v>
      </c>
      <c r="N1641" s="1">
        <v>12981.59</v>
      </c>
      <c r="O1641" s="1" t="s">
        <v>80</v>
      </c>
      <c r="P1641" s="1" t="s">
        <v>1024</v>
      </c>
      <c r="Q1641" s="1">
        <v>2</v>
      </c>
      <c r="R1641" s="1">
        <f>Retail_Sales_Analyis[[#This Row],[Final_Price]]-Retail_Sales_Analyis[[#This Row],[Total_Price]]</f>
        <v>-2290.869999999999</v>
      </c>
      <c r="S16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42" spans="1:19" x14ac:dyDescent="0.25">
      <c r="A1642" s="1" t="s">
        <v>2574</v>
      </c>
      <c r="B1642" s="2">
        <v>45372</v>
      </c>
      <c r="C1642" s="1" t="s">
        <v>61</v>
      </c>
      <c r="D1642" s="1" t="s">
        <v>67</v>
      </c>
      <c r="E1642" s="1" t="s">
        <v>312</v>
      </c>
      <c r="F1642" s="1" t="s">
        <v>84</v>
      </c>
      <c r="G1642" s="1" t="s">
        <v>22</v>
      </c>
      <c r="H1642" s="1" t="s">
        <v>23</v>
      </c>
      <c r="I1642" s="1">
        <v>988.01</v>
      </c>
      <c r="J1642" s="1">
        <v>7</v>
      </c>
      <c r="K1642" s="1">
        <v>6916.07</v>
      </c>
      <c r="L1642" s="1">
        <v>5</v>
      </c>
      <c r="M1642" s="1">
        <v>345.8</v>
      </c>
      <c r="N1642" s="1">
        <v>6570.27</v>
      </c>
      <c r="O1642" s="1" t="s">
        <v>64</v>
      </c>
      <c r="P1642" s="1" t="s">
        <v>1460</v>
      </c>
      <c r="Q1642" s="1">
        <v>5</v>
      </c>
      <c r="R1642" s="1">
        <f>Retail_Sales_Analyis[[#This Row],[Final_Price]]-Retail_Sales_Analyis[[#This Row],[Total_Price]]</f>
        <v>-345.79999999999927</v>
      </c>
      <c r="S16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43" spans="1:19" x14ac:dyDescent="0.25">
      <c r="A1643" s="1" t="s">
        <v>2575</v>
      </c>
      <c r="B1643" s="2">
        <v>45608</v>
      </c>
      <c r="C1643" s="1" t="s">
        <v>18</v>
      </c>
      <c r="D1643" s="1" t="s">
        <v>28</v>
      </c>
      <c r="E1643" s="1" t="s">
        <v>145</v>
      </c>
      <c r="F1643" s="1" t="s">
        <v>37</v>
      </c>
      <c r="G1643" s="1" t="s">
        <v>169</v>
      </c>
      <c r="H1643" s="1" t="s">
        <v>348</v>
      </c>
      <c r="I1643" s="1">
        <v>326.47000000000003</v>
      </c>
      <c r="J1643" s="1">
        <v>2</v>
      </c>
      <c r="K1643" s="1">
        <v>652.94000000000005</v>
      </c>
      <c r="L1643" s="1">
        <v>0</v>
      </c>
      <c r="M1643" s="1">
        <v>0</v>
      </c>
      <c r="N1643" s="1">
        <v>652.94000000000005</v>
      </c>
      <c r="O1643" s="1" t="s">
        <v>46</v>
      </c>
      <c r="P1643" s="1" t="s">
        <v>1032</v>
      </c>
      <c r="Q1643" s="1">
        <v>1</v>
      </c>
      <c r="R1643" s="1">
        <f>Retail_Sales_Analyis[[#This Row],[Final_Price]]-Retail_Sales_Analyis[[#This Row],[Total_Price]]</f>
        <v>0</v>
      </c>
      <c r="S16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4" spans="1:19" x14ac:dyDescent="0.25">
      <c r="A1644" s="1" t="s">
        <v>2576</v>
      </c>
      <c r="B1644" s="2">
        <v>45317</v>
      </c>
      <c r="C1644" s="1" t="s">
        <v>36</v>
      </c>
      <c r="D1644" s="1" t="s">
        <v>144</v>
      </c>
      <c r="E1644" s="1" t="s">
        <v>97</v>
      </c>
      <c r="F1644" s="1" t="s">
        <v>69</v>
      </c>
      <c r="G1644" s="1" t="s">
        <v>57</v>
      </c>
      <c r="H1644" s="1" t="s">
        <v>158</v>
      </c>
      <c r="I1644" s="1">
        <v>2051.31</v>
      </c>
      <c r="J1644" s="1">
        <v>10</v>
      </c>
      <c r="K1644" s="1">
        <v>20513.099999999999</v>
      </c>
      <c r="L1644" s="1">
        <v>15</v>
      </c>
      <c r="M1644" s="1">
        <v>3076.96</v>
      </c>
      <c r="N1644" s="1">
        <v>17436.14</v>
      </c>
      <c r="O1644" s="1" t="s">
        <v>64</v>
      </c>
      <c r="P1644" s="1" t="s">
        <v>886</v>
      </c>
      <c r="Q1644" s="1">
        <v>2</v>
      </c>
      <c r="R1644" s="1">
        <f>Retail_Sales_Analyis[[#This Row],[Final_Price]]-Retail_Sales_Analyis[[#This Row],[Total_Price]]</f>
        <v>-3076.9599999999991</v>
      </c>
      <c r="S16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45" spans="1:19" x14ac:dyDescent="0.25">
      <c r="A1645" s="1" t="s">
        <v>2577</v>
      </c>
      <c r="B1645" s="2">
        <v>45637</v>
      </c>
      <c r="C1645" s="1" t="s">
        <v>73</v>
      </c>
      <c r="D1645" s="1" t="s">
        <v>55</v>
      </c>
      <c r="E1645" s="1" t="s">
        <v>29</v>
      </c>
      <c r="F1645" s="1" t="s">
        <v>37</v>
      </c>
      <c r="G1645" s="1" t="s">
        <v>57</v>
      </c>
      <c r="H1645" s="1" t="s">
        <v>101</v>
      </c>
      <c r="I1645" s="1">
        <v>1530.31</v>
      </c>
      <c r="J1645" s="1">
        <v>7</v>
      </c>
      <c r="K1645" s="1">
        <v>10712.17</v>
      </c>
      <c r="L1645" s="1">
        <v>0</v>
      </c>
      <c r="M1645" s="1">
        <v>0</v>
      </c>
      <c r="N1645" s="1">
        <v>10712.17</v>
      </c>
      <c r="O1645" s="1" t="s">
        <v>46</v>
      </c>
      <c r="P1645" s="1" t="s">
        <v>149</v>
      </c>
      <c r="Q1645" s="1">
        <v>2</v>
      </c>
      <c r="R1645" s="1">
        <f>Retail_Sales_Analyis[[#This Row],[Final_Price]]-Retail_Sales_Analyis[[#This Row],[Total_Price]]</f>
        <v>0</v>
      </c>
      <c r="S16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6" spans="1:19" x14ac:dyDescent="0.25">
      <c r="A1646" s="1" t="s">
        <v>2578</v>
      </c>
      <c r="B1646" s="2">
        <v>45333</v>
      </c>
      <c r="C1646" s="1" t="s">
        <v>27</v>
      </c>
      <c r="D1646" s="1" t="s">
        <v>49</v>
      </c>
      <c r="E1646" s="1" t="s">
        <v>236</v>
      </c>
      <c r="F1646" s="1" t="s">
        <v>30</v>
      </c>
      <c r="G1646" s="1" t="s">
        <v>38</v>
      </c>
      <c r="H1646" s="1" t="s">
        <v>422</v>
      </c>
      <c r="I1646" s="1">
        <v>489.41</v>
      </c>
      <c r="J1646" s="1">
        <v>2</v>
      </c>
      <c r="K1646" s="1">
        <v>978.82</v>
      </c>
      <c r="L1646" s="1">
        <v>5</v>
      </c>
      <c r="M1646" s="1">
        <v>48.94</v>
      </c>
      <c r="N1646" s="1">
        <v>929.88</v>
      </c>
      <c r="O1646" s="1" t="s">
        <v>46</v>
      </c>
      <c r="P1646" s="1" t="s">
        <v>2579</v>
      </c>
      <c r="Q1646" s="1">
        <v>1</v>
      </c>
      <c r="R1646" s="1">
        <f>Retail_Sales_Analyis[[#This Row],[Final_Price]]-Retail_Sales_Analyis[[#This Row],[Total_Price]]</f>
        <v>-48.940000000000055</v>
      </c>
      <c r="S16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47" spans="1:19" x14ac:dyDescent="0.25">
      <c r="A1647" s="1" t="s">
        <v>2580</v>
      </c>
      <c r="B1647" s="2">
        <v>45431</v>
      </c>
      <c r="C1647" s="1" t="s">
        <v>42</v>
      </c>
      <c r="D1647" s="1" t="s">
        <v>49</v>
      </c>
      <c r="E1647" s="1" t="s">
        <v>302</v>
      </c>
      <c r="F1647" s="1" t="s">
        <v>30</v>
      </c>
      <c r="G1647" s="1" t="s">
        <v>38</v>
      </c>
      <c r="H1647" s="1" t="s">
        <v>422</v>
      </c>
      <c r="I1647" s="1">
        <v>446.91</v>
      </c>
      <c r="J1647" s="1">
        <v>5</v>
      </c>
      <c r="K1647" s="1">
        <v>2234.5500000000002</v>
      </c>
      <c r="L1647" s="1">
        <v>0</v>
      </c>
      <c r="M1647" s="1">
        <v>0</v>
      </c>
      <c r="N1647" s="1">
        <v>2234.5500000000002</v>
      </c>
      <c r="O1647" s="1" t="s">
        <v>80</v>
      </c>
      <c r="P1647" s="1" t="s">
        <v>2581</v>
      </c>
      <c r="Q1647" s="1">
        <v>1</v>
      </c>
      <c r="R1647" s="1">
        <f>Retail_Sales_Analyis[[#This Row],[Final_Price]]-Retail_Sales_Analyis[[#This Row],[Total_Price]]</f>
        <v>0</v>
      </c>
      <c r="S16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8" spans="1:19" x14ac:dyDescent="0.25">
      <c r="A1648" s="1" t="s">
        <v>2582</v>
      </c>
      <c r="B1648" s="2">
        <v>45518</v>
      </c>
      <c r="C1648" s="1" t="s">
        <v>93</v>
      </c>
      <c r="D1648" s="1" t="s">
        <v>55</v>
      </c>
      <c r="E1648" s="1" t="s">
        <v>207</v>
      </c>
      <c r="F1648" s="1" t="s">
        <v>37</v>
      </c>
      <c r="G1648" s="1" t="s">
        <v>112</v>
      </c>
      <c r="H1648" s="1" t="s">
        <v>113</v>
      </c>
      <c r="I1648" s="1">
        <v>1545.52</v>
      </c>
      <c r="J1648" s="1">
        <v>5</v>
      </c>
      <c r="K1648" s="1">
        <v>7727.6</v>
      </c>
      <c r="L1648" s="1">
        <v>0</v>
      </c>
      <c r="M1648" s="1">
        <v>0</v>
      </c>
      <c r="N1648" s="1">
        <v>7727.6</v>
      </c>
      <c r="O1648" s="1" t="s">
        <v>80</v>
      </c>
      <c r="P1648" s="1" t="s">
        <v>369</v>
      </c>
      <c r="Q1648" s="1">
        <v>4</v>
      </c>
      <c r="R1648" s="1">
        <f>Retail_Sales_Analyis[[#This Row],[Final_Price]]-Retail_Sales_Analyis[[#This Row],[Total_Price]]</f>
        <v>0</v>
      </c>
      <c r="S16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49" spans="1:19" x14ac:dyDescent="0.25">
      <c r="A1649" s="1" t="s">
        <v>2583</v>
      </c>
      <c r="B1649" s="2">
        <v>45630</v>
      </c>
      <c r="C1649" s="1" t="s">
        <v>73</v>
      </c>
      <c r="D1649" s="1" t="s">
        <v>55</v>
      </c>
      <c r="E1649" s="1" t="s">
        <v>141</v>
      </c>
      <c r="F1649" s="1" t="s">
        <v>84</v>
      </c>
      <c r="G1649" s="1" t="s">
        <v>31</v>
      </c>
      <c r="H1649" s="1" t="s">
        <v>329</v>
      </c>
      <c r="I1649" s="1">
        <v>397.58</v>
      </c>
      <c r="J1649" s="1">
        <v>3</v>
      </c>
      <c r="K1649" s="1">
        <v>1192.74</v>
      </c>
      <c r="L1649" s="1">
        <v>15</v>
      </c>
      <c r="M1649" s="1">
        <v>178.91</v>
      </c>
      <c r="N1649" s="1">
        <v>1013.83</v>
      </c>
      <c r="O1649" s="1" t="s">
        <v>46</v>
      </c>
      <c r="P1649" s="1" t="s">
        <v>2584</v>
      </c>
      <c r="Q1649" s="1">
        <v>5</v>
      </c>
      <c r="R1649" s="1">
        <f>Retail_Sales_Analyis[[#This Row],[Final_Price]]-Retail_Sales_Analyis[[#This Row],[Total_Price]]</f>
        <v>-178.90999999999997</v>
      </c>
      <c r="S16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50" spans="1:19" x14ac:dyDescent="0.25">
      <c r="A1650" s="1" t="s">
        <v>2585</v>
      </c>
      <c r="B1650" s="2">
        <v>45509</v>
      </c>
      <c r="C1650" s="1" t="s">
        <v>93</v>
      </c>
      <c r="D1650" s="1" t="s">
        <v>43</v>
      </c>
      <c r="E1650" s="1" t="s">
        <v>163</v>
      </c>
      <c r="F1650" s="1" t="s">
        <v>21</v>
      </c>
      <c r="G1650" s="1" t="s">
        <v>112</v>
      </c>
      <c r="H1650" s="1" t="s">
        <v>183</v>
      </c>
      <c r="I1650" s="1">
        <v>1311.56</v>
      </c>
      <c r="J1650" s="1">
        <v>1</v>
      </c>
      <c r="K1650" s="1">
        <v>1311.56</v>
      </c>
      <c r="L1650" s="1">
        <v>20</v>
      </c>
      <c r="M1650" s="1">
        <v>262.31</v>
      </c>
      <c r="N1650" s="1">
        <v>1049.25</v>
      </c>
      <c r="O1650" s="1" t="s">
        <v>33</v>
      </c>
      <c r="P1650" s="1" t="s">
        <v>547</v>
      </c>
      <c r="Q1650" s="1">
        <v>4</v>
      </c>
      <c r="R1650" s="1">
        <f>Retail_Sales_Analyis[[#This Row],[Final_Price]]-Retail_Sales_Analyis[[#This Row],[Total_Price]]</f>
        <v>-262.30999999999995</v>
      </c>
      <c r="S165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51" spans="1:19" x14ac:dyDescent="0.25">
      <c r="A1651" s="1" t="s">
        <v>2586</v>
      </c>
      <c r="B1651" s="2">
        <v>45540</v>
      </c>
      <c r="C1651" s="1" t="s">
        <v>116</v>
      </c>
      <c r="D1651" s="1" t="s">
        <v>67</v>
      </c>
      <c r="E1651" s="1" t="s">
        <v>166</v>
      </c>
      <c r="F1651" s="1" t="s">
        <v>84</v>
      </c>
      <c r="G1651" s="1" t="s">
        <v>38</v>
      </c>
      <c r="H1651" s="1" t="s">
        <v>39</v>
      </c>
      <c r="I1651" s="1">
        <v>410</v>
      </c>
      <c r="J1651" s="1">
        <v>7</v>
      </c>
      <c r="K1651" s="1">
        <v>2870</v>
      </c>
      <c r="L1651" s="1">
        <v>10</v>
      </c>
      <c r="M1651" s="1">
        <v>287</v>
      </c>
      <c r="N1651" s="1">
        <v>2583</v>
      </c>
      <c r="O1651" s="1" t="s">
        <v>24</v>
      </c>
      <c r="P1651" s="1" t="s">
        <v>1203</v>
      </c>
      <c r="Q1651" s="1">
        <v>2</v>
      </c>
      <c r="R1651" s="1">
        <f>Retail_Sales_Analyis[[#This Row],[Final_Price]]-Retail_Sales_Analyis[[#This Row],[Total_Price]]</f>
        <v>-287</v>
      </c>
      <c r="S16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52" spans="1:19" x14ac:dyDescent="0.25">
      <c r="A1652" s="1" t="s">
        <v>2587</v>
      </c>
      <c r="B1652" s="2">
        <v>45602</v>
      </c>
      <c r="C1652" s="1" t="s">
        <v>18</v>
      </c>
      <c r="D1652" s="1" t="s">
        <v>55</v>
      </c>
      <c r="E1652" s="1" t="s">
        <v>50</v>
      </c>
      <c r="F1652" s="1" t="s">
        <v>21</v>
      </c>
      <c r="G1652" s="1" t="s">
        <v>22</v>
      </c>
      <c r="H1652" s="1" t="s">
        <v>51</v>
      </c>
      <c r="I1652" s="1">
        <v>957.75</v>
      </c>
      <c r="J1652" s="1">
        <v>9</v>
      </c>
      <c r="K1652" s="1">
        <v>8619.75</v>
      </c>
      <c r="L1652" s="1">
        <v>5</v>
      </c>
      <c r="M1652" s="1">
        <v>430.99</v>
      </c>
      <c r="N1652" s="1">
        <v>8188.76</v>
      </c>
      <c r="O1652" s="1" t="s">
        <v>80</v>
      </c>
      <c r="P1652" s="1" t="s">
        <v>1725</v>
      </c>
      <c r="Q1652" s="1">
        <v>5</v>
      </c>
      <c r="R1652" s="1">
        <f>Retail_Sales_Analyis[[#This Row],[Final_Price]]-Retail_Sales_Analyis[[#This Row],[Total_Price]]</f>
        <v>-430.98999999999978</v>
      </c>
      <c r="S16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53" spans="1:19" x14ac:dyDescent="0.25">
      <c r="A1653" s="1" t="s">
        <v>2588</v>
      </c>
      <c r="B1653" s="2">
        <v>45518</v>
      </c>
      <c r="C1653" s="1" t="s">
        <v>93</v>
      </c>
      <c r="D1653" s="1" t="s">
        <v>55</v>
      </c>
      <c r="E1653" s="1" t="s">
        <v>351</v>
      </c>
      <c r="F1653" s="1" t="s">
        <v>37</v>
      </c>
      <c r="G1653" s="1" t="s">
        <v>22</v>
      </c>
      <c r="H1653" s="1" t="s">
        <v>187</v>
      </c>
      <c r="I1653" s="1">
        <v>639.64</v>
      </c>
      <c r="J1653" s="1">
        <v>5</v>
      </c>
      <c r="K1653" s="1">
        <v>3198.2</v>
      </c>
      <c r="L1653" s="1">
        <v>10</v>
      </c>
      <c r="M1653" s="1">
        <v>319.82</v>
      </c>
      <c r="N1653" s="1">
        <v>2878.38</v>
      </c>
      <c r="O1653" s="1" t="s">
        <v>33</v>
      </c>
      <c r="P1653" s="1" t="s">
        <v>1835</v>
      </c>
      <c r="Q1653" s="1">
        <v>5</v>
      </c>
      <c r="R1653" s="1">
        <f>Retail_Sales_Analyis[[#This Row],[Final_Price]]-Retail_Sales_Analyis[[#This Row],[Total_Price]]</f>
        <v>-319.81999999999971</v>
      </c>
      <c r="S16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54" spans="1:19" x14ac:dyDescent="0.25">
      <c r="A1654" s="1" t="s">
        <v>2589</v>
      </c>
      <c r="B1654" s="2">
        <v>45504</v>
      </c>
      <c r="C1654" s="1" t="s">
        <v>195</v>
      </c>
      <c r="D1654" s="1" t="s">
        <v>55</v>
      </c>
      <c r="E1654" s="1" t="s">
        <v>322</v>
      </c>
      <c r="F1654" s="1" t="s">
        <v>84</v>
      </c>
      <c r="G1654" s="1" t="s">
        <v>78</v>
      </c>
      <c r="H1654" s="1" t="s">
        <v>126</v>
      </c>
      <c r="I1654" s="1">
        <v>267.55</v>
      </c>
      <c r="J1654" s="1">
        <v>6</v>
      </c>
      <c r="K1654" s="1">
        <v>1605.3</v>
      </c>
      <c r="L1654" s="1">
        <v>20</v>
      </c>
      <c r="M1654" s="1">
        <v>321.06</v>
      </c>
      <c r="N1654" s="1">
        <v>1284.24</v>
      </c>
      <c r="O1654" s="1" t="s">
        <v>24</v>
      </c>
      <c r="P1654" s="1" t="s">
        <v>2590</v>
      </c>
      <c r="Q1654" s="1">
        <v>1</v>
      </c>
      <c r="R1654" s="1">
        <f>Retail_Sales_Analyis[[#This Row],[Final_Price]]-Retail_Sales_Analyis[[#This Row],[Total_Price]]</f>
        <v>-321.05999999999995</v>
      </c>
      <c r="S16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55" spans="1:19" x14ac:dyDescent="0.25">
      <c r="A1655" s="1" t="s">
        <v>2591</v>
      </c>
      <c r="B1655" s="2">
        <v>45431</v>
      </c>
      <c r="C1655" s="1" t="s">
        <v>42</v>
      </c>
      <c r="D1655" s="1" t="s">
        <v>49</v>
      </c>
      <c r="E1655" s="1" t="s">
        <v>168</v>
      </c>
      <c r="F1655" s="1" t="s">
        <v>37</v>
      </c>
      <c r="G1655" s="1" t="s">
        <v>85</v>
      </c>
      <c r="H1655" s="1" t="s">
        <v>297</v>
      </c>
      <c r="I1655" s="1">
        <v>4379.2700000000004</v>
      </c>
      <c r="J1655" s="1">
        <v>8</v>
      </c>
      <c r="K1655" s="1">
        <v>35034.160000000003</v>
      </c>
      <c r="L1655" s="1">
        <v>0</v>
      </c>
      <c r="M1655" s="1">
        <v>0</v>
      </c>
      <c r="N1655" s="1">
        <v>35034.160000000003</v>
      </c>
      <c r="O1655" s="1" t="s">
        <v>64</v>
      </c>
      <c r="P1655" s="1" t="s">
        <v>988</v>
      </c>
      <c r="Q1655" s="1">
        <v>4</v>
      </c>
      <c r="R1655" s="1">
        <f>Retail_Sales_Analyis[[#This Row],[Final_Price]]-Retail_Sales_Analyis[[#This Row],[Total_Price]]</f>
        <v>0</v>
      </c>
      <c r="S16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56" spans="1:19" x14ac:dyDescent="0.25">
      <c r="A1656" s="1" t="s">
        <v>2592</v>
      </c>
      <c r="B1656" s="2">
        <v>45402</v>
      </c>
      <c r="C1656" s="1" t="s">
        <v>54</v>
      </c>
      <c r="D1656" s="1" t="s">
        <v>19</v>
      </c>
      <c r="E1656" s="1" t="s">
        <v>89</v>
      </c>
      <c r="F1656" s="1" t="s">
        <v>84</v>
      </c>
      <c r="G1656" s="1" t="s">
        <v>169</v>
      </c>
      <c r="H1656" s="1" t="s">
        <v>208</v>
      </c>
      <c r="I1656" s="1">
        <v>869.38</v>
      </c>
      <c r="J1656" s="1">
        <v>7</v>
      </c>
      <c r="K1656" s="1">
        <v>6085.66</v>
      </c>
      <c r="L1656" s="1">
        <v>15</v>
      </c>
      <c r="M1656" s="1">
        <v>912.85</v>
      </c>
      <c r="N1656" s="1">
        <v>5172.8100000000004</v>
      </c>
      <c r="O1656" s="1" t="s">
        <v>24</v>
      </c>
      <c r="P1656" s="1" t="s">
        <v>1022</v>
      </c>
      <c r="Q1656" s="1">
        <v>2</v>
      </c>
      <c r="R1656" s="1">
        <f>Retail_Sales_Analyis[[#This Row],[Final_Price]]-Retail_Sales_Analyis[[#This Row],[Total_Price]]</f>
        <v>-912.84999999999945</v>
      </c>
      <c r="S16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57" spans="1:19" x14ac:dyDescent="0.25">
      <c r="A1657" s="1" t="s">
        <v>2593</v>
      </c>
      <c r="B1657" s="2">
        <v>45554</v>
      </c>
      <c r="C1657" s="1" t="s">
        <v>116</v>
      </c>
      <c r="D1657" s="1" t="s">
        <v>67</v>
      </c>
      <c r="E1657" s="1" t="s">
        <v>213</v>
      </c>
      <c r="F1657" s="1" t="s">
        <v>84</v>
      </c>
      <c r="G1657" s="1" t="s">
        <v>22</v>
      </c>
      <c r="H1657" s="1" t="s">
        <v>23</v>
      </c>
      <c r="I1657" s="1">
        <v>537</v>
      </c>
      <c r="J1657" s="1">
        <v>4</v>
      </c>
      <c r="K1657" s="1">
        <v>2148</v>
      </c>
      <c r="L1657" s="1">
        <v>5</v>
      </c>
      <c r="M1657" s="1">
        <v>107.4</v>
      </c>
      <c r="N1657" s="1">
        <v>2040.6</v>
      </c>
      <c r="O1657" s="1" t="s">
        <v>64</v>
      </c>
      <c r="P1657" s="1" t="s">
        <v>320</v>
      </c>
      <c r="Q1657" s="1">
        <v>1</v>
      </c>
      <c r="R1657" s="1">
        <f>Retail_Sales_Analyis[[#This Row],[Final_Price]]-Retail_Sales_Analyis[[#This Row],[Total_Price]]</f>
        <v>-107.40000000000009</v>
      </c>
      <c r="S165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58" spans="1:19" x14ac:dyDescent="0.25">
      <c r="A1658" s="1" t="s">
        <v>2594</v>
      </c>
      <c r="B1658" s="2">
        <v>45350</v>
      </c>
      <c r="C1658" s="1" t="s">
        <v>27</v>
      </c>
      <c r="D1658" s="1" t="s">
        <v>55</v>
      </c>
      <c r="E1658" s="1" t="s">
        <v>337</v>
      </c>
      <c r="F1658" s="1" t="s">
        <v>84</v>
      </c>
      <c r="G1658" s="1" t="s">
        <v>78</v>
      </c>
      <c r="H1658" s="1" t="s">
        <v>323</v>
      </c>
      <c r="I1658" s="1">
        <v>419.77</v>
      </c>
      <c r="J1658" s="1">
        <v>7</v>
      </c>
      <c r="K1658" s="1">
        <v>2938.39</v>
      </c>
      <c r="L1658" s="1">
        <v>5</v>
      </c>
      <c r="M1658" s="1">
        <v>146.91999999999999</v>
      </c>
      <c r="N1658" s="1">
        <v>2791.47</v>
      </c>
      <c r="O1658" s="1" t="s">
        <v>24</v>
      </c>
      <c r="P1658" s="1" t="s">
        <v>1449</v>
      </c>
      <c r="Q1658" s="1">
        <v>1</v>
      </c>
      <c r="R1658" s="1">
        <f>Retail_Sales_Analyis[[#This Row],[Final_Price]]-Retail_Sales_Analyis[[#This Row],[Total_Price]]</f>
        <v>-146.92000000000007</v>
      </c>
      <c r="S16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59" spans="1:19" x14ac:dyDescent="0.25">
      <c r="A1659" s="1" t="s">
        <v>2595</v>
      </c>
      <c r="B1659" s="2">
        <v>45468</v>
      </c>
      <c r="C1659" s="1" t="s">
        <v>173</v>
      </c>
      <c r="D1659" s="1" t="s">
        <v>28</v>
      </c>
      <c r="E1659" s="1" t="s">
        <v>94</v>
      </c>
      <c r="F1659" s="1" t="s">
        <v>69</v>
      </c>
      <c r="G1659" s="1" t="s">
        <v>38</v>
      </c>
      <c r="H1659" s="1" t="s">
        <v>214</v>
      </c>
      <c r="I1659" s="1">
        <v>309.10000000000002</v>
      </c>
      <c r="J1659" s="1">
        <v>10</v>
      </c>
      <c r="K1659" s="1">
        <v>3091</v>
      </c>
      <c r="L1659" s="1">
        <v>0</v>
      </c>
      <c r="M1659" s="1">
        <v>0</v>
      </c>
      <c r="N1659" s="1">
        <v>3091</v>
      </c>
      <c r="O1659" s="1" t="s">
        <v>64</v>
      </c>
      <c r="P1659" s="1" t="s">
        <v>257</v>
      </c>
      <c r="Q1659" s="1">
        <v>1</v>
      </c>
      <c r="R1659" s="1">
        <f>Retail_Sales_Analyis[[#This Row],[Final_Price]]-Retail_Sales_Analyis[[#This Row],[Total_Price]]</f>
        <v>0</v>
      </c>
      <c r="S16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0" spans="1:19" x14ac:dyDescent="0.25">
      <c r="A1660" s="1" t="s">
        <v>2596</v>
      </c>
      <c r="B1660" s="2">
        <v>45512</v>
      </c>
      <c r="C1660" s="1" t="s">
        <v>93</v>
      </c>
      <c r="D1660" s="1" t="s">
        <v>67</v>
      </c>
      <c r="E1660" s="1" t="s">
        <v>166</v>
      </c>
      <c r="F1660" s="1" t="s">
        <v>69</v>
      </c>
      <c r="G1660" s="1" t="s">
        <v>38</v>
      </c>
      <c r="H1660" s="1" t="s">
        <v>70</v>
      </c>
      <c r="I1660" s="1">
        <v>529.37</v>
      </c>
      <c r="J1660" s="1">
        <v>7</v>
      </c>
      <c r="K1660" s="1">
        <v>3705.59</v>
      </c>
      <c r="L1660" s="1">
        <v>5</v>
      </c>
      <c r="M1660" s="1">
        <v>185.28</v>
      </c>
      <c r="N1660" s="1">
        <v>3520.31</v>
      </c>
      <c r="O1660" s="1" t="s">
        <v>33</v>
      </c>
      <c r="P1660" s="1" t="s">
        <v>2597</v>
      </c>
      <c r="Q1660" s="1">
        <v>1</v>
      </c>
      <c r="R1660" s="1">
        <f>Retail_Sales_Analyis[[#This Row],[Final_Price]]-Retail_Sales_Analyis[[#This Row],[Total_Price]]</f>
        <v>-185.2800000000002</v>
      </c>
      <c r="S16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61" spans="1:19" x14ac:dyDescent="0.25">
      <c r="A1661" s="1" t="s">
        <v>2598</v>
      </c>
      <c r="B1661" s="2">
        <v>45348</v>
      </c>
      <c r="C1661" s="1" t="s">
        <v>27</v>
      </c>
      <c r="D1661" s="1" t="s">
        <v>43</v>
      </c>
      <c r="E1661" s="1" t="s">
        <v>44</v>
      </c>
      <c r="F1661" s="1" t="s">
        <v>69</v>
      </c>
      <c r="G1661" s="1" t="s">
        <v>85</v>
      </c>
      <c r="H1661" s="1" t="s">
        <v>297</v>
      </c>
      <c r="I1661" s="1">
        <v>4280.7700000000004</v>
      </c>
      <c r="J1661" s="1">
        <v>5</v>
      </c>
      <c r="K1661" s="1">
        <v>21403.85</v>
      </c>
      <c r="L1661" s="1">
        <v>0</v>
      </c>
      <c r="M1661" s="1">
        <v>0</v>
      </c>
      <c r="N1661" s="1">
        <v>21403.85</v>
      </c>
      <c r="O1661" s="1" t="s">
        <v>33</v>
      </c>
      <c r="P1661" s="1" t="s">
        <v>1447</v>
      </c>
      <c r="Q1661" s="1">
        <v>3</v>
      </c>
      <c r="R1661" s="1">
        <f>Retail_Sales_Analyis[[#This Row],[Final_Price]]-Retail_Sales_Analyis[[#This Row],[Total_Price]]</f>
        <v>0</v>
      </c>
      <c r="S16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2" spans="1:19" x14ac:dyDescent="0.25">
      <c r="A1662" s="1" t="s">
        <v>2599</v>
      </c>
      <c r="B1662" s="2">
        <v>45437</v>
      </c>
      <c r="C1662" s="1" t="s">
        <v>42</v>
      </c>
      <c r="D1662" s="1" t="s">
        <v>19</v>
      </c>
      <c r="E1662" s="1" t="s">
        <v>186</v>
      </c>
      <c r="F1662" s="1" t="s">
        <v>84</v>
      </c>
      <c r="G1662" s="1" t="s">
        <v>112</v>
      </c>
      <c r="H1662" s="1" t="s">
        <v>183</v>
      </c>
      <c r="I1662" s="1">
        <v>1175.93</v>
      </c>
      <c r="J1662" s="1">
        <v>5</v>
      </c>
      <c r="K1662" s="1">
        <v>5879.65</v>
      </c>
      <c r="L1662" s="1">
        <v>20</v>
      </c>
      <c r="M1662" s="1">
        <v>1175.93</v>
      </c>
      <c r="N1662" s="1">
        <v>4703.72</v>
      </c>
      <c r="O1662" s="1" t="s">
        <v>46</v>
      </c>
      <c r="P1662" s="1" t="s">
        <v>95</v>
      </c>
      <c r="Q1662" s="1">
        <v>2</v>
      </c>
      <c r="R1662" s="1">
        <f>Retail_Sales_Analyis[[#This Row],[Final_Price]]-Retail_Sales_Analyis[[#This Row],[Total_Price]]</f>
        <v>-1175.9299999999994</v>
      </c>
      <c r="S16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63" spans="1:19" x14ac:dyDescent="0.25">
      <c r="A1663" s="1" t="s">
        <v>2600</v>
      </c>
      <c r="B1663" s="2">
        <v>45639</v>
      </c>
      <c r="C1663" s="1" t="s">
        <v>73</v>
      </c>
      <c r="D1663" s="1" t="s">
        <v>144</v>
      </c>
      <c r="E1663" s="1" t="s">
        <v>68</v>
      </c>
      <c r="F1663" s="1" t="s">
        <v>21</v>
      </c>
      <c r="G1663" s="1" t="s">
        <v>112</v>
      </c>
      <c r="H1663" s="1" t="s">
        <v>288</v>
      </c>
      <c r="I1663" s="1">
        <v>696.28</v>
      </c>
      <c r="J1663" s="1">
        <v>6</v>
      </c>
      <c r="K1663" s="1">
        <v>4177.68</v>
      </c>
      <c r="L1663" s="1">
        <v>0</v>
      </c>
      <c r="M1663" s="1">
        <v>0</v>
      </c>
      <c r="N1663" s="1">
        <v>4177.68</v>
      </c>
      <c r="O1663" s="1" t="s">
        <v>33</v>
      </c>
      <c r="P1663" s="1" t="s">
        <v>918</v>
      </c>
      <c r="Q1663" s="1">
        <v>4</v>
      </c>
      <c r="R1663" s="1">
        <f>Retail_Sales_Analyis[[#This Row],[Final_Price]]-Retail_Sales_Analyis[[#This Row],[Total_Price]]</f>
        <v>0</v>
      </c>
      <c r="S16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4" spans="1:19" x14ac:dyDescent="0.25">
      <c r="A1664" s="1" t="s">
        <v>2601</v>
      </c>
      <c r="B1664" s="2">
        <v>45639</v>
      </c>
      <c r="C1664" s="1" t="s">
        <v>73</v>
      </c>
      <c r="D1664" s="1" t="s">
        <v>144</v>
      </c>
      <c r="E1664" s="1" t="s">
        <v>89</v>
      </c>
      <c r="F1664" s="1" t="s">
        <v>84</v>
      </c>
      <c r="G1664" s="1" t="s">
        <v>22</v>
      </c>
      <c r="H1664" s="1" t="s">
        <v>277</v>
      </c>
      <c r="I1664" s="1">
        <v>760.48</v>
      </c>
      <c r="J1664" s="1">
        <v>1</v>
      </c>
      <c r="K1664" s="1">
        <v>760.48</v>
      </c>
      <c r="L1664" s="1">
        <v>0</v>
      </c>
      <c r="M1664" s="1">
        <v>0</v>
      </c>
      <c r="N1664" s="1">
        <v>760.48</v>
      </c>
      <c r="O1664" s="1" t="s">
        <v>33</v>
      </c>
      <c r="P1664" s="1" t="s">
        <v>800</v>
      </c>
      <c r="Q1664" s="1">
        <v>3</v>
      </c>
      <c r="R1664" s="1">
        <f>Retail_Sales_Analyis[[#This Row],[Final_Price]]-Retail_Sales_Analyis[[#This Row],[Total_Price]]</f>
        <v>0</v>
      </c>
      <c r="S16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5" spans="1:19" x14ac:dyDescent="0.25">
      <c r="A1665" s="1" t="s">
        <v>2602</v>
      </c>
      <c r="B1665" s="2">
        <v>45595</v>
      </c>
      <c r="C1665" s="1" t="s">
        <v>76</v>
      </c>
      <c r="D1665" s="1" t="s">
        <v>55</v>
      </c>
      <c r="E1665" s="1" t="s">
        <v>129</v>
      </c>
      <c r="F1665" s="1" t="s">
        <v>21</v>
      </c>
      <c r="G1665" s="1" t="s">
        <v>57</v>
      </c>
      <c r="H1665" s="1" t="s">
        <v>152</v>
      </c>
      <c r="I1665" s="1">
        <v>225.64</v>
      </c>
      <c r="J1665" s="1">
        <v>7</v>
      </c>
      <c r="K1665" s="1">
        <v>1579.48</v>
      </c>
      <c r="L1665" s="1">
        <v>0</v>
      </c>
      <c r="M1665" s="1">
        <v>0</v>
      </c>
      <c r="N1665" s="1">
        <v>1579.48</v>
      </c>
      <c r="O1665" s="1" t="s">
        <v>64</v>
      </c>
      <c r="P1665" s="1" t="s">
        <v>902</v>
      </c>
      <c r="Q1665" s="1">
        <v>1</v>
      </c>
      <c r="R1665" s="1">
        <f>Retail_Sales_Analyis[[#This Row],[Final_Price]]-Retail_Sales_Analyis[[#This Row],[Total_Price]]</f>
        <v>0</v>
      </c>
      <c r="S16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6" spans="1:19" x14ac:dyDescent="0.25">
      <c r="A1666" s="1" t="s">
        <v>2603</v>
      </c>
      <c r="B1666" s="2">
        <v>45541</v>
      </c>
      <c r="C1666" s="1" t="s">
        <v>116</v>
      </c>
      <c r="D1666" s="1" t="s">
        <v>144</v>
      </c>
      <c r="E1666" s="1" t="s">
        <v>207</v>
      </c>
      <c r="F1666" s="1" t="s">
        <v>21</v>
      </c>
      <c r="G1666" s="1" t="s">
        <v>85</v>
      </c>
      <c r="H1666" s="1" t="s">
        <v>86</v>
      </c>
      <c r="I1666" s="1">
        <v>2712.73</v>
      </c>
      <c r="J1666" s="1">
        <v>8</v>
      </c>
      <c r="K1666" s="1">
        <v>21701.84</v>
      </c>
      <c r="L1666" s="1">
        <v>15</v>
      </c>
      <c r="M1666" s="1">
        <v>3255.28</v>
      </c>
      <c r="N1666" s="1">
        <v>18446.560000000001</v>
      </c>
      <c r="O1666" s="1" t="s">
        <v>33</v>
      </c>
      <c r="P1666" s="1" t="s">
        <v>300</v>
      </c>
      <c r="Q1666" s="1">
        <v>3</v>
      </c>
      <c r="R1666" s="1">
        <f>Retail_Sales_Analyis[[#This Row],[Final_Price]]-Retail_Sales_Analyis[[#This Row],[Total_Price]]</f>
        <v>-3255.2799999999988</v>
      </c>
      <c r="S16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67" spans="1:19" x14ac:dyDescent="0.25">
      <c r="A1667" s="1" t="s">
        <v>2604</v>
      </c>
      <c r="B1667" s="2">
        <v>45561</v>
      </c>
      <c r="C1667" s="1" t="s">
        <v>116</v>
      </c>
      <c r="D1667" s="1" t="s">
        <v>67</v>
      </c>
      <c r="E1667" s="1" t="s">
        <v>199</v>
      </c>
      <c r="F1667" s="1" t="s">
        <v>37</v>
      </c>
      <c r="G1667" s="1" t="s">
        <v>78</v>
      </c>
      <c r="H1667" s="1" t="s">
        <v>126</v>
      </c>
      <c r="I1667" s="1">
        <v>180.3</v>
      </c>
      <c r="J1667" s="1">
        <v>1</v>
      </c>
      <c r="K1667" s="1">
        <v>180.3</v>
      </c>
      <c r="L1667" s="1">
        <v>0</v>
      </c>
      <c r="M1667" s="1">
        <v>0</v>
      </c>
      <c r="N1667" s="1">
        <v>180.3</v>
      </c>
      <c r="O1667" s="1" t="s">
        <v>24</v>
      </c>
      <c r="P1667" s="1" t="s">
        <v>142</v>
      </c>
      <c r="Q1667" s="1">
        <v>2</v>
      </c>
      <c r="R1667" s="1">
        <f>Retail_Sales_Analyis[[#This Row],[Final_Price]]-Retail_Sales_Analyis[[#This Row],[Total_Price]]</f>
        <v>0</v>
      </c>
      <c r="S16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68" spans="1:19" x14ac:dyDescent="0.25">
      <c r="A1668" s="1" t="s">
        <v>2605</v>
      </c>
      <c r="B1668" s="2">
        <v>45633</v>
      </c>
      <c r="C1668" s="1" t="s">
        <v>73</v>
      </c>
      <c r="D1668" s="1" t="s">
        <v>19</v>
      </c>
      <c r="E1668" s="1" t="s">
        <v>111</v>
      </c>
      <c r="F1668" s="1" t="s">
        <v>37</v>
      </c>
      <c r="G1668" s="1" t="s">
        <v>78</v>
      </c>
      <c r="H1668" s="1" t="s">
        <v>126</v>
      </c>
      <c r="I1668" s="1">
        <v>516.88</v>
      </c>
      <c r="J1668" s="1">
        <v>5</v>
      </c>
      <c r="K1668" s="1">
        <v>2584.4</v>
      </c>
      <c r="L1668" s="1">
        <v>10</v>
      </c>
      <c r="M1668" s="1">
        <v>258.44</v>
      </c>
      <c r="N1668" s="1">
        <v>2325.96</v>
      </c>
      <c r="O1668" s="1" t="s">
        <v>80</v>
      </c>
      <c r="P1668" s="1" t="s">
        <v>1652</v>
      </c>
      <c r="Q1668" s="1">
        <v>4</v>
      </c>
      <c r="R1668" s="1">
        <f>Retail_Sales_Analyis[[#This Row],[Final_Price]]-Retail_Sales_Analyis[[#This Row],[Total_Price]]</f>
        <v>-258.44000000000005</v>
      </c>
      <c r="S16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69" spans="1:19" x14ac:dyDescent="0.25">
      <c r="A1669" s="1" t="s">
        <v>2606</v>
      </c>
      <c r="B1669" s="2">
        <v>45449</v>
      </c>
      <c r="C1669" s="1" t="s">
        <v>173</v>
      </c>
      <c r="D1669" s="1" t="s">
        <v>67</v>
      </c>
      <c r="E1669" s="1" t="s">
        <v>163</v>
      </c>
      <c r="F1669" s="1" t="s">
        <v>21</v>
      </c>
      <c r="G1669" s="1" t="s">
        <v>112</v>
      </c>
      <c r="H1669" s="1" t="s">
        <v>223</v>
      </c>
      <c r="I1669" s="1">
        <v>1211.8800000000001</v>
      </c>
      <c r="J1669" s="1">
        <v>9</v>
      </c>
      <c r="K1669" s="1">
        <v>10906.92</v>
      </c>
      <c r="L1669" s="1">
        <v>5</v>
      </c>
      <c r="M1669" s="1">
        <v>545.35</v>
      </c>
      <c r="N1669" s="1">
        <v>10361.57</v>
      </c>
      <c r="O1669" s="1" t="s">
        <v>33</v>
      </c>
      <c r="P1669" s="1" t="s">
        <v>1391</v>
      </c>
      <c r="Q1669" s="1">
        <v>4</v>
      </c>
      <c r="R1669" s="1">
        <f>Retail_Sales_Analyis[[#This Row],[Final_Price]]-Retail_Sales_Analyis[[#This Row],[Total_Price]]</f>
        <v>-545.35000000000036</v>
      </c>
      <c r="S16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70" spans="1:19" x14ac:dyDescent="0.25">
      <c r="A1670" s="1" t="s">
        <v>2607</v>
      </c>
      <c r="B1670" s="2">
        <v>45315</v>
      </c>
      <c r="C1670" s="1" t="s">
        <v>36</v>
      </c>
      <c r="D1670" s="1" t="s">
        <v>55</v>
      </c>
      <c r="E1670" s="1" t="s">
        <v>312</v>
      </c>
      <c r="F1670" s="1" t="s">
        <v>21</v>
      </c>
      <c r="G1670" s="1" t="s">
        <v>169</v>
      </c>
      <c r="H1670" s="1" t="s">
        <v>366</v>
      </c>
      <c r="I1670" s="1">
        <v>993.41</v>
      </c>
      <c r="J1670" s="1">
        <v>6</v>
      </c>
      <c r="K1670" s="1">
        <v>5960.46</v>
      </c>
      <c r="L1670" s="1">
        <v>5</v>
      </c>
      <c r="M1670" s="1">
        <v>298.02</v>
      </c>
      <c r="N1670" s="1">
        <v>5662.44</v>
      </c>
      <c r="O1670" s="1" t="s">
        <v>24</v>
      </c>
      <c r="P1670" s="1" t="s">
        <v>399</v>
      </c>
      <c r="Q1670" s="1">
        <v>3</v>
      </c>
      <c r="R1670" s="1">
        <f>Retail_Sales_Analyis[[#This Row],[Final_Price]]-Retail_Sales_Analyis[[#This Row],[Total_Price]]</f>
        <v>-298.02000000000044</v>
      </c>
      <c r="S167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71" spans="1:19" x14ac:dyDescent="0.25">
      <c r="A1671" s="1" t="s">
        <v>2608</v>
      </c>
      <c r="B1671" s="2">
        <v>45404</v>
      </c>
      <c r="C1671" s="1" t="s">
        <v>54</v>
      </c>
      <c r="D1671" s="1" t="s">
        <v>43</v>
      </c>
      <c r="E1671" s="1" t="s">
        <v>236</v>
      </c>
      <c r="F1671" s="1" t="s">
        <v>37</v>
      </c>
      <c r="G1671" s="1" t="s">
        <v>22</v>
      </c>
      <c r="H1671" s="1" t="s">
        <v>277</v>
      </c>
      <c r="I1671" s="1">
        <v>882.19</v>
      </c>
      <c r="J1671" s="1">
        <v>7</v>
      </c>
      <c r="K1671" s="1">
        <v>6175.33</v>
      </c>
      <c r="L1671" s="1">
        <v>0</v>
      </c>
      <c r="M1671" s="1">
        <v>0</v>
      </c>
      <c r="N1671" s="1">
        <v>6175.33</v>
      </c>
      <c r="O1671" s="1" t="s">
        <v>64</v>
      </c>
      <c r="P1671" s="1" t="s">
        <v>114</v>
      </c>
      <c r="Q1671" s="1">
        <v>1</v>
      </c>
      <c r="R1671" s="1">
        <f>Retail_Sales_Analyis[[#This Row],[Final_Price]]-Retail_Sales_Analyis[[#This Row],[Total_Price]]</f>
        <v>0</v>
      </c>
      <c r="S16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2" spans="1:19" x14ac:dyDescent="0.25">
      <c r="A1672" s="1" t="s">
        <v>2609</v>
      </c>
      <c r="B1672" s="2">
        <v>45494</v>
      </c>
      <c r="C1672" s="1" t="s">
        <v>195</v>
      </c>
      <c r="D1672" s="1" t="s">
        <v>49</v>
      </c>
      <c r="E1672" s="1" t="s">
        <v>411</v>
      </c>
      <c r="F1672" s="1" t="s">
        <v>84</v>
      </c>
      <c r="G1672" s="1" t="s">
        <v>38</v>
      </c>
      <c r="H1672" s="1" t="s">
        <v>214</v>
      </c>
      <c r="I1672" s="1">
        <v>614.79</v>
      </c>
      <c r="J1672" s="1">
        <v>8</v>
      </c>
      <c r="K1672" s="1">
        <v>4918.32</v>
      </c>
      <c r="L1672" s="1">
        <v>0</v>
      </c>
      <c r="M1672" s="1">
        <v>0</v>
      </c>
      <c r="N1672" s="1">
        <v>4918.32</v>
      </c>
      <c r="O1672" s="1" t="s">
        <v>64</v>
      </c>
      <c r="P1672" s="1" t="s">
        <v>2610</v>
      </c>
      <c r="Q1672" s="1">
        <v>4</v>
      </c>
      <c r="R1672" s="1">
        <f>Retail_Sales_Analyis[[#This Row],[Final_Price]]-Retail_Sales_Analyis[[#This Row],[Total_Price]]</f>
        <v>0</v>
      </c>
      <c r="S16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3" spans="1:19" x14ac:dyDescent="0.25">
      <c r="A1673" s="1" t="s">
        <v>2611</v>
      </c>
      <c r="B1673" s="2">
        <v>45598</v>
      </c>
      <c r="C1673" s="1" t="s">
        <v>18</v>
      </c>
      <c r="D1673" s="1" t="s">
        <v>19</v>
      </c>
      <c r="E1673" s="1" t="s">
        <v>151</v>
      </c>
      <c r="F1673" s="1" t="s">
        <v>84</v>
      </c>
      <c r="G1673" s="1" t="s">
        <v>22</v>
      </c>
      <c r="H1673" s="1" t="s">
        <v>187</v>
      </c>
      <c r="I1673" s="1">
        <v>238.47</v>
      </c>
      <c r="J1673" s="1">
        <v>9</v>
      </c>
      <c r="K1673" s="1">
        <v>2146.23</v>
      </c>
      <c r="L1673" s="1">
        <v>0</v>
      </c>
      <c r="M1673" s="1">
        <v>0</v>
      </c>
      <c r="N1673" s="1">
        <v>2146.23</v>
      </c>
      <c r="O1673" s="1" t="s">
        <v>64</v>
      </c>
      <c r="P1673" s="1" t="s">
        <v>202</v>
      </c>
      <c r="Q1673" s="1">
        <v>3</v>
      </c>
      <c r="R1673" s="1">
        <f>Retail_Sales_Analyis[[#This Row],[Final_Price]]-Retail_Sales_Analyis[[#This Row],[Total_Price]]</f>
        <v>0</v>
      </c>
      <c r="S16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4" spans="1:19" x14ac:dyDescent="0.25">
      <c r="A1674" s="1" t="s">
        <v>2612</v>
      </c>
      <c r="B1674" s="2">
        <v>45320</v>
      </c>
      <c r="C1674" s="1" t="s">
        <v>36</v>
      </c>
      <c r="D1674" s="1" t="s">
        <v>43</v>
      </c>
      <c r="E1674" s="1" t="s">
        <v>166</v>
      </c>
      <c r="F1674" s="1" t="s">
        <v>30</v>
      </c>
      <c r="G1674" s="1" t="s">
        <v>38</v>
      </c>
      <c r="H1674" s="1" t="s">
        <v>214</v>
      </c>
      <c r="I1674" s="1">
        <v>186.38</v>
      </c>
      <c r="J1674" s="1">
        <v>9</v>
      </c>
      <c r="K1674" s="1">
        <v>1677.42</v>
      </c>
      <c r="L1674" s="1">
        <v>15</v>
      </c>
      <c r="M1674" s="1">
        <v>251.61</v>
      </c>
      <c r="N1674" s="1">
        <v>1425.81</v>
      </c>
      <c r="O1674" s="1" t="s">
        <v>64</v>
      </c>
      <c r="P1674" s="1" t="s">
        <v>2613</v>
      </c>
      <c r="Q1674" s="1">
        <v>5</v>
      </c>
      <c r="R1674" s="1">
        <f>Retail_Sales_Analyis[[#This Row],[Final_Price]]-Retail_Sales_Analyis[[#This Row],[Total_Price]]</f>
        <v>-251.61000000000013</v>
      </c>
      <c r="S16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75" spans="1:19" x14ac:dyDescent="0.25">
      <c r="A1675" s="1" t="s">
        <v>2614</v>
      </c>
      <c r="B1675" s="2">
        <v>45295</v>
      </c>
      <c r="C1675" s="1" t="s">
        <v>36</v>
      </c>
      <c r="D1675" s="1" t="s">
        <v>67</v>
      </c>
      <c r="E1675" s="1" t="s">
        <v>94</v>
      </c>
      <c r="F1675" s="1" t="s">
        <v>69</v>
      </c>
      <c r="G1675" s="1" t="s">
        <v>38</v>
      </c>
      <c r="H1675" s="1" t="s">
        <v>39</v>
      </c>
      <c r="I1675" s="1">
        <v>122</v>
      </c>
      <c r="J1675" s="1">
        <v>7</v>
      </c>
      <c r="K1675" s="1">
        <v>854</v>
      </c>
      <c r="L1675" s="1">
        <v>0</v>
      </c>
      <c r="M1675" s="1">
        <v>0</v>
      </c>
      <c r="N1675" s="1">
        <v>854</v>
      </c>
      <c r="O1675" s="1" t="s">
        <v>46</v>
      </c>
      <c r="P1675" s="1" t="s">
        <v>381</v>
      </c>
      <c r="Q1675" s="1">
        <v>3</v>
      </c>
      <c r="R1675" s="1">
        <f>Retail_Sales_Analyis[[#This Row],[Final_Price]]-Retail_Sales_Analyis[[#This Row],[Total_Price]]</f>
        <v>0</v>
      </c>
      <c r="S16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6" spans="1:19" x14ac:dyDescent="0.25">
      <c r="A1676" s="1" t="s">
        <v>2615</v>
      </c>
      <c r="B1676" s="2">
        <v>45396</v>
      </c>
      <c r="C1676" s="1" t="s">
        <v>54</v>
      </c>
      <c r="D1676" s="1" t="s">
        <v>49</v>
      </c>
      <c r="E1676" s="1" t="s">
        <v>107</v>
      </c>
      <c r="F1676" s="1" t="s">
        <v>69</v>
      </c>
      <c r="G1676" s="1" t="s">
        <v>85</v>
      </c>
      <c r="H1676" s="1" t="s">
        <v>98</v>
      </c>
      <c r="I1676" s="1">
        <v>4382.04</v>
      </c>
      <c r="J1676" s="1">
        <v>2</v>
      </c>
      <c r="K1676" s="1">
        <v>8764.08</v>
      </c>
      <c r="L1676" s="1">
        <v>0</v>
      </c>
      <c r="M1676" s="1">
        <v>0</v>
      </c>
      <c r="N1676" s="1">
        <v>8764.08</v>
      </c>
      <c r="O1676" s="1" t="s">
        <v>64</v>
      </c>
      <c r="P1676" s="1" t="s">
        <v>1607</v>
      </c>
      <c r="Q1676" s="1">
        <v>2</v>
      </c>
      <c r="R1676" s="1">
        <f>Retail_Sales_Analyis[[#This Row],[Final_Price]]-Retail_Sales_Analyis[[#This Row],[Total_Price]]</f>
        <v>0</v>
      </c>
      <c r="S16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7" spans="1:19" x14ac:dyDescent="0.25">
      <c r="A1677" s="1" t="s">
        <v>2616</v>
      </c>
      <c r="B1677" s="2">
        <v>45446</v>
      </c>
      <c r="C1677" s="1" t="s">
        <v>173</v>
      </c>
      <c r="D1677" s="1" t="s">
        <v>43</v>
      </c>
      <c r="E1677" s="1" t="s">
        <v>174</v>
      </c>
      <c r="F1677" s="1" t="s">
        <v>21</v>
      </c>
      <c r="G1677" s="1" t="s">
        <v>31</v>
      </c>
      <c r="H1677" s="1" t="s">
        <v>45</v>
      </c>
      <c r="I1677" s="1">
        <v>380.05</v>
      </c>
      <c r="J1677" s="1">
        <v>2</v>
      </c>
      <c r="K1677" s="1">
        <v>760.1</v>
      </c>
      <c r="L1677" s="1">
        <v>5</v>
      </c>
      <c r="M1677" s="1">
        <v>38.01</v>
      </c>
      <c r="N1677" s="1">
        <v>722.09</v>
      </c>
      <c r="O1677" s="1" t="s">
        <v>33</v>
      </c>
      <c r="P1677" s="1" t="s">
        <v>636</v>
      </c>
      <c r="Q1677" s="1">
        <v>4</v>
      </c>
      <c r="R1677" s="1">
        <f>Retail_Sales_Analyis[[#This Row],[Final_Price]]-Retail_Sales_Analyis[[#This Row],[Total_Price]]</f>
        <v>-38.009999999999991</v>
      </c>
      <c r="S16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78" spans="1:19" x14ac:dyDescent="0.25">
      <c r="A1678" s="1" t="s">
        <v>2617</v>
      </c>
      <c r="B1678" s="2">
        <v>45400</v>
      </c>
      <c r="C1678" s="1" t="s">
        <v>54</v>
      </c>
      <c r="D1678" s="1" t="s">
        <v>67</v>
      </c>
      <c r="E1678" s="1" t="s">
        <v>121</v>
      </c>
      <c r="F1678" s="1" t="s">
        <v>21</v>
      </c>
      <c r="G1678" s="1" t="s">
        <v>38</v>
      </c>
      <c r="H1678" s="1" t="s">
        <v>214</v>
      </c>
      <c r="I1678" s="1">
        <v>442.5</v>
      </c>
      <c r="J1678" s="1">
        <v>1</v>
      </c>
      <c r="K1678" s="1">
        <v>442.5</v>
      </c>
      <c r="L1678" s="1">
        <v>0</v>
      </c>
      <c r="M1678" s="1">
        <v>0</v>
      </c>
      <c r="N1678" s="1">
        <v>442.5</v>
      </c>
      <c r="O1678" s="1" t="s">
        <v>80</v>
      </c>
      <c r="P1678" s="1" t="s">
        <v>752</v>
      </c>
      <c r="Q1678" s="1">
        <v>5</v>
      </c>
      <c r="R1678" s="1">
        <f>Retail_Sales_Analyis[[#This Row],[Final_Price]]-Retail_Sales_Analyis[[#This Row],[Total_Price]]</f>
        <v>0</v>
      </c>
      <c r="S16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79" spans="1:19" x14ac:dyDescent="0.25">
      <c r="A1679" s="1" t="s">
        <v>2618</v>
      </c>
      <c r="B1679" s="2">
        <v>45362</v>
      </c>
      <c r="C1679" s="1" t="s">
        <v>61</v>
      </c>
      <c r="D1679" s="1" t="s">
        <v>43</v>
      </c>
      <c r="E1679" s="1" t="s">
        <v>192</v>
      </c>
      <c r="F1679" s="1" t="s">
        <v>84</v>
      </c>
      <c r="G1679" s="1" t="s">
        <v>169</v>
      </c>
      <c r="H1679" s="1" t="s">
        <v>348</v>
      </c>
      <c r="I1679" s="1">
        <v>724.36</v>
      </c>
      <c r="J1679" s="1">
        <v>1</v>
      </c>
      <c r="K1679" s="1">
        <v>724.36</v>
      </c>
      <c r="L1679" s="1">
        <v>15</v>
      </c>
      <c r="M1679" s="1">
        <v>108.65</v>
      </c>
      <c r="N1679" s="1">
        <v>615.71</v>
      </c>
      <c r="O1679" s="1" t="s">
        <v>80</v>
      </c>
      <c r="P1679" s="1" t="s">
        <v>262</v>
      </c>
      <c r="Q1679" s="1">
        <v>1</v>
      </c>
      <c r="R1679" s="1">
        <f>Retail_Sales_Analyis[[#This Row],[Final_Price]]-Retail_Sales_Analyis[[#This Row],[Total_Price]]</f>
        <v>-108.64999999999998</v>
      </c>
      <c r="S16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80" spans="1:19" x14ac:dyDescent="0.25">
      <c r="A1680" s="1" t="s">
        <v>2619</v>
      </c>
      <c r="B1680" s="2">
        <v>45422</v>
      </c>
      <c r="C1680" s="1" t="s">
        <v>42</v>
      </c>
      <c r="D1680" s="1" t="s">
        <v>144</v>
      </c>
      <c r="E1680" s="1" t="s">
        <v>121</v>
      </c>
      <c r="F1680" s="1" t="s">
        <v>84</v>
      </c>
      <c r="G1680" s="1" t="s">
        <v>22</v>
      </c>
      <c r="H1680" s="1" t="s">
        <v>23</v>
      </c>
      <c r="I1680" s="1">
        <v>861.36</v>
      </c>
      <c r="J1680" s="1">
        <v>5</v>
      </c>
      <c r="K1680" s="1">
        <v>4306.8</v>
      </c>
      <c r="L1680" s="1">
        <v>0</v>
      </c>
      <c r="M1680" s="1">
        <v>0</v>
      </c>
      <c r="N1680" s="1">
        <v>4306.8</v>
      </c>
      <c r="O1680" s="1" t="s">
        <v>64</v>
      </c>
      <c r="P1680" s="1" t="s">
        <v>423</v>
      </c>
      <c r="Q1680" s="1">
        <v>1</v>
      </c>
      <c r="R1680" s="1">
        <f>Retail_Sales_Analyis[[#This Row],[Final_Price]]-Retail_Sales_Analyis[[#This Row],[Total_Price]]</f>
        <v>0</v>
      </c>
      <c r="S16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81" spans="1:19" x14ac:dyDescent="0.25">
      <c r="A1681" s="1" t="s">
        <v>2620</v>
      </c>
      <c r="B1681" s="2">
        <v>45440</v>
      </c>
      <c r="C1681" s="1" t="s">
        <v>42</v>
      </c>
      <c r="D1681" s="1" t="s">
        <v>28</v>
      </c>
      <c r="E1681" s="1" t="s">
        <v>50</v>
      </c>
      <c r="F1681" s="1" t="s">
        <v>21</v>
      </c>
      <c r="G1681" s="1" t="s">
        <v>57</v>
      </c>
      <c r="H1681" s="1" t="s">
        <v>158</v>
      </c>
      <c r="I1681" s="1">
        <v>2213.7199999999998</v>
      </c>
      <c r="J1681" s="1">
        <v>9</v>
      </c>
      <c r="K1681" s="1">
        <v>19923.48</v>
      </c>
      <c r="L1681" s="1">
        <v>20</v>
      </c>
      <c r="M1681" s="1">
        <v>3984.7</v>
      </c>
      <c r="N1681" s="1">
        <v>15938.78</v>
      </c>
      <c r="O1681" s="1" t="s">
        <v>64</v>
      </c>
      <c r="P1681" s="1" t="s">
        <v>2621</v>
      </c>
      <c r="Q1681" s="1">
        <v>3</v>
      </c>
      <c r="R1681" s="1">
        <f>Retail_Sales_Analyis[[#This Row],[Final_Price]]-Retail_Sales_Analyis[[#This Row],[Total_Price]]</f>
        <v>-3984.6999999999989</v>
      </c>
      <c r="S16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82" spans="1:19" x14ac:dyDescent="0.25">
      <c r="A1682" s="1" t="s">
        <v>2622</v>
      </c>
      <c r="B1682" s="2">
        <v>45459</v>
      </c>
      <c r="C1682" s="1" t="s">
        <v>173</v>
      </c>
      <c r="D1682" s="1" t="s">
        <v>49</v>
      </c>
      <c r="E1682" s="1" t="s">
        <v>312</v>
      </c>
      <c r="F1682" s="1" t="s">
        <v>69</v>
      </c>
      <c r="G1682" s="1" t="s">
        <v>57</v>
      </c>
      <c r="H1682" s="1" t="s">
        <v>158</v>
      </c>
      <c r="I1682" s="1">
        <v>233.08</v>
      </c>
      <c r="J1682" s="1">
        <v>2</v>
      </c>
      <c r="K1682" s="1">
        <v>466.16</v>
      </c>
      <c r="L1682" s="1">
        <v>10</v>
      </c>
      <c r="M1682" s="1">
        <v>46.62</v>
      </c>
      <c r="N1682" s="1">
        <v>419.54</v>
      </c>
      <c r="O1682" s="1" t="s">
        <v>24</v>
      </c>
      <c r="P1682" s="1" t="s">
        <v>25</v>
      </c>
      <c r="Q1682" s="1">
        <v>4</v>
      </c>
      <c r="R1682" s="1">
        <f>Retail_Sales_Analyis[[#This Row],[Final_Price]]-Retail_Sales_Analyis[[#This Row],[Total_Price]]</f>
        <v>-46.620000000000005</v>
      </c>
      <c r="S16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83" spans="1:19" x14ac:dyDescent="0.25">
      <c r="A1683" s="1" t="s">
        <v>2623</v>
      </c>
      <c r="B1683" s="2">
        <v>45353</v>
      </c>
      <c r="C1683" s="1" t="s">
        <v>61</v>
      </c>
      <c r="D1683" s="1" t="s">
        <v>19</v>
      </c>
      <c r="E1683" s="1" t="s">
        <v>151</v>
      </c>
      <c r="F1683" s="1" t="s">
        <v>30</v>
      </c>
      <c r="G1683" s="1" t="s">
        <v>38</v>
      </c>
      <c r="H1683" s="1" t="s">
        <v>70</v>
      </c>
      <c r="I1683" s="1">
        <v>733.5</v>
      </c>
      <c r="J1683" s="1">
        <v>7</v>
      </c>
      <c r="K1683" s="1">
        <v>5134.5</v>
      </c>
      <c r="L1683" s="1">
        <v>0</v>
      </c>
      <c r="M1683" s="1">
        <v>0</v>
      </c>
      <c r="N1683" s="1">
        <v>5134.5</v>
      </c>
      <c r="O1683" s="1" t="s">
        <v>64</v>
      </c>
      <c r="P1683" s="1" t="s">
        <v>2624</v>
      </c>
      <c r="Q1683" s="1">
        <v>3</v>
      </c>
      <c r="R1683" s="1">
        <f>Retail_Sales_Analyis[[#This Row],[Final_Price]]-Retail_Sales_Analyis[[#This Row],[Total_Price]]</f>
        <v>0</v>
      </c>
      <c r="S16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84" spans="1:19" x14ac:dyDescent="0.25">
      <c r="A1684" s="1" t="s">
        <v>2625</v>
      </c>
      <c r="B1684" s="2">
        <v>45295</v>
      </c>
      <c r="C1684" s="1" t="s">
        <v>36</v>
      </c>
      <c r="D1684" s="1" t="s">
        <v>67</v>
      </c>
      <c r="E1684" s="1" t="s">
        <v>141</v>
      </c>
      <c r="F1684" s="1" t="s">
        <v>30</v>
      </c>
      <c r="G1684" s="1" t="s">
        <v>78</v>
      </c>
      <c r="H1684" s="1" t="s">
        <v>323</v>
      </c>
      <c r="I1684" s="1">
        <v>267.85000000000002</v>
      </c>
      <c r="J1684" s="1">
        <v>1</v>
      </c>
      <c r="K1684" s="1">
        <v>267.85000000000002</v>
      </c>
      <c r="L1684" s="1">
        <v>20</v>
      </c>
      <c r="M1684" s="1">
        <v>53.57</v>
      </c>
      <c r="N1684" s="1">
        <v>214.28</v>
      </c>
      <c r="O1684" s="1" t="s">
        <v>80</v>
      </c>
      <c r="P1684" s="1" t="s">
        <v>1425</v>
      </c>
      <c r="Q1684" s="1">
        <v>2</v>
      </c>
      <c r="R1684" s="1">
        <f>Retail_Sales_Analyis[[#This Row],[Final_Price]]-Retail_Sales_Analyis[[#This Row],[Total_Price]]</f>
        <v>-53.570000000000022</v>
      </c>
      <c r="S16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85" spans="1:19" x14ac:dyDescent="0.25">
      <c r="A1685" s="1" t="s">
        <v>2626</v>
      </c>
      <c r="B1685" s="2">
        <v>45546</v>
      </c>
      <c r="C1685" s="1" t="s">
        <v>116</v>
      </c>
      <c r="D1685" s="1" t="s">
        <v>55</v>
      </c>
      <c r="E1685" s="1" t="s">
        <v>157</v>
      </c>
      <c r="F1685" s="1" t="s">
        <v>30</v>
      </c>
      <c r="G1685" s="1" t="s">
        <v>169</v>
      </c>
      <c r="H1685" s="1" t="s">
        <v>348</v>
      </c>
      <c r="I1685" s="1">
        <v>1023.32</v>
      </c>
      <c r="J1685" s="1">
        <v>4</v>
      </c>
      <c r="K1685" s="1">
        <v>4093.28</v>
      </c>
      <c r="L1685" s="1">
        <v>5</v>
      </c>
      <c r="M1685" s="1">
        <v>204.66</v>
      </c>
      <c r="N1685" s="1">
        <v>3888.62</v>
      </c>
      <c r="O1685" s="1" t="s">
        <v>80</v>
      </c>
      <c r="P1685" s="1" t="s">
        <v>675</v>
      </c>
      <c r="Q1685" s="1">
        <v>1</v>
      </c>
      <c r="R1685" s="1">
        <f>Retail_Sales_Analyis[[#This Row],[Final_Price]]-Retail_Sales_Analyis[[#This Row],[Total_Price]]</f>
        <v>-204.66000000000031</v>
      </c>
      <c r="S16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86" spans="1:19" x14ac:dyDescent="0.25">
      <c r="A1686" s="1" t="s">
        <v>2627</v>
      </c>
      <c r="B1686" s="2">
        <v>45512</v>
      </c>
      <c r="C1686" s="1" t="s">
        <v>93</v>
      </c>
      <c r="D1686" s="1" t="s">
        <v>67</v>
      </c>
      <c r="E1686" s="1" t="s">
        <v>117</v>
      </c>
      <c r="F1686" s="1" t="s">
        <v>69</v>
      </c>
      <c r="G1686" s="1" t="s">
        <v>169</v>
      </c>
      <c r="H1686" s="1" t="s">
        <v>366</v>
      </c>
      <c r="I1686" s="1">
        <v>943.96</v>
      </c>
      <c r="J1686" s="1">
        <v>9</v>
      </c>
      <c r="K1686" s="1">
        <v>8495.64</v>
      </c>
      <c r="L1686" s="1">
        <v>10</v>
      </c>
      <c r="M1686" s="1">
        <v>849.56</v>
      </c>
      <c r="N1686" s="1">
        <v>7646.08</v>
      </c>
      <c r="O1686" s="1" t="s">
        <v>46</v>
      </c>
      <c r="P1686" s="1" t="s">
        <v>2216</v>
      </c>
      <c r="Q1686" s="1">
        <v>5</v>
      </c>
      <c r="R1686" s="1">
        <f>Retail_Sales_Analyis[[#This Row],[Final_Price]]-Retail_Sales_Analyis[[#This Row],[Total_Price]]</f>
        <v>-849.55999999999949</v>
      </c>
      <c r="S16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87" spans="1:19" x14ac:dyDescent="0.25">
      <c r="A1687" s="1" t="s">
        <v>2628</v>
      </c>
      <c r="B1687" s="2">
        <v>45381</v>
      </c>
      <c r="C1687" s="1" t="s">
        <v>61</v>
      </c>
      <c r="D1687" s="1" t="s">
        <v>19</v>
      </c>
      <c r="E1687" s="1" t="s">
        <v>351</v>
      </c>
      <c r="F1687" s="1" t="s">
        <v>30</v>
      </c>
      <c r="G1687" s="1" t="s">
        <v>22</v>
      </c>
      <c r="H1687" s="1" t="s">
        <v>187</v>
      </c>
      <c r="I1687" s="1">
        <v>622.16</v>
      </c>
      <c r="J1687" s="1">
        <v>3</v>
      </c>
      <c r="K1687" s="1">
        <v>1866.48</v>
      </c>
      <c r="L1687" s="1">
        <v>20</v>
      </c>
      <c r="M1687" s="1">
        <v>373.3</v>
      </c>
      <c r="N1687" s="1">
        <v>1493.18</v>
      </c>
      <c r="O1687" s="1" t="s">
        <v>80</v>
      </c>
      <c r="P1687" s="1" t="s">
        <v>2629</v>
      </c>
      <c r="Q1687" s="1">
        <v>1</v>
      </c>
      <c r="R1687" s="1">
        <f>Retail_Sales_Analyis[[#This Row],[Final_Price]]-Retail_Sales_Analyis[[#This Row],[Total_Price]]</f>
        <v>-373.29999999999995</v>
      </c>
      <c r="S16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88" spans="1:19" x14ac:dyDescent="0.25">
      <c r="A1688" s="1" t="s">
        <v>2630</v>
      </c>
      <c r="B1688" s="2">
        <v>45358</v>
      </c>
      <c r="C1688" s="1" t="s">
        <v>61</v>
      </c>
      <c r="D1688" s="1" t="s">
        <v>67</v>
      </c>
      <c r="E1688" s="1" t="s">
        <v>121</v>
      </c>
      <c r="F1688" s="1" t="s">
        <v>21</v>
      </c>
      <c r="G1688" s="1" t="s">
        <v>85</v>
      </c>
      <c r="H1688" s="1" t="s">
        <v>86</v>
      </c>
      <c r="I1688" s="1">
        <v>1418.62</v>
      </c>
      <c r="J1688" s="1">
        <v>8</v>
      </c>
      <c r="K1688" s="1">
        <v>11348.96</v>
      </c>
      <c r="L1688" s="1">
        <v>15</v>
      </c>
      <c r="M1688" s="1">
        <v>1702.34</v>
      </c>
      <c r="N1688" s="1">
        <v>9646.6200000000008</v>
      </c>
      <c r="O1688" s="1" t="s">
        <v>64</v>
      </c>
      <c r="P1688" s="1" t="s">
        <v>1707</v>
      </c>
      <c r="Q1688" s="1">
        <v>3</v>
      </c>
      <c r="R1688" s="1">
        <f>Retail_Sales_Analyis[[#This Row],[Final_Price]]-Retail_Sales_Analyis[[#This Row],[Total_Price]]</f>
        <v>-1702.3399999999983</v>
      </c>
      <c r="S16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89" spans="1:19" x14ac:dyDescent="0.25">
      <c r="A1689" s="1" t="s">
        <v>2631</v>
      </c>
      <c r="B1689" s="2">
        <v>45486</v>
      </c>
      <c r="C1689" s="1" t="s">
        <v>195</v>
      </c>
      <c r="D1689" s="1" t="s">
        <v>19</v>
      </c>
      <c r="E1689" s="1" t="s">
        <v>199</v>
      </c>
      <c r="F1689" s="1" t="s">
        <v>21</v>
      </c>
      <c r="G1689" s="1" t="s">
        <v>169</v>
      </c>
      <c r="H1689" s="1" t="s">
        <v>170</v>
      </c>
      <c r="I1689" s="1">
        <v>948.54</v>
      </c>
      <c r="J1689" s="1">
        <v>7</v>
      </c>
      <c r="K1689" s="1">
        <v>6639.78</v>
      </c>
      <c r="L1689" s="1">
        <v>15</v>
      </c>
      <c r="M1689" s="1">
        <v>995.97</v>
      </c>
      <c r="N1689" s="1">
        <v>5643.81</v>
      </c>
      <c r="O1689" s="1" t="s">
        <v>46</v>
      </c>
      <c r="P1689" s="1" t="s">
        <v>2210</v>
      </c>
      <c r="Q1689" s="1">
        <v>2</v>
      </c>
      <c r="R1689" s="1">
        <f>Retail_Sales_Analyis[[#This Row],[Final_Price]]-Retail_Sales_Analyis[[#This Row],[Total_Price]]</f>
        <v>-995.96999999999935</v>
      </c>
      <c r="S16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90" spans="1:19" x14ac:dyDescent="0.25">
      <c r="A1690" s="1" t="s">
        <v>2632</v>
      </c>
      <c r="B1690" s="2">
        <v>45564</v>
      </c>
      <c r="C1690" s="1" t="s">
        <v>116</v>
      </c>
      <c r="D1690" s="1" t="s">
        <v>49</v>
      </c>
      <c r="E1690" s="1" t="s">
        <v>29</v>
      </c>
      <c r="F1690" s="1" t="s">
        <v>21</v>
      </c>
      <c r="G1690" s="1" t="s">
        <v>57</v>
      </c>
      <c r="H1690" s="1" t="s">
        <v>122</v>
      </c>
      <c r="I1690" s="1">
        <v>2016.35</v>
      </c>
      <c r="J1690" s="1">
        <v>10</v>
      </c>
      <c r="K1690" s="1">
        <v>20163.5</v>
      </c>
      <c r="L1690" s="1">
        <v>5</v>
      </c>
      <c r="M1690" s="1">
        <v>1008.18</v>
      </c>
      <c r="N1690" s="1">
        <v>19155.32</v>
      </c>
      <c r="O1690" s="1" t="s">
        <v>64</v>
      </c>
      <c r="P1690" s="1" t="s">
        <v>1789</v>
      </c>
      <c r="Q1690" s="1">
        <v>5</v>
      </c>
      <c r="R1690" s="1">
        <f>Retail_Sales_Analyis[[#This Row],[Final_Price]]-Retail_Sales_Analyis[[#This Row],[Total_Price]]</f>
        <v>-1008.1800000000003</v>
      </c>
      <c r="S16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91" spans="1:19" x14ac:dyDescent="0.25">
      <c r="A1691" s="1" t="s">
        <v>2633</v>
      </c>
      <c r="B1691" s="2">
        <v>45652</v>
      </c>
      <c r="C1691" s="1" t="s">
        <v>73</v>
      </c>
      <c r="D1691" s="1" t="s">
        <v>67</v>
      </c>
      <c r="E1691" s="1" t="s">
        <v>236</v>
      </c>
      <c r="F1691" s="1" t="s">
        <v>84</v>
      </c>
      <c r="G1691" s="1" t="s">
        <v>169</v>
      </c>
      <c r="H1691" s="1" t="s">
        <v>366</v>
      </c>
      <c r="I1691" s="1">
        <v>1470.94</v>
      </c>
      <c r="J1691" s="1">
        <v>9</v>
      </c>
      <c r="K1691" s="1">
        <v>13238.46</v>
      </c>
      <c r="L1691" s="1">
        <v>5</v>
      </c>
      <c r="M1691" s="1">
        <v>661.92</v>
      </c>
      <c r="N1691" s="1">
        <v>12576.54</v>
      </c>
      <c r="O1691" s="1" t="s">
        <v>24</v>
      </c>
      <c r="P1691" s="1" t="s">
        <v>159</v>
      </c>
      <c r="Q1691" s="1">
        <v>4</v>
      </c>
      <c r="R1691" s="1">
        <f>Retail_Sales_Analyis[[#This Row],[Final_Price]]-Retail_Sales_Analyis[[#This Row],[Total_Price]]</f>
        <v>-661.91999999999825</v>
      </c>
      <c r="S169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692" spans="1:19" x14ac:dyDescent="0.25">
      <c r="A1692" s="1" t="s">
        <v>2634</v>
      </c>
      <c r="B1692" s="2">
        <v>45409</v>
      </c>
      <c r="C1692" s="1" t="s">
        <v>54</v>
      </c>
      <c r="D1692" s="1" t="s">
        <v>19</v>
      </c>
      <c r="E1692" s="1" t="s">
        <v>145</v>
      </c>
      <c r="F1692" s="1" t="s">
        <v>21</v>
      </c>
      <c r="G1692" s="1" t="s">
        <v>85</v>
      </c>
      <c r="H1692" s="1" t="s">
        <v>90</v>
      </c>
      <c r="I1692" s="1">
        <v>4467.74</v>
      </c>
      <c r="J1692" s="1">
        <v>1</v>
      </c>
      <c r="K1692" s="1">
        <v>4467.74</v>
      </c>
      <c r="L1692" s="1">
        <v>15</v>
      </c>
      <c r="M1692" s="1">
        <v>670.16</v>
      </c>
      <c r="N1692" s="1">
        <v>3797.58</v>
      </c>
      <c r="O1692" s="1" t="s">
        <v>80</v>
      </c>
      <c r="P1692" s="1" t="s">
        <v>930</v>
      </c>
      <c r="Q1692" s="1">
        <v>5</v>
      </c>
      <c r="R1692" s="1">
        <f>Retail_Sales_Analyis[[#This Row],[Final_Price]]-Retail_Sales_Analyis[[#This Row],[Total_Price]]</f>
        <v>-670.15999999999985</v>
      </c>
      <c r="S16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93" spans="1:19" x14ac:dyDescent="0.25">
      <c r="A1693" s="1" t="s">
        <v>2635</v>
      </c>
      <c r="B1693" s="2">
        <v>45548</v>
      </c>
      <c r="C1693" s="1" t="s">
        <v>116</v>
      </c>
      <c r="D1693" s="1" t="s">
        <v>144</v>
      </c>
      <c r="E1693" s="1" t="s">
        <v>157</v>
      </c>
      <c r="F1693" s="1" t="s">
        <v>37</v>
      </c>
      <c r="G1693" s="1" t="s">
        <v>169</v>
      </c>
      <c r="H1693" s="1" t="s">
        <v>208</v>
      </c>
      <c r="I1693" s="1">
        <v>1279.46</v>
      </c>
      <c r="J1693" s="1">
        <v>1</v>
      </c>
      <c r="K1693" s="1">
        <v>1279.46</v>
      </c>
      <c r="L1693" s="1">
        <v>0</v>
      </c>
      <c r="M1693" s="1">
        <v>0</v>
      </c>
      <c r="N1693" s="1">
        <v>1279.46</v>
      </c>
      <c r="O1693" s="1" t="s">
        <v>64</v>
      </c>
      <c r="P1693" s="1" t="s">
        <v>2636</v>
      </c>
      <c r="Q1693" s="1">
        <v>2</v>
      </c>
      <c r="R1693" s="1">
        <f>Retail_Sales_Analyis[[#This Row],[Final_Price]]-Retail_Sales_Analyis[[#This Row],[Total_Price]]</f>
        <v>0</v>
      </c>
      <c r="S16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94" spans="1:19" x14ac:dyDescent="0.25">
      <c r="A1694" s="1" t="s">
        <v>2637</v>
      </c>
      <c r="B1694" s="2">
        <v>45578</v>
      </c>
      <c r="C1694" s="1" t="s">
        <v>76</v>
      </c>
      <c r="D1694" s="1" t="s">
        <v>49</v>
      </c>
      <c r="E1694" s="1" t="s">
        <v>328</v>
      </c>
      <c r="F1694" s="1" t="s">
        <v>84</v>
      </c>
      <c r="G1694" s="1" t="s">
        <v>22</v>
      </c>
      <c r="H1694" s="1" t="s">
        <v>51</v>
      </c>
      <c r="I1694" s="1">
        <v>547.17999999999995</v>
      </c>
      <c r="J1694" s="1">
        <v>2</v>
      </c>
      <c r="K1694" s="1">
        <v>1094.3599999999999</v>
      </c>
      <c r="L1694" s="1">
        <v>0</v>
      </c>
      <c r="M1694" s="1">
        <v>0</v>
      </c>
      <c r="N1694" s="1">
        <v>1094.3599999999999</v>
      </c>
      <c r="O1694" s="1" t="s">
        <v>24</v>
      </c>
      <c r="P1694" s="1" t="s">
        <v>2249</v>
      </c>
      <c r="Q1694" s="1">
        <v>5</v>
      </c>
      <c r="R1694" s="1">
        <f>Retail_Sales_Analyis[[#This Row],[Final_Price]]-Retail_Sales_Analyis[[#This Row],[Total_Price]]</f>
        <v>0</v>
      </c>
      <c r="S16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95" spans="1:19" x14ac:dyDescent="0.25">
      <c r="A1695" s="1" t="s">
        <v>2638</v>
      </c>
      <c r="B1695" s="2">
        <v>45634</v>
      </c>
      <c r="C1695" s="1" t="s">
        <v>73</v>
      </c>
      <c r="D1695" s="1" t="s">
        <v>49</v>
      </c>
      <c r="E1695" s="1" t="s">
        <v>307</v>
      </c>
      <c r="F1695" s="1" t="s">
        <v>69</v>
      </c>
      <c r="G1695" s="1" t="s">
        <v>31</v>
      </c>
      <c r="H1695" s="1" t="s">
        <v>32</v>
      </c>
      <c r="I1695" s="1">
        <v>104.77</v>
      </c>
      <c r="J1695" s="1">
        <v>9</v>
      </c>
      <c r="K1695" s="1">
        <v>942.93</v>
      </c>
      <c r="L1695" s="1">
        <v>0</v>
      </c>
      <c r="M1695" s="1">
        <v>0</v>
      </c>
      <c r="N1695" s="1">
        <v>942.93</v>
      </c>
      <c r="O1695" s="1" t="s">
        <v>46</v>
      </c>
      <c r="P1695" s="1" t="s">
        <v>2639</v>
      </c>
      <c r="Q1695" s="1">
        <v>2</v>
      </c>
      <c r="R1695" s="1">
        <f>Retail_Sales_Analyis[[#This Row],[Final_Price]]-Retail_Sales_Analyis[[#This Row],[Total_Price]]</f>
        <v>0</v>
      </c>
      <c r="S16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696" spans="1:19" x14ac:dyDescent="0.25">
      <c r="A1696" s="1" t="s">
        <v>2640</v>
      </c>
      <c r="B1696" s="2">
        <v>45473</v>
      </c>
      <c r="C1696" s="1" t="s">
        <v>173</v>
      </c>
      <c r="D1696" s="1" t="s">
        <v>49</v>
      </c>
      <c r="E1696" s="1" t="s">
        <v>20</v>
      </c>
      <c r="F1696" s="1" t="s">
        <v>21</v>
      </c>
      <c r="G1696" s="1" t="s">
        <v>169</v>
      </c>
      <c r="H1696" s="1" t="s">
        <v>175</v>
      </c>
      <c r="I1696" s="1">
        <v>374.05</v>
      </c>
      <c r="J1696" s="1">
        <v>4</v>
      </c>
      <c r="K1696" s="1">
        <v>1496.2</v>
      </c>
      <c r="L1696" s="1">
        <v>10</v>
      </c>
      <c r="M1696" s="1">
        <v>149.62</v>
      </c>
      <c r="N1696" s="1">
        <v>1346.58</v>
      </c>
      <c r="O1696" s="1" t="s">
        <v>46</v>
      </c>
      <c r="P1696" s="1" t="s">
        <v>1672</v>
      </c>
      <c r="Q1696" s="1">
        <v>3</v>
      </c>
      <c r="R1696" s="1">
        <f>Retail_Sales_Analyis[[#This Row],[Final_Price]]-Retail_Sales_Analyis[[#This Row],[Total_Price]]</f>
        <v>-149.62000000000012</v>
      </c>
      <c r="S16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697" spans="1:19" x14ac:dyDescent="0.25">
      <c r="A1697" s="1" t="s">
        <v>2641</v>
      </c>
      <c r="B1697" s="2">
        <v>45328</v>
      </c>
      <c r="C1697" s="1" t="s">
        <v>27</v>
      </c>
      <c r="D1697" s="1" t="s">
        <v>28</v>
      </c>
      <c r="E1697" s="1" t="s">
        <v>261</v>
      </c>
      <c r="F1697" s="1" t="s">
        <v>84</v>
      </c>
      <c r="G1697" s="1" t="s">
        <v>169</v>
      </c>
      <c r="H1697" s="1" t="s">
        <v>170</v>
      </c>
      <c r="I1697" s="1">
        <v>912.4</v>
      </c>
      <c r="J1697" s="1">
        <v>1</v>
      </c>
      <c r="K1697" s="1">
        <v>912.4</v>
      </c>
      <c r="L1697" s="1">
        <v>20</v>
      </c>
      <c r="M1697" s="1">
        <v>182.48</v>
      </c>
      <c r="N1697" s="1">
        <v>729.92</v>
      </c>
      <c r="O1697" s="1" t="s">
        <v>33</v>
      </c>
      <c r="P1697" s="1" t="s">
        <v>1672</v>
      </c>
      <c r="Q1697" s="1">
        <v>3</v>
      </c>
      <c r="R1697" s="1">
        <f>Retail_Sales_Analyis[[#This Row],[Final_Price]]-Retail_Sales_Analyis[[#This Row],[Total_Price]]</f>
        <v>-182.48000000000002</v>
      </c>
      <c r="S16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98" spans="1:19" x14ac:dyDescent="0.25">
      <c r="A1698" s="1" t="s">
        <v>2642</v>
      </c>
      <c r="B1698" s="2">
        <v>45495</v>
      </c>
      <c r="C1698" s="1" t="s">
        <v>195</v>
      </c>
      <c r="D1698" s="1" t="s">
        <v>43</v>
      </c>
      <c r="E1698" s="1" t="s">
        <v>285</v>
      </c>
      <c r="F1698" s="1" t="s">
        <v>37</v>
      </c>
      <c r="G1698" s="1" t="s">
        <v>85</v>
      </c>
      <c r="H1698" s="1" t="s">
        <v>98</v>
      </c>
      <c r="I1698" s="1">
        <v>2259.4499999999998</v>
      </c>
      <c r="J1698" s="1">
        <v>7</v>
      </c>
      <c r="K1698" s="1">
        <v>15816.15</v>
      </c>
      <c r="L1698" s="1">
        <v>20</v>
      </c>
      <c r="M1698" s="1">
        <v>3163.23</v>
      </c>
      <c r="N1698" s="1">
        <v>12652.92</v>
      </c>
      <c r="O1698" s="1" t="s">
        <v>80</v>
      </c>
      <c r="P1698" s="1" t="s">
        <v>823</v>
      </c>
      <c r="Q1698" s="1">
        <v>3</v>
      </c>
      <c r="R1698" s="1">
        <f>Retail_Sales_Analyis[[#This Row],[Final_Price]]-Retail_Sales_Analyis[[#This Row],[Total_Price]]</f>
        <v>-3163.2299999999996</v>
      </c>
      <c r="S16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699" spans="1:19" x14ac:dyDescent="0.25">
      <c r="A1699" s="1" t="s">
        <v>2643</v>
      </c>
      <c r="B1699" s="2">
        <v>45313</v>
      </c>
      <c r="C1699" s="1" t="s">
        <v>36</v>
      </c>
      <c r="D1699" s="1" t="s">
        <v>43</v>
      </c>
      <c r="E1699" s="1" t="s">
        <v>157</v>
      </c>
      <c r="F1699" s="1" t="s">
        <v>30</v>
      </c>
      <c r="G1699" s="1" t="s">
        <v>112</v>
      </c>
      <c r="H1699" s="1" t="s">
        <v>113</v>
      </c>
      <c r="I1699" s="1">
        <v>1600</v>
      </c>
      <c r="J1699" s="1">
        <v>1</v>
      </c>
      <c r="K1699" s="1">
        <v>1600</v>
      </c>
      <c r="L1699" s="1">
        <v>5</v>
      </c>
      <c r="M1699" s="1">
        <v>80</v>
      </c>
      <c r="N1699" s="1">
        <v>1520</v>
      </c>
      <c r="O1699" s="1" t="s">
        <v>33</v>
      </c>
      <c r="P1699" s="1" t="s">
        <v>1339</v>
      </c>
      <c r="Q1699" s="1">
        <v>2</v>
      </c>
      <c r="R1699" s="1">
        <f>Retail_Sales_Analyis[[#This Row],[Final_Price]]-Retail_Sales_Analyis[[#This Row],[Total_Price]]</f>
        <v>-80</v>
      </c>
      <c r="S16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00" spans="1:19" x14ac:dyDescent="0.25">
      <c r="A1700" s="1" t="s">
        <v>2644</v>
      </c>
      <c r="B1700" s="2">
        <v>45515</v>
      </c>
      <c r="C1700" s="1" t="s">
        <v>93</v>
      </c>
      <c r="D1700" s="1" t="s">
        <v>49</v>
      </c>
      <c r="E1700" s="1" t="s">
        <v>62</v>
      </c>
      <c r="F1700" s="1" t="s">
        <v>37</v>
      </c>
      <c r="G1700" s="1" t="s">
        <v>38</v>
      </c>
      <c r="H1700" s="1" t="s">
        <v>422</v>
      </c>
      <c r="I1700" s="1">
        <v>766.75</v>
      </c>
      <c r="J1700" s="1">
        <v>10</v>
      </c>
      <c r="K1700" s="1">
        <v>7667.5</v>
      </c>
      <c r="L1700" s="1">
        <v>5</v>
      </c>
      <c r="M1700" s="1">
        <v>383.38</v>
      </c>
      <c r="N1700" s="1">
        <v>7284.12</v>
      </c>
      <c r="O1700" s="1" t="s">
        <v>33</v>
      </c>
      <c r="P1700" s="1" t="s">
        <v>900</v>
      </c>
      <c r="Q1700" s="1">
        <v>1</v>
      </c>
      <c r="R1700" s="1">
        <f>Retail_Sales_Analyis[[#This Row],[Final_Price]]-Retail_Sales_Analyis[[#This Row],[Total_Price]]</f>
        <v>-383.38000000000011</v>
      </c>
      <c r="S17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01" spans="1:19" x14ac:dyDescent="0.25">
      <c r="A1701" s="1" t="s">
        <v>2645</v>
      </c>
      <c r="B1701" s="2">
        <v>45301</v>
      </c>
      <c r="C1701" s="1" t="s">
        <v>36</v>
      </c>
      <c r="D1701" s="1" t="s">
        <v>55</v>
      </c>
      <c r="E1701" s="1" t="s">
        <v>192</v>
      </c>
      <c r="F1701" s="1" t="s">
        <v>37</v>
      </c>
      <c r="G1701" s="1" t="s">
        <v>112</v>
      </c>
      <c r="H1701" s="1" t="s">
        <v>288</v>
      </c>
      <c r="I1701" s="1">
        <v>1149.28</v>
      </c>
      <c r="J1701" s="1">
        <v>7</v>
      </c>
      <c r="K1701" s="1">
        <v>8044.96</v>
      </c>
      <c r="L1701" s="1">
        <v>5</v>
      </c>
      <c r="M1701" s="1">
        <v>402.25</v>
      </c>
      <c r="N1701" s="1">
        <v>7642.71</v>
      </c>
      <c r="O1701" s="1" t="s">
        <v>46</v>
      </c>
      <c r="P1701" s="1" t="s">
        <v>2210</v>
      </c>
      <c r="Q1701" s="1">
        <v>1</v>
      </c>
      <c r="R1701" s="1">
        <f>Retail_Sales_Analyis[[#This Row],[Final_Price]]-Retail_Sales_Analyis[[#This Row],[Total_Price]]</f>
        <v>-402.25</v>
      </c>
      <c r="S17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02" spans="1:19" x14ac:dyDescent="0.25">
      <c r="A1702" s="1" t="s">
        <v>2646</v>
      </c>
      <c r="B1702" s="2">
        <v>45527</v>
      </c>
      <c r="C1702" s="1" t="s">
        <v>93</v>
      </c>
      <c r="D1702" s="1" t="s">
        <v>144</v>
      </c>
      <c r="E1702" s="1" t="s">
        <v>94</v>
      </c>
      <c r="F1702" s="1" t="s">
        <v>37</v>
      </c>
      <c r="G1702" s="1" t="s">
        <v>22</v>
      </c>
      <c r="H1702" s="1" t="s">
        <v>277</v>
      </c>
      <c r="I1702" s="1">
        <v>439.27</v>
      </c>
      <c r="J1702" s="1">
        <v>2</v>
      </c>
      <c r="K1702" s="1">
        <v>878.54</v>
      </c>
      <c r="L1702" s="1">
        <v>15</v>
      </c>
      <c r="M1702" s="1">
        <v>131.78</v>
      </c>
      <c r="N1702" s="1">
        <v>746.76</v>
      </c>
      <c r="O1702" s="1" t="s">
        <v>24</v>
      </c>
      <c r="P1702" s="1" t="s">
        <v>2480</v>
      </c>
      <c r="Q1702" s="1">
        <v>2</v>
      </c>
      <c r="R1702" s="1">
        <f>Retail_Sales_Analyis[[#This Row],[Final_Price]]-Retail_Sales_Analyis[[#This Row],[Total_Price]]</f>
        <v>-131.77999999999997</v>
      </c>
      <c r="S17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3" spans="1:19" x14ac:dyDescent="0.25">
      <c r="A1703" s="1" t="s">
        <v>2647</v>
      </c>
      <c r="B1703" s="2">
        <v>45331</v>
      </c>
      <c r="C1703" s="1" t="s">
        <v>27</v>
      </c>
      <c r="D1703" s="1" t="s">
        <v>144</v>
      </c>
      <c r="E1703" s="1" t="s">
        <v>77</v>
      </c>
      <c r="F1703" s="1" t="s">
        <v>84</v>
      </c>
      <c r="G1703" s="1" t="s">
        <v>31</v>
      </c>
      <c r="H1703" s="1" t="s">
        <v>45</v>
      </c>
      <c r="I1703" s="1">
        <v>195.77</v>
      </c>
      <c r="J1703" s="1">
        <v>7</v>
      </c>
      <c r="K1703" s="1">
        <v>1370.39</v>
      </c>
      <c r="L1703" s="1">
        <v>10</v>
      </c>
      <c r="M1703" s="1">
        <v>137.04</v>
      </c>
      <c r="N1703" s="1">
        <v>1233.3499999999999</v>
      </c>
      <c r="O1703" s="1" t="s">
        <v>80</v>
      </c>
      <c r="P1703" s="1" t="s">
        <v>2648</v>
      </c>
      <c r="Q1703" s="1">
        <v>3</v>
      </c>
      <c r="R1703" s="1">
        <f>Retail_Sales_Analyis[[#This Row],[Final_Price]]-Retail_Sales_Analyis[[#This Row],[Total_Price]]</f>
        <v>-137.04000000000019</v>
      </c>
      <c r="S17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4" spans="1:19" x14ac:dyDescent="0.25">
      <c r="A1704" s="1" t="s">
        <v>2649</v>
      </c>
      <c r="B1704" s="2">
        <v>45452</v>
      </c>
      <c r="C1704" s="1" t="s">
        <v>173</v>
      </c>
      <c r="D1704" s="1" t="s">
        <v>49</v>
      </c>
      <c r="E1704" s="1" t="s">
        <v>302</v>
      </c>
      <c r="F1704" s="1" t="s">
        <v>69</v>
      </c>
      <c r="G1704" s="1" t="s">
        <v>112</v>
      </c>
      <c r="H1704" s="1" t="s">
        <v>183</v>
      </c>
      <c r="I1704" s="1">
        <v>1422.76</v>
      </c>
      <c r="J1704" s="1">
        <v>6</v>
      </c>
      <c r="K1704" s="1">
        <v>8536.56</v>
      </c>
      <c r="L1704" s="1">
        <v>20</v>
      </c>
      <c r="M1704" s="1">
        <v>1707.31</v>
      </c>
      <c r="N1704" s="1">
        <v>6829.25</v>
      </c>
      <c r="O1704" s="1" t="s">
        <v>80</v>
      </c>
      <c r="P1704" s="1" t="s">
        <v>1923</v>
      </c>
      <c r="Q1704" s="1">
        <v>2</v>
      </c>
      <c r="R1704" s="1">
        <f>Retail_Sales_Analyis[[#This Row],[Final_Price]]-Retail_Sales_Analyis[[#This Row],[Total_Price]]</f>
        <v>-1707.3099999999995</v>
      </c>
      <c r="S17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05" spans="1:19" x14ac:dyDescent="0.25">
      <c r="A1705" s="1" t="s">
        <v>2650</v>
      </c>
      <c r="B1705" s="2">
        <v>45586</v>
      </c>
      <c r="C1705" s="1" t="s">
        <v>76</v>
      </c>
      <c r="D1705" s="1" t="s">
        <v>43</v>
      </c>
      <c r="E1705" s="1" t="s">
        <v>50</v>
      </c>
      <c r="F1705" s="1" t="s">
        <v>69</v>
      </c>
      <c r="G1705" s="1" t="s">
        <v>57</v>
      </c>
      <c r="H1705" s="1" t="s">
        <v>158</v>
      </c>
      <c r="I1705" s="1">
        <v>1751.09</v>
      </c>
      <c r="J1705" s="1">
        <v>7</v>
      </c>
      <c r="K1705" s="1">
        <v>12257.63</v>
      </c>
      <c r="L1705" s="1">
        <v>10</v>
      </c>
      <c r="M1705" s="1">
        <v>1225.76</v>
      </c>
      <c r="N1705" s="1">
        <v>11031.87</v>
      </c>
      <c r="O1705" s="1" t="s">
        <v>80</v>
      </c>
      <c r="P1705" s="1" t="s">
        <v>2651</v>
      </c>
      <c r="Q1705" s="1">
        <v>5</v>
      </c>
      <c r="R1705" s="1">
        <f>Retail_Sales_Analyis[[#This Row],[Final_Price]]-Retail_Sales_Analyis[[#This Row],[Total_Price]]</f>
        <v>-1225.7599999999984</v>
      </c>
      <c r="S17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6" spans="1:19" x14ac:dyDescent="0.25">
      <c r="A1706" s="1" t="s">
        <v>2652</v>
      </c>
      <c r="B1706" s="2">
        <v>45511</v>
      </c>
      <c r="C1706" s="1" t="s">
        <v>93</v>
      </c>
      <c r="D1706" s="1" t="s">
        <v>55</v>
      </c>
      <c r="E1706" s="1" t="s">
        <v>302</v>
      </c>
      <c r="F1706" s="1" t="s">
        <v>84</v>
      </c>
      <c r="G1706" s="1" t="s">
        <v>22</v>
      </c>
      <c r="H1706" s="1" t="s">
        <v>187</v>
      </c>
      <c r="I1706" s="1">
        <v>567.29</v>
      </c>
      <c r="J1706" s="1">
        <v>1</v>
      </c>
      <c r="K1706" s="1">
        <v>567.29</v>
      </c>
      <c r="L1706" s="1">
        <v>10</v>
      </c>
      <c r="M1706" s="1">
        <v>56.73</v>
      </c>
      <c r="N1706" s="1">
        <v>510.56</v>
      </c>
      <c r="O1706" s="1" t="s">
        <v>64</v>
      </c>
      <c r="P1706" s="1" t="s">
        <v>574</v>
      </c>
      <c r="Q1706" s="1">
        <v>5</v>
      </c>
      <c r="R1706" s="1">
        <f>Retail_Sales_Analyis[[#This Row],[Final_Price]]-Retail_Sales_Analyis[[#This Row],[Total_Price]]</f>
        <v>-56.729999999999961</v>
      </c>
      <c r="S17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7" spans="1:19" x14ac:dyDescent="0.25">
      <c r="A1707" s="1" t="s">
        <v>2653</v>
      </c>
      <c r="B1707" s="2">
        <v>45585</v>
      </c>
      <c r="C1707" s="1" t="s">
        <v>76</v>
      </c>
      <c r="D1707" s="1" t="s">
        <v>49</v>
      </c>
      <c r="E1707" s="1" t="s">
        <v>307</v>
      </c>
      <c r="F1707" s="1" t="s">
        <v>37</v>
      </c>
      <c r="G1707" s="1" t="s">
        <v>169</v>
      </c>
      <c r="H1707" s="1" t="s">
        <v>348</v>
      </c>
      <c r="I1707" s="1">
        <v>934.97</v>
      </c>
      <c r="J1707" s="1">
        <v>8</v>
      </c>
      <c r="K1707" s="1">
        <v>7479.76</v>
      </c>
      <c r="L1707" s="1">
        <v>20</v>
      </c>
      <c r="M1707" s="1">
        <v>1495.95</v>
      </c>
      <c r="N1707" s="1">
        <v>5983.81</v>
      </c>
      <c r="O1707" s="1" t="s">
        <v>80</v>
      </c>
      <c r="P1707" s="1" t="s">
        <v>251</v>
      </c>
      <c r="Q1707" s="1">
        <v>1</v>
      </c>
      <c r="R1707" s="1">
        <f>Retail_Sales_Analyis[[#This Row],[Final_Price]]-Retail_Sales_Analyis[[#This Row],[Total_Price]]</f>
        <v>-1495.9499999999998</v>
      </c>
      <c r="S17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08" spans="1:19" x14ac:dyDescent="0.25">
      <c r="A1708" s="1" t="s">
        <v>2654</v>
      </c>
      <c r="B1708" s="2">
        <v>45499</v>
      </c>
      <c r="C1708" s="1" t="s">
        <v>195</v>
      </c>
      <c r="D1708" s="1" t="s">
        <v>144</v>
      </c>
      <c r="E1708" s="1" t="s">
        <v>337</v>
      </c>
      <c r="F1708" s="1" t="s">
        <v>84</v>
      </c>
      <c r="G1708" s="1" t="s">
        <v>22</v>
      </c>
      <c r="H1708" s="1" t="s">
        <v>23</v>
      </c>
      <c r="I1708" s="1">
        <v>490.42</v>
      </c>
      <c r="J1708" s="1">
        <v>2</v>
      </c>
      <c r="K1708" s="1">
        <v>980.84</v>
      </c>
      <c r="L1708" s="1">
        <v>10</v>
      </c>
      <c r="M1708" s="1">
        <v>98.08</v>
      </c>
      <c r="N1708" s="1">
        <v>882.76</v>
      </c>
      <c r="O1708" s="1" t="s">
        <v>33</v>
      </c>
      <c r="P1708" s="1" t="s">
        <v>661</v>
      </c>
      <c r="Q1708" s="1">
        <v>4</v>
      </c>
      <c r="R1708" s="1">
        <f>Retail_Sales_Analyis[[#This Row],[Final_Price]]-Retail_Sales_Analyis[[#This Row],[Total_Price]]</f>
        <v>-98.080000000000041</v>
      </c>
      <c r="S17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09" spans="1:19" x14ac:dyDescent="0.25">
      <c r="A1709" s="1" t="s">
        <v>2655</v>
      </c>
      <c r="B1709" s="2">
        <v>45655</v>
      </c>
      <c r="C1709" s="1" t="s">
        <v>73</v>
      </c>
      <c r="D1709" s="1" t="s">
        <v>49</v>
      </c>
      <c r="E1709" s="1" t="s">
        <v>328</v>
      </c>
      <c r="F1709" s="1" t="s">
        <v>84</v>
      </c>
      <c r="G1709" s="1" t="s">
        <v>85</v>
      </c>
      <c r="H1709" s="1" t="s">
        <v>297</v>
      </c>
      <c r="I1709" s="1">
        <v>4773.07</v>
      </c>
      <c r="J1709" s="1">
        <v>3</v>
      </c>
      <c r="K1709" s="1">
        <v>14319.21</v>
      </c>
      <c r="L1709" s="1">
        <v>5</v>
      </c>
      <c r="M1709" s="1">
        <v>715.96</v>
      </c>
      <c r="N1709" s="1">
        <v>13603.25</v>
      </c>
      <c r="O1709" s="1" t="s">
        <v>46</v>
      </c>
      <c r="P1709" s="1" t="s">
        <v>1877</v>
      </c>
      <c r="Q1709" s="1">
        <v>4</v>
      </c>
      <c r="R1709" s="1">
        <f>Retail_Sales_Analyis[[#This Row],[Final_Price]]-Retail_Sales_Analyis[[#This Row],[Total_Price]]</f>
        <v>-715.95999999999913</v>
      </c>
      <c r="S17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10" spans="1:19" x14ac:dyDescent="0.25">
      <c r="A1710" s="1" t="s">
        <v>2656</v>
      </c>
      <c r="B1710" s="2">
        <v>45619</v>
      </c>
      <c r="C1710" s="1" t="s">
        <v>18</v>
      </c>
      <c r="D1710" s="1" t="s">
        <v>19</v>
      </c>
      <c r="E1710" s="1" t="s">
        <v>307</v>
      </c>
      <c r="F1710" s="1" t="s">
        <v>21</v>
      </c>
      <c r="G1710" s="1" t="s">
        <v>85</v>
      </c>
      <c r="H1710" s="1" t="s">
        <v>86</v>
      </c>
      <c r="I1710" s="1">
        <v>1058.77</v>
      </c>
      <c r="J1710" s="1">
        <v>2</v>
      </c>
      <c r="K1710" s="1">
        <v>2117.54</v>
      </c>
      <c r="L1710" s="1">
        <v>10</v>
      </c>
      <c r="M1710" s="1">
        <v>211.75</v>
      </c>
      <c r="N1710" s="1">
        <v>1905.79</v>
      </c>
      <c r="O1710" s="1" t="s">
        <v>24</v>
      </c>
      <c r="P1710" s="1" t="s">
        <v>2657</v>
      </c>
      <c r="Q1710" s="1">
        <v>5</v>
      </c>
      <c r="R1710" s="1">
        <f>Retail_Sales_Analyis[[#This Row],[Final_Price]]-Retail_Sales_Analyis[[#This Row],[Total_Price]]</f>
        <v>-211.75</v>
      </c>
      <c r="S17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11" spans="1:19" x14ac:dyDescent="0.25">
      <c r="A1711" s="1" t="s">
        <v>2658</v>
      </c>
      <c r="B1711" s="2">
        <v>45505</v>
      </c>
      <c r="C1711" s="1" t="s">
        <v>93</v>
      </c>
      <c r="D1711" s="1" t="s">
        <v>67</v>
      </c>
      <c r="E1711" s="1" t="s">
        <v>44</v>
      </c>
      <c r="F1711" s="1" t="s">
        <v>69</v>
      </c>
      <c r="G1711" s="1" t="s">
        <v>169</v>
      </c>
      <c r="H1711" s="1" t="s">
        <v>348</v>
      </c>
      <c r="I1711" s="1">
        <v>733.45</v>
      </c>
      <c r="J1711" s="1">
        <v>9</v>
      </c>
      <c r="K1711" s="1">
        <v>6601.05</v>
      </c>
      <c r="L1711" s="1">
        <v>0</v>
      </c>
      <c r="M1711" s="1">
        <v>0</v>
      </c>
      <c r="N1711" s="1">
        <v>6601.05</v>
      </c>
      <c r="O1711" s="1" t="s">
        <v>24</v>
      </c>
      <c r="P1711" s="1" t="s">
        <v>2659</v>
      </c>
      <c r="Q1711" s="1">
        <v>4</v>
      </c>
      <c r="R1711" s="1">
        <f>Retail_Sales_Analyis[[#This Row],[Final_Price]]-Retail_Sales_Analyis[[#This Row],[Total_Price]]</f>
        <v>0</v>
      </c>
      <c r="S17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12" spans="1:19" x14ac:dyDescent="0.25">
      <c r="A1712" s="1" t="s">
        <v>2660</v>
      </c>
      <c r="B1712" s="2">
        <v>45440</v>
      </c>
      <c r="C1712" s="1" t="s">
        <v>42</v>
      </c>
      <c r="D1712" s="1" t="s">
        <v>28</v>
      </c>
      <c r="E1712" s="1" t="s">
        <v>542</v>
      </c>
      <c r="F1712" s="1" t="s">
        <v>84</v>
      </c>
      <c r="G1712" s="1" t="s">
        <v>169</v>
      </c>
      <c r="H1712" s="1" t="s">
        <v>366</v>
      </c>
      <c r="I1712" s="1">
        <v>885.93</v>
      </c>
      <c r="J1712" s="1">
        <v>7</v>
      </c>
      <c r="K1712" s="1">
        <v>6201.51</v>
      </c>
      <c r="L1712" s="1">
        <v>10</v>
      </c>
      <c r="M1712" s="1">
        <v>620.15</v>
      </c>
      <c r="N1712" s="1">
        <v>5581.36</v>
      </c>
      <c r="O1712" s="1" t="s">
        <v>64</v>
      </c>
      <c r="P1712" s="1" t="s">
        <v>2447</v>
      </c>
      <c r="Q1712" s="1">
        <v>1</v>
      </c>
      <c r="R1712" s="1">
        <f>Retail_Sales_Analyis[[#This Row],[Final_Price]]-Retail_Sales_Analyis[[#This Row],[Total_Price]]</f>
        <v>-620.15000000000055</v>
      </c>
      <c r="S17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13" spans="1:19" x14ac:dyDescent="0.25">
      <c r="A1713" s="1" t="s">
        <v>2661</v>
      </c>
      <c r="B1713" s="2">
        <v>45350</v>
      </c>
      <c r="C1713" s="1" t="s">
        <v>27</v>
      </c>
      <c r="D1713" s="1" t="s">
        <v>55</v>
      </c>
      <c r="E1713" s="1" t="s">
        <v>199</v>
      </c>
      <c r="F1713" s="1" t="s">
        <v>21</v>
      </c>
      <c r="G1713" s="1" t="s">
        <v>85</v>
      </c>
      <c r="H1713" s="1" t="s">
        <v>180</v>
      </c>
      <c r="I1713" s="1">
        <v>1367.61</v>
      </c>
      <c r="J1713" s="1">
        <v>10</v>
      </c>
      <c r="K1713" s="1">
        <v>13676.1</v>
      </c>
      <c r="L1713" s="1">
        <v>5</v>
      </c>
      <c r="M1713" s="1">
        <v>683.81</v>
      </c>
      <c r="N1713" s="1">
        <v>12992.29</v>
      </c>
      <c r="O1713" s="1" t="s">
        <v>64</v>
      </c>
      <c r="P1713" s="1" t="s">
        <v>490</v>
      </c>
      <c r="Q1713" s="1">
        <v>4</v>
      </c>
      <c r="R1713" s="1">
        <f>Retail_Sales_Analyis[[#This Row],[Final_Price]]-Retail_Sales_Analyis[[#This Row],[Total_Price]]</f>
        <v>-683.80999999999949</v>
      </c>
      <c r="S17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14" spans="1:19" x14ac:dyDescent="0.25">
      <c r="A1714" s="1" t="s">
        <v>2662</v>
      </c>
      <c r="B1714" s="2">
        <v>45499</v>
      </c>
      <c r="C1714" s="1" t="s">
        <v>195</v>
      </c>
      <c r="D1714" s="1" t="s">
        <v>144</v>
      </c>
      <c r="E1714" s="1" t="s">
        <v>312</v>
      </c>
      <c r="F1714" s="1" t="s">
        <v>37</v>
      </c>
      <c r="G1714" s="1" t="s">
        <v>85</v>
      </c>
      <c r="H1714" s="1" t="s">
        <v>90</v>
      </c>
      <c r="I1714" s="1">
        <v>4772.1000000000004</v>
      </c>
      <c r="J1714" s="1">
        <v>6</v>
      </c>
      <c r="K1714" s="1">
        <v>28632.6</v>
      </c>
      <c r="L1714" s="1">
        <v>10</v>
      </c>
      <c r="M1714" s="1">
        <v>2863.26</v>
      </c>
      <c r="N1714" s="1">
        <v>25769.34</v>
      </c>
      <c r="O1714" s="1" t="s">
        <v>80</v>
      </c>
      <c r="P1714" s="1" t="s">
        <v>2663</v>
      </c>
      <c r="Q1714" s="1">
        <v>1</v>
      </c>
      <c r="R1714" s="1">
        <f>Retail_Sales_Analyis[[#This Row],[Final_Price]]-Retail_Sales_Analyis[[#This Row],[Total_Price]]</f>
        <v>-2863.2599999999984</v>
      </c>
      <c r="S17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15" spans="1:19" x14ac:dyDescent="0.25">
      <c r="A1715" s="1" t="s">
        <v>2664</v>
      </c>
      <c r="B1715" s="2">
        <v>45302</v>
      </c>
      <c r="C1715" s="1" t="s">
        <v>36</v>
      </c>
      <c r="D1715" s="1" t="s">
        <v>67</v>
      </c>
      <c r="E1715" s="1" t="s">
        <v>285</v>
      </c>
      <c r="F1715" s="1" t="s">
        <v>30</v>
      </c>
      <c r="G1715" s="1" t="s">
        <v>38</v>
      </c>
      <c r="H1715" s="1" t="s">
        <v>422</v>
      </c>
      <c r="I1715" s="1">
        <v>286.48</v>
      </c>
      <c r="J1715" s="1">
        <v>3</v>
      </c>
      <c r="K1715" s="1">
        <v>859.44</v>
      </c>
      <c r="L1715" s="1">
        <v>0</v>
      </c>
      <c r="M1715" s="1">
        <v>0</v>
      </c>
      <c r="N1715" s="1">
        <v>859.44</v>
      </c>
      <c r="O1715" s="1" t="s">
        <v>80</v>
      </c>
      <c r="P1715" s="1" t="s">
        <v>2665</v>
      </c>
      <c r="Q1715" s="1">
        <v>3</v>
      </c>
      <c r="R1715" s="1">
        <f>Retail_Sales_Analyis[[#This Row],[Final_Price]]-Retail_Sales_Analyis[[#This Row],[Total_Price]]</f>
        <v>0</v>
      </c>
      <c r="S17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16" spans="1:19" x14ac:dyDescent="0.25">
      <c r="A1716" s="1" t="s">
        <v>2666</v>
      </c>
      <c r="B1716" s="2">
        <v>45458</v>
      </c>
      <c r="C1716" s="1" t="s">
        <v>173</v>
      </c>
      <c r="D1716" s="1" t="s">
        <v>19</v>
      </c>
      <c r="E1716" s="1" t="s">
        <v>107</v>
      </c>
      <c r="F1716" s="1" t="s">
        <v>21</v>
      </c>
      <c r="G1716" s="1" t="s">
        <v>31</v>
      </c>
      <c r="H1716" s="1" t="s">
        <v>329</v>
      </c>
      <c r="I1716" s="1">
        <v>193.53</v>
      </c>
      <c r="J1716" s="1">
        <v>9</v>
      </c>
      <c r="K1716" s="1">
        <v>1741.77</v>
      </c>
      <c r="L1716" s="1">
        <v>0</v>
      </c>
      <c r="M1716" s="1">
        <v>0</v>
      </c>
      <c r="N1716" s="1">
        <v>1741.77</v>
      </c>
      <c r="O1716" s="1" t="s">
        <v>24</v>
      </c>
      <c r="P1716" s="1" t="s">
        <v>945</v>
      </c>
      <c r="Q1716" s="1">
        <v>5</v>
      </c>
      <c r="R1716" s="1">
        <f>Retail_Sales_Analyis[[#This Row],[Final_Price]]-Retail_Sales_Analyis[[#This Row],[Total_Price]]</f>
        <v>0</v>
      </c>
      <c r="S17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17" spans="1:19" x14ac:dyDescent="0.25">
      <c r="A1717" s="1" t="s">
        <v>2667</v>
      </c>
      <c r="B1717" s="2">
        <v>45379</v>
      </c>
      <c r="C1717" s="1" t="s">
        <v>61</v>
      </c>
      <c r="D1717" s="1" t="s">
        <v>67</v>
      </c>
      <c r="E1717" s="1" t="s">
        <v>328</v>
      </c>
      <c r="F1717" s="1" t="s">
        <v>69</v>
      </c>
      <c r="G1717" s="1" t="s">
        <v>78</v>
      </c>
      <c r="H1717" s="1" t="s">
        <v>136</v>
      </c>
      <c r="I1717" s="1">
        <v>523.73</v>
      </c>
      <c r="J1717" s="1">
        <v>10</v>
      </c>
      <c r="K1717" s="1">
        <v>5237.3</v>
      </c>
      <c r="L1717" s="1">
        <v>0</v>
      </c>
      <c r="M1717" s="1">
        <v>0</v>
      </c>
      <c r="N1717" s="1">
        <v>5237.3</v>
      </c>
      <c r="O1717" s="1" t="s">
        <v>24</v>
      </c>
      <c r="P1717" s="1" t="s">
        <v>1037</v>
      </c>
      <c r="Q1717" s="1">
        <v>1</v>
      </c>
      <c r="R1717" s="1">
        <f>Retail_Sales_Analyis[[#This Row],[Final_Price]]-Retail_Sales_Analyis[[#This Row],[Total_Price]]</f>
        <v>0</v>
      </c>
      <c r="S17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18" spans="1:19" x14ac:dyDescent="0.25">
      <c r="A1718" s="1" t="s">
        <v>2668</v>
      </c>
      <c r="B1718" s="2">
        <v>45608</v>
      </c>
      <c r="C1718" s="1" t="s">
        <v>18</v>
      </c>
      <c r="D1718" s="1" t="s">
        <v>28</v>
      </c>
      <c r="E1718" s="1" t="s">
        <v>68</v>
      </c>
      <c r="F1718" s="1" t="s">
        <v>30</v>
      </c>
      <c r="G1718" s="1" t="s">
        <v>78</v>
      </c>
      <c r="H1718" s="1" t="s">
        <v>136</v>
      </c>
      <c r="I1718" s="1">
        <v>273.8</v>
      </c>
      <c r="J1718" s="1">
        <v>1</v>
      </c>
      <c r="K1718" s="1">
        <v>273.8</v>
      </c>
      <c r="L1718" s="1">
        <v>5</v>
      </c>
      <c r="M1718" s="1">
        <v>13.69</v>
      </c>
      <c r="N1718" s="1">
        <v>260.11</v>
      </c>
      <c r="O1718" s="1" t="s">
        <v>64</v>
      </c>
      <c r="P1718" s="1" t="s">
        <v>582</v>
      </c>
      <c r="Q1718" s="1">
        <v>2</v>
      </c>
      <c r="R1718" s="1">
        <f>Retail_Sales_Analyis[[#This Row],[Final_Price]]-Retail_Sales_Analyis[[#This Row],[Total_Price]]</f>
        <v>-13.689999999999998</v>
      </c>
      <c r="S17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19" spans="1:19" x14ac:dyDescent="0.25">
      <c r="A1719" s="1" t="s">
        <v>2669</v>
      </c>
      <c r="B1719" s="2">
        <v>45527</v>
      </c>
      <c r="C1719" s="1" t="s">
        <v>93</v>
      </c>
      <c r="D1719" s="1" t="s">
        <v>144</v>
      </c>
      <c r="E1719" s="1" t="s">
        <v>157</v>
      </c>
      <c r="F1719" s="1" t="s">
        <v>37</v>
      </c>
      <c r="G1719" s="1" t="s">
        <v>31</v>
      </c>
      <c r="H1719" s="1" t="s">
        <v>250</v>
      </c>
      <c r="I1719" s="1">
        <v>276.39</v>
      </c>
      <c r="J1719" s="1">
        <v>9</v>
      </c>
      <c r="K1719" s="1">
        <v>2487.5100000000002</v>
      </c>
      <c r="L1719" s="1">
        <v>10</v>
      </c>
      <c r="M1719" s="1">
        <v>248.75</v>
      </c>
      <c r="N1719" s="1">
        <v>2238.7600000000002</v>
      </c>
      <c r="O1719" s="1" t="s">
        <v>46</v>
      </c>
      <c r="P1719" s="1" t="s">
        <v>964</v>
      </c>
      <c r="Q1719" s="1">
        <v>3</v>
      </c>
      <c r="R1719" s="1">
        <f>Retail_Sales_Analyis[[#This Row],[Final_Price]]-Retail_Sales_Analyis[[#This Row],[Total_Price]]</f>
        <v>-248.75</v>
      </c>
      <c r="S17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20" spans="1:19" x14ac:dyDescent="0.25">
      <c r="A1720" s="1" t="s">
        <v>2670</v>
      </c>
      <c r="B1720" s="2">
        <v>45645</v>
      </c>
      <c r="C1720" s="1" t="s">
        <v>73</v>
      </c>
      <c r="D1720" s="1" t="s">
        <v>67</v>
      </c>
      <c r="E1720" s="1" t="s">
        <v>97</v>
      </c>
      <c r="F1720" s="1" t="s">
        <v>69</v>
      </c>
      <c r="G1720" s="1" t="s">
        <v>31</v>
      </c>
      <c r="H1720" s="1" t="s">
        <v>45</v>
      </c>
      <c r="I1720" s="1">
        <v>343.38</v>
      </c>
      <c r="J1720" s="1">
        <v>9</v>
      </c>
      <c r="K1720" s="1">
        <v>3090.42</v>
      </c>
      <c r="L1720" s="1">
        <v>0</v>
      </c>
      <c r="M1720" s="1">
        <v>0</v>
      </c>
      <c r="N1720" s="1">
        <v>3090.42</v>
      </c>
      <c r="O1720" s="1" t="s">
        <v>64</v>
      </c>
      <c r="P1720" s="1" t="s">
        <v>675</v>
      </c>
      <c r="Q1720" s="1">
        <v>3</v>
      </c>
      <c r="R1720" s="1">
        <f>Retail_Sales_Analyis[[#This Row],[Final_Price]]-Retail_Sales_Analyis[[#This Row],[Total_Price]]</f>
        <v>0</v>
      </c>
      <c r="S17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21" spans="1:19" x14ac:dyDescent="0.25">
      <c r="A1721" s="1" t="s">
        <v>2671</v>
      </c>
      <c r="B1721" s="2">
        <v>45477</v>
      </c>
      <c r="C1721" s="1" t="s">
        <v>195</v>
      </c>
      <c r="D1721" s="1" t="s">
        <v>67</v>
      </c>
      <c r="E1721" s="1" t="s">
        <v>157</v>
      </c>
      <c r="F1721" s="1" t="s">
        <v>69</v>
      </c>
      <c r="G1721" s="1" t="s">
        <v>169</v>
      </c>
      <c r="H1721" s="1" t="s">
        <v>366</v>
      </c>
      <c r="I1721" s="1">
        <v>1492.42</v>
      </c>
      <c r="J1721" s="1">
        <v>2</v>
      </c>
      <c r="K1721" s="1">
        <v>2984.84</v>
      </c>
      <c r="L1721" s="1">
        <v>5</v>
      </c>
      <c r="M1721" s="1">
        <v>149.24</v>
      </c>
      <c r="N1721" s="1">
        <v>2835.6</v>
      </c>
      <c r="O1721" s="1" t="s">
        <v>80</v>
      </c>
      <c r="P1721" s="1" t="s">
        <v>557</v>
      </c>
      <c r="Q1721" s="1">
        <v>3</v>
      </c>
      <c r="R1721" s="1">
        <f>Retail_Sales_Analyis[[#This Row],[Final_Price]]-Retail_Sales_Analyis[[#This Row],[Total_Price]]</f>
        <v>-149.24000000000024</v>
      </c>
      <c r="S17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22" spans="1:19" x14ac:dyDescent="0.25">
      <c r="A1722" s="1" t="s">
        <v>2672</v>
      </c>
      <c r="B1722" s="2">
        <v>45337</v>
      </c>
      <c r="C1722" s="1" t="s">
        <v>27</v>
      </c>
      <c r="D1722" s="1" t="s">
        <v>67</v>
      </c>
      <c r="E1722" s="1" t="s">
        <v>307</v>
      </c>
      <c r="F1722" s="1" t="s">
        <v>37</v>
      </c>
      <c r="G1722" s="1" t="s">
        <v>112</v>
      </c>
      <c r="H1722" s="1" t="s">
        <v>118</v>
      </c>
      <c r="I1722" s="1">
        <v>1914.46</v>
      </c>
      <c r="J1722" s="1">
        <v>1</v>
      </c>
      <c r="K1722" s="1">
        <v>1914.46</v>
      </c>
      <c r="L1722" s="1">
        <v>0</v>
      </c>
      <c r="M1722" s="1">
        <v>0</v>
      </c>
      <c r="N1722" s="1">
        <v>1914.46</v>
      </c>
      <c r="O1722" s="1" t="s">
        <v>24</v>
      </c>
      <c r="P1722" s="1" t="s">
        <v>502</v>
      </c>
      <c r="Q1722" s="1">
        <v>5</v>
      </c>
      <c r="R1722" s="1">
        <f>Retail_Sales_Analyis[[#This Row],[Final_Price]]-Retail_Sales_Analyis[[#This Row],[Total_Price]]</f>
        <v>0</v>
      </c>
      <c r="S17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23" spans="1:19" x14ac:dyDescent="0.25">
      <c r="A1723" s="1" t="s">
        <v>2673</v>
      </c>
      <c r="B1723" s="2">
        <v>45515</v>
      </c>
      <c r="C1723" s="1" t="s">
        <v>93</v>
      </c>
      <c r="D1723" s="1" t="s">
        <v>49</v>
      </c>
      <c r="E1723" s="1" t="s">
        <v>129</v>
      </c>
      <c r="F1723" s="1" t="s">
        <v>69</v>
      </c>
      <c r="G1723" s="1" t="s">
        <v>85</v>
      </c>
      <c r="H1723" s="1" t="s">
        <v>86</v>
      </c>
      <c r="I1723" s="1">
        <v>4543.63</v>
      </c>
      <c r="J1723" s="1">
        <v>2</v>
      </c>
      <c r="K1723" s="1">
        <v>9087.26</v>
      </c>
      <c r="L1723" s="1">
        <v>20</v>
      </c>
      <c r="M1723" s="1">
        <v>1817.45</v>
      </c>
      <c r="N1723" s="1">
        <v>7269.81</v>
      </c>
      <c r="O1723" s="1" t="s">
        <v>24</v>
      </c>
      <c r="P1723" s="1" t="s">
        <v>625</v>
      </c>
      <c r="Q1723" s="1">
        <v>3</v>
      </c>
      <c r="R1723" s="1">
        <f>Retail_Sales_Analyis[[#This Row],[Final_Price]]-Retail_Sales_Analyis[[#This Row],[Total_Price]]</f>
        <v>-1817.4499999999998</v>
      </c>
      <c r="S17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24" spans="1:19" x14ac:dyDescent="0.25">
      <c r="A1724" s="1" t="s">
        <v>2674</v>
      </c>
      <c r="B1724" s="2">
        <v>45346</v>
      </c>
      <c r="C1724" s="1" t="s">
        <v>27</v>
      </c>
      <c r="D1724" s="1" t="s">
        <v>19</v>
      </c>
      <c r="E1724" s="1" t="s">
        <v>186</v>
      </c>
      <c r="F1724" s="1" t="s">
        <v>37</v>
      </c>
      <c r="G1724" s="1" t="s">
        <v>112</v>
      </c>
      <c r="H1724" s="1" t="s">
        <v>118</v>
      </c>
      <c r="I1724" s="1">
        <v>841.12</v>
      </c>
      <c r="J1724" s="1">
        <v>8</v>
      </c>
      <c r="K1724" s="1">
        <v>6728.96</v>
      </c>
      <c r="L1724" s="1">
        <v>0</v>
      </c>
      <c r="M1724" s="1">
        <v>0</v>
      </c>
      <c r="N1724" s="1">
        <v>6728.96</v>
      </c>
      <c r="O1724" s="1" t="s">
        <v>80</v>
      </c>
      <c r="P1724" s="1" t="s">
        <v>1395</v>
      </c>
      <c r="Q1724" s="1">
        <v>2</v>
      </c>
      <c r="R1724" s="1">
        <f>Retail_Sales_Analyis[[#This Row],[Final_Price]]-Retail_Sales_Analyis[[#This Row],[Total_Price]]</f>
        <v>0</v>
      </c>
      <c r="S17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25" spans="1:19" x14ac:dyDescent="0.25">
      <c r="A1725" s="1" t="s">
        <v>2675</v>
      </c>
      <c r="B1725" s="2">
        <v>45416</v>
      </c>
      <c r="C1725" s="1" t="s">
        <v>42</v>
      </c>
      <c r="D1725" s="1" t="s">
        <v>19</v>
      </c>
      <c r="E1725" s="1" t="s">
        <v>83</v>
      </c>
      <c r="F1725" s="1" t="s">
        <v>30</v>
      </c>
      <c r="G1725" s="1" t="s">
        <v>31</v>
      </c>
      <c r="H1725" s="1" t="s">
        <v>329</v>
      </c>
      <c r="I1725" s="1">
        <v>414.35</v>
      </c>
      <c r="J1725" s="1">
        <v>10</v>
      </c>
      <c r="K1725" s="1">
        <v>4143.5</v>
      </c>
      <c r="L1725" s="1">
        <v>0</v>
      </c>
      <c r="M1725" s="1">
        <v>0</v>
      </c>
      <c r="N1725" s="1">
        <v>4143.5</v>
      </c>
      <c r="O1725" s="1" t="s">
        <v>24</v>
      </c>
      <c r="P1725" s="1" t="s">
        <v>2676</v>
      </c>
      <c r="Q1725" s="1">
        <v>1</v>
      </c>
      <c r="R1725" s="1">
        <f>Retail_Sales_Analyis[[#This Row],[Final_Price]]-Retail_Sales_Analyis[[#This Row],[Total_Price]]</f>
        <v>0</v>
      </c>
      <c r="S17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26" spans="1:19" x14ac:dyDescent="0.25">
      <c r="A1726" s="1" t="s">
        <v>2677</v>
      </c>
      <c r="B1726" s="2">
        <v>45515</v>
      </c>
      <c r="C1726" s="1" t="s">
        <v>93</v>
      </c>
      <c r="D1726" s="1" t="s">
        <v>49</v>
      </c>
      <c r="E1726" s="1" t="s">
        <v>125</v>
      </c>
      <c r="F1726" s="1" t="s">
        <v>21</v>
      </c>
      <c r="G1726" s="1" t="s">
        <v>169</v>
      </c>
      <c r="H1726" s="1" t="s">
        <v>170</v>
      </c>
      <c r="I1726" s="1">
        <v>988.8</v>
      </c>
      <c r="J1726" s="1">
        <v>5</v>
      </c>
      <c r="K1726" s="1">
        <v>4944</v>
      </c>
      <c r="L1726" s="1">
        <v>10</v>
      </c>
      <c r="M1726" s="1">
        <v>494.4</v>
      </c>
      <c r="N1726" s="1">
        <v>4449.6000000000004</v>
      </c>
      <c r="O1726" s="1" t="s">
        <v>46</v>
      </c>
      <c r="P1726" s="1" t="s">
        <v>2342</v>
      </c>
      <c r="Q1726" s="1">
        <v>3</v>
      </c>
      <c r="R1726" s="1">
        <f>Retail_Sales_Analyis[[#This Row],[Final_Price]]-Retail_Sales_Analyis[[#This Row],[Total_Price]]</f>
        <v>-494.39999999999964</v>
      </c>
      <c r="S17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27" spans="1:19" x14ac:dyDescent="0.25">
      <c r="A1727" s="1" t="s">
        <v>2678</v>
      </c>
      <c r="B1727" s="2">
        <v>45593</v>
      </c>
      <c r="C1727" s="1" t="s">
        <v>76</v>
      </c>
      <c r="D1727" s="1" t="s">
        <v>43</v>
      </c>
      <c r="E1727" s="1" t="s">
        <v>68</v>
      </c>
      <c r="F1727" s="1" t="s">
        <v>84</v>
      </c>
      <c r="G1727" s="1" t="s">
        <v>31</v>
      </c>
      <c r="H1727" s="1" t="s">
        <v>32</v>
      </c>
      <c r="I1727" s="1">
        <v>316.89</v>
      </c>
      <c r="J1727" s="1">
        <v>10</v>
      </c>
      <c r="K1727" s="1">
        <v>3168.9</v>
      </c>
      <c r="L1727" s="1">
        <v>0</v>
      </c>
      <c r="M1727" s="1">
        <v>0</v>
      </c>
      <c r="N1727" s="1">
        <v>3168.9</v>
      </c>
      <c r="O1727" s="1" t="s">
        <v>33</v>
      </c>
      <c r="P1727" s="1" t="s">
        <v>1132</v>
      </c>
      <c r="Q1727" s="1">
        <v>3</v>
      </c>
      <c r="R1727" s="1">
        <f>Retail_Sales_Analyis[[#This Row],[Final_Price]]-Retail_Sales_Analyis[[#This Row],[Total_Price]]</f>
        <v>0</v>
      </c>
      <c r="S17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28" spans="1:19" x14ac:dyDescent="0.25">
      <c r="A1728" s="1" t="s">
        <v>2679</v>
      </c>
      <c r="B1728" s="2">
        <v>45497</v>
      </c>
      <c r="C1728" s="1" t="s">
        <v>195</v>
      </c>
      <c r="D1728" s="1" t="s">
        <v>55</v>
      </c>
      <c r="E1728" s="1" t="s">
        <v>204</v>
      </c>
      <c r="F1728" s="1" t="s">
        <v>84</v>
      </c>
      <c r="G1728" s="1" t="s">
        <v>38</v>
      </c>
      <c r="H1728" s="1" t="s">
        <v>108</v>
      </c>
      <c r="I1728" s="1">
        <v>636.19000000000005</v>
      </c>
      <c r="J1728" s="1">
        <v>7</v>
      </c>
      <c r="K1728" s="1">
        <v>4453.33</v>
      </c>
      <c r="L1728" s="1">
        <v>20</v>
      </c>
      <c r="M1728" s="1">
        <v>890.67</v>
      </c>
      <c r="N1728" s="1">
        <v>3562.66</v>
      </c>
      <c r="O1728" s="1" t="s">
        <v>24</v>
      </c>
      <c r="P1728" s="1" t="s">
        <v>657</v>
      </c>
      <c r="Q1728" s="1">
        <v>5</v>
      </c>
      <c r="R1728" s="1">
        <f>Retail_Sales_Analyis[[#This Row],[Final_Price]]-Retail_Sales_Analyis[[#This Row],[Total_Price]]</f>
        <v>-890.67000000000007</v>
      </c>
      <c r="S172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29" spans="1:19" x14ac:dyDescent="0.25">
      <c r="A1729" s="1" t="s">
        <v>2680</v>
      </c>
      <c r="B1729" s="2">
        <v>45560</v>
      </c>
      <c r="C1729" s="1" t="s">
        <v>116</v>
      </c>
      <c r="D1729" s="1" t="s">
        <v>55</v>
      </c>
      <c r="E1729" s="1" t="s">
        <v>145</v>
      </c>
      <c r="F1729" s="1" t="s">
        <v>37</v>
      </c>
      <c r="G1729" s="1" t="s">
        <v>85</v>
      </c>
      <c r="H1729" s="1" t="s">
        <v>86</v>
      </c>
      <c r="I1729" s="1">
        <v>1808.74</v>
      </c>
      <c r="J1729" s="1">
        <v>5</v>
      </c>
      <c r="K1729" s="1">
        <v>9043.7000000000007</v>
      </c>
      <c r="L1729" s="1">
        <v>20</v>
      </c>
      <c r="M1729" s="1">
        <v>1808.74</v>
      </c>
      <c r="N1729" s="1">
        <v>7234.96</v>
      </c>
      <c r="O1729" s="1" t="s">
        <v>80</v>
      </c>
      <c r="P1729" s="1" t="s">
        <v>1557</v>
      </c>
      <c r="Q1729" s="1">
        <v>1</v>
      </c>
      <c r="R1729" s="1">
        <f>Retail_Sales_Analyis[[#This Row],[Final_Price]]-Retail_Sales_Analyis[[#This Row],[Total_Price]]</f>
        <v>-1808.7400000000007</v>
      </c>
      <c r="S17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30" spans="1:19" x14ac:dyDescent="0.25">
      <c r="A1730" s="1" t="s">
        <v>2681</v>
      </c>
      <c r="B1730" s="2">
        <v>45332</v>
      </c>
      <c r="C1730" s="1" t="s">
        <v>27</v>
      </c>
      <c r="D1730" s="1" t="s">
        <v>19</v>
      </c>
      <c r="E1730" s="1" t="s">
        <v>207</v>
      </c>
      <c r="F1730" s="1" t="s">
        <v>21</v>
      </c>
      <c r="G1730" s="1" t="s">
        <v>38</v>
      </c>
      <c r="H1730" s="1" t="s">
        <v>422</v>
      </c>
      <c r="I1730" s="1">
        <v>131.78</v>
      </c>
      <c r="J1730" s="1">
        <v>6</v>
      </c>
      <c r="K1730" s="1">
        <v>790.68</v>
      </c>
      <c r="L1730" s="1">
        <v>20</v>
      </c>
      <c r="M1730" s="1">
        <v>158.13999999999999</v>
      </c>
      <c r="N1730" s="1">
        <v>632.54</v>
      </c>
      <c r="O1730" s="1" t="s">
        <v>80</v>
      </c>
      <c r="P1730" s="1" t="s">
        <v>520</v>
      </c>
      <c r="Q1730" s="1">
        <v>5</v>
      </c>
      <c r="R1730" s="1">
        <f>Retail_Sales_Analyis[[#This Row],[Final_Price]]-Retail_Sales_Analyis[[#This Row],[Total_Price]]</f>
        <v>-158.13999999999999</v>
      </c>
      <c r="S17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31" spans="1:19" x14ac:dyDescent="0.25">
      <c r="A1731" s="1" t="s">
        <v>2682</v>
      </c>
      <c r="B1731" s="2">
        <v>45494</v>
      </c>
      <c r="C1731" s="1" t="s">
        <v>195</v>
      </c>
      <c r="D1731" s="1" t="s">
        <v>49</v>
      </c>
      <c r="E1731" s="1" t="s">
        <v>151</v>
      </c>
      <c r="F1731" s="1" t="s">
        <v>84</v>
      </c>
      <c r="G1731" s="1" t="s">
        <v>85</v>
      </c>
      <c r="H1731" s="1" t="s">
        <v>297</v>
      </c>
      <c r="I1731" s="1">
        <v>2873.09</v>
      </c>
      <c r="J1731" s="1">
        <v>5</v>
      </c>
      <c r="K1731" s="1">
        <v>14365.45</v>
      </c>
      <c r="L1731" s="1">
        <v>0</v>
      </c>
      <c r="M1731" s="1">
        <v>0</v>
      </c>
      <c r="N1731" s="1">
        <v>14365.45</v>
      </c>
      <c r="O1731" s="1" t="s">
        <v>46</v>
      </c>
      <c r="P1731" s="1" t="s">
        <v>300</v>
      </c>
      <c r="Q1731" s="1">
        <v>4</v>
      </c>
      <c r="R1731" s="1">
        <f>Retail_Sales_Analyis[[#This Row],[Final_Price]]-Retail_Sales_Analyis[[#This Row],[Total_Price]]</f>
        <v>0</v>
      </c>
      <c r="S17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2" spans="1:19" x14ac:dyDescent="0.25">
      <c r="A1732" s="1" t="s">
        <v>2683</v>
      </c>
      <c r="B1732" s="2">
        <v>45450</v>
      </c>
      <c r="C1732" s="1" t="s">
        <v>173</v>
      </c>
      <c r="D1732" s="1" t="s">
        <v>144</v>
      </c>
      <c r="E1732" s="1" t="s">
        <v>207</v>
      </c>
      <c r="F1732" s="1" t="s">
        <v>30</v>
      </c>
      <c r="G1732" s="1" t="s">
        <v>57</v>
      </c>
      <c r="H1732" s="1" t="s">
        <v>158</v>
      </c>
      <c r="I1732" s="1">
        <v>2639.8</v>
      </c>
      <c r="J1732" s="1">
        <v>3</v>
      </c>
      <c r="K1732" s="1">
        <v>7919.4</v>
      </c>
      <c r="L1732" s="1">
        <v>5</v>
      </c>
      <c r="M1732" s="1">
        <v>395.97</v>
      </c>
      <c r="N1732" s="1">
        <v>7523.43</v>
      </c>
      <c r="O1732" s="1" t="s">
        <v>80</v>
      </c>
      <c r="P1732" s="1" t="s">
        <v>413</v>
      </c>
      <c r="Q1732" s="1">
        <v>1</v>
      </c>
      <c r="R1732" s="1">
        <f>Retail_Sales_Analyis[[#This Row],[Final_Price]]-Retail_Sales_Analyis[[#This Row],[Total_Price]]</f>
        <v>-395.96999999999935</v>
      </c>
      <c r="S17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33" spans="1:19" x14ac:dyDescent="0.25">
      <c r="A1733" s="1" t="s">
        <v>2684</v>
      </c>
      <c r="B1733" s="2">
        <v>45465</v>
      </c>
      <c r="C1733" s="1" t="s">
        <v>173</v>
      </c>
      <c r="D1733" s="1" t="s">
        <v>19</v>
      </c>
      <c r="E1733" s="1" t="s">
        <v>125</v>
      </c>
      <c r="F1733" s="1" t="s">
        <v>30</v>
      </c>
      <c r="G1733" s="1" t="s">
        <v>22</v>
      </c>
      <c r="H1733" s="1" t="s">
        <v>133</v>
      </c>
      <c r="I1733" s="1">
        <v>796.27</v>
      </c>
      <c r="J1733" s="1">
        <v>8</v>
      </c>
      <c r="K1733" s="1">
        <v>6370.16</v>
      </c>
      <c r="L1733" s="1">
        <v>0</v>
      </c>
      <c r="M1733" s="1">
        <v>0</v>
      </c>
      <c r="N1733" s="1">
        <v>6370.16</v>
      </c>
      <c r="O1733" s="1" t="s">
        <v>80</v>
      </c>
      <c r="P1733" s="1" t="s">
        <v>211</v>
      </c>
      <c r="Q1733" s="1">
        <v>5</v>
      </c>
      <c r="R1733" s="1">
        <f>Retail_Sales_Analyis[[#This Row],[Final_Price]]-Retail_Sales_Analyis[[#This Row],[Total_Price]]</f>
        <v>0</v>
      </c>
      <c r="S17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4" spans="1:19" x14ac:dyDescent="0.25">
      <c r="A1734" s="1" t="s">
        <v>2685</v>
      </c>
      <c r="B1734" s="2">
        <v>45405</v>
      </c>
      <c r="C1734" s="1" t="s">
        <v>54</v>
      </c>
      <c r="D1734" s="1" t="s">
        <v>28</v>
      </c>
      <c r="E1734" s="1" t="s">
        <v>125</v>
      </c>
      <c r="F1734" s="1" t="s">
        <v>69</v>
      </c>
      <c r="G1734" s="1" t="s">
        <v>38</v>
      </c>
      <c r="H1734" s="1" t="s">
        <v>70</v>
      </c>
      <c r="I1734" s="1">
        <v>452.37</v>
      </c>
      <c r="J1734" s="1">
        <v>9</v>
      </c>
      <c r="K1734" s="1">
        <v>4071.33</v>
      </c>
      <c r="L1734" s="1">
        <v>0</v>
      </c>
      <c r="M1734" s="1">
        <v>0</v>
      </c>
      <c r="N1734" s="1">
        <v>4071.33</v>
      </c>
      <c r="O1734" s="1" t="s">
        <v>64</v>
      </c>
      <c r="P1734" s="1" t="s">
        <v>737</v>
      </c>
      <c r="Q1734" s="1">
        <v>3</v>
      </c>
      <c r="R1734" s="1">
        <f>Retail_Sales_Analyis[[#This Row],[Final_Price]]-Retail_Sales_Analyis[[#This Row],[Total_Price]]</f>
        <v>0</v>
      </c>
      <c r="S17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5" spans="1:19" x14ac:dyDescent="0.25">
      <c r="A1735" s="1" t="s">
        <v>2686</v>
      </c>
      <c r="B1735" s="2">
        <v>45462</v>
      </c>
      <c r="C1735" s="1" t="s">
        <v>173</v>
      </c>
      <c r="D1735" s="1" t="s">
        <v>55</v>
      </c>
      <c r="E1735" s="1" t="s">
        <v>111</v>
      </c>
      <c r="F1735" s="1" t="s">
        <v>69</v>
      </c>
      <c r="G1735" s="1" t="s">
        <v>38</v>
      </c>
      <c r="H1735" s="1" t="s">
        <v>108</v>
      </c>
      <c r="I1735" s="1">
        <v>740.5</v>
      </c>
      <c r="J1735" s="1">
        <v>9</v>
      </c>
      <c r="K1735" s="1">
        <v>6664.5</v>
      </c>
      <c r="L1735" s="1">
        <v>0</v>
      </c>
      <c r="M1735" s="1">
        <v>0</v>
      </c>
      <c r="N1735" s="1">
        <v>6664.5</v>
      </c>
      <c r="O1735" s="1" t="s">
        <v>46</v>
      </c>
      <c r="P1735" s="1" t="s">
        <v>896</v>
      </c>
      <c r="Q1735" s="1">
        <v>3</v>
      </c>
      <c r="R1735" s="1">
        <f>Retail_Sales_Analyis[[#This Row],[Final_Price]]-Retail_Sales_Analyis[[#This Row],[Total_Price]]</f>
        <v>0</v>
      </c>
      <c r="S17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6" spans="1:19" x14ac:dyDescent="0.25">
      <c r="A1736" s="1" t="s">
        <v>2687</v>
      </c>
      <c r="B1736" s="2">
        <v>45378</v>
      </c>
      <c r="C1736" s="1" t="s">
        <v>61</v>
      </c>
      <c r="D1736" s="1" t="s">
        <v>55</v>
      </c>
      <c r="E1736" s="1" t="s">
        <v>62</v>
      </c>
      <c r="F1736" s="1" t="s">
        <v>30</v>
      </c>
      <c r="G1736" s="1" t="s">
        <v>31</v>
      </c>
      <c r="H1736" s="1" t="s">
        <v>63</v>
      </c>
      <c r="I1736" s="1">
        <v>367.11</v>
      </c>
      <c r="J1736" s="1">
        <v>7</v>
      </c>
      <c r="K1736" s="1">
        <v>2569.77</v>
      </c>
      <c r="L1736" s="1">
        <v>0</v>
      </c>
      <c r="M1736" s="1">
        <v>0</v>
      </c>
      <c r="N1736" s="1">
        <v>2569.77</v>
      </c>
      <c r="O1736" s="1" t="s">
        <v>33</v>
      </c>
      <c r="P1736" s="1" t="s">
        <v>2175</v>
      </c>
      <c r="Q1736" s="1">
        <v>5</v>
      </c>
      <c r="R1736" s="1">
        <f>Retail_Sales_Analyis[[#This Row],[Final_Price]]-Retail_Sales_Analyis[[#This Row],[Total_Price]]</f>
        <v>0</v>
      </c>
      <c r="S17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7" spans="1:19" x14ac:dyDescent="0.25">
      <c r="A1737" s="1" t="s">
        <v>2688</v>
      </c>
      <c r="B1737" s="2">
        <v>45331</v>
      </c>
      <c r="C1737" s="1" t="s">
        <v>27</v>
      </c>
      <c r="D1737" s="1" t="s">
        <v>144</v>
      </c>
      <c r="E1737" s="1" t="s">
        <v>342</v>
      </c>
      <c r="F1737" s="1" t="s">
        <v>84</v>
      </c>
      <c r="G1737" s="1" t="s">
        <v>78</v>
      </c>
      <c r="H1737" s="1" t="s">
        <v>136</v>
      </c>
      <c r="I1737" s="1">
        <v>221.76</v>
      </c>
      <c r="J1737" s="1">
        <v>10</v>
      </c>
      <c r="K1737" s="1">
        <v>2217.6</v>
      </c>
      <c r="L1737" s="1">
        <v>0</v>
      </c>
      <c r="M1737" s="1">
        <v>0</v>
      </c>
      <c r="N1737" s="1">
        <v>2217.6</v>
      </c>
      <c r="O1737" s="1" t="s">
        <v>24</v>
      </c>
      <c r="P1737" s="1" t="s">
        <v>2689</v>
      </c>
      <c r="Q1737" s="1">
        <v>5</v>
      </c>
      <c r="R1737" s="1">
        <f>Retail_Sales_Analyis[[#This Row],[Final_Price]]-Retail_Sales_Analyis[[#This Row],[Total_Price]]</f>
        <v>0</v>
      </c>
      <c r="S17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38" spans="1:19" x14ac:dyDescent="0.25">
      <c r="A1738" s="1" t="s">
        <v>2690</v>
      </c>
      <c r="B1738" s="2">
        <v>45553</v>
      </c>
      <c r="C1738" s="1" t="s">
        <v>116</v>
      </c>
      <c r="D1738" s="1" t="s">
        <v>55</v>
      </c>
      <c r="E1738" s="1" t="s">
        <v>104</v>
      </c>
      <c r="F1738" s="1" t="s">
        <v>84</v>
      </c>
      <c r="G1738" s="1" t="s">
        <v>78</v>
      </c>
      <c r="H1738" s="1" t="s">
        <v>323</v>
      </c>
      <c r="I1738" s="1">
        <v>198.21</v>
      </c>
      <c r="J1738" s="1">
        <v>8</v>
      </c>
      <c r="K1738" s="1">
        <v>1585.68</v>
      </c>
      <c r="L1738" s="1">
        <v>15</v>
      </c>
      <c r="M1738" s="1">
        <v>237.85</v>
      </c>
      <c r="N1738" s="1">
        <v>1347.83</v>
      </c>
      <c r="O1738" s="1" t="s">
        <v>46</v>
      </c>
      <c r="P1738" s="1" t="s">
        <v>2691</v>
      </c>
      <c r="Q1738" s="1">
        <v>1</v>
      </c>
      <c r="R1738" s="1">
        <f>Retail_Sales_Analyis[[#This Row],[Final_Price]]-Retail_Sales_Analyis[[#This Row],[Total_Price]]</f>
        <v>-237.85000000000014</v>
      </c>
      <c r="S17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39" spans="1:19" x14ac:dyDescent="0.25">
      <c r="A1739" s="1" t="s">
        <v>2692</v>
      </c>
      <c r="B1739" s="2">
        <v>45616</v>
      </c>
      <c r="C1739" s="1" t="s">
        <v>18</v>
      </c>
      <c r="D1739" s="1" t="s">
        <v>55</v>
      </c>
      <c r="E1739" s="1" t="s">
        <v>542</v>
      </c>
      <c r="F1739" s="1" t="s">
        <v>84</v>
      </c>
      <c r="G1739" s="1" t="s">
        <v>57</v>
      </c>
      <c r="H1739" s="1" t="s">
        <v>152</v>
      </c>
      <c r="I1739" s="1">
        <v>2862.92</v>
      </c>
      <c r="J1739" s="1">
        <v>2</v>
      </c>
      <c r="K1739" s="1">
        <v>5725.84</v>
      </c>
      <c r="L1739" s="1">
        <v>5</v>
      </c>
      <c r="M1739" s="1">
        <v>286.29000000000002</v>
      </c>
      <c r="N1739" s="1">
        <v>5439.55</v>
      </c>
      <c r="O1739" s="1" t="s">
        <v>80</v>
      </c>
      <c r="P1739" s="1" t="s">
        <v>1228</v>
      </c>
      <c r="Q1739" s="1">
        <v>4</v>
      </c>
      <c r="R1739" s="1">
        <f>Retail_Sales_Analyis[[#This Row],[Final_Price]]-Retail_Sales_Analyis[[#This Row],[Total_Price]]</f>
        <v>-286.28999999999996</v>
      </c>
      <c r="S17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40" spans="1:19" x14ac:dyDescent="0.25">
      <c r="A1740" s="1" t="s">
        <v>2693</v>
      </c>
      <c r="B1740" s="2">
        <v>45350</v>
      </c>
      <c r="C1740" s="1" t="s">
        <v>27</v>
      </c>
      <c r="D1740" s="1" t="s">
        <v>55</v>
      </c>
      <c r="E1740" s="1" t="s">
        <v>111</v>
      </c>
      <c r="F1740" s="1" t="s">
        <v>21</v>
      </c>
      <c r="G1740" s="1" t="s">
        <v>112</v>
      </c>
      <c r="H1740" s="1" t="s">
        <v>113</v>
      </c>
      <c r="I1740" s="1">
        <v>992.8</v>
      </c>
      <c r="J1740" s="1">
        <v>5</v>
      </c>
      <c r="K1740" s="1">
        <v>4964</v>
      </c>
      <c r="L1740" s="1">
        <v>15</v>
      </c>
      <c r="M1740" s="1">
        <v>744.6</v>
      </c>
      <c r="N1740" s="1">
        <v>4219.3999999999996</v>
      </c>
      <c r="O1740" s="1" t="s">
        <v>33</v>
      </c>
      <c r="P1740" s="1" t="s">
        <v>2167</v>
      </c>
      <c r="Q1740" s="1">
        <v>4</v>
      </c>
      <c r="R1740" s="1">
        <f>Retail_Sales_Analyis[[#This Row],[Final_Price]]-Retail_Sales_Analyis[[#This Row],[Total_Price]]</f>
        <v>-744.60000000000036</v>
      </c>
      <c r="S17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41" spans="1:19" x14ac:dyDescent="0.25">
      <c r="A1741" s="1" t="s">
        <v>2694</v>
      </c>
      <c r="B1741" s="2">
        <v>45563</v>
      </c>
      <c r="C1741" s="1" t="s">
        <v>116</v>
      </c>
      <c r="D1741" s="1" t="s">
        <v>19</v>
      </c>
      <c r="E1741" s="1" t="s">
        <v>168</v>
      </c>
      <c r="F1741" s="1" t="s">
        <v>37</v>
      </c>
      <c r="G1741" s="1" t="s">
        <v>112</v>
      </c>
      <c r="H1741" s="1" t="s">
        <v>288</v>
      </c>
      <c r="I1741" s="1">
        <v>1575.63</v>
      </c>
      <c r="J1741" s="1">
        <v>6</v>
      </c>
      <c r="K1741" s="1">
        <v>9453.7800000000007</v>
      </c>
      <c r="L1741" s="1">
        <v>0</v>
      </c>
      <c r="M1741" s="1">
        <v>0</v>
      </c>
      <c r="N1741" s="1">
        <v>9453.7800000000007</v>
      </c>
      <c r="O1741" s="1" t="s">
        <v>46</v>
      </c>
      <c r="P1741" s="1" t="s">
        <v>1779</v>
      </c>
      <c r="Q1741" s="1">
        <v>3</v>
      </c>
      <c r="R1741" s="1">
        <f>Retail_Sales_Analyis[[#This Row],[Final_Price]]-Retail_Sales_Analyis[[#This Row],[Total_Price]]</f>
        <v>0</v>
      </c>
      <c r="S17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42" spans="1:19" x14ac:dyDescent="0.25">
      <c r="A1742" s="1" t="s">
        <v>2695</v>
      </c>
      <c r="B1742" s="2">
        <v>45553</v>
      </c>
      <c r="C1742" s="1" t="s">
        <v>116</v>
      </c>
      <c r="D1742" s="1" t="s">
        <v>55</v>
      </c>
      <c r="E1742" s="1" t="s">
        <v>196</v>
      </c>
      <c r="F1742" s="1" t="s">
        <v>30</v>
      </c>
      <c r="G1742" s="1" t="s">
        <v>85</v>
      </c>
      <c r="H1742" s="1" t="s">
        <v>297</v>
      </c>
      <c r="I1742" s="1">
        <v>4571.88</v>
      </c>
      <c r="J1742" s="1">
        <v>3</v>
      </c>
      <c r="K1742" s="1">
        <v>13715.64</v>
      </c>
      <c r="L1742" s="1">
        <v>0</v>
      </c>
      <c r="M1742" s="1">
        <v>0</v>
      </c>
      <c r="N1742" s="1">
        <v>13715.64</v>
      </c>
      <c r="O1742" s="1" t="s">
        <v>33</v>
      </c>
      <c r="P1742" s="1" t="s">
        <v>1372</v>
      </c>
      <c r="Q1742" s="1">
        <v>3</v>
      </c>
      <c r="R1742" s="1">
        <f>Retail_Sales_Analyis[[#This Row],[Final_Price]]-Retail_Sales_Analyis[[#This Row],[Total_Price]]</f>
        <v>0</v>
      </c>
      <c r="S17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43" spans="1:19" x14ac:dyDescent="0.25">
      <c r="A1743" s="1" t="s">
        <v>2696</v>
      </c>
      <c r="B1743" s="2">
        <v>45391</v>
      </c>
      <c r="C1743" s="1" t="s">
        <v>54</v>
      </c>
      <c r="D1743" s="1" t="s">
        <v>28</v>
      </c>
      <c r="E1743" s="1" t="s">
        <v>166</v>
      </c>
      <c r="F1743" s="1" t="s">
        <v>37</v>
      </c>
      <c r="G1743" s="1" t="s">
        <v>112</v>
      </c>
      <c r="H1743" s="1" t="s">
        <v>223</v>
      </c>
      <c r="I1743" s="1">
        <v>736.86</v>
      </c>
      <c r="J1743" s="1">
        <v>7</v>
      </c>
      <c r="K1743" s="1">
        <v>5158.0200000000004</v>
      </c>
      <c r="L1743" s="1">
        <v>20</v>
      </c>
      <c r="M1743" s="1">
        <v>1031.5999999999999</v>
      </c>
      <c r="N1743" s="1">
        <v>4126.42</v>
      </c>
      <c r="O1743" s="1" t="s">
        <v>24</v>
      </c>
      <c r="P1743" s="1" t="s">
        <v>1188</v>
      </c>
      <c r="Q1743" s="1">
        <v>1</v>
      </c>
      <c r="R1743" s="1">
        <f>Retail_Sales_Analyis[[#This Row],[Final_Price]]-Retail_Sales_Analyis[[#This Row],[Total_Price]]</f>
        <v>-1031.6000000000004</v>
      </c>
      <c r="S17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44" spans="1:19" x14ac:dyDescent="0.25">
      <c r="A1744" s="1" t="s">
        <v>2697</v>
      </c>
      <c r="B1744" s="2">
        <v>45470</v>
      </c>
      <c r="C1744" s="1" t="s">
        <v>173</v>
      </c>
      <c r="D1744" s="1" t="s">
        <v>67</v>
      </c>
      <c r="E1744" s="1" t="s">
        <v>312</v>
      </c>
      <c r="F1744" s="1" t="s">
        <v>84</v>
      </c>
      <c r="G1744" s="1" t="s">
        <v>57</v>
      </c>
      <c r="H1744" s="1" t="s">
        <v>101</v>
      </c>
      <c r="I1744" s="1">
        <v>2738.22</v>
      </c>
      <c r="J1744" s="1">
        <v>6</v>
      </c>
      <c r="K1744" s="1">
        <v>16429.32</v>
      </c>
      <c r="L1744" s="1">
        <v>20</v>
      </c>
      <c r="M1744" s="1">
        <v>3285.86</v>
      </c>
      <c r="N1744" s="1">
        <v>13143.46</v>
      </c>
      <c r="O1744" s="1" t="s">
        <v>80</v>
      </c>
      <c r="P1744" s="1" t="s">
        <v>1073</v>
      </c>
      <c r="Q1744" s="1">
        <v>3</v>
      </c>
      <c r="R1744" s="1">
        <f>Retail_Sales_Analyis[[#This Row],[Final_Price]]-Retail_Sales_Analyis[[#This Row],[Total_Price]]</f>
        <v>-3285.8600000000006</v>
      </c>
      <c r="S174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45" spans="1:19" x14ac:dyDescent="0.25">
      <c r="A1745" s="1" t="s">
        <v>2698</v>
      </c>
      <c r="B1745" s="2">
        <v>45471</v>
      </c>
      <c r="C1745" s="1" t="s">
        <v>173</v>
      </c>
      <c r="D1745" s="1" t="s">
        <v>144</v>
      </c>
      <c r="E1745" s="1" t="s">
        <v>68</v>
      </c>
      <c r="F1745" s="1" t="s">
        <v>69</v>
      </c>
      <c r="G1745" s="1" t="s">
        <v>112</v>
      </c>
      <c r="H1745" s="1" t="s">
        <v>288</v>
      </c>
      <c r="I1745" s="1">
        <v>923.78</v>
      </c>
      <c r="J1745" s="1">
        <v>8</v>
      </c>
      <c r="K1745" s="1">
        <v>7390.24</v>
      </c>
      <c r="L1745" s="1">
        <v>0</v>
      </c>
      <c r="M1745" s="1">
        <v>0</v>
      </c>
      <c r="N1745" s="1">
        <v>7390.24</v>
      </c>
      <c r="O1745" s="1" t="s">
        <v>33</v>
      </c>
      <c r="P1745" s="1" t="s">
        <v>767</v>
      </c>
      <c r="Q1745" s="1">
        <v>2</v>
      </c>
      <c r="R1745" s="1">
        <f>Retail_Sales_Analyis[[#This Row],[Final_Price]]-Retail_Sales_Analyis[[#This Row],[Total_Price]]</f>
        <v>0</v>
      </c>
      <c r="S17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46" spans="1:19" x14ac:dyDescent="0.25">
      <c r="A1746" s="1" t="s">
        <v>2699</v>
      </c>
      <c r="B1746" s="2">
        <v>45622</v>
      </c>
      <c r="C1746" s="1" t="s">
        <v>18</v>
      </c>
      <c r="D1746" s="1" t="s">
        <v>28</v>
      </c>
      <c r="E1746" s="1" t="s">
        <v>125</v>
      </c>
      <c r="F1746" s="1" t="s">
        <v>37</v>
      </c>
      <c r="G1746" s="1" t="s">
        <v>112</v>
      </c>
      <c r="H1746" s="1" t="s">
        <v>118</v>
      </c>
      <c r="I1746" s="1">
        <v>1562.45</v>
      </c>
      <c r="J1746" s="1">
        <v>10</v>
      </c>
      <c r="K1746" s="1">
        <v>15624.5</v>
      </c>
      <c r="L1746" s="1">
        <v>15</v>
      </c>
      <c r="M1746" s="1">
        <v>2343.67</v>
      </c>
      <c r="N1746" s="1">
        <v>13280.83</v>
      </c>
      <c r="O1746" s="1" t="s">
        <v>46</v>
      </c>
      <c r="P1746" s="1" t="s">
        <v>959</v>
      </c>
      <c r="Q1746" s="1">
        <v>1</v>
      </c>
      <c r="R1746" s="1">
        <f>Retail_Sales_Analyis[[#This Row],[Final_Price]]-Retail_Sales_Analyis[[#This Row],[Total_Price]]</f>
        <v>-2343.67</v>
      </c>
      <c r="S17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47" spans="1:19" x14ac:dyDescent="0.25">
      <c r="A1747" s="1" t="s">
        <v>2700</v>
      </c>
      <c r="B1747" s="2">
        <v>45367</v>
      </c>
      <c r="C1747" s="1" t="s">
        <v>61</v>
      </c>
      <c r="D1747" s="1" t="s">
        <v>19</v>
      </c>
      <c r="E1747" s="1" t="s">
        <v>145</v>
      </c>
      <c r="F1747" s="1" t="s">
        <v>84</v>
      </c>
      <c r="G1747" s="1" t="s">
        <v>112</v>
      </c>
      <c r="H1747" s="1" t="s">
        <v>288</v>
      </c>
      <c r="I1747" s="1">
        <v>931.77</v>
      </c>
      <c r="J1747" s="1">
        <v>10</v>
      </c>
      <c r="K1747" s="1">
        <v>9317.7000000000007</v>
      </c>
      <c r="L1747" s="1">
        <v>0</v>
      </c>
      <c r="M1747" s="1">
        <v>0</v>
      </c>
      <c r="N1747" s="1">
        <v>9317.7000000000007</v>
      </c>
      <c r="O1747" s="1" t="s">
        <v>46</v>
      </c>
      <c r="P1747" s="1" t="s">
        <v>1257</v>
      </c>
      <c r="Q1747" s="1">
        <v>1</v>
      </c>
      <c r="R1747" s="1">
        <f>Retail_Sales_Analyis[[#This Row],[Final_Price]]-Retail_Sales_Analyis[[#This Row],[Total_Price]]</f>
        <v>0</v>
      </c>
      <c r="S17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48" spans="1:19" x14ac:dyDescent="0.25">
      <c r="A1748" s="1" t="s">
        <v>2701</v>
      </c>
      <c r="B1748" s="2">
        <v>45412</v>
      </c>
      <c r="C1748" s="1" t="s">
        <v>54</v>
      </c>
      <c r="D1748" s="1" t="s">
        <v>28</v>
      </c>
      <c r="E1748" s="1" t="s">
        <v>213</v>
      </c>
      <c r="F1748" s="1" t="s">
        <v>84</v>
      </c>
      <c r="G1748" s="1" t="s">
        <v>112</v>
      </c>
      <c r="H1748" s="1" t="s">
        <v>118</v>
      </c>
      <c r="I1748" s="1">
        <v>1022.31</v>
      </c>
      <c r="J1748" s="1">
        <v>1</v>
      </c>
      <c r="K1748" s="1">
        <v>1022.31</v>
      </c>
      <c r="L1748" s="1">
        <v>0</v>
      </c>
      <c r="M1748" s="1">
        <v>0</v>
      </c>
      <c r="N1748" s="1">
        <v>1022.31</v>
      </c>
      <c r="O1748" s="1" t="s">
        <v>33</v>
      </c>
      <c r="P1748" s="1" t="s">
        <v>1725</v>
      </c>
      <c r="Q1748" s="1">
        <v>1</v>
      </c>
      <c r="R1748" s="1">
        <f>Retail_Sales_Analyis[[#This Row],[Final_Price]]-Retail_Sales_Analyis[[#This Row],[Total_Price]]</f>
        <v>0</v>
      </c>
      <c r="S17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49" spans="1:19" x14ac:dyDescent="0.25">
      <c r="A1749" s="1" t="s">
        <v>2702</v>
      </c>
      <c r="B1749" s="2">
        <v>45344</v>
      </c>
      <c r="C1749" s="1" t="s">
        <v>27</v>
      </c>
      <c r="D1749" s="1" t="s">
        <v>67</v>
      </c>
      <c r="E1749" s="1" t="s">
        <v>125</v>
      </c>
      <c r="F1749" s="1" t="s">
        <v>30</v>
      </c>
      <c r="G1749" s="1" t="s">
        <v>38</v>
      </c>
      <c r="H1749" s="1" t="s">
        <v>39</v>
      </c>
      <c r="I1749" s="1">
        <v>150.41</v>
      </c>
      <c r="J1749" s="1">
        <v>5</v>
      </c>
      <c r="K1749" s="1">
        <v>752.05</v>
      </c>
      <c r="L1749" s="1">
        <v>15</v>
      </c>
      <c r="M1749" s="1">
        <v>112.81</v>
      </c>
      <c r="N1749" s="1">
        <v>639.24</v>
      </c>
      <c r="O1749" s="1" t="s">
        <v>80</v>
      </c>
      <c r="P1749" s="1" t="s">
        <v>1024</v>
      </c>
      <c r="Q1749" s="1">
        <v>1</v>
      </c>
      <c r="R1749" s="1">
        <f>Retail_Sales_Analyis[[#This Row],[Final_Price]]-Retail_Sales_Analyis[[#This Row],[Total_Price]]</f>
        <v>-112.80999999999995</v>
      </c>
      <c r="S17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50" spans="1:19" x14ac:dyDescent="0.25">
      <c r="A1750" s="1" t="s">
        <v>2703</v>
      </c>
      <c r="B1750" s="2">
        <v>45366</v>
      </c>
      <c r="C1750" s="1" t="s">
        <v>61</v>
      </c>
      <c r="D1750" s="1" t="s">
        <v>144</v>
      </c>
      <c r="E1750" s="1" t="s">
        <v>107</v>
      </c>
      <c r="F1750" s="1" t="s">
        <v>37</v>
      </c>
      <c r="G1750" s="1" t="s">
        <v>85</v>
      </c>
      <c r="H1750" s="1" t="s">
        <v>90</v>
      </c>
      <c r="I1750" s="1">
        <v>2436.6999999999998</v>
      </c>
      <c r="J1750" s="1">
        <v>4</v>
      </c>
      <c r="K1750" s="1">
        <v>9746.7999999999993</v>
      </c>
      <c r="L1750" s="1">
        <v>0</v>
      </c>
      <c r="M1750" s="1">
        <v>0</v>
      </c>
      <c r="N1750" s="1">
        <v>9746.7999999999993</v>
      </c>
      <c r="O1750" s="1" t="s">
        <v>80</v>
      </c>
      <c r="P1750" s="1" t="s">
        <v>2613</v>
      </c>
      <c r="Q1750" s="1">
        <v>3</v>
      </c>
      <c r="R1750" s="1">
        <f>Retail_Sales_Analyis[[#This Row],[Final_Price]]-Retail_Sales_Analyis[[#This Row],[Total_Price]]</f>
        <v>0</v>
      </c>
      <c r="S17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51" spans="1:19" x14ac:dyDescent="0.25">
      <c r="A1751" s="1" t="s">
        <v>2704</v>
      </c>
      <c r="B1751" s="2">
        <v>45423</v>
      </c>
      <c r="C1751" s="1" t="s">
        <v>42</v>
      </c>
      <c r="D1751" s="1" t="s">
        <v>19</v>
      </c>
      <c r="E1751" s="1" t="s">
        <v>157</v>
      </c>
      <c r="F1751" s="1" t="s">
        <v>37</v>
      </c>
      <c r="G1751" s="1" t="s">
        <v>22</v>
      </c>
      <c r="H1751" s="1" t="s">
        <v>133</v>
      </c>
      <c r="I1751" s="1">
        <v>226.61</v>
      </c>
      <c r="J1751" s="1">
        <v>7</v>
      </c>
      <c r="K1751" s="1">
        <v>1586.27</v>
      </c>
      <c r="L1751" s="1">
        <v>5</v>
      </c>
      <c r="M1751" s="1">
        <v>79.31</v>
      </c>
      <c r="N1751" s="1">
        <v>1506.96</v>
      </c>
      <c r="O1751" s="1" t="s">
        <v>80</v>
      </c>
      <c r="P1751" s="1" t="s">
        <v>1733</v>
      </c>
      <c r="Q1751" s="1">
        <v>5</v>
      </c>
      <c r="R1751" s="1">
        <f>Retail_Sales_Analyis[[#This Row],[Final_Price]]-Retail_Sales_Analyis[[#This Row],[Total_Price]]</f>
        <v>-79.309999999999945</v>
      </c>
      <c r="S17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52" spans="1:19" x14ac:dyDescent="0.25">
      <c r="A1752" s="1" t="s">
        <v>2705</v>
      </c>
      <c r="B1752" s="2">
        <v>45393</v>
      </c>
      <c r="C1752" s="1" t="s">
        <v>54</v>
      </c>
      <c r="D1752" s="1" t="s">
        <v>67</v>
      </c>
      <c r="E1752" s="1" t="s">
        <v>151</v>
      </c>
      <c r="F1752" s="1" t="s">
        <v>37</v>
      </c>
      <c r="G1752" s="1" t="s">
        <v>22</v>
      </c>
      <c r="H1752" s="1" t="s">
        <v>187</v>
      </c>
      <c r="I1752" s="1">
        <v>247.03</v>
      </c>
      <c r="J1752" s="1">
        <v>9</v>
      </c>
      <c r="K1752" s="1">
        <v>2223.27</v>
      </c>
      <c r="L1752" s="1">
        <v>5</v>
      </c>
      <c r="M1752" s="1">
        <v>111.16</v>
      </c>
      <c r="N1752" s="1">
        <v>2112.11</v>
      </c>
      <c r="O1752" s="1" t="s">
        <v>33</v>
      </c>
      <c r="P1752" s="1" t="s">
        <v>1811</v>
      </c>
      <c r="Q1752" s="1">
        <v>4</v>
      </c>
      <c r="R1752" s="1">
        <f>Retail_Sales_Analyis[[#This Row],[Final_Price]]-Retail_Sales_Analyis[[#This Row],[Total_Price]]</f>
        <v>-111.15999999999985</v>
      </c>
      <c r="S17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53" spans="1:19" x14ac:dyDescent="0.25">
      <c r="A1753" s="1" t="s">
        <v>2706</v>
      </c>
      <c r="B1753" s="2">
        <v>45380</v>
      </c>
      <c r="C1753" s="1" t="s">
        <v>61</v>
      </c>
      <c r="D1753" s="1" t="s">
        <v>144</v>
      </c>
      <c r="E1753" s="1" t="s">
        <v>196</v>
      </c>
      <c r="F1753" s="1" t="s">
        <v>30</v>
      </c>
      <c r="G1753" s="1" t="s">
        <v>57</v>
      </c>
      <c r="H1753" s="1" t="s">
        <v>58</v>
      </c>
      <c r="I1753" s="1">
        <v>1602.67</v>
      </c>
      <c r="J1753" s="1">
        <v>3</v>
      </c>
      <c r="K1753" s="1">
        <v>4808.01</v>
      </c>
      <c r="L1753" s="1">
        <v>15</v>
      </c>
      <c r="M1753" s="1">
        <v>721.2</v>
      </c>
      <c r="N1753" s="1">
        <v>4086.81</v>
      </c>
      <c r="O1753" s="1" t="s">
        <v>64</v>
      </c>
      <c r="P1753" s="1" t="s">
        <v>2518</v>
      </c>
      <c r="Q1753" s="1">
        <v>2</v>
      </c>
      <c r="R1753" s="1">
        <f>Retail_Sales_Analyis[[#This Row],[Final_Price]]-Retail_Sales_Analyis[[#This Row],[Total_Price]]</f>
        <v>-721.20000000000027</v>
      </c>
      <c r="S17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54" spans="1:19" x14ac:dyDescent="0.25">
      <c r="A1754" s="1" t="s">
        <v>2707</v>
      </c>
      <c r="B1754" s="2">
        <v>45600</v>
      </c>
      <c r="C1754" s="1" t="s">
        <v>18</v>
      </c>
      <c r="D1754" s="1" t="s">
        <v>43</v>
      </c>
      <c r="E1754" s="1" t="s">
        <v>174</v>
      </c>
      <c r="F1754" s="1" t="s">
        <v>21</v>
      </c>
      <c r="G1754" s="1" t="s">
        <v>78</v>
      </c>
      <c r="H1754" s="1" t="s">
        <v>146</v>
      </c>
      <c r="I1754" s="1">
        <v>159.22999999999999</v>
      </c>
      <c r="J1754" s="1">
        <v>7</v>
      </c>
      <c r="K1754" s="1">
        <v>1114.6099999999999</v>
      </c>
      <c r="L1754" s="1">
        <v>5</v>
      </c>
      <c r="M1754" s="1">
        <v>55.73</v>
      </c>
      <c r="N1754" s="1">
        <v>1058.8800000000001</v>
      </c>
      <c r="O1754" s="1" t="s">
        <v>33</v>
      </c>
      <c r="P1754" s="1" t="s">
        <v>2277</v>
      </c>
      <c r="Q1754" s="1">
        <v>4</v>
      </c>
      <c r="R1754" s="1">
        <f>Retail_Sales_Analyis[[#This Row],[Final_Price]]-Retail_Sales_Analyis[[#This Row],[Total_Price]]</f>
        <v>-55.729999999999791</v>
      </c>
      <c r="S17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55" spans="1:19" x14ac:dyDescent="0.25">
      <c r="A1755" s="1" t="s">
        <v>2708</v>
      </c>
      <c r="B1755" s="2">
        <v>45370</v>
      </c>
      <c r="C1755" s="1" t="s">
        <v>61</v>
      </c>
      <c r="D1755" s="1" t="s">
        <v>28</v>
      </c>
      <c r="E1755" s="1" t="s">
        <v>44</v>
      </c>
      <c r="F1755" s="1" t="s">
        <v>21</v>
      </c>
      <c r="G1755" s="1" t="s">
        <v>78</v>
      </c>
      <c r="H1755" s="1" t="s">
        <v>79</v>
      </c>
      <c r="I1755" s="1">
        <v>248.08</v>
      </c>
      <c r="J1755" s="1">
        <v>6</v>
      </c>
      <c r="K1755" s="1">
        <v>1488.48</v>
      </c>
      <c r="L1755" s="1">
        <v>20</v>
      </c>
      <c r="M1755" s="1">
        <v>297.7</v>
      </c>
      <c r="N1755" s="1">
        <v>1190.78</v>
      </c>
      <c r="O1755" s="1" t="s">
        <v>24</v>
      </c>
      <c r="P1755" s="1" t="s">
        <v>2709</v>
      </c>
      <c r="Q1755" s="1">
        <v>1</v>
      </c>
      <c r="R1755" s="1">
        <f>Retail_Sales_Analyis[[#This Row],[Final_Price]]-Retail_Sales_Analyis[[#This Row],[Total_Price]]</f>
        <v>-297.70000000000005</v>
      </c>
      <c r="S17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56" spans="1:19" x14ac:dyDescent="0.25">
      <c r="A1756" s="1" t="s">
        <v>2710</v>
      </c>
      <c r="B1756" s="2">
        <v>45627</v>
      </c>
      <c r="C1756" s="1" t="s">
        <v>73</v>
      </c>
      <c r="D1756" s="1" t="s">
        <v>49</v>
      </c>
      <c r="E1756" s="1" t="s">
        <v>56</v>
      </c>
      <c r="F1756" s="1" t="s">
        <v>84</v>
      </c>
      <c r="G1756" s="1" t="s">
        <v>78</v>
      </c>
      <c r="H1756" s="1" t="s">
        <v>323</v>
      </c>
      <c r="I1756" s="1">
        <v>208.5</v>
      </c>
      <c r="J1756" s="1">
        <v>7</v>
      </c>
      <c r="K1756" s="1">
        <v>1459.5</v>
      </c>
      <c r="L1756" s="1">
        <v>0</v>
      </c>
      <c r="M1756" s="1">
        <v>0</v>
      </c>
      <c r="N1756" s="1">
        <v>1459.5</v>
      </c>
      <c r="O1756" s="1" t="s">
        <v>46</v>
      </c>
      <c r="P1756" s="1" t="s">
        <v>2098</v>
      </c>
      <c r="Q1756" s="1">
        <v>1</v>
      </c>
      <c r="R1756" s="1">
        <f>Retail_Sales_Analyis[[#This Row],[Final_Price]]-Retail_Sales_Analyis[[#This Row],[Total_Price]]</f>
        <v>0</v>
      </c>
      <c r="S17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57" spans="1:19" x14ac:dyDescent="0.25">
      <c r="A1757" s="1" t="s">
        <v>2711</v>
      </c>
      <c r="B1757" s="2">
        <v>45330</v>
      </c>
      <c r="C1757" s="1" t="s">
        <v>27</v>
      </c>
      <c r="D1757" s="1" t="s">
        <v>67</v>
      </c>
      <c r="E1757" s="1" t="s">
        <v>125</v>
      </c>
      <c r="F1757" s="1" t="s">
        <v>21</v>
      </c>
      <c r="G1757" s="1" t="s">
        <v>85</v>
      </c>
      <c r="H1757" s="1" t="s">
        <v>90</v>
      </c>
      <c r="I1757" s="1">
        <v>1244.5899999999999</v>
      </c>
      <c r="J1757" s="1">
        <v>3</v>
      </c>
      <c r="K1757" s="1">
        <v>3733.77</v>
      </c>
      <c r="L1757" s="1">
        <v>15</v>
      </c>
      <c r="M1757" s="1">
        <v>560.07000000000005</v>
      </c>
      <c r="N1757" s="1">
        <v>3173.7</v>
      </c>
      <c r="O1757" s="1" t="s">
        <v>80</v>
      </c>
      <c r="P1757" s="1" t="s">
        <v>513</v>
      </c>
      <c r="Q1757" s="1">
        <v>2</v>
      </c>
      <c r="R1757" s="1">
        <f>Retail_Sales_Analyis[[#This Row],[Final_Price]]-Retail_Sales_Analyis[[#This Row],[Total_Price]]</f>
        <v>-560.07000000000016</v>
      </c>
      <c r="S17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58" spans="1:19" x14ac:dyDescent="0.25">
      <c r="A1758" s="1" t="s">
        <v>2712</v>
      </c>
      <c r="B1758" s="2">
        <v>45382</v>
      </c>
      <c r="C1758" s="1" t="s">
        <v>61</v>
      </c>
      <c r="D1758" s="1" t="s">
        <v>49</v>
      </c>
      <c r="E1758" s="1" t="s">
        <v>285</v>
      </c>
      <c r="F1758" s="1" t="s">
        <v>37</v>
      </c>
      <c r="G1758" s="1" t="s">
        <v>78</v>
      </c>
      <c r="H1758" s="1" t="s">
        <v>79</v>
      </c>
      <c r="I1758" s="1">
        <v>181.38</v>
      </c>
      <c r="J1758" s="1">
        <v>1</v>
      </c>
      <c r="K1758" s="1">
        <v>181.38</v>
      </c>
      <c r="L1758" s="1">
        <v>10</v>
      </c>
      <c r="M1758" s="1">
        <v>18.14</v>
      </c>
      <c r="N1758" s="1">
        <v>163.24</v>
      </c>
      <c r="O1758" s="1" t="s">
        <v>24</v>
      </c>
      <c r="P1758" s="1" t="s">
        <v>295</v>
      </c>
      <c r="Q1758" s="1">
        <v>4</v>
      </c>
      <c r="R1758" s="1">
        <f>Retail_Sales_Analyis[[#This Row],[Final_Price]]-Retail_Sales_Analyis[[#This Row],[Total_Price]]</f>
        <v>-18.139999999999986</v>
      </c>
      <c r="S17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59" spans="1:19" x14ac:dyDescent="0.25">
      <c r="A1759" s="1" t="s">
        <v>2713</v>
      </c>
      <c r="B1759" s="2">
        <v>45613</v>
      </c>
      <c r="C1759" s="1" t="s">
        <v>18</v>
      </c>
      <c r="D1759" s="1" t="s">
        <v>49</v>
      </c>
      <c r="E1759" s="1" t="s">
        <v>151</v>
      </c>
      <c r="F1759" s="1" t="s">
        <v>21</v>
      </c>
      <c r="G1759" s="1" t="s">
        <v>57</v>
      </c>
      <c r="H1759" s="1" t="s">
        <v>152</v>
      </c>
      <c r="I1759" s="1">
        <v>1984.18</v>
      </c>
      <c r="J1759" s="1">
        <v>9</v>
      </c>
      <c r="K1759" s="1">
        <v>17857.62</v>
      </c>
      <c r="L1759" s="1">
        <v>10</v>
      </c>
      <c r="M1759" s="1">
        <v>1785.76</v>
      </c>
      <c r="N1759" s="1">
        <v>16071.86</v>
      </c>
      <c r="O1759" s="1" t="s">
        <v>33</v>
      </c>
      <c r="P1759" s="1" t="s">
        <v>1102</v>
      </c>
      <c r="Q1759" s="1">
        <v>5</v>
      </c>
      <c r="R1759" s="1">
        <f>Retail_Sales_Analyis[[#This Row],[Final_Price]]-Retail_Sales_Analyis[[#This Row],[Total_Price]]</f>
        <v>-1785.7599999999984</v>
      </c>
      <c r="S17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0" spans="1:19" x14ac:dyDescent="0.25">
      <c r="A1760" s="1" t="s">
        <v>2714</v>
      </c>
      <c r="B1760" s="2">
        <v>45544</v>
      </c>
      <c r="C1760" s="1" t="s">
        <v>116</v>
      </c>
      <c r="D1760" s="1" t="s">
        <v>43</v>
      </c>
      <c r="E1760" s="1" t="s">
        <v>50</v>
      </c>
      <c r="F1760" s="1" t="s">
        <v>37</v>
      </c>
      <c r="G1760" s="1" t="s">
        <v>85</v>
      </c>
      <c r="H1760" s="1" t="s">
        <v>297</v>
      </c>
      <c r="I1760" s="1">
        <v>1353.54</v>
      </c>
      <c r="J1760" s="1">
        <v>7</v>
      </c>
      <c r="K1760" s="1">
        <v>9474.7800000000007</v>
      </c>
      <c r="L1760" s="1">
        <v>5</v>
      </c>
      <c r="M1760" s="1">
        <v>473.74</v>
      </c>
      <c r="N1760" s="1">
        <v>9001.0400000000009</v>
      </c>
      <c r="O1760" s="1" t="s">
        <v>64</v>
      </c>
      <c r="P1760" s="1" t="s">
        <v>2715</v>
      </c>
      <c r="Q1760" s="1">
        <v>2</v>
      </c>
      <c r="R1760" s="1">
        <f>Retail_Sales_Analyis[[#This Row],[Final_Price]]-Retail_Sales_Analyis[[#This Row],[Total_Price]]</f>
        <v>-473.73999999999978</v>
      </c>
      <c r="S17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61" spans="1:19" x14ac:dyDescent="0.25">
      <c r="A1761" s="1" t="s">
        <v>2716</v>
      </c>
      <c r="B1761" s="2">
        <v>45529</v>
      </c>
      <c r="C1761" s="1" t="s">
        <v>93</v>
      </c>
      <c r="D1761" s="1" t="s">
        <v>49</v>
      </c>
      <c r="E1761" s="1" t="s">
        <v>166</v>
      </c>
      <c r="F1761" s="1" t="s">
        <v>84</v>
      </c>
      <c r="G1761" s="1" t="s">
        <v>78</v>
      </c>
      <c r="H1761" s="1" t="s">
        <v>136</v>
      </c>
      <c r="I1761" s="1">
        <v>300.33999999999997</v>
      </c>
      <c r="J1761" s="1">
        <v>10</v>
      </c>
      <c r="K1761" s="1">
        <v>3003.4</v>
      </c>
      <c r="L1761" s="1">
        <v>10</v>
      </c>
      <c r="M1761" s="1">
        <v>300.33999999999997</v>
      </c>
      <c r="N1761" s="1">
        <v>2703.06</v>
      </c>
      <c r="O1761" s="1" t="s">
        <v>80</v>
      </c>
      <c r="P1761" s="1" t="s">
        <v>343</v>
      </c>
      <c r="Q1761" s="1">
        <v>4</v>
      </c>
      <c r="R1761" s="1">
        <f>Retail_Sales_Analyis[[#This Row],[Final_Price]]-Retail_Sales_Analyis[[#This Row],[Total_Price]]</f>
        <v>-300.34000000000015</v>
      </c>
      <c r="S17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2" spans="1:19" x14ac:dyDescent="0.25">
      <c r="A1762" s="1" t="s">
        <v>2717</v>
      </c>
      <c r="B1762" s="2">
        <v>45580</v>
      </c>
      <c r="C1762" s="1" t="s">
        <v>76</v>
      </c>
      <c r="D1762" s="1" t="s">
        <v>28</v>
      </c>
      <c r="E1762" s="1" t="s">
        <v>236</v>
      </c>
      <c r="F1762" s="1" t="s">
        <v>69</v>
      </c>
      <c r="G1762" s="1" t="s">
        <v>85</v>
      </c>
      <c r="H1762" s="1" t="s">
        <v>297</v>
      </c>
      <c r="I1762" s="1">
        <v>1683.97</v>
      </c>
      <c r="J1762" s="1">
        <v>10</v>
      </c>
      <c r="K1762" s="1">
        <v>16839.7</v>
      </c>
      <c r="L1762" s="1">
        <v>20</v>
      </c>
      <c r="M1762" s="1">
        <v>3367.94</v>
      </c>
      <c r="N1762" s="1">
        <v>13471.76</v>
      </c>
      <c r="O1762" s="1" t="s">
        <v>33</v>
      </c>
      <c r="P1762" s="1" t="s">
        <v>2718</v>
      </c>
      <c r="Q1762" s="1">
        <v>3</v>
      </c>
      <c r="R1762" s="1">
        <f>Retail_Sales_Analyis[[#This Row],[Final_Price]]-Retail_Sales_Analyis[[#This Row],[Total_Price]]</f>
        <v>-3367.9400000000005</v>
      </c>
      <c r="S17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63" spans="1:19" x14ac:dyDescent="0.25">
      <c r="A1763" s="1" t="s">
        <v>2719</v>
      </c>
      <c r="B1763" s="2">
        <v>45588</v>
      </c>
      <c r="C1763" s="1" t="s">
        <v>76</v>
      </c>
      <c r="D1763" s="1" t="s">
        <v>55</v>
      </c>
      <c r="E1763" s="1" t="s">
        <v>56</v>
      </c>
      <c r="F1763" s="1" t="s">
        <v>30</v>
      </c>
      <c r="G1763" s="1" t="s">
        <v>57</v>
      </c>
      <c r="H1763" s="1" t="s">
        <v>101</v>
      </c>
      <c r="I1763" s="1">
        <v>1373.42</v>
      </c>
      <c r="J1763" s="1">
        <v>3</v>
      </c>
      <c r="K1763" s="1">
        <v>4120.26</v>
      </c>
      <c r="L1763" s="1">
        <v>20</v>
      </c>
      <c r="M1763" s="1">
        <v>824.05</v>
      </c>
      <c r="N1763" s="1">
        <v>3296.21</v>
      </c>
      <c r="O1763" s="1" t="s">
        <v>24</v>
      </c>
      <c r="P1763" s="1" t="s">
        <v>1599</v>
      </c>
      <c r="Q1763" s="1">
        <v>2</v>
      </c>
      <c r="R1763" s="1">
        <f>Retail_Sales_Analyis[[#This Row],[Final_Price]]-Retail_Sales_Analyis[[#This Row],[Total_Price]]</f>
        <v>-824.05000000000018</v>
      </c>
      <c r="S17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64" spans="1:19" x14ac:dyDescent="0.25">
      <c r="A1764" s="1" t="s">
        <v>2720</v>
      </c>
      <c r="B1764" s="2">
        <v>45521</v>
      </c>
      <c r="C1764" s="1" t="s">
        <v>93</v>
      </c>
      <c r="D1764" s="1" t="s">
        <v>19</v>
      </c>
      <c r="E1764" s="1" t="s">
        <v>157</v>
      </c>
      <c r="F1764" s="1" t="s">
        <v>69</v>
      </c>
      <c r="G1764" s="1" t="s">
        <v>85</v>
      </c>
      <c r="H1764" s="1" t="s">
        <v>297</v>
      </c>
      <c r="I1764" s="1">
        <v>2023.34</v>
      </c>
      <c r="J1764" s="1">
        <v>8</v>
      </c>
      <c r="K1764" s="1">
        <v>16186.72</v>
      </c>
      <c r="L1764" s="1">
        <v>0</v>
      </c>
      <c r="M1764" s="1">
        <v>0</v>
      </c>
      <c r="N1764" s="1">
        <v>16186.72</v>
      </c>
      <c r="O1764" s="1" t="s">
        <v>80</v>
      </c>
      <c r="P1764" s="1" t="s">
        <v>2721</v>
      </c>
      <c r="Q1764" s="1">
        <v>2</v>
      </c>
      <c r="R1764" s="1">
        <f>Retail_Sales_Analyis[[#This Row],[Final_Price]]-Retail_Sales_Analyis[[#This Row],[Total_Price]]</f>
        <v>0</v>
      </c>
      <c r="S17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65" spans="1:19" x14ac:dyDescent="0.25">
      <c r="A1765" s="1" t="s">
        <v>2722</v>
      </c>
      <c r="B1765" s="2">
        <v>45640</v>
      </c>
      <c r="C1765" s="1" t="s">
        <v>73</v>
      </c>
      <c r="D1765" s="1" t="s">
        <v>19</v>
      </c>
      <c r="E1765" s="1" t="s">
        <v>129</v>
      </c>
      <c r="F1765" s="1" t="s">
        <v>21</v>
      </c>
      <c r="G1765" s="1" t="s">
        <v>169</v>
      </c>
      <c r="H1765" s="1" t="s">
        <v>175</v>
      </c>
      <c r="I1765" s="1">
        <v>1310.22</v>
      </c>
      <c r="J1765" s="1">
        <v>4</v>
      </c>
      <c r="K1765" s="1">
        <v>5240.88</v>
      </c>
      <c r="L1765" s="1">
        <v>15</v>
      </c>
      <c r="M1765" s="1">
        <v>786.13</v>
      </c>
      <c r="N1765" s="1">
        <v>4454.75</v>
      </c>
      <c r="O1765" s="1" t="s">
        <v>80</v>
      </c>
      <c r="P1765" s="1" t="s">
        <v>2353</v>
      </c>
      <c r="Q1765" s="1">
        <v>1</v>
      </c>
      <c r="R1765" s="1">
        <f>Retail_Sales_Analyis[[#This Row],[Final_Price]]-Retail_Sales_Analyis[[#This Row],[Total_Price]]</f>
        <v>-786.13000000000011</v>
      </c>
      <c r="S17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6" spans="1:19" x14ac:dyDescent="0.25">
      <c r="A1766" s="1" t="s">
        <v>2723</v>
      </c>
      <c r="B1766" s="2">
        <v>45581</v>
      </c>
      <c r="C1766" s="1" t="s">
        <v>76</v>
      </c>
      <c r="D1766" s="1" t="s">
        <v>55</v>
      </c>
      <c r="E1766" s="1" t="s">
        <v>411</v>
      </c>
      <c r="F1766" s="1" t="s">
        <v>84</v>
      </c>
      <c r="G1766" s="1" t="s">
        <v>85</v>
      </c>
      <c r="H1766" s="1" t="s">
        <v>297</v>
      </c>
      <c r="I1766" s="1">
        <v>3588.14</v>
      </c>
      <c r="J1766" s="1">
        <v>10</v>
      </c>
      <c r="K1766" s="1">
        <v>35881.4</v>
      </c>
      <c r="L1766" s="1">
        <v>15</v>
      </c>
      <c r="M1766" s="1">
        <v>5382.21</v>
      </c>
      <c r="N1766" s="1">
        <v>30499.19</v>
      </c>
      <c r="O1766" s="1" t="s">
        <v>64</v>
      </c>
      <c r="P1766" s="1" t="s">
        <v>1063</v>
      </c>
      <c r="Q1766" s="1">
        <v>1</v>
      </c>
      <c r="R1766" s="1">
        <f>Retail_Sales_Analyis[[#This Row],[Final_Price]]-Retail_Sales_Analyis[[#This Row],[Total_Price]]</f>
        <v>-5382.2100000000028</v>
      </c>
      <c r="S17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7" spans="1:19" x14ac:dyDescent="0.25">
      <c r="A1767" s="1" t="s">
        <v>2724</v>
      </c>
      <c r="B1767" s="2">
        <v>45621</v>
      </c>
      <c r="C1767" s="1" t="s">
        <v>18</v>
      </c>
      <c r="D1767" s="1" t="s">
        <v>43</v>
      </c>
      <c r="E1767" s="1" t="s">
        <v>196</v>
      </c>
      <c r="F1767" s="1" t="s">
        <v>37</v>
      </c>
      <c r="G1767" s="1" t="s">
        <v>169</v>
      </c>
      <c r="H1767" s="1" t="s">
        <v>170</v>
      </c>
      <c r="I1767" s="1">
        <v>987.42</v>
      </c>
      <c r="J1767" s="1">
        <v>8</v>
      </c>
      <c r="K1767" s="1">
        <v>7899.36</v>
      </c>
      <c r="L1767" s="1">
        <v>15</v>
      </c>
      <c r="M1767" s="1">
        <v>1184.9000000000001</v>
      </c>
      <c r="N1767" s="1">
        <v>6714.46</v>
      </c>
      <c r="O1767" s="1" t="s">
        <v>24</v>
      </c>
      <c r="P1767" s="1" t="s">
        <v>932</v>
      </c>
      <c r="Q1767" s="1">
        <v>3</v>
      </c>
      <c r="R1767" s="1">
        <f>Retail_Sales_Analyis[[#This Row],[Final_Price]]-Retail_Sales_Analyis[[#This Row],[Total_Price]]</f>
        <v>-1184.8999999999996</v>
      </c>
      <c r="S17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8" spans="1:19" x14ac:dyDescent="0.25">
      <c r="A1768" s="1" t="s">
        <v>2725</v>
      </c>
      <c r="B1768" s="2">
        <v>45617</v>
      </c>
      <c r="C1768" s="1" t="s">
        <v>18</v>
      </c>
      <c r="D1768" s="1" t="s">
        <v>67</v>
      </c>
      <c r="E1768" s="1" t="s">
        <v>163</v>
      </c>
      <c r="F1768" s="1" t="s">
        <v>84</v>
      </c>
      <c r="G1768" s="1" t="s">
        <v>169</v>
      </c>
      <c r="H1768" s="1" t="s">
        <v>208</v>
      </c>
      <c r="I1768" s="1">
        <v>903.76</v>
      </c>
      <c r="J1768" s="1">
        <v>4</v>
      </c>
      <c r="K1768" s="1">
        <v>3615.04</v>
      </c>
      <c r="L1768" s="1">
        <v>10</v>
      </c>
      <c r="M1768" s="1">
        <v>361.5</v>
      </c>
      <c r="N1768" s="1">
        <v>3253.54</v>
      </c>
      <c r="O1768" s="1" t="s">
        <v>46</v>
      </c>
      <c r="P1768" s="1" t="s">
        <v>888</v>
      </c>
      <c r="Q1768" s="1">
        <v>3</v>
      </c>
      <c r="R1768" s="1">
        <f>Retail_Sales_Analyis[[#This Row],[Final_Price]]-Retail_Sales_Analyis[[#This Row],[Total_Price]]</f>
        <v>-361.5</v>
      </c>
      <c r="S17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69" spans="1:19" x14ac:dyDescent="0.25">
      <c r="A1769" s="1" t="s">
        <v>2726</v>
      </c>
      <c r="B1769" s="2">
        <v>45611</v>
      </c>
      <c r="C1769" s="1" t="s">
        <v>18</v>
      </c>
      <c r="D1769" s="1" t="s">
        <v>144</v>
      </c>
      <c r="E1769" s="1" t="s">
        <v>163</v>
      </c>
      <c r="F1769" s="1" t="s">
        <v>84</v>
      </c>
      <c r="G1769" s="1" t="s">
        <v>78</v>
      </c>
      <c r="H1769" s="1" t="s">
        <v>126</v>
      </c>
      <c r="I1769" s="1">
        <v>487.33</v>
      </c>
      <c r="J1769" s="1">
        <v>8</v>
      </c>
      <c r="K1769" s="1">
        <v>3898.64</v>
      </c>
      <c r="L1769" s="1">
        <v>0</v>
      </c>
      <c r="M1769" s="1">
        <v>0</v>
      </c>
      <c r="N1769" s="1">
        <v>3898.64</v>
      </c>
      <c r="O1769" s="1" t="s">
        <v>24</v>
      </c>
      <c r="P1769" s="1" t="s">
        <v>1104</v>
      </c>
      <c r="Q1769" s="1">
        <v>4</v>
      </c>
      <c r="R1769" s="1">
        <f>Retail_Sales_Analyis[[#This Row],[Final_Price]]-Retail_Sales_Analyis[[#This Row],[Total_Price]]</f>
        <v>0</v>
      </c>
      <c r="S17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0" spans="1:19" x14ac:dyDescent="0.25">
      <c r="A1770" s="1" t="s">
        <v>2727</v>
      </c>
      <c r="B1770" s="2">
        <v>45457</v>
      </c>
      <c r="C1770" s="1" t="s">
        <v>173</v>
      </c>
      <c r="D1770" s="1" t="s">
        <v>144</v>
      </c>
      <c r="E1770" s="1" t="s">
        <v>192</v>
      </c>
      <c r="F1770" s="1" t="s">
        <v>84</v>
      </c>
      <c r="G1770" s="1" t="s">
        <v>112</v>
      </c>
      <c r="H1770" s="1" t="s">
        <v>118</v>
      </c>
      <c r="I1770" s="1">
        <v>1875.75</v>
      </c>
      <c r="J1770" s="1">
        <v>8</v>
      </c>
      <c r="K1770" s="1">
        <v>15006</v>
      </c>
      <c r="L1770" s="1">
        <v>10</v>
      </c>
      <c r="M1770" s="1">
        <v>1500.6</v>
      </c>
      <c r="N1770" s="1">
        <v>13505.4</v>
      </c>
      <c r="O1770" s="1" t="s">
        <v>80</v>
      </c>
      <c r="P1770" s="1" t="s">
        <v>257</v>
      </c>
      <c r="Q1770" s="1">
        <v>2</v>
      </c>
      <c r="R1770" s="1">
        <f>Retail_Sales_Analyis[[#This Row],[Final_Price]]-Retail_Sales_Analyis[[#This Row],[Total_Price]]</f>
        <v>-1500.6000000000004</v>
      </c>
      <c r="S17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71" spans="1:19" x14ac:dyDescent="0.25">
      <c r="A1771" s="1" t="s">
        <v>2728</v>
      </c>
      <c r="B1771" s="2">
        <v>45613</v>
      </c>
      <c r="C1771" s="1" t="s">
        <v>18</v>
      </c>
      <c r="D1771" s="1" t="s">
        <v>49</v>
      </c>
      <c r="E1771" s="1" t="s">
        <v>62</v>
      </c>
      <c r="F1771" s="1" t="s">
        <v>30</v>
      </c>
      <c r="G1771" s="1" t="s">
        <v>85</v>
      </c>
      <c r="H1771" s="1" t="s">
        <v>90</v>
      </c>
      <c r="I1771" s="1">
        <v>4634.46</v>
      </c>
      <c r="J1771" s="1">
        <v>8</v>
      </c>
      <c r="K1771" s="1">
        <v>37075.68</v>
      </c>
      <c r="L1771" s="1">
        <v>0</v>
      </c>
      <c r="M1771" s="1">
        <v>0</v>
      </c>
      <c r="N1771" s="1">
        <v>37075.68</v>
      </c>
      <c r="O1771" s="1" t="s">
        <v>80</v>
      </c>
      <c r="P1771" s="1" t="s">
        <v>478</v>
      </c>
      <c r="Q1771" s="1">
        <v>3</v>
      </c>
      <c r="R1771" s="1">
        <f>Retail_Sales_Analyis[[#This Row],[Final_Price]]-Retail_Sales_Analyis[[#This Row],[Total_Price]]</f>
        <v>0</v>
      </c>
      <c r="S17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2" spans="1:19" x14ac:dyDescent="0.25">
      <c r="A1772" s="1" t="s">
        <v>2729</v>
      </c>
      <c r="B1772" s="2">
        <v>45453</v>
      </c>
      <c r="C1772" s="1" t="s">
        <v>173</v>
      </c>
      <c r="D1772" s="1" t="s">
        <v>43</v>
      </c>
      <c r="E1772" s="1" t="s">
        <v>157</v>
      </c>
      <c r="F1772" s="1" t="s">
        <v>37</v>
      </c>
      <c r="G1772" s="1" t="s">
        <v>112</v>
      </c>
      <c r="H1772" s="1" t="s">
        <v>223</v>
      </c>
      <c r="I1772" s="1">
        <v>1993.14</v>
      </c>
      <c r="J1772" s="1">
        <v>3</v>
      </c>
      <c r="K1772" s="1">
        <v>5979.42</v>
      </c>
      <c r="L1772" s="1">
        <v>0</v>
      </c>
      <c r="M1772" s="1">
        <v>0</v>
      </c>
      <c r="N1772" s="1">
        <v>5979.42</v>
      </c>
      <c r="O1772" s="1" t="s">
        <v>33</v>
      </c>
      <c r="P1772" s="1" t="s">
        <v>345</v>
      </c>
      <c r="Q1772" s="1">
        <v>2</v>
      </c>
      <c r="R1772" s="1">
        <f>Retail_Sales_Analyis[[#This Row],[Final_Price]]-Retail_Sales_Analyis[[#This Row],[Total_Price]]</f>
        <v>0</v>
      </c>
      <c r="S17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3" spans="1:19" x14ac:dyDescent="0.25">
      <c r="A1773" s="1" t="s">
        <v>2730</v>
      </c>
      <c r="B1773" s="2">
        <v>45369</v>
      </c>
      <c r="C1773" s="1" t="s">
        <v>61</v>
      </c>
      <c r="D1773" s="1" t="s">
        <v>43</v>
      </c>
      <c r="E1773" s="1" t="s">
        <v>104</v>
      </c>
      <c r="F1773" s="1" t="s">
        <v>21</v>
      </c>
      <c r="G1773" s="1" t="s">
        <v>57</v>
      </c>
      <c r="H1773" s="1" t="s">
        <v>122</v>
      </c>
      <c r="I1773" s="1">
        <v>1024.73</v>
      </c>
      <c r="J1773" s="1">
        <v>3</v>
      </c>
      <c r="K1773" s="1">
        <v>3074.19</v>
      </c>
      <c r="L1773" s="1">
        <v>15</v>
      </c>
      <c r="M1773" s="1">
        <v>461.13</v>
      </c>
      <c r="N1773" s="1">
        <v>2613.06</v>
      </c>
      <c r="O1773" s="1" t="s">
        <v>64</v>
      </c>
      <c r="P1773" s="1" t="s">
        <v>2731</v>
      </c>
      <c r="Q1773" s="1">
        <v>2</v>
      </c>
      <c r="R1773" s="1">
        <f>Retail_Sales_Analyis[[#This Row],[Final_Price]]-Retail_Sales_Analyis[[#This Row],[Total_Price]]</f>
        <v>-461.13000000000011</v>
      </c>
      <c r="S17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74" spans="1:19" x14ac:dyDescent="0.25">
      <c r="A1774" s="1" t="s">
        <v>2732</v>
      </c>
      <c r="B1774" s="2">
        <v>45517</v>
      </c>
      <c r="C1774" s="1" t="s">
        <v>93</v>
      </c>
      <c r="D1774" s="1" t="s">
        <v>28</v>
      </c>
      <c r="E1774" s="1" t="s">
        <v>117</v>
      </c>
      <c r="F1774" s="1" t="s">
        <v>84</v>
      </c>
      <c r="G1774" s="1" t="s">
        <v>38</v>
      </c>
      <c r="H1774" s="1" t="s">
        <v>39</v>
      </c>
      <c r="I1774" s="1">
        <v>294.2</v>
      </c>
      <c r="J1774" s="1">
        <v>8</v>
      </c>
      <c r="K1774" s="1">
        <v>2353.6</v>
      </c>
      <c r="L1774" s="1">
        <v>0</v>
      </c>
      <c r="M1774" s="1">
        <v>0</v>
      </c>
      <c r="N1774" s="1">
        <v>2353.6</v>
      </c>
      <c r="O1774" s="1" t="s">
        <v>64</v>
      </c>
      <c r="P1774" s="1" t="s">
        <v>427</v>
      </c>
      <c r="Q1774" s="1">
        <v>2</v>
      </c>
      <c r="R1774" s="1">
        <f>Retail_Sales_Analyis[[#This Row],[Final_Price]]-Retail_Sales_Analyis[[#This Row],[Total_Price]]</f>
        <v>0</v>
      </c>
      <c r="S17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5" spans="1:19" x14ac:dyDescent="0.25">
      <c r="A1775" s="1" t="s">
        <v>2733</v>
      </c>
      <c r="B1775" s="2">
        <v>45326</v>
      </c>
      <c r="C1775" s="1" t="s">
        <v>27</v>
      </c>
      <c r="D1775" s="1" t="s">
        <v>49</v>
      </c>
      <c r="E1775" s="1" t="s">
        <v>168</v>
      </c>
      <c r="F1775" s="1" t="s">
        <v>37</v>
      </c>
      <c r="G1775" s="1" t="s">
        <v>169</v>
      </c>
      <c r="H1775" s="1" t="s">
        <v>208</v>
      </c>
      <c r="I1775" s="1">
        <v>805.75</v>
      </c>
      <c r="J1775" s="1">
        <v>6</v>
      </c>
      <c r="K1775" s="1">
        <v>4834.5</v>
      </c>
      <c r="L1775" s="1">
        <v>10</v>
      </c>
      <c r="M1775" s="1">
        <v>483.45</v>
      </c>
      <c r="N1775" s="1">
        <v>4351.05</v>
      </c>
      <c r="O1775" s="1" t="s">
        <v>80</v>
      </c>
      <c r="P1775" s="1" t="s">
        <v>2447</v>
      </c>
      <c r="Q1775" s="1">
        <v>2</v>
      </c>
      <c r="R1775" s="1">
        <f>Retail_Sales_Analyis[[#This Row],[Final_Price]]-Retail_Sales_Analyis[[#This Row],[Total_Price]]</f>
        <v>-483.44999999999982</v>
      </c>
      <c r="S17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76" spans="1:19" x14ac:dyDescent="0.25">
      <c r="A1776" s="1" t="s">
        <v>2734</v>
      </c>
      <c r="B1776" s="2">
        <v>45532</v>
      </c>
      <c r="C1776" s="1" t="s">
        <v>93</v>
      </c>
      <c r="D1776" s="1" t="s">
        <v>55</v>
      </c>
      <c r="E1776" s="1" t="s">
        <v>125</v>
      </c>
      <c r="F1776" s="1" t="s">
        <v>21</v>
      </c>
      <c r="G1776" s="1" t="s">
        <v>85</v>
      </c>
      <c r="H1776" s="1" t="s">
        <v>297</v>
      </c>
      <c r="I1776" s="1">
        <v>1510.32</v>
      </c>
      <c r="J1776" s="1">
        <v>4</v>
      </c>
      <c r="K1776" s="1">
        <v>6041.28</v>
      </c>
      <c r="L1776" s="1">
        <v>0</v>
      </c>
      <c r="M1776" s="1">
        <v>0</v>
      </c>
      <c r="N1776" s="1">
        <v>6041.28</v>
      </c>
      <c r="O1776" s="1" t="s">
        <v>46</v>
      </c>
      <c r="P1776" s="1" t="s">
        <v>611</v>
      </c>
      <c r="Q1776" s="1">
        <v>2</v>
      </c>
      <c r="R1776" s="1">
        <f>Retail_Sales_Analyis[[#This Row],[Final_Price]]-Retail_Sales_Analyis[[#This Row],[Total_Price]]</f>
        <v>0</v>
      </c>
      <c r="S17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7" spans="1:19" x14ac:dyDescent="0.25">
      <c r="A1777" s="1" t="s">
        <v>2735</v>
      </c>
      <c r="B1777" s="2">
        <v>45518</v>
      </c>
      <c r="C1777" s="1" t="s">
        <v>93</v>
      </c>
      <c r="D1777" s="1" t="s">
        <v>55</v>
      </c>
      <c r="E1777" s="1" t="s">
        <v>307</v>
      </c>
      <c r="F1777" s="1" t="s">
        <v>21</v>
      </c>
      <c r="G1777" s="1" t="s">
        <v>31</v>
      </c>
      <c r="H1777" s="1" t="s">
        <v>32</v>
      </c>
      <c r="I1777" s="1">
        <v>211.63</v>
      </c>
      <c r="J1777" s="1">
        <v>3</v>
      </c>
      <c r="K1777" s="1">
        <v>634.89</v>
      </c>
      <c r="L1777" s="1">
        <v>15</v>
      </c>
      <c r="M1777" s="1">
        <v>95.23</v>
      </c>
      <c r="N1777" s="1">
        <v>539.66</v>
      </c>
      <c r="O1777" s="1" t="s">
        <v>24</v>
      </c>
      <c r="P1777" s="1" t="s">
        <v>181</v>
      </c>
      <c r="Q1777" s="1">
        <v>2</v>
      </c>
      <c r="R1777" s="1">
        <f>Retail_Sales_Analyis[[#This Row],[Final_Price]]-Retail_Sales_Analyis[[#This Row],[Total_Price]]</f>
        <v>-95.230000000000018</v>
      </c>
      <c r="S17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78" spans="1:19" x14ac:dyDescent="0.25">
      <c r="A1778" s="1" t="s">
        <v>2736</v>
      </c>
      <c r="B1778" s="2">
        <v>45615</v>
      </c>
      <c r="C1778" s="1" t="s">
        <v>18</v>
      </c>
      <c r="D1778" s="1" t="s">
        <v>28</v>
      </c>
      <c r="E1778" s="1" t="s">
        <v>207</v>
      </c>
      <c r="F1778" s="1" t="s">
        <v>21</v>
      </c>
      <c r="G1778" s="1" t="s">
        <v>85</v>
      </c>
      <c r="H1778" s="1" t="s">
        <v>90</v>
      </c>
      <c r="I1778" s="1">
        <v>1374.15</v>
      </c>
      <c r="J1778" s="1">
        <v>6</v>
      </c>
      <c r="K1778" s="1">
        <v>8244.9</v>
      </c>
      <c r="L1778" s="1">
        <v>0</v>
      </c>
      <c r="M1778" s="1">
        <v>0</v>
      </c>
      <c r="N1778" s="1">
        <v>8244.9</v>
      </c>
      <c r="O1778" s="1" t="s">
        <v>33</v>
      </c>
      <c r="P1778" s="1" t="s">
        <v>2737</v>
      </c>
      <c r="Q1778" s="1">
        <v>3</v>
      </c>
      <c r="R1778" s="1">
        <f>Retail_Sales_Analyis[[#This Row],[Final_Price]]-Retail_Sales_Analyis[[#This Row],[Total_Price]]</f>
        <v>0</v>
      </c>
      <c r="S17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79" spans="1:19" x14ac:dyDescent="0.25">
      <c r="A1779" s="1" t="s">
        <v>2738</v>
      </c>
      <c r="B1779" s="2">
        <v>45447</v>
      </c>
      <c r="C1779" s="1" t="s">
        <v>173</v>
      </c>
      <c r="D1779" s="1" t="s">
        <v>28</v>
      </c>
      <c r="E1779" s="1" t="s">
        <v>56</v>
      </c>
      <c r="F1779" s="1" t="s">
        <v>30</v>
      </c>
      <c r="G1779" s="1" t="s">
        <v>112</v>
      </c>
      <c r="H1779" s="1" t="s">
        <v>118</v>
      </c>
      <c r="I1779" s="1">
        <v>1572.87</v>
      </c>
      <c r="J1779" s="1">
        <v>10</v>
      </c>
      <c r="K1779" s="1">
        <v>15728.7</v>
      </c>
      <c r="L1779" s="1">
        <v>0</v>
      </c>
      <c r="M1779" s="1">
        <v>0</v>
      </c>
      <c r="N1779" s="1">
        <v>15728.7</v>
      </c>
      <c r="O1779" s="1" t="s">
        <v>33</v>
      </c>
      <c r="P1779" s="1" t="s">
        <v>1733</v>
      </c>
      <c r="Q1779" s="1">
        <v>4</v>
      </c>
      <c r="R1779" s="1">
        <f>Retail_Sales_Analyis[[#This Row],[Final_Price]]-Retail_Sales_Analyis[[#This Row],[Total_Price]]</f>
        <v>0</v>
      </c>
      <c r="S17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80" spans="1:19" x14ac:dyDescent="0.25">
      <c r="A1780" s="1" t="s">
        <v>2739</v>
      </c>
      <c r="B1780" s="2">
        <v>45432</v>
      </c>
      <c r="C1780" s="1" t="s">
        <v>42</v>
      </c>
      <c r="D1780" s="1" t="s">
        <v>43</v>
      </c>
      <c r="E1780" s="1" t="s">
        <v>20</v>
      </c>
      <c r="F1780" s="1" t="s">
        <v>21</v>
      </c>
      <c r="G1780" s="1" t="s">
        <v>169</v>
      </c>
      <c r="H1780" s="1" t="s">
        <v>170</v>
      </c>
      <c r="I1780" s="1">
        <v>944.72</v>
      </c>
      <c r="J1780" s="1">
        <v>3</v>
      </c>
      <c r="K1780" s="1">
        <v>2834.16</v>
      </c>
      <c r="L1780" s="1">
        <v>20</v>
      </c>
      <c r="M1780" s="1">
        <v>566.83000000000004</v>
      </c>
      <c r="N1780" s="1">
        <v>2267.33</v>
      </c>
      <c r="O1780" s="1" t="s">
        <v>24</v>
      </c>
      <c r="P1780" s="1" t="s">
        <v>718</v>
      </c>
      <c r="Q1780" s="1">
        <v>1</v>
      </c>
      <c r="R1780" s="1">
        <f>Retail_Sales_Analyis[[#This Row],[Final_Price]]-Retail_Sales_Analyis[[#This Row],[Total_Price]]</f>
        <v>-566.82999999999993</v>
      </c>
      <c r="S17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81" spans="1:19" x14ac:dyDescent="0.25">
      <c r="A1781" s="1" t="s">
        <v>2740</v>
      </c>
      <c r="B1781" s="2">
        <v>45594</v>
      </c>
      <c r="C1781" s="1" t="s">
        <v>76</v>
      </c>
      <c r="D1781" s="1" t="s">
        <v>28</v>
      </c>
      <c r="E1781" s="1" t="s">
        <v>89</v>
      </c>
      <c r="F1781" s="1" t="s">
        <v>37</v>
      </c>
      <c r="G1781" s="1" t="s">
        <v>169</v>
      </c>
      <c r="H1781" s="1" t="s">
        <v>348</v>
      </c>
      <c r="I1781" s="1">
        <v>1119.1600000000001</v>
      </c>
      <c r="J1781" s="1">
        <v>2</v>
      </c>
      <c r="K1781" s="1">
        <v>2238.3200000000002</v>
      </c>
      <c r="L1781" s="1">
        <v>5</v>
      </c>
      <c r="M1781" s="1">
        <v>111.92</v>
      </c>
      <c r="N1781" s="1">
        <v>2126.4</v>
      </c>
      <c r="O1781" s="1" t="s">
        <v>46</v>
      </c>
      <c r="P1781" s="1" t="s">
        <v>343</v>
      </c>
      <c r="Q1781" s="1">
        <v>4</v>
      </c>
      <c r="R1781" s="1">
        <f>Retail_Sales_Analyis[[#This Row],[Final_Price]]-Retail_Sales_Analyis[[#This Row],[Total_Price]]</f>
        <v>-111.92000000000007</v>
      </c>
      <c r="S178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82" spans="1:19" x14ac:dyDescent="0.25">
      <c r="A1782" s="1" t="s">
        <v>2741</v>
      </c>
      <c r="B1782" s="2">
        <v>45320</v>
      </c>
      <c r="C1782" s="1" t="s">
        <v>36</v>
      </c>
      <c r="D1782" s="1" t="s">
        <v>43</v>
      </c>
      <c r="E1782" s="1" t="s">
        <v>151</v>
      </c>
      <c r="F1782" s="1" t="s">
        <v>21</v>
      </c>
      <c r="G1782" s="1" t="s">
        <v>85</v>
      </c>
      <c r="H1782" s="1" t="s">
        <v>90</v>
      </c>
      <c r="I1782" s="1">
        <v>3996.3</v>
      </c>
      <c r="J1782" s="1">
        <v>9</v>
      </c>
      <c r="K1782" s="1">
        <v>35966.699999999997</v>
      </c>
      <c r="L1782" s="1">
        <v>0</v>
      </c>
      <c r="M1782" s="1">
        <v>0</v>
      </c>
      <c r="N1782" s="1">
        <v>35966.699999999997</v>
      </c>
      <c r="O1782" s="1" t="s">
        <v>24</v>
      </c>
      <c r="P1782" s="1" t="s">
        <v>522</v>
      </c>
      <c r="Q1782" s="1">
        <v>1</v>
      </c>
      <c r="R1782" s="1">
        <f>Retail_Sales_Analyis[[#This Row],[Final_Price]]-Retail_Sales_Analyis[[#This Row],[Total_Price]]</f>
        <v>0</v>
      </c>
      <c r="S17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83" spans="1:19" x14ac:dyDescent="0.25">
      <c r="A1783" s="1" t="s">
        <v>2742</v>
      </c>
      <c r="B1783" s="2">
        <v>45472</v>
      </c>
      <c r="C1783" s="1" t="s">
        <v>173</v>
      </c>
      <c r="D1783" s="1" t="s">
        <v>19</v>
      </c>
      <c r="E1783" s="1" t="s">
        <v>239</v>
      </c>
      <c r="F1783" s="1" t="s">
        <v>21</v>
      </c>
      <c r="G1783" s="1" t="s">
        <v>38</v>
      </c>
      <c r="H1783" s="1" t="s">
        <v>39</v>
      </c>
      <c r="I1783" s="1">
        <v>534.05999999999995</v>
      </c>
      <c r="J1783" s="1">
        <v>7</v>
      </c>
      <c r="K1783" s="1">
        <v>3738.42</v>
      </c>
      <c r="L1783" s="1">
        <v>0</v>
      </c>
      <c r="M1783" s="1">
        <v>0</v>
      </c>
      <c r="N1783" s="1">
        <v>3738.42</v>
      </c>
      <c r="O1783" s="1" t="s">
        <v>64</v>
      </c>
      <c r="P1783" s="1" t="s">
        <v>480</v>
      </c>
      <c r="Q1783" s="1">
        <v>5</v>
      </c>
      <c r="R1783" s="1">
        <f>Retail_Sales_Analyis[[#This Row],[Final_Price]]-Retail_Sales_Analyis[[#This Row],[Total_Price]]</f>
        <v>0</v>
      </c>
      <c r="S17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84" spans="1:19" x14ac:dyDescent="0.25">
      <c r="A1784" s="1" t="s">
        <v>2743</v>
      </c>
      <c r="B1784" s="2">
        <v>45551</v>
      </c>
      <c r="C1784" s="1" t="s">
        <v>116</v>
      </c>
      <c r="D1784" s="1" t="s">
        <v>43</v>
      </c>
      <c r="E1784" s="1" t="s">
        <v>163</v>
      </c>
      <c r="F1784" s="1" t="s">
        <v>30</v>
      </c>
      <c r="G1784" s="1" t="s">
        <v>169</v>
      </c>
      <c r="H1784" s="1" t="s">
        <v>348</v>
      </c>
      <c r="I1784" s="1">
        <v>884.22</v>
      </c>
      <c r="J1784" s="1">
        <v>9</v>
      </c>
      <c r="K1784" s="1">
        <v>7957.98</v>
      </c>
      <c r="L1784" s="1">
        <v>0</v>
      </c>
      <c r="M1784" s="1">
        <v>0</v>
      </c>
      <c r="N1784" s="1">
        <v>7957.98</v>
      </c>
      <c r="O1784" s="1" t="s">
        <v>46</v>
      </c>
      <c r="P1784" s="1" t="s">
        <v>362</v>
      </c>
      <c r="Q1784" s="1">
        <v>4</v>
      </c>
      <c r="R1784" s="1">
        <f>Retail_Sales_Analyis[[#This Row],[Final_Price]]-Retail_Sales_Analyis[[#This Row],[Total_Price]]</f>
        <v>0</v>
      </c>
      <c r="S17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85" spans="1:19" x14ac:dyDescent="0.25">
      <c r="A1785" s="1" t="s">
        <v>2744</v>
      </c>
      <c r="B1785" s="2">
        <v>45329</v>
      </c>
      <c r="C1785" s="1" t="s">
        <v>27</v>
      </c>
      <c r="D1785" s="1" t="s">
        <v>55</v>
      </c>
      <c r="E1785" s="1" t="s">
        <v>107</v>
      </c>
      <c r="F1785" s="1" t="s">
        <v>37</v>
      </c>
      <c r="G1785" s="1" t="s">
        <v>22</v>
      </c>
      <c r="H1785" s="1" t="s">
        <v>51</v>
      </c>
      <c r="I1785" s="1">
        <v>568.4</v>
      </c>
      <c r="J1785" s="1">
        <v>1</v>
      </c>
      <c r="K1785" s="1">
        <v>568.4</v>
      </c>
      <c r="L1785" s="1">
        <v>5</v>
      </c>
      <c r="M1785" s="1">
        <v>28.42</v>
      </c>
      <c r="N1785" s="1">
        <v>539.98</v>
      </c>
      <c r="O1785" s="1" t="s">
        <v>64</v>
      </c>
      <c r="P1785" s="1" t="s">
        <v>2745</v>
      </c>
      <c r="Q1785" s="1">
        <v>4</v>
      </c>
      <c r="R1785" s="1">
        <f>Retail_Sales_Analyis[[#This Row],[Final_Price]]-Retail_Sales_Analyis[[#This Row],[Total_Price]]</f>
        <v>-28.419999999999959</v>
      </c>
      <c r="S17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86" spans="1:19" x14ac:dyDescent="0.25">
      <c r="A1786" s="1" t="s">
        <v>2746</v>
      </c>
      <c r="B1786" s="2">
        <v>45450</v>
      </c>
      <c r="C1786" s="1" t="s">
        <v>173</v>
      </c>
      <c r="D1786" s="1" t="s">
        <v>144</v>
      </c>
      <c r="E1786" s="1" t="s">
        <v>351</v>
      </c>
      <c r="F1786" s="1" t="s">
        <v>37</v>
      </c>
      <c r="G1786" s="1" t="s">
        <v>22</v>
      </c>
      <c r="H1786" s="1" t="s">
        <v>277</v>
      </c>
      <c r="I1786" s="1">
        <v>489.34</v>
      </c>
      <c r="J1786" s="1">
        <v>5</v>
      </c>
      <c r="K1786" s="1">
        <v>2446.6999999999998</v>
      </c>
      <c r="L1786" s="1">
        <v>10</v>
      </c>
      <c r="M1786" s="1">
        <v>244.67</v>
      </c>
      <c r="N1786" s="1">
        <v>2202.0300000000002</v>
      </c>
      <c r="O1786" s="1" t="s">
        <v>46</v>
      </c>
      <c r="P1786" s="1" t="s">
        <v>2306</v>
      </c>
      <c r="Q1786" s="1">
        <v>3</v>
      </c>
      <c r="R1786" s="1">
        <f>Retail_Sales_Analyis[[#This Row],[Final_Price]]-Retail_Sales_Analyis[[#This Row],[Total_Price]]</f>
        <v>-244.66999999999962</v>
      </c>
      <c r="S17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87" spans="1:19" x14ac:dyDescent="0.25">
      <c r="A1787" s="1" t="s">
        <v>2747</v>
      </c>
      <c r="B1787" s="2">
        <v>45528</v>
      </c>
      <c r="C1787" s="1" t="s">
        <v>93</v>
      </c>
      <c r="D1787" s="1" t="s">
        <v>19</v>
      </c>
      <c r="E1787" s="1" t="s">
        <v>196</v>
      </c>
      <c r="F1787" s="1" t="s">
        <v>69</v>
      </c>
      <c r="G1787" s="1" t="s">
        <v>22</v>
      </c>
      <c r="H1787" s="1" t="s">
        <v>51</v>
      </c>
      <c r="I1787" s="1">
        <v>983.76</v>
      </c>
      <c r="J1787" s="1">
        <v>5</v>
      </c>
      <c r="K1787" s="1">
        <v>4918.8</v>
      </c>
      <c r="L1787" s="1">
        <v>10</v>
      </c>
      <c r="M1787" s="1">
        <v>491.88</v>
      </c>
      <c r="N1787" s="1">
        <v>4426.92</v>
      </c>
      <c r="O1787" s="1" t="s">
        <v>64</v>
      </c>
      <c r="P1787" s="1" t="s">
        <v>2748</v>
      </c>
      <c r="Q1787" s="1">
        <v>2</v>
      </c>
      <c r="R1787" s="1">
        <f>Retail_Sales_Analyis[[#This Row],[Final_Price]]-Retail_Sales_Analyis[[#This Row],[Total_Price]]</f>
        <v>-491.88000000000011</v>
      </c>
      <c r="S17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88" spans="1:19" x14ac:dyDescent="0.25">
      <c r="A1788" s="1" t="s">
        <v>2749</v>
      </c>
      <c r="B1788" s="2">
        <v>45523</v>
      </c>
      <c r="C1788" s="1" t="s">
        <v>93</v>
      </c>
      <c r="D1788" s="1" t="s">
        <v>43</v>
      </c>
      <c r="E1788" s="1" t="s">
        <v>68</v>
      </c>
      <c r="F1788" s="1" t="s">
        <v>21</v>
      </c>
      <c r="G1788" s="1" t="s">
        <v>112</v>
      </c>
      <c r="H1788" s="1" t="s">
        <v>118</v>
      </c>
      <c r="I1788" s="1">
        <v>1470.83</v>
      </c>
      <c r="J1788" s="1">
        <v>7</v>
      </c>
      <c r="K1788" s="1">
        <v>10295.81</v>
      </c>
      <c r="L1788" s="1">
        <v>0</v>
      </c>
      <c r="M1788" s="1">
        <v>0</v>
      </c>
      <c r="N1788" s="1">
        <v>10295.81</v>
      </c>
      <c r="O1788" s="1" t="s">
        <v>33</v>
      </c>
      <c r="P1788" s="1" t="s">
        <v>371</v>
      </c>
      <c r="Q1788" s="1">
        <v>2</v>
      </c>
      <c r="R1788" s="1">
        <f>Retail_Sales_Analyis[[#This Row],[Final_Price]]-Retail_Sales_Analyis[[#This Row],[Total_Price]]</f>
        <v>0</v>
      </c>
      <c r="S17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89" spans="1:19" x14ac:dyDescent="0.25">
      <c r="A1789" s="1" t="s">
        <v>2750</v>
      </c>
      <c r="B1789" s="2">
        <v>45311</v>
      </c>
      <c r="C1789" s="1" t="s">
        <v>36</v>
      </c>
      <c r="D1789" s="1" t="s">
        <v>19</v>
      </c>
      <c r="E1789" s="1" t="s">
        <v>151</v>
      </c>
      <c r="F1789" s="1" t="s">
        <v>21</v>
      </c>
      <c r="G1789" s="1" t="s">
        <v>85</v>
      </c>
      <c r="H1789" s="1" t="s">
        <v>86</v>
      </c>
      <c r="I1789" s="1">
        <v>4528.26</v>
      </c>
      <c r="J1789" s="1">
        <v>2</v>
      </c>
      <c r="K1789" s="1">
        <v>9056.52</v>
      </c>
      <c r="L1789" s="1">
        <v>0</v>
      </c>
      <c r="M1789" s="1">
        <v>0</v>
      </c>
      <c r="N1789" s="1">
        <v>9056.52</v>
      </c>
      <c r="O1789" s="1" t="s">
        <v>46</v>
      </c>
      <c r="P1789" s="1" t="s">
        <v>1063</v>
      </c>
      <c r="Q1789" s="1">
        <v>2</v>
      </c>
      <c r="R1789" s="1">
        <f>Retail_Sales_Analyis[[#This Row],[Final_Price]]-Retail_Sales_Analyis[[#This Row],[Total_Price]]</f>
        <v>0</v>
      </c>
      <c r="S17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90" spans="1:19" x14ac:dyDescent="0.25">
      <c r="A1790" s="1" t="s">
        <v>2751</v>
      </c>
      <c r="B1790" s="2">
        <v>45321</v>
      </c>
      <c r="C1790" s="1" t="s">
        <v>36</v>
      </c>
      <c r="D1790" s="1" t="s">
        <v>28</v>
      </c>
      <c r="E1790" s="1" t="s">
        <v>199</v>
      </c>
      <c r="F1790" s="1" t="s">
        <v>21</v>
      </c>
      <c r="G1790" s="1" t="s">
        <v>22</v>
      </c>
      <c r="H1790" s="1" t="s">
        <v>23</v>
      </c>
      <c r="I1790" s="1">
        <v>935.71</v>
      </c>
      <c r="J1790" s="1">
        <v>6</v>
      </c>
      <c r="K1790" s="1">
        <v>5614.26</v>
      </c>
      <c r="L1790" s="1">
        <v>15</v>
      </c>
      <c r="M1790" s="1">
        <v>842.14</v>
      </c>
      <c r="N1790" s="1">
        <v>4772.12</v>
      </c>
      <c r="O1790" s="1" t="s">
        <v>80</v>
      </c>
      <c r="P1790" s="1" t="s">
        <v>913</v>
      </c>
      <c r="Q1790" s="1">
        <v>3</v>
      </c>
      <c r="R1790" s="1">
        <f>Retail_Sales_Analyis[[#This Row],[Final_Price]]-Retail_Sales_Analyis[[#This Row],[Total_Price]]</f>
        <v>-842.14000000000033</v>
      </c>
      <c r="S17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91" spans="1:19" x14ac:dyDescent="0.25">
      <c r="A1791" s="1" t="s">
        <v>2752</v>
      </c>
      <c r="B1791" s="2">
        <v>45480</v>
      </c>
      <c r="C1791" s="1" t="s">
        <v>195</v>
      </c>
      <c r="D1791" s="1" t="s">
        <v>49</v>
      </c>
      <c r="E1791" s="1" t="s">
        <v>117</v>
      </c>
      <c r="F1791" s="1" t="s">
        <v>84</v>
      </c>
      <c r="G1791" s="1" t="s">
        <v>112</v>
      </c>
      <c r="H1791" s="1" t="s">
        <v>183</v>
      </c>
      <c r="I1791" s="1">
        <v>1602.43</v>
      </c>
      <c r="J1791" s="1">
        <v>10</v>
      </c>
      <c r="K1791" s="1">
        <v>16024.3</v>
      </c>
      <c r="L1791" s="1">
        <v>15</v>
      </c>
      <c r="M1791" s="1">
        <v>2403.64</v>
      </c>
      <c r="N1791" s="1">
        <v>13620.66</v>
      </c>
      <c r="O1791" s="1" t="s">
        <v>80</v>
      </c>
      <c r="P1791" s="1" t="s">
        <v>2520</v>
      </c>
      <c r="Q1791" s="1">
        <v>1</v>
      </c>
      <c r="R1791" s="1">
        <f>Retail_Sales_Analyis[[#This Row],[Final_Price]]-Retail_Sales_Analyis[[#This Row],[Total_Price]]</f>
        <v>-2403.6399999999994</v>
      </c>
      <c r="S17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92" spans="1:19" x14ac:dyDescent="0.25">
      <c r="A1792" s="1" t="s">
        <v>2753</v>
      </c>
      <c r="B1792" s="2">
        <v>45438</v>
      </c>
      <c r="C1792" s="1" t="s">
        <v>42</v>
      </c>
      <c r="D1792" s="1" t="s">
        <v>49</v>
      </c>
      <c r="E1792" s="1" t="s">
        <v>196</v>
      </c>
      <c r="F1792" s="1" t="s">
        <v>69</v>
      </c>
      <c r="G1792" s="1" t="s">
        <v>22</v>
      </c>
      <c r="H1792" s="1" t="s">
        <v>23</v>
      </c>
      <c r="I1792" s="1">
        <v>711.58</v>
      </c>
      <c r="J1792" s="1">
        <v>5</v>
      </c>
      <c r="K1792" s="1">
        <v>3557.9</v>
      </c>
      <c r="L1792" s="1">
        <v>20</v>
      </c>
      <c r="M1792" s="1">
        <v>711.58</v>
      </c>
      <c r="N1792" s="1">
        <v>2846.32</v>
      </c>
      <c r="O1792" s="1" t="s">
        <v>24</v>
      </c>
      <c r="P1792" s="1" t="s">
        <v>269</v>
      </c>
      <c r="Q1792" s="1">
        <v>5</v>
      </c>
      <c r="R1792" s="1">
        <f>Retail_Sales_Analyis[[#This Row],[Final_Price]]-Retail_Sales_Analyis[[#This Row],[Total_Price]]</f>
        <v>-711.57999999999993</v>
      </c>
      <c r="S17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93" spans="1:19" x14ac:dyDescent="0.25">
      <c r="A1793" s="1" t="s">
        <v>2754</v>
      </c>
      <c r="B1793" s="2">
        <v>45331</v>
      </c>
      <c r="C1793" s="1" t="s">
        <v>27</v>
      </c>
      <c r="D1793" s="1" t="s">
        <v>144</v>
      </c>
      <c r="E1793" s="1" t="s">
        <v>129</v>
      </c>
      <c r="F1793" s="1" t="s">
        <v>30</v>
      </c>
      <c r="G1793" s="1" t="s">
        <v>57</v>
      </c>
      <c r="H1793" s="1" t="s">
        <v>101</v>
      </c>
      <c r="I1793" s="1">
        <v>1767.18</v>
      </c>
      <c r="J1793" s="1">
        <v>4</v>
      </c>
      <c r="K1793" s="1">
        <v>7068.72</v>
      </c>
      <c r="L1793" s="1">
        <v>0</v>
      </c>
      <c r="M1793" s="1">
        <v>0</v>
      </c>
      <c r="N1793" s="1">
        <v>7068.72</v>
      </c>
      <c r="O1793" s="1" t="s">
        <v>46</v>
      </c>
      <c r="P1793" s="1" t="s">
        <v>2755</v>
      </c>
      <c r="Q1793" s="1">
        <v>4</v>
      </c>
      <c r="R1793" s="1">
        <f>Retail_Sales_Analyis[[#This Row],[Final_Price]]-Retail_Sales_Analyis[[#This Row],[Total_Price]]</f>
        <v>0</v>
      </c>
      <c r="S17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94" spans="1:19" x14ac:dyDescent="0.25">
      <c r="A1794" s="1" t="s">
        <v>2756</v>
      </c>
      <c r="B1794" s="2">
        <v>45622</v>
      </c>
      <c r="C1794" s="1" t="s">
        <v>18</v>
      </c>
      <c r="D1794" s="1" t="s">
        <v>28</v>
      </c>
      <c r="E1794" s="1" t="s">
        <v>342</v>
      </c>
      <c r="F1794" s="1" t="s">
        <v>21</v>
      </c>
      <c r="G1794" s="1" t="s">
        <v>112</v>
      </c>
      <c r="H1794" s="1" t="s">
        <v>118</v>
      </c>
      <c r="I1794" s="1">
        <v>1297.44</v>
      </c>
      <c r="J1794" s="1">
        <v>4</v>
      </c>
      <c r="K1794" s="1">
        <v>5189.76</v>
      </c>
      <c r="L1794" s="1">
        <v>0</v>
      </c>
      <c r="M1794" s="1">
        <v>0</v>
      </c>
      <c r="N1794" s="1">
        <v>5189.76</v>
      </c>
      <c r="O1794" s="1" t="s">
        <v>46</v>
      </c>
      <c r="P1794" s="1" t="s">
        <v>1377</v>
      </c>
      <c r="Q1794" s="1">
        <v>2</v>
      </c>
      <c r="R1794" s="1">
        <f>Retail_Sales_Analyis[[#This Row],[Final_Price]]-Retail_Sales_Analyis[[#This Row],[Total_Price]]</f>
        <v>0</v>
      </c>
      <c r="S17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95" spans="1:19" x14ac:dyDescent="0.25">
      <c r="A1795" s="1" t="s">
        <v>2757</v>
      </c>
      <c r="B1795" s="2">
        <v>45338</v>
      </c>
      <c r="C1795" s="1" t="s">
        <v>27</v>
      </c>
      <c r="D1795" s="1" t="s">
        <v>144</v>
      </c>
      <c r="E1795" s="1" t="s">
        <v>307</v>
      </c>
      <c r="F1795" s="1" t="s">
        <v>30</v>
      </c>
      <c r="G1795" s="1" t="s">
        <v>169</v>
      </c>
      <c r="H1795" s="1" t="s">
        <v>175</v>
      </c>
      <c r="I1795" s="1">
        <v>1318.01</v>
      </c>
      <c r="J1795" s="1">
        <v>9</v>
      </c>
      <c r="K1795" s="1">
        <v>11862.09</v>
      </c>
      <c r="L1795" s="1">
        <v>5</v>
      </c>
      <c r="M1795" s="1">
        <v>593.1</v>
      </c>
      <c r="N1795" s="1">
        <v>11268.99</v>
      </c>
      <c r="O1795" s="1" t="s">
        <v>33</v>
      </c>
      <c r="P1795" s="1" t="s">
        <v>219</v>
      </c>
      <c r="Q1795" s="1">
        <v>1</v>
      </c>
      <c r="R1795" s="1">
        <f>Retail_Sales_Analyis[[#This Row],[Final_Price]]-Retail_Sales_Analyis[[#This Row],[Total_Price]]</f>
        <v>-593.10000000000036</v>
      </c>
      <c r="S17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796" spans="1:19" x14ac:dyDescent="0.25">
      <c r="A1796" s="1" t="s">
        <v>2758</v>
      </c>
      <c r="B1796" s="2">
        <v>45606</v>
      </c>
      <c r="C1796" s="1" t="s">
        <v>18</v>
      </c>
      <c r="D1796" s="1" t="s">
        <v>49</v>
      </c>
      <c r="E1796" s="1" t="s">
        <v>62</v>
      </c>
      <c r="F1796" s="1" t="s">
        <v>69</v>
      </c>
      <c r="G1796" s="1" t="s">
        <v>31</v>
      </c>
      <c r="H1796" s="1" t="s">
        <v>32</v>
      </c>
      <c r="I1796" s="1">
        <v>462.26</v>
      </c>
      <c r="J1796" s="1">
        <v>10</v>
      </c>
      <c r="K1796" s="1">
        <v>4622.6000000000004</v>
      </c>
      <c r="L1796" s="1">
        <v>15</v>
      </c>
      <c r="M1796" s="1">
        <v>693.39</v>
      </c>
      <c r="N1796" s="1">
        <v>3929.21</v>
      </c>
      <c r="O1796" s="1" t="s">
        <v>46</v>
      </c>
      <c r="P1796" s="1" t="s">
        <v>710</v>
      </c>
      <c r="Q1796" s="1">
        <v>4</v>
      </c>
      <c r="R1796" s="1">
        <f>Retail_Sales_Analyis[[#This Row],[Final_Price]]-Retail_Sales_Analyis[[#This Row],[Total_Price]]</f>
        <v>-693.39000000000033</v>
      </c>
      <c r="S17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797" spans="1:19" x14ac:dyDescent="0.25">
      <c r="A1797" s="1" t="s">
        <v>2759</v>
      </c>
      <c r="B1797" s="2">
        <v>45596</v>
      </c>
      <c r="C1797" s="1" t="s">
        <v>76</v>
      </c>
      <c r="D1797" s="1" t="s">
        <v>67</v>
      </c>
      <c r="E1797" s="1" t="s">
        <v>196</v>
      </c>
      <c r="F1797" s="1" t="s">
        <v>69</v>
      </c>
      <c r="G1797" s="1" t="s">
        <v>38</v>
      </c>
      <c r="H1797" s="1" t="s">
        <v>422</v>
      </c>
      <c r="I1797" s="1">
        <v>762.89</v>
      </c>
      <c r="J1797" s="1">
        <v>6</v>
      </c>
      <c r="K1797" s="1">
        <v>4577.34</v>
      </c>
      <c r="L1797" s="1">
        <v>0</v>
      </c>
      <c r="M1797" s="1">
        <v>0</v>
      </c>
      <c r="N1797" s="1">
        <v>4577.34</v>
      </c>
      <c r="O1797" s="1" t="s">
        <v>33</v>
      </c>
      <c r="P1797" s="1" t="s">
        <v>2760</v>
      </c>
      <c r="Q1797" s="1">
        <v>3</v>
      </c>
      <c r="R1797" s="1">
        <f>Retail_Sales_Analyis[[#This Row],[Final_Price]]-Retail_Sales_Analyis[[#This Row],[Total_Price]]</f>
        <v>0</v>
      </c>
      <c r="S17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798" spans="1:19" x14ac:dyDescent="0.25">
      <c r="A1798" s="1" t="s">
        <v>2761</v>
      </c>
      <c r="B1798" s="2">
        <v>45551</v>
      </c>
      <c r="C1798" s="1" t="s">
        <v>116</v>
      </c>
      <c r="D1798" s="1" t="s">
        <v>43</v>
      </c>
      <c r="E1798" s="1" t="s">
        <v>192</v>
      </c>
      <c r="F1798" s="1" t="s">
        <v>69</v>
      </c>
      <c r="G1798" s="1" t="s">
        <v>38</v>
      </c>
      <c r="H1798" s="1" t="s">
        <v>108</v>
      </c>
      <c r="I1798" s="1">
        <v>370.66</v>
      </c>
      <c r="J1798" s="1">
        <v>10</v>
      </c>
      <c r="K1798" s="1">
        <v>3706.6</v>
      </c>
      <c r="L1798" s="1">
        <v>20</v>
      </c>
      <c r="M1798" s="1">
        <v>741.32</v>
      </c>
      <c r="N1798" s="1">
        <v>2965.28</v>
      </c>
      <c r="O1798" s="1" t="s">
        <v>80</v>
      </c>
      <c r="P1798" s="1" t="s">
        <v>1826</v>
      </c>
      <c r="Q1798" s="1">
        <v>4</v>
      </c>
      <c r="R1798" s="1">
        <f>Retail_Sales_Analyis[[#This Row],[Final_Price]]-Retail_Sales_Analyis[[#This Row],[Total_Price]]</f>
        <v>-741.31999999999971</v>
      </c>
      <c r="S17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799" spans="1:19" x14ac:dyDescent="0.25">
      <c r="A1799" s="1" t="s">
        <v>2762</v>
      </c>
      <c r="B1799" s="2">
        <v>45488</v>
      </c>
      <c r="C1799" s="1" t="s">
        <v>195</v>
      </c>
      <c r="D1799" s="1" t="s">
        <v>43</v>
      </c>
      <c r="E1799" s="1" t="s">
        <v>141</v>
      </c>
      <c r="F1799" s="1" t="s">
        <v>37</v>
      </c>
      <c r="G1799" s="1" t="s">
        <v>38</v>
      </c>
      <c r="H1799" s="1" t="s">
        <v>214</v>
      </c>
      <c r="I1799" s="1">
        <v>155.36000000000001</v>
      </c>
      <c r="J1799" s="1">
        <v>6</v>
      </c>
      <c r="K1799" s="1">
        <v>932.16</v>
      </c>
      <c r="L1799" s="1">
        <v>0</v>
      </c>
      <c r="M1799" s="1">
        <v>0</v>
      </c>
      <c r="N1799" s="1">
        <v>932.16</v>
      </c>
      <c r="O1799" s="1" t="s">
        <v>46</v>
      </c>
      <c r="P1799" s="1" t="s">
        <v>2763</v>
      </c>
      <c r="Q1799" s="1">
        <v>1</v>
      </c>
      <c r="R1799" s="1">
        <f>Retail_Sales_Analyis[[#This Row],[Final_Price]]-Retail_Sales_Analyis[[#This Row],[Total_Price]]</f>
        <v>0</v>
      </c>
      <c r="S17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0" spans="1:19" x14ac:dyDescent="0.25">
      <c r="A1800" s="1" t="s">
        <v>2764</v>
      </c>
      <c r="B1800" s="2">
        <v>45528</v>
      </c>
      <c r="C1800" s="1" t="s">
        <v>93</v>
      </c>
      <c r="D1800" s="1" t="s">
        <v>19</v>
      </c>
      <c r="E1800" s="1" t="s">
        <v>129</v>
      </c>
      <c r="F1800" s="1" t="s">
        <v>69</v>
      </c>
      <c r="G1800" s="1" t="s">
        <v>78</v>
      </c>
      <c r="H1800" s="1" t="s">
        <v>126</v>
      </c>
      <c r="I1800" s="1">
        <v>562.67999999999995</v>
      </c>
      <c r="J1800" s="1">
        <v>5</v>
      </c>
      <c r="K1800" s="1">
        <v>2813.4</v>
      </c>
      <c r="L1800" s="1">
        <v>10</v>
      </c>
      <c r="M1800" s="1">
        <v>281.33999999999997</v>
      </c>
      <c r="N1800" s="1">
        <v>2532.06</v>
      </c>
      <c r="O1800" s="1" t="s">
        <v>24</v>
      </c>
      <c r="P1800" s="1" t="s">
        <v>560</v>
      </c>
      <c r="Q1800" s="1">
        <v>3</v>
      </c>
      <c r="R1800" s="1">
        <f>Retail_Sales_Analyis[[#This Row],[Final_Price]]-Retail_Sales_Analyis[[#This Row],[Total_Price]]</f>
        <v>-281.34000000000015</v>
      </c>
      <c r="S18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01" spans="1:19" x14ac:dyDescent="0.25">
      <c r="A1801" s="1" t="s">
        <v>2765</v>
      </c>
      <c r="B1801" s="2">
        <v>45589</v>
      </c>
      <c r="C1801" s="1" t="s">
        <v>76</v>
      </c>
      <c r="D1801" s="1" t="s">
        <v>67</v>
      </c>
      <c r="E1801" s="1" t="s">
        <v>351</v>
      </c>
      <c r="F1801" s="1" t="s">
        <v>69</v>
      </c>
      <c r="G1801" s="1" t="s">
        <v>85</v>
      </c>
      <c r="H1801" s="1" t="s">
        <v>180</v>
      </c>
      <c r="I1801" s="1">
        <v>4146.1099999999997</v>
      </c>
      <c r="J1801" s="1">
        <v>6</v>
      </c>
      <c r="K1801" s="1">
        <v>24876.66</v>
      </c>
      <c r="L1801" s="1">
        <v>10</v>
      </c>
      <c r="M1801" s="1">
        <v>2487.67</v>
      </c>
      <c r="N1801" s="1">
        <v>22388.99</v>
      </c>
      <c r="O1801" s="1" t="s">
        <v>33</v>
      </c>
      <c r="P1801" s="1" t="s">
        <v>2389</v>
      </c>
      <c r="Q1801" s="1">
        <v>4</v>
      </c>
      <c r="R1801" s="1">
        <f>Retail_Sales_Analyis[[#This Row],[Final_Price]]-Retail_Sales_Analyis[[#This Row],[Total_Price]]</f>
        <v>-2487.6699999999983</v>
      </c>
      <c r="S18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02" spans="1:19" x14ac:dyDescent="0.25">
      <c r="A1802" s="1" t="s">
        <v>2766</v>
      </c>
      <c r="B1802" s="2">
        <v>45575</v>
      </c>
      <c r="C1802" s="1" t="s">
        <v>76</v>
      </c>
      <c r="D1802" s="1" t="s">
        <v>67</v>
      </c>
      <c r="E1802" s="1" t="s">
        <v>77</v>
      </c>
      <c r="F1802" s="1" t="s">
        <v>84</v>
      </c>
      <c r="G1802" s="1" t="s">
        <v>169</v>
      </c>
      <c r="H1802" s="1" t="s">
        <v>366</v>
      </c>
      <c r="I1802" s="1">
        <v>316.26</v>
      </c>
      <c r="J1802" s="1">
        <v>5</v>
      </c>
      <c r="K1802" s="1">
        <v>1581.3</v>
      </c>
      <c r="L1802" s="1">
        <v>0</v>
      </c>
      <c r="M1802" s="1">
        <v>0</v>
      </c>
      <c r="N1802" s="1">
        <v>1581.3</v>
      </c>
      <c r="O1802" s="1" t="s">
        <v>64</v>
      </c>
      <c r="P1802" s="1" t="s">
        <v>1257</v>
      </c>
      <c r="Q1802" s="1">
        <v>3</v>
      </c>
      <c r="R1802" s="1">
        <f>Retail_Sales_Analyis[[#This Row],[Final_Price]]-Retail_Sales_Analyis[[#This Row],[Total_Price]]</f>
        <v>0</v>
      </c>
      <c r="S18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3" spans="1:19" x14ac:dyDescent="0.25">
      <c r="A1803" s="1" t="s">
        <v>2767</v>
      </c>
      <c r="B1803" s="2">
        <v>45313</v>
      </c>
      <c r="C1803" s="1" t="s">
        <v>36</v>
      </c>
      <c r="D1803" s="1" t="s">
        <v>43</v>
      </c>
      <c r="E1803" s="1" t="s">
        <v>132</v>
      </c>
      <c r="F1803" s="1" t="s">
        <v>21</v>
      </c>
      <c r="G1803" s="1" t="s">
        <v>38</v>
      </c>
      <c r="H1803" s="1" t="s">
        <v>214</v>
      </c>
      <c r="I1803" s="1">
        <v>369.36</v>
      </c>
      <c r="J1803" s="1">
        <v>5</v>
      </c>
      <c r="K1803" s="1">
        <v>1846.8</v>
      </c>
      <c r="L1803" s="1">
        <v>0</v>
      </c>
      <c r="M1803" s="1">
        <v>0</v>
      </c>
      <c r="N1803" s="1">
        <v>1846.8</v>
      </c>
      <c r="O1803" s="1" t="s">
        <v>46</v>
      </c>
      <c r="P1803" s="1" t="s">
        <v>671</v>
      </c>
      <c r="Q1803" s="1">
        <v>5</v>
      </c>
      <c r="R1803" s="1">
        <f>Retail_Sales_Analyis[[#This Row],[Final_Price]]-Retail_Sales_Analyis[[#This Row],[Total_Price]]</f>
        <v>0</v>
      </c>
      <c r="S18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4" spans="1:19" x14ac:dyDescent="0.25">
      <c r="A1804" s="1" t="s">
        <v>2768</v>
      </c>
      <c r="B1804" s="2">
        <v>45522</v>
      </c>
      <c r="C1804" s="1" t="s">
        <v>93</v>
      </c>
      <c r="D1804" s="1" t="s">
        <v>49</v>
      </c>
      <c r="E1804" s="1" t="s">
        <v>145</v>
      </c>
      <c r="F1804" s="1" t="s">
        <v>37</v>
      </c>
      <c r="G1804" s="1" t="s">
        <v>85</v>
      </c>
      <c r="H1804" s="1" t="s">
        <v>86</v>
      </c>
      <c r="I1804" s="1">
        <v>4266.3100000000004</v>
      </c>
      <c r="J1804" s="1">
        <v>5</v>
      </c>
      <c r="K1804" s="1">
        <v>21331.55</v>
      </c>
      <c r="L1804" s="1">
        <v>20</v>
      </c>
      <c r="M1804" s="1">
        <v>4266.3100000000004</v>
      </c>
      <c r="N1804" s="1">
        <v>17065.240000000002</v>
      </c>
      <c r="O1804" s="1" t="s">
        <v>46</v>
      </c>
      <c r="P1804" s="1" t="s">
        <v>2170</v>
      </c>
      <c r="Q1804" s="1">
        <v>3</v>
      </c>
      <c r="R1804" s="1">
        <f>Retail_Sales_Analyis[[#This Row],[Final_Price]]-Retail_Sales_Analyis[[#This Row],[Total_Price]]</f>
        <v>-4266.3099999999977</v>
      </c>
      <c r="S18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05" spans="1:19" x14ac:dyDescent="0.25">
      <c r="A1805" s="1" t="s">
        <v>2769</v>
      </c>
      <c r="B1805" s="2">
        <v>45584</v>
      </c>
      <c r="C1805" s="1" t="s">
        <v>76</v>
      </c>
      <c r="D1805" s="1" t="s">
        <v>19</v>
      </c>
      <c r="E1805" s="1" t="s">
        <v>337</v>
      </c>
      <c r="F1805" s="1" t="s">
        <v>84</v>
      </c>
      <c r="G1805" s="1" t="s">
        <v>22</v>
      </c>
      <c r="H1805" s="1" t="s">
        <v>23</v>
      </c>
      <c r="I1805" s="1">
        <v>726.23</v>
      </c>
      <c r="J1805" s="1">
        <v>8</v>
      </c>
      <c r="K1805" s="1">
        <v>5809.84</v>
      </c>
      <c r="L1805" s="1">
        <v>0</v>
      </c>
      <c r="M1805" s="1">
        <v>0</v>
      </c>
      <c r="N1805" s="1">
        <v>5809.84</v>
      </c>
      <c r="O1805" s="1" t="s">
        <v>24</v>
      </c>
      <c r="P1805" s="1" t="s">
        <v>2770</v>
      </c>
      <c r="Q1805" s="1">
        <v>1</v>
      </c>
      <c r="R1805" s="1">
        <f>Retail_Sales_Analyis[[#This Row],[Final_Price]]-Retail_Sales_Analyis[[#This Row],[Total_Price]]</f>
        <v>0</v>
      </c>
      <c r="S18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6" spans="1:19" x14ac:dyDescent="0.25">
      <c r="A1806" s="1" t="s">
        <v>2771</v>
      </c>
      <c r="B1806" s="2">
        <v>45625</v>
      </c>
      <c r="C1806" s="1" t="s">
        <v>18</v>
      </c>
      <c r="D1806" s="1" t="s">
        <v>144</v>
      </c>
      <c r="E1806" s="1" t="s">
        <v>239</v>
      </c>
      <c r="F1806" s="1" t="s">
        <v>30</v>
      </c>
      <c r="G1806" s="1" t="s">
        <v>169</v>
      </c>
      <c r="H1806" s="1" t="s">
        <v>348</v>
      </c>
      <c r="I1806" s="1">
        <v>1428.18</v>
      </c>
      <c r="J1806" s="1">
        <v>6</v>
      </c>
      <c r="K1806" s="1">
        <v>8569.08</v>
      </c>
      <c r="L1806" s="1">
        <v>0</v>
      </c>
      <c r="M1806" s="1">
        <v>0</v>
      </c>
      <c r="N1806" s="1">
        <v>8569.08</v>
      </c>
      <c r="O1806" s="1" t="s">
        <v>64</v>
      </c>
      <c r="P1806" s="1" t="s">
        <v>2610</v>
      </c>
      <c r="Q1806" s="1">
        <v>1</v>
      </c>
      <c r="R1806" s="1">
        <f>Retail_Sales_Analyis[[#This Row],[Final_Price]]-Retail_Sales_Analyis[[#This Row],[Total_Price]]</f>
        <v>0</v>
      </c>
      <c r="S18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7" spans="1:19" x14ac:dyDescent="0.25">
      <c r="A1807" s="1" t="s">
        <v>2772</v>
      </c>
      <c r="B1807" s="2">
        <v>45388</v>
      </c>
      <c r="C1807" s="1" t="s">
        <v>54</v>
      </c>
      <c r="D1807" s="1" t="s">
        <v>19</v>
      </c>
      <c r="E1807" s="1" t="s">
        <v>145</v>
      </c>
      <c r="F1807" s="1" t="s">
        <v>30</v>
      </c>
      <c r="G1807" s="1" t="s">
        <v>31</v>
      </c>
      <c r="H1807" s="1" t="s">
        <v>329</v>
      </c>
      <c r="I1807" s="1">
        <v>462.27</v>
      </c>
      <c r="J1807" s="1">
        <v>9</v>
      </c>
      <c r="K1807" s="1">
        <v>4160.43</v>
      </c>
      <c r="L1807" s="1">
        <v>0</v>
      </c>
      <c r="M1807" s="1">
        <v>0</v>
      </c>
      <c r="N1807" s="1">
        <v>4160.43</v>
      </c>
      <c r="O1807" s="1" t="s">
        <v>46</v>
      </c>
      <c r="P1807" s="1" t="s">
        <v>896</v>
      </c>
      <c r="Q1807" s="1">
        <v>2</v>
      </c>
      <c r="R1807" s="1">
        <f>Retail_Sales_Analyis[[#This Row],[Final_Price]]-Retail_Sales_Analyis[[#This Row],[Total_Price]]</f>
        <v>0</v>
      </c>
      <c r="S18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08" spans="1:19" x14ac:dyDescent="0.25">
      <c r="A1808" s="1" t="s">
        <v>2773</v>
      </c>
      <c r="B1808" s="2">
        <v>45456</v>
      </c>
      <c r="C1808" s="1" t="s">
        <v>173</v>
      </c>
      <c r="D1808" s="1" t="s">
        <v>67</v>
      </c>
      <c r="E1808" s="1" t="s">
        <v>199</v>
      </c>
      <c r="F1808" s="1" t="s">
        <v>69</v>
      </c>
      <c r="G1808" s="1" t="s">
        <v>38</v>
      </c>
      <c r="H1808" s="1" t="s">
        <v>214</v>
      </c>
      <c r="I1808" s="1">
        <v>403.06</v>
      </c>
      <c r="J1808" s="1">
        <v>9</v>
      </c>
      <c r="K1808" s="1">
        <v>3627.54</v>
      </c>
      <c r="L1808" s="1">
        <v>20</v>
      </c>
      <c r="M1808" s="1">
        <v>725.51</v>
      </c>
      <c r="N1808" s="1">
        <v>2902.03</v>
      </c>
      <c r="O1808" s="1" t="s">
        <v>33</v>
      </c>
      <c r="P1808" s="1" t="s">
        <v>959</v>
      </c>
      <c r="Q1808" s="1">
        <v>3</v>
      </c>
      <c r="R1808" s="1">
        <f>Retail_Sales_Analyis[[#This Row],[Final_Price]]-Retail_Sales_Analyis[[#This Row],[Total_Price]]</f>
        <v>-725.50999999999976</v>
      </c>
      <c r="S18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09" spans="1:19" x14ac:dyDescent="0.25">
      <c r="A1809" s="1" t="s">
        <v>2774</v>
      </c>
      <c r="B1809" s="2">
        <v>45601</v>
      </c>
      <c r="C1809" s="1" t="s">
        <v>18</v>
      </c>
      <c r="D1809" s="1" t="s">
        <v>28</v>
      </c>
      <c r="E1809" s="1" t="s">
        <v>261</v>
      </c>
      <c r="F1809" s="1" t="s">
        <v>30</v>
      </c>
      <c r="G1809" s="1" t="s">
        <v>169</v>
      </c>
      <c r="H1809" s="1" t="s">
        <v>348</v>
      </c>
      <c r="I1809" s="1">
        <v>532.79</v>
      </c>
      <c r="J1809" s="1">
        <v>3</v>
      </c>
      <c r="K1809" s="1">
        <v>1598.37</v>
      </c>
      <c r="L1809" s="1">
        <v>20</v>
      </c>
      <c r="M1809" s="1">
        <v>319.67</v>
      </c>
      <c r="N1809" s="1">
        <v>1278.7</v>
      </c>
      <c r="O1809" s="1" t="s">
        <v>24</v>
      </c>
      <c r="P1809" s="1" t="s">
        <v>1320</v>
      </c>
      <c r="Q1809" s="1">
        <v>5</v>
      </c>
      <c r="R1809" s="1">
        <f>Retail_Sales_Analyis[[#This Row],[Final_Price]]-Retail_Sales_Analyis[[#This Row],[Total_Price]]</f>
        <v>-319.66999999999985</v>
      </c>
      <c r="S18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10" spans="1:19" x14ac:dyDescent="0.25">
      <c r="A1810" s="1" t="s">
        <v>2775</v>
      </c>
      <c r="B1810" s="2">
        <v>45535</v>
      </c>
      <c r="C1810" s="1" t="s">
        <v>93</v>
      </c>
      <c r="D1810" s="1" t="s">
        <v>19</v>
      </c>
      <c r="E1810" s="1" t="s">
        <v>302</v>
      </c>
      <c r="F1810" s="1" t="s">
        <v>69</v>
      </c>
      <c r="G1810" s="1" t="s">
        <v>85</v>
      </c>
      <c r="H1810" s="1" t="s">
        <v>98</v>
      </c>
      <c r="I1810" s="1">
        <v>4619.75</v>
      </c>
      <c r="J1810" s="1">
        <v>8</v>
      </c>
      <c r="K1810" s="1">
        <v>36958</v>
      </c>
      <c r="L1810" s="1">
        <v>5</v>
      </c>
      <c r="M1810" s="1">
        <v>1847.9</v>
      </c>
      <c r="N1810" s="1">
        <v>35110.1</v>
      </c>
      <c r="O1810" s="1" t="s">
        <v>64</v>
      </c>
      <c r="P1810" s="1" t="s">
        <v>1779</v>
      </c>
      <c r="Q1810" s="1">
        <v>5</v>
      </c>
      <c r="R1810" s="1">
        <f>Retail_Sales_Analyis[[#This Row],[Final_Price]]-Retail_Sales_Analyis[[#This Row],[Total_Price]]</f>
        <v>-1847.9000000000015</v>
      </c>
      <c r="S18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11" spans="1:19" x14ac:dyDescent="0.25">
      <c r="A1811" s="1" t="s">
        <v>2776</v>
      </c>
      <c r="B1811" s="2">
        <v>45548</v>
      </c>
      <c r="C1811" s="1" t="s">
        <v>116</v>
      </c>
      <c r="D1811" s="1" t="s">
        <v>144</v>
      </c>
      <c r="E1811" s="1" t="s">
        <v>111</v>
      </c>
      <c r="F1811" s="1" t="s">
        <v>37</v>
      </c>
      <c r="G1811" s="1" t="s">
        <v>78</v>
      </c>
      <c r="H1811" s="1" t="s">
        <v>136</v>
      </c>
      <c r="I1811" s="1">
        <v>234.74</v>
      </c>
      <c r="J1811" s="1">
        <v>8</v>
      </c>
      <c r="K1811" s="1">
        <v>1877.92</v>
      </c>
      <c r="L1811" s="1">
        <v>0</v>
      </c>
      <c r="M1811" s="1">
        <v>0</v>
      </c>
      <c r="N1811" s="1">
        <v>1877.92</v>
      </c>
      <c r="O1811" s="1" t="s">
        <v>24</v>
      </c>
      <c r="P1811" s="1" t="s">
        <v>657</v>
      </c>
      <c r="Q1811" s="1">
        <v>3</v>
      </c>
      <c r="R1811" s="1">
        <f>Retail_Sales_Analyis[[#This Row],[Final_Price]]-Retail_Sales_Analyis[[#This Row],[Total_Price]]</f>
        <v>0</v>
      </c>
      <c r="S18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12" spans="1:19" x14ac:dyDescent="0.25">
      <c r="A1812" s="1" t="s">
        <v>2777</v>
      </c>
      <c r="B1812" s="2">
        <v>45369</v>
      </c>
      <c r="C1812" s="1" t="s">
        <v>61</v>
      </c>
      <c r="D1812" s="1" t="s">
        <v>43</v>
      </c>
      <c r="E1812" s="1" t="s">
        <v>166</v>
      </c>
      <c r="F1812" s="1" t="s">
        <v>84</v>
      </c>
      <c r="G1812" s="1" t="s">
        <v>78</v>
      </c>
      <c r="H1812" s="1" t="s">
        <v>146</v>
      </c>
      <c r="I1812" s="1">
        <v>516.15</v>
      </c>
      <c r="J1812" s="1">
        <v>9</v>
      </c>
      <c r="K1812" s="1">
        <v>4645.3500000000004</v>
      </c>
      <c r="L1812" s="1">
        <v>0</v>
      </c>
      <c r="M1812" s="1">
        <v>0</v>
      </c>
      <c r="N1812" s="1">
        <v>4645.3500000000004</v>
      </c>
      <c r="O1812" s="1" t="s">
        <v>24</v>
      </c>
      <c r="P1812" s="1" t="s">
        <v>2778</v>
      </c>
      <c r="Q1812" s="1">
        <v>3</v>
      </c>
      <c r="R1812" s="1">
        <f>Retail_Sales_Analyis[[#This Row],[Final_Price]]-Retail_Sales_Analyis[[#This Row],[Total_Price]]</f>
        <v>0</v>
      </c>
      <c r="S18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13" spans="1:19" x14ac:dyDescent="0.25">
      <c r="A1813" s="1" t="s">
        <v>2779</v>
      </c>
      <c r="B1813" s="2">
        <v>45323</v>
      </c>
      <c r="C1813" s="1" t="s">
        <v>27</v>
      </c>
      <c r="D1813" s="1" t="s">
        <v>67</v>
      </c>
      <c r="E1813" s="1" t="s">
        <v>192</v>
      </c>
      <c r="F1813" s="1" t="s">
        <v>30</v>
      </c>
      <c r="G1813" s="1" t="s">
        <v>112</v>
      </c>
      <c r="H1813" s="1" t="s">
        <v>223</v>
      </c>
      <c r="I1813" s="1">
        <v>537.98</v>
      </c>
      <c r="J1813" s="1">
        <v>3</v>
      </c>
      <c r="K1813" s="1">
        <v>1613.94</v>
      </c>
      <c r="L1813" s="1">
        <v>5</v>
      </c>
      <c r="M1813" s="1">
        <v>80.7</v>
      </c>
      <c r="N1813" s="1">
        <v>1533.24</v>
      </c>
      <c r="O1813" s="1" t="s">
        <v>64</v>
      </c>
      <c r="P1813" s="1" t="s">
        <v>2780</v>
      </c>
      <c r="Q1813" s="1">
        <v>2</v>
      </c>
      <c r="R1813" s="1">
        <f>Retail_Sales_Analyis[[#This Row],[Final_Price]]-Retail_Sales_Analyis[[#This Row],[Total_Price]]</f>
        <v>-80.700000000000045</v>
      </c>
      <c r="S18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14" spans="1:19" x14ac:dyDescent="0.25">
      <c r="A1814" s="1" t="s">
        <v>2781</v>
      </c>
      <c r="B1814" s="2">
        <v>45522</v>
      </c>
      <c r="C1814" s="1" t="s">
        <v>93</v>
      </c>
      <c r="D1814" s="1" t="s">
        <v>49</v>
      </c>
      <c r="E1814" s="1" t="s">
        <v>89</v>
      </c>
      <c r="F1814" s="1" t="s">
        <v>30</v>
      </c>
      <c r="G1814" s="1" t="s">
        <v>78</v>
      </c>
      <c r="H1814" s="1" t="s">
        <v>136</v>
      </c>
      <c r="I1814" s="1">
        <v>448.16</v>
      </c>
      <c r="J1814" s="1">
        <v>4</v>
      </c>
      <c r="K1814" s="1">
        <v>1792.64</v>
      </c>
      <c r="L1814" s="1">
        <v>0</v>
      </c>
      <c r="M1814" s="1">
        <v>0</v>
      </c>
      <c r="N1814" s="1">
        <v>1792.64</v>
      </c>
      <c r="O1814" s="1" t="s">
        <v>33</v>
      </c>
      <c r="P1814" s="1" t="s">
        <v>2782</v>
      </c>
      <c r="Q1814" s="1">
        <v>1</v>
      </c>
      <c r="R1814" s="1">
        <f>Retail_Sales_Analyis[[#This Row],[Final_Price]]-Retail_Sales_Analyis[[#This Row],[Total_Price]]</f>
        <v>0</v>
      </c>
      <c r="S18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15" spans="1:19" x14ac:dyDescent="0.25">
      <c r="A1815" s="1" t="s">
        <v>2783</v>
      </c>
      <c r="B1815" s="2">
        <v>45344</v>
      </c>
      <c r="C1815" s="1" t="s">
        <v>27</v>
      </c>
      <c r="D1815" s="1" t="s">
        <v>67</v>
      </c>
      <c r="E1815" s="1" t="s">
        <v>236</v>
      </c>
      <c r="F1815" s="1" t="s">
        <v>37</v>
      </c>
      <c r="G1815" s="1" t="s">
        <v>169</v>
      </c>
      <c r="H1815" s="1" t="s">
        <v>366</v>
      </c>
      <c r="I1815" s="1">
        <v>1215.68</v>
      </c>
      <c r="J1815" s="1">
        <v>9</v>
      </c>
      <c r="K1815" s="1">
        <v>10941.12</v>
      </c>
      <c r="L1815" s="1">
        <v>20</v>
      </c>
      <c r="M1815" s="1">
        <v>2188.2199999999998</v>
      </c>
      <c r="N1815" s="1">
        <v>8752.9</v>
      </c>
      <c r="O1815" s="1" t="s">
        <v>24</v>
      </c>
      <c r="P1815" s="1" t="s">
        <v>835</v>
      </c>
      <c r="Q1815" s="1">
        <v>4</v>
      </c>
      <c r="R1815" s="1">
        <f>Retail_Sales_Analyis[[#This Row],[Final_Price]]-Retail_Sales_Analyis[[#This Row],[Total_Price]]</f>
        <v>-2188.2200000000012</v>
      </c>
      <c r="S18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16" spans="1:19" x14ac:dyDescent="0.25">
      <c r="A1816" s="1" t="s">
        <v>2784</v>
      </c>
      <c r="B1816" s="2">
        <v>45467</v>
      </c>
      <c r="C1816" s="1" t="s">
        <v>173</v>
      </c>
      <c r="D1816" s="1" t="s">
        <v>43</v>
      </c>
      <c r="E1816" s="1" t="s">
        <v>77</v>
      </c>
      <c r="F1816" s="1" t="s">
        <v>69</v>
      </c>
      <c r="G1816" s="1" t="s">
        <v>169</v>
      </c>
      <c r="H1816" s="1" t="s">
        <v>366</v>
      </c>
      <c r="I1816" s="1">
        <v>753.7</v>
      </c>
      <c r="J1816" s="1">
        <v>6</v>
      </c>
      <c r="K1816" s="1">
        <v>4522.2</v>
      </c>
      <c r="L1816" s="1">
        <v>0</v>
      </c>
      <c r="M1816" s="1">
        <v>0</v>
      </c>
      <c r="N1816" s="1">
        <v>4522.2</v>
      </c>
      <c r="O1816" s="1" t="s">
        <v>64</v>
      </c>
      <c r="P1816" s="1" t="s">
        <v>1299</v>
      </c>
      <c r="Q1816" s="1">
        <v>5</v>
      </c>
      <c r="R1816" s="1">
        <f>Retail_Sales_Analyis[[#This Row],[Final_Price]]-Retail_Sales_Analyis[[#This Row],[Total_Price]]</f>
        <v>0</v>
      </c>
      <c r="S18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17" spans="1:19" x14ac:dyDescent="0.25">
      <c r="A1817" s="1" t="s">
        <v>2785</v>
      </c>
      <c r="B1817" s="2">
        <v>45657</v>
      </c>
      <c r="C1817" s="1" t="s">
        <v>73</v>
      </c>
      <c r="D1817" s="1" t="s">
        <v>28</v>
      </c>
      <c r="E1817" s="1" t="s">
        <v>411</v>
      </c>
      <c r="F1817" s="1" t="s">
        <v>21</v>
      </c>
      <c r="G1817" s="1" t="s">
        <v>112</v>
      </c>
      <c r="H1817" s="1" t="s">
        <v>183</v>
      </c>
      <c r="I1817" s="1">
        <v>1467.31</v>
      </c>
      <c r="J1817" s="1">
        <v>10</v>
      </c>
      <c r="K1817" s="1">
        <v>14673.1</v>
      </c>
      <c r="L1817" s="1">
        <v>15</v>
      </c>
      <c r="M1817" s="1">
        <v>2200.9699999999998</v>
      </c>
      <c r="N1817" s="1">
        <v>12472.13</v>
      </c>
      <c r="O1817" s="1" t="s">
        <v>33</v>
      </c>
      <c r="P1817" s="1" t="s">
        <v>1508</v>
      </c>
      <c r="Q1817" s="1">
        <v>2</v>
      </c>
      <c r="R1817" s="1">
        <f>Retail_Sales_Analyis[[#This Row],[Final_Price]]-Retail_Sales_Analyis[[#This Row],[Total_Price]]</f>
        <v>-2200.9700000000012</v>
      </c>
      <c r="S18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18" spans="1:19" x14ac:dyDescent="0.25">
      <c r="A1818" s="1" t="s">
        <v>2786</v>
      </c>
      <c r="B1818" s="2">
        <v>45335</v>
      </c>
      <c r="C1818" s="1" t="s">
        <v>27</v>
      </c>
      <c r="D1818" s="1" t="s">
        <v>28</v>
      </c>
      <c r="E1818" s="1" t="s">
        <v>107</v>
      </c>
      <c r="F1818" s="1" t="s">
        <v>69</v>
      </c>
      <c r="G1818" s="1" t="s">
        <v>78</v>
      </c>
      <c r="H1818" s="1" t="s">
        <v>126</v>
      </c>
      <c r="I1818" s="1">
        <v>308.51</v>
      </c>
      <c r="J1818" s="1">
        <v>4</v>
      </c>
      <c r="K1818" s="1">
        <v>1234.04</v>
      </c>
      <c r="L1818" s="1">
        <v>0</v>
      </c>
      <c r="M1818" s="1">
        <v>0</v>
      </c>
      <c r="N1818" s="1">
        <v>1234.04</v>
      </c>
      <c r="O1818" s="1" t="s">
        <v>64</v>
      </c>
      <c r="P1818" s="1" t="s">
        <v>2782</v>
      </c>
      <c r="Q1818" s="1">
        <v>2</v>
      </c>
      <c r="R1818" s="1">
        <f>Retail_Sales_Analyis[[#This Row],[Final_Price]]-Retail_Sales_Analyis[[#This Row],[Total_Price]]</f>
        <v>0</v>
      </c>
      <c r="S18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19" spans="1:19" x14ac:dyDescent="0.25">
      <c r="A1819" s="1" t="s">
        <v>2787</v>
      </c>
      <c r="B1819" s="2">
        <v>45550</v>
      </c>
      <c r="C1819" s="1" t="s">
        <v>116</v>
      </c>
      <c r="D1819" s="1" t="s">
        <v>49</v>
      </c>
      <c r="E1819" s="1" t="s">
        <v>83</v>
      </c>
      <c r="F1819" s="1" t="s">
        <v>21</v>
      </c>
      <c r="G1819" s="1" t="s">
        <v>57</v>
      </c>
      <c r="H1819" s="1" t="s">
        <v>122</v>
      </c>
      <c r="I1819" s="1">
        <v>1889.49</v>
      </c>
      <c r="J1819" s="1">
        <v>3</v>
      </c>
      <c r="K1819" s="1">
        <v>5668.47</v>
      </c>
      <c r="L1819" s="1">
        <v>0</v>
      </c>
      <c r="M1819" s="1">
        <v>0</v>
      </c>
      <c r="N1819" s="1">
        <v>5668.47</v>
      </c>
      <c r="O1819" s="1" t="s">
        <v>46</v>
      </c>
      <c r="P1819" s="1" t="s">
        <v>2788</v>
      </c>
      <c r="Q1819" s="1">
        <v>3</v>
      </c>
      <c r="R1819" s="1">
        <f>Retail_Sales_Analyis[[#This Row],[Final_Price]]-Retail_Sales_Analyis[[#This Row],[Total_Price]]</f>
        <v>0</v>
      </c>
      <c r="S18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20" spans="1:19" x14ac:dyDescent="0.25">
      <c r="A1820" s="1" t="s">
        <v>2789</v>
      </c>
      <c r="B1820" s="2">
        <v>45622</v>
      </c>
      <c r="C1820" s="1" t="s">
        <v>18</v>
      </c>
      <c r="D1820" s="1" t="s">
        <v>28</v>
      </c>
      <c r="E1820" s="1" t="s">
        <v>411</v>
      </c>
      <c r="F1820" s="1" t="s">
        <v>37</v>
      </c>
      <c r="G1820" s="1" t="s">
        <v>78</v>
      </c>
      <c r="H1820" s="1" t="s">
        <v>146</v>
      </c>
      <c r="I1820" s="1">
        <v>208.14</v>
      </c>
      <c r="J1820" s="1">
        <v>7</v>
      </c>
      <c r="K1820" s="1">
        <v>1456.98</v>
      </c>
      <c r="L1820" s="1">
        <v>5</v>
      </c>
      <c r="M1820" s="1">
        <v>72.849999999999994</v>
      </c>
      <c r="N1820" s="1">
        <v>1384.13</v>
      </c>
      <c r="O1820" s="1" t="s">
        <v>24</v>
      </c>
      <c r="P1820" s="1" t="s">
        <v>2648</v>
      </c>
      <c r="Q1820" s="1">
        <v>5</v>
      </c>
      <c r="R1820" s="1">
        <f>Retail_Sales_Analyis[[#This Row],[Final_Price]]-Retail_Sales_Analyis[[#This Row],[Total_Price]]</f>
        <v>-72.849999999999909</v>
      </c>
      <c r="S18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21" spans="1:19" x14ac:dyDescent="0.25">
      <c r="A1821" s="1" t="s">
        <v>2790</v>
      </c>
      <c r="B1821" s="2">
        <v>45380</v>
      </c>
      <c r="C1821" s="1" t="s">
        <v>61</v>
      </c>
      <c r="D1821" s="1" t="s">
        <v>144</v>
      </c>
      <c r="E1821" s="1" t="s">
        <v>129</v>
      </c>
      <c r="F1821" s="1" t="s">
        <v>69</v>
      </c>
      <c r="G1821" s="1" t="s">
        <v>22</v>
      </c>
      <c r="H1821" s="1" t="s">
        <v>133</v>
      </c>
      <c r="I1821" s="1">
        <v>925.92</v>
      </c>
      <c r="J1821" s="1">
        <v>9</v>
      </c>
      <c r="K1821" s="1">
        <v>8333.2800000000007</v>
      </c>
      <c r="L1821" s="1">
        <v>5</v>
      </c>
      <c r="M1821" s="1">
        <v>416.66</v>
      </c>
      <c r="N1821" s="1">
        <v>7916.62</v>
      </c>
      <c r="O1821" s="1" t="s">
        <v>24</v>
      </c>
      <c r="P1821" s="1" t="s">
        <v>1353</v>
      </c>
      <c r="Q1821" s="1">
        <v>5</v>
      </c>
      <c r="R1821" s="1">
        <f>Retail_Sales_Analyis[[#This Row],[Final_Price]]-Retail_Sales_Analyis[[#This Row],[Total_Price]]</f>
        <v>-416.66000000000076</v>
      </c>
      <c r="S18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22" spans="1:19" x14ac:dyDescent="0.25">
      <c r="A1822" s="1" t="s">
        <v>2791</v>
      </c>
      <c r="B1822" s="2">
        <v>45312</v>
      </c>
      <c r="C1822" s="1" t="s">
        <v>36</v>
      </c>
      <c r="D1822" s="1" t="s">
        <v>49</v>
      </c>
      <c r="E1822" s="1" t="s">
        <v>342</v>
      </c>
      <c r="F1822" s="1" t="s">
        <v>37</v>
      </c>
      <c r="G1822" s="1" t="s">
        <v>31</v>
      </c>
      <c r="H1822" s="1" t="s">
        <v>329</v>
      </c>
      <c r="I1822" s="1">
        <v>394.02</v>
      </c>
      <c r="J1822" s="1">
        <v>3</v>
      </c>
      <c r="K1822" s="1">
        <v>1182.06</v>
      </c>
      <c r="L1822" s="1">
        <v>20</v>
      </c>
      <c r="M1822" s="1">
        <v>236.41</v>
      </c>
      <c r="N1822" s="1">
        <v>945.65</v>
      </c>
      <c r="O1822" s="1" t="s">
        <v>64</v>
      </c>
      <c r="P1822" s="1" t="s">
        <v>1102</v>
      </c>
      <c r="Q1822" s="1">
        <v>4</v>
      </c>
      <c r="R1822" s="1">
        <f>Retail_Sales_Analyis[[#This Row],[Final_Price]]-Retail_Sales_Analyis[[#This Row],[Total_Price]]</f>
        <v>-236.40999999999997</v>
      </c>
      <c r="S182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23" spans="1:19" x14ac:dyDescent="0.25">
      <c r="A1823" s="1" t="s">
        <v>2792</v>
      </c>
      <c r="B1823" s="2">
        <v>45418</v>
      </c>
      <c r="C1823" s="1" t="s">
        <v>42</v>
      </c>
      <c r="D1823" s="1" t="s">
        <v>43</v>
      </c>
      <c r="E1823" s="1" t="s">
        <v>163</v>
      </c>
      <c r="F1823" s="1" t="s">
        <v>84</v>
      </c>
      <c r="G1823" s="1" t="s">
        <v>31</v>
      </c>
      <c r="H1823" s="1" t="s">
        <v>329</v>
      </c>
      <c r="I1823" s="1">
        <v>120.19</v>
      </c>
      <c r="J1823" s="1">
        <v>2</v>
      </c>
      <c r="K1823" s="1">
        <v>240.38</v>
      </c>
      <c r="L1823" s="1">
        <v>0</v>
      </c>
      <c r="M1823" s="1">
        <v>0</v>
      </c>
      <c r="N1823" s="1">
        <v>240.38</v>
      </c>
      <c r="O1823" s="1" t="s">
        <v>80</v>
      </c>
      <c r="P1823" s="1" t="s">
        <v>99</v>
      </c>
      <c r="Q1823" s="1">
        <v>2</v>
      </c>
      <c r="R1823" s="1">
        <f>Retail_Sales_Analyis[[#This Row],[Final_Price]]-Retail_Sales_Analyis[[#This Row],[Total_Price]]</f>
        <v>0</v>
      </c>
      <c r="S18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24" spans="1:19" x14ac:dyDescent="0.25">
      <c r="A1824" s="1" t="s">
        <v>2793</v>
      </c>
      <c r="B1824" s="2">
        <v>45654</v>
      </c>
      <c r="C1824" s="1" t="s">
        <v>73</v>
      </c>
      <c r="D1824" s="1" t="s">
        <v>19</v>
      </c>
      <c r="E1824" s="1" t="s">
        <v>141</v>
      </c>
      <c r="F1824" s="1" t="s">
        <v>30</v>
      </c>
      <c r="G1824" s="1" t="s">
        <v>85</v>
      </c>
      <c r="H1824" s="1" t="s">
        <v>297</v>
      </c>
      <c r="I1824" s="1">
        <v>4854.63</v>
      </c>
      <c r="J1824" s="1">
        <v>8</v>
      </c>
      <c r="K1824" s="1">
        <v>38837.040000000001</v>
      </c>
      <c r="L1824" s="1">
        <v>15</v>
      </c>
      <c r="M1824" s="1">
        <v>5825.56</v>
      </c>
      <c r="N1824" s="1">
        <v>33011.480000000003</v>
      </c>
      <c r="O1824" s="1" t="s">
        <v>33</v>
      </c>
      <c r="P1824" s="1" t="s">
        <v>1851</v>
      </c>
      <c r="Q1824" s="1">
        <v>3</v>
      </c>
      <c r="R1824" s="1">
        <f>Retail_Sales_Analyis[[#This Row],[Final_Price]]-Retail_Sales_Analyis[[#This Row],[Total_Price]]</f>
        <v>-5825.5599999999977</v>
      </c>
      <c r="S18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25" spans="1:19" x14ac:dyDescent="0.25">
      <c r="A1825" s="1" t="s">
        <v>2794</v>
      </c>
      <c r="B1825" s="2">
        <v>45516</v>
      </c>
      <c r="C1825" s="1" t="s">
        <v>93</v>
      </c>
      <c r="D1825" s="1" t="s">
        <v>43</v>
      </c>
      <c r="E1825" s="1" t="s">
        <v>107</v>
      </c>
      <c r="F1825" s="1" t="s">
        <v>21</v>
      </c>
      <c r="G1825" s="1" t="s">
        <v>22</v>
      </c>
      <c r="H1825" s="1" t="s">
        <v>51</v>
      </c>
      <c r="I1825" s="1">
        <v>360.24</v>
      </c>
      <c r="J1825" s="1">
        <v>8</v>
      </c>
      <c r="K1825" s="1">
        <v>2881.92</v>
      </c>
      <c r="L1825" s="1">
        <v>20</v>
      </c>
      <c r="M1825" s="1">
        <v>576.38</v>
      </c>
      <c r="N1825" s="1">
        <v>2305.54</v>
      </c>
      <c r="O1825" s="1" t="s">
        <v>46</v>
      </c>
      <c r="P1825" s="1" t="s">
        <v>34</v>
      </c>
      <c r="Q1825" s="1">
        <v>2</v>
      </c>
      <c r="R1825" s="1">
        <f>Retail_Sales_Analyis[[#This Row],[Final_Price]]-Retail_Sales_Analyis[[#This Row],[Total_Price]]</f>
        <v>-576.38000000000011</v>
      </c>
      <c r="S18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26" spans="1:19" x14ac:dyDescent="0.25">
      <c r="A1826" s="1" t="s">
        <v>2795</v>
      </c>
      <c r="B1826" s="2">
        <v>45516</v>
      </c>
      <c r="C1826" s="1" t="s">
        <v>93</v>
      </c>
      <c r="D1826" s="1" t="s">
        <v>43</v>
      </c>
      <c r="E1826" s="1" t="s">
        <v>328</v>
      </c>
      <c r="F1826" s="1" t="s">
        <v>37</v>
      </c>
      <c r="G1826" s="1" t="s">
        <v>57</v>
      </c>
      <c r="H1826" s="1" t="s">
        <v>101</v>
      </c>
      <c r="I1826" s="1">
        <v>596.58000000000004</v>
      </c>
      <c r="J1826" s="1">
        <v>3</v>
      </c>
      <c r="K1826" s="1">
        <v>1789.74</v>
      </c>
      <c r="L1826" s="1">
        <v>15</v>
      </c>
      <c r="M1826" s="1">
        <v>268.45999999999998</v>
      </c>
      <c r="N1826" s="1">
        <v>1521.28</v>
      </c>
      <c r="O1826" s="1" t="s">
        <v>80</v>
      </c>
      <c r="P1826" s="1" t="s">
        <v>2271</v>
      </c>
      <c r="Q1826" s="1">
        <v>1</v>
      </c>
      <c r="R1826" s="1">
        <f>Retail_Sales_Analyis[[#This Row],[Final_Price]]-Retail_Sales_Analyis[[#This Row],[Total_Price]]</f>
        <v>-268.46000000000004</v>
      </c>
      <c r="S18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27" spans="1:19" x14ac:dyDescent="0.25">
      <c r="A1827" s="1" t="s">
        <v>2796</v>
      </c>
      <c r="B1827" s="2">
        <v>45560</v>
      </c>
      <c r="C1827" s="1" t="s">
        <v>116</v>
      </c>
      <c r="D1827" s="1" t="s">
        <v>55</v>
      </c>
      <c r="E1827" s="1" t="s">
        <v>97</v>
      </c>
      <c r="F1827" s="1" t="s">
        <v>21</v>
      </c>
      <c r="G1827" s="1" t="s">
        <v>38</v>
      </c>
      <c r="H1827" s="1" t="s">
        <v>422</v>
      </c>
      <c r="I1827" s="1">
        <v>798</v>
      </c>
      <c r="J1827" s="1">
        <v>6</v>
      </c>
      <c r="K1827" s="1">
        <v>4788</v>
      </c>
      <c r="L1827" s="1">
        <v>10</v>
      </c>
      <c r="M1827" s="1">
        <v>478.8</v>
      </c>
      <c r="N1827" s="1">
        <v>4309.2</v>
      </c>
      <c r="O1827" s="1" t="s">
        <v>80</v>
      </c>
      <c r="P1827" s="1" t="s">
        <v>395</v>
      </c>
      <c r="Q1827" s="1">
        <v>2</v>
      </c>
      <c r="R1827" s="1">
        <f>Retail_Sales_Analyis[[#This Row],[Final_Price]]-Retail_Sales_Analyis[[#This Row],[Total_Price]]</f>
        <v>-478.80000000000018</v>
      </c>
      <c r="S18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28" spans="1:19" x14ac:dyDescent="0.25">
      <c r="A1828" s="1" t="s">
        <v>2797</v>
      </c>
      <c r="B1828" s="2">
        <v>45559</v>
      </c>
      <c r="C1828" s="1" t="s">
        <v>116</v>
      </c>
      <c r="D1828" s="1" t="s">
        <v>28</v>
      </c>
      <c r="E1828" s="1" t="s">
        <v>145</v>
      </c>
      <c r="F1828" s="1" t="s">
        <v>30</v>
      </c>
      <c r="G1828" s="1" t="s">
        <v>78</v>
      </c>
      <c r="H1828" s="1" t="s">
        <v>136</v>
      </c>
      <c r="I1828" s="1">
        <v>175.72</v>
      </c>
      <c r="J1828" s="1">
        <v>3</v>
      </c>
      <c r="K1828" s="1">
        <v>527.16</v>
      </c>
      <c r="L1828" s="1">
        <v>20</v>
      </c>
      <c r="M1828" s="1">
        <v>105.43</v>
      </c>
      <c r="N1828" s="1">
        <v>421.73</v>
      </c>
      <c r="O1828" s="1" t="s">
        <v>80</v>
      </c>
      <c r="P1828" s="1" t="s">
        <v>1449</v>
      </c>
      <c r="Q1828" s="1">
        <v>3</v>
      </c>
      <c r="R1828" s="1">
        <f>Retail_Sales_Analyis[[#This Row],[Final_Price]]-Retail_Sales_Analyis[[#This Row],[Total_Price]]</f>
        <v>-105.42999999999995</v>
      </c>
      <c r="S182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29" spans="1:19" x14ac:dyDescent="0.25">
      <c r="A1829" s="1" t="s">
        <v>2798</v>
      </c>
      <c r="B1829" s="2">
        <v>45604</v>
      </c>
      <c r="C1829" s="1" t="s">
        <v>18</v>
      </c>
      <c r="D1829" s="1" t="s">
        <v>144</v>
      </c>
      <c r="E1829" s="1" t="s">
        <v>20</v>
      </c>
      <c r="F1829" s="1" t="s">
        <v>37</v>
      </c>
      <c r="G1829" s="1" t="s">
        <v>112</v>
      </c>
      <c r="H1829" s="1" t="s">
        <v>288</v>
      </c>
      <c r="I1829" s="1">
        <v>863.36</v>
      </c>
      <c r="J1829" s="1">
        <v>8</v>
      </c>
      <c r="K1829" s="1">
        <v>6906.88</v>
      </c>
      <c r="L1829" s="1">
        <v>20</v>
      </c>
      <c r="M1829" s="1">
        <v>1381.38</v>
      </c>
      <c r="N1829" s="1">
        <v>5525.5</v>
      </c>
      <c r="O1829" s="1" t="s">
        <v>64</v>
      </c>
      <c r="P1829" s="1" t="s">
        <v>405</v>
      </c>
      <c r="Q1829" s="1">
        <v>1</v>
      </c>
      <c r="R1829" s="1">
        <f>Retail_Sales_Analyis[[#This Row],[Final_Price]]-Retail_Sales_Analyis[[#This Row],[Total_Price]]</f>
        <v>-1381.38</v>
      </c>
      <c r="S18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30" spans="1:19" x14ac:dyDescent="0.25">
      <c r="A1830" s="1" t="s">
        <v>2799</v>
      </c>
      <c r="B1830" s="2">
        <v>45373</v>
      </c>
      <c r="C1830" s="1" t="s">
        <v>61</v>
      </c>
      <c r="D1830" s="1" t="s">
        <v>144</v>
      </c>
      <c r="E1830" s="1" t="s">
        <v>157</v>
      </c>
      <c r="F1830" s="1" t="s">
        <v>69</v>
      </c>
      <c r="G1830" s="1" t="s">
        <v>112</v>
      </c>
      <c r="H1830" s="1" t="s">
        <v>118</v>
      </c>
      <c r="I1830" s="1">
        <v>1095.23</v>
      </c>
      <c r="J1830" s="1">
        <v>8</v>
      </c>
      <c r="K1830" s="1">
        <v>8761.84</v>
      </c>
      <c r="L1830" s="1">
        <v>0</v>
      </c>
      <c r="M1830" s="1">
        <v>0</v>
      </c>
      <c r="N1830" s="1">
        <v>8761.84</v>
      </c>
      <c r="O1830" s="1" t="s">
        <v>24</v>
      </c>
      <c r="P1830" s="1" t="s">
        <v>2800</v>
      </c>
      <c r="Q1830" s="1">
        <v>2</v>
      </c>
      <c r="R1830" s="1">
        <f>Retail_Sales_Analyis[[#This Row],[Final_Price]]-Retail_Sales_Analyis[[#This Row],[Total_Price]]</f>
        <v>0</v>
      </c>
      <c r="S18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31" spans="1:19" x14ac:dyDescent="0.25">
      <c r="A1831" s="1" t="s">
        <v>2801</v>
      </c>
      <c r="B1831" s="2">
        <v>45478</v>
      </c>
      <c r="C1831" s="1" t="s">
        <v>195</v>
      </c>
      <c r="D1831" s="1" t="s">
        <v>144</v>
      </c>
      <c r="E1831" s="1" t="s">
        <v>166</v>
      </c>
      <c r="F1831" s="1" t="s">
        <v>21</v>
      </c>
      <c r="G1831" s="1" t="s">
        <v>78</v>
      </c>
      <c r="H1831" s="1" t="s">
        <v>146</v>
      </c>
      <c r="I1831" s="1">
        <v>535.54999999999995</v>
      </c>
      <c r="J1831" s="1">
        <v>5</v>
      </c>
      <c r="K1831" s="1">
        <v>2677.75</v>
      </c>
      <c r="L1831" s="1">
        <v>20</v>
      </c>
      <c r="M1831" s="1">
        <v>535.54999999999995</v>
      </c>
      <c r="N1831" s="1">
        <v>2142.1999999999998</v>
      </c>
      <c r="O1831" s="1" t="s">
        <v>24</v>
      </c>
      <c r="P1831" s="1" t="s">
        <v>1906</v>
      </c>
      <c r="Q1831" s="1">
        <v>5</v>
      </c>
      <c r="R1831" s="1">
        <f>Retail_Sales_Analyis[[#This Row],[Final_Price]]-Retail_Sales_Analyis[[#This Row],[Total_Price]]</f>
        <v>-535.55000000000018</v>
      </c>
      <c r="S183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32" spans="1:19" x14ac:dyDescent="0.25">
      <c r="A1832" s="1" t="s">
        <v>2802</v>
      </c>
      <c r="B1832" s="2">
        <v>45482</v>
      </c>
      <c r="C1832" s="1" t="s">
        <v>195</v>
      </c>
      <c r="D1832" s="1" t="s">
        <v>28</v>
      </c>
      <c r="E1832" s="1" t="s">
        <v>94</v>
      </c>
      <c r="F1832" s="1" t="s">
        <v>69</v>
      </c>
      <c r="G1832" s="1" t="s">
        <v>169</v>
      </c>
      <c r="H1832" s="1" t="s">
        <v>366</v>
      </c>
      <c r="I1832" s="1">
        <v>1229.72</v>
      </c>
      <c r="J1832" s="1">
        <v>3</v>
      </c>
      <c r="K1832" s="1">
        <v>3689.16</v>
      </c>
      <c r="L1832" s="1">
        <v>5</v>
      </c>
      <c r="M1832" s="1">
        <v>184.46</v>
      </c>
      <c r="N1832" s="1">
        <v>3504.7</v>
      </c>
      <c r="O1832" s="1" t="s">
        <v>24</v>
      </c>
      <c r="P1832" s="1" t="s">
        <v>1121</v>
      </c>
      <c r="Q1832" s="1">
        <v>5</v>
      </c>
      <c r="R1832" s="1">
        <f>Retail_Sales_Analyis[[#This Row],[Final_Price]]-Retail_Sales_Analyis[[#This Row],[Total_Price]]</f>
        <v>-184.46000000000004</v>
      </c>
      <c r="S18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33" spans="1:19" x14ac:dyDescent="0.25">
      <c r="A1833" s="1" t="s">
        <v>2803</v>
      </c>
      <c r="B1833" s="2">
        <v>45436</v>
      </c>
      <c r="C1833" s="1" t="s">
        <v>42</v>
      </c>
      <c r="D1833" s="1" t="s">
        <v>144</v>
      </c>
      <c r="E1833" s="1" t="s">
        <v>342</v>
      </c>
      <c r="F1833" s="1" t="s">
        <v>30</v>
      </c>
      <c r="G1833" s="1" t="s">
        <v>31</v>
      </c>
      <c r="H1833" s="1" t="s">
        <v>63</v>
      </c>
      <c r="I1833" s="1">
        <v>223.75</v>
      </c>
      <c r="J1833" s="1">
        <v>6</v>
      </c>
      <c r="K1833" s="1">
        <v>1342.5</v>
      </c>
      <c r="L1833" s="1">
        <v>15</v>
      </c>
      <c r="M1833" s="1">
        <v>201.38</v>
      </c>
      <c r="N1833" s="1">
        <v>1141.1199999999999</v>
      </c>
      <c r="O1833" s="1" t="s">
        <v>46</v>
      </c>
      <c r="P1833" s="1" t="s">
        <v>1735</v>
      </c>
      <c r="Q1833" s="1">
        <v>4</v>
      </c>
      <c r="R1833" s="1">
        <f>Retail_Sales_Analyis[[#This Row],[Final_Price]]-Retail_Sales_Analyis[[#This Row],[Total_Price]]</f>
        <v>-201.38000000000011</v>
      </c>
      <c r="S18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34" spans="1:19" x14ac:dyDescent="0.25">
      <c r="A1834" s="1" t="s">
        <v>2804</v>
      </c>
      <c r="B1834" s="2">
        <v>45490</v>
      </c>
      <c r="C1834" s="1" t="s">
        <v>195</v>
      </c>
      <c r="D1834" s="1" t="s">
        <v>55</v>
      </c>
      <c r="E1834" s="1" t="s">
        <v>239</v>
      </c>
      <c r="F1834" s="1" t="s">
        <v>69</v>
      </c>
      <c r="G1834" s="1" t="s">
        <v>38</v>
      </c>
      <c r="H1834" s="1" t="s">
        <v>70</v>
      </c>
      <c r="I1834" s="1">
        <v>150.91</v>
      </c>
      <c r="J1834" s="1">
        <v>3</v>
      </c>
      <c r="K1834" s="1">
        <v>452.73</v>
      </c>
      <c r="L1834" s="1">
        <v>15</v>
      </c>
      <c r="M1834" s="1">
        <v>67.91</v>
      </c>
      <c r="N1834" s="1">
        <v>384.82</v>
      </c>
      <c r="O1834" s="1" t="s">
        <v>24</v>
      </c>
      <c r="P1834" s="1" t="s">
        <v>2805</v>
      </c>
      <c r="Q1834" s="1">
        <v>3</v>
      </c>
      <c r="R1834" s="1">
        <f>Retail_Sales_Analyis[[#This Row],[Final_Price]]-Retail_Sales_Analyis[[#This Row],[Total_Price]]</f>
        <v>-67.910000000000025</v>
      </c>
      <c r="S18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35" spans="1:19" x14ac:dyDescent="0.25">
      <c r="A1835" s="1" t="s">
        <v>2806</v>
      </c>
      <c r="B1835" s="2">
        <v>45501</v>
      </c>
      <c r="C1835" s="1" t="s">
        <v>195</v>
      </c>
      <c r="D1835" s="1" t="s">
        <v>49</v>
      </c>
      <c r="E1835" s="1" t="s">
        <v>337</v>
      </c>
      <c r="F1835" s="1" t="s">
        <v>84</v>
      </c>
      <c r="G1835" s="1" t="s">
        <v>38</v>
      </c>
      <c r="H1835" s="1" t="s">
        <v>39</v>
      </c>
      <c r="I1835" s="1">
        <v>154.25</v>
      </c>
      <c r="J1835" s="1">
        <v>6</v>
      </c>
      <c r="K1835" s="1">
        <v>925.5</v>
      </c>
      <c r="L1835" s="1">
        <v>0</v>
      </c>
      <c r="M1835" s="1">
        <v>0</v>
      </c>
      <c r="N1835" s="1">
        <v>925.5</v>
      </c>
      <c r="O1835" s="1" t="s">
        <v>33</v>
      </c>
      <c r="P1835" s="1" t="s">
        <v>2570</v>
      </c>
      <c r="Q1835" s="1">
        <v>3</v>
      </c>
      <c r="R1835" s="1">
        <f>Retail_Sales_Analyis[[#This Row],[Final_Price]]-Retail_Sales_Analyis[[#This Row],[Total_Price]]</f>
        <v>0</v>
      </c>
      <c r="S18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36" spans="1:19" x14ac:dyDescent="0.25">
      <c r="A1836" s="1" t="s">
        <v>2807</v>
      </c>
      <c r="B1836" s="2">
        <v>45465</v>
      </c>
      <c r="C1836" s="1" t="s">
        <v>173</v>
      </c>
      <c r="D1836" s="1" t="s">
        <v>19</v>
      </c>
      <c r="E1836" s="1" t="s">
        <v>312</v>
      </c>
      <c r="F1836" s="1" t="s">
        <v>84</v>
      </c>
      <c r="G1836" s="1" t="s">
        <v>169</v>
      </c>
      <c r="H1836" s="1" t="s">
        <v>170</v>
      </c>
      <c r="I1836" s="1">
        <v>1165.08</v>
      </c>
      <c r="J1836" s="1">
        <v>10</v>
      </c>
      <c r="K1836" s="1">
        <v>11650.8</v>
      </c>
      <c r="L1836" s="1">
        <v>0</v>
      </c>
      <c r="M1836" s="1">
        <v>0</v>
      </c>
      <c r="N1836" s="1">
        <v>11650.8</v>
      </c>
      <c r="O1836" s="1" t="s">
        <v>80</v>
      </c>
      <c r="P1836" s="1" t="s">
        <v>2060</v>
      </c>
      <c r="Q1836" s="1">
        <v>3</v>
      </c>
      <c r="R1836" s="1">
        <f>Retail_Sales_Analyis[[#This Row],[Final_Price]]-Retail_Sales_Analyis[[#This Row],[Total_Price]]</f>
        <v>0</v>
      </c>
      <c r="S18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37" spans="1:19" x14ac:dyDescent="0.25">
      <c r="A1837" s="1" t="s">
        <v>2808</v>
      </c>
      <c r="B1837" s="2">
        <v>45639</v>
      </c>
      <c r="C1837" s="1" t="s">
        <v>73</v>
      </c>
      <c r="D1837" s="1" t="s">
        <v>144</v>
      </c>
      <c r="E1837" s="1" t="s">
        <v>151</v>
      </c>
      <c r="F1837" s="1" t="s">
        <v>21</v>
      </c>
      <c r="G1837" s="1" t="s">
        <v>78</v>
      </c>
      <c r="H1837" s="1" t="s">
        <v>146</v>
      </c>
      <c r="I1837" s="1">
        <v>177.09</v>
      </c>
      <c r="J1837" s="1">
        <v>1</v>
      </c>
      <c r="K1837" s="1">
        <v>177.09</v>
      </c>
      <c r="L1837" s="1">
        <v>20</v>
      </c>
      <c r="M1837" s="1">
        <v>35.42</v>
      </c>
      <c r="N1837" s="1">
        <v>141.66999999999999</v>
      </c>
      <c r="O1837" s="1" t="s">
        <v>64</v>
      </c>
      <c r="P1837" s="1" t="s">
        <v>841</v>
      </c>
      <c r="Q1837" s="1">
        <v>1</v>
      </c>
      <c r="R1837" s="1">
        <f>Retail_Sales_Analyis[[#This Row],[Final_Price]]-Retail_Sales_Analyis[[#This Row],[Total_Price]]</f>
        <v>-35.420000000000016</v>
      </c>
      <c r="S18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38" spans="1:19" x14ac:dyDescent="0.25">
      <c r="A1838" s="1" t="s">
        <v>2809</v>
      </c>
      <c r="B1838" s="2">
        <v>45598</v>
      </c>
      <c r="C1838" s="1" t="s">
        <v>18</v>
      </c>
      <c r="D1838" s="1" t="s">
        <v>19</v>
      </c>
      <c r="E1838" s="1" t="s">
        <v>107</v>
      </c>
      <c r="F1838" s="1" t="s">
        <v>30</v>
      </c>
      <c r="G1838" s="1" t="s">
        <v>85</v>
      </c>
      <c r="H1838" s="1" t="s">
        <v>297</v>
      </c>
      <c r="I1838" s="1">
        <v>1284.48</v>
      </c>
      <c r="J1838" s="1">
        <v>8</v>
      </c>
      <c r="K1838" s="1">
        <v>10275.84</v>
      </c>
      <c r="L1838" s="1">
        <v>0</v>
      </c>
      <c r="M1838" s="1">
        <v>0</v>
      </c>
      <c r="N1838" s="1">
        <v>10275.84</v>
      </c>
      <c r="O1838" s="1" t="s">
        <v>64</v>
      </c>
      <c r="P1838" s="1" t="s">
        <v>2810</v>
      </c>
      <c r="Q1838" s="1">
        <v>1</v>
      </c>
      <c r="R1838" s="1">
        <f>Retail_Sales_Analyis[[#This Row],[Final_Price]]-Retail_Sales_Analyis[[#This Row],[Total_Price]]</f>
        <v>0</v>
      </c>
      <c r="S18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39" spans="1:19" x14ac:dyDescent="0.25">
      <c r="A1839" s="1" t="s">
        <v>2811</v>
      </c>
      <c r="B1839" s="2">
        <v>45318</v>
      </c>
      <c r="C1839" s="1" t="s">
        <v>36</v>
      </c>
      <c r="D1839" s="1" t="s">
        <v>19</v>
      </c>
      <c r="E1839" s="1" t="s">
        <v>141</v>
      </c>
      <c r="F1839" s="1" t="s">
        <v>84</v>
      </c>
      <c r="G1839" s="1" t="s">
        <v>57</v>
      </c>
      <c r="H1839" s="1" t="s">
        <v>122</v>
      </c>
      <c r="I1839" s="1">
        <v>882.22</v>
      </c>
      <c r="J1839" s="1">
        <v>7</v>
      </c>
      <c r="K1839" s="1">
        <v>6175.54</v>
      </c>
      <c r="L1839" s="1">
        <v>10</v>
      </c>
      <c r="M1839" s="1">
        <v>617.54999999999995</v>
      </c>
      <c r="N1839" s="1">
        <v>5557.99</v>
      </c>
      <c r="O1839" s="1" t="s">
        <v>33</v>
      </c>
      <c r="P1839" s="1" t="s">
        <v>1341</v>
      </c>
      <c r="Q1839" s="1">
        <v>4</v>
      </c>
      <c r="R1839" s="1">
        <f>Retail_Sales_Analyis[[#This Row],[Final_Price]]-Retail_Sales_Analyis[[#This Row],[Total_Price]]</f>
        <v>-617.55000000000018</v>
      </c>
      <c r="S18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40" spans="1:19" x14ac:dyDescent="0.25">
      <c r="A1840" s="1" t="s">
        <v>2812</v>
      </c>
      <c r="B1840" s="2">
        <v>45615</v>
      </c>
      <c r="C1840" s="1" t="s">
        <v>18</v>
      </c>
      <c r="D1840" s="1" t="s">
        <v>28</v>
      </c>
      <c r="E1840" s="1" t="s">
        <v>236</v>
      </c>
      <c r="F1840" s="1" t="s">
        <v>69</v>
      </c>
      <c r="G1840" s="1" t="s">
        <v>31</v>
      </c>
      <c r="H1840" s="1" t="s">
        <v>32</v>
      </c>
      <c r="I1840" s="1">
        <v>66.349999999999994</v>
      </c>
      <c r="J1840" s="1">
        <v>9</v>
      </c>
      <c r="K1840" s="1">
        <v>597.15</v>
      </c>
      <c r="L1840" s="1">
        <v>5</v>
      </c>
      <c r="M1840" s="1">
        <v>29.86</v>
      </c>
      <c r="N1840" s="1">
        <v>567.29</v>
      </c>
      <c r="O1840" s="1" t="s">
        <v>64</v>
      </c>
      <c r="P1840" s="1" t="s">
        <v>2813</v>
      </c>
      <c r="Q1840" s="1">
        <v>1</v>
      </c>
      <c r="R1840" s="1">
        <f>Retail_Sales_Analyis[[#This Row],[Final_Price]]-Retail_Sales_Analyis[[#This Row],[Total_Price]]</f>
        <v>-29.860000000000014</v>
      </c>
      <c r="S184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41" spans="1:19" x14ac:dyDescent="0.25">
      <c r="A1841" s="1" t="s">
        <v>2814</v>
      </c>
      <c r="B1841" s="2">
        <v>45623</v>
      </c>
      <c r="C1841" s="1" t="s">
        <v>18</v>
      </c>
      <c r="D1841" s="1" t="s">
        <v>55</v>
      </c>
      <c r="E1841" s="1" t="s">
        <v>312</v>
      </c>
      <c r="F1841" s="1" t="s">
        <v>69</v>
      </c>
      <c r="G1841" s="1" t="s">
        <v>31</v>
      </c>
      <c r="H1841" s="1" t="s">
        <v>250</v>
      </c>
      <c r="I1841" s="1">
        <v>85.96</v>
      </c>
      <c r="J1841" s="1">
        <v>10</v>
      </c>
      <c r="K1841" s="1">
        <v>859.6</v>
      </c>
      <c r="L1841" s="1">
        <v>20</v>
      </c>
      <c r="M1841" s="1">
        <v>171.92</v>
      </c>
      <c r="N1841" s="1">
        <v>687.68</v>
      </c>
      <c r="O1841" s="1" t="s">
        <v>64</v>
      </c>
      <c r="P1841" s="1" t="s">
        <v>2815</v>
      </c>
      <c r="Q1841" s="1">
        <v>2</v>
      </c>
      <c r="R1841" s="1">
        <f>Retail_Sales_Analyis[[#This Row],[Final_Price]]-Retail_Sales_Analyis[[#This Row],[Total_Price]]</f>
        <v>-171.92000000000007</v>
      </c>
      <c r="S18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42" spans="1:19" x14ac:dyDescent="0.25">
      <c r="A1842" s="1" t="s">
        <v>2816</v>
      </c>
      <c r="B1842" s="2">
        <v>45463</v>
      </c>
      <c r="C1842" s="1" t="s">
        <v>173</v>
      </c>
      <c r="D1842" s="1" t="s">
        <v>67</v>
      </c>
      <c r="E1842" s="1" t="s">
        <v>83</v>
      </c>
      <c r="F1842" s="1" t="s">
        <v>84</v>
      </c>
      <c r="G1842" s="1" t="s">
        <v>112</v>
      </c>
      <c r="H1842" s="1" t="s">
        <v>288</v>
      </c>
      <c r="I1842" s="1">
        <v>1938.72</v>
      </c>
      <c r="J1842" s="1">
        <v>10</v>
      </c>
      <c r="K1842" s="1">
        <v>19387.2</v>
      </c>
      <c r="L1842" s="1">
        <v>10</v>
      </c>
      <c r="M1842" s="1">
        <v>1938.72</v>
      </c>
      <c r="N1842" s="1">
        <v>17448.48</v>
      </c>
      <c r="O1842" s="1" t="s">
        <v>80</v>
      </c>
      <c r="P1842" s="1" t="s">
        <v>2817</v>
      </c>
      <c r="Q1842" s="1">
        <v>5</v>
      </c>
      <c r="R1842" s="1">
        <f>Retail_Sales_Analyis[[#This Row],[Final_Price]]-Retail_Sales_Analyis[[#This Row],[Total_Price]]</f>
        <v>-1938.7200000000012</v>
      </c>
      <c r="S18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43" spans="1:19" x14ac:dyDescent="0.25">
      <c r="A1843" s="1" t="s">
        <v>2818</v>
      </c>
      <c r="B1843" s="2">
        <v>45325</v>
      </c>
      <c r="C1843" s="1" t="s">
        <v>27</v>
      </c>
      <c r="D1843" s="1" t="s">
        <v>19</v>
      </c>
      <c r="E1843" s="1" t="s">
        <v>186</v>
      </c>
      <c r="F1843" s="1" t="s">
        <v>37</v>
      </c>
      <c r="G1843" s="1" t="s">
        <v>78</v>
      </c>
      <c r="H1843" s="1" t="s">
        <v>146</v>
      </c>
      <c r="I1843" s="1">
        <v>528.29999999999995</v>
      </c>
      <c r="J1843" s="1">
        <v>4</v>
      </c>
      <c r="K1843" s="1">
        <v>2113.1999999999998</v>
      </c>
      <c r="L1843" s="1">
        <v>15</v>
      </c>
      <c r="M1843" s="1">
        <v>316.98</v>
      </c>
      <c r="N1843" s="1">
        <v>1796.22</v>
      </c>
      <c r="O1843" s="1" t="s">
        <v>80</v>
      </c>
      <c r="P1843" s="1" t="s">
        <v>2268</v>
      </c>
      <c r="Q1843" s="1">
        <v>3</v>
      </c>
      <c r="R1843" s="1">
        <f>Retail_Sales_Analyis[[#This Row],[Final_Price]]-Retail_Sales_Analyis[[#This Row],[Total_Price]]</f>
        <v>-316.97999999999979</v>
      </c>
      <c r="S18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44" spans="1:19" x14ac:dyDescent="0.25">
      <c r="A1844" s="1" t="s">
        <v>2819</v>
      </c>
      <c r="B1844" s="2">
        <v>45460</v>
      </c>
      <c r="C1844" s="1" t="s">
        <v>173</v>
      </c>
      <c r="D1844" s="1" t="s">
        <v>43</v>
      </c>
      <c r="E1844" s="1" t="s">
        <v>328</v>
      </c>
      <c r="F1844" s="1" t="s">
        <v>30</v>
      </c>
      <c r="G1844" s="1" t="s">
        <v>169</v>
      </c>
      <c r="H1844" s="1" t="s">
        <v>348</v>
      </c>
      <c r="I1844" s="1">
        <v>694.58</v>
      </c>
      <c r="J1844" s="1">
        <v>4</v>
      </c>
      <c r="K1844" s="1">
        <v>2778.32</v>
      </c>
      <c r="L1844" s="1">
        <v>0</v>
      </c>
      <c r="M1844" s="1">
        <v>0</v>
      </c>
      <c r="N1844" s="1">
        <v>2778.32</v>
      </c>
      <c r="O1844" s="1" t="s">
        <v>80</v>
      </c>
      <c r="P1844" s="1" t="s">
        <v>2389</v>
      </c>
      <c r="Q1844" s="1">
        <v>5</v>
      </c>
      <c r="R1844" s="1">
        <f>Retail_Sales_Analyis[[#This Row],[Final_Price]]-Retail_Sales_Analyis[[#This Row],[Total_Price]]</f>
        <v>0</v>
      </c>
      <c r="S18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45" spans="1:19" x14ac:dyDescent="0.25">
      <c r="A1845" s="1" t="s">
        <v>2820</v>
      </c>
      <c r="B1845" s="2">
        <v>45340</v>
      </c>
      <c r="C1845" s="1" t="s">
        <v>27</v>
      </c>
      <c r="D1845" s="1" t="s">
        <v>49</v>
      </c>
      <c r="E1845" s="1" t="s">
        <v>411</v>
      </c>
      <c r="F1845" s="1" t="s">
        <v>37</v>
      </c>
      <c r="G1845" s="1" t="s">
        <v>57</v>
      </c>
      <c r="H1845" s="1" t="s">
        <v>152</v>
      </c>
      <c r="I1845" s="1">
        <v>605.25</v>
      </c>
      <c r="J1845" s="1">
        <v>3</v>
      </c>
      <c r="K1845" s="1">
        <v>1815.75</v>
      </c>
      <c r="L1845" s="1">
        <v>0</v>
      </c>
      <c r="M1845" s="1">
        <v>0</v>
      </c>
      <c r="N1845" s="1">
        <v>1815.75</v>
      </c>
      <c r="O1845" s="1" t="s">
        <v>80</v>
      </c>
      <c r="P1845" s="1" t="s">
        <v>2821</v>
      </c>
      <c r="Q1845" s="1">
        <v>1</v>
      </c>
      <c r="R1845" s="1">
        <f>Retail_Sales_Analyis[[#This Row],[Final_Price]]-Retail_Sales_Analyis[[#This Row],[Total_Price]]</f>
        <v>0</v>
      </c>
      <c r="S18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46" spans="1:19" x14ac:dyDescent="0.25">
      <c r="A1846" s="1" t="s">
        <v>2822</v>
      </c>
      <c r="B1846" s="2">
        <v>45577</v>
      </c>
      <c r="C1846" s="1" t="s">
        <v>76</v>
      </c>
      <c r="D1846" s="1" t="s">
        <v>19</v>
      </c>
      <c r="E1846" s="1" t="s">
        <v>94</v>
      </c>
      <c r="F1846" s="1" t="s">
        <v>69</v>
      </c>
      <c r="G1846" s="1" t="s">
        <v>78</v>
      </c>
      <c r="H1846" s="1" t="s">
        <v>136</v>
      </c>
      <c r="I1846" s="1">
        <v>513.4</v>
      </c>
      <c r="J1846" s="1">
        <v>5</v>
      </c>
      <c r="K1846" s="1">
        <v>2567</v>
      </c>
      <c r="L1846" s="1">
        <v>0</v>
      </c>
      <c r="M1846" s="1">
        <v>0</v>
      </c>
      <c r="N1846" s="1">
        <v>2567</v>
      </c>
      <c r="O1846" s="1" t="s">
        <v>80</v>
      </c>
      <c r="P1846" s="1" t="s">
        <v>2823</v>
      </c>
      <c r="Q1846" s="1">
        <v>4</v>
      </c>
      <c r="R1846" s="1">
        <f>Retail_Sales_Analyis[[#This Row],[Final_Price]]-Retail_Sales_Analyis[[#This Row],[Total_Price]]</f>
        <v>0</v>
      </c>
      <c r="S18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47" spans="1:19" x14ac:dyDescent="0.25">
      <c r="A1847" s="1" t="s">
        <v>2824</v>
      </c>
      <c r="B1847" s="2">
        <v>45639</v>
      </c>
      <c r="C1847" s="1" t="s">
        <v>73</v>
      </c>
      <c r="D1847" s="1" t="s">
        <v>144</v>
      </c>
      <c r="E1847" s="1" t="s">
        <v>351</v>
      </c>
      <c r="F1847" s="1" t="s">
        <v>84</v>
      </c>
      <c r="G1847" s="1" t="s">
        <v>112</v>
      </c>
      <c r="H1847" s="1" t="s">
        <v>223</v>
      </c>
      <c r="I1847" s="1">
        <v>710.42</v>
      </c>
      <c r="J1847" s="1">
        <v>9</v>
      </c>
      <c r="K1847" s="1">
        <v>6393.78</v>
      </c>
      <c r="L1847" s="1">
        <v>5</v>
      </c>
      <c r="M1847" s="1">
        <v>319.69</v>
      </c>
      <c r="N1847" s="1">
        <v>6074.09</v>
      </c>
      <c r="O1847" s="1" t="s">
        <v>33</v>
      </c>
      <c r="P1847" s="1" t="s">
        <v>697</v>
      </c>
      <c r="Q1847" s="1">
        <v>3</v>
      </c>
      <c r="R1847" s="1">
        <f>Retail_Sales_Analyis[[#This Row],[Final_Price]]-Retail_Sales_Analyis[[#This Row],[Total_Price]]</f>
        <v>-319.6899999999996</v>
      </c>
      <c r="S18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48" spans="1:19" x14ac:dyDescent="0.25">
      <c r="A1848" s="1" t="s">
        <v>2825</v>
      </c>
      <c r="B1848" s="2">
        <v>45489</v>
      </c>
      <c r="C1848" s="1" t="s">
        <v>195</v>
      </c>
      <c r="D1848" s="1" t="s">
        <v>28</v>
      </c>
      <c r="E1848" s="1" t="s">
        <v>351</v>
      </c>
      <c r="F1848" s="1" t="s">
        <v>37</v>
      </c>
      <c r="G1848" s="1" t="s">
        <v>22</v>
      </c>
      <c r="H1848" s="1" t="s">
        <v>51</v>
      </c>
      <c r="I1848" s="1">
        <v>520.73</v>
      </c>
      <c r="J1848" s="1">
        <v>10</v>
      </c>
      <c r="K1848" s="1">
        <v>5207.3</v>
      </c>
      <c r="L1848" s="1">
        <v>5</v>
      </c>
      <c r="M1848" s="1">
        <v>260.37</v>
      </c>
      <c r="N1848" s="1">
        <v>4946.93</v>
      </c>
      <c r="O1848" s="1" t="s">
        <v>80</v>
      </c>
      <c r="P1848" s="1" t="s">
        <v>732</v>
      </c>
      <c r="Q1848" s="1">
        <v>4</v>
      </c>
      <c r="R1848" s="1">
        <f>Retail_Sales_Analyis[[#This Row],[Final_Price]]-Retail_Sales_Analyis[[#This Row],[Total_Price]]</f>
        <v>-260.36999999999989</v>
      </c>
      <c r="S18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49" spans="1:19" x14ac:dyDescent="0.25">
      <c r="A1849" s="1" t="s">
        <v>2826</v>
      </c>
      <c r="B1849" s="2">
        <v>45437</v>
      </c>
      <c r="C1849" s="1" t="s">
        <v>42</v>
      </c>
      <c r="D1849" s="1" t="s">
        <v>19</v>
      </c>
      <c r="E1849" s="1" t="s">
        <v>62</v>
      </c>
      <c r="F1849" s="1" t="s">
        <v>37</v>
      </c>
      <c r="G1849" s="1" t="s">
        <v>57</v>
      </c>
      <c r="H1849" s="1" t="s">
        <v>58</v>
      </c>
      <c r="I1849" s="1">
        <v>2693.47</v>
      </c>
      <c r="J1849" s="1">
        <v>7</v>
      </c>
      <c r="K1849" s="1">
        <v>18854.29</v>
      </c>
      <c r="L1849" s="1">
        <v>15</v>
      </c>
      <c r="M1849" s="1">
        <v>2828.14</v>
      </c>
      <c r="N1849" s="1">
        <v>16026.15</v>
      </c>
      <c r="O1849" s="1" t="s">
        <v>24</v>
      </c>
      <c r="P1849" s="1" t="s">
        <v>940</v>
      </c>
      <c r="Q1849" s="1">
        <v>3</v>
      </c>
      <c r="R1849" s="1">
        <f>Retail_Sales_Analyis[[#This Row],[Final_Price]]-Retail_Sales_Analyis[[#This Row],[Total_Price]]</f>
        <v>-2828.1400000000012</v>
      </c>
      <c r="S18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50" spans="1:19" x14ac:dyDescent="0.25">
      <c r="A1850" s="1" t="s">
        <v>2827</v>
      </c>
      <c r="B1850" s="2">
        <v>45421</v>
      </c>
      <c r="C1850" s="1" t="s">
        <v>42</v>
      </c>
      <c r="D1850" s="1" t="s">
        <v>67</v>
      </c>
      <c r="E1850" s="1" t="s">
        <v>132</v>
      </c>
      <c r="F1850" s="1" t="s">
        <v>69</v>
      </c>
      <c r="G1850" s="1" t="s">
        <v>22</v>
      </c>
      <c r="H1850" s="1" t="s">
        <v>23</v>
      </c>
      <c r="I1850" s="1">
        <v>482.4</v>
      </c>
      <c r="J1850" s="1">
        <v>4</v>
      </c>
      <c r="K1850" s="1">
        <v>1929.6</v>
      </c>
      <c r="L1850" s="1">
        <v>5</v>
      </c>
      <c r="M1850" s="1">
        <v>96.48</v>
      </c>
      <c r="N1850" s="1">
        <v>1833.12</v>
      </c>
      <c r="O1850" s="1" t="s">
        <v>64</v>
      </c>
      <c r="P1850" s="1" t="s">
        <v>2828</v>
      </c>
      <c r="Q1850" s="1">
        <v>1</v>
      </c>
      <c r="R1850" s="1">
        <f>Retail_Sales_Analyis[[#This Row],[Final_Price]]-Retail_Sales_Analyis[[#This Row],[Total_Price]]</f>
        <v>-96.480000000000018</v>
      </c>
      <c r="S18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51" spans="1:19" x14ac:dyDescent="0.25">
      <c r="A1851" s="1" t="s">
        <v>2829</v>
      </c>
      <c r="B1851" s="2">
        <v>45628</v>
      </c>
      <c r="C1851" s="1" t="s">
        <v>73</v>
      </c>
      <c r="D1851" s="1" t="s">
        <v>43</v>
      </c>
      <c r="E1851" s="1" t="s">
        <v>322</v>
      </c>
      <c r="F1851" s="1" t="s">
        <v>84</v>
      </c>
      <c r="G1851" s="1" t="s">
        <v>38</v>
      </c>
      <c r="H1851" s="1" t="s">
        <v>70</v>
      </c>
      <c r="I1851" s="1">
        <v>398.64</v>
      </c>
      <c r="J1851" s="1">
        <v>3</v>
      </c>
      <c r="K1851" s="1">
        <v>1195.92</v>
      </c>
      <c r="L1851" s="1">
        <v>5</v>
      </c>
      <c r="M1851" s="1">
        <v>59.8</v>
      </c>
      <c r="N1851" s="1">
        <v>1136.1199999999999</v>
      </c>
      <c r="O1851" s="1" t="s">
        <v>33</v>
      </c>
      <c r="P1851" s="1" t="s">
        <v>2581</v>
      </c>
      <c r="Q1851" s="1">
        <v>1</v>
      </c>
      <c r="R1851" s="1">
        <f>Retail_Sales_Analyis[[#This Row],[Final_Price]]-Retail_Sales_Analyis[[#This Row],[Total_Price]]</f>
        <v>-59.800000000000182</v>
      </c>
      <c r="S18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52" spans="1:19" x14ac:dyDescent="0.25">
      <c r="A1852" s="1" t="s">
        <v>2830</v>
      </c>
      <c r="B1852" s="2">
        <v>45600</v>
      </c>
      <c r="C1852" s="1" t="s">
        <v>18</v>
      </c>
      <c r="D1852" s="1" t="s">
        <v>43</v>
      </c>
      <c r="E1852" s="1" t="s">
        <v>111</v>
      </c>
      <c r="F1852" s="1" t="s">
        <v>30</v>
      </c>
      <c r="G1852" s="1" t="s">
        <v>78</v>
      </c>
      <c r="H1852" s="1" t="s">
        <v>146</v>
      </c>
      <c r="I1852" s="1">
        <v>406.19</v>
      </c>
      <c r="J1852" s="1">
        <v>7</v>
      </c>
      <c r="K1852" s="1">
        <v>2843.33</v>
      </c>
      <c r="L1852" s="1">
        <v>0</v>
      </c>
      <c r="M1852" s="1">
        <v>0</v>
      </c>
      <c r="N1852" s="1">
        <v>2843.33</v>
      </c>
      <c r="O1852" s="1" t="s">
        <v>46</v>
      </c>
      <c r="P1852" s="1" t="s">
        <v>641</v>
      </c>
      <c r="Q1852" s="1">
        <v>2</v>
      </c>
      <c r="R1852" s="1">
        <f>Retail_Sales_Analyis[[#This Row],[Final_Price]]-Retail_Sales_Analyis[[#This Row],[Total_Price]]</f>
        <v>0</v>
      </c>
      <c r="S18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53" spans="1:19" x14ac:dyDescent="0.25">
      <c r="A1853" s="1" t="s">
        <v>2831</v>
      </c>
      <c r="B1853" s="2">
        <v>45368</v>
      </c>
      <c r="C1853" s="1" t="s">
        <v>61</v>
      </c>
      <c r="D1853" s="1" t="s">
        <v>49</v>
      </c>
      <c r="E1853" s="1" t="s">
        <v>236</v>
      </c>
      <c r="F1853" s="1" t="s">
        <v>69</v>
      </c>
      <c r="G1853" s="1" t="s">
        <v>31</v>
      </c>
      <c r="H1853" s="1" t="s">
        <v>329</v>
      </c>
      <c r="I1853" s="1">
        <v>130.66</v>
      </c>
      <c r="J1853" s="1">
        <v>6</v>
      </c>
      <c r="K1853" s="1">
        <v>783.96</v>
      </c>
      <c r="L1853" s="1">
        <v>0</v>
      </c>
      <c r="M1853" s="1">
        <v>0</v>
      </c>
      <c r="N1853" s="1">
        <v>783.96</v>
      </c>
      <c r="O1853" s="1" t="s">
        <v>64</v>
      </c>
      <c r="P1853" s="1" t="s">
        <v>334</v>
      </c>
      <c r="Q1853" s="1">
        <v>5</v>
      </c>
      <c r="R1853" s="1">
        <f>Retail_Sales_Analyis[[#This Row],[Final_Price]]-Retail_Sales_Analyis[[#This Row],[Total_Price]]</f>
        <v>0</v>
      </c>
      <c r="S18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54" spans="1:19" x14ac:dyDescent="0.25">
      <c r="A1854" s="1" t="s">
        <v>2832</v>
      </c>
      <c r="B1854" s="2">
        <v>45462</v>
      </c>
      <c r="C1854" s="1" t="s">
        <v>173</v>
      </c>
      <c r="D1854" s="1" t="s">
        <v>55</v>
      </c>
      <c r="E1854" s="1" t="s">
        <v>94</v>
      </c>
      <c r="F1854" s="1" t="s">
        <v>84</v>
      </c>
      <c r="G1854" s="1" t="s">
        <v>57</v>
      </c>
      <c r="H1854" s="1" t="s">
        <v>58</v>
      </c>
      <c r="I1854" s="1">
        <v>1039.19</v>
      </c>
      <c r="J1854" s="1">
        <v>2</v>
      </c>
      <c r="K1854" s="1">
        <v>2078.38</v>
      </c>
      <c r="L1854" s="1">
        <v>20</v>
      </c>
      <c r="M1854" s="1">
        <v>415.68</v>
      </c>
      <c r="N1854" s="1">
        <v>1662.7</v>
      </c>
      <c r="O1854" s="1" t="s">
        <v>46</v>
      </c>
      <c r="P1854" s="1" t="s">
        <v>2258</v>
      </c>
      <c r="Q1854" s="1">
        <v>5</v>
      </c>
      <c r="R1854" s="1">
        <f>Retail_Sales_Analyis[[#This Row],[Final_Price]]-Retail_Sales_Analyis[[#This Row],[Total_Price]]</f>
        <v>-415.68000000000006</v>
      </c>
      <c r="S18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55" spans="1:19" x14ac:dyDescent="0.25">
      <c r="A1855" s="1" t="s">
        <v>2833</v>
      </c>
      <c r="B1855" s="2">
        <v>45333</v>
      </c>
      <c r="C1855" s="1" t="s">
        <v>27</v>
      </c>
      <c r="D1855" s="1" t="s">
        <v>49</v>
      </c>
      <c r="E1855" s="1" t="s">
        <v>351</v>
      </c>
      <c r="F1855" s="1" t="s">
        <v>30</v>
      </c>
      <c r="G1855" s="1" t="s">
        <v>78</v>
      </c>
      <c r="H1855" s="1" t="s">
        <v>126</v>
      </c>
      <c r="I1855" s="1">
        <v>327.06</v>
      </c>
      <c r="J1855" s="1">
        <v>5</v>
      </c>
      <c r="K1855" s="1">
        <v>1635.3</v>
      </c>
      <c r="L1855" s="1">
        <v>5</v>
      </c>
      <c r="M1855" s="1">
        <v>81.77</v>
      </c>
      <c r="N1855" s="1">
        <v>1553.53</v>
      </c>
      <c r="O1855" s="1" t="s">
        <v>33</v>
      </c>
      <c r="P1855" s="1" t="s">
        <v>2584</v>
      </c>
      <c r="Q1855" s="1">
        <v>2</v>
      </c>
      <c r="R1855" s="1">
        <f>Retail_Sales_Analyis[[#This Row],[Final_Price]]-Retail_Sales_Analyis[[#This Row],[Total_Price]]</f>
        <v>-81.769999999999982</v>
      </c>
      <c r="S18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56" spans="1:19" x14ac:dyDescent="0.25">
      <c r="A1856" s="1" t="s">
        <v>2834</v>
      </c>
      <c r="B1856" s="2">
        <v>45590</v>
      </c>
      <c r="C1856" s="1" t="s">
        <v>76</v>
      </c>
      <c r="D1856" s="1" t="s">
        <v>144</v>
      </c>
      <c r="E1856" s="1" t="s">
        <v>351</v>
      </c>
      <c r="F1856" s="1" t="s">
        <v>84</v>
      </c>
      <c r="G1856" s="1" t="s">
        <v>38</v>
      </c>
      <c r="H1856" s="1" t="s">
        <v>422</v>
      </c>
      <c r="I1856" s="1">
        <v>621.73</v>
      </c>
      <c r="J1856" s="1">
        <v>5</v>
      </c>
      <c r="K1856" s="1">
        <v>3108.65</v>
      </c>
      <c r="L1856" s="1">
        <v>15</v>
      </c>
      <c r="M1856" s="1">
        <v>466.3</v>
      </c>
      <c r="N1856" s="1">
        <v>2642.35</v>
      </c>
      <c r="O1856" s="1" t="s">
        <v>46</v>
      </c>
      <c r="P1856" s="1" t="s">
        <v>623</v>
      </c>
      <c r="Q1856" s="1">
        <v>1</v>
      </c>
      <c r="R1856" s="1">
        <f>Retail_Sales_Analyis[[#This Row],[Final_Price]]-Retail_Sales_Analyis[[#This Row],[Total_Price]]</f>
        <v>-466.30000000000018</v>
      </c>
      <c r="S18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57" spans="1:19" x14ac:dyDescent="0.25">
      <c r="A1857" s="1" t="s">
        <v>2835</v>
      </c>
      <c r="B1857" s="2">
        <v>45631</v>
      </c>
      <c r="C1857" s="1" t="s">
        <v>73</v>
      </c>
      <c r="D1857" s="1" t="s">
        <v>67</v>
      </c>
      <c r="E1857" s="1" t="s">
        <v>97</v>
      </c>
      <c r="F1857" s="1" t="s">
        <v>30</v>
      </c>
      <c r="G1857" s="1" t="s">
        <v>22</v>
      </c>
      <c r="H1857" s="1" t="s">
        <v>187</v>
      </c>
      <c r="I1857" s="1">
        <v>942.4</v>
      </c>
      <c r="J1857" s="1">
        <v>10</v>
      </c>
      <c r="K1857" s="1">
        <v>9424</v>
      </c>
      <c r="L1857" s="1">
        <v>0</v>
      </c>
      <c r="M1857" s="1">
        <v>0</v>
      </c>
      <c r="N1857" s="1">
        <v>9424</v>
      </c>
      <c r="O1857" s="1" t="s">
        <v>80</v>
      </c>
      <c r="P1857" s="1" t="s">
        <v>275</v>
      </c>
      <c r="Q1857" s="1">
        <v>2</v>
      </c>
      <c r="R1857" s="1">
        <f>Retail_Sales_Analyis[[#This Row],[Final_Price]]-Retail_Sales_Analyis[[#This Row],[Total_Price]]</f>
        <v>0</v>
      </c>
      <c r="S18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58" spans="1:19" x14ac:dyDescent="0.25">
      <c r="A1858" s="1" t="s">
        <v>2836</v>
      </c>
      <c r="B1858" s="2">
        <v>45364</v>
      </c>
      <c r="C1858" s="1" t="s">
        <v>61</v>
      </c>
      <c r="D1858" s="1" t="s">
        <v>55</v>
      </c>
      <c r="E1858" s="1" t="s">
        <v>139</v>
      </c>
      <c r="F1858" s="1" t="s">
        <v>84</v>
      </c>
      <c r="G1858" s="1" t="s">
        <v>31</v>
      </c>
      <c r="H1858" s="1" t="s">
        <v>63</v>
      </c>
      <c r="I1858" s="1">
        <v>151.88999999999999</v>
      </c>
      <c r="J1858" s="1">
        <v>5</v>
      </c>
      <c r="K1858" s="1">
        <v>759.45</v>
      </c>
      <c r="L1858" s="1">
        <v>5</v>
      </c>
      <c r="M1858" s="1">
        <v>37.97</v>
      </c>
      <c r="N1858" s="1">
        <v>721.48</v>
      </c>
      <c r="O1858" s="1" t="s">
        <v>46</v>
      </c>
      <c r="P1858" s="1" t="s">
        <v>2425</v>
      </c>
      <c r="Q1858" s="1">
        <v>1</v>
      </c>
      <c r="R1858" s="1">
        <f>Retail_Sales_Analyis[[#This Row],[Final_Price]]-Retail_Sales_Analyis[[#This Row],[Total_Price]]</f>
        <v>-37.970000000000027</v>
      </c>
      <c r="S18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59" spans="1:19" x14ac:dyDescent="0.25">
      <c r="A1859" s="1" t="s">
        <v>2837</v>
      </c>
      <c r="B1859" s="2">
        <v>45471</v>
      </c>
      <c r="C1859" s="1" t="s">
        <v>173</v>
      </c>
      <c r="D1859" s="1" t="s">
        <v>144</v>
      </c>
      <c r="E1859" s="1" t="s">
        <v>89</v>
      </c>
      <c r="F1859" s="1" t="s">
        <v>69</v>
      </c>
      <c r="G1859" s="1" t="s">
        <v>85</v>
      </c>
      <c r="H1859" s="1" t="s">
        <v>98</v>
      </c>
      <c r="I1859" s="1">
        <v>1190.98</v>
      </c>
      <c r="J1859" s="1">
        <v>6</v>
      </c>
      <c r="K1859" s="1">
        <v>7145.88</v>
      </c>
      <c r="L1859" s="1">
        <v>10</v>
      </c>
      <c r="M1859" s="1">
        <v>714.59</v>
      </c>
      <c r="N1859" s="1">
        <v>6431.29</v>
      </c>
      <c r="O1859" s="1" t="s">
        <v>33</v>
      </c>
      <c r="P1859" s="1" t="s">
        <v>2838</v>
      </c>
      <c r="Q1859" s="1">
        <v>2</v>
      </c>
      <c r="R1859" s="1">
        <f>Retail_Sales_Analyis[[#This Row],[Final_Price]]-Retail_Sales_Analyis[[#This Row],[Total_Price]]</f>
        <v>-714.59000000000015</v>
      </c>
      <c r="S18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60" spans="1:19" x14ac:dyDescent="0.25">
      <c r="A1860" s="1" t="s">
        <v>2839</v>
      </c>
      <c r="B1860" s="2">
        <v>45450</v>
      </c>
      <c r="C1860" s="1" t="s">
        <v>173</v>
      </c>
      <c r="D1860" s="1" t="s">
        <v>144</v>
      </c>
      <c r="E1860" s="1" t="s">
        <v>199</v>
      </c>
      <c r="F1860" s="1" t="s">
        <v>37</v>
      </c>
      <c r="G1860" s="1" t="s">
        <v>57</v>
      </c>
      <c r="H1860" s="1" t="s">
        <v>122</v>
      </c>
      <c r="I1860" s="1">
        <v>2073.2199999999998</v>
      </c>
      <c r="J1860" s="1">
        <v>9</v>
      </c>
      <c r="K1860" s="1">
        <v>18658.98</v>
      </c>
      <c r="L1860" s="1">
        <v>15</v>
      </c>
      <c r="M1860" s="1">
        <v>2798.85</v>
      </c>
      <c r="N1860" s="1">
        <v>15860.13</v>
      </c>
      <c r="O1860" s="1" t="s">
        <v>80</v>
      </c>
      <c r="P1860" s="1" t="s">
        <v>1830</v>
      </c>
      <c r="Q1860" s="1">
        <v>5</v>
      </c>
      <c r="R1860" s="1">
        <f>Retail_Sales_Analyis[[#This Row],[Final_Price]]-Retail_Sales_Analyis[[#This Row],[Total_Price]]</f>
        <v>-2798.8500000000004</v>
      </c>
      <c r="S18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61" spans="1:19" x14ac:dyDescent="0.25">
      <c r="A1861" s="1" t="s">
        <v>2840</v>
      </c>
      <c r="B1861" s="2">
        <v>45627</v>
      </c>
      <c r="C1861" s="1" t="s">
        <v>73</v>
      </c>
      <c r="D1861" s="1" t="s">
        <v>49</v>
      </c>
      <c r="E1861" s="1" t="s">
        <v>168</v>
      </c>
      <c r="F1861" s="1" t="s">
        <v>21</v>
      </c>
      <c r="G1861" s="1" t="s">
        <v>85</v>
      </c>
      <c r="H1861" s="1" t="s">
        <v>297</v>
      </c>
      <c r="I1861" s="1">
        <v>4869.3500000000004</v>
      </c>
      <c r="J1861" s="1">
        <v>10</v>
      </c>
      <c r="K1861" s="1">
        <v>48693.5</v>
      </c>
      <c r="L1861" s="1">
        <v>5</v>
      </c>
      <c r="M1861" s="1">
        <v>2434.6799999999998</v>
      </c>
      <c r="N1861" s="1">
        <v>46258.82</v>
      </c>
      <c r="O1861" s="1" t="s">
        <v>64</v>
      </c>
      <c r="P1861" s="1" t="s">
        <v>2721</v>
      </c>
      <c r="Q1861" s="1">
        <v>1</v>
      </c>
      <c r="R1861" s="1">
        <f>Retail_Sales_Analyis[[#This Row],[Final_Price]]-Retail_Sales_Analyis[[#This Row],[Total_Price]]</f>
        <v>-2434.6800000000003</v>
      </c>
      <c r="S18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62" spans="1:19" x14ac:dyDescent="0.25">
      <c r="A1862" s="1" t="s">
        <v>2841</v>
      </c>
      <c r="B1862" s="2">
        <v>45649</v>
      </c>
      <c r="C1862" s="1" t="s">
        <v>73</v>
      </c>
      <c r="D1862" s="1" t="s">
        <v>43</v>
      </c>
      <c r="E1862" s="1" t="s">
        <v>186</v>
      </c>
      <c r="F1862" s="1" t="s">
        <v>30</v>
      </c>
      <c r="G1862" s="1" t="s">
        <v>31</v>
      </c>
      <c r="H1862" s="1" t="s">
        <v>329</v>
      </c>
      <c r="I1862" s="1">
        <v>265.52</v>
      </c>
      <c r="J1862" s="1">
        <v>5</v>
      </c>
      <c r="K1862" s="1">
        <v>1327.6</v>
      </c>
      <c r="L1862" s="1">
        <v>20</v>
      </c>
      <c r="M1862" s="1">
        <v>265.52</v>
      </c>
      <c r="N1862" s="1">
        <v>1062.08</v>
      </c>
      <c r="O1862" s="1" t="s">
        <v>80</v>
      </c>
      <c r="P1862" s="1" t="s">
        <v>1766</v>
      </c>
      <c r="Q1862" s="1">
        <v>3</v>
      </c>
      <c r="R1862" s="1">
        <f>Retail_Sales_Analyis[[#This Row],[Final_Price]]-Retail_Sales_Analyis[[#This Row],[Total_Price]]</f>
        <v>-265.52</v>
      </c>
      <c r="S18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63" spans="1:19" x14ac:dyDescent="0.25">
      <c r="A1863" s="1" t="s">
        <v>2842</v>
      </c>
      <c r="B1863" s="2">
        <v>45631</v>
      </c>
      <c r="C1863" s="1" t="s">
        <v>73</v>
      </c>
      <c r="D1863" s="1" t="s">
        <v>67</v>
      </c>
      <c r="E1863" s="1" t="s">
        <v>29</v>
      </c>
      <c r="F1863" s="1" t="s">
        <v>37</v>
      </c>
      <c r="G1863" s="1" t="s">
        <v>22</v>
      </c>
      <c r="H1863" s="1" t="s">
        <v>277</v>
      </c>
      <c r="I1863" s="1">
        <v>469.34</v>
      </c>
      <c r="J1863" s="1">
        <v>10</v>
      </c>
      <c r="K1863" s="1">
        <v>4693.3999999999996</v>
      </c>
      <c r="L1863" s="1">
        <v>0</v>
      </c>
      <c r="M1863" s="1">
        <v>0</v>
      </c>
      <c r="N1863" s="1">
        <v>4693.3999999999996</v>
      </c>
      <c r="O1863" s="1" t="s">
        <v>64</v>
      </c>
      <c r="P1863" s="1" t="s">
        <v>745</v>
      </c>
      <c r="Q1863" s="1">
        <v>1</v>
      </c>
      <c r="R1863" s="1">
        <f>Retail_Sales_Analyis[[#This Row],[Final_Price]]-Retail_Sales_Analyis[[#This Row],[Total_Price]]</f>
        <v>0</v>
      </c>
      <c r="S18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64" spans="1:19" x14ac:dyDescent="0.25">
      <c r="A1864" s="1" t="s">
        <v>2843</v>
      </c>
      <c r="B1864" s="2">
        <v>45492</v>
      </c>
      <c r="C1864" s="1" t="s">
        <v>195</v>
      </c>
      <c r="D1864" s="1" t="s">
        <v>144</v>
      </c>
      <c r="E1864" s="1" t="s">
        <v>204</v>
      </c>
      <c r="F1864" s="1" t="s">
        <v>84</v>
      </c>
      <c r="G1864" s="1" t="s">
        <v>38</v>
      </c>
      <c r="H1864" s="1" t="s">
        <v>422</v>
      </c>
      <c r="I1864" s="1">
        <v>496.68</v>
      </c>
      <c r="J1864" s="1">
        <v>5</v>
      </c>
      <c r="K1864" s="1">
        <v>2483.4</v>
      </c>
      <c r="L1864" s="1">
        <v>5</v>
      </c>
      <c r="M1864" s="1">
        <v>124.17</v>
      </c>
      <c r="N1864" s="1">
        <v>2359.23</v>
      </c>
      <c r="O1864" s="1" t="s">
        <v>24</v>
      </c>
      <c r="P1864" s="1" t="s">
        <v>2844</v>
      </c>
      <c r="Q1864" s="1">
        <v>2</v>
      </c>
      <c r="R1864" s="1">
        <f>Retail_Sales_Analyis[[#This Row],[Final_Price]]-Retail_Sales_Analyis[[#This Row],[Total_Price]]</f>
        <v>-124.17000000000007</v>
      </c>
      <c r="S18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65" spans="1:19" x14ac:dyDescent="0.25">
      <c r="A1865" s="1" t="s">
        <v>2845</v>
      </c>
      <c r="B1865" s="2">
        <v>45358</v>
      </c>
      <c r="C1865" s="1" t="s">
        <v>61</v>
      </c>
      <c r="D1865" s="1" t="s">
        <v>67</v>
      </c>
      <c r="E1865" s="1" t="s">
        <v>145</v>
      </c>
      <c r="F1865" s="1" t="s">
        <v>69</v>
      </c>
      <c r="G1865" s="1" t="s">
        <v>112</v>
      </c>
      <c r="H1865" s="1" t="s">
        <v>223</v>
      </c>
      <c r="I1865" s="1">
        <v>712.15</v>
      </c>
      <c r="J1865" s="1">
        <v>6</v>
      </c>
      <c r="K1865" s="1">
        <v>4272.8999999999996</v>
      </c>
      <c r="L1865" s="1">
        <v>0</v>
      </c>
      <c r="M1865" s="1">
        <v>0</v>
      </c>
      <c r="N1865" s="1">
        <v>4272.8999999999996</v>
      </c>
      <c r="O1865" s="1" t="s">
        <v>64</v>
      </c>
      <c r="P1865" s="1" t="s">
        <v>1134</v>
      </c>
      <c r="Q1865" s="1">
        <v>1</v>
      </c>
      <c r="R1865" s="1">
        <f>Retail_Sales_Analyis[[#This Row],[Final_Price]]-Retail_Sales_Analyis[[#This Row],[Total_Price]]</f>
        <v>0</v>
      </c>
      <c r="S18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66" spans="1:19" x14ac:dyDescent="0.25">
      <c r="A1866" s="1" t="s">
        <v>2846</v>
      </c>
      <c r="B1866" s="2">
        <v>45596</v>
      </c>
      <c r="C1866" s="1" t="s">
        <v>76</v>
      </c>
      <c r="D1866" s="1" t="s">
        <v>67</v>
      </c>
      <c r="E1866" s="1" t="s">
        <v>132</v>
      </c>
      <c r="F1866" s="1" t="s">
        <v>30</v>
      </c>
      <c r="G1866" s="1" t="s">
        <v>22</v>
      </c>
      <c r="H1866" s="1" t="s">
        <v>277</v>
      </c>
      <c r="I1866" s="1">
        <v>623.01</v>
      </c>
      <c r="J1866" s="1">
        <v>10</v>
      </c>
      <c r="K1866" s="1">
        <v>6230.1</v>
      </c>
      <c r="L1866" s="1">
        <v>5</v>
      </c>
      <c r="M1866" s="1">
        <v>311.51</v>
      </c>
      <c r="N1866" s="1">
        <v>5918.59</v>
      </c>
      <c r="O1866" s="1" t="s">
        <v>64</v>
      </c>
      <c r="P1866" s="1" t="s">
        <v>498</v>
      </c>
      <c r="Q1866" s="1">
        <v>3</v>
      </c>
      <c r="R1866" s="1">
        <f>Retail_Sales_Analyis[[#This Row],[Final_Price]]-Retail_Sales_Analyis[[#This Row],[Total_Price]]</f>
        <v>-311.51000000000022</v>
      </c>
      <c r="S18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67" spans="1:19" x14ac:dyDescent="0.25">
      <c r="A1867" s="1" t="s">
        <v>2847</v>
      </c>
      <c r="B1867" s="2">
        <v>45654</v>
      </c>
      <c r="C1867" s="1" t="s">
        <v>73</v>
      </c>
      <c r="D1867" s="1" t="s">
        <v>19</v>
      </c>
      <c r="E1867" s="1" t="s">
        <v>50</v>
      </c>
      <c r="F1867" s="1" t="s">
        <v>21</v>
      </c>
      <c r="G1867" s="1" t="s">
        <v>31</v>
      </c>
      <c r="H1867" s="1" t="s">
        <v>329</v>
      </c>
      <c r="I1867" s="1">
        <v>299.92</v>
      </c>
      <c r="J1867" s="1">
        <v>7</v>
      </c>
      <c r="K1867" s="1">
        <v>2099.44</v>
      </c>
      <c r="L1867" s="1">
        <v>20</v>
      </c>
      <c r="M1867" s="1">
        <v>419.89</v>
      </c>
      <c r="N1867" s="1">
        <v>1679.55</v>
      </c>
      <c r="O1867" s="1" t="s">
        <v>24</v>
      </c>
      <c r="P1867" s="1" t="s">
        <v>1210</v>
      </c>
      <c r="Q1867" s="1">
        <v>5</v>
      </c>
      <c r="R1867" s="1">
        <f>Retail_Sales_Analyis[[#This Row],[Final_Price]]-Retail_Sales_Analyis[[#This Row],[Total_Price]]</f>
        <v>-419.8900000000001</v>
      </c>
      <c r="S18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68" spans="1:19" x14ac:dyDescent="0.25">
      <c r="A1868" s="1" t="s">
        <v>2848</v>
      </c>
      <c r="B1868" s="2">
        <v>45335</v>
      </c>
      <c r="C1868" s="1" t="s">
        <v>27</v>
      </c>
      <c r="D1868" s="1" t="s">
        <v>28</v>
      </c>
      <c r="E1868" s="1" t="s">
        <v>168</v>
      </c>
      <c r="F1868" s="1" t="s">
        <v>30</v>
      </c>
      <c r="G1868" s="1" t="s">
        <v>169</v>
      </c>
      <c r="H1868" s="1" t="s">
        <v>175</v>
      </c>
      <c r="I1868" s="1">
        <v>1146.98</v>
      </c>
      <c r="J1868" s="1">
        <v>9</v>
      </c>
      <c r="K1868" s="1">
        <v>10322.82</v>
      </c>
      <c r="L1868" s="1">
        <v>0</v>
      </c>
      <c r="M1868" s="1">
        <v>0</v>
      </c>
      <c r="N1868" s="1">
        <v>10322.82</v>
      </c>
      <c r="O1868" s="1" t="s">
        <v>64</v>
      </c>
      <c r="P1868" s="1" t="s">
        <v>1456</v>
      </c>
      <c r="Q1868" s="1">
        <v>3</v>
      </c>
      <c r="R1868" s="1">
        <f>Retail_Sales_Analyis[[#This Row],[Final_Price]]-Retail_Sales_Analyis[[#This Row],[Total_Price]]</f>
        <v>0</v>
      </c>
      <c r="S18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69" spans="1:19" x14ac:dyDescent="0.25">
      <c r="A1869" s="1" t="s">
        <v>2849</v>
      </c>
      <c r="B1869" s="2">
        <v>45450</v>
      </c>
      <c r="C1869" s="1" t="s">
        <v>173</v>
      </c>
      <c r="D1869" s="1" t="s">
        <v>144</v>
      </c>
      <c r="E1869" s="1" t="s">
        <v>111</v>
      </c>
      <c r="F1869" s="1" t="s">
        <v>21</v>
      </c>
      <c r="G1869" s="1" t="s">
        <v>22</v>
      </c>
      <c r="H1869" s="1" t="s">
        <v>23</v>
      </c>
      <c r="I1869" s="1">
        <v>267.70999999999998</v>
      </c>
      <c r="J1869" s="1">
        <v>4</v>
      </c>
      <c r="K1869" s="1">
        <v>1070.8399999999999</v>
      </c>
      <c r="L1869" s="1">
        <v>10</v>
      </c>
      <c r="M1869" s="1">
        <v>107.08</v>
      </c>
      <c r="N1869" s="1">
        <v>963.76</v>
      </c>
      <c r="O1869" s="1" t="s">
        <v>80</v>
      </c>
      <c r="P1869" s="1" t="s">
        <v>155</v>
      </c>
      <c r="Q1869" s="1">
        <v>3</v>
      </c>
      <c r="R1869" s="1">
        <f>Retail_Sales_Analyis[[#This Row],[Final_Price]]-Retail_Sales_Analyis[[#This Row],[Total_Price]]</f>
        <v>-107.07999999999993</v>
      </c>
      <c r="S18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70" spans="1:19" x14ac:dyDescent="0.25">
      <c r="A1870" s="1" t="s">
        <v>2850</v>
      </c>
      <c r="B1870" s="2">
        <v>45578</v>
      </c>
      <c r="C1870" s="1" t="s">
        <v>76</v>
      </c>
      <c r="D1870" s="1" t="s">
        <v>49</v>
      </c>
      <c r="E1870" s="1" t="s">
        <v>29</v>
      </c>
      <c r="F1870" s="1" t="s">
        <v>21</v>
      </c>
      <c r="G1870" s="1" t="s">
        <v>85</v>
      </c>
      <c r="H1870" s="1" t="s">
        <v>98</v>
      </c>
      <c r="I1870" s="1">
        <v>4315.25</v>
      </c>
      <c r="J1870" s="1">
        <v>3</v>
      </c>
      <c r="K1870" s="1">
        <v>12945.75</v>
      </c>
      <c r="L1870" s="1">
        <v>15</v>
      </c>
      <c r="M1870" s="1">
        <v>1941.86</v>
      </c>
      <c r="N1870" s="1">
        <v>11003.89</v>
      </c>
      <c r="O1870" s="1" t="s">
        <v>64</v>
      </c>
      <c r="P1870" s="1" t="s">
        <v>2076</v>
      </c>
      <c r="Q1870" s="1">
        <v>1</v>
      </c>
      <c r="R1870" s="1">
        <f>Retail_Sales_Analyis[[#This Row],[Final_Price]]-Retail_Sales_Analyis[[#This Row],[Total_Price]]</f>
        <v>-1941.8600000000006</v>
      </c>
      <c r="S18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71" spans="1:19" x14ac:dyDescent="0.25">
      <c r="A1871" s="1" t="s">
        <v>2851</v>
      </c>
      <c r="B1871" s="2">
        <v>45484</v>
      </c>
      <c r="C1871" s="1" t="s">
        <v>195</v>
      </c>
      <c r="D1871" s="1" t="s">
        <v>67</v>
      </c>
      <c r="E1871" s="1" t="s">
        <v>351</v>
      </c>
      <c r="F1871" s="1" t="s">
        <v>21</v>
      </c>
      <c r="G1871" s="1" t="s">
        <v>31</v>
      </c>
      <c r="H1871" s="1" t="s">
        <v>63</v>
      </c>
      <c r="I1871" s="1">
        <v>132.4</v>
      </c>
      <c r="J1871" s="1">
        <v>7</v>
      </c>
      <c r="K1871" s="1">
        <v>926.8</v>
      </c>
      <c r="L1871" s="1">
        <v>0</v>
      </c>
      <c r="M1871" s="1">
        <v>0</v>
      </c>
      <c r="N1871" s="1">
        <v>926.8</v>
      </c>
      <c r="O1871" s="1" t="s">
        <v>24</v>
      </c>
      <c r="P1871" s="1" t="s">
        <v>1474</v>
      </c>
      <c r="Q1871" s="1">
        <v>1</v>
      </c>
      <c r="R1871" s="1">
        <f>Retail_Sales_Analyis[[#This Row],[Final_Price]]-Retail_Sales_Analyis[[#This Row],[Total_Price]]</f>
        <v>0</v>
      </c>
      <c r="S18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72" spans="1:19" x14ac:dyDescent="0.25">
      <c r="A1872" s="1" t="s">
        <v>2852</v>
      </c>
      <c r="B1872" s="2">
        <v>45621</v>
      </c>
      <c r="C1872" s="1" t="s">
        <v>18</v>
      </c>
      <c r="D1872" s="1" t="s">
        <v>43</v>
      </c>
      <c r="E1872" s="1" t="s">
        <v>342</v>
      </c>
      <c r="F1872" s="1" t="s">
        <v>84</v>
      </c>
      <c r="G1872" s="1" t="s">
        <v>31</v>
      </c>
      <c r="H1872" s="1" t="s">
        <v>45</v>
      </c>
      <c r="I1872" s="1">
        <v>237.06</v>
      </c>
      <c r="J1872" s="1">
        <v>7</v>
      </c>
      <c r="K1872" s="1">
        <v>1659.42</v>
      </c>
      <c r="L1872" s="1">
        <v>20</v>
      </c>
      <c r="M1872" s="1">
        <v>331.88</v>
      </c>
      <c r="N1872" s="1">
        <v>1327.54</v>
      </c>
      <c r="O1872" s="1" t="s">
        <v>80</v>
      </c>
      <c r="P1872" s="1" t="s">
        <v>1111</v>
      </c>
      <c r="Q1872" s="1">
        <v>1</v>
      </c>
      <c r="R1872" s="1">
        <f>Retail_Sales_Analyis[[#This Row],[Final_Price]]-Retail_Sales_Analyis[[#This Row],[Total_Price]]</f>
        <v>-331.88000000000011</v>
      </c>
      <c r="S187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73" spans="1:19" x14ac:dyDescent="0.25">
      <c r="A1873" s="1" t="s">
        <v>2853</v>
      </c>
      <c r="B1873" s="2">
        <v>45460</v>
      </c>
      <c r="C1873" s="1" t="s">
        <v>173</v>
      </c>
      <c r="D1873" s="1" t="s">
        <v>43</v>
      </c>
      <c r="E1873" s="1" t="s">
        <v>107</v>
      </c>
      <c r="F1873" s="1" t="s">
        <v>37</v>
      </c>
      <c r="G1873" s="1" t="s">
        <v>78</v>
      </c>
      <c r="H1873" s="1" t="s">
        <v>146</v>
      </c>
      <c r="I1873" s="1">
        <v>406.09</v>
      </c>
      <c r="J1873" s="1">
        <v>5</v>
      </c>
      <c r="K1873" s="1">
        <v>2030.45</v>
      </c>
      <c r="L1873" s="1">
        <v>5</v>
      </c>
      <c r="M1873" s="1">
        <v>101.52</v>
      </c>
      <c r="N1873" s="1">
        <v>1928.93</v>
      </c>
      <c r="O1873" s="1" t="s">
        <v>80</v>
      </c>
      <c r="P1873" s="1" t="s">
        <v>1341</v>
      </c>
      <c r="Q1873" s="1">
        <v>1</v>
      </c>
      <c r="R1873" s="1">
        <f>Retail_Sales_Analyis[[#This Row],[Final_Price]]-Retail_Sales_Analyis[[#This Row],[Total_Price]]</f>
        <v>-101.51999999999998</v>
      </c>
      <c r="S18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74" spans="1:19" x14ac:dyDescent="0.25">
      <c r="A1874" s="1" t="s">
        <v>2854</v>
      </c>
      <c r="B1874" s="2">
        <v>45357</v>
      </c>
      <c r="C1874" s="1" t="s">
        <v>61</v>
      </c>
      <c r="D1874" s="1" t="s">
        <v>55</v>
      </c>
      <c r="E1874" s="1" t="s">
        <v>342</v>
      </c>
      <c r="F1874" s="1" t="s">
        <v>30</v>
      </c>
      <c r="G1874" s="1" t="s">
        <v>31</v>
      </c>
      <c r="H1874" s="1" t="s">
        <v>32</v>
      </c>
      <c r="I1874" s="1">
        <v>450.17</v>
      </c>
      <c r="J1874" s="1">
        <v>2</v>
      </c>
      <c r="K1874" s="1">
        <v>900.34</v>
      </c>
      <c r="L1874" s="1">
        <v>5</v>
      </c>
      <c r="M1874" s="1">
        <v>45.02</v>
      </c>
      <c r="N1874" s="1">
        <v>855.32</v>
      </c>
      <c r="O1874" s="1" t="s">
        <v>46</v>
      </c>
      <c r="P1874" s="1" t="s">
        <v>911</v>
      </c>
      <c r="Q1874" s="1">
        <v>2</v>
      </c>
      <c r="R1874" s="1">
        <f>Retail_Sales_Analyis[[#This Row],[Final_Price]]-Retail_Sales_Analyis[[#This Row],[Total_Price]]</f>
        <v>-45.019999999999982</v>
      </c>
      <c r="S18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75" spans="1:19" x14ac:dyDescent="0.25">
      <c r="A1875" s="1" t="s">
        <v>2855</v>
      </c>
      <c r="B1875" s="2">
        <v>45635</v>
      </c>
      <c r="C1875" s="1" t="s">
        <v>73</v>
      </c>
      <c r="D1875" s="1" t="s">
        <v>43</v>
      </c>
      <c r="E1875" s="1" t="s">
        <v>236</v>
      </c>
      <c r="F1875" s="1" t="s">
        <v>21</v>
      </c>
      <c r="G1875" s="1" t="s">
        <v>78</v>
      </c>
      <c r="H1875" s="1" t="s">
        <v>79</v>
      </c>
      <c r="I1875" s="1">
        <v>219.82</v>
      </c>
      <c r="J1875" s="1">
        <v>9</v>
      </c>
      <c r="K1875" s="1">
        <v>1978.38</v>
      </c>
      <c r="L1875" s="1">
        <v>20</v>
      </c>
      <c r="M1875" s="1">
        <v>395.68</v>
      </c>
      <c r="N1875" s="1">
        <v>1582.7</v>
      </c>
      <c r="O1875" s="1" t="s">
        <v>46</v>
      </c>
      <c r="P1875" s="1" t="s">
        <v>2856</v>
      </c>
      <c r="Q1875" s="1">
        <v>1</v>
      </c>
      <c r="R1875" s="1">
        <f>Retail_Sales_Analyis[[#This Row],[Final_Price]]-Retail_Sales_Analyis[[#This Row],[Total_Price]]</f>
        <v>-395.68000000000006</v>
      </c>
      <c r="S18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76" spans="1:19" x14ac:dyDescent="0.25">
      <c r="A1876" s="1" t="s">
        <v>2857</v>
      </c>
      <c r="B1876" s="2">
        <v>45651</v>
      </c>
      <c r="C1876" s="1" t="s">
        <v>73</v>
      </c>
      <c r="D1876" s="1" t="s">
        <v>55</v>
      </c>
      <c r="E1876" s="1" t="s">
        <v>186</v>
      </c>
      <c r="F1876" s="1" t="s">
        <v>21</v>
      </c>
      <c r="G1876" s="1" t="s">
        <v>38</v>
      </c>
      <c r="H1876" s="1" t="s">
        <v>108</v>
      </c>
      <c r="I1876" s="1">
        <v>373.59</v>
      </c>
      <c r="J1876" s="1">
        <v>3</v>
      </c>
      <c r="K1876" s="1">
        <v>1120.77</v>
      </c>
      <c r="L1876" s="1">
        <v>5</v>
      </c>
      <c r="M1876" s="1">
        <v>56.04</v>
      </c>
      <c r="N1876" s="1">
        <v>1064.73</v>
      </c>
      <c r="O1876" s="1" t="s">
        <v>46</v>
      </c>
      <c r="P1876" s="1" t="s">
        <v>2127</v>
      </c>
      <c r="Q1876" s="1">
        <v>2</v>
      </c>
      <c r="R1876" s="1">
        <f>Retail_Sales_Analyis[[#This Row],[Final_Price]]-Retail_Sales_Analyis[[#This Row],[Total_Price]]</f>
        <v>-56.039999999999964</v>
      </c>
      <c r="S18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77" spans="1:19" x14ac:dyDescent="0.25">
      <c r="A1877" s="1" t="s">
        <v>2858</v>
      </c>
      <c r="B1877" s="2">
        <v>45642</v>
      </c>
      <c r="C1877" s="1" t="s">
        <v>73</v>
      </c>
      <c r="D1877" s="1" t="s">
        <v>43</v>
      </c>
      <c r="E1877" s="1" t="s">
        <v>62</v>
      </c>
      <c r="F1877" s="1" t="s">
        <v>69</v>
      </c>
      <c r="G1877" s="1" t="s">
        <v>85</v>
      </c>
      <c r="H1877" s="1" t="s">
        <v>90</v>
      </c>
      <c r="I1877" s="1">
        <v>4172.83</v>
      </c>
      <c r="J1877" s="1">
        <v>1</v>
      </c>
      <c r="K1877" s="1">
        <v>4172.83</v>
      </c>
      <c r="L1877" s="1">
        <v>0</v>
      </c>
      <c r="M1877" s="1">
        <v>0</v>
      </c>
      <c r="N1877" s="1">
        <v>4172.83</v>
      </c>
      <c r="O1877" s="1" t="s">
        <v>24</v>
      </c>
      <c r="P1877" s="1" t="s">
        <v>2859</v>
      </c>
      <c r="Q1877" s="1">
        <v>2</v>
      </c>
      <c r="R1877" s="1">
        <f>Retail_Sales_Analyis[[#This Row],[Final_Price]]-Retail_Sales_Analyis[[#This Row],[Total_Price]]</f>
        <v>0</v>
      </c>
      <c r="S18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78" spans="1:19" x14ac:dyDescent="0.25">
      <c r="A1878" s="1" t="s">
        <v>2860</v>
      </c>
      <c r="B1878" s="2">
        <v>45561</v>
      </c>
      <c r="C1878" s="1" t="s">
        <v>116</v>
      </c>
      <c r="D1878" s="1" t="s">
        <v>67</v>
      </c>
      <c r="E1878" s="1" t="s">
        <v>186</v>
      </c>
      <c r="F1878" s="1" t="s">
        <v>30</v>
      </c>
      <c r="G1878" s="1" t="s">
        <v>169</v>
      </c>
      <c r="H1878" s="1" t="s">
        <v>366</v>
      </c>
      <c r="I1878" s="1">
        <v>545.29</v>
      </c>
      <c r="J1878" s="1">
        <v>1</v>
      </c>
      <c r="K1878" s="1">
        <v>545.29</v>
      </c>
      <c r="L1878" s="1">
        <v>0</v>
      </c>
      <c r="M1878" s="1">
        <v>0</v>
      </c>
      <c r="N1878" s="1">
        <v>545.29</v>
      </c>
      <c r="O1878" s="1" t="s">
        <v>24</v>
      </c>
      <c r="P1878" s="1" t="s">
        <v>255</v>
      </c>
      <c r="Q1878" s="1">
        <v>2</v>
      </c>
      <c r="R1878" s="1">
        <f>Retail_Sales_Analyis[[#This Row],[Final_Price]]-Retail_Sales_Analyis[[#This Row],[Total_Price]]</f>
        <v>0</v>
      </c>
      <c r="S18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79" spans="1:19" x14ac:dyDescent="0.25">
      <c r="A1879" s="1" t="s">
        <v>2861</v>
      </c>
      <c r="B1879" s="2">
        <v>45339</v>
      </c>
      <c r="C1879" s="1" t="s">
        <v>27</v>
      </c>
      <c r="D1879" s="1" t="s">
        <v>19</v>
      </c>
      <c r="E1879" s="1" t="s">
        <v>307</v>
      </c>
      <c r="F1879" s="1" t="s">
        <v>37</v>
      </c>
      <c r="G1879" s="1" t="s">
        <v>31</v>
      </c>
      <c r="H1879" s="1" t="s">
        <v>32</v>
      </c>
      <c r="I1879" s="1">
        <v>80.47</v>
      </c>
      <c r="J1879" s="1">
        <v>2</v>
      </c>
      <c r="K1879" s="1">
        <v>160.94</v>
      </c>
      <c r="L1879" s="1">
        <v>15</v>
      </c>
      <c r="M1879" s="1">
        <v>24.14</v>
      </c>
      <c r="N1879" s="1">
        <v>136.80000000000001</v>
      </c>
      <c r="O1879" s="1" t="s">
        <v>33</v>
      </c>
      <c r="P1879" s="1" t="s">
        <v>1659</v>
      </c>
      <c r="Q1879" s="1">
        <v>4</v>
      </c>
      <c r="R1879" s="1">
        <f>Retail_Sales_Analyis[[#This Row],[Final_Price]]-Retail_Sales_Analyis[[#This Row],[Total_Price]]</f>
        <v>-24.139999999999986</v>
      </c>
      <c r="S18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80" spans="1:19" x14ac:dyDescent="0.25">
      <c r="A1880" s="1" t="s">
        <v>2862</v>
      </c>
      <c r="B1880" s="2">
        <v>45622</v>
      </c>
      <c r="C1880" s="1" t="s">
        <v>18</v>
      </c>
      <c r="D1880" s="1" t="s">
        <v>28</v>
      </c>
      <c r="E1880" s="1" t="s">
        <v>29</v>
      </c>
      <c r="F1880" s="1" t="s">
        <v>37</v>
      </c>
      <c r="G1880" s="1" t="s">
        <v>22</v>
      </c>
      <c r="H1880" s="1" t="s">
        <v>23</v>
      </c>
      <c r="I1880" s="1">
        <v>820.72</v>
      </c>
      <c r="J1880" s="1">
        <v>10</v>
      </c>
      <c r="K1880" s="1">
        <v>8207.2000000000007</v>
      </c>
      <c r="L1880" s="1">
        <v>10</v>
      </c>
      <c r="M1880" s="1">
        <v>820.72</v>
      </c>
      <c r="N1880" s="1">
        <v>7386.48</v>
      </c>
      <c r="O1880" s="1" t="s">
        <v>46</v>
      </c>
      <c r="P1880" s="1" t="s">
        <v>2863</v>
      </c>
      <c r="Q1880" s="1">
        <v>3</v>
      </c>
      <c r="R1880" s="1">
        <f>Retail_Sales_Analyis[[#This Row],[Final_Price]]-Retail_Sales_Analyis[[#This Row],[Total_Price]]</f>
        <v>-820.72000000000116</v>
      </c>
      <c r="S18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81" spans="1:19" x14ac:dyDescent="0.25">
      <c r="A1881" s="1" t="s">
        <v>2864</v>
      </c>
      <c r="B1881" s="2">
        <v>45635</v>
      </c>
      <c r="C1881" s="1" t="s">
        <v>73</v>
      </c>
      <c r="D1881" s="1" t="s">
        <v>43</v>
      </c>
      <c r="E1881" s="1" t="s">
        <v>163</v>
      </c>
      <c r="F1881" s="1" t="s">
        <v>30</v>
      </c>
      <c r="G1881" s="1" t="s">
        <v>38</v>
      </c>
      <c r="H1881" s="1" t="s">
        <v>422</v>
      </c>
      <c r="I1881" s="1">
        <v>247.43</v>
      </c>
      <c r="J1881" s="1">
        <v>2</v>
      </c>
      <c r="K1881" s="1">
        <v>494.86</v>
      </c>
      <c r="L1881" s="1">
        <v>0</v>
      </c>
      <c r="M1881" s="1">
        <v>0</v>
      </c>
      <c r="N1881" s="1">
        <v>494.86</v>
      </c>
      <c r="O1881" s="1" t="s">
        <v>64</v>
      </c>
      <c r="P1881" s="1" t="s">
        <v>896</v>
      </c>
      <c r="Q1881" s="1">
        <v>5</v>
      </c>
      <c r="R1881" s="1">
        <f>Retail_Sales_Analyis[[#This Row],[Final_Price]]-Retail_Sales_Analyis[[#This Row],[Total_Price]]</f>
        <v>0</v>
      </c>
      <c r="S18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2" spans="1:19" x14ac:dyDescent="0.25">
      <c r="A1882" s="1" t="s">
        <v>2865</v>
      </c>
      <c r="B1882" s="2">
        <v>45508</v>
      </c>
      <c r="C1882" s="1" t="s">
        <v>93</v>
      </c>
      <c r="D1882" s="1" t="s">
        <v>49</v>
      </c>
      <c r="E1882" s="1" t="s">
        <v>68</v>
      </c>
      <c r="F1882" s="1" t="s">
        <v>84</v>
      </c>
      <c r="G1882" s="1" t="s">
        <v>31</v>
      </c>
      <c r="H1882" s="1" t="s">
        <v>250</v>
      </c>
      <c r="I1882" s="1">
        <v>155.74</v>
      </c>
      <c r="J1882" s="1">
        <v>4</v>
      </c>
      <c r="K1882" s="1">
        <v>622.96</v>
      </c>
      <c r="L1882" s="1">
        <v>0</v>
      </c>
      <c r="M1882" s="1">
        <v>0</v>
      </c>
      <c r="N1882" s="1">
        <v>622.96</v>
      </c>
      <c r="O1882" s="1" t="s">
        <v>64</v>
      </c>
      <c r="P1882" s="1" t="s">
        <v>155</v>
      </c>
      <c r="Q1882" s="1">
        <v>1</v>
      </c>
      <c r="R1882" s="1">
        <f>Retail_Sales_Analyis[[#This Row],[Final_Price]]-Retail_Sales_Analyis[[#This Row],[Total_Price]]</f>
        <v>0</v>
      </c>
      <c r="S18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3" spans="1:19" x14ac:dyDescent="0.25">
      <c r="A1883" s="1" t="s">
        <v>2866</v>
      </c>
      <c r="B1883" s="2">
        <v>45552</v>
      </c>
      <c r="C1883" s="1" t="s">
        <v>116</v>
      </c>
      <c r="D1883" s="1" t="s">
        <v>28</v>
      </c>
      <c r="E1883" s="1" t="s">
        <v>56</v>
      </c>
      <c r="F1883" s="1" t="s">
        <v>21</v>
      </c>
      <c r="G1883" s="1" t="s">
        <v>31</v>
      </c>
      <c r="H1883" s="1" t="s">
        <v>329</v>
      </c>
      <c r="I1883" s="1">
        <v>475.95</v>
      </c>
      <c r="J1883" s="1">
        <v>10</v>
      </c>
      <c r="K1883" s="1">
        <v>4759.5</v>
      </c>
      <c r="L1883" s="1">
        <v>20</v>
      </c>
      <c r="M1883" s="1">
        <v>951.9</v>
      </c>
      <c r="N1883" s="1">
        <v>3807.6</v>
      </c>
      <c r="O1883" s="1" t="s">
        <v>24</v>
      </c>
      <c r="P1883" s="1" t="s">
        <v>298</v>
      </c>
      <c r="Q1883" s="1">
        <v>1</v>
      </c>
      <c r="R1883" s="1">
        <f>Retail_Sales_Analyis[[#This Row],[Final_Price]]-Retail_Sales_Analyis[[#This Row],[Total_Price]]</f>
        <v>-951.90000000000009</v>
      </c>
      <c r="S18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84" spans="1:19" x14ac:dyDescent="0.25">
      <c r="A1884" s="1" t="s">
        <v>2867</v>
      </c>
      <c r="B1884" s="2">
        <v>45477</v>
      </c>
      <c r="C1884" s="1" t="s">
        <v>195</v>
      </c>
      <c r="D1884" s="1" t="s">
        <v>67</v>
      </c>
      <c r="E1884" s="1" t="s">
        <v>151</v>
      </c>
      <c r="F1884" s="1" t="s">
        <v>84</v>
      </c>
      <c r="G1884" s="1" t="s">
        <v>85</v>
      </c>
      <c r="H1884" s="1" t="s">
        <v>98</v>
      </c>
      <c r="I1884" s="1">
        <v>2170.6999999999998</v>
      </c>
      <c r="J1884" s="1">
        <v>6</v>
      </c>
      <c r="K1884" s="1">
        <v>13024.2</v>
      </c>
      <c r="L1884" s="1">
        <v>0</v>
      </c>
      <c r="M1884" s="1">
        <v>0</v>
      </c>
      <c r="N1884" s="1">
        <v>13024.2</v>
      </c>
      <c r="O1884" s="1" t="s">
        <v>33</v>
      </c>
      <c r="P1884" s="1" t="s">
        <v>1572</v>
      </c>
      <c r="Q1884" s="1">
        <v>4</v>
      </c>
      <c r="R1884" s="1">
        <f>Retail_Sales_Analyis[[#This Row],[Final_Price]]-Retail_Sales_Analyis[[#This Row],[Total_Price]]</f>
        <v>0</v>
      </c>
      <c r="S18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5" spans="1:19" x14ac:dyDescent="0.25">
      <c r="A1885" s="1" t="s">
        <v>2868</v>
      </c>
      <c r="B1885" s="2">
        <v>45301</v>
      </c>
      <c r="C1885" s="1" t="s">
        <v>36</v>
      </c>
      <c r="D1885" s="1" t="s">
        <v>55</v>
      </c>
      <c r="E1885" s="1" t="s">
        <v>542</v>
      </c>
      <c r="F1885" s="1" t="s">
        <v>84</v>
      </c>
      <c r="G1885" s="1" t="s">
        <v>169</v>
      </c>
      <c r="H1885" s="1" t="s">
        <v>348</v>
      </c>
      <c r="I1885" s="1">
        <v>1070.6300000000001</v>
      </c>
      <c r="J1885" s="1">
        <v>8</v>
      </c>
      <c r="K1885" s="1">
        <v>8565.0400000000009</v>
      </c>
      <c r="L1885" s="1">
        <v>0</v>
      </c>
      <c r="M1885" s="1">
        <v>0</v>
      </c>
      <c r="N1885" s="1">
        <v>8565.0400000000009</v>
      </c>
      <c r="O1885" s="1" t="s">
        <v>46</v>
      </c>
      <c r="P1885" s="1" t="s">
        <v>971</v>
      </c>
      <c r="Q1885" s="1">
        <v>4</v>
      </c>
      <c r="R1885" s="1">
        <f>Retail_Sales_Analyis[[#This Row],[Final_Price]]-Retail_Sales_Analyis[[#This Row],[Total_Price]]</f>
        <v>0</v>
      </c>
      <c r="S18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6" spans="1:19" x14ac:dyDescent="0.25">
      <c r="A1886" s="1" t="s">
        <v>2869</v>
      </c>
      <c r="B1886" s="2">
        <v>45477</v>
      </c>
      <c r="C1886" s="1" t="s">
        <v>195</v>
      </c>
      <c r="D1886" s="1" t="s">
        <v>67</v>
      </c>
      <c r="E1886" s="1" t="s">
        <v>141</v>
      </c>
      <c r="F1886" s="1" t="s">
        <v>69</v>
      </c>
      <c r="G1886" s="1" t="s">
        <v>85</v>
      </c>
      <c r="H1886" s="1" t="s">
        <v>180</v>
      </c>
      <c r="I1886" s="1">
        <v>1200.19</v>
      </c>
      <c r="J1886" s="1">
        <v>6</v>
      </c>
      <c r="K1886" s="1">
        <v>7201.14</v>
      </c>
      <c r="L1886" s="1">
        <v>15</v>
      </c>
      <c r="M1886" s="1">
        <v>1080.17</v>
      </c>
      <c r="N1886" s="1">
        <v>6120.97</v>
      </c>
      <c r="O1886" s="1" t="s">
        <v>80</v>
      </c>
      <c r="P1886" s="1" t="s">
        <v>1096</v>
      </c>
      <c r="Q1886" s="1">
        <v>2</v>
      </c>
      <c r="R1886" s="1">
        <f>Retail_Sales_Analyis[[#This Row],[Final_Price]]-Retail_Sales_Analyis[[#This Row],[Total_Price]]</f>
        <v>-1080.17</v>
      </c>
      <c r="S18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87" spans="1:19" x14ac:dyDescent="0.25">
      <c r="A1887" s="1" t="s">
        <v>2870</v>
      </c>
      <c r="B1887" s="2">
        <v>45450</v>
      </c>
      <c r="C1887" s="1" t="s">
        <v>173</v>
      </c>
      <c r="D1887" s="1" t="s">
        <v>144</v>
      </c>
      <c r="E1887" s="1" t="s">
        <v>89</v>
      </c>
      <c r="F1887" s="1" t="s">
        <v>37</v>
      </c>
      <c r="G1887" s="1" t="s">
        <v>31</v>
      </c>
      <c r="H1887" s="1" t="s">
        <v>250</v>
      </c>
      <c r="I1887" s="1">
        <v>202.77</v>
      </c>
      <c r="J1887" s="1">
        <v>2</v>
      </c>
      <c r="K1887" s="1">
        <v>405.54</v>
      </c>
      <c r="L1887" s="1">
        <v>0</v>
      </c>
      <c r="M1887" s="1">
        <v>0</v>
      </c>
      <c r="N1887" s="1">
        <v>405.54</v>
      </c>
      <c r="O1887" s="1" t="s">
        <v>64</v>
      </c>
      <c r="P1887" s="1" t="s">
        <v>928</v>
      </c>
      <c r="Q1887" s="1">
        <v>3</v>
      </c>
      <c r="R1887" s="1">
        <f>Retail_Sales_Analyis[[#This Row],[Final_Price]]-Retail_Sales_Analyis[[#This Row],[Total_Price]]</f>
        <v>0</v>
      </c>
      <c r="S18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8" spans="1:19" x14ac:dyDescent="0.25">
      <c r="A1888" s="1" t="s">
        <v>2871</v>
      </c>
      <c r="B1888" s="2">
        <v>45384</v>
      </c>
      <c r="C1888" s="1" t="s">
        <v>54</v>
      </c>
      <c r="D1888" s="1" t="s">
        <v>28</v>
      </c>
      <c r="E1888" s="1" t="s">
        <v>204</v>
      </c>
      <c r="F1888" s="1" t="s">
        <v>21</v>
      </c>
      <c r="G1888" s="1" t="s">
        <v>78</v>
      </c>
      <c r="H1888" s="1" t="s">
        <v>136</v>
      </c>
      <c r="I1888" s="1">
        <v>327.39</v>
      </c>
      <c r="J1888" s="1">
        <v>9</v>
      </c>
      <c r="K1888" s="1">
        <v>2946.51</v>
      </c>
      <c r="L1888" s="1">
        <v>0</v>
      </c>
      <c r="M1888" s="1">
        <v>0</v>
      </c>
      <c r="N1888" s="1">
        <v>2946.51</v>
      </c>
      <c r="O1888" s="1" t="s">
        <v>46</v>
      </c>
      <c r="P1888" s="1" t="s">
        <v>2872</v>
      </c>
      <c r="Q1888" s="1">
        <v>5</v>
      </c>
      <c r="R1888" s="1">
        <f>Retail_Sales_Analyis[[#This Row],[Final_Price]]-Retail_Sales_Analyis[[#This Row],[Total_Price]]</f>
        <v>0</v>
      </c>
      <c r="S18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89" spans="1:19" x14ac:dyDescent="0.25">
      <c r="A1889" s="1" t="s">
        <v>2873</v>
      </c>
      <c r="B1889" s="2">
        <v>45401</v>
      </c>
      <c r="C1889" s="1" t="s">
        <v>54</v>
      </c>
      <c r="D1889" s="1" t="s">
        <v>144</v>
      </c>
      <c r="E1889" s="1" t="s">
        <v>129</v>
      </c>
      <c r="F1889" s="1" t="s">
        <v>37</v>
      </c>
      <c r="G1889" s="1" t="s">
        <v>57</v>
      </c>
      <c r="H1889" s="1" t="s">
        <v>58</v>
      </c>
      <c r="I1889" s="1">
        <v>897.49</v>
      </c>
      <c r="J1889" s="1">
        <v>4</v>
      </c>
      <c r="K1889" s="1">
        <v>3589.96</v>
      </c>
      <c r="L1889" s="1">
        <v>5</v>
      </c>
      <c r="M1889" s="1">
        <v>179.5</v>
      </c>
      <c r="N1889" s="1">
        <v>3410.46</v>
      </c>
      <c r="O1889" s="1" t="s">
        <v>80</v>
      </c>
      <c r="P1889" s="1" t="s">
        <v>611</v>
      </c>
      <c r="Q1889" s="1">
        <v>1</v>
      </c>
      <c r="R1889" s="1">
        <f>Retail_Sales_Analyis[[#This Row],[Final_Price]]-Retail_Sales_Analyis[[#This Row],[Total_Price]]</f>
        <v>-179.5</v>
      </c>
      <c r="S18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90" spans="1:19" x14ac:dyDescent="0.25">
      <c r="A1890" s="1" t="s">
        <v>2874</v>
      </c>
      <c r="B1890" s="2">
        <v>45466</v>
      </c>
      <c r="C1890" s="1" t="s">
        <v>173</v>
      </c>
      <c r="D1890" s="1" t="s">
        <v>49</v>
      </c>
      <c r="E1890" s="1" t="s">
        <v>342</v>
      </c>
      <c r="F1890" s="1" t="s">
        <v>21</v>
      </c>
      <c r="G1890" s="1" t="s">
        <v>169</v>
      </c>
      <c r="H1890" s="1" t="s">
        <v>208</v>
      </c>
      <c r="I1890" s="1">
        <v>1475.19</v>
      </c>
      <c r="J1890" s="1">
        <v>2</v>
      </c>
      <c r="K1890" s="1">
        <v>2950.38</v>
      </c>
      <c r="L1890" s="1">
        <v>10</v>
      </c>
      <c r="M1890" s="1">
        <v>295.04000000000002</v>
      </c>
      <c r="N1890" s="1">
        <v>2655.34</v>
      </c>
      <c r="O1890" s="1" t="s">
        <v>33</v>
      </c>
      <c r="P1890" s="1" t="s">
        <v>385</v>
      </c>
      <c r="Q1890" s="1">
        <v>5</v>
      </c>
      <c r="R1890" s="1">
        <f>Retail_Sales_Analyis[[#This Row],[Final_Price]]-Retail_Sales_Analyis[[#This Row],[Total_Price]]</f>
        <v>-295.03999999999996</v>
      </c>
      <c r="S18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891" spans="1:19" x14ac:dyDescent="0.25">
      <c r="A1891" s="1" t="s">
        <v>2875</v>
      </c>
      <c r="B1891" s="2">
        <v>45540</v>
      </c>
      <c r="C1891" s="1" t="s">
        <v>116</v>
      </c>
      <c r="D1891" s="1" t="s">
        <v>67</v>
      </c>
      <c r="E1891" s="1" t="s">
        <v>111</v>
      </c>
      <c r="F1891" s="1" t="s">
        <v>69</v>
      </c>
      <c r="G1891" s="1" t="s">
        <v>78</v>
      </c>
      <c r="H1891" s="1" t="s">
        <v>126</v>
      </c>
      <c r="I1891" s="1">
        <v>337.17</v>
      </c>
      <c r="J1891" s="1">
        <v>10</v>
      </c>
      <c r="K1891" s="1">
        <v>3371.7</v>
      </c>
      <c r="L1891" s="1">
        <v>0</v>
      </c>
      <c r="M1891" s="1">
        <v>0</v>
      </c>
      <c r="N1891" s="1">
        <v>3371.7</v>
      </c>
      <c r="O1891" s="1" t="s">
        <v>24</v>
      </c>
      <c r="P1891" s="1" t="s">
        <v>2876</v>
      </c>
      <c r="Q1891" s="1">
        <v>4</v>
      </c>
      <c r="R1891" s="1">
        <f>Retail_Sales_Analyis[[#This Row],[Final_Price]]-Retail_Sales_Analyis[[#This Row],[Total_Price]]</f>
        <v>0</v>
      </c>
      <c r="S18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2" spans="1:19" x14ac:dyDescent="0.25">
      <c r="A1892" s="1" t="s">
        <v>2877</v>
      </c>
      <c r="B1892" s="2">
        <v>45390</v>
      </c>
      <c r="C1892" s="1" t="s">
        <v>54</v>
      </c>
      <c r="D1892" s="1" t="s">
        <v>43</v>
      </c>
      <c r="E1892" s="1" t="s">
        <v>50</v>
      </c>
      <c r="F1892" s="1" t="s">
        <v>30</v>
      </c>
      <c r="G1892" s="1" t="s">
        <v>112</v>
      </c>
      <c r="H1892" s="1" t="s">
        <v>113</v>
      </c>
      <c r="I1892" s="1">
        <v>1397.4</v>
      </c>
      <c r="J1892" s="1">
        <v>6</v>
      </c>
      <c r="K1892" s="1">
        <v>8384.4</v>
      </c>
      <c r="L1892" s="1">
        <v>0</v>
      </c>
      <c r="M1892" s="1">
        <v>0</v>
      </c>
      <c r="N1892" s="1">
        <v>8384.4</v>
      </c>
      <c r="O1892" s="1" t="s">
        <v>80</v>
      </c>
      <c r="P1892" s="1" t="s">
        <v>506</v>
      </c>
      <c r="Q1892" s="1">
        <v>5</v>
      </c>
      <c r="R1892" s="1">
        <f>Retail_Sales_Analyis[[#This Row],[Final_Price]]-Retail_Sales_Analyis[[#This Row],[Total_Price]]</f>
        <v>0</v>
      </c>
      <c r="S18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3" spans="1:19" x14ac:dyDescent="0.25">
      <c r="A1893" s="1" t="s">
        <v>2878</v>
      </c>
      <c r="B1893" s="2">
        <v>45407</v>
      </c>
      <c r="C1893" s="1" t="s">
        <v>54</v>
      </c>
      <c r="D1893" s="1" t="s">
        <v>67</v>
      </c>
      <c r="E1893" s="1" t="s">
        <v>129</v>
      </c>
      <c r="F1893" s="1" t="s">
        <v>21</v>
      </c>
      <c r="G1893" s="1" t="s">
        <v>78</v>
      </c>
      <c r="H1893" s="1" t="s">
        <v>146</v>
      </c>
      <c r="I1893" s="1">
        <v>419.18</v>
      </c>
      <c r="J1893" s="1">
        <v>2</v>
      </c>
      <c r="K1893" s="1">
        <v>838.36</v>
      </c>
      <c r="L1893" s="1">
        <v>5</v>
      </c>
      <c r="M1893" s="1">
        <v>41.92</v>
      </c>
      <c r="N1893" s="1">
        <v>796.44</v>
      </c>
      <c r="O1893" s="1" t="s">
        <v>24</v>
      </c>
      <c r="P1893" s="1" t="s">
        <v>2676</v>
      </c>
      <c r="Q1893" s="1">
        <v>2</v>
      </c>
      <c r="R1893" s="1">
        <f>Retail_Sales_Analyis[[#This Row],[Final_Price]]-Retail_Sales_Analyis[[#This Row],[Total_Price]]</f>
        <v>-41.919999999999959</v>
      </c>
      <c r="S18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94" spans="1:19" x14ac:dyDescent="0.25">
      <c r="A1894" s="1" t="s">
        <v>2879</v>
      </c>
      <c r="B1894" s="2">
        <v>45362</v>
      </c>
      <c r="C1894" s="1" t="s">
        <v>61</v>
      </c>
      <c r="D1894" s="1" t="s">
        <v>43</v>
      </c>
      <c r="E1894" s="1" t="s">
        <v>129</v>
      </c>
      <c r="F1894" s="1" t="s">
        <v>21</v>
      </c>
      <c r="G1894" s="1" t="s">
        <v>31</v>
      </c>
      <c r="H1894" s="1" t="s">
        <v>32</v>
      </c>
      <c r="I1894" s="1">
        <v>386.8</v>
      </c>
      <c r="J1894" s="1">
        <v>4</v>
      </c>
      <c r="K1894" s="1">
        <v>1547.2</v>
      </c>
      <c r="L1894" s="1">
        <v>0</v>
      </c>
      <c r="M1894" s="1">
        <v>0</v>
      </c>
      <c r="N1894" s="1">
        <v>1547.2</v>
      </c>
      <c r="O1894" s="1" t="s">
        <v>80</v>
      </c>
      <c r="P1894" s="1" t="s">
        <v>2000</v>
      </c>
      <c r="Q1894" s="1">
        <v>4</v>
      </c>
      <c r="R1894" s="1">
        <f>Retail_Sales_Analyis[[#This Row],[Final_Price]]-Retail_Sales_Analyis[[#This Row],[Total_Price]]</f>
        <v>0</v>
      </c>
      <c r="S18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5" spans="1:19" x14ac:dyDescent="0.25">
      <c r="A1895" s="1" t="s">
        <v>2880</v>
      </c>
      <c r="B1895" s="2">
        <v>45371</v>
      </c>
      <c r="C1895" s="1" t="s">
        <v>61</v>
      </c>
      <c r="D1895" s="1" t="s">
        <v>55</v>
      </c>
      <c r="E1895" s="1" t="s">
        <v>285</v>
      </c>
      <c r="F1895" s="1" t="s">
        <v>30</v>
      </c>
      <c r="G1895" s="1" t="s">
        <v>78</v>
      </c>
      <c r="H1895" s="1" t="s">
        <v>323</v>
      </c>
      <c r="I1895" s="1">
        <v>217.34</v>
      </c>
      <c r="J1895" s="1">
        <v>2</v>
      </c>
      <c r="K1895" s="1">
        <v>434.68</v>
      </c>
      <c r="L1895" s="1">
        <v>5</v>
      </c>
      <c r="M1895" s="1">
        <v>21.73</v>
      </c>
      <c r="N1895" s="1">
        <v>412.95</v>
      </c>
      <c r="O1895" s="1" t="s">
        <v>64</v>
      </c>
      <c r="P1895" s="1" t="s">
        <v>520</v>
      </c>
      <c r="Q1895" s="1">
        <v>4</v>
      </c>
      <c r="R1895" s="1">
        <f>Retail_Sales_Analyis[[#This Row],[Final_Price]]-Retail_Sales_Analyis[[#This Row],[Total_Price]]</f>
        <v>-21.730000000000018</v>
      </c>
      <c r="S18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896" spans="1:19" x14ac:dyDescent="0.25">
      <c r="A1896" s="1" t="s">
        <v>2881</v>
      </c>
      <c r="B1896" s="2">
        <v>45331</v>
      </c>
      <c r="C1896" s="1" t="s">
        <v>27</v>
      </c>
      <c r="D1896" s="1" t="s">
        <v>144</v>
      </c>
      <c r="E1896" s="1" t="s">
        <v>117</v>
      </c>
      <c r="F1896" s="1" t="s">
        <v>37</v>
      </c>
      <c r="G1896" s="1" t="s">
        <v>38</v>
      </c>
      <c r="H1896" s="1" t="s">
        <v>70</v>
      </c>
      <c r="I1896" s="1">
        <v>715.35</v>
      </c>
      <c r="J1896" s="1">
        <v>7</v>
      </c>
      <c r="K1896" s="1">
        <v>5007.45</v>
      </c>
      <c r="L1896" s="1">
        <v>20</v>
      </c>
      <c r="M1896" s="1">
        <v>1001.49</v>
      </c>
      <c r="N1896" s="1">
        <v>4005.96</v>
      </c>
      <c r="O1896" s="1" t="s">
        <v>64</v>
      </c>
      <c r="P1896" s="1" t="s">
        <v>2882</v>
      </c>
      <c r="Q1896" s="1">
        <v>2</v>
      </c>
      <c r="R1896" s="1">
        <f>Retail_Sales_Analyis[[#This Row],[Final_Price]]-Retail_Sales_Analyis[[#This Row],[Total_Price]]</f>
        <v>-1001.4899999999998</v>
      </c>
      <c r="S18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897" spans="1:19" x14ac:dyDescent="0.25">
      <c r="A1897" s="1" t="s">
        <v>2883</v>
      </c>
      <c r="B1897" s="2">
        <v>45443</v>
      </c>
      <c r="C1897" s="1" t="s">
        <v>42</v>
      </c>
      <c r="D1897" s="1" t="s">
        <v>144</v>
      </c>
      <c r="E1897" s="1" t="s">
        <v>351</v>
      </c>
      <c r="F1897" s="1" t="s">
        <v>84</v>
      </c>
      <c r="G1897" s="1" t="s">
        <v>57</v>
      </c>
      <c r="H1897" s="1" t="s">
        <v>101</v>
      </c>
      <c r="I1897" s="1">
        <v>2933.25</v>
      </c>
      <c r="J1897" s="1">
        <v>5</v>
      </c>
      <c r="K1897" s="1">
        <v>14666.25</v>
      </c>
      <c r="L1897" s="1">
        <v>0</v>
      </c>
      <c r="M1897" s="1">
        <v>0</v>
      </c>
      <c r="N1897" s="1">
        <v>14666.25</v>
      </c>
      <c r="O1897" s="1" t="s">
        <v>33</v>
      </c>
      <c r="P1897" s="1" t="s">
        <v>1627</v>
      </c>
      <c r="Q1897" s="1">
        <v>1</v>
      </c>
      <c r="R1897" s="1">
        <f>Retail_Sales_Analyis[[#This Row],[Final_Price]]-Retail_Sales_Analyis[[#This Row],[Total_Price]]</f>
        <v>0</v>
      </c>
      <c r="S18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8" spans="1:19" x14ac:dyDescent="0.25">
      <c r="A1898" s="1" t="s">
        <v>2884</v>
      </c>
      <c r="B1898" s="2">
        <v>45343</v>
      </c>
      <c r="C1898" s="1" t="s">
        <v>27</v>
      </c>
      <c r="D1898" s="1" t="s">
        <v>55</v>
      </c>
      <c r="E1898" s="1" t="s">
        <v>337</v>
      </c>
      <c r="F1898" s="1" t="s">
        <v>21</v>
      </c>
      <c r="G1898" s="1" t="s">
        <v>31</v>
      </c>
      <c r="H1898" s="1" t="s">
        <v>45</v>
      </c>
      <c r="I1898" s="1">
        <v>319.64999999999998</v>
      </c>
      <c r="J1898" s="1">
        <v>6</v>
      </c>
      <c r="K1898" s="1">
        <v>1917.9</v>
      </c>
      <c r="L1898" s="1">
        <v>0</v>
      </c>
      <c r="M1898" s="1">
        <v>0</v>
      </c>
      <c r="N1898" s="1">
        <v>1917.9</v>
      </c>
      <c r="O1898" s="1" t="s">
        <v>46</v>
      </c>
      <c r="P1898" s="1" t="s">
        <v>1547</v>
      </c>
      <c r="Q1898" s="1">
        <v>4</v>
      </c>
      <c r="R1898" s="1">
        <f>Retail_Sales_Analyis[[#This Row],[Final_Price]]-Retail_Sales_Analyis[[#This Row],[Total_Price]]</f>
        <v>0</v>
      </c>
      <c r="S18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899" spans="1:19" x14ac:dyDescent="0.25">
      <c r="A1899" s="1" t="s">
        <v>2885</v>
      </c>
      <c r="B1899" s="2">
        <v>45551</v>
      </c>
      <c r="C1899" s="1" t="s">
        <v>116</v>
      </c>
      <c r="D1899" s="1" t="s">
        <v>43</v>
      </c>
      <c r="E1899" s="1" t="s">
        <v>50</v>
      </c>
      <c r="F1899" s="1" t="s">
        <v>30</v>
      </c>
      <c r="G1899" s="1" t="s">
        <v>78</v>
      </c>
      <c r="H1899" s="1" t="s">
        <v>126</v>
      </c>
      <c r="I1899" s="1">
        <v>457.4</v>
      </c>
      <c r="J1899" s="1">
        <v>9</v>
      </c>
      <c r="K1899" s="1">
        <v>4116.6000000000004</v>
      </c>
      <c r="L1899" s="1">
        <v>15</v>
      </c>
      <c r="M1899" s="1">
        <v>617.49</v>
      </c>
      <c r="N1899" s="1">
        <v>3499.11</v>
      </c>
      <c r="O1899" s="1" t="s">
        <v>46</v>
      </c>
      <c r="P1899" s="1" t="s">
        <v>2148</v>
      </c>
      <c r="Q1899" s="1">
        <v>1</v>
      </c>
      <c r="R1899" s="1">
        <f>Retail_Sales_Analyis[[#This Row],[Final_Price]]-Retail_Sales_Analyis[[#This Row],[Total_Price]]</f>
        <v>-617.49000000000024</v>
      </c>
      <c r="S18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00" spans="1:19" x14ac:dyDescent="0.25">
      <c r="A1900" s="1" t="s">
        <v>2886</v>
      </c>
      <c r="B1900" s="2">
        <v>45568</v>
      </c>
      <c r="C1900" s="1" t="s">
        <v>76</v>
      </c>
      <c r="D1900" s="1" t="s">
        <v>67</v>
      </c>
      <c r="E1900" s="1" t="s">
        <v>236</v>
      </c>
      <c r="F1900" s="1" t="s">
        <v>84</v>
      </c>
      <c r="G1900" s="1" t="s">
        <v>31</v>
      </c>
      <c r="H1900" s="1" t="s">
        <v>32</v>
      </c>
      <c r="I1900" s="1">
        <v>165.82</v>
      </c>
      <c r="J1900" s="1">
        <v>3</v>
      </c>
      <c r="K1900" s="1">
        <v>497.46</v>
      </c>
      <c r="L1900" s="1">
        <v>5</v>
      </c>
      <c r="M1900" s="1">
        <v>24.87</v>
      </c>
      <c r="N1900" s="1">
        <v>472.59</v>
      </c>
      <c r="O1900" s="1" t="s">
        <v>33</v>
      </c>
      <c r="P1900" s="1" t="s">
        <v>1176</v>
      </c>
      <c r="Q1900" s="1">
        <v>2</v>
      </c>
      <c r="R1900" s="1">
        <f>Retail_Sales_Analyis[[#This Row],[Final_Price]]-Retail_Sales_Analyis[[#This Row],[Total_Price]]</f>
        <v>-24.870000000000005</v>
      </c>
      <c r="S19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01" spans="1:19" x14ac:dyDescent="0.25">
      <c r="A1901" s="1" t="s">
        <v>2887</v>
      </c>
      <c r="B1901" s="2">
        <v>45561</v>
      </c>
      <c r="C1901" s="1" t="s">
        <v>116</v>
      </c>
      <c r="D1901" s="1" t="s">
        <v>67</v>
      </c>
      <c r="E1901" s="1" t="s">
        <v>166</v>
      </c>
      <c r="F1901" s="1" t="s">
        <v>21</v>
      </c>
      <c r="G1901" s="1" t="s">
        <v>78</v>
      </c>
      <c r="H1901" s="1" t="s">
        <v>136</v>
      </c>
      <c r="I1901" s="1">
        <v>254.93</v>
      </c>
      <c r="J1901" s="1">
        <v>3</v>
      </c>
      <c r="K1901" s="1">
        <v>764.79</v>
      </c>
      <c r="L1901" s="1">
        <v>5</v>
      </c>
      <c r="M1901" s="1">
        <v>38.24</v>
      </c>
      <c r="N1901" s="1">
        <v>726.55</v>
      </c>
      <c r="O1901" s="1" t="s">
        <v>33</v>
      </c>
      <c r="P1901" s="1" t="s">
        <v>2651</v>
      </c>
      <c r="Q1901" s="1">
        <v>4</v>
      </c>
      <c r="R1901" s="1">
        <f>Retail_Sales_Analyis[[#This Row],[Final_Price]]-Retail_Sales_Analyis[[#This Row],[Total_Price]]</f>
        <v>-38.240000000000009</v>
      </c>
      <c r="S19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02" spans="1:19" x14ac:dyDescent="0.25">
      <c r="A1902" s="1" t="s">
        <v>2888</v>
      </c>
      <c r="B1902" s="2">
        <v>45311</v>
      </c>
      <c r="C1902" s="1" t="s">
        <v>36</v>
      </c>
      <c r="D1902" s="1" t="s">
        <v>19</v>
      </c>
      <c r="E1902" s="1" t="s">
        <v>141</v>
      </c>
      <c r="F1902" s="1" t="s">
        <v>37</v>
      </c>
      <c r="G1902" s="1" t="s">
        <v>78</v>
      </c>
      <c r="H1902" s="1" t="s">
        <v>126</v>
      </c>
      <c r="I1902" s="1">
        <v>219.12</v>
      </c>
      <c r="J1902" s="1">
        <v>7</v>
      </c>
      <c r="K1902" s="1">
        <v>1533.84</v>
      </c>
      <c r="L1902" s="1">
        <v>0</v>
      </c>
      <c r="M1902" s="1">
        <v>0</v>
      </c>
      <c r="N1902" s="1">
        <v>1533.84</v>
      </c>
      <c r="O1902" s="1" t="s">
        <v>33</v>
      </c>
      <c r="P1902" s="1" t="s">
        <v>1315</v>
      </c>
      <c r="Q1902" s="1">
        <v>3</v>
      </c>
      <c r="R1902" s="1">
        <f>Retail_Sales_Analyis[[#This Row],[Final_Price]]-Retail_Sales_Analyis[[#This Row],[Total_Price]]</f>
        <v>0</v>
      </c>
      <c r="S19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03" spans="1:19" x14ac:dyDescent="0.25">
      <c r="A1903" s="1" t="s">
        <v>2889</v>
      </c>
      <c r="B1903" s="2">
        <v>45630</v>
      </c>
      <c r="C1903" s="1" t="s">
        <v>73</v>
      </c>
      <c r="D1903" s="1" t="s">
        <v>55</v>
      </c>
      <c r="E1903" s="1" t="s">
        <v>132</v>
      </c>
      <c r="F1903" s="1" t="s">
        <v>30</v>
      </c>
      <c r="G1903" s="1" t="s">
        <v>85</v>
      </c>
      <c r="H1903" s="1" t="s">
        <v>297</v>
      </c>
      <c r="I1903" s="1">
        <v>3616.48</v>
      </c>
      <c r="J1903" s="1">
        <v>10</v>
      </c>
      <c r="K1903" s="1">
        <v>36164.800000000003</v>
      </c>
      <c r="L1903" s="1">
        <v>15</v>
      </c>
      <c r="M1903" s="1">
        <v>5424.72</v>
      </c>
      <c r="N1903" s="1">
        <v>30740.080000000002</v>
      </c>
      <c r="O1903" s="1" t="s">
        <v>64</v>
      </c>
      <c r="P1903" s="1" t="s">
        <v>1699</v>
      </c>
      <c r="Q1903" s="1">
        <v>2</v>
      </c>
      <c r="R1903" s="1">
        <f>Retail_Sales_Analyis[[#This Row],[Final_Price]]-Retail_Sales_Analyis[[#This Row],[Total_Price]]</f>
        <v>-5424.7200000000012</v>
      </c>
      <c r="S19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04" spans="1:19" x14ac:dyDescent="0.25">
      <c r="A1904" s="1" t="s">
        <v>2890</v>
      </c>
      <c r="B1904" s="2">
        <v>45464</v>
      </c>
      <c r="C1904" s="1" t="s">
        <v>173</v>
      </c>
      <c r="D1904" s="1" t="s">
        <v>144</v>
      </c>
      <c r="E1904" s="1" t="s">
        <v>132</v>
      </c>
      <c r="F1904" s="1" t="s">
        <v>30</v>
      </c>
      <c r="G1904" s="1" t="s">
        <v>169</v>
      </c>
      <c r="H1904" s="1" t="s">
        <v>175</v>
      </c>
      <c r="I1904" s="1">
        <v>1408.87</v>
      </c>
      <c r="J1904" s="1">
        <v>7</v>
      </c>
      <c r="K1904" s="1">
        <v>9862.09</v>
      </c>
      <c r="L1904" s="1">
        <v>0</v>
      </c>
      <c r="M1904" s="1">
        <v>0</v>
      </c>
      <c r="N1904" s="1">
        <v>9862.09</v>
      </c>
      <c r="O1904" s="1" t="s">
        <v>24</v>
      </c>
      <c r="P1904" s="1" t="s">
        <v>2891</v>
      </c>
      <c r="Q1904" s="1">
        <v>2</v>
      </c>
      <c r="R1904" s="1">
        <f>Retail_Sales_Analyis[[#This Row],[Final_Price]]-Retail_Sales_Analyis[[#This Row],[Total_Price]]</f>
        <v>0</v>
      </c>
      <c r="S19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05" spans="1:19" x14ac:dyDescent="0.25">
      <c r="A1905" s="1" t="s">
        <v>2892</v>
      </c>
      <c r="B1905" s="2">
        <v>45608</v>
      </c>
      <c r="C1905" s="1" t="s">
        <v>18</v>
      </c>
      <c r="D1905" s="1" t="s">
        <v>28</v>
      </c>
      <c r="E1905" s="1" t="s">
        <v>129</v>
      </c>
      <c r="F1905" s="1" t="s">
        <v>84</v>
      </c>
      <c r="G1905" s="1" t="s">
        <v>22</v>
      </c>
      <c r="H1905" s="1" t="s">
        <v>23</v>
      </c>
      <c r="I1905" s="1">
        <v>548.71</v>
      </c>
      <c r="J1905" s="1">
        <v>8</v>
      </c>
      <c r="K1905" s="1">
        <v>4389.68</v>
      </c>
      <c r="L1905" s="1">
        <v>15</v>
      </c>
      <c r="M1905" s="1">
        <v>658.45</v>
      </c>
      <c r="N1905" s="1">
        <v>3731.23</v>
      </c>
      <c r="O1905" s="1" t="s">
        <v>64</v>
      </c>
      <c r="P1905" s="1" t="s">
        <v>2838</v>
      </c>
      <c r="Q1905" s="1">
        <v>4</v>
      </c>
      <c r="R1905" s="1">
        <f>Retail_Sales_Analyis[[#This Row],[Final_Price]]-Retail_Sales_Analyis[[#This Row],[Total_Price]]</f>
        <v>-658.45000000000027</v>
      </c>
      <c r="S19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06" spans="1:19" x14ac:dyDescent="0.25">
      <c r="A1906" s="1" t="s">
        <v>2893</v>
      </c>
      <c r="B1906" s="2">
        <v>45359</v>
      </c>
      <c r="C1906" s="1" t="s">
        <v>61</v>
      </c>
      <c r="D1906" s="1" t="s">
        <v>144</v>
      </c>
      <c r="E1906" s="1" t="s">
        <v>50</v>
      </c>
      <c r="F1906" s="1" t="s">
        <v>84</v>
      </c>
      <c r="G1906" s="1" t="s">
        <v>38</v>
      </c>
      <c r="H1906" s="1" t="s">
        <v>214</v>
      </c>
      <c r="I1906" s="1">
        <v>129.91999999999999</v>
      </c>
      <c r="J1906" s="1">
        <v>7</v>
      </c>
      <c r="K1906" s="1">
        <v>909.44</v>
      </c>
      <c r="L1906" s="1">
        <v>0</v>
      </c>
      <c r="M1906" s="1">
        <v>0</v>
      </c>
      <c r="N1906" s="1">
        <v>909.44</v>
      </c>
      <c r="O1906" s="1" t="s">
        <v>46</v>
      </c>
      <c r="P1906" s="1" t="s">
        <v>2110</v>
      </c>
      <c r="Q1906" s="1">
        <v>3</v>
      </c>
      <c r="R1906" s="1">
        <f>Retail_Sales_Analyis[[#This Row],[Final_Price]]-Retail_Sales_Analyis[[#This Row],[Total_Price]]</f>
        <v>0</v>
      </c>
      <c r="S19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07" spans="1:19" x14ac:dyDescent="0.25">
      <c r="A1907" s="1" t="s">
        <v>2894</v>
      </c>
      <c r="B1907" s="2">
        <v>45597</v>
      </c>
      <c r="C1907" s="1" t="s">
        <v>18</v>
      </c>
      <c r="D1907" s="1" t="s">
        <v>144</v>
      </c>
      <c r="E1907" s="1" t="s">
        <v>342</v>
      </c>
      <c r="F1907" s="1" t="s">
        <v>30</v>
      </c>
      <c r="G1907" s="1" t="s">
        <v>78</v>
      </c>
      <c r="H1907" s="1" t="s">
        <v>79</v>
      </c>
      <c r="I1907" s="1">
        <v>237.54</v>
      </c>
      <c r="J1907" s="1">
        <v>2</v>
      </c>
      <c r="K1907" s="1">
        <v>475.08</v>
      </c>
      <c r="L1907" s="1">
        <v>0</v>
      </c>
      <c r="M1907" s="1">
        <v>0</v>
      </c>
      <c r="N1907" s="1">
        <v>475.08</v>
      </c>
      <c r="O1907" s="1" t="s">
        <v>80</v>
      </c>
      <c r="P1907" s="1" t="s">
        <v>2859</v>
      </c>
      <c r="Q1907" s="1">
        <v>1</v>
      </c>
      <c r="R1907" s="1">
        <f>Retail_Sales_Analyis[[#This Row],[Final_Price]]-Retail_Sales_Analyis[[#This Row],[Total_Price]]</f>
        <v>0</v>
      </c>
      <c r="S19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08" spans="1:19" x14ac:dyDescent="0.25">
      <c r="A1908" s="1" t="s">
        <v>2895</v>
      </c>
      <c r="B1908" s="2">
        <v>45484</v>
      </c>
      <c r="C1908" s="1" t="s">
        <v>195</v>
      </c>
      <c r="D1908" s="1" t="s">
        <v>67</v>
      </c>
      <c r="E1908" s="1" t="s">
        <v>129</v>
      </c>
      <c r="F1908" s="1" t="s">
        <v>37</v>
      </c>
      <c r="G1908" s="1" t="s">
        <v>57</v>
      </c>
      <c r="H1908" s="1" t="s">
        <v>101</v>
      </c>
      <c r="I1908" s="1">
        <v>379.85</v>
      </c>
      <c r="J1908" s="1">
        <v>2</v>
      </c>
      <c r="K1908" s="1">
        <v>759.7</v>
      </c>
      <c r="L1908" s="1">
        <v>0</v>
      </c>
      <c r="M1908" s="1">
        <v>0</v>
      </c>
      <c r="N1908" s="1">
        <v>759.7</v>
      </c>
      <c r="O1908" s="1" t="s">
        <v>64</v>
      </c>
      <c r="P1908" s="1" t="s">
        <v>2665</v>
      </c>
      <c r="Q1908" s="1">
        <v>1</v>
      </c>
      <c r="R1908" s="1">
        <f>Retail_Sales_Analyis[[#This Row],[Final_Price]]-Retail_Sales_Analyis[[#This Row],[Total_Price]]</f>
        <v>0</v>
      </c>
      <c r="S19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09" spans="1:19" x14ac:dyDescent="0.25">
      <c r="A1909" s="1" t="s">
        <v>2896</v>
      </c>
      <c r="B1909" s="2">
        <v>45370</v>
      </c>
      <c r="C1909" s="1" t="s">
        <v>61</v>
      </c>
      <c r="D1909" s="1" t="s">
        <v>28</v>
      </c>
      <c r="E1909" s="1" t="s">
        <v>107</v>
      </c>
      <c r="F1909" s="1" t="s">
        <v>69</v>
      </c>
      <c r="G1909" s="1" t="s">
        <v>38</v>
      </c>
      <c r="H1909" s="1" t="s">
        <v>70</v>
      </c>
      <c r="I1909" s="1">
        <v>563.91999999999996</v>
      </c>
      <c r="J1909" s="1">
        <v>2</v>
      </c>
      <c r="K1909" s="1">
        <v>1127.8399999999999</v>
      </c>
      <c r="L1909" s="1">
        <v>15</v>
      </c>
      <c r="M1909" s="1">
        <v>169.18</v>
      </c>
      <c r="N1909" s="1">
        <v>958.66</v>
      </c>
      <c r="O1909" s="1" t="s">
        <v>46</v>
      </c>
      <c r="P1909" s="1" t="s">
        <v>1502</v>
      </c>
      <c r="Q1909" s="1">
        <v>5</v>
      </c>
      <c r="R1909" s="1">
        <f>Retail_Sales_Analyis[[#This Row],[Final_Price]]-Retail_Sales_Analyis[[#This Row],[Total_Price]]</f>
        <v>-169.17999999999995</v>
      </c>
      <c r="S19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10" spans="1:19" x14ac:dyDescent="0.25">
      <c r="A1910" s="1" t="s">
        <v>2897</v>
      </c>
      <c r="B1910" s="2">
        <v>45375</v>
      </c>
      <c r="C1910" s="1" t="s">
        <v>61</v>
      </c>
      <c r="D1910" s="1" t="s">
        <v>49</v>
      </c>
      <c r="E1910" s="1" t="s">
        <v>174</v>
      </c>
      <c r="F1910" s="1" t="s">
        <v>84</v>
      </c>
      <c r="G1910" s="1" t="s">
        <v>22</v>
      </c>
      <c r="H1910" s="1" t="s">
        <v>187</v>
      </c>
      <c r="I1910" s="1">
        <v>599.6</v>
      </c>
      <c r="J1910" s="1">
        <v>7</v>
      </c>
      <c r="K1910" s="1">
        <v>4197.2</v>
      </c>
      <c r="L1910" s="1">
        <v>0</v>
      </c>
      <c r="M1910" s="1">
        <v>0</v>
      </c>
      <c r="N1910" s="1">
        <v>4197.2</v>
      </c>
      <c r="O1910" s="1" t="s">
        <v>24</v>
      </c>
      <c r="P1910" s="1" t="s">
        <v>2898</v>
      </c>
      <c r="Q1910" s="1">
        <v>1</v>
      </c>
      <c r="R1910" s="1">
        <f>Retail_Sales_Analyis[[#This Row],[Final_Price]]-Retail_Sales_Analyis[[#This Row],[Total_Price]]</f>
        <v>0</v>
      </c>
      <c r="S19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11" spans="1:19" x14ac:dyDescent="0.25">
      <c r="A1911" s="1" t="s">
        <v>2899</v>
      </c>
      <c r="B1911" s="2">
        <v>45384</v>
      </c>
      <c r="C1911" s="1" t="s">
        <v>54</v>
      </c>
      <c r="D1911" s="1" t="s">
        <v>28</v>
      </c>
      <c r="E1911" s="1" t="s">
        <v>174</v>
      </c>
      <c r="F1911" s="1" t="s">
        <v>21</v>
      </c>
      <c r="G1911" s="1" t="s">
        <v>78</v>
      </c>
      <c r="H1911" s="1" t="s">
        <v>323</v>
      </c>
      <c r="I1911" s="1">
        <v>400.32</v>
      </c>
      <c r="J1911" s="1">
        <v>1</v>
      </c>
      <c r="K1911" s="1">
        <v>400.32</v>
      </c>
      <c r="L1911" s="1">
        <v>5</v>
      </c>
      <c r="M1911" s="1">
        <v>20.02</v>
      </c>
      <c r="N1911" s="1">
        <v>380.3</v>
      </c>
      <c r="O1911" s="1" t="s">
        <v>46</v>
      </c>
      <c r="P1911" s="1" t="s">
        <v>1181</v>
      </c>
      <c r="Q1911" s="1">
        <v>3</v>
      </c>
      <c r="R1911" s="1">
        <f>Retail_Sales_Analyis[[#This Row],[Final_Price]]-Retail_Sales_Analyis[[#This Row],[Total_Price]]</f>
        <v>-20.019999999999982</v>
      </c>
      <c r="S19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12" spans="1:19" x14ac:dyDescent="0.25">
      <c r="A1912" s="1" t="s">
        <v>2900</v>
      </c>
      <c r="B1912" s="2">
        <v>45646</v>
      </c>
      <c r="C1912" s="1" t="s">
        <v>73</v>
      </c>
      <c r="D1912" s="1" t="s">
        <v>144</v>
      </c>
      <c r="E1912" s="1" t="s">
        <v>312</v>
      </c>
      <c r="F1912" s="1" t="s">
        <v>84</v>
      </c>
      <c r="G1912" s="1" t="s">
        <v>112</v>
      </c>
      <c r="H1912" s="1" t="s">
        <v>223</v>
      </c>
      <c r="I1912" s="1">
        <v>1691.92</v>
      </c>
      <c r="J1912" s="1">
        <v>3</v>
      </c>
      <c r="K1912" s="1">
        <v>5075.76</v>
      </c>
      <c r="L1912" s="1">
        <v>10</v>
      </c>
      <c r="M1912" s="1">
        <v>507.58</v>
      </c>
      <c r="N1912" s="1">
        <v>4568.18</v>
      </c>
      <c r="O1912" s="1" t="s">
        <v>80</v>
      </c>
      <c r="P1912" s="1" t="s">
        <v>1311</v>
      </c>
      <c r="Q1912" s="1">
        <v>4</v>
      </c>
      <c r="R1912" s="1">
        <f>Retail_Sales_Analyis[[#This Row],[Final_Price]]-Retail_Sales_Analyis[[#This Row],[Total_Price]]</f>
        <v>-507.57999999999993</v>
      </c>
      <c r="S19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13" spans="1:19" x14ac:dyDescent="0.25">
      <c r="A1913" s="1" t="s">
        <v>2901</v>
      </c>
      <c r="B1913" s="2">
        <v>45611</v>
      </c>
      <c r="C1913" s="1" t="s">
        <v>18</v>
      </c>
      <c r="D1913" s="1" t="s">
        <v>144</v>
      </c>
      <c r="E1913" s="1" t="s">
        <v>207</v>
      </c>
      <c r="F1913" s="1" t="s">
        <v>30</v>
      </c>
      <c r="G1913" s="1" t="s">
        <v>57</v>
      </c>
      <c r="H1913" s="1" t="s">
        <v>158</v>
      </c>
      <c r="I1913" s="1">
        <v>1658.19</v>
      </c>
      <c r="J1913" s="1">
        <v>7</v>
      </c>
      <c r="K1913" s="1">
        <v>11607.33</v>
      </c>
      <c r="L1913" s="1">
        <v>15</v>
      </c>
      <c r="M1913" s="1">
        <v>1741.1</v>
      </c>
      <c r="N1913" s="1">
        <v>9866.23</v>
      </c>
      <c r="O1913" s="1" t="s">
        <v>33</v>
      </c>
      <c r="P1913" s="1" t="s">
        <v>2821</v>
      </c>
      <c r="Q1913" s="1">
        <v>3</v>
      </c>
      <c r="R1913" s="1">
        <f>Retail_Sales_Analyis[[#This Row],[Final_Price]]-Retail_Sales_Analyis[[#This Row],[Total_Price]]</f>
        <v>-1741.1000000000004</v>
      </c>
      <c r="S19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14" spans="1:19" x14ac:dyDescent="0.25">
      <c r="A1914" s="1" t="s">
        <v>2902</v>
      </c>
      <c r="B1914" s="2">
        <v>45376</v>
      </c>
      <c r="C1914" s="1" t="s">
        <v>61</v>
      </c>
      <c r="D1914" s="1" t="s">
        <v>43</v>
      </c>
      <c r="E1914" s="1" t="s">
        <v>322</v>
      </c>
      <c r="F1914" s="1" t="s">
        <v>84</v>
      </c>
      <c r="G1914" s="1" t="s">
        <v>169</v>
      </c>
      <c r="H1914" s="1" t="s">
        <v>170</v>
      </c>
      <c r="I1914" s="1">
        <v>822.41</v>
      </c>
      <c r="J1914" s="1">
        <v>3</v>
      </c>
      <c r="K1914" s="1">
        <v>2467.23</v>
      </c>
      <c r="L1914" s="1">
        <v>0</v>
      </c>
      <c r="M1914" s="1">
        <v>0</v>
      </c>
      <c r="N1914" s="1">
        <v>2467.23</v>
      </c>
      <c r="O1914" s="1" t="s">
        <v>46</v>
      </c>
      <c r="P1914" s="1" t="s">
        <v>1611</v>
      </c>
      <c r="Q1914" s="1">
        <v>2</v>
      </c>
      <c r="R1914" s="1">
        <f>Retail_Sales_Analyis[[#This Row],[Final_Price]]-Retail_Sales_Analyis[[#This Row],[Total_Price]]</f>
        <v>0</v>
      </c>
      <c r="S19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15" spans="1:19" x14ac:dyDescent="0.25">
      <c r="A1915" s="1" t="s">
        <v>2903</v>
      </c>
      <c r="B1915" s="2">
        <v>45516</v>
      </c>
      <c r="C1915" s="1" t="s">
        <v>93</v>
      </c>
      <c r="D1915" s="1" t="s">
        <v>43</v>
      </c>
      <c r="E1915" s="1" t="s">
        <v>168</v>
      </c>
      <c r="F1915" s="1" t="s">
        <v>37</v>
      </c>
      <c r="G1915" s="1" t="s">
        <v>22</v>
      </c>
      <c r="H1915" s="1" t="s">
        <v>23</v>
      </c>
      <c r="I1915" s="1">
        <v>343.24</v>
      </c>
      <c r="J1915" s="1">
        <v>4</v>
      </c>
      <c r="K1915" s="1">
        <v>1372.96</v>
      </c>
      <c r="L1915" s="1">
        <v>0</v>
      </c>
      <c r="M1915" s="1">
        <v>0</v>
      </c>
      <c r="N1915" s="1">
        <v>1372.96</v>
      </c>
      <c r="O1915" s="1" t="s">
        <v>24</v>
      </c>
      <c r="P1915" s="1" t="s">
        <v>1345</v>
      </c>
      <c r="Q1915" s="1">
        <v>3</v>
      </c>
      <c r="R1915" s="1">
        <f>Retail_Sales_Analyis[[#This Row],[Final_Price]]-Retail_Sales_Analyis[[#This Row],[Total_Price]]</f>
        <v>0</v>
      </c>
      <c r="S19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16" spans="1:19" x14ac:dyDescent="0.25">
      <c r="A1916" s="1" t="s">
        <v>2904</v>
      </c>
      <c r="B1916" s="2">
        <v>45314</v>
      </c>
      <c r="C1916" s="1" t="s">
        <v>36</v>
      </c>
      <c r="D1916" s="1" t="s">
        <v>28</v>
      </c>
      <c r="E1916" s="1" t="s">
        <v>204</v>
      </c>
      <c r="F1916" s="1" t="s">
        <v>69</v>
      </c>
      <c r="G1916" s="1" t="s">
        <v>38</v>
      </c>
      <c r="H1916" s="1" t="s">
        <v>214</v>
      </c>
      <c r="I1916" s="1">
        <v>528.21</v>
      </c>
      <c r="J1916" s="1">
        <v>9</v>
      </c>
      <c r="K1916" s="1">
        <v>4753.8900000000003</v>
      </c>
      <c r="L1916" s="1">
        <v>0</v>
      </c>
      <c r="M1916" s="1">
        <v>0</v>
      </c>
      <c r="N1916" s="1">
        <v>4753.8900000000003</v>
      </c>
      <c r="O1916" s="1" t="s">
        <v>24</v>
      </c>
      <c r="P1916" s="1" t="s">
        <v>1552</v>
      </c>
      <c r="Q1916" s="1">
        <v>3</v>
      </c>
      <c r="R1916" s="1">
        <f>Retail_Sales_Analyis[[#This Row],[Final_Price]]-Retail_Sales_Analyis[[#This Row],[Total_Price]]</f>
        <v>0</v>
      </c>
      <c r="S19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17" spans="1:19" x14ac:dyDescent="0.25">
      <c r="A1917" s="1" t="s">
        <v>2905</v>
      </c>
      <c r="B1917" s="2">
        <v>45502</v>
      </c>
      <c r="C1917" s="1" t="s">
        <v>195</v>
      </c>
      <c r="D1917" s="1" t="s">
        <v>43</v>
      </c>
      <c r="E1917" s="1" t="s">
        <v>132</v>
      </c>
      <c r="F1917" s="1" t="s">
        <v>84</v>
      </c>
      <c r="G1917" s="1" t="s">
        <v>169</v>
      </c>
      <c r="H1917" s="1" t="s">
        <v>208</v>
      </c>
      <c r="I1917" s="1">
        <v>865.27</v>
      </c>
      <c r="J1917" s="1">
        <v>10</v>
      </c>
      <c r="K1917" s="1">
        <v>8652.7000000000007</v>
      </c>
      <c r="L1917" s="1">
        <v>5</v>
      </c>
      <c r="M1917" s="1">
        <v>432.64</v>
      </c>
      <c r="N1917" s="1">
        <v>8220.06</v>
      </c>
      <c r="O1917" s="1" t="s">
        <v>64</v>
      </c>
      <c r="P1917" s="1" t="s">
        <v>1469</v>
      </c>
      <c r="Q1917" s="1">
        <v>4</v>
      </c>
      <c r="R1917" s="1">
        <f>Retail_Sales_Analyis[[#This Row],[Final_Price]]-Retail_Sales_Analyis[[#This Row],[Total_Price]]</f>
        <v>-432.64000000000124</v>
      </c>
      <c r="S19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18" spans="1:19" x14ac:dyDescent="0.25">
      <c r="A1918" s="1" t="s">
        <v>2906</v>
      </c>
      <c r="B1918" s="2">
        <v>45478</v>
      </c>
      <c r="C1918" s="1" t="s">
        <v>195</v>
      </c>
      <c r="D1918" s="1" t="s">
        <v>144</v>
      </c>
      <c r="E1918" s="1" t="s">
        <v>168</v>
      </c>
      <c r="F1918" s="1" t="s">
        <v>21</v>
      </c>
      <c r="G1918" s="1" t="s">
        <v>38</v>
      </c>
      <c r="H1918" s="1" t="s">
        <v>70</v>
      </c>
      <c r="I1918" s="1">
        <v>583.46</v>
      </c>
      <c r="J1918" s="1">
        <v>2</v>
      </c>
      <c r="K1918" s="1">
        <v>1166.92</v>
      </c>
      <c r="L1918" s="1">
        <v>15</v>
      </c>
      <c r="M1918" s="1">
        <v>175.04</v>
      </c>
      <c r="N1918" s="1">
        <v>991.88</v>
      </c>
      <c r="O1918" s="1" t="s">
        <v>64</v>
      </c>
      <c r="P1918" s="1" t="s">
        <v>1002</v>
      </c>
      <c r="Q1918" s="1">
        <v>5</v>
      </c>
      <c r="R1918" s="1">
        <f>Retail_Sales_Analyis[[#This Row],[Final_Price]]-Retail_Sales_Analyis[[#This Row],[Total_Price]]</f>
        <v>-175.04000000000008</v>
      </c>
      <c r="S19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19" spans="1:19" x14ac:dyDescent="0.25">
      <c r="A1919" s="1" t="s">
        <v>2907</v>
      </c>
      <c r="B1919" s="2">
        <v>45638</v>
      </c>
      <c r="C1919" s="1" t="s">
        <v>73</v>
      </c>
      <c r="D1919" s="1" t="s">
        <v>67</v>
      </c>
      <c r="E1919" s="1" t="s">
        <v>117</v>
      </c>
      <c r="F1919" s="1" t="s">
        <v>21</v>
      </c>
      <c r="G1919" s="1" t="s">
        <v>112</v>
      </c>
      <c r="H1919" s="1" t="s">
        <v>223</v>
      </c>
      <c r="I1919" s="1">
        <v>829.01</v>
      </c>
      <c r="J1919" s="1">
        <v>7</v>
      </c>
      <c r="K1919" s="1">
        <v>5803.07</v>
      </c>
      <c r="L1919" s="1">
        <v>5</v>
      </c>
      <c r="M1919" s="1">
        <v>290.14999999999998</v>
      </c>
      <c r="N1919" s="1">
        <v>5512.92</v>
      </c>
      <c r="O1919" s="1" t="s">
        <v>33</v>
      </c>
      <c r="P1919" s="1" t="s">
        <v>1617</v>
      </c>
      <c r="Q1919" s="1">
        <v>1</v>
      </c>
      <c r="R1919" s="1">
        <f>Retail_Sales_Analyis[[#This Row],[Final_Price]]-Retail_Sales_Analyis[[#This Row],[Total_Price]]</f>
        <v>-290.14999999999964</v>
      </c>
      <c r="S19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20" spans="1:19" x14ac:dyDescent="0.25">
      <c r="A1920" s="1" t="s">
        <v>2908</v>
      </c>
      <c r="B1920" s="2">
        <v>45413</v>
      </c>
      <c r="C1920" s="1" t="s">
        <v>42</v>
      </c>
      <c r="D1920" s="1" t="s">
        <v>55</v>
      </c>
      <c r="E1920" s="1" t="s">
        <v>62</v>
      </c>
      <c r="F1920" s="1" t="s">
        <v>21</v>
      </c>
      <c r="G1920" s="1" t="s">
        <v>112</v>
      </c>
      <c r="H1920" s="1" t="s">
        <v>223</v>
      </c>
      <c r="I1920" s="1">
        <v>508.07</v>
      </c>
      <c r="J1920" s="1">
        <v>4</v>
      </c>
      <c r="K1920" s="1">
        <v>2032.28</v>
      </c>
      <c r="L1920" s="1">
        <v>15</v>
      </c>
      <c r="M1920" s="1">
        <v>304.83999999999997</v>
      </c>
      <c r="N1920" s="1">
        <v>1727.44</v>
      </c>
      <c r="O1920" s="1" t="s">
        <v>64</v>
      </c>
      <c r="P1920" s="1" t="s">
        <v>2909</v>
      </c>
      <c r="Q1920" s="1">
        <v>5</v>
      </c>
      <c r="R1920" s="1">
        <f>Retail_Sales_Analyis[[#This Row],[Final_Price]]-Retail_Sales_Analyis[[#This Row],[Total_Price]]</f>
        <v>-304.83999999999992</v>
      </c>
      <c r="S19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21" spans="1:19" x14ac:dyDescent="0.25">
      <c r="A1921" s="1" t="s">
        <v>2910</v>
      </c>
      <c r="B1921" s="2">
        <v>45519</v>
      </c>
      <c r="C1921" s="1" t="s">
        <v>93</v>
      </c>
      <c r="D1921" s="1" t="s">
        <v>67</v>
      </c>
      <c r="E1921" s="1" t="s">
        <v>129</v>
      </c>
      <c r="F1921" s="1" t="s">
        <v>30</v>
      </c>
      <c r="G1921" s="1" t="s">
        <v>22</v>
      </c>
      <c r="H1921" s="1" t="s">
        <v>23</v>
      </c>
      <c r="I1921" s="1">
        <v>898.37</v>
      </c>
      <c r="J1921" s="1">
        <v>1</v>
      </c>
      <c r="K1921" s="1">
        <v>898.37</v>
      </c>
      <c r="L1921" s="1">
        <v>0</v>
      </c>
      <c r="M1921" s="1">
        <v>0</v>
      </c>
      <c r="N1921" s="1">
        <v>898.37</v>
      </c>
      <c r="O1921" s="1" t="s">
        <v>24</v>
      </c>
      <c r="P1921" s="1" t="s">
        <v>2911</v>
      </c>
      <c r="Q1921" s="1">
        <v>3</v>
      </c>
      <c r="R1921" s="1">
        <f>Retail_Sales_Analyis[[#This Row],[Final_Price]]-Retail_Sales_Analyis[[#This Row],[Total_Price]]</f>
        <v>0</v>
      </c>
      <c r="S19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22" spans="1:19" x14ac:dyDescent="0.25">
      <c r="A1922" s="1" t="s">
        <v>2912</v>
      </c>
      <c r="B1922" s="2">
        <v>45604</v>
      </c>
      <c r="C1922" s="1" t="s">
        <v>18</v>
      </c>
      <c r="D1922" s="1" t="s">
        <v>144</v>
      </c>
      <c r="E1922" s="1" t="s">
        <v>50</v>
      </c>
      <c r="F1922" s="1" t="s">
        <v>21</v>
      </c>
      <c r="G1922" s="1" t="s">
        <v>57</v>
      </c>
      <c r="H1922" s="1" t="s">
        <v>122</v>
      </c>
      <c r="I1922" s="1">
        <v>2187.4</v>
      </c>
      <c r="J1922" s="1">
        <v>6</v>
      </c>
      <c r="K1922" s="1">
        <v>13124.4</v>
      </c>
      <c r="L1922" s="1">
        <v>10</v>
      </c>
      <c r="M1922" s="1">
        <v>1312.44</v>
      </c>
      <c r="N1922" s="1">
        <v>11811.96</v>
      </c>
      <c r="O1922" s="1" t="s">
        <v>64</v>
      </c>
      <c r="P1922" s="1" t="s">
        <v>1477</v>
      </c>
      <c r="Q1922" s="1">
        <v>4</v>
      </c>
      <c r="R1922" s="1">
        <f>Retail_Sales_Analyis[[#This Row],[Final_Price]]-Retail_Sales_Analyis[[#This Row],[Total_Price]]</f>
        <v>-1312.4400000000005</v>
      </c>
      <c r="S19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23" spans="1:19" x14ac:dyDescent="0.25">
      <c r="A1923" s="1" t="s">
        <v>2913</v>
      </c>
      <c r="B1923" s="2">
        <v>45437</v>
      </c>
      <c r="C1923" s="1" t="s">
        <v>42</v>
      </c>
      <c r="D1923" s="1" t="s">
        <v>19</v>
      </c>
      <c r="E1923" s="1" t="s">
        <v>56</v>
      </c>
      <c r="F1923" s="1" t="s">
        <v>69</v>
      </c>
      <c r="G1923" s="1" t="s">
        <v>112</v>
      </c>
      <c r="H1923" s="1" t="s">
        <v>223</v>
      </c>
      <c r="I1923" s="1">
        <v>1176.6500000000001</v>
      </c>
      <c r="J1923" s="1">
        <v>9</v>
      </c>
      <c r="K1923" s="1">
        <v>10589.85</v>
      </c>
      <c r="L1923" s="1">
        <v>15</v>
      </c>
      <c r="M1923" s="1">
        <v>1588.48</v>
      </c>
      <c r="N1923" s="1">
        <v>9001.3700000000008</v>
      </c>
      <c r="O1923" s="1" t="s">
        <v>33</v>
      </c>
      <c r="P1923" s="1" t="s">
        <v>2570</v>
      </c>
      <c r="Q1923" s="1">
        <v>2</v>
      </c>
      <c r="R1923" s="1">
        <f>Retail_Sales_Analyis[[#This Row],[Final_Price]]-Retail_Sales_Analyis[[#This Row],[Total_Price]]</f>
        <v>-1588.4799999999996</v>
      </c>
      <c r="S19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24" spans="1:19" x14ac:dyDescent="0.25">
      <c r="A1924" s="1" t="s">
        <v>2914</v>
      </c>
      <c r="B1924" s="2">
        <v>45521</v>
      </c>
      <c r="C1924" s="1" t="s">
        <v>93</v>
      </c>
      <c r="D1924" s="1" t="s">
        <v>19</v>
      </c>
      <c r="E1924" s="1" t="s">
        <v>121</v>
      </c>
      <c r="F1924" s="1" t="s">
        <v>21</v>
      </c>
      <c r="G1924" s="1" t="s">
        <v>57</v>
      </c>
      <c r="H1924" s="1" t="s">
        <v>101</v>
      </c>
      <c r="I1924" s="1">
        <v>696.47</v>
      </c>
      <c r="J1924" s="1">
        <v>9</v>
      </c>
      <c r="K1924" s="1">
        <v>6268.23</v>
      </c>
      <c r="L1924" s="1">
        <v>0</v>
      </c>
      <c r="M1924" s="1">
        <v>0</v>
      </c>
      <c r="N1924" s="1">
        <v>6268.23</v>
      </c>
      <c r="O1924" s="1" t="s">
        <v>80</v>
      </c>
      <c r="P1924" s="1" t="s">
        <v>417</v>
      </c>
      <c r="Q1924" s="1">
        <v>5</v>
      </c>
      <c r="R1924" s="1">
        <f>Retail_Sales_Analyis[[#This Row],[Final_Price]]-Retail_Sales_Analyis[[#This Row],[Total_Price]]</f>
        <v>0</v>
      </c>
      <c r="S19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25" spans="1:19" x14ac:dyDescent="0.25">
      <c r="A1925" s="1" t="s">
        <v>2915</v>
      </c>
      <c r="B1925" s="2">
        <v>45411</v>
      </c>
      <c r="C1925" s="1" t="s">
        <v>54</v>
      </c>
      <c r="D1925" s="1" t="s">
        <v>43</v>
      </c>
      <c r="E1925" s="1" t="s">
        <v>328</v>
      </c>
      <c r="F1925" s="1" t="s">
        <v>84</v>
      </c>
      <c r="G1925" s="1" t="s">
        <v>31</v>
      </c>
      <c r="H1925" s="1" t="s">
        <v>32</v>
      </c>
      <c r="I1925" s="1">
        <v>455.06</v>
      </c>
      <c r="J1925" s="1">
        <v>2</v>
      </c>
      <c r="K1925" s="1">
        <v>910.12</v>
      </c>
      <c r="L1925" s="1">
        <v>10</v>
      </c>
      <c r="M1925" s="1">
        <v>91.01</v>
      </c>
      <c r="N1925" s="1">
        <v>819.11</v>
      </c>
      <c r="O1925" s="1" t="s">
        <v>46</v>
      </c>
      <c r="P1925" s="1" t="s">
        <v>1067</v>
      </c>
      <c r="Q1925" s="1">
        <v>1</v>
      </c>
      <c r="R1925" s="1">
        <f>Retail_Sales_Analyis[[#This Row],[Final_Price]]-Retail_Sales_Analyis[[#This Row],[Total_Price]]</f>
        <v>-91.009999999999991</v>
      </c>
      <c r="S19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26" spans="1:19" x14ac:dyDescent="0.25">
      <c r="A1926" s="1" t="s">
        <v>2916</v>
      </c>
      <c r="B1926" s="2">
        <v>45565</v>
      </c>
      <c r="C1926" s="1" t="s">
        <v>116</v>
      </c>
      <c r="D1926" s="1" t="s">
        <v>43</v>
      </c>
      <c r="E1926" s="1" t="s">
        <v>351</v>
      </c>
      <c r="F1926" s="1" t="s">
        <v>37</v>
      </c>
      <c r="G1926" s="1" t="s">
        <v>22</v>
      </c>
      <c r="H1926" s="1" t="s">
        <v>23</v>
      </c>
      <c r="I1926" s="1">
        <v>518.12</v>
      </c>
      <c r="J1926" s="1">
        <v>2</v>
      </c>
      <c r="K1926" s="1">
        <v>1036.24</v>
      </c>
      <c r="L1926" s="1">
        <v>0</v>
      </c>
      <c r="M1926" s="1">
        <v>0</v>
      </c>
      <c r="N1926" s="1">
        <v>1036.24</v>
      </c>
      <c r="O1926" s="1" t="s">
        <v>33</v>
      </c>
      <c r="P1926" s="1" t="s">
        <v>389</v>
      </c>
      <c r="Q1926" s="1">
        <v>5</v>
      </c>
      <c r="R1926" s="1">
        <f>Retail_Sales_Analyis[[#This Row],[Final_Price]]-Retail_Sales_Analyis[[#This Row],[Total_Price]]</f>
        <v>0</v>
      </c>
      <c r="S19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27" spans="1:19" x14ac:dyDescent="0.25">
      <c r="A1927" s="1" t="s">
        <v>2917</v>
      </c>
      <c r="B1927" s="2">
        <v>45414</v>
      </c>
      <c r="C1927" s="1" t="s">
        <v>42</v>
      </c>
      <c r="D1927" s="1" t="s">
        <v>67</v>
      </c>
      <c r="E1927" s="1" t="s">
        <v>125</v>
      </c>
      <c r="F1927" s="1" t="s">
        <v>84</v>
      </c>
      <c r="G1927" s="1" t="s">
        <v>169</v>
      </c>
      <c r="H1927" s="1" t="s">
        <v>366</v>
      </c>
      <c r="I1927" s="1">
        <v>486.06</v>
      </c>
      <c r="J1927" s="1">
        <v>9</v>
      </c>
      <c r="K1927" s="1">
        <v>4374.54</v>
      </c>
      <c r="L1927" s="1">
        <v>20</v>
      </c>
      <c r="M1927" s="1">
        <v>874.91</v>
      </c>
      <c r="N1927" s="1">
        <v>3499.63</v>
      </c>
      <c r="O1927" s="1" t="s">
        <v>64</v>
      </c>
      <c r="P1927" s="1" t="s">
        <v>773</v>
      </c>
      <c r="Q1927" s="1">
        <v>2</v>
      </c>
      <c r="R1927" s="1">
        <f>Retail_Sales_Analyis[[#This Row],[Final_Price]]-Retail_Sales_Analyis[[#This Row],[Total_Price]]</f>
        <v>-874.90999999999985</v>
      </c>
      <c r="S19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28" spans="1:19" x14ac:dyDescent="0.25">
      <c r="A1928" s="1" t="s">
        <v>2918</v>
      </c>
      <c r="B1928" s="2">
        <v>45450</v>
      </c>
      <c r="C1928" s="1" t="s">
        <v>173</v>
      </c>
      <c r="D1928" s="1" t="s">
        <v>144</v>
      </c>
      <c r="E1928" s="1" t="s">
        <v>117</v>
      </c>
      <c r="F1928" s="1" t="s">
        <v>84</v>
      </c>
      <c r="G1928" s="1" t="s">
        <v>169</v>
      </c>
      <c r="H1928" s="1" t="s">
        <v>170</v>
      </c>
      <c r="I1928" s="1">
        <v>1318.98</v>
      </c>
      <c r="J1928" s="1">
        <v>4</v>
      </c>
      <c r="K1928" s="1">
        <v>5275.92</v>
      </c>
      <c r="L1928" s="1">
        <v>0</v>
      </c>
      <c r="M1928" s="1">
        <v>0</v>
      </c>
      <c r="N1928" s="1">
        <v>5275.92</v>
      </c>
      <c r="O1928" s="1" t="s">
        <v>64</v>
      </c>
      <c r="P1928" s="1" t="s">
        <v>2463</v>
      </c>
      <c r="Q1928" s="1">
        <v>4</v>
      </c>
      <c r="R1928" s="1">
        <f>Retail_Sales_Analyis[[#This Row],[Final_Price]]-Retail_Sales_Analyis[[#This Row],[Total_Price]]</f>
        <v>0</v>
      </c>
      <c r="S19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29" spans="1:19" x14ac:dyDescent="0.25">
      <c r="A1929" s="1" t="s">
        <v>2919</v>
      </c>
      <c r="B1929" s="2">
        <v>45532</v>
      </c>
      <c r="C1929" s="1" t="s">
        <v>93</v>
      </c>
      <c r="D1929" s="1" t="s">
        <v>55</v>
      </c>
      <c r="E1929" s="1" t="s">
        <v>121</v>
      </c>
      <c r="F1929" s="1" t="s">
        <v>37</v>
      </c>
      <c r="G1929" s="1" t="s">
        <v>169</v>
      </c>
      <c r="H1929" s="1" t="s">
        <v>170</v>
      </c>
      <c r="I1929" s="1">
        <v>872.24</v>
      </c>
      <c r="J1929" s="1">
        <v>1</v>
      </c>
      <c r="K1929" s="1">
        <v>872.24</v>
      </c>
      <c r="L1929" s="1">
        <v>5</v>
      </c>
      <c r="M1929" s="1">
        <v>43.61</v>
      </c>
      <c r="N1929" s="1">
        <v>828.63</v>
      </c>
      <c r="O1929" s="1" t="s">
        <v>33</v>
      </c>
      <c r="P1929" s="1" t="s">
        <v>2920</v>
      </c>
      <c r="Q1929" s="1">
        <v>4</v>
      </c>
      <c r="R1929" s="1">
        <f>Retail_Sales_Analyis[[#This Row],[Final_Price]]-Retail_Sales_Analyis[[#This Row],[Total_Price]]</f>
        <v>-43.610000000000014</v>
      </c>
      <c r="S19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30" spans="1:19" x14ac:dyDescent="0.25">
      <c r="A1930" s="1" t="s">
        <v>2921</v>
      </c>
      <c r="B1930" s="2">
        <v>45391</v>
      </c>
      <c r="C1930" s="1" t="s">
        <v>54</v>
      </c>
      <c r="D1930" s="1" t="s">
        <v>28</v>
      </c>
      <c r="E1930" s="1" t="s">
        <v>157</v>
      </c>
      <c r="F1930" s="1" t="s">
        <v>84</v>
      </c>
      <c r="G1930" s="1" t="s">
        <v>112</v>
      </c>
      <c r="H1930" s="1" t="s">
        <v>288</v>
      </c>
      <c r="I1930" s="1">
        <v>1633.28</v>
      </c>
      <c r="J1930" s="1">
        <v>6</v>
      </c>
      <c r="K1930" s="1">
        <v>9799.68</v>
      </c>
      <c r="L1930" s="1">
        <v>20</v>
      </c>
      <c r="M1930" s="1">
        <v>1959.94</v>
      </c>
      <c r="N1930" s="1">
        <v>7839.74</v>
      </c>
      <c r="O1930" s="1" t="s">
        <v>80</v>
      </c>
      <c r="P1930" s="1" t="s">
        <v>349</v>
      </c>
      <c r="Q1930" s="1">
        <v>2</v>
      </c>
      <c r="R1930" s="1">
        <f>Retail_Sales_Analyis[[#This Row],[Final_Price]]-Retail_Sales_Analyis[[#This Row],[Total_Price]]</f>
        <v>-1959.9400000000005</v>
      </c>
      <c r="S19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31" spans="1:19" x14ac:dyDescent="0.25">
      <c r="A1931" s="1" t="s">
        <v>2922</v>
      </c>
      <c r="B1931" s="2">
        <v>45480</v>
      </c>
      <c r="C1931" s="1" t="s">
        <v>195</v>
      </c>
      <c r="D1931" s="1" t="s">
        <v>49</v>
      </c>
      <c r="E1931" s="1" t="s">
        <v>89</v>
      </c>
      <c r="F1931" s="1" t="s">
        <v>69</v>
      </c>
      <c r="G1931" s="1" t="s">
        <v>169</v>
      </c>
      <c r="H1931" s="1" t="s">
        <v>175</v>
      </c>
      <c r="I1931" s="1">
        <v>596.83000000000004</v>
      </c>
      <c r="J1931" s="1">
        <v>2</v>
      </c>
      <c r="K1931" s="1">
        <v>1193.6600000000001</v>
      </c>
      <c r="L1931" s="1">
        <v>10</v>
      </c>
      <c r="M1931" s="1">
        <v>119.37</v>
      </c>
      <c r="N1931" s="1">
        <v>1074.29</v>
      </c>
      <c r="O1931" s="1" t="s">
        <v>64</v>
      </c>
      <c r="P1931" s="1" t="s">
        <v>123</v>
      </c>
      <c r="Q1931" s="1">
        <v>4</v>
      </c>
      <c r="R1931" s="1">
        <f>Retail_Sales_Analyis[[#This Row],[Final_Price]]-Retail_Sales_Analyis[[#This Row],[Total_Price]]</f>
        <v>-119.37000000000012</v>
      </c>
      <c r="S19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32" spans="1:19" x14ac:dyDescent="0.25">
      <c r="A1932" s="1" t="s">
        <v>2923</v>
      </c>
      <c r="B1932" s="2">
        <v>45639</v>
      </c>
      <c r="C1932" s="1" t="s">
        <v>73</v>
      </c>
      <c r="D1932" s="1" t="s">
        <v>144</v>
      </c>
      <c r="E1932" s="1" t="s">
        <v>132</v>
      </c>
      <c r="F1932" s="1" t="s">
        <v>69</v>
      </c>
      <c r="G1932" s="1" t="s">
        <v>22</v>
      </c>
      <c r="H1932" s="1" t="s">
        <v>133</v>
      </c>
      <c r="I1932" s="1">
        <v>568.52</v>
      </c>
      <c r="J1932" s="1">
        <v>9</v>
      </c>
      <c r="K1932" s="1">
        <v>5116.68</v>
      </c>
      <c r="L1932" s="1">
        <v>15</v>
      </c>
      <c r="M1932" s="1">
        <v>767.5</v>
      </c>
      <c r="N1932" s="1">
        <v>4349.18</v>
      </c>
      <c r="O1932" s="1" t="s">
        <v>24</v>
      </c>
      <c r="P1932" s="1" t="s">
        <v>2924</v>
      </c>
      <c r="Q1932" s="1">
        <v>3</v>
      </c>
      <c r="R1932" s="1">
        <f>Retail_Sales_Analyis[[#This Row],[Final_Price]]-Retail_Sales_Analyis[[#This Row],[Total_Price]]</f>
        <v>-767.5</v>
      </c>
      <c r="S19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33" spans="1:19" x14ac:dyDescent="0.25">
      <c r="A1933" s="1" t="s">
        <v>2925</v>
      </c>
      <c r="B1933" s="2">
        <v>45584</v>
      </c>
      <c r="C1933" s="1" t="s">
        <v>76</v>
      </c>
      <c r="D1933" s="1" t="s">
        <v>19</v>
      </c>
      <c r="E1933" s="1" t="s">
        <v>117</v>
      </c>
      <c r="F1933" s="1" t="s">
        <v>37</v>
      </c>
      <c r="G1933" s="1" t="s">
        <v>57</v>
      </c>
      <c r="H1933" s="1" t="s">
        <v>122</v>
      </c>
      <c r="I1933" s="1">
        <v>2139.7800000000002</v>
      </c>
      <c r="J1933" s="1">
        <v>6</v>
      </c>
      <c r="K1933" s="1">
        <v>12838.68</v>
      </c>
      <c r="L1933" s="1">
        <v>15</v>
      </c>
      <c r="M1933" s="1">
        <v>1925.8</v>
      </c>
      <c r="N1933" s="1">
        <v>10912.88</v>
      </c>
      <c r="O1933" s="1" t="s">
        <v>33</v>
      </c>
      <c r="P1933" s="1" t="s">
        <v>74</v>
      </c>
      <c r="Q1933" s="1">
        <v>2</v>
      </c>
      <c r="R1933" s="1">
        <f>Retail_Sales_Analyis[[#This Row],[Final_Price]]-Retail_Sales_Analyis[[#This Row],[Total_Price]]</f>
        <v>-1925.8000000000011</v>
      </c>
      <c r="S19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34" spans="1:19" x14ac:dyDescent="0.25">
      <c r="A1934" s="1" t="s">
        <v>2926</v>
      </c>
      <c r="B1934" s="2">
        <v>45517</v>
      </c>
      <c r="C1934" s="1" t="s">
        <v>93</v>
      </c>
      <c r="D1934" s="1" t="s">
        <v>28</v>
      </c>
      <c r="E1934" s="1" t="s">
        <v>50</v>
      </c>
      <c r="F1934" s="1" t="s">
        <v>30</v>
      </c>
      <c r="G1934" s="1" t="s">
        <v>85</v>
      </c>
      <c r="H1934" s="1" t="s">
        <v>86</v>
      </c>
      <c r="I1934" s="1">
        <v>2507.48</v>
      </c>
      <c r="J1934" s="1">
        <v>7</v>
      </c>
      <c r="K1934" s="1">
        <v>17552.36</v>
      </c>
      <c r="L1934" s="1">
        <v>10</v>
      </c>
      <c r="M1934" s="1">
        <v>1755.24</v>
      </c>
      <c r="N1934" s="1">
        <v>15797.12</v>
      </c>
      <c r="O1934" s="1" t="s">
        <v>33</v>
      </c>
      <c r="P1934" s="1" t="s">
        <v>164</v>
      </c>
      <c r="Q1934" s="1">
        <v>2</v>
      </c>
      <c r="R1934" s="1">
        <f>Retail_Sales_Analyis[[#This Row],[Final_Price]]-Retail_Sales_Analyis[[#This Row],[Total_Price]]</f>
        <v>-1755.2399999999998</v>
      </c>
      <c r="S19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35" spans="1:19" x14ac:dyDescent="0.25">
      <c r="A1935" s="1" t="s">
        <v>2927</v>
      </c>
      <c r="B1935" s="2">
        <v>45528</v>
      </c>
      <c r="C1935" s="1" t="s">
        <v>93</v>
      </c>
      <c r="D1935" s="1" t="s">
        <v>19</v>
      </c>
      <c r="E1935" s="1" t="s">
        <v>132</v>
      </c>
      <c r="F1935" s="1" t="s">
        <v>84</v>
      </c>
      <c r="G1935" s="1" t="s">
        <v>169</v>
      </c>
      <c r="H1935" s="1" t="s">
        <v>366</v>
      </c>
      <c r="I1935" s="1">
        <v>688.41</v>
      </c>
      <c r="J1935" s="1">
        <v>4</v>
      </c>
      <c r="K1935" s="1">
        <v>2753.64</v>
      </c>
      <c r="L1935" s="1">
        <v>0</v>
      </c>
      <c r="M1935" s="1">
        <v>0</v>
      </c>
      <c r="N1935" s="1">
        <v>2753.64</v>
      </c>
      <c r="O1935" s="1" t="s">
        <v>80</v>
      </c>
      <c r="P1935" s="1" t="s">
        <v>211</v>
      </c>
      <c r="Q1935" s="1">
        <v>5</v>
      </c>
      <c r="R1935" s="1">
        <f>Retail_Sales_Analyis[[#This Row],[Final_Price]]-Retail_Sales_Analyis[[#This Row],[Total_Price]]</f>
        <v>0</v>
      </c>
      <c r="S19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36" spans="1:19" x14ac:dyDescent="0.25">
      <c r="A1936" s="1" t="s">
        <v>2928</v>
      </c>
      <c r="B1936" s="2">
        <v>45436</v>
      </c>
      <c r="C1936" s="1" t="s">
        <v>42</v>
      </c>
      <c r="D1936" s="1" t="s">
        <v>144</v>
      </c>
      <c r="E1936" s="1" t="s">
        <v>174</v>
      </c>
      <c r="F1936" s="1" t="s">
        <v>69</v>
      </c>
      <c r="G1936" s="1" t="s">
        <v>85</v>
      </c>
      <c r="H1936" s="1" t="s">
        <v>180</v>
      </c>
      <c r="I1936" s="1">
        <v>2304.6</v>
      </c>
      <c r="J1936" s="1">
        <v>10</v>
      </c>
      <c r="K1936" s="1">
        <v>23046</v>
      </c>
      <c r="L1936" s="1">
        <v>0</v>
      </c>
      <c r="M1936" s="1">
        <v>0</v>
      </c>
      <c r="N1936" s="1">
        <v>23046</v>
      </c>
      <c r="O1936" s="1" t="s">
        <v>33</v>
      </c>
      <c r="P1936" s="1" t="s">
        <v>340</v>
      </c>
      <c r="Q1936" s="1">
        <v>1</v>
      </c>
      <c r="R1936" s="1">
        <f>Retail_Sales_Analyis[[#This Row],[Final_Price]]-Retail_Sales_Analyis[[#This Row],[Total_Price]]</f>
        <v>0</v>
      </c>
      <c r="S19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37" spans="1:19" x14ac:dyDescent="0.25">
      <c r="A1937" s="1" t="s">
        <v>2929</v>
      </c>
      <c r="B1937" s="2">
        <v>45487</v>
      </c>
      <c r="C1937" s="1" t="s">
        <v>195</v>
      </c>
      <c r="D1937" s="1" t="s">
        <v>49</v>
      </c>
      <c r="E1937" s="1" t="s">
        <v>328</v>
      </c>
      <c r="F1937" s="1" t="s">
        <v>69</v>
      </c>
      <c r="G1937" s="1" t="s">
        <v>38</v>
      </c>
      <c r="H1937" s="1" t="s">
        <v>214</v>
      </c>
      <c r="I1937" s="1">
        <v>505.53</v>
      </c>
      <c r="J1937" s="1">
        <v>10</v>
      </c>
      <c r="K1937" s="1">
        <v>5055.3</v>
      </c>
      <c r="L1937" s="1">
        <v>0</v>
      </c>
      <c r="M1937" s="1">
        <v>0</v>
      </c>
      <c r="N1937" s="1">
        <v>5055.3</v>
      </c>
      <c r="O1937" s="1" t="s">
        <v>33</v>
      </c>
      <c r="P1937" s="1" t="s">
        <v>530</v>
      </c>
      <c r="Q1937" s="1">
        <v>3</v>
      </c>
      <c r="R1937" s="1">
        <f>Retail_Sales_Analyis[[#This Row],[Final_Price]]-Retail_Sales_Analyis[[#This Row],[Total_Price]]</f>
        <v>0</v>
      </c>
      <c r="S19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38" spans="1:19" x14ac:dyDescent="0.25">
      <c r="A1938" s="1" t="s">
        <v>2930</v>
      </c>
      <c r="B1938" s="2">
        <v>45549</v>
      </c>
      <c r="C1938" s="1" t="s">
        <v>116</v>
      </c>
      <c r="D1938" s="1" t="s">
        <v>19</v>
      </c>
      <c r="E1938" s="1" t="s">
        <v>50</v>
      </c>
      <c r="F1938" s="1" t="s">
        <v>69</v>
      </c>
      <c r="G1938" s="1" t="s">
        <v>22</v>
      </c>
      <c r="H1938" s="1" t="s">
        <v>51</v>
      </c>
      <c r="I1938" s="1">
        <v>672.21</v>
      </c>
      <c r="J1938" s="1">
        <v>5</v>
      </c>
      <c r="K1938" s="1">
        <v>3361.05</v>
      </c>
      <c r="L1938" s="1">
        <v>0</v>
      </c>
      <c r="M1938" s="1">
        <v>0</v>
      </c>
      <c r="N1938" s="1">
        <v>3361.05</v>
      </c>
      <c r="O1938" s="1" t="s">
        <v>33</v>
      </c>
      <c r="P1938" s="1" t="s">
        <v>592</v>
      </c>
      <c r="Q1938" s="1">
        <v>5</v>
      </c>
      <c r="R1938" s="1">
        <f>Retail_Sales_Analyis[[#This Row],[Final_Price]]-Retail_Sales_Analyis[[#This Row],[Total_Price]]</f>
        <v>0</v>
      </c>
      <c r="S19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39" spans="1:19" x14ac:dyDescent="0.25">
      <c r="A1939" s="1" t="s">
        <v>2931</v>
      </c>
      <c r="B1939" s="2">
        <v>45562</v>
      </c>
      <c r="C1939" s="1" t="s">
        <v>116</v>
      </c>
      <c r="D1939" s="1" t="s">
        <v>144</v>
      </c>
      <c r="E1939" s="1" t="s">
        <v>151</v>
      </c>
      <c r="F1939" s="1" t="s">
        <v>84</v>
      </c>
      <c r="G1939" s="1" t="s">
        <v>112</v>
      </c>
      <c r="H1939" s="1" t="s">
        <v>183</v>
      </c>
      <c r="I1939" s="1">
        <v>505.77</v>
      </c>
      <c r="J1939" s="1">
        <v>10</v>
      </c>
      <c r="K1939" s="1">
        <v>5057.7</v>
      </c>
      <c r="L1939" s="1">
        <v>5</v>
      </c>
      <c r="M1939" s="1">
        <v>252.88</v>
      </c>
      <c r="N1939" s="1">
        <v>4804.82</v>
      </c>
      <c r="O1939" s="1" t="s">
        <v>46</v>
      </c>
      <c r="P1939" s="1" t="s">
        <v>750</v>
      </c>
      <c r="Q1939" s="1">
        <v>4</v>
      </c>
      <c r="R1939" s="1">
        <f>Retail_Sales_Analyis[[#This Row],[Final_Price]]-Retail_Sales_Analyis[[#This Row],[Total_Price]]</f>
        <v>-252.88000000000011</v>
      </c>
      <c r="S19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40" spans="1:19" x14ac:dyDescent="0.25">
      <c r="A1940" s="1" t="s">
        <v>2932</v>
      </c>
      <c r="B1940" s="2">
        <v>45506</v>
      </c>
      <c r="C1940" s="1" t="s">
        <v>93</v>
      </c>
      <c r="D1940" s="1" t="s">
        <v>144</v>
      </c>
      <c r="E1940" s="1" t="s">
        <v>351</v>
      </c>
      <c r="F1940" s="1" t="s">
        <v>37</v>
      </c>
      <c r="G1940" s="1" t="s">
        <v>38</v>
      </c>
      <c r="H1940" s="1" t="s">
        <v>108</v>
      </c>
      <c r="I1940" s="1">
        <v>293.06</v>
      </c>
      <c r="J1940" s="1">
        <v>9</v>
      </c>
      <c r="K1940" s="1">
        <v>2637.54</v>
      </c>
      <c r="L1940" s="1">
        <v>0</v>
      </c>
      <c r="M1940" s="1">
        <v>0</v>
      </c>
      <c r="N1940" s="1">
        <v>2637.54</v>
      </c>
      <c r="O1940" s="1" t="s">
        <v>80</v>
      </c>
      <c r="P1940" s="1" t="s">
        <v>2553</v>
      </c>
      <c r="Q1940" s="1">
        <v>5</v>
      </c>
      <c r="R1940" s="1">
        <f>Retail_Sales_Analyis[[#This Row],[Final_Price]]-Retail_Sales_Analyis[[#This Row],[Total_Price]]</f>
        <v>0</v>
      </c>
      <c r="S19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1" spans="1:19" x14ac:dyDescent="0.25">
      <c r="A1941" s="1" t="s">
        <v>2933</v>
      </c>
      <c r="B1941" s="2">
        <v>45374</v>
      </c>
      <c r="C1941" s="1" t="s">
        <v>61</v>
      </c>
      <c r="D1941" s="1" t="s">
        <v>19</v>
      </c>
      <c r="E1941" s="1" t="s">
        <v>207</v>
      </c>
      <c r="F1941" s="1" t="s">
        <v>84</v>
      </c>
      <c r="G1941" s="1" t="s">
        <v>31</v>
      </c>
      <c r="H1941" s="1" t="s">
        <v>250</v>
      </c>
      <c r="I1941" s="1">
        <v>180.04</v>
      </c>
      <c r="J1941" s="1">
        <v>8</v>
      </c>
      <c r="K1941" s="1">
        <v>1440.32</v>
      </c>
      <c r="L1941" s="1">
        <v>10</v>
      </c>
      <c r="M1941" s="1">
        <v>144.03</v>
      </c>
      <c r="N1941" s="1">
        <v>1296.29</v>
      </c>
      <c r="O1941" s="1" t="s">
        <v>46</v>
      </c>
      <c r="P1941" s="1" t="s">
        <v>2934</v>
      </c>
      <c r="Q1941" s="1">
        <v>2</v>
      </c>
      <c r="R1941" s="1">
        <f>Retail_Sales_Analyis[[#This Row],[Final_Price]]-Retail_Sales_Analyis[[#This Row],[Total_Price]]</f>
        <v>-144.02999999999997</v>
      </c>
      <c r="S19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42" spans="1:19" x14ac:dyDescent="0.25">
      <c r="A1942" s="1" t="s">
        <v>2935</v>
      </c>
      <c r="B1942" s="2">
        <v>45394</v>
      </c>
      <c r="C1942" s="1" t="s">
        <v>54</v>
      </c>
      <c r="D1942" s="1" t="s">
        <v>144</v>
      </c>
      <c r="E1942" s="1" t="s">
        <v>94</v>
      </c>
      <c r="F1942" s="1" t="s">
        <v>30</v>
      </c>
      <c r="G1942" s="1" t="s">
        <v>169</v>
      </c>
      <c r="H1942" s="1" t="s">
        <v>348</v>
      </c>
      <c r="I1942" s="1">
        <v>651.55999999999995</v>
      </c>
      <c r="J1942" s="1">
        <v>10</v>
      </c>
      <c r="K1942" s="1">
        <v>6515.6</v>
      </c>
      <c r="L1942" s="1">
        <v>10</v>
      </c>
      <c r="M1942" s="1">
        <v>651.55999999999995</v>
      </c>
      <c r="N1942" s="1">
        <v>5864.04</v>
      </c>
      <c r="O1942" s="1" t="s">
        <v>24</v>
      </c>
      <c r="P1942" s="1" t="s">
        <v>1547</v>
      </c>
      <c r="Q1942" s="1">
        <v>3</v>
      </c>
      <c r="R1942" s="1">
        <f>Retail_Sales_Analyis[[#This Row],[Final_Price]]-Retail_Sales_Analyis[[#This Row],[Total_Price]]</f>
        <v>-651.5600000000004</v>
      </c>
      <c r="S19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43" spans="1:19" x14ac:dyDescent="0.25">
      <c r="A1943" s="1" t="s">
        <v>2936</v>
      </c>
      <c r="B1943" s="2">
        <v>45601</v>
      </c>
      <c r="C1943" s="1" t="s">
        <v>18</v>
      </c>
      <c r="D1943" s="1" t="s">
        <v>28</v>
      </c>
      <c r="E1943" s="1" t="s">
        <v>342</v>
      </c>
      <c r="F1943" s="1" t="s">
        <v>21</v>
      </c>
      <c r="G1943" s="1" t="s">
        <v>85</v>
      </c>
      <c r="H1943" s="1" t="s">
        <v>90</v>
      </c>
      <c r="I1943" s="1">
        <v>4224.8100000000004</v>
      </c>
      <c r="J1943" s="1">
        <v>1</v>
      </c>
      <c r="K1943" s="1">
        <v>4224.8100000000004</v>
      </c>
      <c r="L1943" s="1">
        <v>0</v>
      </c>
      <c r="M1943" s="1">
        <v>0</v>
      </c>
      <c r="N1943" s="1">
        <v>4224.8100000000004</v>
      </c>
      <c r="O1943" s="1" t="s">
        <v>64</v>
      </c>
      <c r="P1943" s="1" t="s">
        <v>2937</v>
      </c>
      <c r="Q1943" s="1">
        <v>1</v>
      </c>
      <c r="R1943" s="1">
        <f>Retail_Sales_Analyis[[#This Row],[Final_Price]]-Retail_Sales_Analyis[[#This Row],[Total_Price]]</f>
        <v>0</v>
      </c>
      <c r="S19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4" spans="1:19" x14ac:dyDescent="0.25">
      <c r="A1944" s="1" t="s">
        <v>2938</v>
      </c>
      <c r="B1944" s="2">
        <v>45362</v>
      </c>
      <c r="C1944" s="1" t="s">
        <v>61</v>
      </c>
      <c r="D1944" s="1" t="s">
        <v>43</v>
      </c>
      <c r="E1944" s="1" t="s">
        <v>111</v>
      </c>
      <c r="F1944" s="1" t="s">
        <v>37</v>
      </c>
      <c r="G1944" s="1" t="s">
        <v>85</v>
      </c>
      <c r="H1944" s="1" t="s">
        <v>86</v>
      </c>
      <c r="I1944" s="1">
        <v>1156.3399999999999</v>
      </c>
      <c r="J1944" s="1">
        <v>7</v>
      </c>
      <c r="K1944" s="1">
        <v>8094.38</v>
      </c>
      <c r="L1944" s="1">
        <v>0</v>
      </c>
      <c r="M1944" s="1">
        <v>0</v>
      </c>
      <c r="N1944" s="1">
        <v>8094.38</v>
      </c>
      <c r="O1944" s="1" t="s">
        <v>80</v>
      </c>
      <c r="P1944" s="1" t="s">
        <v>1627</v>
      </c>
      <c r="Q1944" s="1">
        <v>5</v>
      </c>
      <c r="R1944" s="1">
        <f>Retail_Sales_Analyis[[#This Row],[Final_Price]]-Retail_Sales_Analyis[[#This Row],[Total_Price]]</f>
        <v>0</v>
      </c>
      <c r="S19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5" spans="1:19" x14ac:dyDescent="0.25">
      <c r="A1945" s="1" t="s">
        <v>2939</v>
      </c>
      <c r="B1945" s="2">
        <v>45420</v>
      </c>
      <c r="C1945" s="1" t="s">
        <v>42</v>
      </c>
      <c r="D1945" s="1" t="s">
        <v>55</v>
      </c>
      <c r="E1945" s="1" t="s">
        <v>77</v>
      </c>
      <c r="F1945" s="1" t="s">
        <v>21</v>
      </c>
      <c r="G1945" s="1" t="s">
        <v>85</v>
      </c>
      <c r="H1945" s="1" t="s">
        <v>180</v>
      </c>
      <c r="I1945" s="1">
        <v>3138.57</v>
      </c>
      <c r="J1945" s="1">
        <v>5</v>
      </c>
      <c r="K1945" s="1">
        <v>15692.85</v>
      </c>
      <c r="L1945" s="1">
        <v>0</v>
      </c>
      <c r="M1945" s="1">
        <v>0</v>
      </c>
      <c r="N1945" s="1">
        <v>15692.85</v>
      </c>
      <c r="O1945" s="1" t="s">
        <v>80</v>
      </c>
      <c r="P1945" s="1" t="s">
        <v>389</v>
      </c>
      <c r="Q1945" s="1">
        <v>1</v>
      </c>
      <c r="R1945" s="1">
        <f>Retail_Sales_Analyis[[#This Row],[Final_Price]]-Retail_Sales_Analyis[[#This Row],[Total_Price]]</f>
        <v>0</v>
      </c>
      <c r="S19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6" spans="1:19" x14ac:dyDescent="0.25">
      <c r="A1946" s="1" t="s">
        <v>2940</v>
      </c>
      <c r="B1946" s="2">
        <v>45318</v>
      </c>
      <c r="C1946" s="1" t="s">
        <v>36</v>
      </c>
      <c r="D1946" s="1" t="s">
        <v>19</v>
      </c>
      <c r="E1946" s="1" t="s">
        <v>29</v>
      </c>
      <c r="F1946" s="1" t="s">
        <v>84</v>
      </c>
      <c r="G1946" s="1" t="s">
        <v>57</v>
      </c>
      <c r="H1946" s="1" t="s">
        <v>152</v>
      </c>
      <c r="I1946" s="1">
        <v>1123.6600000000001</v>
      </c>
      <c r="J1946" s="1">
        <v>5</v>
      </c>
      <c r="K1946" s="1">
        <v>5618.3</v>
      </c>
      <c r="L1946" s="1">
        <v>15</v>
      </c>
      <c r="M1946" s="1">
        <v>842.75</v>
      </c>
      <c r="N1946" s="1">
        <v>4775.55</v>
      </c>
      <c r="O1946" s="1" t="s">
        <v>80</v>
      </c>
      <c r="P1946" s="1" t="s">
        <v>767</v>
      </c>
      <c r="Q1946" s="1">
        <v>5</v>
      </c>
      <c r="R1946" s="1">
        <f>Retail_Sales_Analyis[[#This Row],[Final_Price]]-Retail_Sales_Analyis[[#This Row],[Total_Price]]</f>
        <v>-842.75</v>
      </c>
      <c r="S19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47" spans="1:19" x14ac:dyDescent="0.25">
      <c r="A1947" s="1" t="s">
        <v>2941</v>
      </c>
      <c r="B1947" s="2">
        <v>45620</v>
      </c>
      <c r="C1947" s="1" t="s">
        <v>18</v>
      </c>
      <c r="D1947" s="1" t="s">
        <v>49</v>
      </c>
      <c r="E1947" s="1" t="s">
        <v>29</v>
      </c>
      <c r="F1947" s="1" t="s">
        <v>37</v>
      </c>
      <c r="G1947" s="1" t="s">
        <v>31</v>
      </c>
      <c r="H1947" s="1" t="s">
        <v>63</v>
      </c>
      <c r="I1947" s="1">
        <v>425.03</v>
      </c>
      <c r="J1947" s="1">
        <v>2</v>
      </c>
      <c r="K1947" s="1">
        <v>850.06</v>
      </c>
      <c r="L1947" s="1">
        <v>10</v>
      </c>
      <c r="M1947" s="1">
        <v>85.01</v>
      </c>
      <c r="N1947" s="1">
        <v>765.05</v>
      </c>
      <c r="O1947" s="1" t="s">
        <v>46</v>
      </c>
      <c r="P1947" s="1" t="s">
        <v>2942</v>
      </c>
      <c r="Q1947" s="1">
        <v>4</v>
      </c>
      <c r="R1947" s="1">
        <f>Retail_Sales_Analyis[[#This Row],[Final_Price]]-Retail_Sales_Analyis[[#This Row],[Total_Price]]</f>
        <v>-85.009999999999991</v>
      </c>
      <c r="S19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48" spans="1:19" x14ac:dyDescent="0.25">
      <c r="A1948" s="1" t="s">
        <v>2943</v>
      </c>
      <c r="B1948" s="2">
        <v>45538</v>
      </c>
      <c r="C1948" s="1" t="s">
        <v>116</v>
      </c>
      <c r="D1948" s="1" t="s">
        <v>28</v>
      </c>
      <c r="E1948" s="1" t="s">
        <v>285</v>
      </c>
      <c r="F1948" s="1" t="s">
        <v>30</v>
      </c>
      <c r="G1948" s="1" t="s">
        <v>31</v>
      </c>
      <c r="H1948" s="1" t="s">
        <v>63</v>
      </c>
      <c r="I1948" s="1">
        <v>461.84</v>
      </c>
      <c r="J1948" s="1">
        <v>1</v>
      </c>
      <c r="K1948" s="1">
        <v>461.84</v>
      </c>
      <c r="L1948" s="1">
        <v>0</v>
      </c>
      <c r="M1948" s="1">
        <v>0</v>
      </c>
      <c r="N1948" s="1">
        <v>461.84</v>
      </c>
      <c r="O1948" s="1" t="s">
        <v>64</v>
      </c>
      <c r="P1948" s="1" t="s">
        <v>2805</v>
      </c>
      <c r="Q1948" s="1">
        <v>1</v>
      </c>
      <c r="R1948" s="1">
        <f>Retail_Sales_Analyis[[#This Row],[Final_Price]]-Retail_Sales_Analyis[[#This Row],[Total_Price]]</f>
        <v>0</v>
      </c>
      <c r="S19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49" spans="1:19" x14ac:dyDescent="0.25">
      <c r="A1949" s="1" t="s">
        <v>2944</v>
      </c>
      <c r="B1949" s="2">
        <v>45482</v>
      </c>
      <c r="C1949" s="1" t="s">
        <v>195</v>
      </c>
      <c r="D1949" s="1" t="s">
        <v>28</v>
      </c>
      <c r="E1949" s="1" t="s">
        <v>411</v>
      </c>
      <c r="F1949" s="1" t="s">
        <v>69</v>
      </c>
      <c r="G1949" s="1" t="s">
        <v>22</v>
      </c>
      <c r="H1949" s="1" t="s">
        <v>51</v>
      </c>
      <c r="I1949" s="1">
        <v>281.45999999999998</v>
      </c>
      <c r="J1949" s="1">
        <v>10</v>
      </c>
      <c r="K1949" s="1">
        <v>2814.6</v>
      </c>
      <c r="L1949" s="1">
        <v>0</v>
      </c>
      <c r="M1949" s="1">
        <v>0</v>
      </c>
      <c r="N1949" s="1">
        <v>2814.6</v>
      </c>
      <c r="O1949" s="1" t="s">
        <v>64</v>
      </c>
      <c r="P1949" s="1" t="s">
        <v>1957</v>
      </c>
      <c r="Q1949" s="1">
        <v>1</v>
      </c>
      <c r="R1949" s="1">
        <f>Retail_Sales_Analyis[[#This Row],[Final_Price]]-Retail_Sales_Analyis[[#This Row],[Total_Price]]</f>
        <v>0</v>
      </c>
      <c r="S19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50" spans="1:19" x14ac:dyDescent="0.25">
      <c r="A1950" s="1" t="s">
        <v>2945</v>
      </c>
      <c r="B1950" s="2">
        <v>45575</v>
      </c>
      <c r="C1950" s="1" t="s">
        <v>76</v>
      </c>
      <c r="D1950" s="1" t="s">
        <v>67</v>
      </c>
      <c r="E1950" s="1" t="s">
        <v>104</v>
      </c>
      <c r="F1950" s="1" t="s">
        <v>30</v>
      </c>
      <c r="G1950" s="1" t="s">
        <v>169</v>
      </c>
      <c r="H1950" s="1" t="s">
        <v>170</v>
      </c>
      <c r="I1950" s="1">
        <v>613.27</v>
      </c>
      <c r="J1950" s="1">
        <v>10</v>
      </c>
      <c r="K1950" s="1">
        <v>6132.7</v>
      </c>
      <c r="L1950" s="1">
        <v>0</v>
      </c>
      <c r="M1950" s="1">
        <v>0</v>
      </c>
      <c r="N1950" s="1">
        <v>6132.7</v>
      </c>
      <c r="O1950" s="1" t="s">
        <v>33</v>
      </c>
      <c r="P1950" s="1" t="s">
        <v>1059</v>
      </c>
      <c r="Q1950" s="1">
        <v>5</v>
      </c>
      <c r="R1950" s="1">
        <f>Retail_Sales_Analyis[[#This Row],[Final_Price]]-Retail_Sales_Analyis[[#This Row],[Total_Price]]</f>
        <v>0</v>
      </c>
      <c r="S19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51" spans="1:19" x14ac:dyDescent="0.25">
      <c r="A1951" s="1" t="s">
        <v>2946</v>
      </c>
      <c r="B1951" s="2">
        <v>45344</v>
      </c>
      <c r="C1951" s="1" t="s">
        <v>27</v>
      </c>
      <c r="D1951" s="1" t="s">
        <v>67</v>
      </c>
      <c r="E1951" s="1" t="s">
        <v>139</v>
      </c>
      <c r="F1951" s="1" t="s">
        <v>69</v>
      </c>
      <c r="G1951" s="1" t="s">
        <v>31</v>
      </c>
      <c r="H1951" s="1" t="s">
        <v>45</v>
      </c>
      <c r="I1951" s="1">
        <v>73.3</v>
      </c>
      <c r="J1951" s="1">
        <v>8</v>
      </c>
      <c r="K1951" s="1">
        <v>586.4</v>
      </c>
      <c r="L1951" s="1">
        <v>15</v>
      </c>
      <c r="M1951" s="1">
        <v>87.96</v>
      </c>
      <c r="N1951" s="1">
        <v>498.44</v>
      </c>
      <c r="O1951" s="1" t="s">
        <v>24</v>
      </c>
      <c r="P1951" s="1" t="s">
        <v>1254</v>
      </c>
      <c r="Q1951" s="1">
        <v>1</v>
      </c>
      <c r="R1951" s="1">
        <f>Retail_Sales_Analyis[[#This Row],[Final_Price]]-Retail_Sales_Analyis[[#This Row],[Total_Price]]</f>
        <v>-87.95999999999998</v>
      </c>
      <c r="S19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52" spans="1:19" x14ac:dyDescent="0.25">
      <c r="A1952" s="1" t="s">
        <v>2947</v>
      </c>
      <c r="B1952" s="2">
        <v>45656</v>
      </c>
      <c r="C1952" s="1" t="s">
        <v>73</v>
      </c>
      <c r="D1952" s="1" t="s">
        <v>43</v>
      </c>
      <c r="E1952" s="1" t="s">
        <v>111</v>
      </c>
      <c r="F1952" s="1" t="s">
        <v>21</v>
      </c>
      <c r="G1952" s="1" t="s">
        <v>22</v>
      </c>
      <c r="H1952" s="1" t="s">
        <v>133</v>
      </c>
      <c r="I1952" s="1">
        <v>224.98</v>
      </c>
      <c r="J1952" s="1">
        <v>4</v>
      </c>
      <c r="K1952" s="1">
        <v>899.92</v>
      </c>
      <c r="L1952" s="1">
        <v>5</v>
      </c>
      <c r="M1952" s="1">
        <v>45</v>
      </c>
      <c r="N1952" s="1">
        <v>854.92</v>
      </c>
      <c r="O1952" s="1" t="s">
        <v>46</v>
      </c>
      <c r="P1952" s="1" t="s">
        <v>2948</v>
      </c>
      <c r="Q1952" s="1">
        <v>1</v>
      </c>
      <c r="R1952" s="1">
        <f>Retail_Sales_Analyis[[#This Row],[Final_Price]]-Retail_Sales_Analyis[[#This Row],[Total_Price]]</f>
        <v>-45</v>
      </c>
      <c r="S19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53" spans="1:19" x14ac:dyDescent="0.25">
      <c r="A1953" s="1" t="s">
        <v>2949</v>
      </c>
      <c r="B1953" s="2">
        <v>45556</v>
      </c>
      <c r="C1953" s="1" t="s">
        <v>116</v>
      </c>
      <c r="D1953" s="1" t="s">
        <v>19</v>
      </c>
      <c r="E1953" s="1" t="s">
        <v>342</v>
      </c>
      <c r="F1953" s="1" t="s">
        <v>69</v>
      </c>
      <c r="G1953" s="1" t="s">
        <v>38</v>
      </c>
      <c r="H1953" s="1" t="s">
        <v>422</v>
      </c>
      <c r="I1953" s="1">
        <v>764.79</v>
      </c>
      <c r="J1953" s="1">
        <v>5</v>
      </c>
      <c r="K1953" s="1">
        <v>3823.95</v>
      </c>
      <c r="L1953" s="1">
        <v>0</v>
      </c>
      <c r="M1953" s="1">
        <v>0</v>
      </c>
      <c r="N1953" s="1">
        <v>3823.95</v>
      </c>
      <c r="O1953" s="1" t="s">
        <v>80</v>
      </c>
      <c r="P1953" s="1" t="s">
        <v>699</v>
      </c>
      <c r="Q1953" s="1">
        <v>5</v>
      </c>
      <c r="R1953" s="1">
        <f>Retail_Sales_Analyis[[#This Row],[Final_Price]]-Retail_Sales_Analyis[[#This Row],[Total_Price]]</f>
        <v>0</v>
      </c>
      <c r="S19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54" spans="1:19" x14ac:dyDescent="0.25">
      <c r="A1954" s="1" t="s">
        <v>2950</v>
      </c>
      <c r="B1954" s="2">
        <v>45355</v>
      </c>
      <c r="C1954" s="1" t="s">
        <v>61</v>
      </c>
      <c r="D1954" s="1" t="s">
        <v>43</v>
      </c>
      <c r="E1954" s="1" t="s">
        <v>351</v>
      </c>
      <c r="F1954" s="1" t="s">
        <v>37</v>
      </c>
      <c r="G1954" s="1" t="s">
        <v>38</v>
      </c>
      <c r="H1954" s="1" t="s">
        <v>422</v>
      </c>
      <c r="I1954" s="1">
        <v>768.28</v>
      </c>
      <c r="J1954" s="1">
        <v>9</v>
      </c>
      <c r="K1954" s="1">
        <v>6914.52</v>
      </c>
      <c r="L1954" s="1">
        <v>5</v>
      </c>
      <c r="M1954" s="1">
        <v>345.73</v>
      </c>
      <c r="N1954" s="1">
        <v>6568.79</v>
      </c>
      <c r="O1954" s="1" t="s">
        <v>46</v>
      </c>
      <c r="P1954" s="1" t="s">
        <v>1129</v>
      </c>
      <c r="Q1954" s="1">
        <v>2</v>
      </c>
      <c r="R1954" s="1">
        <f>Retail_Sales_Analyis[[#This Row],[Final_Price]]-Retail_Sales_Analyis[[#This Row],[Total_Price]]</f>
        <v>-345.73000000000047</v>
      </c>
      <c r="S19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55" spans="1:19" x14ac:dyDescent="0.25">
      <c r="A1955" s="1" t="s">
        <v>2951</v>
      </c>
      <c r="B1955" s="2">
        <v>45437</v>
      </c>
      <c r="C1955" s="1" t="s">
        <v>42</v>
      </c>
      <c r="D1955" s="1" t="s">
        <v>19</v>
      </c>
      <c r="E1955" s="1" t="s">
        <v>83</v>
      </c>
      <c r="F1955" s="1" t="s">
        <v>21</v>
      </c>
      <c r="G1955" s="1" t="s">
        <v>85</v>
      </c>
      <c r="H1955" s="1" t="s">
        <v>98</v>
      </c>
      <c r="I1955" s="1">
        <v>1467.32</v>
      </c>
      <c r="J1955" s="1">
        <v>6</v>
      </c>
      <c r="K1955" s="1">
        <v>8803.92</v>
      </c>
      <c r="L1955" s="1">
        <v>10</v>
      </c>
      <c r="M1955" s="1">
        <v>880.39</v>
      </c>
      <c r="N1955" s="1">
        <v>7923.53</v>
      </c>
      <c r="O1955" s="1" t="s">
        <v>80</v>
      </c>
      <c r="P1955" s="1" t="s">
        <v>1159</v>
      </c>
      <c r="Q1955" s="1">
        <v>4</v>
      </c>
      <c r="R1955" s="1">
        <f>Retail_Sales_Analyis[[#This Row],[Final_Price]]-Retail_Sales_Analyis[[#This Row],[Total_Price]]</f>
        <v>-880.39000000000033</v>
      </c>
      <c r="S19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56" spans="1:19" x14ac:dyDescent="0.25">
      <c r="A1956" s="1" t="s">
        <v>2952</v>
      </c>
      <c r="B1956" s="2">
        <v>45334</v>
      </c>
      <c r="C1956" s="1" t="s">
        <v>27</v>
      </c>
      <c r="D1956" s="1" t="s">
        <v>43</v>
      </c>
      <c r="E1956" s="1" t="s">
        <v>62</v>
      </c>
      <c r="F1956" s="1" t="s">
        <v>21</v>
      </c>
      <c r="G1956" s="1" t="s">
        <v>22</v>
      </c>
      <c r="H1956" s="1" t="s">
        <v>23</v>
      </c>
      <c r="I1956" s="1">
        <v>347.39</v>
      </c>
      <c r="J1956" s="1">
        <v>3</v>
      </c>
      <c r="K1956" s="1">
        <v>1042.17</v>
      </c>
      <c r="L1956" s="1">
        <v>0</v>
      </c>
      <c r="M1956" s="1">
        <v>0</v>
      </c>
      <c r="N1956" s="1">
        <v>1042.17</v>
      </c>
      <c r="O1956" s="1" t="s">
        <v>80</v>
      </c>
      <c r="P1956" s="1" t="s">
        <v>716</v>
      </c>
      <c r="Q1956" s="1">
        <v>1</v>
      </c>
      <c r="R1956" s="1">
        <f>Retail_Sales_Analyis[[#This Row],[Final_Price]]-Retail_Sales_Analyis[[#This Row],[Total_Price]]</f>
        <v>0</v>
      </c>
      <c r="S19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57" spans="1:19" x14ac:dyDescent="0.25">
      <c r="A1957" s="1" t="s">
        <v>2953</v>
      </c>
      <c r="B1957" s="2">
        <v>45374</v>
      </c>
      <c r="C1957" s="1" t="s">
        <v>61</v>
      </c>
      <c r="D1957" s="1" t="s">
        <v>19</v>
      </c>
      <c r="E1957" s="1" t="s">
        <v>121</v>
      </c>
      <c r="F1957" s="1" t="s">
        <v>30</v>
      </c>
      <c r="G1957" s="1" t="s">
        <v>38</v>
      </c>
      <c r="H1957" s="1" t="s">
        <v>108</v>
      </c>
      <c r="I1957" s="1">
        <v>655.19000000000005</v>
      </c>
      <c r="J1957" s="1">
        <v>5</v>
      </c>
      <c r="K1957" s="1">
        <v>3275.95</v>
      </c>
      <c r="L1957" s="1">
        <v>5</v>
      </c>
      <c r="M1957" s="1">
        <v>163.80000000000001</v>
      </c>
      <c r="N1957" s="1">
        <v>3112.15</v>
      </c>
      <c r="O1957" s="1" t="s">
        <v>46</v>
      </c>
      <c r="P1957" s="1" t="s">
        <v>2310</v>
      </c>
      <c r="Q1957" s="1">
        <v>4</v>
      </c>
      <c r="R1957" s="1">
        <f>Retail_Sales_Analyis[[#This Row],[Final_Price]]-Retail_Sales_Analyis[[#This Row],[Total_Price]]</f>
        <v>-163.79999999999973</v>
      </c>
      <c r="S195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58" spans="1:19" x14ac:dyDescent="0.25">
      <c r="A1958" s="1" t="s">
        <v>2954</v>
      </c>
      <c r="B1958" s="2">
        <v>45431</v>
      </c>
      <c r="C1958" s="1" t="s">
        <v>42</v>
      </c>
      <c r="D1958" s="1" t="s">
        <v>49</v>
      </c>
      <c r="E1958" s="1" t="s">
        <v>236</v>
      </c>
      <c r="F1958" s="1" t="s">
        <v>37</v>
      </c>
      <c r="G1958" s="1" t="s">
        <v>38</v>
      </c>
      <c r="H1958" s="1" t="s">
        <v>422</v>
      </c>
      <c r="I1958" s="1">
        <v>360.66</v>
      </c>
      <c r="J1958" s="1">
        <v>4</v>
      </c>
      <c r="K1958" s="1">
        <v>1442.64</v>
      </c>
      <c r="L1958" s="1">
        <v>10</v>
      </c>
      <c r="M1958" s="1">
        <v>144.26</v>
      </c>
      <c r="N1958" s="1">
        <v>1298.3800000000001</v>
      </c>
      <c r="O1958" s="1" t="s">
        <v>33</v>
      </c>
      <c r="P1958" s="1" t="s">
        <v>2955</v>
      </c>
      <c r="Q1958" s="1">
        <v>3</v>
      </c>
      <c r="R1958" s="1">
        <f>Retail_Sales_Analyis[[#This Row],[Final_Price]]-Retail_Sales_Analyis[[#This Row],[Total_Price]]</f>
        <v>-144.26</v>
      </c>
      <c r="S19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59" spans="1:19" x14ac:dyDescent="0.25">
      <c r="A1959" s="1" t="s">
        <v>2956</v>
      </c>
      <c r="B1959" s="2">
        <v>45522</v>
      </c>
      <c r="C1959" s="1" t="s">
        <v>93</v>
      </c>
      <c r="D1959" s="1" t="s">
        <v>49</v>
      </c>
      <c r="E1959" s="1" t="s">
        <v>94</v>
      </c>
      <c r="F1959" s="1" t="s">
        <v>30</v>
      </c>
      <c r="G1959" s="1" t="s">
        <v>57</v>
      </c>
      <c r="H1959" s="1" t="s">
        <v>122</v>
      </c>
      <c r="I1959" s="1">
        <v>830.63</v>
      </c>
      <c r="J1959" s="1">
        <v>1</v>
      </c>
      <c r="K1959" s="1">
        <v>830.63</v>
      </c>
      <c r="L1959" s="1">
        <v>5</v>
      </c>
      <c r="M1959" s="1">
        <v>41.53</v>
      </c>
      <c r="N1959" s="1">
        <v>789.1</v>
      </c>
      <c r="O1959" s="1" t="s">
        <v>24</v>
      </c>
      <c r="P1959" s="1" t="s">
        <v>1006</v>
      </c>
      <c r="Q1959" s="1">
        <v>2</v>
      </c>
      <c r="R1959" s="1">
        <f>Retail_Sales_Analyis[[#This Row],[Final_Price]]-Retail_Sales_Analyis[[#This Row],[Total_Price]]</f>
        <v>-41.529999999999973</v>
      </c>
      <c r="S19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60" spans="1:19" x14ac:dyDescent="0.25">
      <c r="A1960" s="1" t="s">
        <v>2957</v>
      </c>
      <c r="B1960" s="2">
        <v>45554</v>
      </c>
      <c r="C1960" s="1" t="s">
        <v>116</v>
      </c>
      <c r="D1960" s="1" t="s">
        <v>67</v>
      </c>
      <c r="E1960" s="1" t="s">
        <v>207</v>
      </c>
      <c r="F1960" s="1" t="s">
        <v>21</v>
      </c>
      <c r="G1960" s="1" t="s">
        <v>78</v>
      </c>
      <c r="H1960" s="1" t="s">
        <v>146</v>
      </c>
      <c r="I1960" s="1">
        <v>195.73</v>
      </c>
      <c r="J1960" s="1">
        <v>10</v>
      </c>
      <c r="K1960" s="1">
        <v>1957.3</v>
      </c>
      <c r="L1960" s="1">
        <v>0</v>
      </c>
      <c r="M1960" s="1">
        <v>0</v>
      </c>
      <c r="N1960" s="1">
        <v>1957.3</v>
      </c>
      <c r="O1960" s="1" t="s">
        <v>24</v>
      </c>
      <c r="P1960" s="1" t="s">
        <v>2778</v>
      </c>
      <c r="Q1960" s="1">
        <v>2</v>
      </c>
      <c r="R1960" s="1">
        <f>Retail_Sales_Analyis[[#This Row],[Final_Price]]-Retail_Sales_Analyis[[#This Row],[Total_Price]]</f>
        <v>0</v>
      </c>
      <c r="S19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61" spans="1:19" x14ac:dyDescent="0.25">
      <c r="A1961" s="1" t="s">
        <v>2958</v>
      </c>
      <c r="B1961" s="2">
        <v>45367</v>
      </c>
      <c r="C1961" s="1" t="s">
        <v>61</v>
      </c>
      <c r="D1961" s="1" t="s">
        <v>19</v>
      </c>
      <c r="E1961" s="1" t="s">
        <v>77</v>
      </c>
      <c r="F1961" s="1" t="s">
        <v>21</v>
      </c>
      <c r="G1961" s="1" t="s">
        <v>85</v>
      </c>
      <c r="H1961" s="1" t="s">
        <v>297</v>
      </c>
      <c r="I1961" s="1">
        <v>4722.07</v>
      </c>
      <c r="J1961" s="1">
        <v>2</v>
      </c>
      <c r="K1961" s="1">
        <v>9444.14</v>
      </c>
      <c r="L1961" s="1">
        <v>15</v>
      </c>
      <c r="M1961" s="1">
        <v>1416.62</v>
      </c>
      <c r="N1961" s="1">
        <v>8027.52</v>
      </c>
      <c r="O1961" s="1" t="s">
        <v>33</v>
      </c>
      <c r="P1961" s="1" t="s">
        <v>2959</v>
      </c>
      <c r="Q1961" s="1">
        <v>2</v>
      </c>
      <c r="R1961" s="1">
        <f>Retail_Sales_Analyis[[#This Row],[Final_Price]]-Retail_Sales_Analyis[[#This Row],[Total_Price]]</f>
        <v>-1416.619999999999</v>
      </c>
      <c r="S19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62" spans="1:19" x14ac:dyDescent="0.25">
      <c r="A1962" s="1" t="s">
        <v>2960</v>
      </c>
      <c r="B1962" s="2">
        <v>45515</v>
      </c>
      <c r="C1962" s="1" t="s">
        <v>93</v>
      </c>
      <c r="D1962" s="1" t="s">
        <v>49</v>
      </c>
      <c r="E1962" s="1" t="s">
        <v>50</v>
      </c>
      <c r="F1962" s="1" t="s">
        <v>30</v>
      </c>
      <c r="G1962" s="1" t="s">
        <v>31</v>
      </c>
      <c r="H1962" s="1" t="s">
        <v>32</v>
      </c>
      <c r="I1962" s="1">
        <v>120.67</v>
      </c>
      <c r="J1962" s="1">
        <v>5</v>
      </c>
      <c r="K1962" s="1">
        <v>603.35</v>
      </c>
      <c r="L1962" s="1">
        <v>10</v>
      </c>
      <c r="M1962" s="1">
        <v>60.34</v>
      </c>
      <c r="N1962" s="1">
        <v>543.01</v>
      </c>
      <c r="O1962" s="1" t="s">
        <v>80</v>
      </c>
      <c r="P1962" s="1" t="s">
        <v>1926</v>
      </c>
      <c r="Q1962" s="1">
        <v>2</v>
      </c>
      <c r="R1962" s="1">
        <f>Retail_Sales_Analyis[[#This Row],[Final_Price]]-Retail_Sales_Analyis[[#This Row],[Total_Price]]</f>
        <v>-60.340000000000032</v>
      </c>
      <c r="S19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63" spans="1:19" x14ac:dyDescent="0.25">
      <c r="A1963" s="1" t="s">
        <v>2961</v>
      </c>
      <c r="B1963" s="2">
        <v>45338</v>
      </c>
      <c r="C1963" s="1" t="s">
        <v>27</v>
      </c>
      <c r="D1963" s="1" t="s">
        <v>144</v>
      </c>
      <c r="E1963" s="1" t="s">
        <v>236</v>
      </c>
      <c r="F1963" s="1" t="s">
        <v>30</v>
      </c>
      <c r="G1963" s="1" t="s">
        <v>78</v>
      </c>
      <c r="H1963" s="1" t="s">
        <v>323</v>
      </c>
      <c r="I1963" s="1">
        <v>399.36</v>
      </c>
      <c r="J1963" s="1">
        <v>3</v>
      </c>
      <c r="K1963" s="1">
        <v>1198.08</v>
      </c>
      <c r="L1963" s="1">
        <v>0</v>
      </c>
      <c r="M1963" s="1">
        <v>0</v>
      </c>
      <c r="N1963" s="1">
        <v>1198.08</v>
      </c>
      <c r="O1963" s="1" t="s">
        <v>80</v>
      </c>
      <c r="P1963" s="1" t="s">
        <v>629</v>
      </c>
      <c r="Q1963" s="1">
        <v>3</v>
      </c>
      <c r="R1963" s="1">
        <f>Retail_Sales_Analyis[[#This Row],[Final_Price]]-Retail_Sales_Analyis[[#This Row],[Total_Price]]</f>
        <v>0</v>
      </c>
      <c r="S19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64" spans="1:19" x14ac:dyDescent="0.25">
      <c r="A1964" s="1" t="s">
        <v>2962</v>
      </c>
      <c r="B1964" s="2">
        <v>45405</v>
      </c>
      <c r="C1964" s="1" t="s">
        <v>54</v>
      </c>
      <c r="D1964" s="1" t="s">
        <v>28</v>
      </c>
      <c r="E1964" s="1" t="s">
        <v>50</v>
      </c>
      <c r="F1964" s="1" t="s">
        <v>37</v>
      </c>
      <c r="G1964" s="1" t="s">
        <v>78</v>
      </c>
      <c r="H1964" s="1" t="s">
        <v>79</v>
      </c>
      <c r="I1964" s="1">
        <v>332.74</v>
      </c>
      <c r="J1964" s="1">
        <v>9</v>
      </c>
      <c r="K1964" s="1">
        <v>2994.66</v>
      </c>
      <c r="L1964" s="1">
        <v>0</v>
      </c>
      <c r="M1964" s="1">
        <v>0</v>
      </c>
      <c r="N1964" s="1">
        <v>2994.66</v>
      </c>
      <c r="O1964" s="1" t="s">
        <v>33</v>
      </c>
      <c r="P1964" s="1" t="s">
        <v>240</v>
      </c>
      <c r="Q1964" s="1">
        <v>3</v>
      </c>
      <c r="R1964" s="1">
        <f>Retail_Sales_Analyis[[#This Row],[Final_Price]]-Retail_Sales_Analyis[[#This Row],[Total_Price]]</f>
        <v>0</v>
      </c>
      <c r="S19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65" spans="1:19" x14ac:dyDescent="0.25">
      <c r="A1965" s="1" t="s">
        <v>2963</v>
      </c>
      <c r="B1965" s="2">
        <v>45522</v>
      </c>
      <c r="C1965" s="1" t="s">
        <v>93</v>
      </c>
      <c r="D1965" s="1" t="s">
        <v>49</v>
      </c>
      <c r="E1965" s="1" t="s">
        <v>351</v>
      </c>
      <c r="F1965" s="1" t="s">
        <v>84</v>
      </c>
      <c r="G1965" s="1" t="s">
        <v>169</v>
      </c>
      <c r="H1965" s="1" t="s">
        <v>208</v>
      </c>
      <c r="I1965" s="1">
        <v>703.19</v>
      </c>
      <c r="J1965" s="1">
        <v>1</v>
      </c>
      <c r="K1965" s="1">
        <v>703.19</v>
      </c>
      <c r="L1965" s="1">
        <v>10</v>
      </c>
      <c r="M1965" s="1">
        <v>70.319999999999993</v>
      </c>
      <c r="N1965" s="1">
        <v>632.87</v>
      </c>
      <c r="O1965" s="1" t="s">
        <v>24</v>
      </c>
      <c r="P1965" s="1" t="s">
        <v>142</v>
      </c>
      <c r="Q1965" s="1">
        <v>3</v>
      </c>
      <c r="R1965" s="1">
        <f>Retail_Sales_Analyis[[#This Row],[Final_Price]]-Retail_Sales_Analyis[[#This Row],[Total_Price]]</f>
        <v>-70.32000000000005</v>
      </c>
      <c r="S19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66" spans="1:19" x14ac:dyDescent="0.25">
      <c r="A1966" s="1" t="s">
        <v>2964</v>
      </c>
      <c r="B1966" s="2">
        <v>45470</v>
      </c>
      <c r="C1966" s="1" t="s">
        <v>173</v>
      </c>
      <c r="D1966" s="1" t="s">
        <v>67</v>
      </c>
      <c r="E1966" s="1" t="s">
        <v>328</v>
      </c>
      <c r="F1966" s="1" t="s">
        <v>21</v>
      </c>
      <c r="G1966" s="1" t="s">
        <v>38</v>
      </c>
      <c r="H1966" s="1" t="s">
        <v>108</v>
      </c>
      <c r="I1966" s="1">
        <v>417.88</v>
      </c>
      <c r="J1966" s="1">
        <v>5</v>
      </c>
      <c r="K1966" s="1">
        <v>2089.4</v>
      </c>
      <c r="L1966" s="1">
        <v>5</v>
      </c>
      <c r="M1966" s="1">
        <v>104.47</v>
      </c>
      <c r="N1966" s="1">
        <v>1984.93</v>
      </c>
      <c r="O1966" s="1" t="s">
        <v>64</v>
      </c>
      <c r="P1966" s="1" t="s">
        <v>915</v>
      </c>
      <c r="Q1966" s="1">
        <v>3</v>
      </c>
      <c r="R1966" s="1">
        <f>Retail_Sales_Analyis[[#This Row],[Final_Price]]-Retail_Sales_Analyis[[#This Row],[Total_Price]]</f>
        <v>-104.47000000000003</v>
      </c>
      <c r="S19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67" spans="1:19" x14ac:dyDescent="0.25">
      <c r="A1967" s="1" t="s">
        <v>2965</v>
      </c>
      <c r="B1967" s="2">
        <v>45305</v>
      </c>
      <c r="C1967" s="1" t="s">
        <v>36</v>
      </c>
      <c r="D1967" s="1" t="s">
        <v>49</v>
      </c>
      <c r="E1967" s="1" t="s">
        <v>56</v>
      </c>
      <c r="F1967" s="1" t="s">
        <v>37</v>
      </c>
      <c r="G1967" s="1" t="s">
        <v>85</v>
      </c>
      <c r="H1967" s="1" t="s">
        <v>180</v>
      </c>
      <c r="I1967" s="1">
        <v>2753.44</v>
      </c>
      <c r="J1967" s="1">
        <v>9</v>
      </c>
      <c r="K1967" s="1">
        <v>24780.959999999999</v>
      </c>
      <c r="L1967" s="1">
        <v>15</v>
      </c>
      <c r="M1967" s="1">
        <v>3717.14</v>
      </c>
      <c r="N1967" s="1">
        <v>21063.82</v>
      </c>
      <c r="O1967" s="1" t="s">
        <v>46</v>
      </c>
      <c r="P1967" s="1" t="s">
        <v>295</v>
      </c>
      <c r="Q1967" s="1">
        <v>1</v>
      </c>
      <c r="R1967" s="1">
        <f>Retail_Sales_Analyis[[#This Row],[Final_Price]]-Retail_Sales_Analyis[[#This Row],[Total_Price]]</f>
        <v>-3717.1399999999994</v>
      </c>
      <c r="S19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68" spans="1:19" x14ac:dyDescent="0.25">
      <c r="A1968" s="1" t="s">
        <v>2966</v>
      </c>
      <c r="B1968" s="2">
        <v>45504</v>
      </c>
      <c r="C1968" s="1" t="s">
        <v>195</v>
      </c>
      <c r="D1968" s="1" t="s">
        <v>55</v>
      </c>
      <c r="E1968" s="1" t="s">
        <v>342</v>
      </c>
      <c r="F1968" s="1" t="s">
        <v>30</v>
      </c>
      <c r="G1968" s="1" t="s">
        <v>38</v>
      </c>
      <c r="H1968" s="1" t="s">
        <v>70</v>
      </c>
      <c r="I1968" s="1">
        <v>421.62</v>
      </c>
      <c r="J1968" s="1">
        <v>5</v>
      </c>
      <c r="K1968" s="1">
        <v>2108.1</v>
      </c>
      <c r="L1968" s="1">
        <v>0</v>
      </c>
      <c r="M1968" s="1">
        <v>0</v>
      </c>
      <c r="N1968" s="1">
        <v>2108.1</v>
      </c>
      <c r="O1968" s="1" t="s">
        <v>80</v>
      </c>
      <c r="P1968" s="1" t="s">
        <v>1399</v>
      </c>
      <c r="Q1968" s="1">
        <v>2</v>
      </c>
      <c r="R1968" s="1">
        <f>Retail_Sales_Analyis[[#This Row],[Final_Price]]-Retail_Sales_Analyis[[#This Row],[Total_Price]]</f>
        <v>0</v>
      </c>
      <c r="S19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69" spans="1:19" x14ac:dyDescent="0.25">
      <c r="A1969" s="1" t="s">
        <v>2967</v>
      </c>
      <c r="B1969" s="2">
        <v>45319</v>
      </c>
      <c r="C1969" s="1" t="s">
        <v>36</v>
      </c>
      <c r="D1969" s="1" t="s">
        <v>49</v>
      </c>
      <c r="E1969" s="1" t="s">
        <v>145</v>
      </c>
      <c r="F1969" s="1" t="s">
        <v>69</v>
      </c>
      <c r="G1969" s="1" t="s">
        <v>31</v>
      </c>
      <c r="H1969" s="1" t="s">
        <v>45</v>
      </c>
      <c r="I1969" s="1">
        <v>290.44</v>
      </c>
      <c r="J1969" s="1">
        <v>4</v>
      </c>
      <c r="K1969" s="1">
        <v>1161.76</v>
      </c>
      <c r="L1969" s="1">
        <v>0</v>
      </c>
      <c r="M1969" s="1">
        <v>0</v>
      </c>
      <c r="N1969" s="1">
        <v>1161.76</v>
      </c>
      <c r="O1969" s="1" t="s">
        <v>24</v>
      </c>
      <c r="P1969" s="1" t="s">
        <v>2333</v>
      </c>
      <c r="Q1969" s="1">
        <v>5</v>
      </c>
      <c r="R1969" s="1">
        <f>Retail_Sales_Analyis[[#This Row],[Final_Price]]-Retail_Sales_Analyis[[#This Row],[Total_Price]]</f>
        <v>0</v>
      </c>
      <c r="S19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70" spans="1:19" x14ac:dyDescent="0.25">
      <c r="A1970" s="1" t="s">
        <v>2968</v>
      </c>
      <c r="B1970" s="2">
        <v>45494</v>
      </c>
      <c r="C1970" s="1" t="s">
        <v>195</v>
      </c>
      <c r="D1970" s="1" t="s">
        <v>49</v>
      </c>
      <c r="E1970" s="1" t="s">
        <v>342</v>
      </c>
      <c r="F1970" s="1" t="s">
        <v>84</v>
      </c>
      <c r="G1970" s="1" t="s">
        <v>169</v>
      </c>
      <c r="H1970" s="1" t="s">
        <v>366</v>
      </c>
      <c r="I1970" s="1">
        <v>587.58000000000004</v>
      </c>
      <c r="J1970" s="1">
        <v>9</v>
      </c>
      <c r="K1970" s="1">
        <v>5288.22</v>
      </c>
      <c r="L1970" s="1">
        <v>10</v>
      </c>
      <c r="M1970" s="1">
        <v>528.82000000000005</v>
      </c>
      <c r="N1970" s="1">
        <v>4759.3999999999996</v>
      </c>
      <c r="O1970" s="1" t="s">
        <v>64</v>
      </c>
      <c r="P1970" s="1" t="s">
        <v>474</v>
      </c>
      <c r="Q1970" s="1">
        <v>4</v>
      </c>
      <c r="R1970" s="1">
        <f>Retail_Sales_Analyis[[#This Row],[Final_Price]]-Retail_Sales_Analyis[[#This Row],[Total_Price]]</f>
        <v>-528.82000000000062</v>
      </c>
      <c r="S19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71" spans="1:19" x14ac:dyDescent="0.25">
      <c r="A1971" s="1" t="s">
        <v>2969</v>
      </c>
      <c r="B1971" s="2">
        <v>45549</v>
      </c>
      <c r="C1971" s="1" t="s">
        <v>116</v>
      </c>
      <c r="D1971" s="1" t="s">
        <v>19</v>
      </c>
      <c r="E1971" s="1" t="s">
        <v>186</v>
      </c>
      <c r="F1971" s="1" t="s">
        <v>37</v>
      </c>
      <c r="G1971" s="1" t="s">
        <v>85</v>
      </c>
      <c r="H1971" s="1" t="s">
        <v>90</v>
      </c>
      <c r="I1971" s="1">
        <v>1273.27</v>
      </c>
      <c r="J1971" s="1">
        <v>3</v>
      </c>
      <c r="K1971" s="1">
        <v>3819.81</v>
      </c>
      <c r="L1971" s="1">
        <v>5</v>
      </c>
      <c r="M1971" s="1">
        <v>190.99</v>
      </c>
      <c r="N1971" s="1">
        <v>3628.82</v>
      </c>
      <c r="O1971" s="1" t="s">
        <v>80</v>
      </c>
      <c r="P1971" s="1" t="s">
        <v>1607</v>
      </c>
      <c r="Q1971" s="1">
        <v>4</v>
      </c>
      <c r="R1971" s="1">
        <f>Retail_Sales_Analyis[[#This Row],[Final_Price]]-Retail_Sales_Analyis[[#This Row],[Total_Price]]</f>
        <v>-190.98999999999978</v>
      </c>
      <c r="S19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72" spans="1:19" x14ac:dyDescent="0.25">
      <c r="A1972" s="1" t="s">
        <v>2970</v>
      </c>
      <c r="B1972" s="2">
        <v>45483</v>
      </c>
      <c r="C1972" s="1" t="s">
        <v>195</v>
      </c>
      <c r="D1972" s="1" t="s">
        <v>55</v>
      </c>
      <c r="E1972" s="1" t="s">
        <v>312</v>
      </c>
      <c r="F1972" s="1" t="s">
        <v>30</v>
      </c>
      <c r="G1972" s="1" t="s">
        <v>22</v>
      </c>
      <c r="H1972" s="1" t="s">
        <v>23</v>
      </c>
      <c r="I1972" s="1">
        <v>452.78</v>
      </c>
      <c r="J1972" s="1">
        <v>2</v>
      </c>
      <c r="K1972" s="1">
        <v>905.56</v>
      </c>
      <c r="L1972" s="1">
        <v>0</v>
      </c>
      <c r="M1972" s="1">
        <v>0</v>
      </c>
      <c r="N1972" s="1">
        <v>905.56</v>
      </c>
      <c r="O1972" s="1" t="s">
        <v>64</v>
      </c>
      <c r="P1972" s="1" t="s">
        <v>255</v>
      </c>
      <c r="Q1972" s="1">
        <v>1</v>
      </c>
      <c r="R1972" s="1">
        <f>Retail_Sales_Analyis[[#This Row],[Final_Price]]-Retail_Sales_Analyis[[#This Row],[Total_Price]]</f>
        <v>0</v>
      </c>
      <c r="S19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73" spans="1:19" x14ac:dyDescent="0.25">
      <c r="A1973" s="1" t="s">
        <v>2971</v>
      </c>
      <c r="B1973" s="2">
        <v>45412</v>
      </c>
      <c r="C1973" s="1" t="s">
        <v>54</v>
      </c>
      <c r="D1973" s="1" t="s">
        <v>28</v>
      </c>
      <c r="E1973" s="1" t="s">
        <v>542</v>
      </c>
      <c r="F1973" s="1" t="s">
        <v>84</v>
      </c>
      <c r="G1973" s="1" t="s">
        <v>78</v>
      </c>
      <c r="H1973" s="1" t="s">
        <v>146</v>
      </c>
      <c r="I1973" s="1">
        <v>566.96</v>
      </c>
      <c r="J1973" s="1">
        <v>4</v>
      </c>
      <c r="K1973" s="1">
        <v>2267.84</v>
      </c>
      <c r="L1973" s="1">
        <v>5</v>
      </c>
      <c r="M1973" s="1">
        <v>113.39</v>
      </c>
      <c r="N1973" s="1">
        <v>2154.4499999999998</v>
      </c>
      <c r="O1973" s="1" t="s">
        <v>80</v>
      </c>
      <c r="P1973" s="1" t="s">
        <v>1004</v>
      </c>
      <c r="Q1973" s="1">
        <v>1</v>
      </c>
      <c r="R1973" s="1">
        <f>Retail_Sales_Analyis[[#This Row],[Final_Price]]-Retail_Sales_Analyis[[#This Row],[Total_Price]]</f>
        <v>-113.39000000000033</v>
      </c>
      <c r="S19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74" spans="1:19" x14ac:dyDescent="0.25">
      <c r="A1974" s="1" t="s">
        <v>2972</v>
      </c>
      <c r="B1974" s="2">
        <v>45489</v>
      </c>
      <c r="C1974" s="1" t="s">
        <v>195</v>
      </c>
      <c r="D1974" s="1" t="s">
        <v>28</v>
      </c>
      <c r="E1974" s="1" t="s">
        <v>121</v>
      </c>
      <c r="F1974" s="1" t="s">
        <v>69</v>
      </c>
      <c r="G1974" s="1" t="s">
        <v>169</v>
      </c>
      <c r="H1974" s="1" t="s">
        <v>175</v>
      </c>
      <c r="I1974" s="1">
        <v>809.83</v>
      </c>
      <c r="J1974" s="1">
        <v>8</v>
      </c>
      <c r="K1974" s="1">
        <v>6478.64</v>
      </c>
      <c r="L1974" s="1">
        <v>0</v>
      </c>
      <c r="M1974" s="1">
        <v>0</v>
      </c>
      <c r="N1974" s="1">
        <v>6478.64</v>
      </c>
      <c r="O1974" s="1" t="s">
        <v>46</v>
      </c>
      <c r="P1974" s="1" t="s">
        <v>1280</v>
      </c>
      <c r="Q1974" s="1">
        <v>3</v>
      </c>
      <c r="R1974" s="1">
        <f>Retail_Sales_Analyis[[#This Row],[Final_Price]]-Retail_Sales_Analyis[[#This Row],[Total_Price]]</f>
        <v>0</v>
      </c>
      <c r="S19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75" spans="1:19" x14ac:dyDescent="0.25">
      <c r="A1975" s="1" t="s">
        <v>2973</v>
      </c>
      <c r="B1975" s="2">
        <v>45333</v>
      </c>
      <c r="C1975" s="1" t="s">
        <v>27</v>
      </c>
      <c r="D1975" s="1" t="s">
        <v>49</v>
      </c>
      <c r="E1975" s="1" t="s">
        <v>192</v>
      </c>
      <c r="F1975" s="1" t="s">
        <v>30</v>
      </c>
      <c r="G1975" s="1" t="s">
        <v>31</v>
      </c>
      <c r="H1975" s="1" t="s">
        <v>32</v>
      </c>
      <c r="I1975" s="1">
        <v>384.04</v>
      </c>
      <c r="J1975" s="1">
        <v>3</v>
      </c>
      <c r="K1975" s="1">
        <v>1152.1199999999999</v>
      </c>
      <c r="L1975" s="1">
        <v>10</v>
      </c>
      <c r="M1975" s="1">
        <v>115.21</v>
      </c>
      <c r="N1975" s="1">
        <v>1036.9100000000001</v>
      </c>
      <c r="O1975" s="1" t="s">
        <v>33</v>
      </c>
      <c r="P1975" s="1" t="s">
        <v>1535</v>
      </c>
      <c r="Q1975" s="1">
        <v>5</v>
      </c>
      <c r="R1975" s="1">
        <f>Retail_Sales_Analyis[[#This Row],[Final_Price]]-Retail_Sales_Analyis[[#This Row],[Total_Price]]</f>
        <v>-115.20999999999981</v>
      </c>
      <c r="S19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76" spans="1:19" x14ac:dyDescent="0.25">
      <c r="A1976" s="1" t="s">
        <v>2974</v>
      </c>
      <c r="B1976" s="2">
        <v>45483</v>
      </c>
      <c r="C1976" s="1" t="s">
        <v>195</v>
      </c>
      <c r="D1976" s="1" t="s">
        <v>55</v>
      </c>
      <c r="E1976" s="1" t="s">
        <v>328</v>
      </c>
      <c r="F1976" s="1" t="s">
        <v>69</v>
      </c>
      <c r="G1976" s="1" t="s">
        <v>57</v>
      </c>
      <c r="H1976" s="1" t="s">
        <v>58</v>
      </c>
      <c r="I1976" s="1">
        <v>582.34</v>
      </c>
      <c r="J1976" s="1">
        <v>10</v>
      </c>
      <c r="K1976" s="1">
        <v>5823.4</v>
      </c>
      <c r="L1976" s="1">
        <v>10</v>
      </c>
      <c r="M1976" s="1">
        <v>582.34</v>
      </c>
      <c r="N1976" s="1">
        <v>5241.0600000000004</v>
      </c>
      <c r="O1976" s="1" t="s">
        <v>46</v>
      </c>
      <c r="P1976" s="1" t="s">
        <v>2597</v>
      </c>
      <c r="Q1976" s="1">
        <v>4</v>
      </c>
      <c r="R1976" s="1">
        <f>Retail_Sales_Analyis[[#This Row],[Final_Price]]-Retail_Sales_Analyis[[#This Row],[Total_Price]]</f>
        <v>-582.33999999999924</v>
      </c>
      <c r="S19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77" spans="1:19" x14ac:dyDescent="0.25">
      <c r="A1977" s="1" t="s">
        <v>2975</v>
      </c>
      <c r="B1977" s="2">
        <v>45406</v>
      </c>
      <c r="C1977" s="1" t="s">
        <v>54</v>
      </c>
      <c r="D1977" s="1" t="s">
        <v>55</v>
      </c>
      <c r="E1977" s="1" t="s">
        <v>322</v>
      </c>
      <c r="F1977" s="1" t="s">
        <v>37</v>
      </c>
      <c r="G1977" s="1" t="s">
        <v>78</v>
      </c>
      <c r="H1977" s="1" t="s">
        <v>79</v>
      </c>
      <c r="I1977" s="1">
        <v>424.32</v>
      </c>
      <c r="J1977" s="1">
        <v>10</v>
      </c>
      <c r="K1977" s="1">
        <v>4243.2</v>
      </c>
      <c r="L1977" s="1">
        <v>10</v>
      </c>
      <c r="M1977" s="1">
        <v>424.32</v>
      </c>
      <c r="N1977" s="1">
        <v>3818.88</v>
      </c>
      <c r="O1977" s="1" t="s">
        <v>24</v>
      </c>
      <c r="P1977" s="1" t="s">
        <v>1011</v>
      </c>
      <c r="Q1977" s="1">
        <v>1</v>
      </c>
      <c r="R1977" s="1">
        <f>Retail_Sales_Analyis[[#This Row],[Final_Price]]-Retail_Sales_Analyis[[#This Row],[Total_Price]]</f>
        <v>-424.31999999999971</v>
      </c>
      <c r="S19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78" spans="1:19" x14ac:dyDescent="0.25">
      <c r="A1978" s="1" t="s">
        <v>2976</v>
      </c>
      <c r="B1978" s="2">
        <v>45306</v>
      </c>
      <c r="C1978" s="1" t="s">
        <v>36</v>
      </c>
      <c r="D1978" s="1" t="s">
        <v>43</v>
      </c>
      <c r="E1978" s="1" t="s">
        <v>236</v>
      </c>
      <c r="F1978" s="1" t="s">
        <v>37</v>
      </c>
      <c r="G1978" s="1" t="s">
        <v>78</v>
      </c>
      <c r="H1978" s="1" t="s">
        <v>136</v>
      </c>
      <c r="I1978" s="1">
        <v>252.54</v>
      </c>
      <c r="J1978" s="1">
        <v>1</v>
      </c>
      <c r="K1978" s="1">
        <v>252.54</v>
      </c>
      <c r="L1978" s="1">
        <v>10</v>
      </c>
      <c r="M1978" s="1">
        <v>25.25</v>
      </c>
      <c r="N1978" s="1">
        <v>227.29</v>
      </c>
      <c r="O1978" s="1" t="s">
        <v>64</v>
      </c>
      <c r="P1978" s="1" t="s">
        <v>2977</v>
      </c>
      <c r="Q1978" s="1">
        <v>3</v>
      </c>
      <c r="R1978" s="1">
        <f>Retail_Sales_Analyis[[#This Row],[Final_Price]]-Retail_Sales_Analyis[[#This Row],[Total_Price]]</f>
        <v>-25.25</v>
      </c>
      <c r="S19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79" spans="1:19" x14ac:dyDescent="0.25">
      <c r="A1979" s="1" t="s">
        <v>2978</v>
      </c>
      <c r="B1979" s="2">
        <v>45455</v>
      </c>
      <c r="C1979" s="1" t="s">
        <v>173</v>
      </c>
      <c r="D1979" s="1" t="s">
        <v>55</v>
      </c>
      <c r="E1979" s="1" t="s">
        <v>20</v>
      </c>
      <c r="F1979" s="1" t="s">
        <v>30</v>
      </c>
      <c r="G1979" s="1" t="s">
        <v>169</v>
      </c>
      <c r="H1979" s="1" t="s">
        <v>170</v>
      </c>
      <c r="I1979" s="1">
        <v>1013.34</v>
      </c>
      <c r="J1979" s="1">
        <v>9</v>
      </c>
      <c r="K1979" s="1">
        <v>9120.06</v>
      </c>
      <c r="L1979" s="1">
        <v>0</v>
      </c>
      <c r="M1979" s="1">
        <v>0</v>
      </c>
      <c r="N1979" s="1">
        <v>9120.06</v>
      </c>
      <c r="O1979" s="1" t="s">
        <v>46</v>
      </c>
      <c r="P1979" s="1" t="s">
        <v>2979</v>
      </c>
      <c r="Q1979" s="1">
        <v>2</v>
      </c>
      <c r="R1979" s="1">
        <f>Retail_Sales_Analyis[[#This Row],[Final_Price]]-Retail_Sales_Analyis[[#This Row],[Total_Price]]</f>
        <v>0</v>
      </c>
      <c r="S19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80" spans="1:19" x14ac:dyDescent="0.25">
      <c r="A1980" s="1" t="s">
        <v>2980</v>
      </c>
      <c r="B1980" s="2">
        <v>45342</v>
      </c>
      <c r="C1980" s="1" t="s">
        <v>27</v>
      </c>
      <c r="D1980" s="1" t="s">
        <v>28</v>
      </c>
      <c r="E1980" s="1" t="s">
        <v>132</v>
      </c>
      <c r="F1980" s="1" t="s">
        <v>30</v>
      </c>
      <c r="G1980" s="1" t="s">
        <v>38</v>
      </c>
      <c r="H1980" s="1" t="s">
        <v>70</v>
      </c>
      <c r="I1980" s="1">
        <v>643.54</v>
      </c>
      <c r="J1980" s="1">
        <v>5</v>
      </c>
      <c r="K1980" s="1">
        <v>3217.7</v>
      </c>
      <c r="L1980" s="1">
        <v>10</v>
      </c>
      <c r="M1980" s="1">
        <v>321.77</v>
      </c>
      <c r="N1980" s="1">
        <v>2895.93</v>
      </c>
      <c r="O1980" s="1" t="s">
        <v>80</v>
      </c>
      <c r="P1980" s="1" t="s">
        <v>1659</v>
      </c>
      <c r="Q1980" s="1">
        <v>4</v>
      </c>
      <c r="R1980" s="1">
        <f>Retail_Sales_Analyis[[#This Row],[Final_Price]]-Retail_Sales_Analyis[[#This Row],[Total_Price]]</f>
        <v>-321.77</v>
      </c>
      <c r="S19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81" spans="1:19" x14ac:dyDescent="0.25">
      <c r="A1981" s="1" t="s">
        <v>2981</v>
      </c>
      <c r="B1981" s="2">
        <v>45657</v>
      </c>
      <c r="C1981" s="1" t="s">
        <v>73</v>
      </c>
      <c r="D1981" s="1" t="s">
        <v>28</v>
      </c>
      <c r="E1981" s="1" t="s">
        <v>328</v>
      </c>
      <c r="F1981" s="1" t="s">
        <v>84</v>
      </c>
      <c r="G1981" s="1" t="s">
        <v>85</v>
      </c>
      <c r="H1981" s="1" t="s">
        <v>90</v>
      </c>
      <c r="I1981" s="1">
        <v>4643.3500000000004</v>
      </c>
      <c r="J1981" s="1">
        <v>6</v>
      </c>
      <c r="K1981" s="1">
        <v>27860.1</v>
      </c>
      <c r="L1981" s="1">
        <v>20</v>
      </c>
      <c r="M1981" s="1">
        <v>5572.02</v>
      </c>
      <c r="N1981" s="1">
        <v>22288.080000000002</v>
      </c>
      <c r="O1981" s="1" t="s">
        <v>33</v>
      </c>
      <c r="P1981" s="1" t="s">
        <v>2982</v>
      </c>
      <c r="Q1981" s="1">
        <v>3</v>
      </c>
      <c r="R1981" s="1">
        <f>Retail_Sales_Analyis[[#This Row],[Final_Price]]-Retail_Sales_Analyis[[#This Row],[Total_Price]]</f>
        <v>-5572.0199999999968</v>
      </c>
      <c r="S19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82" spans="1:19" x14ac:dyDescent="0.25">
      <c r="A1982" s="1" t="s">
        <v>2983</v>
      </c>
      <c r="B1982" s="2">
        <v>45624</v>
      </c>
      <c r="C1982" s="1" t="s">
        <v>18</v>
      </c>
      <c r="D1982" s="1" t="s">
        <v>67</v>
      </c>
      <c r="E1982" s="1" t="s">
        <v>192</v>
      </c>
      <c r="F1982" s="1" t="s">
        <v>69</v>
      </c>
      <c r="G1982" s="1" t="s">
        <v>85</v>
      </c>
      <c r="H1982" s="1" t="s">
        <v>90</v>
      </c>
      <c r="I1982" s="1">
        <v>3967.59</v>
      </c>
      <c r="J1982" s="1">
        <v>10</v>
      </c>
      <c r="K1982" s="1">
        <v>39675.9</v>
      </c>
      <c r="L1982" s="1">
        <v>0</v>
      </c>
      <c r="M1982" s="1">
        <v>0</v>
      </c>
      <c r="N1982" s="1">
        <v>39675.9</v>
      </c>
      <c r="O1982" s="1" t="s">
        <v>64</v>
      </c>
      <c r="P1982" s="1" t="s">
        <v>433</v>
      </c>
      <c r="Q1982" s="1">
        <v>2</v>
      </c>
      <c r="R1982" s="1">
        <f>Retail_Sales_Analyis[[#This Row],[Final_Price]]-Retail_Sales_Analyis[[#This Row],[Total_Price]]</f>
        <v>0</v>
      </c>
      <c r="S19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83" spans="1:19" x14ac:dyDescent="0.25">
      <c r="A1983" s="1" t="s">
        <v>2984</v>
      </c>
      <c r="B1983" s="2">
        <v>45463</v>
      </c>
      <c r="C1983" s="1" t="s">
        <v>173</v>
      </c>
      <c r="D1983" s="1" t="s">
        <v>67</v>
      </c>
      <c r="E1983" s="1" t="s">
        <v>139</v>
      </c>
      <c r="F1983" s="1" t="s">
        <v>84</v>
      </c>
      <c r="G1983" s="1" t="s">
        <v>31</v>
      </c>
      <c r="H1983" s="1" t="s">
        <v>45</v>
      </c>
      <c r="I1983" s="1">
        <v>324.14</v>
      </c>
      <c r="J1983" s="1">
        <v>2</v>
      </c>
      <c r="K1983" s="1">
        <v>648.28</v>
      </c>
      <c r="L1983" s="1">
        <v>20</v>
      </c>
      <c r="M1983" s="1">
        <v>129.66</v>
      </c>
      <c r="N1983" s="1">
        <v>518.62</v>
      </c>
      <c r="O1983" s="1" t="s">
        <v>64</v>
      </c>
      <c r="P1983" s="1" t="s">
        <v>689</v>
      </c>
      <c r="Q1983" s="1">
        <v>3</v>
      </c>
      <c r="R1983" s="1">
        <f>Retail_Sales_Analyis[[#This Row],[Final_Price]]-Retail_Sales_Analyis[[#This Row],[Total_Price]]</f>
        <v>-129.65999999999997</v>
      </c>
      <c r="S19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84" spans="1:19" x14ac:dyDescent="0.25">
      <c r="A1984" s="1" t="s">
        <v>2985</v>
      </c>
      <c r="B1984" s="2">
        <v>45366</v>
      </c>
      <c r="C1984" s="1" t="s">
        <v>61</v>
      </c>
      <c r="D1984" s="1" t="s">
        <v>144</v>
      </c>
      <c r="E1984" s="1" t="s">
        <v>351</v>
      </c>
      <c r="F1984" s="1" t="s">
        <v>30</v>
      </c>
      <c r="G1984" s="1" t="s">
        <v>31</v>
      </c>
      <c r="H1984" s="1" t="s">
        <v>329</v>
      </c>
      <c r="I1984" s="1">
        <v>257.95</v>
      </c>
      <c r="J1984" s="1">
        <v>6</v>
      </c>
      <c r="K1984" s="1">
        <v>1547.7</v>
      </c>
      <c r="L1984" s="1">
        <v>20</v>
      </c>
      <c r="M1984" s="1">
        <v>309.54000000000002</v>
      </c>
      <c r="N1984" s="1">
        <v>1238.1600000000001</v>
      </c>
      <c r="O1984" s="1" t="s">
        <v>80</v>
      </c>
      <c r="P1984" s="1" t="s">
        <v>657</v>
      </c>
      <c r="Q1984" s="1">
        <v>5</v>
      </c>
      <c r="R1984" s="1">
        <f>Retail_Sales_Analyis[[#This Row],[Final_Price]]-Retail_Sales_Analyis[[#This Row],[Total_Price]]</f>
        <v>-309.53999999999996</v>
      </c>
      <c r="S19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85" spans="1:19" x14ac:dyDescent="0.25">
      <c r="A1985" s="1" t="s">
        <v>2986</v>
      </c>
      <c r="B1985" s="2">
        <v>45362</v>
      </c>
      <c r="C1985" s="1" t="s">
        <v>61</v>
      </c>
      <c r="D1985" s="1" t="s">
        <v>43</v>
      </c>
      <c r="E1985" s="1" t="s">
        <v>139</v>
      </c>
      <c r="F1985" s="1" t="s">
        <v>69</v>
      </c>
      <c r="G1985" s="1" t="s">
        <v>78</v>
      </c>
      <c r="H1985" s="1" t="s">
        <v>79</v>
      </c>
      <c r="I1985" s="1">
        <v>505.46</v>
      </c>
      <c r="J1985" s="1">
        <v>4</v>
      </c>
      <c r="K1985" s="1">
        <v>2021.84</v>
      </c>
      <c r="L1985" s="1">
        <v>5</v>
      </c>
      <c r="M1985" s="1">
        <v>101.09</v>
      </c>
      <c r="N1985" s="1">
        <v>1920.75</v>
      </c>
      <c r="O1985" s="1" t="s">
        <v>33</v>
      </c>
      <c r="P1985" s="1" t="s">
        <v>349</v>
      </c>
      <c r="Q1985" s="1">
        <v>2</v>
      </c>
      <c r="R1985" s="1">
        <f>Retail_Sales_Analyis[[#This Row],[Final_Price]]-Retail_Sales_Analyis[[#This Row],[Total_Price]]</f>
        <v>-101.08999999999992</v>
      </c>
      <c r="S19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86" spans="1:19" x14ac:dyDescent="0.25">
      <c r="A1986" s="1" t="s">
        <v>2987</v>
      </c>
      <c r="B1986" s="2">
        <v>45311</v>
      </c>
      <c r="C1986" s="1" t="s">
        <v>36</v>
      </c>
      <c r="D1986" s="1" t="s">
        <v>19</v>
      </c>
      <c r="E1986" s="1" t="s">
        <v>139</v>
      </c>
      <c r="F1986" s="1" t="s">
        <v>84</v>
      </c>
      <c r="G1986" s="1" t="s">
        <v>169</v>
      </c>
      <c r="H1986" s="1" t="s">
        <v>208</v>
      </c>
      <c r="I1986" s="1">
        <v>518.66999999999996</v>
      </c>
      <c r="J1986" s="1">
        <v>4</v>
      </c>
      <c r="K1986" s="1">
        <v>2074.6799999999998</v>
      </c>
      <c r="L1986" s="1">
        <v>15</v>
      </c>
      <c r="M1986" s="1">
        <v>311.2</v>
      </c>
      <c r="N1986" s="1">
        <v>1763.48</v>
      </c>
      <c r="O1986" s="1" t="s">
        <v>24</v>
      </c>
      <c r="P1986" s="1" t="s">
        <v>2988</v>
      </c>
      <c r="Q1986" s="1">
        <v>2</v>
      </c>
      <c r="R1986" s="1">
        <f>Retail_Sales_Analyis[[#This Row],[Final_Price]]-Retail_Sales_Analyis[[#This Row],[Total_Price]]</f>
        <v>-311.19999999999982</v>
      </c>
      <c r="S19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87" spans="1:19" x14ac:dyDescent="0.25">
      <c r="A1987" s="1" t="s">
        <v>2989</v>
      </c>
      <c r="B1987" s="2">
        <v>45438</v>
      </c>
      <c r="C1987" s="1" t="s">
        <v>42</v>
      </c>
      <c r="D1987" s="1" t="s">
        <v>49</v>
      </c>
      <c r="E1987" s="1" t="s">
        <v>44</v>
      </c>
      <c r="F1987" s="1" t="s">
        <v>84</v>
      </c>
      <c r="G1987" s="1" t="s">
        <v>22</v>
      </c>
      <c r="H1987" s="1" t="s">
        <v>187</v>
      </c>
      <c r="I1987" s="1">
        <v>291.26</v>
      </c>
      <c r="J1987" s="1">
        <v>2</v>
      </c>
      <c r="K1987" s="1">
        <v>582.52</v>
      </c>
      <c r="L1987" s="1">
        <v>10</v>
      </c>
      <c r="M1987" s="1">
        <v>58.25</v>
      </c>
      <c r="N1987" s="1">
        <v>524.27</v>
      </c>
      <c r="O1987" s="1" t="s">
        <v>64</v>
      </c>
      <c r="P1987" s="1" t="s">
        <v>2175</v>
      </c>
      <c r="Q1987" s="1">
        <v>5</v>
      </c>
      <c r="R1987" s="1">
        <f>Retail_Sales_Analyis[[#This Row],[Final_Price]]-Retail_Sales_Analyis[[#This Row],[Total_Price]]</f>
        <v>-58.25</v>
      </c>
      <c r="S19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88" spans="1:19" x14ac:dyDescent="0.25">
      <c r="A1988" s="1" t="s">
        <v>2990</v>
      </c>
      <c r="B1988" s="2">
        <v>45533</v>
      </c>
      <c r="C1988" s="1" t="s">
        <v>93</v>
      </c>
      <c r="D1988" s="1" t="s">
        <v>67</v>
      </c>
      <c r="E1988" s="1" t="s">
        <v>328</v>
      </c>
      <c r="F1988" s="1" t="s">
        <v>21</v>
      </c>
      <c r="G1988" s="1" t="s">
        <v>38</v>
      </c>
      <c r="H1988" s="1" t="s">
        <v>422</v>
      </c>
      <c r="I1988" s="1">
        <v>503.51</v>
      </c>
      <c r="J1988" s="1">
        <v>1</v>
      </c>
      <c r="K1988" s="1">
        <v>503.51</v>
      </c>
      <c r="L1988" s="1">
        <v>15</v>
      </c>
      <c r="M1988" s="1">
        <v>75.53</v>
      </c>
      <c r="N1988" s="1">
        <v>427.98</v>
      </c>
      <c r="O1988" s="1" t="s">
        <v>80</v>
      </c>
      <c r="P1988" s="1" t="s">
        <v>1597</v>
      </c>
      <c r="Q1988" s="1">
        <v>5</v>
      </c>
      <c r="R1988" s="1">
        <f>Retail_Sales_Analyis[[#This Row],[Final_Price]]-Retail_Sales_Analyis[[#This Row],[Total_Price]]</f>
        <v>-75.529999999999973</v>
      </c>
      <c r="S19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89" spans="1:19" x14ac:dyDescent="0.25">
      <c r="A1989" s="1" t="s">
        <v>2991</v>
      </c>
      <c r="B1989" s="2">
        <v>45648</v>
      </c>
      <c r="C1989" s="1" t="s">
        <v>73</v>
      </c>
      <c r="D1989" s="1" t="s">
        <v>49</v>
      </c>
      <c r="E1989" s="1" t="s">
        <v>163</v>
      </c>
      <c r="F1989" s="1" t="s">
        <v>69</v>
      </c>
      <c r="G1989" s="1" t="s">
        <v>169</v>
      </c>
      <c r="H1989" s="1" t="s">
        <v>348</v>
      </c>
      <c r="I1989" s="1">
        <v>861.61</v>
      </c>
      <c r="J1989" s="1">
        <v>1</v>
      </c>
      <c r="K1989" s="1">
        <v>861.61</v>
      </c>
      <c r="L1989" s="1">
        <v>0</v>
      </c>
      <c r="M1989" s="1">
        <v>0</v>
      </c>
      <c r="N1989" s="1">
        <v>861.61</v>
      </c>
      <c r="O1989" s="1" t="s">
        <v>46</v>
      </c>
      <c r="P1989" s="1" t="s">
        <v>754</v>
      </c>
      <c r="Q1989" s="1">
        <v>2</v>
      </c>
      <c r="R1989" s="1">
        <f>Retail_Sales_Analyis[[#This Row],[Final_Price]]-Retail_Sales_Analyis[[#This Row],[Total_Price]]</f>
        <v>0</v>
      </c>
      <c r="S19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0" spans="1:19" x14ac:dyDescent="0.25">
      <c r="A1990" s="1" t="s">
        <v>2992</v>
      </c>
      <c r="B1990" s="2">
        <v>45363</v>
      </c>
      <c r="C1990" s="1" t="s">
        <v>61</v>
      </c>
      <c r="D1990" s="1" t="s">
        <v>28</v>
      </c>
      <c r="E1990" s="1" t="s">
        <v>141</v>
      </c>
      <c r="F1990" s="1" t="s">
        <v>37</v>
      </c>
      <c r="G1990" s="1" t="s">
        <v>22</v>
      </c>
      <c r="H1990" s="1" t="s">
        <v>187</v>
      </c>
      <c r="I1990" s="1">
        <v>366.18</v>
      </c>
      <c r="J1990" s="1">
        <v>6</v>
      </c>
      <c r="K1990" s="1">
        <v>2197.08</v>
      </c>
      <c r="L1990" s="1">
        <v>0</v>
      </c>
      <c r="M1990" s="1">
        <v>0</v>
      </c>
      <c r="N1990" s="1">
        <v>2197.08</v>
      </c>
      <c r="O1990" s="1" t="s">
        <v>46</v>
      </c>
      <c r="P1990" s="1" t="s">
        <v>2271</v>
      </c>
      <c r="Q1990" s="1">
        <v>5</v>
      </c>
      <c r="R1990" s="1">
        <f>Retail_Sales_Analyis[[#This Row],[Final_Price]]-Retail_Sales_Analyis[[#This Row],[Total_Price]]</f>
        <v>0</v>
      </c>
      <c r="S19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1" spans="1:19" x14ac:dyDescent="0.25">
      <c r="A1991" s="1" t="s">
        <v>2993</v>
      </c>
      <c r="B1991" s="2">
        <v>45653</v>
      </c>
      <c r="C1991" s="1" t="s">
        <v>73</v>
      </c>
      <c r="D1991" s="1" t="s">
        <v>144</v>
      </c>
      <c r="E1991" s="1" t="s">
        <v>337</v>
      </c>
      <c r="F1991" s="1" t="s">
        <v>37</v>
      </c>
      <c r="G1991" s="1" t="s">
        <v>31</v>
      </c>
      <c r="H1991" s="1" t="s">
        <v>329</v>
      </c>
      <c r="I1991" s="1">
        <v>395.96</v>
      </c>
      <c r="J1991" s="1">
        <v>6</v>
      </c>
      <c r="K1991" s="1">
        <v>2375.7600000000002</v>
      </c>
      <c r="L1991" s="1">
        <v>0</v>
      </c>
      <c r="M1991" s="1">
        <v>0</v>
      </c>
      <c r="N1991" s="1">
        <v>2375.7600000000002</v>
      </c>
      <c r="O1991" s="1" t="s">
        <v>64</v>
      </c>
      <c r="P1991" s="1" t="s">
        <v>623</v>
      </c>
      <c r="Q1991" s="1">
        <v>4</v>
      </c>
      <c r="R1991" s="1">
        <f>Retail_Sales_Analyis[[#This Row],[Final_Price]]-Retail_Sales_Analyis[[#This Row],[Total_Price]]</f>
        <v>0</v>
      </c>
      <c r="S19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2" spans="1:19" x14ac:dyDescent="0.25">
      <c r="A1992" s="1" t="s">
        <v>2994</v>
      </c>
      <c r="B1992" s="2">
        <v>45532</v>
      </c>
      <c r="C1992" s="1" t="s">
        <v>93</v>
      </c>
      <c r="D1992" s="1" t="s">
        <v>55</v>
      </c>
      <c r="E1992" s="1" t="s">
        <v>196</v>
      </c>
      <c r="F1992" s="1" t="s">
        <v>69</v>
      </c>
      <c r="G1992" s="1" t="s">
        <v>57</v>
      </c>
      <c r="H1992" s="1" t="s">
        <v>122</v>
      </c>
      <c r="I1992" s="1">
        <v>423.5</v>
      </c>
      <c r="J1992" s="1">
        <v>4</v>
      </c>
      <c r="K1992" s="1">
        <v>1694</v>
      </c>
      <c r="L1992" s="1">
        <v>20</v>
      </c>
      <c r="M1992" s="1">
        <v>338.8</v>
      </c>
      <c r="N1992" s="1">
        <v>1355.2</v>
      </c>
      <c r="O1992" s="1" t="s">
        <v>80</v>
      </c>
      <c r="P1992" s="1" t="s">
        <v>2518</v>
      </c>
      <c r="Q1992" s="1">
        <v>2</v>
      </c>
      <c r="R1992" s="1">
        <f>Retail_Sales_Analyis[[#This Row],[Final_Price]]-Retail_Sales_Analyis[[#This Row],[Total_Price]]</f>
        <v>-338.79999999999995</v>
      </c>
      <c r="S19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1993" spans="1:19" x14ac:dyDescent="0.25">
      <c r="A1993" s="1" t="s">
        <v>2995</v>
      </c>
      <c r="B1993" s="2">
        <v>45521</v>
      </c>
      <c r="C1993" s="1" t="s">
        <v>93</v>
      </c>
      <c r="D1993" s="1" t="s">
        <v>19</v>
      </c>
      <c r="E1993" s="1" t="s">
        <v>196</v>
      </c>
      <c r="F1993" s="1" t="s">
        <v>37</v>
      </c>
      <c r="G1993" s="1" t="s">
        <v>85</v>
      </c>
      <c r="H1993" s="1" t="s">
        <v>180</v>
      </c>
      <c r="I1993" s="1">
        <v>2398.25</v>
      </c>
      <c r="J1993" s="1">
        <v>4</v>
      </c>
      <c r="K1993" s="1">
        <v>9593</v>
      </c>
      <c r="L1993" s="1">
        <v>15</v>
      </c>
      <c r="M1993" s="1">
        <v>1438.95</v>
      </c>
      <c r="N1993" s="1">
        <v>8154.05</v>
      </c>
      <c r="O1993" s="1" t="s">
        <v>33</v>
      </c>
      <c r="P1993" s="1" t="s">
        <v>1013</v>
      </c>
      <c r="Q1993" s="1">
        <v>1</v>
      </c>
      <c r="R1993" s="1">
        <f>Retail_Sales_Analyis[[#This Row],[Final_Price]]-Retail_Sales_Analyis[[#This Row],[Total_Price]]</f>
        <v>-1438.9499999999998</v>
      </c>
      <c r="S19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94" spans="1:19" x14ac:dyDescent="0.25">
      <c r="A1994" s="1" t="s">
        <v>2996</v>
      </c>
      <c r="B1994" s="2">
        <v>45607</v>
      </c>
      <c r="C1994" s="1" t="s">
        <v>18</v>
      </c>
      <c r="D1994" s="1" t="s">
        <v>43</v>
      </c>
      <c r="E1994" s="1" t="s">
        <v>94</v>
      </c>
      <c r="F1994" s="1" t="s">
        <v>30</v>
      </c>
      <c r="G1994" s="1" t="s">
        <v>78</v>
      </c>
      <c r="H1994" s="1" t="s">
        <v>126</v>
      </c>
      <c r="I1994" s="1">
        <v>508.92</v>
      </c>
      <c r="J1994" s="1">
        <v>9</v>
      </c>
      <c r="K1994" s="1">
        <v>4580.28</v>
      </c>
      <c r="L1994" s="1">
        <v>15</v>
      </c>
      <c r="M1994" s="1">
        <v>687.04</v>
      </c>
      <c r="N1994" s="1">
        <v>3893.24</v>
      </c>
      <c r="O1994" s="1" t="s">
        <v>24</v>
      </c>
      <c r="P1994" s="1" t="s">
        <v>2997</v>
      </c>
      <c r="Q1994" s="1">
        <v>1</v>
      </c>
      <c r="R1994" s="1">
        <f>Retail_Sales_Analyis[[#This Row],[Final_Price]]-Retail_Sales_Analyis[[#This Row],[Total_Price]]</f>
        <v>-687.04</v>
      </c>
      <c r="S19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1995" spans="1:19" x14ac:dyDescent="0.25">
      <c r="A1995" s="1" t="s">
        <v>2998</v>
      </c>
      <c r="B1995" s="2">
        <v>45294</v>
      </c>
      <c r="C1995" s="1" t="s">
        <v>36</v>
      </c>
      <c r="D1995" s="1" t="s">
        <v>55</v>
      </c>
      <c r="E1995" s="1" t="s">
        <v>62</v>
      </c>
      <c r="F1995" s="1" t="s">
        <v>84</v>
      </c>
      <c r="G1995" s="1" t="s">
        <v>85</v>
      </c>
      <c r="H1995" s="1" t="s">
        <v>180</v>
      </c>
      <c r="I1995" s="1">
        <v>1848.71</v>
      </c>
      <c r="J1995" s="1">
        <v>8</v>
      </c>
      <c r="K1995" s="1">
        <v>14789.68</v>
      </c>
      <c r="L1995" s="1">
        <v>0</v>
      </c>
      <c r="M1995" s="1">
        <v>0</v>
      </c>
      <c r="N1995" s="1">
        <v>14789.68</v>
      </c>
      <c r="O1995" s="1" t="s">
        <v>33</v>
      </c>
      <c r="P1995" s="1" t="s">
        <v>2060</v>
      </c>
      <c r="Q1995" s="1">
        <v>1</v>
      </c>
      <c r="R1995" s="1">
        <f>Retail_Sales_Analyis[[#This Row],[Final_Price]]-Retail_Sales_Analyis[[#This Row],[Total_Price]]</f>
        <v>0</v>
      </c>
      <c r="S19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6" spans="1:19" x14ac:dyDescent="0.25">
      <c r="A1996" s="1" t="s">
        <v>2999</v>
      </c>
      <c r="B1996" s="2">
        <v>45332</v>
      </c>
      <c r="C1996" s="1" t="s">
        <v>27</v>
      </c>
      <c r="D1996" s="1" t="s">
        <v>19</v>
      </c>
      <c r="E1996" s="1" t="s">
        <v>168</v>
      </c>
      <c r="F1996" s="1" t="s">
        <v>30</v>
      </c>
      <c r="G1996" s="1" t="s">
        <v>57</v>
      </c>
      <c r="H1996" s="1" t="s">
        <v>58</v>
      </c>
      <c r="I1996" s="1">
        <v>2321.0700000000002</v>
      </c>
      <c r="J1996" s="1">
        <v>3</v>
      </c>
      <c r="K1996" s="1">
        <v>6963.21</v>
      </c>
      <c r="L1996" s="1">
        <v>5</v>
      </c>
      <c r="M1996" s="1">
        <v>348.16</v>
      </c>
      <c r="N1996" s="1">
        <v>6615.05</v>
      </c>
      <c r="O1996" s="1" t="s">
        <v>24</v>
      </c>
      <c r="P1996" s="1" t="s">
        <v>2195</v>
      </c>
      <c r="Q1996" s="1">
        <v>2</v>
      </c>
      <c r="R1996" s="1">
        <f>Retail_Sales_Analyis[[#This Row],[Final_Price]]-Retail_Sales_Analyis[[#This Row],[Total_Price]]</f>
        <v>-348.15999999999985</v>
      </c>
      <c r="S19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1997" spans="1:19" x14ac:dyDescent="0.25">
      <c r="A1997" s="1" t="s">
        <v>3000</v>
      </c>
      <c r="B1997" s="2">
        <v>45301</v>
      </c>
      <c r="C1997" s="1" t="s">
        <v>36</v>
      </c>
      <c r="D1997" s="1" t="s">
        <v>55</v>
      </c>
      <c r="E1997" s="1" t="s">
        <v>97</v>
      </c>
      <c r="F1997" s="1" t="s">
        <v>37</v>
      </c>
      <c r="G1997" s="1" t="s">
        <v>22</v>
      </c>
      <c r="H1997" s="1" t="s">
        <v>187</v>
      </c>
      <c r="I1997" s="1">
        <v>396.28</v>
      </c>
      <c r="J1997" s="1">
        <v>6</v>
      </c>
      <c r="K1997" s="1">
        <v>2377.6799999999998</v>
      </c>
      <c r="L1997" s="1">
        <v>0</v>
      </c>
      <c r="M1997" s="1">
        <v>0</v>
      </c>
      <c r="N1997" s="1">
        <v>2377.6799999999998</v>
      </c>
      <c r="O1997" s="1" t="s">
        <v>80</v>
      </c>
      <c r="P1997" s="1" t="s">
        <v>1153</v>
      </c>
      <c r="Q1997" s="1">
        <v>1</v>
      </c>
      <c r="R1997" s="1">
        <f>Retail_Sales_Analyis[[#This Row],[Final_Price]]-Retail_Sales_Analyis[[#This Row],[Total_Price]]</f>
        <v>0</v>
      </c>
      <c r="S19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8" spans="1:19" x14ac:dyDescent="0.25">
      <c r="A1998" s="1" t="s">
        <v>3001</v>
      </c>
      <c r="B1998" s="2">
        <v>45423</v>
      </c>
      <c r="C1998" s="1" t="s">
        <v>42</v>
      </c>
      <c r="D1998" s="1" t="s">
        <v>19</v>
      </c>
      <c r="E1998" s="1" t="s">
        <v>312</v>
      </c>
      <c r="F1998" s="1" t="s">
        <v>21</v>
      </c>
      <c r="G1998" s="1" t="s">
        <v>78</v>
      </c>
      <c r="H1998" s="1" t="s">
        <v>126</v>
      </c>
      <c r="I1998" s="1">
        <v>294.79000000000002</v>
      </c>
      <c r="J1998" s="1">
        <v>7</v>
      </c>
      <c r="K1998" s="1">
        <v>2063.5300000000002</v>
      </c>
      <c r="L1998" s="1">
        <v>0</v>
      </c>
      <c r="M1998" s="1">
        <v>0</v>
      </c>
      <c r="N1998" s="1">
        <v>2063.5300000000002</v>
      </c>
      <c r="O1998" s="1" t="s">
        <v>46</v>
      </c>
      <c r="P1998" s="1" t="s">
        <v>3002</v>
      </c>
      <c r="Q1998" s="1">
        <v>3</v>
      </c>
      <c r="R1998" s="1">
        <f>Retail_Sales_Analyis[[#This Row],[Final_Price]]-Retail_Sales_Analyis[[#This Row],[Total_Price]]</f>
        <v>0</v>
      </c>
      <c r="S19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1999" spans="1:19" x14ac:dyDescent="0.25">
      <c r="A1999" s="1" t="s">
        <v>3003</v>
      </c>
      <c r="B1999" s="2">
        <v>45402</v>
      </c>
      <c r="C1999" s="1" t="s">
        <v>54</v>
      </c>
      <c r="D1999" s="1" t="s">
        <v>19</v>
      </c>
      <c r="E1999" s="1" t="s">
        <v>129</v>
      </c>
      <c r="F1999" s="1" t="s">
        <v>30</v>
      </c>
      <c r="G1999" s="1" t="s">
        <v>78</v>
      </c>
      <c r="H1999" s="1" t="s">
        <v>136</v>
      </c>
      <c r="I1999" s="1">
        <v>519.19000000000005</v>
      </c>
      <c r="J1999" s="1">
        <v>4</v>
      </c>
      <c r="K1999" s="1">
        <v>2076.7600000000002</v>
      </c>
      <c r="L1999" s="1">
        <v>10</v>
      </c>
      <c r="M1999" s="1">
        <v>207.68</v>
      </c>
      <c r="N1999" s="1">
        <v>1869.08</v>
      </c>
      <c r="O1999" s="1" t="s">
        <v>33</v>
      </c>
      <c r="P1999" s="1" t="s">
        <v>800</v>
      </c>
      <c r="Q1999" s="1">
        <v>5</v>
      </c>
      <c r="R1999" s="1">
        <f>Retail_Sales_Analyis[[#This Row],[Final_Price]]-Retail_Sales_Analyis[[#This Row],[Total_Price]]</f>
        <v>-207.68000000000029</v>
      </c>
      <c r="S19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00" spans="1:19" x14ac:dyDescent="0.25">
      <c r="A2000" s="1" t="s">
        <v>3004</v>
      </c>
      <c r="B2000" s="2">
        <v>45368</v>
      </c>
      <c r="C2000" s="1" t="s">
        <v>61</v>
      </c>
      <c r="D2000" s="1" t="s">
        <v>49</v>
      </c>
      <c r="E2000" s="1" t="s">
        <v>104</v>
      </c>
      <c r="F2000" s="1" t="s">
        <v>21</v>
      </c>
      <c r="G2000" s="1" t="s">
        <v>169</v>
      </c>
      <c r="H2000" s="1" t="s">
        <v>208</v>
      </c>
      <c r="I2000" s="1">
        <v>755.8</v>
      </c>
      <c r="J2000" s="1">
        <v>4</v>
      </c>
      <c r="K2000" s="1">
        <v>3023.2</v>
      </c>
      <c r="L2000" s="1">
        <v>5</v>
      </c>
      <c r="M2000" s="1">
        <v>151.16</v>
      </c>
      <c r="N2000" s="1">
        <v>2872.04</v>
      </c>
      <c r="O2000" s="1" t="s">
        <v>80</v>
      </c>
      <c r="P2000" s="1" t="s">
        <v>2373</v>
      </c>
      <c r="Q2000" s="1">
        <v>1</v>
      </c>
      <c r="R2000" s="1">
        <f>Retail_Sales_Analyis[[#This Row],[Final_Price]]-Retail_Sales_Analyis[[#This Row],[Total_Price]]</f>
        <v>-151.15999999999985</v>
      </c>
      <c r="S20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01" spans="1:19" x14ac:dyDescent="0.25">
      <c r="A2001" s="1" t="s">
        <v>3005</v>
      </c>
      <c r="B2001" s="2">
        <v>45572</v>
      </c>
      <c r="C2001" s="1" t="s">
        <v>76</v>
      </c>
      <c r="D2001" s="1" t="s">
        <v>43</v>
      </c>
      <c r="E2001" s="1" t="s">
        <v>89</v>
      </c>
      <c r="F2001" s="1" t="s">
        <v>69</v>
      </c>
      <c r="G2001" s="1" t="s">
        <v>57</v>
      </c>
      <c r="H2001" s="1" t="s">
        <v>58</v>
      </c>
      <c r="I2001" s="1">
        <v>1561.25</v>
      </c>
      <c r="J2001" s="1">
        <v>8</v>
      </c>
      <c r="K2001" s="1">
        <v>12490</v>
      </c>
      <c r="L2001" s="1">
        <v>0</v>
      </c>
      <c r="M2001" s="1">
        <v>0</v>
      </c>
      <c r="N2001" s="1">
        <v>12490</v>
      </c>
      <c r="O2001" s="1" t="s">
        <v>64</v>
      </c>
      <c r="P2001" s="1" t="s">
        <v>352</v>
      </c>
      <c r="Q2001" s="1">
        <v>5</v>
      </c>
      <c r="R2001" s="1">
        <f>Retail_Sales_Analyis[[#This Row],[Final_Price]]-Retail_Sales_Analyis[[#This Row],[Total_Price]]</f>
        <v>0</v>
      </c>
      <c r="S20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02" spans="1:19" x14ac:dyDescent="0.25">
      <c r="A2002" s="1" t="s">
        <v>3006</v>
      </c>
      <c r="B2002" s="2">
        <v>45603</v>
      </c>
      <c r="C2002" s="1" t="s">
        <v>18</v>
      </c>
      <c r="D2002" s="1" t="s">
        <v>67</v>
      </c>
      <c r="E2002" s="1" t="s">
        <v>239</v>
      </c>
      <c r="F2002" s="1" t="s">
        <v>69</v>
      </c>
      <c r="G2002" s="1" t="s">
        <v>22</v>
      </c>
      <c r="H2002" s="1" t="s">
        <v>51</v>
      </c>
      <c r="I2002" s="1">
        <v>203.75</v>
      </c>
      <c r="J2002" s="1">
        <v>4</v>
      </c>
      <c r="K2002" s="1">
        <v>815</v>
      </c>
      <c r="L2002" s="1">
        <v>0</v>
      </c>
      <c r="M2002" s="1">
        <v>0</v>
      </c>
      <c r="N2002" s="1">
        <v>815</v>
      </c>
      <c r="O2002" s="1" t="s">
        <v>64</v>
      </c>
      <c r="P2002" s="1" t="s">
        <v>1039</v>
      </c>
      <c r="Q2002" s="1">
        <v>5</v>
      </c>
      <c r="R2002" s="1">
        <f>Retail_Sales_Analyis[[#This Row],[Final_Price]]-Retail_Sales_Analyis[[#This Row],[Total_Price]]</f>
        <v>0</v>
      </c>
      <c r="S20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03" spans="1:19" x14ac:dyDescent="0.25">
      <c r="A2003" s="1" t="s">
        <v>3007</v>
      </c>
      <c r="B2003" s="2">
        <v>45562</v>
      </c>
      <c r="C2003" s="1" t="s">
        <v>116</v>
      </c>
      <c r="D2003" s="1" t="s">
        <v>144</v>
      </c>
      <c r="E2003" s="1" t="s">
        <v>50</v>
      </c>
      <c r="F2003" s="1" t="s">
        <v>69</v>
      </c>
      <c r="G2003" s="1" t="s">
        <v>38</v>
      </c>
      <c r="H2003" s="1" t="s">
        <v>422</v>
      </c>
      <c r="I2003" s="1">
        <v>148.08000000000001</v>
      </c>
      <c r="J2003" s="1">
        <v>7</v>
      </c>
      <c r="K2003" s="1">
        <v>1036.56</v>
      </c>
      <c r="L2003" s="1">
        <v>0</v>
      </c>
      <c r="M2003" s="1">
        <v>0</v>
      </c>
      <c r="N2003" s="1">
        <v>1036.56</v>
      </c>
      <c r="O2003" s="1" t="s">
        <v>24</v>
      </c>
      <c r="P2003" s="1" t="s">
        <v>1929</v>
      </c>
      <c r="Q2003" s="1">
        <v>1</v>
      </c>
      <c r="R2003" s="1">
        <f>Retail_Sales_Analyis[[#This Row],[Final_Price]]-Retail_Sales_Analyis[[#This Row],[Total_Price]]</f>
        <v>0</v>
      </c>
      <c r="S20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04" spans="1:19" x14ac:dyDescent="0.25">
      <c r="A2004" s="1" t="s">
        <v>3008</v>
      </c>
      <c r="B2004" s="2">
        <v>45508</v>
      </c>
      <c r="C2004" s="1" t="s">
        <v>93</v>
      </c>
      <c r="D2004" s="1" t="s">
        <v>49</v>
      </c>
      <c r="E2004" s="1" t="s">
        <v>307</v>
      </c>
      <c r="F2004" s="1" t="s">
        <v>37</v>
      </c>
      <c r="G2004" s="1" t="s">
        <v>78</v>
      </c>
      <c r="H2004" s="1" t="s">
        <v>146</v>
      </c>
      <c r="I2004" s="1">
        <v>300.64</v>
      </c>
      <c r="J2004" s="1">
        <v>5</v>
      </c>
      <c r="K2004" s="1">
        <v>1503.2</v>
      </c>
      <c r="L2004" s="1">
        <v>5</v>
      </c>
      <c r="M2004" s="1">
        <v>75.16</v>
      </c>
      <c r="N2004" s="1">
        <v>1428.04</v>
      </c>
      <c r="O2004" s="1" t="s">
        <v>46</v>
      </c>
      <c r="P2004" s="1" t="s">
        <v>425</v>
      </c>
      <c r="Q2004" s="1">
        <v>1</v>
      </c>
      <c r="R2004" s="1">
        <f>Retail_Sales_Analyis[[#This Row],[Final_Price]]-Retail_Sales_Analyis[[#This Row],[Total_Price]]</f>
        <v>-75.160000000000082</v>
      </c>
      <c r="S20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05" spans="1:19" x14ac:dyDescent="0.25">
      <c r="A2005" s="1" t="s">
        <v>3009</v>
      </c>
      <c r="B2005" s="2">
        <v>45348</v>
      </c>
      <c r="C2005" s="1" t="s">
        <v>27</v>
      </c>
      <c r="D2005" s="1" t="s">
        <v>43</v>
      </c>
      <c r="E2005" s="1" t="s">
        <v>151</v>
      </c>
      <c r="F2005" s="1" t="s">
        <v>21</v>
      </c>
      <c r="G2005" s="1" t="s">
        <v>57</v>
      </c>
      <c r="H2005" s="1" t="s">
        <v>122</v>
      </c>
      <c r="I2005" s="1">
        <v>1731.22</v>
      </c>
      <c r="J2005" s="1">
        <v>3</v>
      </c>
      <c r="K2005" s="1">
        <v>5193.66</v>
      </c>
      <c r="L2005" s="1">
        <v>5</v>
      </c>
      <c r="M2005" s="1">
        <v>259.68</v>
      </c>
      <c r="N2005" s="1">
        <v>4933.9799999999996</v>
      </c>
      <c r="O2005" s="1" t="s">
        <v>64</v>
      </c>
      <c r="P2005" s="1" t="s">
        <v>2214</v>
      </c>
      <c r="Q2005" s="1">
        <v>1</v>
      </c>
      <c r="R2005" s="1">
        <f>Retail_Sales_Analyis[[#This Row],[Final_Price]]-Retail_Sales_Analyis[[#This Row],[Total_Price]]</f>
        <v>-259.68000000000029</v>
      </c>
      <c r="S200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06" spans="1:19" x14ac:dyDescent="0.25">
      <c r="A2006" s="1" t="s">
        <v>3010</v>
      </c>
      <c r="B2006" s="2">
        <v>45439</v>
      </c>
      <c r="C2006" s="1" t="s">
        <v>42</v>
      </c>
      <c r="D2006" s="1" t="s">
        <v>43</v>
      </c>
      <c r="E2006" s="1" t="s">
        <v>328</v>
      </c>
      <c r="F2006" s="1" t="s">
        <v>30</v>
      </c>
      <c r="G2006" s="1" t="s">
        <v>22</v>
      </c>
      <c r="H2006" s="1" t="s">
        <v>23</v>
      </c>
      <c r="I2006" s="1">
        <v>537.78</v>
      </c>
      <c r="J2006" s="1">
        <v>9</v>
      </c>
      <c r="K2006" s="1">
        <v>4840.0200000000004</v>
      </c>
      <c r="L2006" s="1">
        <v>20</v>
      </c>
      <c r="M2006" s="1">
        <v>968</v>
      </c>
      <c r="N2006" s="1">
        <v>3872.02</v>
      </c>
      <c r="O2006" s="1" t="s">
        <v>24</v>
      </c>
      <c r="P2006" s="1" t="s">
        <v>3011</v>
      </c>
      <c r="Q2006" s="1">
        <v>3</v>
      </c>
      <c r="R2006" s="1">
        <f>Retail_Sales_Analyis[[#This Row],[Final_Price]]-Retail_Sales_Analyis[[#This Row],[Total_Price]]</f>
        <v>-968.00000000000045</v>
      </c>
      <c r="S20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07" spans="1:19" x14ac:dyDescent="0.25">
      <c r="A2007" s="1" t="s">
        <v>3012</v>
      </c>
      <c r="B2007" s="2">
        <v>45413</v>
      </c>
      <c r="C2007" s="1" t="s">
        <v>42</v>
      </c>
      <c r="D2007" s="1" t="s">
        <v>55</v>
      </c>
      <c r="E2007" s="1" t="s">
        <v>145</v>
      </c>
      <c r="F2007" s="1" t="s">
        <v>37</v>
      </c>
      <c r="G2007" s="1" t="s">
        <v>38</v>
      </c>
      <c r="H2007" s="1" t="s">
        <v>108</v>
      </c>
      <c r="I2007" s="1">
        <v>181.24</v>
      </c>
      <c r="J2007" s="1">
        <v>10</v>
      </c>
      <c r="K2007" s="1">
        <v>1812.4</v>
      </c>
      <c r="L2007" s="1">
        <v>0</v>
      </c>
      <c r="M2007" s="1">
        <v>0</v>
      </c>
      <c r="N2007" s="1">
        <v>1812.4</v>
      </c>
      <c r="O2007" s="1" t="s">
        <v>80</v>
      </c>
      <c r="P2007" s="1" t="s">
        <v>1460</v>
      </c>
      <c r="Q2007" s="1">
        <v>3</v>
      </c>
      <c r="R2007" s="1">
        <f>Retail_Sales_Analyis[[#This Row],[Final_Price]]-Retail_Sales_Analyis[[#This Row],[Total_Price]]</f>
        <v>0</v>
      </c>
      <c r="S20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08" spans="1:19" x14ac:dyDescent="0.25">
      <c r="A2008" s="1" t="s">
        <v>3013</v>
      </c>
      <c r="B2008" s="2">
        <v>45446</v>
      </c>
      <c r="C2008" s="1" t="s">
        <v>173</v>
      </c>
      <c r="D2008" s="1" t="s">
        <v>43</v>
      </c>
      <c r="E2008" s="1" t="s">
        <v>168</v>
      </c>
      <c r="F2008" s="1" t="s">
        <v>84</v>
      </c>
      <c r="G2008" s="1" t="s">
        <v>22</v>
      </c>
      <c r="H2008" s="1" t="s">
        <v>187</v>
      </c>
      <c r="I2008" s="1">
        <v>837.83</v>
      </c>
      <c r="J2008" s="1">
        <v>7</v>
      </c>
      <c r="K2008" s="1">
        <v>5864.81</v>
      </c>
      <c r="L2008" s="1">
        <v>5</v>
      </c>
      <c r="M2008" s="1">
        <v>293.24</v>
      </c>
      <c r="N2008" s="1">
        <v>5571.57</v>
      </c>
      <c r="O2008" s="1" t="s">
        <v>33</v>
      </c>
      <c r="P2008" s="1" t="s">
        <v>1153</v>
      </c>
      <c r="Q2008" s="1">
        <v>3</v>
      </c>
      <c r="R2008" s="1">
        <f>Retail_Sales_Analyis[[#This Row],[Final_Price]]-Retail_Sales_Analyis[[#This Row],[Total_Price]]</f>
        <v>-293.24000000000069</v>
      </c>
      <c r="S20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09" spans="1:19" x14ac:dyDescent="0.25">
      <c r="A2009" s="1" t="s">
        <v>3014</v>
      </c>
      <c r="B2009" s="2">
        <v>45354</v>
      </c>
      <c r="C2009" s="1" t="s">
        <v>61</v>
      </c>
      <c r="D2009" s="1" t="s">
        <v>49</v>
      </c>
      <c r="E2009" s="1" t="s">
        <v>213</v>
      </c>
      <c r="F2009" s="1" t="s">
        <v>69</v>
      </c>
      <c r="G2009" s="1" t="s">
        <v>112</v>
      </c>
      <c r="H2009" s="1" t="s">
        <v>183</v>
      </c>
      <c r="I2009" s="1">
        <v>760.55</v>
      </c>
      <c r="J2009" s="1">
        <v>9</v>
      </c>
      <c r="K2009" s="1">
        <v>6844.95</v>
      </c>
      <c r="L2009" s="1">
        <v>10</v>
      </c>
      <c r="M2009" s="1">
        <v>684.5</v>
      </c>
      <c r="N2009" s="1">
        <v>6160.45</v>
      </c>
      <c r="O2009" s="1" t="s">
        <v>46</v>
      </c>
      <c r="P2009" s="1" t="s">
        <v>734</v>
      </c>
      <c r="Q2009" s="1">
        <v>5</v>
      </c>
      <c r="R2009" s="1">
        <f>Retail_Sales_Analyis[[#This Row],[Final_Price]]-Retail_Sales_Analyis[[#This Row],[Total_Price]]</f>
        <v>-684.5</v>
      </c>
      <c r="S20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10" spans="1:19" x14ac:dyDescent="0.25">
      <c r="A2010" s="1" t="s">
        <v>3015</v>
      </c>
      <c r="B2010" s="2">
        <v>45316</v>
      </c>
      <c r="C2010" s="1" t="s">
        <v>36</v>
      </c>
      <c r="D2010" s="1" t="s">
        <v>67</v>
      </c>
      <c r="E2010" s="1" t="s">
        <v>141</v>
      </c>
      <c r="F2010" s="1" t="s">
        <v>69</v>
      </c>
      <c r="G2010" s="1" t="s">
        <v>38</v>
      </c>
      <c r="H2010" s="1" t="s">
        <v>422</v>
      </c>
      <c r="I2010" s="1">
        <v>628.08000000000004</v>
      </c>
      <c r="J2010" s="1">
        <v>6</v>
      </c>
      <c r="K2010" s="1">
        <v>3768.48</v>
      </c>
      <c r="L2010" s="1">
        <v>0</v>
      </c>
      <c r="M2010" s="1">
        <v>0</v>
      </c>
      <c r="N2010" s="1">
        <v>3768.48</v>
      </c>
      <c r="O2010" s="1" t="s">
        <v>64</v>
      </c>
      <c r="P2010" s="1" t="s">
        <v>3016</v>
      </c>
      <c r="Q2010" s="1">
        <v>3</v>
      </c>
      <c r="R2010" s="1">
        <f>Retail_Sales_Analyis[[#This Row],[Final_Price]]-Retail_Sales_Analyis[[#This Row],[Total_Price]]</f>
        <v>0</v>
      </c>
      <c r="S20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1" spans="1:19" x14ac:dyDescent="0.25">
      <c r="A2011" s="1" t="s">
        <v>3017</v>
      </c>
      <c r="B2011" s="2">
        <v>45414</v>
      </c>
      <c r="C2011" s="1" t="s">
        <v>42</v>
      </c>
      <c r="D2011" s="1" t="s">
        <v>67</v>
      </c>
      <c r="E2011" s="1" t="s">
        <v>163</v>
      </c>
      <c r="F2011" s="1" t="s">
        <v>37</v>
      </c>
      <c r="G2011" s="1" t="s">
        <v>31</v>
      </c>
      <c r="H2011" s="1" t="s">
        <v>329</v>
      </c>
      <c r="I2011" s="1">
        <v>254.08</v>
      </c>
      <c r="J2011" s="1">
        <v>4</v>
      </c>
      <c r="K2011" s="1">
        <v>1016.32</v>
      </c>
      <c r="L2011" s="1">
        <v>0</v>
      </c>
      <c r="M2011" s="1">
        <v>0</v>
      </c>
      <c r="N2011" s="1">
        <v>1016.32</v>
      </c>
      <c r="O2011" s="1" t="s">
        <v>33</v>
      </c>
      <c r="P2011" s="1" t="s">
        <v>1701</v>
      </c>
      <c r="Q2011" s="1">
        <v>5</v>
      </c>
      <c r="R2011" s="1">
        <f>Retail_Sales_Analyis[[#This Row],[Final_Price]]-Retail_Sales_Analyis[[#This Row],[Total_Price]]</f>
        <v>0</v>
      </c>
      <c r="S20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2" spans="1:19" x14ac:dyDescent="0.25">
      <c r="A2012" s="1" t="s">
        <v>3018</v>
      </c>
      <c r="B2012" s="2">
        <v>45506</v>
      </c>
      <c r="C2012" s="1" t="s">
        <v>93</v>
      </c>
      <c r="D2012" s="1" t="s">
        <v>144</v>
      </c>
      <c r="E2012" s="1" t="s">
        <v>351</v>
      </c>
      <c r="F2012" s="1" t="s">
        <v>21</v>
      </c>
      <c r="G2012" s="1" t="s">
        <v>169</v>
      </c>
      <c r="H2012" s="1" t="s">
        <v>348</v>
      </c>
      <c r="I2012" s="1">
        <v>1306.97</v>
      </c>
      <c r="J2012" s="1">
        <v>5</v>
      </c>
      <c r="K2012" s="1">
        <v>6534.85</v>
      </c>
      <c r="L2012" s="1">
        <v>20</v>
      </c>
      <c r="M2012" s="1">
        <v>1306.97</v>
      </c>
      <c r="N2012" s="1">
        <v>5227.88</v>
      </c>
      <c r="O2012" s="1" t="s">
        <v>24</v>
      </c>
      <c r="P2012" s="1" t="s">
        <v>3019</v>
      </c>
      <c r="Q2012" s="1">
        <v>2</v>
      </c>
      <c r="R2012" s="1">
        <f>Retail_Sales_Analyis[[#This Row],[Final_Price]]-Retail_Sales_Analyis[[#This Row],[Total_Price]]</f>
        <v>-1306.9700000000003</v>
      </c>
      <c r="S20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13" spans="1:19" x14ac:dyDescent="0.25">
      <c r="A2013" s="1" t="s">
        <v>3020</v>
      </c>
      <c r="B2013" s="2">
        <v>45619</v>
      </c>
      <c r="C2013" s="1" t="s">
        <v>18</v>
      </c>
      <c r="D2013" s="1" t="s">
        <v>19</v>
      </c>
      <c r="E2013" s="1" t="s">
        <v>213</v>
      </c>
      <c r="F2013" s="1" t="s">
        <v>21</v>
      </c>
      <c r="G2013" s="1" t="s">
        <v>169</v>
      </c>
      <c r="H2013" s="1" t="s">
        <v>170</v>
      </c>
      <c r="I2013" s="1">
        <v>892.1</v>
      </c>
      <c r="J2013" s="1">
        <v>9</v>
      </c>
      <c r="K2013" s="1">
        <v>8028.9</v>
      </c>
      <c r="L2013" s="1">
        <v>5</v>
      </c>
      <c r="M2013" s="1">
        <v>401.44</v>
      </c>
      <c r="N2013" s="1">
        <v>7627.46</v>
      </c>
      <c r="O2013" s="1" t="s">
        <v>33</v>
      </c>
      <c r="P2013" s="1" t="s">
        <v>942</v>
      </c>
      <c r="Q2013" s="1">
        <v>3</v>
      </c>
      <c r="R2013" s="1">
        <f>Retail_Sales_Analyis[[#This Row],[Final_Price]]-Retail_Sales_Analyis[[#This Row],[Total_Price]]</f>
        <v>-401.4399999999996</v>
      </c>
      <c r="S20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14" spans="1:19" x14ac:dyDescent="0.25">
      <c r="A2014" s="1" t="s">
        <v>3021</v>
      </c>
      <c r="B2014" s="2">
        <v>45610</v>
      </c>
      <c r="C2014" s="1" t="s">
        <v>18</v>
      </c>
      <c r="D2014" s="1" t="s">
        <v>67</v>
      </c>
      <c r="E2014" s="1" t="s">
        <v>542</v>
      </c>
      <c r="F2014" s="1" t="s">
        <v>21</v>
      </c>
      <c r="G2014" s="1" t="s">
        <v>57</v>
      </c>
      <c r="H2014" s="1" t="s">
        <v>101</v>
      </c>
      <c r="I2014" s="1">
        <v>1333.17</v>
      </c>
      <c r="J2014" s="1">
        <v>8</v>
      </c>
      <c r="K2014" s="1">
        <v>10665.36</v>
      </c>
      <c r="L2014" s="1">
        <v>5</v>
      </c>
      <c r="M2014" s="1">
        <v>533.27</v>
      </c>
      <c r="N2014" s="1">
        <v>10132.09</v>
      </c>
      <c r="O2014" s="1" t="s">
        <v>24</v>
      </c>
      <c r="P2014" s="1" t="s">
        <v>798</v>
      </c>
      <c r="Q2014" s="1">
        <v>3</v>
      </c>
      <c r="R2014" s="1">
        <f>Retail_Sales_Analyis[[#This Row],[Final_Price]]-Retail_Sales_Analyis[[#This Row],[Total_Price]]</f>
        <v>-533.27000000000044</v>
      </c>
      <c r="S20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15" spans="1:19" x14ac:dyDescent="0.25">
      <c r="A2015" s="1" t="s">
        <v>3022</v>
      </c>
      <c r="B2015" s="2">
        <v>45526</v>
      </c>
      <c r="C2015" s="1" t="s">
        <v>93</v>
      </c>
      <c r="D2015" s="1" t="s">
        <v>67</v>
      </c>
      <c r="E2015" s="1" t="s">
        <v>328</v>
      </c>
      <c r="F2015" s="1" t="s">
        <v>69</v>
      </c>
      <c r="G2015" s="1" t="s">
        <v>112</v>
      </c>
      <c r="H2015" s="1" t="s">
        <v>183</v>
      </c>
      <c r="I2015" s="1">
        <v>518.67999999999995</v>
      </c>
      <c r="J2015" s="1">
        <v>2</v>
      </c>
      <c r="K2015" s="1">
        <v>1037.3599999999999</v>
      </c>
      <c r="L2015" s="1">
        <v>0</v>
      </c>
      <c r="M2015" s="1">
        <v>0</v>
      </c>
      <c r="N2015" s="1">
        <v>1037.3599999999999</v>
      </c>
      <c r="O2015" s="1" t="s">
        <v>64</v>
      </c>
      <c r="P2015" s="1" t="s">
        <v>362</v>
      </c>
      <c r="Q2015" s="1">
        <v>5</v>
      </c>
      <c r="R2015" s="1">
        <f>Retail_Sales_Analyis[[#This Row],[Final_Price]]-Retail_Sales_Analyis[[#This Row],[Total_Price]]</f>
        <v>0</v>
      </c>
      <c r="S20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6" spans="1:19" x14ac:dyDescent="0.25">
      <c r="A2016" s="1" t="s">
        <v>3023</v>
      </c>
      <c r="B2016" s="2">
        <v>45324</v>
      </c>
      <c r="C2016" s="1" t="s">
        <v>27</v>
      </c>
      <c r="D2016" s="1" t="s">
        <v>144</v>
      </c>
      <c r="E2016" s="1" t="s">
        <v>236</v>
      </c>
      <c r="F2016" s="1" t="s">
        <v>37</v>
      </c>
      <c r="G2016" s="1" t="s">
        <v>112</v>
      </c>
      <c r="H2016" s="1" t="s">
        <v>113</v>
      </c>
      <c r="I2016" s="1">
        <v>1317.43</v>
      </c>
      <c r="J2016" s="1">
        <v>7</v>
      </c>
      <c r="K2016" s="1">
        <v>9222.01</v>
      </c>
      <c r="L2016" s="1">
        <v>0</v>
      </c>
      <c r="M2016" s="1">
        <v>0</v>
      </c>
      <c r="N2016" s="1">
        <v>9222.01</v>
      </c>
      <c r="O2016" s="1" t="s">
        <v>46</v>
      </c>
      <c r="P2016" s="1" t="s">
        <v>754</v>
      </c>
      <c r="Q2016" s="1">
        <v>3</v>
      </c>
      <c r="R2016" s="1">
        <f>Retail_Sales_Analyis[[#This Row],[Final_Price]]-Retail_Sales_Analyis[[#This Row],[Total_Price]]</f>
        <v>0</v>
      </c>
      <c r="S20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7" spans="1:19" x14ac:dyDescent="0.25">
      <c r="A2017" s="1" t="s">
        <v>3024</v>
      </c>
      <c r="B2017" s="2">
        <v>45348</v>
      </c>
      <c r="C2017" s="1" t="s">
        <v>27</v>
      </c>
      <c r="D2017" s="1" t="s">
        <v>43</v>
      </c>
      <c r="E2017" s="1" t="s">
        <v>50</v>
      </c>
      <c r="F2017" s="1" t="s">
        <v>37</v>
      </c>
      <c r="G2017" s="1" t="s">
        <v>38</v>
      </c>
      <c r="H2017" s="1" t="s">
        <v>39</v>
      </c>
      <c r="I2017" s="1">
        <v>558.65</v>
      </c>
      <c r="J2017" s="1">
        <v>3</v>
      </c>
      <c r="K2017" s="1">
        <v>1675.95</v>
      </c>
      <c r="L2017" s="1">
        <v>20</v>
      </c>
      <c r="M2017" s="1">
        <v>335.19</v>
      </c>
      <c r="N2017" s="1">
        <v>1340.76</v>
      </c>
      <c r="O2017" s="1" t="s">
        <v>64</v>
      </c>
      <c r="P2017" s="1" t="s">
        <v>153</v>
      </c>
      <c r="Q2017" s="1">
        <v>1</v>
      </c>
      <c r="R2017" s="1">
        <f>Retail_Sales_Analyis[[#This Row],[Final_Price]]-Retail_Sales_Analyis[[#This Row],[Total_Price]]</f>
        <v>-335.19000000000005</v>
      </c>
      <c r="S20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18" spans="1:19" x14ac:dyDescent="0.25">
      <c r="A2018" s="1" t="s">
        <v>3025</v>
      </c>
      <c r="B2018" s="2">
        <v>45547</v>
      </c>
      <c r="C2018" s="1" t="s">
        <v>116</v>
      </c>
      <c r="D2018" s="1" t="s">
        <v>67</v>
      </c>
      <c r="E2018" s="1" t="s">
        <v>337</v>
      </c>
      <c r="F2018" s="1" t="s">
        <v>37</v>
      </c>
      <c r="G2018" s="1" t="s">
        <v>78</v>
      </c>
      <c r="H2018" s="1" t="s">
        <v>136</v>
      </c>
      <c r="I2018" s="1">
        <v>357.82</v>
      </c>
      <c r="J2018" s="1">
        <v>1</v>
      </c>
      <c r="K2018" s="1">
        <v>357.82</v>
      </c>
      <c r="L2018" s="1">
        <v>0</v>
      </c>
      <c r="M2018" s="1">
        <v>0</v>
      </c>
      <c r="N2018" s="1">
        <v>357.82</v>
      </c>
      <c r="O2018" s="1" t="s">
        <v>46</v>
      </c>
      <c r="P2018" s="1" t="s">
        <v>1230</v>
      </c>
      <c r="Q2018" s="1">
        <v>1</v>
      </c>
      <c r="R2018" s="1">
        <f>Retail_Sales_Analyis[[#This Row],[Final_Price]]-Retail_Sales_Analyis[[#This Row],[Total_Price]]</f>
        <v>0</v>
      </c>
      <c r="S20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19" spans="1:19" x14ac:dyDescent="0.25">
      <c r="A2019" s="1" t="s">
        <v>3026</v>
      </c>
      <c r="B2019" s="2">
        <v>45597</v>
      </c>
      <c r="C2019" s="1" t="s">
        <v>18</v>
      </c>
      <c r="D2019" s="1" t="s">
        <v>144</v>
      </c>
      <c r="E2019" s="1" t="s">
        <v>236</v>
      </c>
      <c r="F2019" s="1" t="s">
        <v>30</v>
      </c>
      <c r="G2019" s="1" t="s">
        <v>31</v>
      </c>
      <c r="H2019" s="1" t="s">
        <v>45</v>
      </c>
      <c r="I2019" s="1">
        <v>427.49</v>
      </c>
      <c r="J2019" s="1">
        <v>5</v>
      </c>
      <c r="K2019" s="1">
        <v>2137.4499999999998</v>
      </c>
      <c r="L2019" s="1">
        <v>0</v>
      </c>
      <c r="M2019" s="1">
        <v>0</v>
      </c>
      <c r="N2019" s="1">
        <v>2137.4499999999998</v>
      </c>
      <c r="O2019" s="1" t="s">
        <v>80</v>
      </c>
      <c r="P2019" s="1" t="s">
        <v>957</v>
      </c>
      <c r="Q2019" s="1">
        <v>2</v>
      </c>
      <c r="R2019" s="1">
        <f>Retail_Sales_Analyis[[#This Row],[Final_Price]]-Retail_Sales_Analyis[[#This Row],[Total_Price]]</f>
        <v>0</v>
      </c>
      <c r="S20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20" spans="1:19" x14ac:dyDescent="0.25">
      <c r="A2020" s="1" t="s">
        <v>3027</v>
      </c>
      <c r="B2020" s="2">
        <v>45566</v>
      </c>
      <c r="C2020" s="1" t="s">
        <v>76</v>
      </c>
      <c r="D2020" s="1" t="s">
        <v>28</v>
      </c>
      <c r="E2020" s="1" t="s">
        <v>351</v>
      </c>
      <c r="F2020" s="1" t="s">
        <v>37</v>
      </c>
      <c r="G2020" s="1" t="s">
        <v>57</v>
      </c>
      <c r="H2020" s="1" t="s">
        <v>122</v>
      </c>
      <c r="I2020" s="1">
        <v>2001.09</v>
      </c>
      <c r="J2020" s="1">
        <v>1</v>
      </c>
      <c r="K2020" s="1">
        <v>2001.09</v>
      </c>
      <c r="L2020" s="1">
        <v>10</v>
      </c>
      <c r="M2020" s="1">
        <v>200.11</v>
      </c>
      <c r="N2020" s="1">
        <v>1800.98</v>
      </c>
      <c r="O2020" s="1" t="s">
        <v>33</v>
      </c>
      <c r="P2020" s="1" t="s">
        <v>3028</v>
      </c>
      <c r="Q2020" s="1">
        <v>5</v>
      </c>
      <c r="R2020" s="1">
        <f>Retail_Sales_Analyis[[#This Row],[Final_Price]]-Retail_Sales_Analyis[[#This Row],[Total_Price]]</f>
        <v>-200.1099999999999</v>
      </c>
      <c r="S20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21" spans="1:19" x14ac:dyDescent="0.25">
      <c r="A2021" s="1" t="s">
        <v>3029</v>
      </c>
      <c r="B2021" s="2">
        <v>45300</v>
      </c>
      <c r="C2021" s="1" t="s">
        <v>36</v>
      </c>
      <c r="D2021" s="1" t="s">
        <v>28</v>
      </c>
      <c r="E2021" s="1" t="s">
        <v>204</v>
      </c>
      <c r="F2021" s="1" t="s">
        <v>84</v>
      </c>
      <c r="G2021" s="1" t="s">
        <v>85</v>
      </c>
      <c r="H2021" s="1" t="s">
        <v>98</v>
      </c>
      <c r="I2021" s="1">
        <v>4002.61</v>
      </c>
      <c r="J2021" s="1">
        <v>9</v>
      </c>
      <c r="K2021" s="1">
        <v>36023.49</v>
      </c>
      <c r="L2021" s="1">
        <v>5</v>
      </c>
      <c r="M2021" s="1">
        <v>1801.17</v>
      </c>
      <c r="N2021" s="1">
        <v>34222.32</v>
      </c>
      <c r="O2021" s="1" t="s">
        <v>24</v>
      </c>
      <c r="P2021" s="1" t="s">
        <v>2122</v>
      </c>
      <c r="Q2021" s="1">
        <v>5</v>
      </c>
      <c r="R2021" s="1">
        <f>Retail_Sales_Analyis[[#This Row],[Final_Price]]-Retail_Sales_Analyis[[#This Row],[Total_Price]]</f>
        <v>-1801.1699999999983</v>
      </c>
      <c r="S20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22" spans="1:19" x14ac:dyDescent="0.25">
      <c r="A2022" s="1" t="s">
        <v>3030</v>
      </c>
      <c r="B2022" s="2">
        <v>45615</v>
      </c>
      <c r="C2022" s="1" t="s">
        <v>18</v>
      </c>
      <c r="D2022" s="1" t="s">
        <v>28</v>
      </c>
      <c r="E2022" s="1" t="s">
        <v>129</v>
      </c>
      <c r="F2022" s="1" t="s">
        <v>30</v>
      </c>
      <c r="G2022" s="1" t="s">
        <v>85</v>
      </c>
      <c r="H2022" s="1" t="s">
        <v>86</v>
      </c>
      <c r="I2022" s="1">
        <v>4931.8500000000004</v>
      </c>
      <c r="J2022" s="1">
        <v>10</v>
      </c>
      <c r="K2022" s="1">
        <v>49318.5</v>
      </c>
      <c r="L2022" s="1">
        <v>5</v>
      </c>
      <c r="M2022" s="1">
        <v>2465.9299999999998</v>
      </c>
      <c r="N2022" s="1">
        <v>46852.57</v>
      </c>
      <c r="O2022" s="1" t="s">
        <v>64</v>
      </c>
      <c r="P2022" s="1" t="s">
        <v>586</v>
      </c>
      <c r="Q2022" s="1">
        <v>2</v>
      </c>
      <c r="R2022" s="1">
        <f>Retail_Sales_Analyis[[#This Row],[Final_Price]]-Retail_Sales_Analyis[[#This Row],[Total_Price]]</f>
        <v>-2465.9300000000003</v>
      </c>
      <c r="S202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23" spans="1:19" x14ac:dyDescent="0.25">
      <c r="A2023" s="1" t="s">
        <v>3031</v>
      </c>
      <c r="B2023" s="2">
        <v>45555</v>
      </c>
      <c r="C2023" s="1" t="s">
        <v>116</v>
      </c>
      <c r="D2023" s="1" t="s">
        <v>144</v>
      </c>
      <c r="E2023" s="1" t="s">
        <v>168</v>
      </c>
      <c r="F2023" s="1" t="s">
        <v>21</v>
      </c>
      <c r="G2023" s="1" t="s">
        <v>31</v>
      </c>
      <c r="H2023" s="1" t="s">
        <v>63</v>
      </c>
      <c r="I2023" s="1">
        <v>407.05</v>
      </c>
      <c r="J2023" s="1">
        <v>3</v>
      </c>
      <c r="K2023" s="1">
        <v>1221.1500000000001</v>
      </c>
      <c r="L2023" s="1">
        <v>0</v>
      </c>
      <c r="M2023" s="1">
        <v>0</v>
      </c>
      <c r="N2023" s="1">
        <v>1221.1500000000001</v>
      </c>
      <c r="O2023" s="1" t="s">
        <v>24</v>
      </c>
      <c r="P2023" s="1" t="s">
        <v>2321</v>
      </c>
      <c r="Q2023" s="1">
        <v>3</v>
      </c>
      <c r="R2023" s="1">
        <f>Retail_Sales_Analyis[[#This Row],[Final_Price]]-Retail_Sales_Analyis[[#This Row],[Total_Price]]</f>
        <v>0</v>
      </c>
      <c r="S20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24" spans="1:19" x14ac:dyDescent="0.25">
      <c r="A2024" s="1" t="s">
        <v>3032</v>
      </c>
      <c r="B2024" s="2">
        <v>45586</v>
      </c>
      <c r="C2024" s="1" t="s">
        <v>76</v>
      </c>
      <c r="D2024" s="1" t="s">
        <v>43</v>
      </c>
      <c r="E2024" s="1" t="s">
        <v>351</v>
      </c>
      <c r="F2024" s="1" t="s">
        <v>69</v>
      </c>
      <c r="G2024" s="1" t="s">
        <v>22</v>
      </c>
      <c r="H2024" s="1" t="s">
        <v>133</v>
      </c>
      <c r="I2024" s="1">
        <v>286.31</v>
      </c>
      <c r="J2024" s="1">
        <v>10</v>
      </c>
      <c r="K2024" s="1">
        <v>2863.1</v>
      </c>
      <c r="L2024" s="1">
        <v>0</v>
      </c>
      <c r="M2024" s="1">
        <v>0</v>
      </c>
      <c r="N2024" s="1">
        <v>2863.1</v>
      </c>
      <c r="O2024" s="1" t="s">
        <v>24</v>
      </c>
      <c r="P2024" s="1" t="s">
        <v>3033</v>
      </c>
      <c r="Q2024" s="1">
        <v>2</v>
      </c>
      <c r="R2024" s="1">
        <f>Retail_Sales_Analyis[[#This Row],[Final_Price]]-Retail_Sales_Analyis[[#This Row],[Total_Price]]</f>
        <v>0</v>
      </c>
      <c r="S20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25" spans="1:19" x14ac:dyDescent="0.25">
      <c r="A2025" s="1" t="s">
        <v>3034</v>
      </c>
      <c r="B2025" s="2">
        <v>45415</v>
      </c>
      <c r="C2025" s="1" t="s">
        <v>42</v>
      </c>
      <c r="D2025" s="1" t="s">
        <v>144</v>
      </c>
      <c r="E2025" s="1" t="s">
        <v>107</v>
      </c>
      <c r="F2025" s="1" t="s">
        <v>84</v>
      </c>
      <c r="G2025" s="1" t="s">
        <v>22</v>
      </c>
      <c r="H2025" s="1" t="s">
        <v>133</v>
      </c>
      <c r="I2025" s="1">
        <v>750.03</v>
      </c>
      <c r="J2025" s="1">
        <v>4</v>
      </c>
      <c r="K2025" s="1">
        <v>3000.12</v>
      </c>
      <c r="L2025" s="1">
        <v>0</v>
      </c>
      <c r="M2025" s="1">
        <v>0</v>
      </c>
      <c r="N2025" s="1">
        <v>3000.12</v>
      </c>
      <c r="O2025" s="1" t="s">
        <v>33</v>
      </c>
      <c r="P2025" s="1" t="s">
        <v>2937</v>
      </c>
      <c r="Q2025" s="1">
        <v>1</v>
      </c>
      <c r="R2025" s="1">
        <f>Retail_Sales_Analyis[[#This Row],[Final_Price]]-Retail_Sales_Analyis[[#This Row],[Total_Price]]</f>
        <v>0</v>
      </c>
      <c r="S20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26" spans="1:19" x14ac:dyDescent="0.25">
      <c r="A2026" s="1" t="s">
        <v>3035</v>
      </c>
      <c r="B2026" s="2">
        <v>45365</v>
      </c>
      <c r="C2026" s="1" t="s">
        <v>61</v>
      </c>
      <c r="D2026" s="1" t="s">
        <v>67</v>
      </c>
      <c r="E2026" s="1" t="s">
        <v>89</v>
      </c>
      <c r="F2026" s="1" t="s">
        <v>30</v>
      </c>
      <c r="G2026" s="1" t="s">
        <v>31</v>
      </c>
      <c r="H2026" s="1" t="s">
        <v>250</v>
      </c>
      <c r="I2026" s="1">
        <v>75.239999999999995</v>
      </c>
      <c r="J2026" s="1">
        <v>3</v>
      </c>
      <c r="K2026" s="1">
        <v>225.72</v>
      </c>
      <c r="L2026" s="1">
        <v>20</v>
      </c>
      <c r="M2026" s="1">
        <v>45.14</v>
      </c>
      <c r="N2026" s="1">
        <v>180.58</v>
      </c>
      <c r="O2026" s="1" t="s">
        <v>24</v>
      </c>
      <c r="P2026" s="1" t="s">
        <v>1851</v>
      </c>
      <c r="Q2026" s="1">
        <v>1</v>
      </c>
      <c r="R2026" s="1">
        <f>Retail_Sales_Analyis[[#This Row],[Final_Price]]-Retail_Sales_Analyis[[#This Row],[Total_Price]]</f>
        <v>-45.139999999999986</v>
      </c>
      <c r="S20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27" spans="1:19" x14ac:dyDescent="0.25">
      <c r="A2027" s="1" t="s">
        <v>3036</v>
      </c>
      <c r="B2027" s="2">
        <v>45441</v>
      </c>
      <c r="C2027" s="1" t="s">
        <v>42</v>
      </c>
      <c r="D2027" s="1" t="s">
        <v>55</v>
      </c>
      <c r="E2027" s="1" t="s">
        <v>196</v>
      </c>
      <c r="F2027" s="1" t="s">
        <v>30</v>
      </c>
      <c r="G2027" s="1" t="s">
        <v>57</v>
      </c>
      <c r="H2027" s="1" t="s">
        <v>58</v>
      </c>
      <c r="I2027" s="1">
        <v>2701.14</v>
      </c>
      <c r="J2027" s="1">
        <v>7</v>
      </c>
      <c r="K2027" s="1">
        <v>18907.98</v>
      </c>
      <c r="L2027" s="1">
        <v>15</v>
      </c>
      <c r="M2027" s="1">
        <v>2836.2</v>
      </c>
      <c r="N2027" s="1">
        <v>16071.78</v>
      </c>
      <c r="O2027" s="1" t="s">
        <v>64</v>
      </c>
      <c r="P2027" s="1" t="s">
        <v>1065</v>
      </c>
      <c r="Q2027" s="1">
        <v>1</v>
      </c>
      <c r="R2027" s="1">
        <f>Retail_Sales_Analyis[[#This Row],[Final_Price]]-Retail_Sales_Analyis[[#This Row],[Total_Price]]</f>
        <v>-2836.1999999999989</v>
      </c>
      <c r="S20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28" spans="1:19" x14ac:dyDescent="0.25">
      <c r="A2028" s="1" t="s">
        <v>3037</v>
      </c>
      <c r="B2028" s="2">
        <v>45511</v>
      </c>
      <c r="C2028" s="1" t="s">
        <v>93</v>
      </c>
      <c r="D2028" s="1" t="s">
        <v>55</v>
      </c>
      <c r="E2028" s="1" t="s">
        <v>89</v>
      </c>
      <c r="F2028" s="1" t="s">
        <v>30</v>
      </c>
      <c r="G2028" s="1" t="s">
        <v>22</v>
      </c>
      <c r="H2028" s="1" t="s">
        <v>187</v>
      </c>
      <c r="I2028" s="1">
        <v>666.71</v>
      </c>
      <c r="J2028" s="1">
        <v>1</v>
      </c>
      <c r="K2028" s="1">
        <v>666.71</v>
      </c>
      <c r="L2028" s="1">
        <v>0</v>
      </c>
      <c r="M2028" s="1">
        <v>0</v>
      </c>
      <c r="N2028" s="1">
        <v>666.71</v>
      </c>
      <c r="O2028" s="1" t="s">
        <v>33</v>
      </c>
      <c r="P2028" s="1" t="s">
        <v>1155</v>
      </c>
      <c r="Q2028" s="1">
        <v>4</v>
      </c>
      <c r="R2028" s="1">
        <f>Retail_Sales_Analyis[[#This Row],[Final_Price]]-Retail_Sales_Analyis[[#This Row],[Total_Price]]</f>
        <v>0</v>
      </c>
      <c r="S20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29" spans="1:19" x14ac:dyDescent="0.25">
      <c r="A2029" s="1" t="s">
        <v>3038</v>
      </c>
      <c r="B2029" s="2">
        <v>45292</v>
      </c>
      <c r="C2029" s="1" t="s">
        <v>36</v>
      </c>
      <c r="D2029" s="1" t="s">
        <v>43</v>
      </c>
      <c r="E2029" s="1" t="s">
        <v>337</v>
      </c>
      <c r="F2029" s="1" t="s">
        <v>69</v>
      </c>
      <c r="G2029" s="1" t="s">
        <v>112</v>
      </c>
      <c r="H2029" s="1" t="s">
        <v>223</v>
      </c>
      <c r="I2029" s="1">
        <v>1242.4000000000001</v>
      </c>
      <c r="J2029" s="1">
        <v>3</v>
      </c>
      <c r="K2029" s="1">
        <v>3727.2</v>
      </c>
      <c r="L2029" s="1">
        <v>0</v>
      </c>
      <c r="M2029" s="1">
        <v>0</v>
      </c>
      <c r="N2029" s="1">
        <v>3727.2</v>
      </c>
      <c r="O2029" s="1" t="s">
        <v>80</v>
      </c>
      <c r="P2029" s="1" t="s">
        <v>1215</v>
      </c>
      <c r="Q2029" s="1">
        <v>1</v>
      </c>
      <c r="R2029" s="1">
        <f>Retail_Sales_Analyis[[#This Row],[Final_Price]]-Retail_Sales_Analyis[[#This Row],[Total_Price]]</f>
        <v>0</v>
      </c>
      <c r="S20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0" spans="1:19" x14ac:dyDescent="0.25">
      <c r="A2030" s="1" t="s">
        <v>3039</v>
      </c>
      <c r="B2030" s="2">
        <v>45606</v>
      </c>
      <c r="C2030" s="1" t="s">
        <v>18</v>
      </c>
      <c r="D2030" s="1" t="s">
        <v>49</v>
      </c>
      <c r="E2030" s="1" t="s">
        <v>236</v>
      </c>
      <c r="F2030" s="1" t="s">
        <v>37</v>
      </c>
      <c r="G2030" s="1" t="s">
        <v>31</v>
      </c>
      <c r="H2030" s="1" t="s">
        <v>329</v>
      </c>
      <c r="I2030" s="1">
        <v>135.28</v>
      </c>
      <c r="J2030" s="1">
        <v>1</v>
      </c>
      <c r="K2030" s="1">
        <v>135.28</v>
      </c>
      <c r="L2030" s="1">
        <v>15</v>
      </c>
      <c r="M2030" s="1">
        <v>20.29</v>
      </c>
      <c r="N2030" s="1">
        <v>114.99</v>
      </c>
      <c r="O2030" s="1" t="s">
        <v>33</v>
      </c>
      <c r="P2030" s="1" t="s">
        <v>562</v>
      </c>
      <c r="Q2030" s="1">
        <v>2</v>
      </c>
      <c r="R2030" s="1">
        <f>Retail_Sales_Analyis[[#This Row],[Final_Price]]-Retail_Sales_Analyis[[#This Row],[Total_Price]]</f>
        <v>-20.290000000000006</v>
      </c>
      <c r="S20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31" spans="1:19" x14ac:dyDescent="0.25">
      <c r="A2031" s="1" t="s">
        <v>3040</v>
      </c>
      <c r="B2031" s="2">
        <v>45472</v>
      </c>
      <c r="C2031" s="1" t="s">
        <v>173</v>
      </c>
      <c r="D2031" s="1" t="s">
        <v>19</v>
      </c>
      <c r="E2031" s="1" t="s">
        <v>192</v>
      </c>
      <c r="F2031" s="1" t="s">
        <v>69</v>
      </c>
      <c r="G2031" s="1" t="s">
        <v>57</v>
      </c>
      <c r="H2031" s="1" t="s">
        <v>122</v>
      </c>
      <c r="I2031" s="1">
        <v>2476.39</v>
      </c>
      <c r="J2031" s="1">
        <v>10</v>
      </c>
      <c r="K2031" s="1">
        <v>24763.9</v>
      </c>
      <c r="L2031" s="1">
        <v>0</v>
      </c>
      <c r="M2031" s="1">
        <v>0</v>
      </c>
      <c r="N2031" s="1">
        <v>24763.9</v>
      </c>
      <c r="O2031" s="1" t="s">
        <v>80</v>
      </c>
      <c r="P2031" s="1" t="s">
        <v>2102</v>
      </c>
      <c r="Q2031" s="1">
        <v>4</v>
      </c>
      <c r="R2031" s="1">
        <f>Retail_Sales_Analyis[[#This Row],[Final_Price]]-Retail_Sales_Analyis[[#This Row],[Total_Price]]</f>
        <v>0</v>
      </c>
      <c r="S20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2" spans="1:19" x14ac:dyDescent="0.25">
      <c r="A2032" s="1" t="s">
        <v>3041</v>
      </c>
      <c r="B2032" s="2">
        <v>45415</v>
      </c>
      <c r="C2032" s="1" t="s">
        <v>42</v>
      </c>
      <c r="D2032" s="1" t="s">
        <v>144</v>
      </c>
      <c r="E2032" s="1" t="s">
        <v>322</v>
      </c>
      <c r="F2032" s="1" t="s">
        <v>69</v>
      </c>
      <c r="G2032" s="1" t="s">
        <v>85</v>
      </c>
      <c r="H2032" s="1" t="s">
        <v>98</v>
      </c>
      <c r="I2032" s="1">
        <v>1479.8</v>
      </c>
      <c r="J2032" s="1">
        <v>5</v>
      </c>
      <c r="K2032" s="1">
        <v>7399</v>
      </c>
      <c r="L2032" s="1">
        <v>0</v>
      </c>
      <c r="M2032" s="1">
        <v>0</v>
      </c>
      <c r="N2032" s="1">
        <v>7399</v>
      </c>
      <c r="O2032" s="1" t="s">
        <v>46</v>
      </c>
      <c r="P2032" s="1" t="s">
        <v>1002</v>
      </c>
      <c r="Q2032" s="1">
        <v>4</v>
      </c>
      <c r="R2032" s="1">
        <f>Retail_Sales_Analyis[[#This Row],[Final_Price]]-Retail_Sales_Analyis[[#This Row],[Total_Price]]</f>
        <v>0</v>
      </c>
      <c r="S20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3" spans="1:19" x14ac:dyDescent="0.25">
      <c r="A2033" s="1" t="s">
        <v>3042</v>
      </c>
      <c r="B2033" s="2">
        <v>45584</v>
      </c>
      <c r="C2033" s="1" t="s">
        <v>76</v>
      </c>
      <c r="D2033" s="1" t="s">
        <v>19</v>
      </c>
      <c r="E2033" s="1" t="s">
        <v>151</v>
      </c>
      <c r="F2033" s="1" t="s">
        <v>30</v>
      </c>
      <c r="G2033" s="1" t="s">
        <v>85</v>
      </c>
      <c r="H2033" s="1" t="s">
        <v>90</v>
      </c>
      <c r="I2033" s="1">
        <v>4230.97</v>
      </c>
      <c r="J2033" s="1">
        <v>2</v>
      </c>
      <c r="K2033" s="1">
        <v>8461.94</v>
      </c>
      <c r="L2033" s="1">
        <v>5</v>
      </c>
      <c r="M2033" s="1">
        <v>423.1</v>
      </c>
      <c r="N2033" s="1">
        <v>8038.84</v>
      </c>
      <c r="O2033" s="1" t="s">
        <v>24</v>
      </c>
      <c r="P2033" s="1" t="s">
        <v>2911</v>
      </c>
      <c r="Q2033" s="1">
        <v>4</v>
      </c>
      <c r="R2033" s="1">
        <f>Retail_Sales_Analyis[[#This Row],[Final_Price]]-Retail_Sales_Analyis[[#This Row],[Total_Price]]</f>
        <v>-423.10000000000036</v>
      </c>
      <c r="S20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34" spans="1:19" x14ac:dyDescent="0.25">
      <c r="A2034" s="1" t="s">
        <v>3043</v>
      </c>
      <c r="B2034" s="2">
        <v>45505</v>
      </c>
      <c r="C2034" s="1" t="s">
        <v>93</v>
      </c>
      <c r="D2034" s="1" t="s">
        <v>67</v>
      </c>
      <c r="E2034" s="1" t="s">
        <v>94</v>
      </c>
      <c r="F2034" s="1" t="s">
        <v>21</v>
      </c>
      <c r="G2034" s="1" t="s">
        <v>22</v>
      </c>
      <c r="H2034" s="1" t="s">
        <v>133</v>
      </c>
      <c r="I2034" s="1">
        <v>986.6</v>
      </c>
      <c r="J2034" s="1">
        <v>3</v>
      </c>
      <c r="K2034" s="1">
        <v>2959.8</v>
      </c>
      <c r="L2034" s="1">
        <v>20</v>
      </c>
      <c r="M2034" s="1">
        <v>591.96</v>
      </c>
      <c r="N2034" s="1">
        <v>2367.84</v>
      </c>
      <c r="O2034" s="1" t="s">
        <v>64</v>
      </c>
      <c r="P2034" s="1" t="s">
        <v>310</v>
      </c>
      <c r="Q2034" s="1">
        <v>3</v>
      </c>
      <c r="R2034" s="1">
        <f>Retail_Sales_Analyis[[#This Row],[Final_Price]]-Retail_Sales_Analyis[[#This Row],[Total_Price]]</f>
        <v>-591.96</v>
      </c>
      <c r="S203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35" spans="1:19" x14ac:dyDescent="0.25">
      <c r="A2035" s="1" t="s">
        <v>3044</v>
      </c>
      <c r="B2035" s="2">
        <v>45387</v>
      </c>
      <c r="C2035" s="1" t="s">
        <v>54</v>
      </c>
      <c r="D2035" s="1" t="s">
        <v>144</v>
      </c>
      <c r="E2035" s="1" t="s">
        <v>129</v>
      </c>
      <c r="F2035" s="1" t="s">
        <v>21</v>
      </c>
      <c r="G2035" s="1" t="s">
        <v>78</v>
      </c>
      <c r="H2035" s="1" t="s">
        <v>146</v>
      </c>
      <c r="I2035" s="1">
        <v>191.78</v>
      </c>
      <c r="J2035" s="1">
        <v>7</v>
      </c>
      <c r="K2035" s="1">
        <v>1342.46</v>
      </c>
      <c r="L2035" s="1">
        <v>0</v>
      </c>
      <c r="M2035" s="1">
        <v>0</v>
      </c>
      <c r="N2035" s="1">
        <v>1342.46</v>
      </c>
      <c r="O2035" s="1" t="s">
        <v>64</v>
      </c>
      <c r="P2035" s="1" t="s">
        <v>1955</v>
      </c>
      <c r="Q2035" s="1">
        <v>3</v>
      </c>
      <c r="R2035" s="1">
        <f>Retail_Sales_Analyis[[#This Row],[Final_Price]]-Retail_Sales_Analyis[[#This Row],[Total_Price]]</f>
        <v>0</v>
      </c>
      <c r="S20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6" spans="1:19" x14ac:dyDescent="0.25">
      <c r="A2036" s="1" t="s">
        <v>3045</v>
      </c>
      <c r="B2036" s="2">
        <v>45632</v>
      </c>
      <c r="C2036" s="1" t="s">
        <v>73</v>
      </c>
      <c r="D2036" s="1" t="s">
        <v>144</v>
      </c>
      <c r="E2036" s="1" t="s">
        <v>117</v>
      </c>
      <c r="F2036" s="1" t="s">
        <v>69</v>
      </c>
      <c r="G2036" s="1" t="s">
        <v>38</v>
      </c>
      <c r="H2036" s="1" t="s">
        <v>39</v>
      </c>
      <c r="I2036" s="1">
        <v>199.34</v>
      </c>
      <c r="J2036" s="1">
        <v>1</v>
      </c>
      <c r="K2036" s="1">
        <v>199.34</v>
      </c>
      <c r="L2036" s="1">
        <v>10</v>
      </c>
      <c r="M2036" s="1">
        <v>19.93</v>
      </c>
      <c r="N2036" s="1">
        <v>179.41</v>
      </c>
      <c r="O2036" s="1" t="s">
        <v>46</v>
      </c>
      <c r="P2036" s="1" t="s">
        <v>2342</v>
      </c>
      <c r="Q2036" s="1">
        <v>3</v>
      </c>
      <c r="R2036" s="1">
        <f>Retail_Sales_Analyis[[#This Row],[Final_Price]]-Retail_Sales_Analyis[[#This Row],[Total_Price]]</f>
        <v>-19.930000000000007</v>
      </c>
      <c r="S20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37" spans="1:19" x14ac:dyDescent="0.25">
      <c r="A2037" s="1" t="s">
        <v>3046</v>
      </c>
      <c r="B2037" s="2">
        <v>45634</v>
      </c>
      <c r="C2037" s="1" t="s">
        <v>73</v>
      </c>
      <c r="D2037" s="1" t="s">
        <v>49</v>
      </c>
      <c r="E2037" s="1" t="s">
        <v>20</v>
      </c>
      <c r="F2037" s="1" t="s">
        <v>30</v>
      </c>
      <c r="G2037" s="1" t="s">
        <v>31</v>
      </c>
      <c r="H2037" s="1" t="s">
        <v>250</v>
      </c>
      <c r="I2037" s="1">
        <v>219.12</v>
      </c>
      <c r="J2037" s="1">
        <v>1</v>
      </c>
      <c r="K2037" s="1">
        <v>219.12</v>
      </c>
      <c r="L2037" s="1">
        <v>0</v>
      </c>
      <c r="M2037" s="1">
        <v>0</v>
      </c>
      <c r="N2037" s="1">
        <v>219.12</v>
      </c>
      <c r="O2037" s="1" t="s">
        <v>64</v>
      </c>
      <c r="P2037" s="1" t="s">
        <v>2891</v>
      </c>
      <c r="Q2037" s="1">
        <v>4</v>
      </c>
      <c r="R2037" s="1">
        <f>Retail_Sales_Analyis[[#This Row],[Final_Price]]-Retail_Sales_Analyis[[#This Row],[Total_Price]]</f>
        <v>0</v>
      </c>
      <c r="S20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38" spans="1:19" x14ac:dyDescent="0.25">
      <c r="A2038" s="1" t="s">
        <v>3047</v>
      </c>
      <c r="B2038" s="2">
        <v>45335</v>
      </c>
      <c r="C2038" s="1" t="s">
        <v>27</v>
      </c>
      <c r="D2038" s="1" t="s">
        <v>28</v>
      </c>
      <c r="E2038" s="1" t="s">
        <v>89</v>
      </c>
      <c r="F2038" s="1" t="s">
        <v>30</v>
      </c>
      <c r="G2038" s="1" t="s">
        <v>169</v>
      </c>
      <c r="H2038" s="1" t="s">
        <v>366</v>
      </c>
      <c r="I2038" s="1">
        <v>1407.54</v>
      </c>
      <c r="J2038" s="1">
        <v>8</v>
      </c>
      <c r="K2038" s="1">
        <v>11260.32</v>
      </c>
      <c r="L2038" s="1">
        <v>5</v>
      </c>
      <c r="M2038" s="1">
        <v>563.02</v>
      </c>
      <c r="N2038" s="1">
        <v>10697.3</v>
      </c>
      <c r="O2038" s="1" t="s">
        <v>24</v>
      </c>
      <c r="P2038" s="1" t="s">
        <v>2805</v>
      </c>
      <c r="Q2038" s="1">
        <v>4</v>
      </c>
      <c r="R2038" s="1">
        <f>Retail_Sales_Analyis[[#This Row],[Final_Price]]-Retail_Sales_Analyis[[#This Row],[Total_Price]]</f>
        <v>-563.02000000000044</v>
      </c>
      <c r="S20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39" spans="1:19" x14ac:dyDescent="0.25">
      <c r="A2039" s="1" t="s">
        <v>3048</v>
      </c>
      <c r="B2039" s="2">
        <v>45560</v>
      </c>
      <c r="C2039" s="1" t="s">
        <v>116</v>
      </c>
      <c r="D2039" s="1" t="s">
        <v>55</v>
      </c>
      <c r="E2039" s="1" t="s">
        <v>141</v>
      </c>
      <c r="F2039" s="1" t="s">
        <v>30</v>
      </c>
      <c r="G2039" s="1" t="s">
        <v>112</v>
      </c>
      <c r="H2039" s="1" t="s">
        <v>113</v>
      </c>
      <c r="I2039" s="1">
        <v>905.52</v>
      </c>
      <c r="J2039" s="1">
        <v>6</v>
      </c>
      <c r="K2039" s="1">
        <v>5433.12</v>
      </c>
      <c r="L2039" s="1">
        <v>20</v>
      </c>
      <c r="M2039" s="1">
        <v>1086.6199999999999</v>
      </c>
      <c r="N2039" s="1">
        <v>4346.5</v>
      </c>
      <c r="O2039" s="1" t="s">
        <v>46</v>
      </c>
      <c r="P2039" s="1" t="s">
        <v>691</v>
      </c>
      <c r="Q2039" s="1">
        <v>5</v>
      </c>
      <c r="R2039" s="1">
        <f>Retail_Sales_Analyis[[#This Row],[Final_Price]]-Retail_Sales_Analyis[[#This Row],[Total_Price]]</f>
        <v>-1086.6199999999999</v>
      </c>
      <c r="S20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40" spans="1:19" x14ac:dyDescent="0.25">
      <c r="A2040" s="1" t="s">
        <v>3049</v>
      </c>
      <c r="B2040" s="2">
        <v>45476</v>
      </c>
      <c r="C2040" s="1" t="s">
        <v>195</v>
      </c>
      <c r="D2040" s="1" t="s">
        <v>55</v>
      </c>
      <c r="E2040" s="1" t="s">
        <v>141</v>
      </c>
      <c r="F2040" s="1" t="s">
        <v>84</v>
      </c>
      <c r="G2040" s="1" t="s">
        <v>22</v>
      </c>
      <c r="H2040" s="1" t="s">
        <v>133</v>
      </c>
      <c r="I2040" s="1">
        <v>305.13</v>
      </c>
      <c r="J2040" s="1">
        <v>2</v>
      </c>
      <c r="K2040" s="1">
        <v>610.26</v>
      </c>
      <c r="L2040" s="1">
        <v>10</v>
      </c>
      <c r="M2040" s="1">
        <v>61.03</v>
      </c>
      <c r="N2040" s="1">
        <v>549.23</v>
      </c>
      <c r="O2040" s="1" t="s">
        <v>24</v>
      </c>
      <c r="P2040" s="1" t="s">
        <v>237</v>
      </c>
      <c r="Q2040" s="1">
        <v>3</v>
      </c>
      <c r="R2040" s="1">
        <f>Retail_Sales_Analyis[[#This Row],[Final_Price]]-Retail_Sales_Analyis[[#This Row],[Total_Price]]</f>
        <v>-61.029999999999973</v>
      </c>
      <c r="S20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41" spans="1:19" x14ac:dyDescent="0.25">
      <c r="A2041" s="1" t="s">
        <v>3050</v>
      </c>
      <c r="B2041" s="2">
        <v>45326</v>
      </c>
      <c r="C2041" s="1" t="s">
        <v>27</v>
      </c>
      <c r="D2041" s="1" t="s">
        <v>49</v>
      </c>
      <c r="E2041" s="1" t="s">
        <v>141</v>
      </c>
      <c r="F2041" s="1" t="s">
        <v>69</v>
      </c>
      <c r="G2041" s="1" t="s">
        <v>169</v>
      </c>
      <c r="H2041" s="1" t="s">
        <v>366</v>
      </c>
      <c r="I2041" s="1">
        <v>1266.51</v>
      </c>
      <c r="J2041" s="1">
        <v>9</v>
      </c>
      <c r="K2041" s="1">
        <v>11398.59</v>
      </c>
      <c r="L2041" s="1">
        <v>5</v>
      </c>
      <c r="M2041" s="1">
        <v>569.92999999999995</v>
      </c>
      <c r="N2041" s="1">
        <v>10828.66</v>
      </c>
      <c r="O2041" s="1" t="s">
        <v>46</v>
      </c>
      <c r="P2041" s="1" t="s">
        <v>2376</v>
      </c>
      <c r="Q2041" s="1">
        <v>5</v>
      </c>
      <c r="R2041" s="1">
        <f>Retail_Sales_Analyis[[#This Row],[Final_Price]]-Retail_Sales_Analyis[[#This Row],[Total_Price]]</f>
        <v>-569.93000000000029</v>
      </c>
      <c r="S204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42" spans="1:19" x14ac:dyDescent="0.25">
      <c r="A2042" s="1" t="s">
        <v>3051</v>
      </c>
      <c r="B2042" s="2">
        <v>45561</v>
      </c>
      <c r="C2042" s="1" t="s">
        <v>116</v>
      </c>
      <c r="D2042" s="1" t="s">
        <v>67</v>
      </c>
      <c r="E2042" s="1" t="s">
        <v>145</v>
      </c>
      <c r="F2042" s="1" t="s">
        <v>69</v>
      </c>
      <c r="G2042" s="1" t="s">
        <v>31</v>
      </c>
      <c r="H2042" s="1" t="s">
        <v>45</v>
      </c>
      <c r="I2042" s="1">
        <v>242.58</v>
      </c>
      <c r="J2042" s="1">
        <v>9</v>
      </c>
      <c r="K2042" s="1">
        <v>2183.2199999999998</v>
      </c>
      <c r="L2042" s="1">
        <v>15</v>
      </c>
      <c r="M2042" s="1">
        <v>327.48</v>
      </c>
      <c r="N2042" s="1">
        <v>1855.74</v>
      </c>
      <c r="O2042" s="1" t="s">
        <v>33</v>
      </c>
      <c r="P2042" s="1" t="s">
        <v>2709</v>
      </c>
      <c r="Q2042" s="1">
        <v>2</v>
      </c>
      <c r="R2042" s="1">
        <f>Retail_Sales_Analyis[[#This Row],[Final_Price]]-Retail_Sales_Analyis[[#This Row],[Total_Price]]</f>
        <v>-327.47999999999979</v>
      </c>
      <c r="S20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43" spans="1:19" x14ac:dyDescent="0.25">
      <c r="A2043" s="1" t="s">
        <v>3052</v>
      </c>
      <c r="B2043" s="2">
        <v>45570</v>
      </c>
      <c r="C2043" s="1" t="s">
        <v>76</v>
      </c>
      <c r="D2043" s="1" t="s">
        <v>19</v>
      </c>
      <c r="E2043" s="1" t="s">
        <v>337</v>
      </c>
      <c r="F2043" s="1" t="s">
        <v>84</v>
      </c>
      <c r="G2043" s="1" t="s">
        <v>112</v>
      </c>
      <c r="H2043" s="1" t="s">
        <v>223</v>
      </c>
      <c r="I2043" s="1">
        <v>1250.3</v>
      </c>
      <c r="J2043" s="1">
        <v>5</v>
      </c>
      <c r="K2043" s="1">
        <v>6251.5</v>
      </c>
      <c r="L2043" s="1">
        <v>0</v>
      </c>
      <c r="M2043" s="1">
        <v>0</v>
      </c>
      <c r="N2043" s="1">
        <v>6251.5</v>
      </c>
      <c r="O2043" s="1" t="s">
        <v>33</v>
      </c>
      <c r="P2043" s="1" t="s">
        <v>1238</v>
      </c>
      <c r="Q2043" s="1">
        <v>3</v>
      </c>
      <c r="R2043" s="1">
        <f>Retail_Sales_Analyis[[#This Row],[Final_Price]]-Retail_Sales_Analyis[[#This Row],[Total_Price]]</f>
        <v>0</v>
      </c>
      <c r="S20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44" spans="1:19" x14ac:dyDescent="0.25">
      <c r="A2044" s="1" t="s">
        <v>3053</v>
      </c>
      <c r="B2044" s="2">
        <v>45551</v>
      </c>
      <c r="C2044" s="1" t="s">
        <v>116</v>
      </c>
      <c r="D2044" s="1" t="s">
        <v>43</v>
      </c>
      <c r="E2044" s="1" t="s">
        <v>196</v>
      </c>
      <c r="F2044" s="1" t="s">
        <v>37</v>
      </c>
      <c r="G2044" s="1" t="s">
        <v>57</v>
      </c>
      <c r="H2044" s="1" t="s">
        <v>58</v>
      </c>
      <c r="I2044" s="1">
        <v>2498.42</v>
      </c>
      <c r="J2044" s="1">
        <v>9</v>
      </c>
      <c r="K2044" s="1">
        <v>22485.78</v>
      </c>
      <c r="L2044" s="1">
        <v>0</v>
      </c>
      <c r="M2044" s="1">
        <v>0</v>
      </c>
      <c r="N2044" s="1">
        <v>22485.78</v>
      </c>
      <c r="O2044" s="1" t="s">
        <v>80</v>
      </c>
      <c r="P2044" s="1" t="s">
        <v>2813</v>
      </c>
      <c r="Q2044" s="1">
        <v>1</v>
      </c>
      <c r="R2044" s="1">
        <f>Retail_Sales_Analyis[[#This Row],[Final_Price]]-Retail_Sales_Analyis[[#This Row],[Total_Price]]</f>
        <v>0</v>
      </c>
      <c r="S20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45" spans="1:19" x14ac:dyDescent="0.25">
      <c r="A2045" s="1" t="s">
        <v>3054</v>
      </c>
      <c r="B2045" s="2">
        <v>45551</v>
      </c>
      <c r="C2045" s="1" t="s">
        <v>116</v>
      </c>
      <c r="D2045" s="1" t="s">
        <v>43</v>
      </c>
      <c r="E2045" s="1" t="s">
        <v>342</v>
      </c>
      <c r="F2045" s="1" t="s">
        <v>37</v>
      </c>
      <c r="G2045" s="1" t="s">
        <v>38</v>
      </c>
      <c r="H2045" s="1" t="s">
        <v>70</v>
      </c>
      <c r="I2045" s="1">
        <v>692.46</v>
      </c>
      <c r="J2045" s="1">
        <v>3</v>
      </c>
      <c r="K2045" s="1">
        <v>2077.38</v>
      </c>
      <c r="L2045" s="1">
        <v>0</v>
      </c>
      <c r="M2045" s="1">
        <v>0</v>
      </c>
      <c r="N2045" s="1">
        <v>2077.38</v>
      </c>
      <c r="O2045" s="1" t="s">
        <v>33</v>
      </c>
      <c r="P2045" s="1" t="s">
        <v>3055</v>
      </c>
      <c r="Q2045" s="1">
        <v>3</v>
      </c>
      <c r="R2045" s="1">
        <f>Retail_Sales_Analyis[[#This Row],[Final_Price]]-Retail_Sales_Analyis[[#This Row],[Total_Price]]</f>
        <v>0</v>
      </c>
      <c r="S20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46" spans="1:19" x14ac:dyDescent="0.25">
      <c r="A2046" s="1" t="s">
        <v>3056</v>
      </c>
      <c r="B2046" s="2">
        <v>45575</v>
      </c>
      <c r="C2046" s="1" t="s">
        <v>76</v>
      </c>
      <c r="D2046" s="1" t="s">
        <v>67</v>
      </c>
      <c r="E2046" s="1" t="s">
        <v>125</v>
      </c>
      <c r="F2046" s="1" t="s">
        <v>30</v>
      </c>
      <c r="G2046" s="1" t="s">
        <v>57</v>
      </c>
      <c r="H2046" s="1" t="s">
        <v>58</v>
      </c>
      <c r="I2046" s="1">
        <v>1902.2</v>
      </c>
      <c r="J2046" s="1">
        <v>3</v>
      </c>
      <c r="K2046" s="1">
        <v>5706.6</v>
      </c>
      <c r="L2046" s="1">
        <v>20</v>
      </c>
      <c r="M2046" s="1">
        <v>1141.32</v>
      </c>
      <c r="N2046" s="1">
        <v>4565.28</v>
      </c>
      <c r="O2046" s="1" t="s">
        <v>64</v>
      </c>
      <c r="P2046" s="1" t="s">
        <v>984</v>
      </c>
      <c r="Q2046" s="1">
        <v>3</v>
      </c>
      <c r="R2046" s="1">
        <f>Retail_Sales_Analyis[[#This Row],[Final_Price]]-Retail_Sales_Analyis[[#This Row],[Total_Price]]</f>
        <v>-1141.3200000000006</v>
      </c>
      <c r="S20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47" spans="1:19" x14ac:dyDescent="0.25">
      <c r="A2047" s="1" t="s">
        <v>3057</v>
      </c>
      <c r="B2047" s="2">
        <v>45302</v>
      </c>
      <c r="C2047" s="1" t="s">
        <v>36</v>
      </c>
      <c r="D2047" s="1" t="s">
        <v>67</v>
      </c>
      <c r="E2047" s="1" t="s">
        <v>322</v>
      </c>
      <c r="F2047" s="1" t="s">
        <v>21</v>
      </c>
      <c r="G2047" s="1" t="s">
        <v>38</v>
      </c>
      <c r="H2047" s="1" t="s">
        <v>70</v>
      </c>
      <c r="I2047" s="1">
        <v>405.93</v>
      </c>
      <c r="J2047" s="1">
        <v>8</v>
      </c>
      <c r="K2047" s="1">
        <v>3247.44</v>
      </c>
      <c r="L2047" s="1">
        <v>0</v>
      </c>
      <c r="M2047" s="1">
        <v>0</v>
      </c>
      <c r="N2047" s="1">
        <v>3247.44</v>
      </c>
      <c r="O2047" s="1" t="s">
        <v>80</v>
      </c>
      <c r="P2047" s="1" t="s">
        <v>2859</v>
      </c>
      <c r="Q2047" s="1">
        <v>2</v>
      </c>
      <c r="R2047" s="1">
        <f>Retail_Sales_Analyis[[#This Row],[Final_Price]]-Retail_Sales_Analyis[[#This Row],[Total_Price]]</f>
        <v>0</v>
      </c>
      <c r="S20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48" spans="1:19" x14ac:dyDescent="0.25">
      <c r="A2048" s="1" t="s">
        <v>3058</v>
      </c>
      <c r="B2048" s="2">
        <v>45491</v>
      </c>
      <c r="C2048" s="1" t="s">
        <v>195</v>
      </c>
      <c r="D2048" s="1" t="s">
        <v>67</v>
      </c>
      <c r="E2048" s="1" t="s">
        <v>192</v>
      </c>
      <c r="F2048" s="1" t="s">
        <v>21</v>
      </c>
      <c r="G2048" s="1" t="s">
        <v>22</v>
      </c>
      <c r="H2048" s="1" t="s">
        <v>277</v>
      </c>
      <c r="I2048" s="1">
        <v>419.46</v>
      </c>
      <c r="J2048" s="1">
        <v>3</v>
      </c>
      <c r="K2048" s="1">
        <v>1258.3800000000001</v>
      </c>
      <c r="L2048" s="1">
        <v>0</v>
      </c>
      <c r="M2048" s="1">
        <v>0</v>
      </c>
      <c r="N2048" s="1">
        <v>1258.3800000000001</v>
      </c>
      <c r="O2048" s="1" t="s">
        <v>24</v>
      </c>
      <c r="P2048" s="1" t="s">
        <v>1667</v>
      </c>
      <c r="Q2048" s="1">
        <v>2</v>
      </c>
      <c r="R2048" s="1">
        <f>Retail_Sales_Analyis[[#This Row],[Final_Price]]-Retail_Sales_Analyis[[#This Row],[Total_Price]]</f>
        <v>0</v>
      </c>
      <c r="S20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49" spans="1:19" x14ac:dyDescent="0.25">
      <c r="A2049" s="1" t="s">
        <v>3059</v>
      </c>
      <c r="B2049" s="2">
        <v>45532</v>
      </c>
      <c r="C2049" s="1" t="s">
        <v>93</v>
      </c>
      <c r="D2049" s="1" t="s">
        <v>55</v>
      </c>
      <c r="E2049" s="1" t="s">
        <v>174</v>
      </c>
      <c r="F2049" s="1" t="s">
        <v>21</v>
      </c>
      <c r="G2049" s="1" t="s">
        <v>31</v>
      </c>
      <c r="H2049" s="1" t="s">
        <v>250</v>
      </c>
      <c r="I2049" s="1">
        <v>439.8</v>
      </c>
      <c r="J2049" s="1">
        <v>6</v>
      </c>
      <c r="K2049" s="1">
        <v>2638.8</v>
      </c>
      <c r="L2049" s="1">
        <v>0</v>
      </c>
      <c r="M2049" s="1">
        <v>0</v>
      </c>
      <c r="N2049" s="1">
        <v>2638.8</v>
      </c>
      <c r="O2049" s="1" t="s">
        <v>24</v>
      </c>
      <c r="P2049" s="1" t="s">
        <v>2737</v>
      </c>
      <c r="Q2049" s="1">
        <v>2</v>
      </c>
      <c r="R2049" s="1">
        <f>Retail_Sales_Analyis[[#This Row],[Final_Price]]-Retail_Sales_Analyis[[#This Row],[Total_Price]]</f>
        <v>0</v>
      </c>
      <c r="S20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0" spans="1:19" x14ac:dyDescent="0.25">
      <c r="A2050" s="1" t="s">
        <v>3060</v>
      </c>
      <c r="B2050" s="2">
        <v>45314</v>
      </c>
      <c r="C2050" s="1" t="s">
        <v>36</v>
      </c>
      <c r="D2050" s="1" t="s">
        <v>28</v>
      </c>
      <c r="E2050" s="1" t="s">
        <v>117</v>
      </c>
      <c r="F2050" s="1" t="s">
        <v>69</v>
      </c>
      <c r="G2050" s="1" t="s">
        <v>112</v>
      </c>
      <c r="H2050" s="1" t="s">
        <v>223</v>
      </c>
      <c r="I2050" s="1">
        <v>527.26</v>
      </c>
      <c r="J2050" s="1">
        <v>9</v>
      </c>
      <c r="K2050" s="1">
        <v>4745.34</v>
      </c>
      <c r="L2050" s="1">
        <v>5</v>
      </c>
      <c r="M2050" s="1">
        <v>237.27</v>
      </c>
      <c r="N2050" s="1">
        <v>4508.07</v>
      </c>
      <c r="O2050" s="1" t="s">
        <v>64</v>
      </c>
      <c r="P2050" s="1" t="s">
        <v>496</v>
      </c>
      <c r="Q2050" s="1">
        <v>3</v>
      </c>
      <c r="R2050" s="1">
        <f>Retail_Sales_Analyis[[#This Row],[Final_Price]]-Retail_Sales_Analyis[[#This Row],[Total_Price]]</f>
        <v>-237.27000000000044</v>
      </c>
      <c r="S20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51" spans="1:19" x14ac:dyDescent="0.25">
      <c r="A2051" s="1" t="s">
        <v>3061</v>
      </c>
      <c r="B2051" s="2">
        <v>45617</v>
      </c>
      <c r="C2051" s="1" t="s">
        <v>18</v>
      </c>
      <c r="D2051" s="1" t="s">
        <v>67</v>
      </c>
      <c r="E2051" s="1" t="s">
        <v>196</v>
      </c>
      <c r="F2051" s="1" t="s">
        <v>84</v>
      </c>
      <c r="G2051" s="1" t="s">
        <v>57</v>
      </c>
      <c r="H2051" s="1" t="s">
        <v>122</v>
      </c>
      <c r="I2051" s="1">
        <v>511.44</v>
      </c>
      <c r="J2051" s="1">
        <v>1</v>
      </c>
      <c r="K2051" s="1">
        <v>511.44</v>
      </c>
      <c r="L2051" s="1">
        <v>0</v>
      </c>
      <c r="M2051" s="1">
        <v>0</v>
      </c>
      <c r="N2051" s="1">
        <v>511.44</v>
      </c>
      <c r="O2051" s="1" t="s">
        <v>80</v>
      </c>
      <c r="P2051" s="1" t="s">
        <v>1172</v>
      </c>
      <c r="Q2051" s="1">
        <v>5</v>
      </c>
      <c r="R2051" s="1">
        <f>Retail_Sales_Analyis[[#This Row],[Final_Price]]-Retail_Sales_Analyis[[#This Row],[Total_Price]]</f>
        <v>0</v>
      </c>
      <c r="S20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2" spans="1:19" x14ac:dyDescent="0.25">
      <c r="A2052" s="1" t="s">
        <v>3062</v>
      </c>
      <c r="B2052" s="2">
        <v>45490</v>
      </c>
      <c r="C2052" s="1" t="s">
        <v>195</v>
      </c>
      <c r="D2052" s="1" t="s">
        <v>55</v>
      </c>
      <c r="E2052" s="1" t="s">
        <v>121</v>
      </c>
      <c r="F2052" s="1" t="s">
        <v>84</v>
      </c>
      <c r="G2052" s="1" t="s">
        <v>169</v>
      </c>
      <c r="H2052" s="1" t="s">
        <v>175</v>
      </c>
      <c r="I2052" s="1">
        <v>442.93</v>
      </c>
      <c r="J2052" s="1">
        <v>1</v>
      </c>
      <c r="K2052" s="1">
        <v>442.93</v>
      </c>
      <c r="L2052" s="1">
        <v>0</v>
      </c>
      <c r="M2052" s="1">
        <v>0</v>
      </c>
      <c r="N2052" s="1">
        <v>442.93</v>
      </c>
      <c r="O2052" s="1" t="s">
        <v>80</v>
      </c>
      <c r="P2052" s="1" t="s">
        <v>2584</v>
      </c>
      <c r="Q2052" s="1">
        <v>1</v>
      </c>
      <c r="R2052" s="1">
        <f>Retail_Sales_Analyis[[#This Row],[Final_Price]]-Retail_Sales_Analyis[[#This Row],[Total_Price]]</f>
        <v>0</v>
      </c>
      <c r="S20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3" spans="1:19" x14ac:dyDescent="0.25">
      <c r="A2053" s="1" t="s">
        <v>3063</v>
      </c>
      <c r="B2053" s="2">
        <v>45483</v>
      </c>
      <c r="C2053" s="1" t="s">
        <v>195</v>
      </c>
      <c r="D2053" s="1" t="s">
        <v>55</v>
      </c>
      <c r="E2053" s="1" t="s">
        <v>285</v>
      </c>
      <c r="F2053" s="1" t="s">
        <v>84</v>
      </c>
      <c r="G2053" s="1" t="s">
        <v>85</v>
      </c>
      <c r="H2053" s="1" t="s">
        <v>98</v>
      </c>
      <c r="I2053" s="1">
        <v>1555.45</v>
      </c>
      <c r="J2053" s="1">
        <v>8</v>
      </c>
      <c r="K2053" s="1">
        <v>12443.6</v>
      </c>
      <c r="L2053" s="1">
        <v>0</v>
      </c>
      <c r="M2053" s="1">
        <v>0</v>
      </c>
      <c r="N2053" s="1">
        <v>12443.6</v>
      </c>
      <c r="O2053" s="1" t="s">
        <v>33</v>
      </c>
      <c r="P2053" s="1" t="s">
        <v>1210</v>
      </c>
      <c r="Q2053" s="1">
        <v>5</v>
      </c>
      <c r="R2053" s="1">
        <f>Retail_Sales_Analyis[[#This Row],[Final_Price]]-Retail_Sales_Analyis[[#This Row],[Total_Price]]</f>
        <v>0</v>
      </c>
      <c r="S20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4" spans="1:19" x14ac:dyDescent="0.25">
      <c r="A2054" s="1" t="s">
        <v>3064</v>
      </c>
      <c r="B2054" s="2">
        <v>45421</v>
      </c>
      <c r="C2054" s="1" t="s">
        <v>42</v>
      </c>
      <c r="D2054" s="1" t="s">
        <v>67</v>
      </c>
      <c r="E2054" s="1" t="s">
        <v>141</v>
      </c>
      <c r="F2054" s="1" t="s">
        <v>37</v>
      </c>
      <c r="G2054" s="1" t="s">
        <v>31</v>
      </c>
      <c r="H2054" s="1" t="s">
        <v>45</v>
      </c>
      <c r="I2054" s="1">
        <v>70.13</v>
      </c>
      <c r="J2054" s="1">
        <v>1</v>
      </c>
      <c r="K2054" s="1">
        <v>70.13</v>
      </c>
      <c r="L2054" s="1">
        <v>10</v>
      </c>
      <c r="M2054" s="1">
        <v>7.01</v>
      </c>
      <c r="N2054" s="1">
        <v>63.12</v>
      </c>
      <c r="O2054" s="1" t="s">
        <v>46</v>
      </c>
      <c r="P2054" s="1" t="s">
        <v>1273</v>
      </c>
      <c r="Q2054" s="1">
        <v>3</v>
      </c>
      <c r="R2054" s="1">
        <f>Retail_Sales_Analyis[[#This Row],[Final_Price]]-Retail_Sales_Analyis[[#This Row],[Total_Price]]</f>
        <v>-7.009999999999998</v>
      </c>
      <c r="S20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55" spans="1:19" x14ac:dyDescent="0.25">
      <c r="A2055" s="1" t="s">
        <v>3065</v>
      </c>
      <c r="B2055" s="2">
        <v>45300</v>
      </c>
      <c r="C2055" s="1" t="s">
        <v>36</v>
      </c>
      <c r="D2055" s="1" t="s">
        <v>28</v>
      </c>
      <c r="E2055" s="1" t="s">
        <v>337</v>
      </c>
      <c r="F2055" s="1" t="s">
        <v>84</v>
      </c>
      <c r="G2055" s="1" t="s">
        <v>22</v>
      </c>
      <c r="H2055" s="1" t="s">
        <v>51</v>
      </c>
      <c r="I2055" s="1">
        <v>999.98</v>
      </c>
      <c r="J2055" s="1">
        <v>7</v>
      </c>
      <c r="K2055" s="1">
        <v>6999.86</v>
      </c>
      <c r="L2055" s="1">
        <v>0</v>
      </c>
      <c r="M2055" s="1">
        <v>0</v>
      </c>
      <c r="N2055" s="1">
        <v>6999.86</v>
      </c>
      <c r="O2055" s="1" t="s">
        <v>24</v>
      </c>
      <c r="P2055" s="1" t="s">
        <v>896</v>
      </c>
      <c r="Q2055" s="1">
        <v>1</v>
      </c>
      <c r="R2055" s="1">
        <f>Retail_Sales_Analyis[[#This Row],[Final_Price]]-Retail_Sales_Analyis[[#This Row],[Total_Price]]</f>
        <v>0</v>
      </c>
      <c r="S20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6" spans="1:19" x14ac:dyDescent="0.25">
      <c r="A2056" s="1" t="s">
        <v>3066</v>
      </c>
      <c r="B2056" s="2">
        <v>45474</v>
      </c>
      <c r="C2056" s="1" t="s">
        <v>195</v>
      </c>
      <c r="D2056" s="1" t="s">
        <v>43</v>
      </c>
      <c r="E2056" s="1" t="s">
        <v>239</v>
      </c>
      <c r="F2056" s="1" t="s">
        <v>37</v>
      </c>
      <c r="G2056" s="1" t="s">
        <v>38</v>
      </c>
      <c r="H2056" s="1" t="s">
        <v>214</v>
      </c>
      <c r="I2056" s="1">
        <v>274.33</v>
      </c>
      <c r="J2056" s="1">
        <v>2</v>
      </c>
      <c r="K2056" s="1">
        <v>548.66</v>
      </c>
      <c r="L2056" s="1">
        <v>0</v>
      </c>
      <c r="M2056" s="1">
        <v>0</v>
      </c>
      <c r="N2056" s="1">
        <v>548.66</v>
      </c>
      <c r="O2056" s="1" t="s">
        <v>64</v>
      </c>
      <c r="P2056" s="1" t="s">
        <v>349</v>
      </c>
      <c r="Q2056" s="1">
        <v>4</v>
      </c>
      <c r="R2056" s="1">
        <f>Retail_Sales_Analyis[[#This Row],[Final_Price]]-Retail_Sales_Analyis[[#This Row],[Total_Price]]</f>
        <v>0</v>
      </c>
      <c r="S20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57" spans="1:19" x14ac:dyDescent="0.25">
      <c r="A2057" s="1" t="s">
        <v>3067</v>
      </c>
      <c r="B2057" s="2">
        <v>45326</v>
      </c>
      <c r="C2057" s="1" t="s">
        <v>27</v>
      </c>
      <c r="D2057" s="1" t="s">
        <v>49</v>
      </c>
      <c r="E2057" s="1" t="s">
        <v>62</v>
      </c>
      <c r="F2057" s="1" t="s">
        <v>84</v>
      </c>
      <c r="G2057" s="1" t="s">
        <v>169</v>
      </c>
      <c r="H2057" s="1" t="s">
        <v>175</v>
      </c>
      <c r="I2057" s="1">
        <v>410.96</v>
      </c>
      <c r="J2057" s="1">
        <v>10</v>
      </c>
      <c r="K2057" s="1">
        <v>4109.6000000000004</v>
      </c>
      <c r="L2057" s="1">
        <v>10</v>
      </c>
      <c r="M2057" s="1">
        <v>410.96</v>
      </c>
      <c r="N2057" s="1">
        <v>3698.64</v>
      </c>
      <c r="O2057" s="1" t="s">
        <v>46</v>
      </c>
      <c r="P2057" s="1" t="s">
        <v>1611</v>
      </c>
      <c r="Q2057" s="1">
        <v>3</v>
      </c>
      <c r="R2057" s="1">
        <f>Retail_Sales_Analyis[[#This Row],[Final_Price]]-Retail_Sales_Analyis[[#This Row],[Total_Price]]</f>
        <v>-410.96000000000049</v>
      </c>
      <c r="S20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58" spans="1:19" x14ac:dyDescent="0.25">
      <c r="A2058" s="1" t="s">
        <v>3068</v>
      </c>
      <c r="B2058" s="2">
        <v>45468</v>
      </c>
      <c r="C2058" s="1" t="s">
        <v>173</v>
      </c>
      <c r="D2058" s="1" t="s">
        <v>28</v>
      </c>
      <c r="E2058" s="1" t="s">
        <v>192</v>
      </c>
      <c r="F2058" s="1" t="s">
        <v>30</v>
      </c>
      <c r="G2058" s="1" t="s">
        <v>38</v>
      </c>
      <c r="H2058" s="1" t="s">
        <v>214</v>
      </c>
      <c r="I2058" s="1">
        <v>780.94</v>
      </c>
      <c r="J2058" s="1">
        <v>4</v>
      </c>
      <c r="K2058" s="1">
        <v>3123.76</v>
      </c>
      <c r="L2058" s="1">
        <v>15</v>
      </c>
      <c r="M2058" s="1">
        <v>468.56</v>
      </c>
      <c r="N2058" s="1">
        <v>2655.2</v>
      </c>
      <c r="O2058" s="1" t="s">
        <v>46</v>
      </c>
      <c r="P2058" s="1" t="s">
        <v>114</v>
      </c>
      <c r="Q2058" s="1">
        <v>1</v>
      </c>
      <c r="R2058" s="1">
        <f>Retail_Sales_Analyis[[#This Row],[Final_Price]]-Retail_Sales_Analyis[[#This Row],[Total_Price]]</f>
        <v>-468.5600000000004</v>
      </c>
      <c r="S20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59" spans="1:19" x14ac:dyDescent="0.25">
      <c r="A2059" s="1" t="s">
        <v>3069</v>
      </c>
      <c r="B2059" s="2">
        <v>45415</v>
      </c>
      <c r="C2059" s="1" t="s">
        <v>42</v>
      </c>
      <c r="D2059" s="1" t="s">
        <v>144</v>
      </c>
      <c r="E2059" s="1" t="s">
        <v>121</v>
      </c>
      <c r="F2059" s="1" t="s">
        <v>84</v>
      </c>
      <c r="G2059" s="1" t="s">
        <v>78</v>
      </c>
      <c r="H2059" s="1" t="s">
        <v>146</v>
      </c>
      <c r="I2059" s="1">
        <v>274.98</v>
      </c>
      <c r="J2059" s="1">
        <v>7</v>
      </c>
      <c r="K2059" s="1">
        <v>1924.86</v>
      </c>
      <c r="L2059" s="1">
        <v>0</v>
      </c>
      <c r="M2059" s="1">
        <v>0</v>
      </c>
      <c r="N2059" s="1">
        <v>1924.86</v>
      </c>
      <c r="O2059" s="1" t="s">
        <v>33</v>
      </c>
      <c r="P2059" s="1" t="s">
        <v>1353</v>
      </c>
      <c r="Q2059" s="1">
        <v>3</v>
      </c>
      <c r="R2059" s="1">
        <f>Retail_Sales_Analyis[[#This Row],[Final_Price]]-Retail_Sales_Analyis[[#This Row],[Total_Price]]</f>
        <v>0</v>
      </c>
      <c r="S20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0" spans="1:19" x14ac:dyDescent="0.25">
      <c r="A2060" s="1" t="s">
        <v>3070</v>
      </c>
      <c r="B2060" s="2">
        <v>45628</v>
      </c>
      <c r="C2060" s="1" t="s">
        <v>73</v>
      </c>
      <c r="D2060" s="1" t="s">
        <v>43</v>
      </c>
      <c r="E2060" s="1" t="s">
        <v>312</v>
      </c>
      <c r="F2060" s="1" t="s">
        <v>21</v>
      </c>
      <c r="G2060" s="1" t="s">
        <v>38</v>
      </c>
      <c r="H2060" s="1" t="s">
        <v>422</v>
      </c>
      <c r="I2060" s="1">
        <v>507.4</v>
      </c>
      <c r="J2060" s="1">
        <v>5</v>
      </c>
      <c r="K2060" s="1">
        <v>2537</v>
      </c>
      <c r="L2060" s="1">
        <v>20</v>
      </c>
      <c r="M2060" s="1">
        <v>507.4</v>
      </c>
      <c r="N2060" s="1">
        <v>2029.6</v>
      </c>
      <c r="O2060" s="1" t="s">
        <v>33</v>
      </c>
      <c r="P2060" s="1" t="s">
        <v>74</v>
      </c>
      <c r="Q2060" s="1">
        <v>4</v>
      </c>
      <c r="R2060" s="1">
        <f>Retail_Sales_Analyis[[#This Row],[Final_Price]]-Retail_Sales_Analyis[[#This Row],[Total_Price]]</f>
        <v>-507.40000000000009</v>
      </c>
      <c r="S20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61" spans="1:19" x14ac:dyDescent="0.25">
      <c r="A2061" s="1" t="s">
        <v>3071</v>
      </c>
      <c r="B2061" s="2">
        <v>45613</v>
      </c>
      <c r="C2061" s="1" t="s">
        <v>18</v>
      </c>
      <c r="D2061" s="1" t="s">
        <v>49</v>
      </c>
      <c r="E2061" s="1" t="s">
        <v>97</v>
      </c>
      <c r="F2061" s="1" t="s">
        <v>84</v>
      </c>
      <c r="G2061" s="1" t="s">
        <v>112</v>
      </c>
      <c r="H2061" s="1" t="s">
        <v>223</v>
      </c>
      <c r="I2061" s="1">
        <v>587.84</v>
      </c>
      <c r="J2061" s="1">
        <v>3</v>
      </c>
      <c r="K2061" s="1">
        <v>1763.52</v>
      </c>
      <c r="L2061" s="1">
        <v>0</v>
      </c>
      <c r="M2061" s="1">
        <v>0</v>
      </c>
      <c r="N2061" s="1">
        <v>1763.52</v>
      </c>
      <c r="O2061" s="1" t="s">
        <v>24</v>
      </c>
      <c r="P2061" s="1" t="s">
        <v>2282</v>
      </c>
      <c r="Q2061" s="1">
        <v>2</v>
      </c>
      <c r="R2061" s="1">
        <f>Retail_Sales_Analyis[[#This Row],[Final_Price]]-Retail_Sales_Analyis[[#This Row],[Total_Price]]</f>
        <v>0</v>
      </c>
      <c r="S20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2" spans="1:19" x14ac:dyDescent="0.25">
      <c r="A2062" s="1" t="s">
        <v>3072</v>
      </c>
      <c r="B2062" s="2">
        <v>45345</v>
      </c>
      <c r="C2062" s="1" t="s">
        <v>27</v>
      </c>
      <c r="D2062" s="1" t="s">
        <v>144</v>
      </c>
      <c r="E2062" s="1" t="s">
        <v>312</v>
      </c>
      <c r="F2062" s="1" t="s">
        <v>84</v>
      </c>
      <c r="G2062" s="1" t="s">
        <v>169</v>
      </c>
      <c r="H2062" s="1" t="s">
        <v>170</v>
      </c>
      <c r="I2062" s="1">
        <v>482.65</v>
      </c>
      <c r="J2062" s="1">
        <v>3</v>
      </c>
      <c r="K2062" s="1">
        <v>1447.95</v>
      </c>
      <c r="L2062" s="1">
        <v>15</v>
      </c>
      <c r="M2062" s="1">
        <v>217.19</v>
      </c>
      <c r="N2062" s="1">
        <v>1230.76</v>
      </c>
      <c r="O2062" s="1" t="s">
        <v>64</v>
      </c>
      <c r="P2062" s="1" t="s">
        <v>237</v>
      </c>
      <c r="Q2062" s="1">
        <v>5</v>
      </c>
      <c r="R2062" s="1">
        <f>Retail_Sales_Analyis[[#This Row],[Final_Price]]-Retail_Sales_Analyis[[#This Row],[Total_Price]]</f>
        <v>-217.19000000000005</v>
      </c>
      <c r="S20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63" spans="1:19" x14ac:dyDescent="0.25">
      <c r="A2063" s="1" t="s">
        <v>3073</v>
      </c>
      <c r="B2063" s="2">
        <v>45589</v>
      </c>
      <c r="C2063" s="1" t="s">
        <v>76</v>
      </c>
      <c r="D2063" s="1" t="s">
        <v>67</v>
      </c>
      <c r="E2063" s="1" t="s">
        <v>411</v>
      </c>
      <c r="F2063" s="1" t="s">
        <v>84</v>
      </c>
      <c r="G2063" s="1" t="s">
        <v>38</v>
      </c>
      <c r="H2063" s="1" t="s">
        <v>39</v>
      </c>
      <c r="I2063" s="1">
        <v>204.5</v>
      </c>
      <c r="J2063" s="1">
        <v>7</v>
      </c>
      <c r="K2063" s="1">
        <v>1431.5</v>
      </c>
      <c r="L2063" s="1">
        <v>0</v>
      </c>
      <c r="M2063" s="1">
        <v>0</v>
      </c>
      <c r="N2063" s="1">
        <v>1431.5</v>
      </c>
      <c r="O2063" s="1" t="s">
        <v>24</v>
      </c>
      <c r="P2063" s="1" t="s">
        <v>647</v>
      </c>
      <c r="Q2063" s="1">
        <v>5</v>
      </c>
      <c r="R2063" s="1">
        <f>Retail_Sales_Analyis[[#This Row],[Final_Price]]-Retail_Sales_Analyis[[#This Row],[Total_Price]]</f>
        <v>0</v>
      </c>
      <c r="S20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4" spans="1:19" x14ac:dyDescent="0.25">
      <c r="A2064" s="1" t="s">
        <v>3074</v>
      </c>
      <c r="B2064" s="2">
        <v>45462</v>
      </c>
      <c r="C2064" s="1" t="s">
        <v>173</v>
      </c>
      <c r="D2064" s="1" t="s">
        <v>55</v>
      </c>
      <c r="E2064" s="1" t="s">
        <v>411</v>
      </c>
      <c r="F2064" s="1" t="s">
        <v>21</v>
      </c>
      <c r="G2064" s="1" t="s">
        <v>169</v>
      </c>
      <c r="H2064" s="1" t="s">
        <v>348</v>
      </c>
      <c r="I2064" s="1">
        <v>614.5</v>
      </c>
      <c r="J2064" s="1">
        <v>6</v>
      </c>
      <c r="K2064" s="1">
        <v>3687</v>
      </c>
      <c r="L2064" s="1">
        <v>0</v>
      </c>
      <c r="M2064" s="1">
        <v>0</v>
      </c>
      <c r="N2064" s="1">
        <v>3687</v>
      </c>
      <c r="O2064" s="1" t="s">
        <v>33</v>
      </c>
      <c r="P2064" s="1" t="s">
        <v>669</v>
      </c>
      <c r="Q2064" s="1">
        <v>2</v>
      </c>
      <c r="R2064" s="1">
        <f>Retail_Sales_Analyis[[#This Row],[Final_Price]]-Retail_Sales_Analyis[[#This Row],[Total_Price]]</f>
        <v>0</v>
      </c>
      <c r="S20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5" spans="1:19" x14ac:dyDescent="0.25">
      <c r="A2065" s="1" t="s">
        <v>3075</v>
      </c>
      <c r="B2065" s="2">
        <v>45360</v>
      </c>
      <c r="C2065" s="1" t="s">
        <v>61</v>
      </c>
      <c r="D2065" s="1" t="s">
        <v>19</v>
      </c>
      <c r="E2065" s="1" t="s">
        <v>157</v>
      </c>
      <c r="F2065" s="1" t="s">
        <v>30</v>
      </c>
      <c r="G2065" s="1" t="s">
        <v>38</v>
      </c>
      <c r="H2065" s="1" t="s">
        <v>214</v>
      </c>
      <c r="I2065" s="1">
        <v>765.72</v>
      </c>
      <c r="J2065" s="1">
        <v>4</v>
      </c>
      <c r="K2065" s="1">
        <v>3062.88</v>
      </c>
      <c r="L2065" s="1">
        <v>0</v>
      </c>
      <c r="M2065" s="1">
        <v>0</v>
      </c>
      <c r="N2065" s="1">
        <v>3062.88</v>
      </c>
      <c r="O2065" s="1" t="s">
        <v>33</v>
      </c>
      <c r="P2065" s="1" t="s">
        <v>1280</v>
      </c>
      <c r="Q2065" s="1">
        <v>1</v>
      </c>
      <c r="R2065" s="1">
        <f>Retail_Sales_Analyis[[#This Row],[Final_Price]]-Retail_Sales_Analyis[[#This Row],[Total_Price]]</f>
        <v>0</v>
      </c>
      <c r="S20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6" spans="1:19" x14ac:dyDescent="0.25">
      <c r="A2066" s="1" t="s">
        <v>3076</v>
      </c>
      <c r="B2066" s="2">
        <v>45314</v>
      </c>
      <c r="C2066" s="1" t="s">
        <v>36</v>
      </c>
      <c r="D2066" s="1" t="s">
        <v>28</v>
      </c>
      <c r="E2066" s="1" t="s">
        <v>542</v>
      </c>
      <c r="F2066" s="1" t="s">
        <v>84</v>
      </c>
      <c r="G2066" s="1" t="s">
        <v>85</v>
      </c>
      <c r="H2066" s="1" t="s">
        <v>90</v>
      </c>
      <c r="I2066" s="1">
        <v>1378.8</v>
      </c>
      <c r="J2066" s="1">
        <v>9</v>
      </c>
      <c r="K2066" s="1">
        <v>12409.2</v>
      </c>
      <c r="L2066" s="1">
        <v>0</v>
      </c>
      <c r="M2066" s="1">
        <v>0</v>
      </c>
      <c r="N2066" s="1">
        <v>12409.2</v>
      </c>
      <c r="O2066" s="1" t="s">
        <v>80</v>
      </c>
      <c r="P2066" s="1" t="s">
        <v>532</v>
      </c>
      <c r="Q2066" s="1">
        <v>3</v>
      </c>
      <c r="R2066" s="1">
        <f>Retail_Sales_Analyis[[#This Row],[Final_Price]]-Retail_Sales_Analyis[[#This Row],[Total_Price]]</f>
        <v>0</v>
      </c>
      <c r="S20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7" spans="1:19" x14ac:dyDescent="0.25">
      <c r="A2067" s="1" t="s">
        <v>3077</v>
      </c>
      <c r="B2067" s="2">
        <v>45472</v>
      </c>
      <c r="C2067" s="1" t="s">
        <v>173</v>
      </c>
      <c r="D2067" s="1" t="s">
        <v>19</v>
      </c>
      <c r="E2067" s="1" t="s">
        <v>94</v>
      </c>
      <c r="F2067" s="1" t="s">
        <v>69</v>
      </c>
      <c r="G2067" s="1" t="s">
        <v>22</v>
      </c>
      <c r="H2067" s="1" t="s">
        <v>133</v>
      </c>
      <c r="I2067" s="1">
        <v>702.67</v>
      </c>
      <c r="J2067" s="1">
        <v>6</v>
      </c>
      <c r="K2067" s="1">
        <v>4216.0200000000004</v>
      </c>
      <c r="L2067" s="1">
        <v>0</v>
      </c>
      <c r="M2067" s="1">
        <v>0</v>
      </c>
      <c r="N2067" s="1">
        <v>4216.0200000000004</v>
      </c>
      <c r="O2067" s="1" t="s">
        <v>80</v>
      </c>
      <c r="P2067" s="1" t="s">
        <v>2721</v>
      </c>
      <c r="Q2067" s="1">
        <v>1</v>
      </c>
      <c r="R2067" s="1">
        <f>Retail_Sales_Analyis[[#This Row],[Final_Price]]-Retail_Sales_Analyis[[#This Row],[Total_Price]]</f>
        <v>0</v>
      </c>
      <c r="S20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8" spans="1:19" x14ac:dyDescent="0.25">
      <c r="A2068" s="1" t="s">
        <v>3078</v>
      </c>
      <c r="B2068" s="2">
        <v>45571</v>
      </c>
      <c r="C2068" s="1" t="s">
        <v>76</v>
      </c>
      <c r="D2068" s="1" t="s">
        <v>49</v>
      </c>
      <c r="E2068" s="1" t="s">
        <v>302</v>
      </c>
      <c r="F2068" s="1" t="s">
        <v>69</v>
      </c>
      <c r="G2068" s="1" t="s">
        <v>112</v>
      </c>
      <c r="H2068" s="1" t="s">
        <v>223</v>
      </c>
      <c r="I2068" s="1">
        <v>1196.97</v>
      </c>
      <c r="J2068" s="1">
        <v>3</v>
      </c>
      <c r="K2068" s="1">
        <v>3590.91</v>
      </c>
      <c r="L2068" s="1">
        <v>0</v>
      </c>
      <c r="M2068" s="1">
        <v>0</v>
      </c>
      <c r="N2068" s="1">
        <v>3590.91</v>
      </c>
      <c r="O2068" s="1" t="s">
        <v>24</v>
      </c>
      <c r="P2068" s="1" t="s">
        <v>161</v>
      </c>
      <c r="Q2068" s="1">
        <v>3</v>
      </c>
      <c r="R2068" s="1">
        <f>Retail_Sales_Analyis[[#This Row],[Final_Price]]-Retail_Sales_Analyis[[#This Row],[Total_Price]]</f>
        <v>0</v>
      </c>
      <c r="S20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69" spans="1:19" x14ac:dyDescent="0.25">
      <c r="A2069" s="1" t="s">
        <v>3079</v>
      </c>
      <c r="B2069" s="2">
        <v>45465</v>
      </c>
      <c r="C2069" s="1" t="s">
        <v>173</v>
      </c>
      <c r="D2069" s="1" t="s">
        <v>19</v>
      </c>
      <c r="E2069" s="1" t="s">
        <v>239</v>
      </c>
      <c r="F2069" s="1" t="s">
        <v>37</v>
      </c>
      <c r="G2069" s="1" t="s">
        <v>112</v>
      </c>
      <c r="H2069" s="1" t="s">
        <v>223</v>
      </c>
      <c r="I2069" s="1">
        <v>691.68</v>
      </c>
      <c r="J2069" s="1">
        <v>4</v>
      </c>
      <c r="K2069" s="1">
        <v>2766.72</v>
      </c>
      <c r="L2069" s="1">
        <v>10</v>
      </c>
      <c r="M2069" s="1">
        <v>276.67</v>
      </c>
      <c r="N2069" s="1">
        <v>2490.0500000000002</v>
      </c>
      <c r="O2069" s="1" t="s">
        <v>64</v>
      </c>
      <c r="P2069" s="1" t="s">
        <v>964</v>
      </c>
      <c r="Q2069" s="1">
        <v>4</v>
      </c>
      <c r="R2069" s="1">
        <f>Retail_Sales_Analyis[[#This Row],[Final_Price]]-Retail_Sales_Analyis[[#This Row],[Total_Price]]</f>
        <v>-276.66999999999962</v>
      </c>
      <c r="S20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70" spans="1:19" x14ac:dyDescent="0.25">
      <c r="A2070" s="1" t="s">
        <v>3080</v>
      </c>
      <c r="B2070" s="2">
        <v>45621</v>
      </c>
      <c r="C2070" s="1" t="s">
        <v>18</v>
      </c>
      <c r="D2070" s="1" t="s">
        <v>43</v>
      </c>
      <c r="E2070" s="1" t="s">
        <v>411</v>
      </c>
      <c r="F2070" s="1" t="s">
        <v>37</v>
      </c>
      <c r="G2070" s="1" t="s">
        <v>85</v>
      </c>
      <c r="H2070" s="1" t="s">
        <v>98</v>
      </c>
      <c r="I2070" s="1">
        <v>4934.4399999999996</v>
      </c>
      <c r="J2070" s="1">
        <v>3</v>
      </c>
      <c r="K2070" s="1">
        <v>14803.32</v>
      </c>
      <c r="L2070" s="1">
        <v>10</v>
      </c>
      <c r="M2070" s="1">
        <v>1480.33</v>
      </c>
      <c r="N2070" s="1">
        <v>13322.99</v>
      </c>
      <c r="O2070" s="1" t="s">
        <v>33</v>
      </c>
      <c r="P2070" s="1" t="s">
        <v>3081</v>
      </c>
      <c r="Q2070" s="1">
        <v>1</v>
      </c>
      <c r="R2070" s="1">
        <f>Retail_Sales_Analyis[[#This Row],[Final_Price]]-Retail_Sales_Analyis[[#This Row],[Total_Price]]</f>
        <v>-1480.33</v>
      </c>
      <c r="S20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71" spans="1:19" x14ac:dyDescent="0.25">
      <c r="A2071" s="1" t="s">
        <v>3082</v>
      </c>
      <c r="B2071" s="2">
        <v>45381</v>
      </c>
      <c r="C2071" s="1" t="s">
        <v>61</v>
      </c>
      <c r="D2071" s="1" t="s">
        <v>19</v>
      </c>
      <c r="E2071" s="1" t="s">
        <v>302</v>
      </c>
      <c r="F2071" s="1" t="s">
        <v>30</v>
      </c>
      <c r="G2071" s="1" t="s">
        <v>112</v>
      </c>
      <c r="H2071" s="1" t="s">
        <v>118</v>
      </c>
      <c r="I2071" s="1">
        <v>1919.76</v>
      </c>
      <c r="J2071" s="1">
        <v>6</v>
      </c>
      <c r="K2071" s="1">
        <v>11518.56</v>
      </c>
      <c r="L2071" s="1">
        <v>0</v>
      </c>
      <c r="M2071" s="1">
        <v>0</v>
      </c>
      <c r="N2071" s="1">
        <v>11518.56</v>
      </c>
      <c r="O2071" s="1" t="s">
        <v>33</v>
      </c>
      <c r="P2071" s="1" t="s">
        <v>1535</v>
      </c>
      <c r="Q2071" s="1">
        <v>4</v>
      </c>
      <c r="R2071" s="1">
        <f>Retail_Sales_Analyis[[#This Row],[Final_Price]]-Retail_Sales_Analyis[[#This Row],[Total_Price]]</f>
        <v>0</v>
      </c>
      <c r="S20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72" spans="1:19" x14ac:dyDescent="0.25">
      <c r="A2072" s="1" t="s">
        <v>3083</v>
      </c>
      <c r="B2072" s="2">
        <v>45642</v>
      </c>
      <c r="C2072" s="1" t="s">
        <v>73</v>
      </c>
      <c r="D2072" s="1" t="s">
        <v>43</v>
      </c>
      <c r="E2072" s="1" t="s">
        <v>312</v>
      </c>
      <c r="F2072" s="1" t="s">
        <v>69</v>
      </c>
      <c r="G2072" s="1" t="s">
        <v>38</v>
      </c>
      <c r="H2072" s="1" t="s">
        <v>422</v>
      </c>
      <c r="I2072" s="1">
        <v>367.28</v>
      </c>
      <c r="J2072" s="1">
        <v>1</v>
      </c>
      <c r="K2072" s="1">
        <v>367.28</v>
      </c>
      <c r="L2072" s="1">
        <v>0</v>
      </c>
      <c r="M2072" s="1">
        <v>0</v>
      </c>
      <c r="N2072" s="1">
        <v>367.28</v>
      </c>
      <c r="O2072" s="1" t="s">
        <v>64</v>
      </c>
      <c r="P2072" s="1" t="s">
        <v>1037</v>
      </c>
      <c r="Q2072" s="1">
        <v>2</v>
      </c>
      <c r="R2072" s="1">
        <f>Retail_Sales_Analyis[[#This Row],[Final_Price]]-Retail_Sales_Analyis[[#This Row],[Total_Price]]</f>
        <v>0</v>
      </c>
      <c r="S20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73" spans="1:19" x14ac:dyDescent="0.25">
      <c r="A2073" s="1" t="s">
        <v>3084</v>
      </c>
      <c r="B2073" s="2">
        <v>45529</v>
      </c>
      <c r="C2073" s="1" t="s">
        <v>93</v>
      </c>
      <c r="D2073" s="1" t="s">
        <v>49</v>
      </c>
      <c r="E2073" s="1" t="s">
        <v>62</v>
      </c>
      <c r="F2073" s="1" t="s">
        <v>21</v>
      </c>
      <c r="G2073" s="1" t="s">
        <v>38</v>
      </c>
      <c r="H2073" s="1" t="s">
        <v>108</v>
      </c>
      <c r="I2073" s="1">
        <v>677.65</v>
      </c>
      <c r="J2073" s="1">
        <v>1</v>
      </c>
      <c r="K2073" s="1">
        <v>677.65</v>
      </c>
      <c r="L2073" s="1">
        <v>0</v>
      </c>
      <c r="M2073" s="1">
        <v>0</v>
      </c>
      <c r="N2073" s="1">
        <v>677.65</v>
      </c>
      <c r="O2073" s="1" t="s">
        <v>80</v>
      </c>
      <c r="P2073" s="1" t="s">
        <v>2823</v>
      </c>
      <c r="Q2073" s="1">
        <v>1</v>
      </c>
      <c r="R2073" s="1">
        <f>Retail_Sales_Analyis[[#This Row],[Final_Price]]-Retail_Sales_Analyis[[#This Row],[Total_Price]]</f>
        <v>0</v>
      </c>
      <c r="S20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74" spans="1:19" x14ac:dyDescent="0.25">
      <c r="A2074" s="1" t="s">
        <v>3085</v>
      </c>
      <c r="B2074" s="2">
        <v>45648</v>
      </c>
      <c r="C2074" s="1" t="s">
        <v>73</v>
      </c>
      <c r="D2074" s="1" t="s">
        <v>49</v>
      </c>
      <c r="E2074" s="1" t="s">
        <v>107</v>
      </c>
      <c r="F2074" s="1" t="s">
        <v>30</v>
      </c>
      <c r="G2074" s="1" t="s">
        <v>78</v>
      </c>
      <c r="H2074" s="1" t="s">
        <v>136</v>
      </c>
      <c r="I2074" s="1">
        <v>473.63</v>
      </c>
      <c r="J2074" s="1">
        <v>4</v>
      </c>
      <c r="K2074" s="1">
        <v>1894.52</v>
      </c>
      <c r="L2074" s="1">
        <v>15</v>
      </c>
      <c r="M2074" s="1">
        <v>284.18</v>
      </c>
      <c r="N2074" s="1">
        <v>1610.34</v>
      </c>
      <c r="O2074" s="1" t="s">
        <v>46</v>
      </c>
      <c r="P2074" s="1" t="s">
        <v>2039</v>
      </c>
      <c r="Q2074" s="1">
        <v>4</v>
      </c>
      <c r="R2074" s="1">
        <f>Retail_Sales_Analyis[[#This Row],[Final_Price]]-Retail_Sales_Analyis[[#This Row],[Total_Price]]</f>
        <v>-284.18000000000006</v>
      </c>
      <c r="S20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75" spans="1:19" x14ac:dyDescent="0.25">
      <c r="A2075" s="1" t="s">
        <v>3086</v>
      </c>
      <c r="B2075" s="2">
        <v>45537</v>
      </c>
      <c r="C2075" s="1" t="s">
        <v>116</v>
      </c>
      <c r="D2075" s="1" t="s">
        <v>43</v>
      </c>
      <c r="E2075" s="1" t="s">
        <v>236</v>
      </c>
      <c r="F2075" s="1" t="s">
        <v>21</v>
      </c>
      <c r="G2075" s="1" t="s">
        <v>78</v>
      </c>
      <c r="H2075" s="1" t="s">
        <v>126</v>
      </c>
      <c r="I2075" s="1">
        <v>582.5</v>
      </c>
      <c r="J2075" s="1">
        <v>2</v>
      </c>
      <c r="K2075" s="1">
        <v>1165</v>
      </c>
      <c r="L2075" s="1">
        <v>5</v>
      </c>
      <c r="M2075" s="1">
        <v>58.25</v>
      </c>
      <c r="N2075" s="1">
        <v>1106.75</v>
      </c>
      <c r="O2075" s="1" t="s">
        <v>33</v>
      </c>
      <c r="P2075" s="1" t="s">
        <v>303</v>
      </c>
      <c r="Q2075" s="1">
        <v>5</v>
      </c>
      <c r="R2075" s="1">
        <f>Retail_Sales_Analyis[[#This Row],[Final_Price]]-Retail_Sales_Analyis[[#This Row],[Total_Price]]</f>
        <v>-58.25</v>
      </c>
      <c r="S20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76" spans="1:19" x14ac:dyDescent="0.25">
      <c r="A2076" s="1" t="s">
        <v>3087</v>
      </c>
      <c r="B2076" s="2">
        <v>45615</v>
      </c>
      <c r="C2076" s="1" t="s">
        <v>18</v>
      </c>
      <c r="D2076" s="1" t="s">
        <v>28</v>
      </c>
      <c r="E2076" s="1" t="s">
        <v>207</v>
      </c>
      <c r="F2076" s="1" t="s">
        <v>69</v>
      </c>
      <c r="G2076" s="1" t="s">
        <v>78</v>
      </c>
      <c r="H2076" s="1" t="s">
        <v>79</v>
      </c>
      <c r="I2076" s="1">
        <v>487.25</v>
      </c>
      <c r="J2076" s="1">
        <v>3</v>
      </c>
      <c r="K2076" s="1">
        <v>1461.75</v>
      </c>
      <c r="L2076" s="1">
        <v>20</v>
      </c>
      <c r="M2076" s="1">
        <v>292.35000000000002</v>
      </c>
      <c r="N2076" s="1">
        <v>1169.4000000000001</v>
      </c>
      <c r="O2076" s="1" t="s">
        <v>33</v>
      </c>
      <c r="P2076" s="1" t="s">
        <v>1161</v>
      </c>
      <c r="Q2076" s="1">
        <v>2</v>
      </c>
      <c r="R2076" s="1">
        <f>Retail_Sales_Analyis[[#This Row],[Final_Price]]-Retail_Sales_Analyis[[#This Row],[Total_Price]]</f>
        <v>-292.34999999999991</v>
      </c>
      <c r="S20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77" spans="1:19" x14ac:dyDescent="0.25">
      <c r="A2077" s="1" t="s">
        <v>3088</v>
      </c>
      <c r="B2077" s="2">
        <v>45385</v>
      </c>
      <c r="C2077" s="1" t="s">
        <v>54</v>
      </c>
      <c r="D2077" s="1" t="s">
        <v>55</v>
      </c>
      <c r="E2077" s="1" t="s">
        <v>68</v>
      </c>
      <c r="F2077" s="1" t="s">
        <v>30</v>
      </c>
      <c r="G2077" s="1" t="s">
        <v>22</v>
      </c>
      <c r="H2077" s="1" t="s">
        <v>51</v>
      </c>
      <c r="I2077" s="1">
        <v>762.87</v>
      </c>
      <c r="J2077" s="1">
        <v>7</v>
      </c>
      <c r="K2077" s="1">
        <v>5340.09</v>
      </c>
      <c r="L2077" s="1">
        <v>0</v>
      </c>
      <c r="M2077" s="1">
        <v>0</v>
      </c>
      <c r="N2077" s="1">
        <v>5340.09</v>
      </c>
      <c r="O2077" s="1" t="s">
        <v>33</v>
      </c>
      <c r="P2077" s="1" t="s">
        <v>1090</v>
      </c>
      <c r="Q2077" s="1">
        <v>2</v>
      </c>
      <c r="R2077" s="1">
        <f>Retail_Sales_Analyis[[#This Row],[Final_Price]]-Retail_Sales_Analyis[[#This Row],[Total_Price]]</f>
        <v>0</v>
      </c>
      <c r="S20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78" spans="1:19" x14ac:dyDescent="0.25">
      <c r="A2078" s="1" t="s">
        <v>3089</v>
      </c>
      <c r="B2078" s="2">
        <v>45361</v>
      </c>
      <c r="C2078" s="1" t="s">
        <v>61</v>
      </c>
      <c r="D2078" s="1" t="s">
        <v>49</v>
      </c>
      <c r="E2078" s="1" t="s">
        <v>94</v>
      </c>
      <c r="F2078" s="1" t="s">
        <v>69</v>
      </c>
      <c r="G2078" s="1" t="s">
        <v>31</v>
      </c>
      <c r="H2078" s="1" t="s">
        <v>32</v>
      </c>
      <c r="I2078" s="1">
        <v>433.54</v>
      </c>
      <c r="J2078" s="1">
        <v>8</v>
      </c>
      <c r="K2078" s="1">
        <v>3468.32</v>
      </c>
      <c r="L2078" s="1">
        <v>10</v>
      </c>
      <c r="M2078" s="1">
        <v>346.83</v>
      </c>
      <c r="N2078" s="1">
        <v>3121.49</v>
      </c>
      <c r="O2078" s="1" t="s">
        <v>46</v>
      </c>
      <c r="P2078" s="1" t="s">
        <v>1710</v>
      </c>
      <c r="Q2078" s="1">
        <v>5</v>
      </c>
      <c r="R2078" s="1">
        <f>Retail_Sales_Analyis[[#This Row],[Final_Price]]-Retail_Sales_Analyis[[#This Row],[Total_Price]]</f>
        <v>-346.83000000000038</v>
      </c>
      <c r="S20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79" spans="1:19" x14ac:dyDescent="0.25">
      <c r="A2079" s="1" t="s">
        <v>3090</v>
      </c>
      <c r="B2079" s="2">
        <v>45324</v>
      </c>
      <c r="C2079" s="1" t="s">
        <v>27</v>
      </c>
      <c r="D2079" s="1" t="s">
        <v>144</v>
      </c>
      <c r="E2079" s="1" t="s">
        <v>261</v>
      </c>
      <c r="F2079" s="1" t="s">
        <v>37</v>
      </c>
      <c r="G2079" s="1" t="s">
        <v>169</v>
      </c>
      <c r="H2079" s="1" t="s">
        <v>366</v>
      </c>
      <c r="I2079" s="1">
        <v>993.82</v>
      </c>
      <c r="J2079" s="1">
        <v>4</v>
      </c>
      <c r="K2079" s="1">
        <v>3975.28</v>
      </c>
      <c r="L2079" s="1">
        <v>0</v>
      </c>
      <c r="M2079" s="1">
        <v>0</v>
      </c>
      <c r="N2079" s="1">
        <v>3975.28</v>
      </c>
      <c r="O2079" s="1" t="s">
        <v>24</v>
      </c>
      <c r="P2079" s="1" t="s">
        <v>1389</v>
      </c>
      <c r="Q2079" s="1">
        <v>1</v>
      </c>
      <c r="R2079" s="1">
        <f>Retail_Sales_Analyis[[#This Row],[Final_Price]]-Retail_Sales_Analyis[[#This Row],[Total_Price]]</f>
        <v>0</v>
      </c>
      <c r="S20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80" spans="1:19" x14ac:dyDescent="0.25">
      <c r="A2080" s="1" t="s">
        <v>3091</v>
      </c>
      <c r="B2080" s="2">
        <v>45526</v>
      </c>
      <c r="C2080" s="1" t="s">
        <v>93</v>
      </c>
      <c r="D2080" s="1" t="s">
        <v>67</v>
      </c>
      <c r="E2080" s="1" t="s">
        <v>166</v>
      </c>
      <c r="F2080" s="1" t="s">
        <v>30</v>
      </c>
      <c r="G2080" s="1" t="s">
        <v>38</v>
      </c>
      <c r="H2080" s="1" t="s">
        <v>70</v>
      </c>
      <c r="I2080" s="1">
        <v>495.94</v>
      </c>
      <c r="J2080" s="1">
        <v>5</v>
      </c>
      <c r="K2080" s="1">
        <v>2479.6999999999998</v>
      </c>
      <c r="L2080" s="1">
        <v>0</v>
      </c>
      <c r="M2080" s="1">
        <v>0</v>
      </c>
      <c r="N2080" s="1">
        <v>2479.6999999999998</v>
      </c>
      <c r="O2080" s="1" t="s">
        <v>64</v>
      </c>
      <c r="P2080" s="1" t="s">
        <v>2204</v>
      </c>
      <c r="Q2080" s="1">
        <v>2</v>
      </c>
      <c r="R2080" s="1">
        <f>Retail_Sales_Analyis[[#This Row],[Final_Price]]-Retail_Sales_Analyis[[#This Row],[Total_Price]]</f>
        <v>0</v>
      </c>
      <c r="S20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81" spans="1:19" x14ac:dyDescent="0.25">
      <c r="A2081" s="1" t="s">
        <v>3092</v>
      </c>
      <c r="B2081" s="2">
        <v>45310</v>
      </c>
      <c r="C2081" s="1" t="s">
        <v>36</v>
      </c>
      <c r="D2081" s="1" t="s">
        <v>144</v>
      </c>
      <c r="E2081" s="1" t="s">
        <v>107</v>
      </c>
      <c r="F2081" s="1" t="s">
        <v>37</v>
      </c>
      <c r="G2081" s="1" t="s">
        <v>57</v>
      </c>
      <c r="H2081" s="1" t="s">
        <v>158</v>
      </c>
      <c r="I2081" s="1">
        <v>350.21</v>
      </c>
      <c r="J2081" s="1">
        <v>7</v>
      </c>
      <c r="K2081" s="1">
        <v>2451.4699999999998</v>
      </c>
      <c r="L2081" s="1">
        <v>15</v>
      </c>
      <c r="M2081" s="1">
        <v>367.72</v>
      </c>
      <c r="N2081" s="1">
        <v>2083.75</v>
      </c>
      <c r="O2081" s="1" t="s">
        <v>33</v>
      </c>
      <c r="P2081" s="1" t="s">
        <v>3093</v>
      </c>
      <c r="Q2081" s="1">
        <v>5</v>
      </c>
      <c r="R2081" s="1">
        <f>Retail_Sales_Analyis[[#This Row],[Final_Price]]-Retail_Sales_Analyis[[#This Row],[Total_Price]]</f>
        <v>-367.7199999999998</v>
      </c>
      <c r="S20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82" spans="1:19" x14ac:dyDescent="0.25">
      <c r="A2082" s="1" t="s">
        <v>3094</v>
      </c>
      <c r="B2082" s="2">
        <v>45442</v>
      </c>
      <c r="C2082" s="1" t="s">
        <v>42</v>
      </c>
      <c r="D2082" s="1" t="s">
        <v>67</v>
      </c>
      <c r="E2082" s="1" t="s">
        <v>117</v>
      </c>
      <c r="F2082" s="1" t="s">
        <v>30</v>
      </c>
      <c r="G2082" s="1" t="s">
        <v>169</v>
      </c>
      <c r="H2082" s="1" t="s">
        <v>175</v>
      </c>
      <c r="I2082" s="1">
        <v>1248.76</v>
      </c>
      <c r="J2082" s="1">
        <v>7</v>
      </c>
      <c r="K2082" s="1">
        <v>8741.32</v>
      </c>
      <c r="L2082" s="1">
        <v>20</v>
      </c>
      <c r="M2082" s="1">
        <v>1748.26</v>
      </c>
      <c r="N2082" s="1">
        <v>6993.06</v>
      </c>
      <c r="O2082" s="1" t="s">
        <v>46</v>
      </c>
      <c r="P2082" s="1" t="s">
        <v>3095</v>
      </c>
      <c r="Q2082" s="1">
        <v>5</v>
      </c>
      <c r="R2082" s="1">
        <f>Retail_Sales_Analyis[[#This Row],[Final_Price]]-Retail_Sales_Analyis[[#This Row],[Total_Price]]</f>
        <v>-1748.2599999999993</v>
      </c>
      <c r="S20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83" spans="1:19" x14ac:dyDescent="0.25">
      <c r="A2083" s="1" t="s">
        <v>3096</v>
      </c>
      <c r="B2083" s="2">
        <v>45395</v>
      </c>
      <c r="C2083" s="1" t="s">
        <v>54</v>
      </c>
      <c r="D2083" s="1" t="s">
        <v>19</v>
      </c>
      <c r="E2083" s="1" t="s">
        <v>94</v>
      </c>
      <c r="F2083" s="1" t="s">
        <v>37</v>
      </c>
      <c r="G2083" s="1" t="s">
        <v>78</v>
      </c>
      <c r="H2083" s="1" t="s">
        <v>323</v>
      </c>
      <c r="I2083" s="1">
        <v>408.67</v>
      </c>
      <c r="J2083" s="1">
        <v>3</v>
      </c>
      <c r="K2083" s="1">
        <v>1226.01</v>
      </c>
      <c r="L2083" s="1">
        <v>0</v>
      </c>
      <c r="M2083" s="1">
        <v>0</v>
      </c>
      <c r="N2083" s="1">
        <v>1226.01</v>
      </c>
      <c r="O2083" s="1" t="s">
        <v>33</v>
      </c>
      <c r="P2083" s="1" t="s">
        <v>352</v>
      </c>
      <c r="Q2083" s="1">
        <v>3</v>
      </c>
      <c r="R2083" s="1">
        <f>Retail_Sales_Analyis[[#This Row],[Final_Price]]-Retail_Sales_Analyis[[#This Row],[Total_Price]]</f>
        <v>0</v>
      </c>
      <c r="S20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84" spans="1:19" x14ac:dyDescent="0.25">
      <c r="A2084" s="1" t="s">
        <v>3097</v>
      </c>
      <c r="B2084" s="2">
        <v>45314</v>
      </c>
      <c r="C2084" s="1" t="s">
        <v>36</v>
      </c>
      <c r="D2084" s="1" t="s">
        <v>28</v>
      </c>
      <c r="E2084" s="1" t="s">
        <v>163</v>
      </c>
      <c r="F2084" s="1" t="s">
        <v>37</v>
      </c>
      <c r="G2084" s="1" t="s">
        <v>169</v>
      </c>
      <c r="H2084" s="1" t="s">
        <v>208</v>
      </c>
      <c r="I2084" s="1">
        <v>1104.7</v>
      </c>
      <c r="J2084" s="1">
        <v>10</v>
      </c>
      <c r="K2084" s="1">
        <v>11047</v>
      </c>
      <c r="L2084" s="1">
        <v>5</v>
      </c>
      <c r="M2084" s="1">
        <v>552.35</v>
      </c>
      <c r="N2084" s="1">
        <v>10494.65</v>
      </c>
      <c r="O2084" s="1" t="s">
        <v>64</v>
      </c>
      <c r="P2084" s="1" t="s">
        <v>147</v>
      </c>
      <c r="Q2084" s="1">
        <v>5</v>
      </c>
      <c r="R2084" s="1">
        <f>Retail_Sales_Analyis[[#This Row],[Final_Price]]-Retail_Sales_Analyis[[#This Row],[Total_Price]]</f>
        <v>-552.35000000000036</v>
      </c>
      <c r="S20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85" spans="1:19" x14ac:dyDescent="0.25">
      <c r="A2085" s="1" t="s">
        <v>3098</v>
      </c>
      <c r="B2085" s="2">
        <v>45394</v>
      </c>
      <c r="C2085" s="1" t="s">
        <v>54</v>
      </c>
      <c r="D2085" s="1" t="s">
        <v>144</v>
      </c>
      <c r="E2085" s="1" t="s">
        <v>62</v>
      </c>
      <c r="F2085" s="1" t="s">
        <v>84</v>
      </c>
      <c r="G2085" s="1" t="s">
        <v>85</v>
      </c>
      <c r="H2085" s="1" t="s">
        <v>86</v>
      </c>
      <c r="I2085" s="1">
        <v>1996.31</v>
      </c>
      <c r="J2085" s="1">
        <v>7</v>
      </c>
      <c r="K2085" s="1">
        <v>13974.17</v>
      </c>
      <c r="L2085" s="1">
        <v>0</v>
      </c>
      <c r="M2085" s="1">
        <v>0</v>
      </c>
      <c r="N2085" s="1">
        <v>13974.17</v>
      </c>
      <c r="O2085" s="1" t="s">
        <v>46</v>
      </c>
      <c r="P2085" s="1" t="s">
        <v>1701</v>
      </c>
      <c r="Q2085" s="1">
        <v>2</v>
      </c>
      <c r="R2085" s="1">
        <f>Retail_Sales_Analyis[[#This Row],[Final_Price]]-Retail_Sales_Analyis[[#This Row],[Total_Price]]</f>
        <v>0</v>
      </c>
      <c r="S20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86" spans="1:19" x14ac:dyDescent="0.25">
      <c r="A2086" s="1" t="s">
        <v>3099</v>
      </c>
      <c r="B2086" s="2">
        <v>45313</v>
      </c>
      <c r="C2086" s="1" t="s">
        <v>36</v>
      </c>
      <c r="D2086" s="1" t="s">
        <v>43</v>
      </c>
      <c r="E2086" s="1" t="s">
        <v>139</v>
      </c>
      <c r="F2086" s="1" t="s">
        <v>84</v>
      </c>
      <c r="G2086" s="1" t="s">
        <v>38</v>
      </c>
      <c r="H2086" s="1" t="s">
        <v>70</v>
      </c>
      <c r="I2086" s="1">
        <v>712.1</v>
      </c>
      <c r="J2086" s="1">
        <v>9</v>
      </c>
      <c r="K2086" s="1">
        <v>6408.9</v>
      </c>
      <c r="L2086" s="1">
        <v>20</v>
      </c>
      <c r="M2086" s="1">
        <v>1281.78</v>
      </c>
      <c r="N2086" s="1">
        <v>5127.12</v>
      </c>
      <c r="O2086" s="1" t="s">
        <v>64</v>
      </c>
      <c r="P2086" s="1" t="s">
        <v>1751</v>
      </c>
      <c r="Q2086" s="1">
        <v>1</v>
      </c>
      <c r="R2086" s="1">
        <f>Retail_Sales_Analyis[[#This Row],[Final_Price]]-Retail_Sales_Analyis[[#This Row],[Total_Price]]</f>
        <v>-1281.7799999999997</v>
      </c>
      <c r="S20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87" spans="1:19" x14ac:dyDescent="0.25">
      <c r="A2087" s="1" t="s">
        <v>3100</v>
      </c>
      <c r="B2087" s="2">
        <v>45453</v>
      </c>
      <c r="C2087" s="1" t="s">
        <v>173</v>
      </c>
      <c r="D2087" s="1" t="s">
        <v>43</v>
      </c>
      <c r="E2087" s="1" t="s">
        <v>411</v>
      </c>
      <c r="F2087" s="1" t="s">
        <v>37</v>
      </c>
      <c r="G2087" s="1" t="s">
        <v>22</v>
      </c>
      <c r="H2087" s="1" t="s">
        <v>187</v>
      </c>
      <c r="I2087" s="1">
        <v>218.56</v>
      </c>
      <c r="J2087" s="1">
        <v>7</v>
      </c>
      <c r="K2087" s="1">
        <v>1529.92</v>
      </c>
      <c r="L2087" s="1">
        <v>5</v>
      </c>
      <c r="M2087" s="1">
        <v>76.5</v>
      </c>
      <c r="N2087" s="1">
        <v>1453.42</v>
      </c>
      <c r="O2087" s="1" t="s">
        <v>46</v>
      </c>
      <c r="P2087" s="1" t="s">
        <v>1339</v>
      </c>
      <c r="Q2087" s="1">
        <v>1</v>
      </c>
      <c r="R2087" s="1">
        <f>Retail_Sales_Analyis[[#This Row],[Final_Price]]-Retail_Sales_Analyis[[#This Row],[Total_Price]]</f>
        <v>-76.5</v>
      </c>
      <c r="S20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88" spans="1:19" x14ac:dyDescent="0.25">
      <c r="A2088" s="1" t="s">
        <v>3101</v>
      </c>
      <c r="B2088" s="2">
        <v>45450</v>
      </c>
      <c r="C2088" s="1" t="s">
        <v>173</v>
      </c>
      <c r="D2088" s="1" t="s">
        <v>144</v>
      </c>
      <c r="E2088" s="1" t="s">
        <v>186</v>
      </c>
      <c r="F2088" s="1" t="s">
        <v>30</v>
      </c>
      <c r="G2088" s="1" t="s">
        <v>169</v>
      </c>
      <c r="H2088" s="1" t="s">
        <v>208</v>
      </c>
      <c r="I2088" s="1">
        <v>518.09</v>
      </c>
      <c r="J2088" s="1">
        <v>3</v>
      </c>
      <c r="K2088" s="1">
        <v>1554.27</v>
      </c>
      <c r="L2088" s="1">
        <v>20</v>
      </c>
      <c r="M2088" s="1">
        <v>310.85000000000002</v>
      </c>
      <c r="N2088" s="1">
        <v>1243.42</v>
      </c>
      <c r="O2088" s="1" t="s">
        <v>46</v>
      </c>
      <c r="P2088" s="1" t="s">
        <v>759</v>
      </c>
      <c r="Q2088" s="1">
        <v>3</v>
      </c>
      <c r="R2088" s="1">
        <f>Retail_Sales_Analyis[[#This Row],[Final_Price]]-Retail_Sales_Analyis[[#This Row],[Total_Price]]</f>
        <v>-310.84999999999991</v>
      </c>
      <c r="S20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89" spans="1:19" x14ac:dyDescent="0.25">
      <c r="A2089" s="1" t="s">
        <v>3102</v>
      </c>
      <c r="B2089" s="2">
        <v>45555</v>
      </c>
      <c r="C2089" s="1" t="s">
        <v>116</v>
      </c>
      <c r="D2089" s="1" t="s">
        <v>144</v>
      </c>
      <c r="E2089" s="1" t="s">
        <v>351</v>
      </c>
      <c r="F2089" s="1" t="s">
        <v>84</v>
      </c>
      <c r="G2089" s="1" t="s">
        <v>85</v>
      </c>
      <c r="H2089" s="1" t="s">
        <v>98</v>
      </c>
      <c r="I2089" s="1">
        <v>4452.76</v>
      </c>
      <c r="J2089" s="1">
        <v>2</v>
      </c>
      <c r="K2089" s="1">
        <v>8905.52</v>
      </c>
      <c r="L2089" s="1">
        <v>15</v>
      </c>
      <c r="M2089" s="1">
        <v>1335.83</v>
      </c>
      <c r="N2089" s="1">
        <v>7569.69</v>
      </c>
      <c r="O2089" s="1" t="s">
        <v>33</v>
      </c>
      <c r="P2089" s="1" t="s">
        <v>1235</v>
      </c>
      <c r="Q2089" s="1">
        <v>1</v>
      </c>
      <c r="R2089" s="1">
        <f>Retail_Sales_Analyis[[#This Row],[Final_Price]]-Retail_Sales_Analyis[[#This Row],[Total_Price]]</f>
        <v>-1335.8300000000008</v>
      </c>
      <c r="S20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90" spans="1:19" x14ac:dyDescent="0.25">
      <c r="A2090" s="1" t="s">
        <v>3103</v>
      </c>
      <c r="B2090" s="2">
        <v>45495</v>
      </c>
      <c r="C2090" s="1" t="s">
        <v>195</v>
      </c>
      <c r="D2090" s="1" t="s">
        <v>43</v>
      </c>
      <c r="E2090" s="1" t="s">
        <v>97</v>
      </c>
      <c r="F2090" s="1" t="s">
        <v>84</v>
      </c>
      <c r="G2090" s="1" t="s">
        <v>22</v>
      </c>
      <c r="H2090" s="1" t="s">
        <v>133</v>
      </c>
      <c r="I2090" s="1">
        <v>859.04</v>
      </c>
      <c r="J2090" s="1">
        <v>4</v>
      </c>
      <c r="K2090" s="1">
        <v>3436.16</v>
      </c>
      <c r="L2090" s="1">
        <v>5</v>
      </c>
      <c r="M2090" s="1">
        <v>171.81</v>
      </c>
      <c r="N2090" s="1">
        <v>3264.35</v>
      </c>
      <c r="O2090" s="1" t="s">
        <v>64</v>
      </c>
      <c r="P2090" s="1" t="s">
        <v>371</v>
      </c>
      <c r="Q2090" s="1">
        <v>1</v>
      </c>
      <c r="R2090" s="1">
        <f>Retail_Sales_Analyis[[#This Row],[Final_Price]]-Retail_Sales_Analyis[[#This Row],[Total_Price]]</f>
        <v>-171.80999999999995</v>
      </c>
      <c r="S20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091" spans="1:19" x14ac:dyDescent="0.25">
      <c r="A2091" s="1" t="s">
        <v>3104</v>
      </c>
      <c r="B2091" s="2">
        <v>45570</v>
      </c>
      <c r="C2091" s="1" t="s">
        <v>76</v>
      </c>
      <c r="D2091" s="1" t="s">
        <v>19</v>
      </c>
      <c r="E2091" s="1" t="s">
        <v>89</v>
      </c>
      <c r="F2091" s="1" t="s">
        <v>69</v>
      </c>
      <c r="G2091" s="1" t="s">
        <v>112</v>
      </c>
      <c r="H2091" s="1" t="s">
        <v>223</v>
      </c>
      <c r="I2091" s="1">
        <v>803.95</v>
      </c>
      <c r="J2091" s="1">
        <v>1</v>
      </c>
      <c r="K2091" s="1">
        <v>803.95</v>
      </c>
      <c r="L2091" s="1">
        <v>15</v>
      </c>
      <c r="M2091" s="1">
        <v>120.59</v>
      </c>
      <c r="N2091" s="1">
        <v>683.36</v>
      </c>
      <c r="O2091" s="1" t="s">
        <v>64</v>
      </c>
      <c r="P2091" s="1" t="s">
        <v>409</v>
      </c>
      <c r="Q2091" s="1">
        <v>1</v>
      </c>
      <c r="R2091" s="1">
        <f>Retail_Sales_Analyis[[#This Row],[Final_Price]]-Retail_Sales_Analyis[[#This Row],[Total_Price]]</f>
        <v>-120.59000000000003</v>
      </c>
      <c r="S20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92" spans="1:19" x14ac:dyDescent="0.25">
      <c r="A2092" s="1" t="s">
        <v>3105</v>
      </c>
      <c r="B2092" s="2">
        <v>45534</v>
      </c>
      <c r="C2092" s="1" t="s">
        <v>93</v>
      </c>
      <c r="D2092" s="1" t="s">
        <v>144</v>
      </c>
      <c r="E2092" s="1" t="s">
        <v>351</v>
      </c>
      <c r="F2092" s="1" t="s">
        <v>69</v>
      </c>
      <c r="G2092" s="1" t="s">
        <v>112</v>
      </c>
      <c r="H2092" s="1" t="s">
        <v>223</v>
      </c>
      <c r="I2092" s="1">
        <v>634.20000000000005</v>
      </c>
      <c r="J2092" s="1">
        <v>5</v>
      </c>
      <c r="K2092" s="1">
        <v>3171</v>
      </c>
      <c r="L2092" s="1">
        <v>0</v>
      </c>
      <c r="M2092" s="1">
        <v>0</v>
      </c>
      <c r="N2092" s="1">
        <v>3171</v>
      </c>
      <c r="O2092" s="1" t="s">
        <v>24</v>
      </c>
      <c r="P2092" s="1" t="s">
        <v>1549</v>
      </c>
      <c r="Q2092" s="1">
        <v>2</v>
      </c>
      <c r="R2092" s="1">
        <f>Retail_Sales_Analyis[[#This Row],[Final_Price]]-Retail_Sales_Analyis[[#This Row],[Total_Price]]</f>
        <v>0</v>
      </c>
      <c r="S20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93" spans="1:19" x14ac:dyDescent="0.25">
      <c r="A2093" s="1" t="s">
        <v>3106</v>
      </c>
      <c r="B2093" s="2">
        <v>45421</v>
      </c>
      <c r="C2093" s="1" t="s">
        <v>42</v>
      </c>
      <c r="D2093" s="1" t="s">
        <v>67</v>
      </c>
      <c r="E2093" s="1" t="s">
        <v>56</v>
      </c>
      <c r="F2093" s="1" t="s">
        <v>84</v>
      </c>
      <c r="G2093" s="1" t="s">
        <v>169</v>
      </c>
      <c r="H2093" s="1" t="s">
        <v>366</v>
      </c>
      <c r="I2093" s="1">
        <v>428.33</v>
      </c>
      <c r="J2093" s="1">
        <v>8</v>
      </c>
      <c r="K2093" s="1">
        <v>3426.64</v>
      </c>
      <c r="L2093" s="1">
        <v>15</v>
      </c>
      <c r="M2093" s="1">
        <v>514</v>
      </c>
      <c r="N2093" s="1">
        <v>2912.64</v>
      </c>
      <c r="O2093" s="1" t="s">
        <v>24</v>
      </c>
      <c r="P2093" s="1" t="s">
        <v>1865</v>
      </c>
      <c r="Q2093" s="1">
        <v>5</v>
      </c>
      <c r="R2093" s="1">
        <f>Retail_Sales_Analyis[[#This Row],[Final_Price]]-Retail_Sales_Analyis[[#This Row],[Total_Price]]</f>
        <v>-514</v>
      </c>
      <c r="S20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94" spans="1:19" x14ac:dyDescent="0.25">
      <c r="A2094" s="1" t="s">
        <v>3107</v>
      </c>
      <c r="B2094" s="2">
        <v>45310</v>
      </c>
      <c r="C2094" s="1" t="s">
        <v>36</v>
      </c>
      <c r="D2094" s="1" t="s">
        <v>144</v>
      </c>
      <c r="E2094" s="1" t="s">
        <v>174</v>
      </c>
      <c r="F2094" s="1" t="s">
        <v>37</v>
      </c>
      <c r="G2094" s="1" t="s">
        <v>112</v>
      </c>
      <c r="H2094" s="1" t="s">
        <v>223</v>
      </c>
      <c r="I2094" s="1">
        <v>1826.94</v>
      </c>
      <c r="J2094" s="1">
        <v>7</v>
      </c>
      <c r="K2094" s="1">
        <v>12788.58</v>
      </c>
      <c r="L2094" s="1">
        <v>0</v>
      </c>
      <c r="M2094" s="1">
        <v>0</v>
      </c>
      <c r="N2094" s="1">
        <v>12788.58</v>
      </c>
      <c r="O2094" s="1" t="s">
        <v>46</v>
      </c>
      <c r="P2094" s="1" t="s">
        <v>1783</v>
      </c>
      <c r="Q2094" s="1">
        <v>5</v>
      </c>
      <c r="R2094" s="1">
        <f>Retail_Sales_Analyis[[#This Row],[Final_Price]]-Retail_Sales_Analyis[[#This Row],[Total_Price]]</f>
        <v>0</v>
      </c>
      <c r="S20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95" spans="1:19" x14ac:dyDescent="0.25">
      <c r="A2095" s="1" t="s">
        <v>3108</v>
      </c>
      <c r="B2095" s="2">
        <v>45623</v>
      </c>
      <c r="C2095" s="1" t="s">
        <v>18</v>
      </c>
      <c r="D2095" s="1" t="s">
        <v>55</v>
      </c>
      <c r="E2095" s="1" t="s">
        <v>62</v>
      </c>
      <c r="F2095" s="1" t="s">
        <v>30</v>
      </c>
      <c r="G2095" s="1" t="s">
        <v>38</v>
      </c>
      <c r="H2095" s="1" t="s">
        <v>39</v>
      </c>
      <c r="I2095" s="1">
        <v>507.28</v>
      </c>
      <c r="J2095" s="1">
        <v>5</v>
      </c>
      <c r="K2095" s="1">
        <v>2536.4</v>
      </c>
      <c r="L2095" s="1">
        <v>20</v>
      </c>
      <c r="M2095" s="1">
        <v>507.28</v>
      </c>
      <c r="N2095" s="1">
        <v>2029.12</v>
      </c>
      <c r="O2095" s="1" t="s">
        <v>33</v>
      </c>
      <c r="P2095" s="1" t="s">
        <v>737</v>
      </c>
      <c r="Q2095" s="1">
        <v>5</v>
      </c>
      <c r="R2095" s="1">
        <f>Retail_Sales_Analyis[[#This Row],[Final_Price]]-Retail_Sales_Analyis[[#This Row],[Total_Price]]</f>
        <v>-507.2800000000002</v>
      </c>
      <c r="S209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096" spans="1:19" x14ac:dyDescent="0.25">
      <c r="A2096" s="1" t="s">
        <v>3109</v>
      </c>
      <c r="B2096" s="2">
        <v>45389</v>
      </c>
      <c r="C2096" s="1" t="s">
        <v>54</v>
      </c>
      <c r="D2096" s="1" t="s">
        <v>49</v>
      </c>
      <c r="E2096" s="1" t="s">
        <v>139</v>
      </c>
      <c r="F2096" s="1" t="s">
        <v>21</v>
      </c>
      <c r="G2096" s="1" t="s">
        <v>112</v>
      </c>
      <c r="H2096" s="1" t="s">
        <v>223</v>
      </c>
      <c r="I2096" s="1">
        <v>615.55999999999995</v>
      </c>
      <c r="J2096" s="1">
        <v>8</v>
      </c>
      <c r="K2096" s="1">
        <v>4924.4799999999996</v>
      </c>
      <c r="L2096" s="1">
        <v>0</v>
      </c>
      <c r="M2096" s="1">
        <v>0</v>
      </c>
      <c r="N2096" s="1">
        <v>4924.4799999999996</v>
      </c>
      <c r="O2096" s="1" t="s">
        <v>64</v>
      </c>
      <c r="P2096" s="1" t="s">
        <v>1617</v>
      </c>
      <c r="Q2096" s="1">
        <v>3</v>
      </c>
      <c r="R2096" s="1">
        <f>Retail_Sales_Analyis[[#This Row],[Final_Price]]-Retail_Sales_Analyis[[#This Row],[Total_Price]]</f>
        <v>0</v>
      </c>
      <c r="S20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097" spans="1:19" x14ac:dyDescent="0.25">
      <c r="A2097" s="1" t="s">
        <v>3110</v>
      </c>
      <c r="B2097" s="2">
        <v>45438</v>
      </c>
      <c r="C2097" s="1" t="s">
        <v>42</v>
      </c>
      <c r="D2097" s="1" t="s">
        <v>49</v>
      </c>
      <c r="E2097" s="1" t="s">
        <v>139</v>
      </c>
      <c r="F2097" s="1" t="s">
        <v>37</v>
      </c>
      <c r="G2097" s="1" t="s">
        <v>169</v>
      </c>
      <c r="H2097" s="1" t="s">
        <v>208</v>
      </c>
      <c r="I2097" s="1">
        <v>867.06</v>
      </c>
      <c r="J2097" s="1">
        <v>3</v>
      </c>
      <c r="K2097" s="1">
        <v>2601.1799999999998</v>
      </c>
      <c r="L2097" s="1">
        <v>10</v>
      </c>
      <c r="M2097" s="1">
        <v>260.12</v>
      </c>
      <c r="N2097" s="1">
        <v>2341.06</v>
      </c>
      <c r="O2097" s="1" t="s">
        <v>80</v>
      </c>
      <c r="P2097" s="1" t="s">
        <v>1900</v>
      </c>
      <c r="Q2097" s="1">
        <v>4</v>
      </c>
      <c r="R2097" s="1">
        <f>Retail_Sales_Analyis[[#This Row],[Final_Price]]-Retail_Sales_Analyis[[#This Row],[Total_Price]]</f>
        <v>-260.11999999999989</v>
      </c>
      <c r="S20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98" spans="1:19" x14ac:dyDescent="0.25">
      <c r="A2098" s="1" t="s">
        <v>3111</v>
      </c>
      <c r="B2098" s="2">
        <v>45474</v>
      </c>
      <c r="C2098" s="1" t="s">
        <v>195</v>
      </c>
      <c r="D2098" s="1" t="s">
        <v>43</v>
      </c>
      <c r="E2098" s="1" t="s">
        <v>322</v>
      </c>
      <c r="F2098" s="1" t="s">
        <v>69</v>
      </c>
      <c r="G2098" s="1" t="s">
        <v>85</v>
      </c>
      <c r="H2098" s="1" t="s">
        <v>86</v>
      </c>
      <c r="I2098" s="1">
        <v>3394.98</v>
      </c>
      <c r="J2098" s="1">
        <v>1</v>
      </c>
      <c r="K2098" s="1">
        <v>3394.98</v>
      </c>
      <c r="L2098" s="1">
        <v>15</v>
      </c>
      <c r="M2098" s="1">
        <v>509.25</v>
      </c>
      <c r="N2098" s="1">
        <v>2885.73</v>
      </c>
      <c r="O2098" s="1" t="s">
        <v>64</v>
      </c>
      <c r="P2098" s="1" t="s">
        <v>2454</v>
      </c>
      <c r="Q2098" s="1">
        <v>4</v>
      </c>
      <c r="R2098" s="1">
        <f>Retail_Sales_Analyis[[#This Row],[Final_Price]]-Retail_Sales_Analyis[[#This Row],[Total_Price]]</f>
        <v>-509.25</v>
      </c>
      <c r="S20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099" spans="1:19" x14ac:dyDescent="0.25">
      <c r="A2099" s="1" t="s">
        <v>3112</v>
      </c>
      <c r="B2099" s="2">
        <v>45316</v>
      </c>
      <c r="C2099" s="1" t="s">
        <v>36</v>
      </c>
      <c r="D2099" s="1" t="s">
        <v>67</v>
      </c>
      <c r="E2099" s="1" t="s">
        <v>107</v>
      </c>
      <c r="F2099" s="1" t="s">
        <v>21</v>
      </c>
      <c r="G2099" s="1" t="s">
        <v>22</v>
      </c>
      <c r="H2099" s="1" t="s">
        <v>133</v>
      </c>
      <c r="I2099" s="1">
        <v>642.02</v>
      </c>
      <c r="J2099" s="1">
        <v>9</v>
      </c>
      <c r="K2099" s="1">
        <v>5778.18</v>
      </c>
      <c r="L2099" s="1">
        <v>0</v>
      </c>
      <c r="M2099" s="1">
        <v>0</v>
      </c>
      <c r="N2099" s="1">
        <v>5778.18</v>
      </c>
      <c r="O2099" s="1" t="s">
        <v>80</v>
      </c>
      <c r="P2099" s="1" t="s">
        <v>2007</v>
      </c>
      <c r="Q2099" s="1">
        <v>4</v>
      </c>
      <c r="R2099" s="1">
        <f>Retail_Sales_Analyis[[#This Row],[Final_Price]]-Retail_Sales_Analyis[[#This Row],[Total_Price]]</f>
        <v>0</v>
      </c>
      <c r="S20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00" spans="1:19" x14ac:dyDescent="0.25">
      <c r="A2100" s="1" t="s">
        <v>3113</v>
      </c>
      <c r="B2100" s="2">
        <v>45627</v>
      </c>
      <c r="C2100" s="1" t="s">
        <v>73</v>
      </c>
      <c r="D2100" s="1" t="s">
        <v>49</v>
      </c>
      <c r="E2100" s="1" t="s">
        <v>83</v>
      </c>
      <c r="F2100" s="1" t="s">
        <v>69</v>
      </c>
      <c r="G2100" s="1" t="s">
        <v>57</v>
      </c>
      <c r="H2100" s="1" t="s">
        <v>122</v>
      </c>
      <c r="I2100" s="1">
        <v>2661.52</v>
      </c>
      <c r="J2100" s="1">
        <v>10</v>
      </c>
      <c r="K2100" s="1">
        <v>26615.200000000001</v>
      </c>
      <c r="L2100" s="1">
        <v>15</v>
      </c>
      <c r="M2100" s="1">
        <v>3992.28</v>
      </c>
      <c r="N2100" s="1">
        <v>22622.92</v>
      </c>
      <c r="O2100" s="1" t="s">
        <v>33</v>
      </c>
      <c r="P2100" s="1" t="s">
        <v>2821</v>
      </c>
      <c r="Q2100" s="1">
        <v>3</v>
      </c>
      <c r="R2100" s="1">
        <f>Retail_Sales_Analyis[[#This Row],[Final_Price]]-Retail_Sales_Analyis[[#This Row],[Total_Price]]</f>
        <v>-3992.2800000000025</v>
      </c>
      <c r="S21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01" spans="1:19" x14ac:dyDescent="0.25">
      <c r="A2101" s="1" t="s">
        <v>3114</v>
      </c>
      <c r="B2101" s="2">
        <v>45461</v>
      </c>
      <c r="C2101" s="1" t="s">
        <v>173</v>
      </c>
      <c r="D2101" s="1" t="s">
        <v>28</v>
      </c>
      <c r="E2101" s="1" t="s">
        <v>312</v>
      </c>
      <c r="F2101" s="1" t="s">
        <v>69</v>
      </c>
      <c r="G2101" s="1" t="s">
        <v>169</v>
      </c>
      <c r="H2101" s="1" t="s">
        <v>170</v>
      </c>
      <c r="I2101" s="1">
        <v>537.55999999999995</v>
      </c>
      <c r="J2101" s="1">
        <v>6</v>
      </c>
      <c r="K2101" s="1">
        <v>3225.36</v>
      </c>
      <c r="L2101" s="1">
        <v>20</v>
      </c>
      <c r="M2101" s="1">
        <v>645.07000000000005</v>
      </c>
      <c r="N2101" s="1">
        <v>2580.29</v>
      </c>
      <c r="O2101" s="1" t="s">
        <v>64</v>
      </c>
      <c r="P2101" s="1" t="s">
        <v>59</v>
      </c>
      <c r="Q2101" s="1">
        <v>1</v>
      </c>
      <c r="R2101" s="1">
        <f>Retail_Sales_Analyis[[#This Row],[Final_Price]]-Retail_Sales_Analyis[[#This Row],[Total_Price]]</f>
        <v>-645.07000000000016</v>
      </c>
      <c r="S21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02" spans="1:19" x14ac:dyDescent="0.25">
      <c r="A2102" s="1" t="s">
        <v>3115</v>
      </c>
      <c r="B2102" s="2">
        <v>45431</v>
      </c>
      <c r="C2102" s="1" t="s">
        <v>42</v>
      </c>
      <c r="D2102" s="1" t="s">
        <v>49</v>
      </c>
      <c r="E2102" s="1" t="s">
        <v>307</v>
      </c>
      <c r="F2102" s="1" t="s">
        <v>30</v>
      </c>
      <c r="G2102" s="1" t="s">
        <v>169</v>
      </c>
      <c r="H2102" s="1" t="s">
        <v>208</v>
      </c>
      <c r="I2102" s="1">
        <v>518.47</v>
      </c>
      <c r="J2102" s="1">
        <v>5</v>
      </c>
      <c r="K2102" s="1">
        <v>2592.35</v>
      </c>
      <c r="L2102" s="1">
        <v>10</v>
      </c>
      <c r="M2102" s="1">
        <v>259.24</v>
      </c>
      <c r="N2102" s="1">
        <v>2333.11</v>
      </c>
      <c r="O2102" s="1" t="s">
        <v>24</v>
      </c>
      <c r="P2102" s="1" t="s">
        <v>3116</v>
      </c>
      <c r="Q2102" s="1">
        <v>5</v>
      </c>
      <c r="R2102" s="1">
        <f>Retail_Sales_Analyis[[#This Row],[Final_Price]]-Retail_Sales_Analyis[[#This Row],[Total_Price]]</f>
        <v>-259.23999999999978</v>
      </c>
      <c r="S21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03" spans="1:19" x14ac:dyDescent="0.25">
      <c r="A2103" s="1" t="s">
        <v>3117</v>
      </c>
      <c r="B2103" s="2">
        <v>45355</v>
      </c>
      <c r="C2103" s="1" t="s">
        <v>61</v>
      </c>
      <c r="D2103" s="1" t="s">
        <v>43</v>
      </c>
      <c r="E2103" s="1" t="s">
        <v>77</v>
      </c>
      <c r="F2103" s="1" t="s">
        <v>21</v>
      </c>
      <c r="G2103" s="1" t="s">
        <v>112</v>
      </c>
      <c r="H2103" s="1" t="s">
        <v>223</v>
      </c>
      <c r="I2103" s="1">
        <v>754.57</v>
      </c>
      <c r="J2103" s="1">
        <v>5</v>
      </c>
      <c r="K2103" s="1">
        <v>3772.85</v>
      </c>
      <c r="L2103" s="1">
        <v>15</v>
      </c>
      <c r="M2103" s="1">
        <v>565.92999999999995</v>
      </c>
      <c r="N2103" s="1">
        <v>3206.92</v>
      </c>
      <c r="O2103" s="1" t="s">
        <v>46</v>
      </c>
      <c r="P2103" s="1" t="s">
        <v>3118</v>
      </c>
      <c r="Q2103" s="1">
        <v>2</v>
      </c>
      <c r="R2103" s="1">
        <f>Retail_Sales_Analyis[[#This Row],[Final_Price]]-Retail_Sales_Analyis[[#This Row],[Total_Price]]</f>
        <v>-565.92999999999984</v>
      </c>
      <c r="S21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04" spans="1:19" x14ac:dyDescent="0.25">
      <c r="A2104" s="1" t="s">
        <v>3119</v>
      </c>
      <c r="B2104" s="2">
        <v>45480</v>
      </c>
      <c r="C2104" s="1" t="s">
        <v>195</v>
      </c>
      <c r="D2104" s="1" t="s">
        <v>49</v>
      </c>
      <c r="E2104" s="1" t="s">
        <v>121</v>
      </c>
      <c r="F2104" s="1" t="s">
        <v>84</v>
      </c>
      <c r="G2104" s="1" t="s">
        <v>22</v>
      </c>
      <c r="H2104" s="1" t="s">
        <v>23</v>
      </c>
      <c r="I2104" s="1">
        <v>329.82</v>
      </c>
      <c r="J2104" s="1">
        <v>2</v>
      </c>
      <c r="K2104" s="1">
        <v>659.64</v>
      </c>
      <c r="L2104" s="1">
        <v>5</v>
      </c>
      <c r="M2104" s="1">
        <v>32.979999999999997</v>
      </c>
      <c r="N2104" s="1">
        <v>626.66</v>
      </c>
      <c r="O2104" s="1" t="s">
        <v>80</v>
      </c>
      <c r="P2104" s="1" t="s">
        <v>1873</v>
      </c>
      <c r="Q2104" s="1">
        <v>1</v>
      </c>
      <c r="R2104" s="1">
        <f>Retail_Sales_Analyis[[#This Row],[Final_Price]]-Retail_Sales_Analyis[[#This Row],[Total_Price]]</f>
        <v>-32.980000000000018</v>
      </c>
      <c r="S21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05" spans="1:19" x14ac:dyDescent="0.25">
      <c r="A2105" s="1" t="s">
        <v>3120</v>
      </c>
      <c r="B2105" s="2">
        <v>45515</v>
      </c>
      <c r="C2105" s="1" t="s">
        <v>93</v>
      </c>
      <c r="D2105" s="1" t="s">
        <v>49</v>
      </c>
      <c r="E2105" s="1" t="s">
        <v>337</v>
      </c>
      <c r="F2105" s="1" t="s">
        <v>69</v>
      </c>
      <c r="G2105" s="1" t="s">
        <v>22</v>
      </c>
      <c r="H2105" s="1" t="s">
        <v>187</v>
      </c>
      <c r="I2105" s="1">
        <v>481.93</v>
      </c>
      <c r="J2105" s="1">
        <v>8</v>
      </c>
      <c r="K2105" s="1">
        <v>3855.44</v>
      </c>
      <c r="L2105" s="1">
        <v>0</v>
      </c>
      <c r="M2105" s="1">
        <v>0</v>
      </c>
      <c r="N2105" s="1">
        <v>3855.44</v>
      </c>
      <c r="O2105" s="1" t="s">
        <v>33</v>
      </c>
      <c r="P2105" s="1" t="s">
        <v>1532</v>
      </c>
      <c r="Q2105" s="1">
        <v>4</v>
      </c>
      <c r="R2105" s="1">
        <f>Retail_Sales_Analyis[[#This Row],[Final_Price]]-Retail_Sales_Analyis[[#This Row],[Total_Price]]</f>
        <v>0</v>
      </c>
      <c r="S21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06" spans="1:19" x14ac:dyDescent="0.25">
      <c r="A2106" s="1" t="s">
        <v>3121</v>
      </c>
      <c r="B2106" s="2">
        <v>45496</v>
      </c>
      <c r="C2106" s="1" t="s">
        <v>195</v>
      </c>
      <c r="D2106" s="1" t="s">
        <v>28</v>
      </c>
      <c r="E2106" s="1" t="s">
        <v>196</v>
      </c>
      <c r="F2106" s="1" t="s">
        <v>30</v>
      </c>
      <c r="G2106" s="1" t="s">
        <v>31</v>
      </c>
      <c r="H2106" s="1" t="s">
        <v>63</v>
      </c>
      <c r="I2106" s="1">
        <v>79.83</v>
      </c>
      <c r="J2106" s="1">
        <v>10</v>
      </c>
      <c r="K2106" s="1">
        <v>798.3</v>
      </c>
      <c r="L2106" s="1">
        <v>15</v>
      </c>
      <c r="M2106" s="1">
        <v>119.74</v>
      </c>
      <c r="N2106" s="1">
        <v>678.56</v>
      </c>
      <c r="O2106" s="1" t="s">
        <v>24</v>
      </c>
      <c r="P2106" s="1" t="s">
        <v>385</v>
      </c>
      <c r="Q2106" s="1">
        <v>2</v>
      </c>
      <c r="R2106" s="1">
        <f>Retail_Sales_Analyis[[#This Row],[Final_Price]]-Retail_Sales_Analyis[[#This Row],[Total_Price]]</f>
        <v>-119.74000000000001</v>
      </c>
      <c r="S21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07" spans="1:19" x14ac:dyDescent="0.25">
      <c r="A2107" s="1" t="s">
        <v>3122</v>
      </c>
      <c r="B2107" s="2">
        <v>45517</v>
      </c>
      <c r="C2107" s="1" t="s">
        <v>93</v>
      </c>
      <c r="D2107" s="1" t="s">
        <v>28</v>
      </c>
      <c r="E2107" s="1" t="s">
        <v>107</v>
      </c>
      <c r="F2107" s="1" t="s">
        <v>69</v>
      </c>
      <c r="G2107" s="1" t="s">
        <v>85</v>
      </c>
      <c r="H2107" s="1" t="s">
        <v>297</v>
      </c>
      <c r="I2107" s="1">
        <v>2287.42</v>
      </c>
      <c r="J2107" s="1">
        <v>2</v>
      </c>
      <c r="K2107" s="1">
        <v>4574.84</v>
      </c>
      <c r="L2107" s="1">
        <v>20</v>
      </c>
      <c r="M2107" s="1">
        <v>914.97</v>
      </c>
      <c r="N2107" s="1">
        <v>3659.87</v>
      </c>
      <c r="O2107" s="1" t="s">
        <v>33</v>
      </c>
      <c r="P2107" s="1" t="s">
        <v>2381</v>
      </c>
      <c r="Q2107" s="1">
        <v>3</v>
      </c>
      <c r="R2107" s="1">
        <f>Retail_Sales_Analyis[[#This Row],[Final_Price]]-Retail_Sales_Analyis[[#This Row],[Total_Price]]</f>
        <v>-914.97000000000025</v>
      </c>
      <c r="S21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08" spans="1:19" x14ac:dyDescent="0.25">
      <c r="A2108" s="1" t="s">
        <v>3123</v>
      </c>
      <c r="B2108" s="2">
        <v>45489</v>
      </c>
      <c r="C2108" s="1" t="s">
        <v>195</v>
      </c>
      <c r="D2108" s="1" t="s">
        <v>28</v>
      </c>
      <c r="E2108" s="1" t="s">
        <v>20</v>
      </c>
      <c r="F2108" s="1" t="s">
        <v>84</v>
      </c>
      <c r="G2108" s="1" t="s">
        <v>112</v>
      </c>
      <c r="H2108" s="1" t="s">
        <v>288</v>
      </c>
      <c r="I2108" s="1">
        <v>1891.62</v>
      </c>
      <c r="J2108" s="1">
        <v>4</v>
      </c>
      <c r="K2108" s="1">
        <v>7566.48</v>
      </c>
      <c r="L2108" s="1">
        <v>0</v>
      </c>
      <c r="M2108" s="1">
        <v>0</v>
      </c>
      <c r="N2108" s="1">
        <v>7566.48</v>
      </c>
      <c r="O2108" s="1" t="s">
        <v>46</v>
      </c>
      <c r="P2108" s="1" t="s">
        <v>1100</v>
      </c>
      <c r="Q2108" s="1">
        <v>1</v>
      </c>
      <c r="R2108" s="1">
        <f>Retail_Sales_Analyis[[#This Row],[Final_Price]]-Retail_Sales_Analyis[[#This Row],[Total_Price]]</f>
        <v>0</v>
      </c>
      <c r="S21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09" spans="1:19" x14ac:dyDescent="0.25">
      <c r="A2109" s="1" t="s">
        <v>3124</v>
      </c>
      <c r="B2109" s="2">
        <v>45465</v>
      </c>
      <c r="C2109" s="1" t="s">
        <v>173</v>
      </c>
      <c r="D2109" s="1" t="s">
        <v>19</v>
      </c>
      <c r="E2109" s="1" t="s">
        <v>141</v>
      </c>
      <c r="F2109" s="1" t="s">
        <v>21</v>
      </c>
      <c r="G2109" s="1" t="s">
        <v>38</v>
      </c>
      <c r="H2109" s="1" t="s">
        <v>214</v>
      </c>
      <c r="I2109" s="1">
        <v>297.45</v>
      </c>
      <c r="J2109" s="1">
        <v>4</v>
      </c>
      <c r="K2109" s="1">
        <v>1189.8</v>
      </c>
      <c r="L2109" s="1">
        <v>15</v>
      </c>
      <c r="M2109" s="1">
        <v>178.47</v>
      </c>
      <c r="N2109" s="1">
        <v>1011.33</v>
      </c>
      <c r="O2109" s="1" t="s">
        <v>24</v>
      </c>
      <c r="P2109" s="1" t="s">
        <v>1877</v>
      </c>
      <c r="Q2109" s="1">
        <v>5</v>
      </c>
      <c r="R2109" s="1">
        <f>Retail_Sales_Analyis[[#This Row],[Final_Price]]-Retail_Sales_Analyis[[#This Row],[Total_Price]]</f>
        <v>-178.46999999999991</v>
      </c>
      <c r="S21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10" spans="1:19" x14ac:dyDescent="0.25">
      <c r="A2110" s="1" t="s">
        <v>3125</v>
      </c>
      <c r="B2110" s="2">
        <v>45387</v>
      </c>
      <c r="C2110" s="1" t="s">
        <v>54</v>
      </c>
      <c r="D2110" s="1" t="s">
        <v>144</v>
      </c>
      <c r="E2110" s="1" t="s">
        <v>337</v>
      </c>
      <c r="F2110" s="1" t="s">
        <v>37</v>
      </c>
      <c r="G2110" s="1" t="s">
        <v>85</v>
      </c>
      <c r="H2110" s="1" t="s">
        <v>180</v>
      </c>
      <c r="I2110" s="1">
        <v>3167.32</v>
      </c>
      <c r="J2110" s="1">
        <v>5</v>
      </c>
      <c r="K2110" s="1">
        <v>15836.6</v>
      </c>
      <c r="L2110" s="1">
        <v>10</v>
      </c>
      <c r="M2110" s="1">
        <v>1583.66</v>
      </c>
      <c r="N2110" s="1">
        <v>14252.94</v>
      </c>
      <c r="O2110" s="1" t="s">
        <v>24</v>
      </c>
      <c r="P2110" s="1" t="s">
        <v>1722</v>
      </c>
      <c r="Q2110" s="1">
        <v>2</v>
      </c>
      <c r="R2110" s="1">
        <f>Retail_Sales_Analyis[[#This Row],[Final_Price]]-Retail_Sales_Analyis[[#This Row],[Total_Price]]</f>
        <v>-1583.6599999999999</v>
      </c>
      <c r="S21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11" spans="1:19" x14ac:dyDescent="0.25">
      <c r="A2111" s="1" t="s">
        <v>3126</v>
      </c>
      <c r="B2111" s="2">
        <v>45546</v>
      </c>
      <c r="C2111" s="1" t="s">
        <v>116</v>
      </c>
      <c r="D2111" s="1" t="s">
        <v>55</v>
      </c>
      <c r="E2111" s="1" t="s">
        <v>125</v>
      </c>
      <c r="F2111" s="1" t="s">
        <v>37</v>
      </c>
      <c r="G2111" s="1" t="s">
        <v>169</v>
      </c>
      <c r="H2111" s="1" t="s">
        <v>348</v>
      </c>
      <c r="I2111" s="1">
        <v>1020.82</v>
      </c>
      <c r="J2111" s="1">
        <v>2</v>
      </c>
      <c r="K2111" s="1">
        <v>2041.64</v>
      </c>
      <c r="L2111" s="1">
        <v>20</v>
      </c>
      <c r="M2111" s="1">
        <v>408.33</v>
      </c>
      <c r="N2111" s="1">
        <v>1633.31</v>
      </c>
      <c r="O2111" s="1" t="s">
        <v>24</v>
      </c>
      <c r="P2111" s="1" t="s">
        <v>1452</v>
      </c>
      <c r="Q2111" s="1">
        <v>3</v>
      </c>
      <c r="R2111" s="1">
        <f>Retail_Sales_Analyis[[#This Row],[Final_Price]]-Retail_Sales_Analyis[[#This Row],[Total_Price]]</f>
        <v>-408.33000000000015</v>
      </c>
      <c r="S211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2" spans="1:19" x14ac:dyDescent="0.25">
      <c r="A2112" s="1" t="s">
        <v>3127</v>
      </c>
      <c r="B2112" s="2">
        <v>45646</v>
      </c>
      <c r="C2112" s="1" t="s">
        <v>73</v>
      </c>
      <c r="D2112" s="1" t="s">
        <v>144</v>
      </c>
      <c r="E2112" s="1" t="s">
        <v>121</v>
      </c>
      <c r="F2112" s="1" t="s">
        <v>30</v>
      </c>
      <c r="G2112" s="1" t="s">
        <v>169</v>
      </c>
      <c r="H2112" s="1" t="s">
        <v>175</v>
      </c>
      <c r="I2112" s="1">
        <v>1393.91</v>
      </c>
      <c r="J2112" s="1">
        <v>7</v>
      </c>
      <c r="K2112" s="1">
        <v>9757.3700000000008</v>
      </c>
      <c r="L2112" s="1">
        <v>5</v>
      </c>
      <c r="M2112" s="1">
        <v>487.87</v>
      </c>
      <c r="N2112" s="1">
        <v>9269.5</v>
      </c>
      <c r="O2112" s="1" t="s">
        <v>46</v>
      </c>
      <c r="P2112" s="1" t="s">
        <v>3055</v>
      </c>
      <c r="Q2112" s="1">
        <v>5</v>
      </c>
      <c r="R2112" s="1">
        <f>Retail_Sales_Analyis[[#This Row],[Final_Price]]-Retail_Sales_Analyis[[#This Row],[Total_Price]]</f>
        <v>-487.8700000000008</v>
      </c>
      <c r="S21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13" spans="1:19" x14ac:dyDescent="0.25">
      <c r="A2113" s="1" t="s">
        <v>3128</v>
      </c>
      <c r="B2113" s="2">
        <v>45546</v>
      </c>
      <c r="C2113" s="1" t="s">
        <v>116</v>
      </c>
      <c r="D2113" s="1" t="s">
        <v>55</v>
      </c>
      <c r="E2113" s="1" t="s">
        <v>351</v>
      </c>
      <c r="F2113" s="1" t="s">
        <v>84</v>
      </c>
      <c r="G2113" s="1" t="s">
        <v>57</v>
      </c>
      <c r="H2113" s="1" t="s">
        <v>101</v>
      </c>
      <c r="I2113" s="1">
        <v>2069.69</v>
      </c>
      <c r="J2113" s="1">
        <v>10</v>
      </c>
      <c r="K2113" s="1">
        <v>20696.900000000001</v>
      </c>
      <c r="L2113" s="1">
        <v>20</v>
      </c>
      <c r="M2113" s="1">
        <v>4139.38</v>
      </c>
      <c r="N2113" s="1">
        <v>16557.52</v>
      </c>
      <c r="O2113" s="1" t="s">
        <v>46</v>
      </c>
      <c r="P2113" s="1" t="s">
        <v>1172</v>
      </c>
      <c r="Q2113" s="1">
        <v>2</v>
      </c>
      <c r="R2113" s="1">
        <f>Retail_Sales_Analyis[[#This Row],[Final_Price]]-Retail_Sales_Analyis[[#This Row],[Total_Price]]</f>
        <v>-4139.380000000001</v>
      </c>
      <c r="S21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4" spans="1:19" x14ac:dyDescent="0.25">
      <c r="A2114" s="1" t="s">
        <v>3129</v>
      </c>
      <c r="B2114" s="2">
        <v>45480</v>
      </c>
      <c r="C2114" s="1" t="s">
        <v>195</v>
      </c>
      <c r="D2114" s="1" t="s">
        <v>49</v>
      </c>
      <c r="E2114" s="1" t="s">
        <v>261</v>
      </c>
      <c r="F2114" s="1" t="s">
        <v>30</v>
      </c>
      <c r="G2114" s="1" t="s">
        <v>169</v>
      </c>
      <c r="H2114" s="1" t="s">
        <v>208</v>
      </c>
      <c r="I2114" s="1">
        <v>691.02</v>
      </c>
      <c r="J2114" s="1">
        <v>2</v>
      </c>
      <c r="K2114" s="1">
        <v>1382.04</v>
      </c>
      <c r="L2114" s="1">
        <v>20</v>
      </c>
      <c r="M2114" s="1">
        <v>276.41000000000003</v>
      </c>
      <c r="N2114" s="1">
        <v>1105.6300000000001</v>
      </c>
      <c r="O2114" s="1" t="s">
        <v>46</v>
      </c>
      <c r="P2114" s="1" t="s">
        <v>1350</v>
      </c>
      <c r="Q2114" s="1">
        <v>4</v>
      </c>
      <c r="R2114" s="1">
        <f>Retail_Sales_Analyis[[#This Row],[Final_Price]]-Retail_Sales_Analyis[[#This Row],[Total_Price]]</f>
        <v>-276.40999999999985</v>
      </c>
      <c r="S21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5" spans="1:19" x14ac:dyDescent="0.25">
      <c r="A2115" s="1" t="s">
        <v>3130</v>
      </c>
      <c r="B2115" s="2">
        <v>45557</v>
      </c>
      <c r="C2115" s="1" t="s">
        <v>116</v>
      </c>
      <c r="D2115" s="1" t="s">
        <v>49</v>
      </c>
      <c r="E2115" s="1" t="s">
        <v>166</v>
      </c>
      <c r="F2115" s="1" t="s">
        <v>69</v>
      </c>
      <c r="G2115" s="1" t="s">
        <v>85</v>
      </c>
      <c r="H2115" s="1" t="s">
        <v>86</v>
      </c>
      <c r="I2115" s="1">
        <v>3022.26</v>
      </c>
      <c r="J2115" s="1">
        <v>10</v>
      </c>
      <c r="K2115" s="1">
        <v>30222.6</v>
      </c>
      <c r="L2115" s="1">
        <v>20</v>
      </c>
      <c r="M2115" s="1">
        <v>6044.52</v>
      </c>
      <c r="N2115" s="1">
        <v>24178.080000000002</v>
      </c>
      <c r="O2115" s="1" t="s">
        <v>33</v>
      </c>
      <c r="P2115" s="1" t="s">
        <v>2044</v>
      </c>
      <c r="Q2115" s="1">
        <v>1</v>
      </c>
      <c r="R2115" s="1">
        <f>Retail_Sales_Analyis[[#This Row],[Final_Price]]-Retail_Sales_Analyis[[#This Row],[Total_Price]]</f>
        <v>-6044.5199999999968</v>
      </c>
      <c r="S21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6" spans="1:19" x14ac:dyDescent="0.25">
      <c r="A2116" s="1" t="s">
        <v>3131</v>
      </c>
      <c r="B2116" s="2">
        <v>45428</v>
      </c>
      <c r="C2116" s="1" t="s">
        <v>42</v>
      </c>
      <c r="D2116" s="1" t="s">
        <v>67</v>
      </c>
      <c r="E2116" s="1" t="s">
        <v>312</v>
      </c>
      <c r="F2116" s="1" t="s">
        <v>69</v>
      </c>
      <c r="G2116" s="1" t="s">
        <v>78</v>
      </c>
      <c r="H2116" s="1" t="s">
        <v>323</v>
      </c>
      <c r="I2116" s="1">
        <v>485.01</v>
      </c>
      <c r="J2116" s="1">
        <v>2</v>
      </c>
      <c r="K2116" s="1">
        <v>970.02</v>
      </c>
      <c r="L2116" s="1">
        <v>0</v>
      </c>
      <c r="M2116" s="1">
        <v>0</v>
      </c>
      <c r="N2116" s="1">
        <v>970.02</v>
      </c>
      <c r="O2116" s="1" t="s">
        <v>80</v>
      </c>
      <c r="P2116" s="1" t="s">
        <v>1633</v>
      </c>
      <c r="Q2116" s="1">
        <v>1</v>
      </c>
      <c r="R2116" s="1">
        <f>Retail_Sales_Analyis[[#This Row],[Final_Price]]-Retail_Sales_Analyis[[#This Row],[Total_Price]]</f>
        <v>0</v>
      </c>
      <c r="S21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17" spans="1:19" x14ac:dyDescent="0.25">
      <c r="A2117" s="1" t="s">
        <v>3132</v>
      </c>
      <c r="B2117" s="2">
        <v>45334</v>
      </c>
      <c r="C2117" s="1" t="s">
        <v>27</v>
      </c>
      <c r="D2117" s="1" t="s">
        <v>43</v>
      </c>
      <c r="E2117" s="1" t="s">
        <v>213</v>
      </c>
      <c r="F2117" s="1" t="s">
        <v>37</v>
      </c>
      <c r="G2117" s="1" t="s">
        <v>169</v>
      </c>
      <c r="H2117" s="1" t="s">
        <v>366</v>
      </c>
      <c r="I2117" s="1">
        <v>581.04999999999995</v>
      </c>
      <c r="J2117" s="1">
        <v>6</v>
      </c>
      <c r="K2117" s="1">
        <v>3486.3</v>
      </c>
      <c r="L2117" s="1">
        <v>20</v>
      </c>
      <c r="M2117" s="1">
        <v>697.26</v>
      </c>
      <c r="N2117" s="1">
        <v>2789.04</v>
      </c>
      <c r="O2117" s="1" t="s">
        <v>80</v>
      </c>
      <c r="P2117" s="1" t="s">
        <v>2988</v>
      </c>
      <c r="Q2117" s="1">
        <v>4</v>
      </c>
      <c r="R2117" s="1">
        <f>Retail_Sales_Analyis[[#This Row],[Final_Price]]-Retail_Sales_Analyis[[#This Row],[Total_Price]]</f>
        <v>-697.26000000000022</v>
      </c>
      <c r="S21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8" spans="1:19" x14ac:dyDescent="0.25">
      <c r="A2118" s="1" t="s">
        <v>3133</v>
      </c>
      <c r="B2118" s="2">
        <v>45509</v>
      </c>
      <c r="C2118" s="1" t="s">
        <v>93</v>
      </c>
      <c r="D2118" s="1" t="s">
        <v>43</v>
      </c>
      <c r="E2118" s="1" t="s">
        <v>236</v>
      </c>
      <c r="F2118" s="1" t="s">
        <v>21</v>
      </c>
      <c r="G2118" s="1" t="s">
        <v>78</v>
      </c>
      <c r="H2118" s="1" t="s">
        <v>323</v>
      </c>
      <c r="I2118" s="1">
        <v>219.64</v>
      </c>
      <c r="J2118" s="1">
        <v>1</v>
      </c>
      <c r="K2118" s="1">
        <v>219.64</v>
      </c>
      <c r="L2118" s="1">
        <v>20</v>
      </c>
      <c r="M2118" s="1">
        <v>43.93</v>
      </c>
      <c r="N2118" s="1">
        <v>175.71</v>
      </c>
      <c r="O2118" s="1" t="s">
        <v>80</v>
      </c>
      <c r="P2118" s="1" t="s">
        <v>403</v>
      </c>
      <c r="Q2118" s="1">
        <v>4</v>
      </c>
      <c r="R2118" s="1">
        <f>Retail_Sales_Analyis[[#This Row],[Final_Price]]-Retail_Sales_Analyis[[#This Row],[Total_Price]]</f>
        <v>-43.929999999999978</v>
      </c>
      <c r="S21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19" spans="1:19" x14ac:dyDescent="0.25">
      <c r="A2119" s="1" t="s">
        <v>3134</v>
      </c>
      <c r="B2119" s="2">
        <v>45332</v>
      </c>
      <c r="C2119" s="1" t="s">
        <v>27</v>
      </c>
      <c r="D2119" s="1" t="s">
        <v>19</v>
      </c>
      <c r="E2119" s="1" t="s">
        <v>302</v>
      </c>
      <c r="F2119" s="1" t="s">
        <v>69</v>
      </c>
      <c r="G2119" s="1" t="s">
        <v>22</v>
      </c>
      <c r="H2119" s="1" t="s">
        <v>133</v>
      </c>
      <c r="I2119" s="1">
        <v>322.81</v>
      </c>
      <c r="J2119" s="1">
        <v>5</v>
      </c>
      <c r="K2119" s="1">
        <v>1614.05</v>
      </c>
      <c r="L2119" s="1">
        <v>5</v>
      </c>
      <c r="M2119" s="1">
        <v>80.7</v>
      </c>
      <c r="N2119" s="1">
        <v>1533.35</v>
      </c>
      <c r="O2119" s="1" t="s">
        <v>46</v>
      </c>
      <c r="P2119" s="1" t="s">
        <v>882</v>
      </c>
      <c r="Q2119" s="1">
        <v>3</v>
      </c>
      <c r="R2119" s="1">
        <f>Retail_Sales_Analyis[[#This Row],[Final_Price]]-Retail_Sales_Analyis[[#This Row],[Total_Price]]</f>
        <v>-80.700000000000045</v>
      </c>
      <c r="S21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20" spans="1:19" x14ac:dyDescent="0.25">
      <c r="A2120" s="1" t="s">
        <v>3135</v>
      </c>
      <c r="B2120" s="2">
        <v>45512</v>
      </c>
      <c r="C2120" s="1" t="s">
        <v>93</v>
      </c>
      <c r="D2120" s="1" t="s">
        <v>67</v>
      </c>
      <c r="E2120" s="1" t="s">
        <v>145</v>
      </c>
      <c r="F2120" s="1" t="s">
        <v>37</v>
      </c>
      <c r="G2120" s="1" t="s">
        <v>85</v>
      </c>
      <c r="H2120" s="1" t="s">
        <v>297</v>
      </c>
      <c r="I2120" s="1">
        <v>2432.41</v>
      </c>
      <c r="J2120" s="1">
        <v>8</v>
      </c>
      <c r="K2120" s="1">
        <v>19459.28</v>
      </c>
      <c r="L2120" s="1">
        <v>0</v>
      </c>
      <c r="M2120" s="1">
        <v>0</v>
      </c>
      <c r="N2120" s="1">
        <v>19459.28</v>
      </c>
      <c r="O2120" s="1" t="s">
        <v>24</v>
      </c>
      <c r="P2120" s="1" t="s">
        <v>1755</v>
      </c>
      <c r="Q2120" s="1">
        <v>4</v>
      </c>
      <c r="R2120" s="1">
        <f>Retail_Sales_Analyis[[#This Row],[Final_Price]]-Retail_Sales_Analyis[[#This Row],[Total_Price]]</f>
        <v>0</v>
      </c>
      <c r="S21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21" spans="1:19" x14ac:dyDescent="0.25">
      <c r="A2121" s="1" t="s">
        <v>3136</v>
      </c>
      <c r="B2121" s="2">
        <v>45600</v>
      </c>
      <c r="C2121" s="1" t="s">
        <v>18</v>
      </c>
      <c r="D2121" s="1" t="s">
        <v>43</v>
      </c>
      <c r="E2121" s="1" t="s">
        <v>20</v>
      </c>
      <c r="F2121" s="1" t="s">
        <v>21</v>
      </c>
      <c r="G2121" s="1" t="s">
        <v>31</v>
      </c>
      <c r="H2121" s="1" t="s">
        <v>329</v>
      </c>
      <c r="I2121" s="1">
        <v>212.74</v>
      </c>
      <c r="J2121" s="1">
        <v>5</v>
      </c>
      <c r="K2121" s="1">
        <v>1063.7</v>
      </c>
      <c r="L2121" s="1">
        <v>20</v>
      </c>
      <c r="M2121" s="1">
        <v>212.74</v>
      </c>
      <c r="N2121" s="1">
        <v>850.96</v>
      </c>
      <c r="O2121" s="1" t="s">
        <v>33</v>
      </c>
      <c r="P2121" s="1" t="s">
        <v>2629</v>
      </c>
      <c r="Q2121" s="1">
        <v>5</v>
      </c>
      <c r="R2121" s="1">
        <f>Retail_Sales_Analyis[[#This Row],[Final_Price]]-Retail_Sales_Analyis[[#This Row],[Total_Price]]</f>
        <v>-212.74</v>
      </c>
      <c r="S21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22" spans="1:19" x14ac:dyDescent="0.25">
      <c r="A2122" s="1" t="s">
        <v>3137</v>
      </c>
      <c r="B2122" s="2">
        <v>45384</v>
      </c>
      <c r="C2122" s="1" t="s">
        <v>54</v>
      </c>
      <c r="D2122" s="1" t="s">
        <v>28</v>
      </c>
      <c r="E2122" s="1" t="s">
        <v>337</v>
      </c>
      <c r="F2122" s="1" t="s">
        <v>21</v>
      </c>
      <c r="G2122" s="1" t="s">
        <v>112</v>
      </c>
      <c r="H2122" s="1" t="s">
        <v>113</v>
      </c>
      <c r="I2122" s="1">
        <v>646.54999999999995</v>
      </c>
      <c r="J2122" s="1">
        <v>6</v>
      </c>
      <c r="K2122" s="1">
        <v>3879.3</v>
      </c>
      <c r="L2122" s="1">
        <v>0</v>
      </c>
      <c r="M2122" s="1">
        <v>0</v>
      </c>
      <c r="N2122" s="1">
        <v>3879.3</v>
      </c>
      <c r="O2122" s="1" t="s">
        <v>64</v>
      </c>
      <c r="P2122" s="1" t="s">
        <v>682</v>
      </c>
      <c r="Q2122" s="1">
        <v>5</v>
      </c>
      <c r="R2122" s="1">
        <f>Retail_Sales_Analyis[[#This Row],[Final_Price]]-Retail_Sales_Analyis[[#This Row],[Total_Price]]</f>
        <v>0</v>
      </c>
      <c r="S21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23" spans="1:19" x14ac:dyDescent="0.25">
      <c r="A2123" s="1" t="s">
        <v>3138</v>
      </c>
      <c r="B2123" s="2">
        <v>45571</v>
      </c>
      <c r="C2123" s="1" t="s">
        <v>76</v>
      </c>
      <c r="D2123" s="1" t="s">
        <v>49</v>
      </c>
      <c r="E2123" s="1" t="s">
        <v>104</v>
      </c>
      <c r="F2123" s="1" t="s">
        <v>21</v>
      </c>
      <c r="G2123" s="1" t="s">
        <v>31</v>
      </c>
      <c r="H2123" s="1" t="s">
        <v>63</v>
      </c>
      <c r="I2123" s="1">
        <v>419.6</v>
      </c>
      <c r="J2123" s="1">
        <v>5</v>
      </c>
      <c r="K2123" s="1">
        <v>2098</v>
      </c>
      <c r="L2123" s="1">
        <v>10</v>
      </c>
      <c r="M2123" s="1">
        <v>209.8</v>
      </c>
      <c r="N2123" s="1">
        <v>1888.2</v>
      </c>
      <c r="O2123" s="1" t="s">
        <v>46</v>
      </c>
      <c r="P2123" s="1" t="s">
        <v>3139</v>
      </c>
      <c r="Q2123" s="1">
        <v>4</v>
      </c>
      <c r="R2123" s="1">
        <f>Retail_Sales_Analyis[[#This Row],[Final_Price]]-Retail_Sales_Analyis[[#This Row],[Total_Price]]</f>
        <v>-209.79999999999995</v>
      </c>
      <c r="S21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24" spans="1:19" x14ac:dyDescent="0.25">
      <c r="A2124" s="1" t="s">
        <v>3140</v>
      </c>
      <c r="B2124" s="2">
        <v>45442</v>
      </c>
      <c r="C2124" s="1" t="s">
        <v>42</v>
      </c>
      <c r="D2124" s="1" t="s">
        <v>67</v>
      </c>
      <c r="E2124" s="1" t="s">
        <v>207</v>
      </c>
      <c r="F2124" s="1" t="s">
        <v>21</v>
      </c>
      <c r="G2124" s="1" t="s">
        <v>112</v>
      </c>
      <c r="H2124" s="1" t="s">
        <v>113</v>
      </c>
      <c r="I2124" s="1">
        <v>1343.93</v>
      </c>
      <c r="J2124" s="1">
        <v>6</v>
      </c>
      <c r="K2124" s="1">
        <v>8063.58</v>
      </c>
      <c r="L2124" s="1">
        <v>0</v>
      </c>
      <c r="M2124" s="1">
        <v>0</v>
      </c>
      <c r="N2124" s="1">
        <v>8063.58</v>
      </c>
      <c r="O2124" s="1" t="s">
        <v>33</v>
      </c>
      <c r="P2124" s="1" t="s">
        <v>857</v>
      </c>
      <c r="Q2124" s="1">
        <v>5</v>
      </c>
      <c r="R2124" s="1">
        <f>Retail_Sales_Analyis[[#This Row],[Final_Price]]-Retail_Sales_Analyis[[#This Row],[Total_Price]]</f>
        <v>0</v>
      </c>
      <c r="S21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25" spans="1:19" x14ac:dyDescent="0.25">
      <c r="A2125" s="1" t="s">
        <v>3141</v>
      </c>
      <c r="B2125" s="2">
        <v>45456</v>
      </c>
      <c r="C2125" s="1" t="s">
        <v>173</v>
      </c>
      <c r="D2125" s="1" t="s">
        <v>67</v>
      </c>
      <c r="E2125" s="1" t="s">
        <v>302</v>
      </c>
      <c r="F2125" s="1" t="s">
        <v>30</v>
      </c>
      <c r="G2125" s="1" t="s">
        <v>31</v>
      </c>
      <c r="H2125" s="1" t="s">
        <v>250</v>
      </c>
      <c r="I2125" s="1">
        <v>299.75</v>
      </c>
      <c r="J2125" s="1">
        <v>5</v>
      </c>
      <c r="K2125" s="1">
        <v>1498.75</v>
      </c>
      <c r="L2125" s="1">
        <v>0</v>
      </c>
      <c r="M2125" s="1">
        <v>0</v>
      </c>
      <c r="N2125" s="1">
        <v>1498.75</v>
      </c>
      <c r="O2125" s="1" t="s">
        <v>33</v>
      </c>
      <c r="P2125" s="1" t="s">
        <v>3016</v>
      </c>
      <c r="Q2125" s="1">
        <v>4</v>
      </c>
      <c r="R2125" s="1">
        <f>Retail_Sales_Analyis[[#This Row],[Final_Price]]-Retail_Sales_Analyis[[#This Row],[Total_Price]]</f>
        <v>0</v>
      </c>
      <c r="S21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26" spans="1:19" x14ac:dyDescent="0.25">
      <c r="A2126" s="1" t="s">
        <v>3142</v>
      </c>
      <c r="B2126" s="2">
        <v>45344</v>
      </c>
      <c r="C2126" s="1" t="s">
        <v>27</v>
      </c>
      <c r="D2126" s="1" t="s">
        <v>67</v>
      </c>
      <c r="E2126" s="1" t="s">
        <v>83</v>
      </c>
      <c r="F2126" s="1" t="s">
        <v>37</v>
      </c>
      <c r="G2126" s="1" t="s">
        <v>112</v>
      </c>
      <c r="H2126" s="1" t="s">
        <v>288</v>
      </c>
      <c r="I2126" s="1">
        <v>1479.05</v>
      </c>
      <c r="J2126" s="1">
        <v>7</v>
      </c>
      <c r="K2126" s="1">
        <v>10353.35</v>
      </c>
      <c r="L2126" s="1">
        <v>15</v>
      </c>
      <c r="M2126" s="1">
        <v>1553</v>
      </c>
      <c r="N2126" s="1">
        <v>8800.35</v>
      </c>
      <c r="O2126" s="1" t="s">
        <v>64</v>
      </c>
      <c r="P2126" s="1" t="s">
        <v>807</v>
      </c>
      <c r="Q2126" s="1">
        <v>2</v>
      </c>
      <c r="R2126" s="1">
        <f>Retail_Sales_Analyis[[#This Row],[Final_Price]]-Retail_Sales_Analyis[[#This Row],[Total_Price]]</f>
        <v>-1553</v>
      </c>
      <c r="S21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27" spans="1:19" x14ac:dyDescent="0.25">
      <c r="A2127" s="1" t="s">
        <v>3143</v>
      </c>
      <c r="B2127" s="2">
        <v>45332</v>
      </c>
      <c r="C2127" s="1" t="s">
        <v>27</v>
      </c>
      <c r="D2127" s="1" t="s">
        <v>19</v>
      </c>
      <c r="E2127" s="1" t="s">
        <v>168</v>
      </c>
      <c r="F2127" s="1" t="s">
        <v>21</v>
      </c>
      <c r="G2127" s="1" t="s">
        <v>57</v>
      </c>
      <c r="H2127" s="1" t="s">
        <v>158</v>
      </c>
      <c r="I2127" s="1">
        <v>783.09</v>
      </c>
      <c r="J2127" s="1">
        <v>9</v>
      </c>
      <c r="K2127" s="1">
        <v>7047.81</v>
      </c>
      <c r="L2127" s="1">
        <v>5</v>
      </c>
      <c r="M2127" s="1">
        <v>352.39</v>
      </c>
      <c r="N2127" s="1">
        <v>6695.42</v>
      </c>
      <c r="O2127" s="1" t="s">
        <v>33</v>
      </c>
      <c r="P2127" s="1" t="s">
        <v>171</v>
      </c>
      <c r="Q2127" s="1">
        <v>4</v>
      </c>
      <c r="R2127" s="1">
        <f>Retail_Sales_Analyis[[#This Row],[Final_Price]]-Retail_Sales_Analyis[[#This Row],[Total_Price]]</f>
        <v>-352.39000000000033</v>
      </c>
      <c r="S21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28" spans="1:19" x14ac:dyDescent="0.25">
      <c r="A2128" s="1" t="s">
        <v>3144</v>
      </c>
      <c r="B2128" s="2">
        <v>45459</v>
      </c>
      <c r="C2128" s="1" t="s">
        <v>173</v>
      </c>
      <c r="D2128" s="1" t="s">
        <v>49</v>
      </c>
      <c r="E2128" s="1" t="s">
        <v>89</v>
      </c>
      <c r="F2128" s="1" t="s">
        <v>37</v>
      </c>
      <c r="G2128" s="1" t="s">
        <v>85</v>
      </c>
      <c r="H2128" s="1" t="s">
        <v>98</v>
      </c>
      <c r="I2128" s="1">
        <v>4572.47</v>
      </c>
      <c r="J2128" s="1">
        <v>7</v>
      </c>
      <c r="K2128" s="1">
        <v>32007.29</v>
      </c>
      <c r="L2128" s="1">
        <v>15</v>
      </c>
      <c r="M2128" s="1">
        <v>4801.09</v>
      </c>
      <c r="N2128" s="1">
        <v>27206.2</v>
      </c>
      <c r="O2128" s="1" t="s">
        <v>80</v>
      </c>
      <c r="P2128" s="1" t="s">
        <v>3145</v>
      </c>
      <c r="Q2128" s="1">
        <v>4</v>
      </c>
      <c r="R2128" s="1">
        <f>Retail_Sales_Analyis[[#This Row],[Final_Price]]-Retail_Sales_Analyis[[#This Row],[Total_Price]]</f>
        <v>-4801.09</v>
      </c>
      <c r="S21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29" spans="1:19" x14ac:dyDescent="0.25">
      <c r="A2129" s="1" t="s">
        <v>3146</v>
      </c>
      <c r="B2129" s="2">
        <v>45630</v>
      </c>
      <c r="C2129" s="1" t="s">
        <v>73</v>
      </c>
      <c r="D2129" s="1" t="s">
        <v>55</v>
      </c>
      <c r="E2129" s="1" t="s">
        <v>129</v>
      </c>
      <c r="F2129" s="1" t="s">
        <v>37</v>
      </c>
      <c r="G2129" s="1" t="s">
        <v>112</v>
      </c>
      <c r="H2129" s="1" t="s">
        <v>118</v>
      </c>
      <c r="I2129" s="1">
        <v>1275.52</v>
      </c>
      <c r="J2129" s="1">
        <v>9</v>
      </c>
      <c r="K2129" s="1">
        <v>11479.68</v>
      </c>
      <c r="L2129" s="1">
        <v>5</v>
      </c>
      <c r="M2129" s="1">
        <v>573.98</v>
      </c>
      <c r="N2129" s="1">
        <v>10905.7</v>
      </c>
      <c r="O2129" s="1" t="s">
        <v>80</v>
      </c>
      <c r="P2129" s="1" t="s">
        <v>445</v>
      </c>
      <c r="Q2129" s="1">
        <v>2</v>
      </c>
      <c r="R2129" s="1">
        <f>Retail_Sales_Analyis[[#This Row],[Final_Price]]-Retail_Sales_Analyis[[#This Row],[Total_Price]]</f>
        <v>-573.97999999999956</v>
      </c>
      <c r="S21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30" spans="1:19" x14ac:dyDescent="0.25">
      <c r="A2130" s="1" t="s">
        <v>3147</v>
      </c>
      <c r="B2130" s="2">
        <v>45443</v>
      </c>
      <c r="C2130" s="1" t="s">
        <v>42</v>
      </c>
      <c r="D2130" s="1" t="s">
        <v>144</v>
      </c>
      <c r="E2130" s="1" t="s">
        <v>285</v>
      </c>
      <c r="F2130" s="1" t="s">
        <v>84</v>
      </c>
      <c r="G2130" s="1" t="s">
        <v>78</v>
      </c>
      <c r="H2130" s="1" t="s">
        <v>323</v>
      </c>
      <c r="I2130" s="1">
        <v>499.84</v>
      </c>
      <c r="J2130" s="1">
        <v>5</v>
      </c>
      <c r="K2130" s="1">
        <v>2499.1999999999998</v>
      </c>
      <c r="L2130" s="1">
        <v>0</v>
      </c>
      <c r="M2130" s="1">
        <v>0</v>
      </c>
      <c r="N2130" s="1">
        <v>2499.1999999999998</v>
      </c>
      <c r="O2130" s="1" t="s">
        <v>46</v>
      </c>
      <c r="P2130" s="1" t="s">
        <v>3148</v>
      </c>
      <c r="Q2130" s="1">
        <v>1</v>
      </c>
      <c r="R2130" s="1">
        <f>Retail_Sales_Analyis[[#This Row],[Final_Price]]-Retail_Sales_Analyis[[#This Row],[Total_Price]]</f>
        <v>0</v>
      </c>
      <c r="S21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31" spans="1:19" x14ac:dyDescent="0.25">
      <c r="A2131" s="1" t="s">
        <v>3149</v>
      </c>
      <c r="B2131" s="2">
        <v>45448</v>
      </c>
      <c r="C2131" s="1" t="s">
        <v>173</v>
      </c>
      <c r="D2131" s="1" t="s">
        <v>55</v>
      </c>
      <c r="E2131" s="1" t="s">
        <v>89</v>
      </c>
      <c r="F2131" s="1" t="s">
        <v>69</v>
      </c>
      <c r="G2131" s="1" t="s">
        <v>85</v>
      </c>
      <c r="H2131" s="1" t="s">
        <v>86</v>
      </c>
      <c r="I2131" s="1">
        <v>1800.06</v>
      </c>
      <c r="J2131" s="1">
        <v>7</v>
      </c>
      <c r="K2131" s="1">
        <v>12600.42</v>
      </c>
      <c r="L2131" s="1">
        <v>15</v>
      </c>
      <c r="M2131" s="1">
        <v>1890.06</v>
      </c>
      <c r="N2131" s="1">
        <v>10710.36</v>
      </c>
      <c r="O2131" s="1" t="s">
        <v>24</v>
      </c>
      <c r="P2131" s="1" t="s">
        <v>839</v>
      </c>
      <c r="Q2131" s="1">
        <v>3</v>
      </c>
      <c r="R2131" s="1">
        <f>Retail_Sales_Analyis[[#This Row],[Final_Price]]-Retail_Sales_Analyis[[#This Row],[Total_Price]]</f>
        <v>-1890.0599999999995</v>
      </c>
      <c r="S21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32" spans="1:19" x14ac:dyDescent="0.25">
      <c r="A2132" s="1" t="s">
        <v>3150</v>
      </c>
      <c r="B2132" s="2">
        <v>45520</v>
      </c>
      <c r="C2132" s="1" t="s">
        <v>93</v>
      </c>
      <c r="D2132" s="1" t="s">
        <v>144</v>
      </c>
      <c r="E2132" s="1" t="s">
        <v>117</v>
      </c>
      <c r="F2132" s="1" t="s">
        <v>69</v>
      </c>
      <c r="G2132" s="1" t="s">
        <v>38</v>
      </c>
      <c r="H2132" s="1" t="s">
        <v>39</v>
      </c>
      <c r="I2132" s="1">
        <v>319.99</v>
      </c>
      <c r="J2132" s="1">
        <v>6</v>
      </c>
      <c r="K2132" s="1">
        <v>1919.94</v>
      </c>
      <c r="L2132" s="1">
        <v>5</v>
      </c>
      <c r="M2132" s="1">
        <v>96</v>
      </c>
      <c r="N2132" s="1">
        <v>1823.94</v>
      </c>
      <c r="O2132" s="1" t="s">
        <v>33</v>
      </c>
      <c r="P2132" s="1" t="s">
        <v>3151</v>
      </c>
      <c r="Q2132" s="1">
        <v>1</v>
      </c>
      <c r="R2132" s="1">
        <f>Retail_Sales_Analyis[[#This Row],[Final_Price]]-Retail_Sales_Analyis[[#This Row],[Total_Price]]</f>
        <v>-96</v>
      </c>
      <c r="S21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33" spans="1:19" x14ac:dyDescent="0.25">
      <c r="A2133" s="1" t="s">
        <v>3152</v>
      </c>
      <c r="B2133" s="2">
        <v>45600</v>
      </c>
      <c r="C2133" s="1" t="s">
        <v>18</v>
      </c>
      <c r="D2133" s="1" t="s">
        <v>43</v>
      </c>
      <c r="E2133" s="1" t="s">
        <v>192</v>
      </c>
      <c r="F2133" s="1" t="s">
        <v>84</v>
      </c>
      <c r="G2133" s="1" t="s">
        <v>31</v>
      </c>
      <c r="H2133" s="1" t="s">
        <v>32</v>
      </c>
      <c r="I2133" s="1">
        <v>369.81</v>
      </c>
      <c r="J2133" s="1">
        <v>6</v>
      </c>
      <c r="K2133" s="1">
        <v>2218.86</v>
      </c>
      <c r="L2133" s="1">
        <v>0</v>
      </c>
      <c r="M2133" s="1">
        <v>0</v>
      </c>
      <c r="N2133" s="1">
        <v>2218.86</v>
      </c>
      <c r="O2133" s="1" t="s">
        <v>64</v>
      </c>
      <c r="P2133" s="1" t="s">
        <v>2977</v>
      </c>
      <c r="Q2133" s="1">
        <v>4</v>
      </c>
      <c r="R2133" s="1">
        <f>Retail_Sales_Analyis[[#This Row],[Final_Price]]-Retail_Sales_Analyis[[#This Row],[Total_Price]]</f>
        <v>0</v>
      </c>
      <c r="S21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34" spans="1:19" x14ac:dyDescent="0.25">
      <c r="A2134" s="1" t="s">
        <v>3153</v>
      </c>
      <c r="B2134" s="2">
        <v>45510</v>
      </c>
      <c r="C2134" s="1" t="s">
        <v>93</v>
      </c>
      <c r="D2134" s="1" t="s">
        <v>28</v>
      </c>
      <c r="E2134" s="1" t="s">
        <v>83</v>
      </c>
      <c r="F2134" s="1" t="s">
        <v>21</v>
      </c>
      <c r="G2134" s="1" t="s">
        <v>112</v>
      </c>
      <c r="H2134" s="1" t="s">
        <v>113</v>
      </c>
      <c r="I2134" s="1">
        <v>1746.76</v>
      </c>
      <c r="J2134" s="1">
        <v>9</v>
      </c>
      <c r="K2134" s="1">
        <v>15720.84</v>
      </c>
      <c r="L2134" s="1">
        <v>0</v>
      </c>
      <c r="M2134" s="1">
        <v>0</v>
      </c>
      <c r="N2134" s="1">
        <v>15720.84</v>
      </c>
      <c r="O2134" s="1" t="s">
        <v>64</v>
      </c>
      <c r="P2134" s="1" t="s">
        <v>807</v>
      </c>
      <c r="Q2134" s="1">
        <v>2</v>
      </c>
      <c r="R2134" s="1">
        <f>Retail_Sales_Analyis[[#This Row],[Final_Price]]-Retail_Sales_Analyis[[#This Row],[Total_Price]]</f>
        <v>0</v>
      </c>
      <c r="S21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35" spans="1:19" x14ac:dyDescent="0.25">
      <c r="A2135" s="1" t="s">
        <v>3154</v>
      </c>
      <c r="B2135" s="2">
        <v>45377</v>
      </c>
      <c r="C2135" s="1" t="s">
        <v>61</v>
      </c>
      <c r="D2135" s="1" t="s">
        <v>28</v>
      </c>
      <c r="E2135" s="1" t="s">
        <v>129</v>
      </c>
      <c r="F2135" s="1" t="s">
        <v>21</v>
      </c>
      <c r="G2135" s="1" t="s">
        <v>22</v>
      </c>
      <c r="H2135" s="1" t="s">
        <v>23</v>
      </c>
      <c r="I2135" s="1">
        <v>564.35</v>
      </c>
      <c r="J2135" s="1">
        <v>4</v>
      </c>
      <c r="K2135" s="1">
        <v>2257.4</v>
      </c>
      <c r="L2135" s="1">
        <v>0</v>
      </c>
      <c r="M2135" s="1">
        <v>0</v>
      </c>
      <c r="N2135" s="1">
        <v>2257.4</v>
      </c>
      <c r="O2135" s="1" t="s">
        <v>24</v>
      </c>
      <c r="P2135" s="1" t="s">
        <v>232</v>
      </c>
      <c r="Q2135" s="1">
        <v>2</v>
      </c>
      <c r="R2135" s="1">
        <f>Retail_Sales_Analyis[[#This Row],[Final_Price]]-Retail_Sales_Analyis[[#This Row],[Total_Price]]</f>
        <v>0</v>
      </c>
      <c r="S21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36" spans="1:19" x14ac:dyDescent="0.25">
      <c r="A2136" s="1" t="s">
        <v>3155</v>
      </c>
      <c r="B2136" s="2">
        <v>45645</v>
      </c>
      <c r="C2136" s="1" t="s">
        <v>73</v>
      </c>
      <c r="D2136" s="1" t="s">
        <v>67</v>
      </c>
      <c r="E2136" s="1" t="s">
        <v>302</v>
      </c>
      <c r="F2136" s="1" t="s">
        <v>84</v>
      </c>
      <c r="G2136" s="1" t="s">
        <v>169</v>
      </c>
      <c r="H2136" s="1" t="s">
        <v>208</v>
      </c>
      <c r="I2136" s="1">
        <v>1213.8900000000001</v>
      </c>
      <c r="J2136" s="1">
        <v>8</v>
      </c>
      <c r="K2136" s="1">
        <v>9711.1200000000008</v>
      </c>
      <c r="L2136" s="1">
        <v>20</v>
      </c>
      <c r="M2136" s="1">
        <v>1942.22</v>
      </c>
      <c r="N2136" s="1">
        <v>7768.9</v>
      </c>
      <c r="O2136" s="1" t="s">
        <v>46</v>
      </c>
      <c r="P2136" s="1" t="s">
        <v>875</v>
      </c>
      <c r="Q2136" s="1">
        <v>4</v>
      </c>
      <c r="R2136" s="1">
        <f>Retail_Sales_Analyis[[#This Row],[Final_Price]]-Retail_Sales_Analyis[[#This Row],[Total_Price]]</f>
        <v>-1942.2200000000012</v>
      </c>
      <c r="S21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37" spans="1:19" x14ac:dyDescent="0.25">
      <c r="A2137" s="1" t="s">
        <v>3156</v>
      </c>
      <c r="B2137" s="2">
        <v>45519</v>
      </c>
      <c r="C2137" s="1" t="s">
        <v>93</v>
      </c>
      <c r="D2137" s="1" t="s">
        <v>67</v>
      </c>
      <c r="E2137" s="1" t="s">
        <v>50</v>
      </c>
      <c r="F2137" s="1" t="s">
        <v>84</v>
      </c>
      <c r="G2137" s="1" t="s">
        <v>31</v>
      </c>
      <c r="H2137" s="1" t="s">
        <v>329</v>
      </c>
      <c r="I2137" s="1">
        <v>240.32</v>
      </c>
      <c r="J2137" s="1">
        <v>1</v>
      </c>
      <c r="K2137" s="1">
        <v>240.32</v>
      </c>
      <c r="L2137" s="1">
        <v>20</v>
      </c>
      <c r="M2137" s="1">
        <v>48.06</v>
      </c>
      <c r="N2137" s="1">
        <v>192.26</v>
      </c>
      <c r="O2137" s="1" t="s">
        <v>46</v>
      </c>
      <c r="P2137" s="1" t="s">
        <v>957</v>
      </c>
      <c r="Q2137" s="1">
        <v>2</v>
      </c>
      <c r="R2137" s="1">
        <f>Retail_Sales_Analyis[[#This Row],[Final_Price]]-Retail_Sales_Analyis[[#This Row],[Total_Price]]</f>
        <v>-48.06</v>
      </c>
      <c r="S21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38" spans="1:19" x14ac:dyDescent="0.25">
      <c r="A2138" s="1" t="s">
        <v>3157</v>
      </c>
      <c r="B2138" s="2">
        <v>45471</v>
      </c>
      <c r="C2138" s="1" t="s">
        <v>173</v>
      </c>
      <c r="D2138" s="1" t="s">
        <v>144</v>
      </c>
      <c r="E2138" s="1" t="s">
        <v>125</v>
      </c>
      <c r="F2138" s="1" t="s">
        <v>37</v>
      </c>
      <c r="G2138" s="1" t="s">
        <v>169</v>
      </c>
      <c r="H2138" s="1" t="s">
        <v>175</v>
      </c>
      <c r="I2138" s="1">
        <v>621.85</v>
      </c>
      <c r="J2138" s="1">
        <v>9</v>
      </c>
      <c r="K2138" s="1">
        <v>5596.65</v>
      </c>
      <c r="L2138" s="1">
        <v>5</v>
      </c>
      <c r="M2138" s="1">
        <v>279.83</v>
      </c>
      <c r="N2138" s="1">
        <v>5316.82</v>
      </c>
      <c r="O2138" s="1" t="s">
        <v>80</v>
      </c>
      <c r="P2138" s="1" t="s">
        <v>1050</v>
      </c>
      <c r="Q2138" s="1">
        <v>5</v>
      </c>
      <c r="R2138" s="1">
        <f>Retail_Sales_Analyis[[#This Row],[Final_Price]]-Retail_Sales_Analyis[[#This Row],[Total_Price]]</f>
        <v>-279.82999999999993</v>
      </c>
      <c r="S21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39" spans="1:19" x14ac:dyDescent="0.25">
      <c r="A2139" s="1" t="s">
        <v>3158</v>
      </c>
      <c r="B2139" s="2">
        <v>45520</v>
      </c>
      <c r="C2139" s="1" t="s">
        <v>93</v>
      </c>
      <c r="D2139" s="1" t="s">
        <v>144</v>
      </c>
      <c r="E2139" s="1" t="s">
        <v>129</v>
      </c>
      <c r="F2139" s="1" t="s">
        <v>21</v>
      </c>
      <c r="G2139" s="1" t="s">
        <v>85</v>
      </c>
      <c r="H2139" s="1" t="s">
        <v>297</v>
      </c>
      <c r="I2139" s="1">
        <v>4342.18</v>
      </c>
      <c r="J2139" s="1">
        <v>10</v>
      </c>
      <c r="K2139" s="1">
        <v>43421.8</v>
      </c>
      <c r="L2139" s="1">
        <v>0</v>
      </c>
      <c r="M2139" s="1">
        <v>0</v>
      </c>
      <c r="N2139" s="1">
        <v>43421.8</v>
      </c>
      <c r="O2139" s="1" t="s">
        <v>64</v>
      </c>
      <c r="P2139" s="1" t="s">
        <v>1155</v>
      </c>
      <c r="Q2139" s="1">
        <v>5</v>
      </c>
      <c r="R2139" s="1">
        <f>Retail_Sales_Analyis[[#This Row],[Final_Price]]-Retail_Sales_Analyis[[#This Row],[Total_Price]]</f>
        <v>0</v>
      </c>
      <c r="S21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40" spans="1:19" x14ac:dyDescent="0.25">
      <c r="A2140" s="1" t="s">
        <v>3159</v>
      </c>
      <c r="B2140" s="2">
        <v>45313</v>
      </c>
      <c r="C2140" s="1" t="s">
        <v>36</v>
      </c>
      <c r="D2140" s="1" t="s">
        <v>43</v>
      </c>
      <c r="E2140" s="1" t="s">
        <v>542</v>
      </c>
      <c r="F2140" s="1" t="s">
        <v>30</v>
      </c>
      <c r="G2140" s="1" t="s">
        <v>85</v>
      </c>
      <c r="H2140" s="1" t="s">
        <v>86</v>
      </c>
      <c r="I2140" s="1">
        <v>4979.6099999999997</v>
      </c>
      <c r="J2140" s="1">
        <v>10</v>
      </c>
      <c r="K2140" s="1">
        <v>49796.1</v>
      </c>
      <c r="L2140" s="1">
        <v>20</v>
      </c>
      <c r="M2140" s="1">
        <v>9959.2199999999993</v>
      </c>
      <c r="N2140" s="1">
        <v>39836.879999999997</v>
      </c>
      <c r="O2140" s="1" t="s">
        <v>80</v>
      </c>
      <c r="P2140" s="1" t="s">
        <v>310</v>
      </c>
      <c r="Q2140" s="1">
        <v>1</v>
      </c>
      <c r="R2140" s="1">
        <f>Retail_Sales_Analyis[[#This Row],[Final_Price]]-Retail_Sales_Analyis[[#This Row],[Total_Price]]</f>
        <v>-9959.2200000000012</v>
      </c>
      <c r="S21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41" spans="1:19" x14ac:dyDescent="0.25">
      <c r="A2141" s="1" t="s">
        <v>3160</v>
      </c>
      <c r="B2141" s="2">
        <v>45472</v>
      </c>
      <c r="C2141" s="1" t="s">
        <v>173</v>
      </c>
      <c r="D2141" s="1" t="s">
        <v>19</v>
      </c>
      <c r="E2141" s="1" t="s">
        <v>337</v>
      </c>
      <c r="F2141" s="1" t="s">
        <v>37</v>
      </c>
      <c r="G2141" s="1" t="s">
        <v>22</v>
      </c>
      <c r="H2141" s="1" t="s">
        <v>277</v>
      </c>
      <c r="I2141" s="1">
        <v>596.36</v>
      </c>
      <c r="J2141" s="1">
        <v>2</v>
      </c>
      <c r="K2141" s="1">
        <v>1192.72</v>
      </c>
      <c r="L2141" s="1">
        <v>0</v>
      </c>
      <c r="M2141" s="1">
        <v>0</v>
      </c>
      <c r="N2141" s="1">
        <v>1192.72</v>
      </c>
      <c r="O2141" s="1" t="s">
        <v>33</v>
      </c>
      <c r="P2141" s="1" t="s">
        <v>1151</v>
      </c>
      <c r="Q2141" s="1">
        <v>5</v>
      </c>
      <c r="R2141" s="1">
        <f>Retail_Sales_Analyis[[#This Row],[Final_Price]]-Retail_Sales_Analyis[[#This Row],[Total_Price]]</f>
        <v>0</v>
      </c>
      <c r="S21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42" spans="1:19" x14ac:dyDescent="0.25">
      <c r="A2142" s="1" t="s">
        <v>3161</v>
      </c>
      <c r="B2142" s="2">
        <v>45606</v>
      </c>
      <c r="C2142" s="1" t="s">
        <v>18</v>
      </c>
      <c r="D2142" s="1" t="s">
        <v>49</v>
      </c>
      <c r="E2142" s="1" t="s">
        <v>77</v>
      </c>
      <c r="F2142" s="1" t="s">
        <v>37</v>
      </c>
      <c r="G2142" s="1" t="s">
        <v>31</v>
      </c>
      <c r="H2142" s="1" t="s">
        <v>329</v>
      </c>
      <c r="I2142" s="1">
        <v>464.72</v>
      </c>
      <c r="J2142" s="1">
        <v>2</v>
      </c>
      <c r="K2142" s="1">
        <v>929.44</v>
      </c>
      <c r="L2142" s="1">
        <v>5</v>
      </c>
      <c r="M2142" s="1">
        <v>46.47</v>
      </c>
      <c r="N2142" s="1">
        <v>882.97</v>
      </c>
      <c r="O2142" s="1" t="s">
        <v>64</v>
      </c>
      <c r="P2142" s="1" t="s">
        <v>682</v>
      </c>
      <c r="Q2142" s="1">
        <v>4</v>
      </c>
      <c r="R2142" s="1">
        <f>Retail_Sales_Analyis[[#This Row],[Final_Price]]-Retail_Sales_Analyis[[#This Row],[Total_Price]]</f>
        <v>-46.470000000000027</v>
      </c>
      <c r="S21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43" spans="1:19" x14ac:dyDescent="0.25">
      <c r="A2143" s="1" t="s">
        <v>3162</v>
      </c>
      <c r="B2143" s="2">
        <v>45514</v>
      </c>
      <c r="C2143" s="1" t="s">
        <v>93</v>
      </c>
      <c r="D2143" s="1" t="s">
        <v>19</v>
      </c>
      <c r="E2143" s="1" t="s">
        <v>129</v>
      </c>
      <c r="F2143" s="1" t="s">
        <v>69</v>
      </c>
      <c r="G2143" s="1" t="s">
        <v>78</v>
      </c>
      <c r="H2143" s="1" t="s">
        <v>79</v>
      </c>
      <c r="I2143" s="1">
        <v>573.61</v>
      </c>
      <c r="J2143" s="1">
        <v>5</v>
      </c>
      <c r="K2143" s="1">
        <v>2868.05</v>
      </c>
      <c r="L2143" s="1">
        <v>10</v>
      </c>
      <c r="M2143" s="1">
        <v>286.81</v>
      </c>
      <c r="N2143" s="1">
        <v>2581.2399999999998</v>
      </c>
      <c r="O2143" s="1" t="s">
        <v>64</v>
      </c>
      <c r="P2143" s="1" t="s">
        <v>518</v>
      </c>
      <c r="Q2143" s="1">
        <v>2</v>
      </c>
      <c r="R2143" s="1">
        <f>Retail_Sales_Analyis[[#This Row],[Final_Price]]-Retail_Sales_Analyis[[#This Row],[Total_Price]]</f>
        <v>-286.8100000000004</v>
      </c>
      <c r="S21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44" spans="1:19" x14ac:dyDescent="0.25">
      <c r="A2144" s="1" t="s">
        <v>3163</v>
      </c>
      <c r="B2144" s="2">
        <v>45432</v>
      </c>
      <c r="C2144" s="1" t="s">
        <v>42</v>
      </c>
      <c r="D2144" s="1" t="s">
        <v>43</v>
      </c>
      <c r="E2144" s="1" t="s">
        <v>322</v>
      </c>
      <c r="F2144" s="1" t="s">
        <v>69</v>
      </c>
      <c r="G2144" s="1" t="s">
        <v>31</v>
      </c>
      <c r="H2144" s="1" t="s">
        <v>250</v>
      </c>
      <c r="I2144" s="1">
        <v>164.21</v>
      </c>
      <c r="J2144" s="1">
        <v>5</v>
      </c>
      <c r="K2144" s="1">
        <v>821.05</v>
      </c>
      <c r="L2144" s="1">
        <v>5</v>
      </c>
      <c r="M2144" s="1">
        <v>41.05</v>
      </c>
      <c r="N2144" s="1">
        <v>780</v>
      </c>
      <c r="O2144" s="1" t="s">
        <v>80</v>
      </c>
      <c r="P2144" s="1" t="s">
        <v>2651</v>
      </c>
      <c r="Q2144" s="1">
        <v>2</v>
      </c>
      <c r="R2144" s="1">
        <f>Retail_Sales_Analyis[[#This Row],[Final_Price]]-Retail_Sales_Analyis[[#This Row],[Total_Price]]</f>
        <v>-41.049999999999955</v>
      </c>
      <c r="S21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45" spans="1:19" x14ac:dyDescent="0.25">
      <c r="A2145" s="1" t="s">
        <v>3164</v>
      </c>
      <c r="B2145" s="2">
        <v>45619</v>
      </c>
      <c r="C2145" s="1" t="s">
        <v>18</v>
      </c>
      <c r="D2145" s="1" t="s">
        <v>19</v>
      </c>
      <c r="E2145" s="1" t="s">
        <v>125</v>
      </c>
      <c r="F2145" s="1" t="s">
        <v>84</v>
      </c>
      <c r="G2145" s="1" t="s">
        <v>38</v>
      </c>
      <c r="H2145" s="1" t="s">
        <v>108</v>
      </c>
      <c r="I2145" s="1">
        <v>403.26</v>
      </c>
      <c r="J2145" s="1">
        <v>4</v>
      </c>
      <c r="K2145" s="1">
        <v>1613.04</v>
      </c>
      <c r="L2145" s="1">
        <v>10</v>
      </c>
      <c r="M2145" s="1">
        <v>161.30000000000001</v>
      </c>
      <c r="N2145" s="1">
        <v>1451.74</v>
      </c>
      <c r="O2145" s="1" t="s">
        <v>24</v>
      </c>
      <c r="P2145" s="1" t="s">
        <v>1395</v>
      </c>
      <c r="Q2145" s="1">
        <v>5</v>
      </c>
      <c r="R2145" s="1">
        <f>Retail_Sales_Analyis[[#This Row],[Final_Price]]-Retail_Sales_Analyis[[#This Row],[Total_Price]]</f>
        <v>-161.29999999999995</v>
      </c>
      <c r="S21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46" spans="1:19" x14ac:dyDescent="0.25">
      <c r="A2146" s="1" t="s">
        <v>3165</v>
      </c>
      <c r="B2146" s="2">
        <v>45321</v>
      </c>
      <c r="C2146" s="1" t="s">
        <v>36</v>
      </c>
      <c r="D2146" s="1" t="s">
        <v>28</v>
      </c>
      <c r="E2146" s="1" t="s">
        <v>163</v>
      </c>
      <c r="F2146" s="1" t="s">
        <v>30</v>
      </c>
      <c r="G2146" s="1" t="s">
        <v>22</v>
      </c>
      <c r="H2146" s="1" t="s">
        <v>277</v>
      </c>
      <c r="I2146" s="1">
        <v>408.09</v>
      </c>
      <c r="J2146" s="1">
        <v>3</v>
      </c>
      <c r="K2146" s="1">
        <v>1224.27</v>
      </c>
      <c r="L2146" s="1">
        <v>0</v>
      </c>
      <c r="M2146" s="1">
        <v>0</v>
      </c>
      <c r="N2146" s="1">
        <v>1224.27</v>
      </c>
      <c r="O2146" s="1" t="s">
        <v>80</v>
      </c>
      <c r="P2146" s="1" t="s">
        <v>562</v>
      </c>
      <c r="Q2146" s="1">
        <v>5</v>
      </c>
      <c r="R2146" s="1">
        <f>Retail_Sales_Analyis[[#This Row],[Final_Price]]-Retail_Sales_Analyis[[#This Row],[Total_Price]]</f>
        <v>0</v>
      </c>
      <c r="S21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47" spans="1:19" x14ac:dyDescent="0.25">
      <c r="A2147" s="1" t="s">
        <v>3166</v>
      </c>
      <c r="B2147" s="2">
        <v>45330</v>
      </c>
      <c r="C2147" s="1" t="s">
        <v>27</v>
      </c>
      <c r="D2147" s="1" t="s">
        <v>67</v>
      </c>
      <c r="E2147" s="1" t="s">
        <v>129</v>
      </c>
      <c r="F2147" s="1" t="s">
        <v>84</v>
      </c>
      <c r="G2147" s="1" t="s">
        <v>57</v>
      </c>
      <c r="H2147" s="1" t="s">
        <v>122</v>
      </c>
      <c r="I2147" s="1">
        <v>829.63</v>
      </c>
      <c r="J2147" s="1">
        <v>8</v>
      </c>
      <c r="K2147" s="1">
        <v>6637.04</v>
      </c>
      <c r="L2147" s="1">
        <v>15</v>
      </c>
      <c r="M2147" s="1">
        <v>995.56</v>
      </c>
      <c r="N2147" s="1">
        <v>5641.48</v>
      </c>
      <c r="O2147" s="1" t="s">
        <v>64</v>
      </c>
      <c r="P2147" s="1" t="s">
        <v>343</v>
      </c>
      <c r="Q2147" s="1">
        <v>4</v>
      </c>
      <c r="R2147" s="1">
        <f>Retail_Sales_Analyis[[#This Row],[Final_Price]]-Retail_Sales_Analyis[[#This Row],[Total_Price]]</f>
        <v>-995.5600000000004</v>
      </c>
      <c r="S21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48" spans="1:19" x14ac:dyDescent="0.25">
      <c r="A2148" s="1" t="s">
        <v>3167</v>
      </c>
      <c r="B2148" s="2">
        <v>45635</v>
      </c>
      <c r="C2148" s="1" t="s">
        <v>73</v>
      </c>
      <c r="D2148" s="1" t="s">
        <v>43</v>
      </c>
      <c r="E2148" s="1" t="s">
        <v>411</v>
      </c>
      <c r="F2148" s="1" t="s">
        <v>37</v>
      </c>
      <c r="G2148" s="1" t="s">
        <v>169</v>
      </c>
      <c r="H2148" s="1" t="s">
        <v>366</v>
      </c>
      <c r="I2148" s="1">
        <v>1373.77</v>
      </c>
      <c r="J2148" s="1">
        <v>2</v>
      </c>
      <c r="K2148" s="1">
        <v>2747.54</v>
      </c>
      <c r="L2148" s="1">
        <v>20</v>
      </c>
      <c r="M2148" s="1">
        <v>549.51</v>
      </c>
      <c r="N2148" s="1">
        <v>2198.0300000000002</v>
      </c>
      <c r="O2148" s="1" t="s">
        <v>33</v>
      </c>
      <c r="P2148" s="1" t="s">
        <v>3168</v>
      </c>
      <c r="Q2148" s="1">
        <v>2</v>
      </c>
      <c r="R2148" s="1">
        <f>Retail_Sales_Analyis[[#This Row],[Final_Price]]-Retail_Sales_Analyis[[#This Row],[Total_Price]]</f>
        <v>-549.50999999999976</v>
      </c>
      <c r="S21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49" spans="1:19" x14ac:dyDescent="0.25">
      <c r="A2149" s="1" t="s">
        <v>3169</v>
      </c>
      <c r="B2149" s="2">
        <v>45618</v>
      </c>
      <c r="C2149" s="1" t="s">
        <v>18</v>
      </c>
      <c r="D2149" s="1" t="s">
        <v>144</v>
      </c>
      <c r="E2149" s="1" t="s">
        <v>207</v>
      </c>
      <c r="F2149" s="1" t="s">
        <v>30</v>
      </c>
      <c r="G2149" s="1" t="s">
        <v>22</v>
      </c>
      <c r="H2149" s="1" t="s">
        <v>133</v>
      </c>
      <c r="I2149" s="1">
        <v>300.35000000000002</v>
      </c>
      <c r="J2149" s="1">
        <v>7</v>
      </c>
      <c r="K2149" s="1">
        <v>2102.4499999999998</v>
      </c>
      <c r="L2149" s="1">
        <v>15</v>
      </c>
      <c r="M2149" s="1">
        <v>315.37</v>
      </c>
      <c r="N2149" s="1">
        <v>1787.08</v>
      </c>
      <c r="O2149" s="1" t="s">
        <v>33</v>
      </c>
      <c r="P2149" s="1" t="s">
        <v>3170</v>
      </c>
      <c r="Q2149" s="1">
        <v>4</v>
      </c>
      <c r="R2149" s="1">
        <f>Retail_Sales_Analyis[[#This Row],[Final_Price]]-Retail_Sales_Analyis[[#This Row],[Total_Price]]</f>
        <v>-315.36999999999989</v>
      </c>
      <c r="S21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0" spans="1:19" x14ac:dyDescent="0.25">
      <c r="A2150" s="1" t="s">
        <v>3171</v>
      </c>
      <c r="B2150" s="2">
        <v>45499</v>
      </c>
      <c r="C2150" s="1" t="s">
        <v>195</v>
      </c>
      <c r="D2150" s="1" t="s">
        <v>144</v>
      </c>
      <c r="E2150" s="1" t="s">
        <v>145</v>
      </c>
      <c r="F2150" s="1" t="s">
        <v>84</v>
      </c>
      <c r="G2150" s="1" t="s">
        <v>85</v>
      </c>
      <c r="H2150" s="1" t="s">
        <v>86</v>
      </c>
      <c r="I2150" s="1">
        <v>4452.05</v>
      </c>
      <c r="J2150" s="1">
        <v>9</v>
      </c>
      <c r="K2150" s="1">
        <v>40068.449999999997</v>
      </c>
      <c r="L2150" s="1">
        <v>15</v>
      </c>
      <c r="M2150" s="1">
        <v>6010.27</v>
      </c>
      <c r="N2150" s="1">
        <v>34058.18</v>
      </c>
      <c r="O2150" s="1" t="s">
        <v>46</v>
      </c>
      <c r="P2150" s="1" t="s">
        <v>1078</v>
      </c>
      <c r="Q2150" s="1">
        <v>3</v>
      </c>
      <c r="R2150" s="1">
        <f>Retail_Sales_Analyis[[#This Row],[Final_Price]]-Retail_Sales_Analyis[[#This Row],[Total_Price]]</f>
        <v>-6010.2699999999968</v>
      </c>
      <c r="S21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1" spans="1:19" x14ac:dyDescent="0.25">
      <c r="A2151" s="1" t="s">
        <v>3172</v>
      </c>
      <c r="B2151" s="2">
        <v>45478</v>
      </c>
      <c r="C2151" s="1" t="s">
        <v>195</v>
      </c>
      <c r="D2151" s="1" t="s">
        <v>144</v>
      </c>
      <c r="E2151" s="1" t="s">
        <v>204</v>
      </c>
      <c r="F2151" s="1" t="s">
        <v>37</v>
      </c>
      <c r="G2151" s="1" t="s">
        <v>38</v>
      </c>
      <c r="H2151" s="1" t="s">
        <v>70</v>
      </c>
      <c r="I2151" s="1">
        <v>624.24</v>
      </c>
      <c r="J2151" s="1">
        <v>10</v>
      </c>
      <c r="K2151" s="1">
        <v>6242.4</v>
      </c>
      <c r="L2151" s="1">
        <v>0</v>
      </c>
      <c r="M2151" s="1">
        <v>0</v>
      </c>
      <c r="N2151" s="1">
        <v>6242.4</v>
      </c>
      <c r="O2151" s="1" t="s">
        <v>24</v>
      </c>
      <c r="P2151" s="1" t="s">
        <v>25</v>
      </c>
      <c r="Q2151" s="1">
        <v>4</v>
      </c>
      <c r="R2151" s="1">
        <f>Retail_Sales_Analyis[[#This Row],[Final_Price]]-Retail_Sales_Analyis[[#This Row],[Total_Price]]</f>
        <v>0</v>
      </c>
      <c r="S21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52" spans="1:19" x14ac:dyDescent="0.25">
      <c r="A2152" s="1" t="s">
        <v>3173</v>
      </c>
      <c r="B2152" s="2">
        <v>45554</v>
      </c>
      <c r="C2152" s="1" t="s">
        <v>116</v>
      </c>
      <c r="D2152" s="1" t="s">
        <v>67</v>
      </c>
      <c r="E2152" s="1" t="s">
        <v>174</v>
      </c>
      <c r="F2152" s="1" t="s">
        <v>69</v>
      </c>
      <c r="G2152" s="1" t="s">
        <v>22</v>
      </c>
      <c r="H2152" s="1" t="s">
        <v>277</v>
      </c>
      <c r="I2152" s="1">
        <v>852.85</v>
      </c>
      <c r="J2152" s="1">
        <v>7</v>
      </c>
      <c r="K2152" s="1">
        <v>5969.95</v>
      </c>
      <c r="L2152" s="1">
        <v>15</v>
      </c>
      <c r="M2152" s="1">
        <v>895.49</v>
      </c>
      <c r="N2152" s="1">
        <v>5074.46</v>
      </c>
      <c r="O2152" s="1" t="s">
        <v>33</v>
      </c>
      <c r="P2152" s="1" t="s">
        <v>739</v>
      </c>
      <c r="Q2152" s="1">
        <v>3</v>
      </c>
      <c r="R2152" s="1">
        <f>Retail_Sales_Analyis[[#This Row],[Final_Price]]-Retail_Sales_Analyis[[#This Row],[Total_Price]]</f>
        <v>-895.48999999999978</v>
      </c>
      <c r="S21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3" spans="1:19" x14ac:dyDescent="0.25">
      <c r="A2153" s="1" t="s">
        <v>3174</v>
      </c>
      <c r="B2153" s="2">
        <v>45639</v>
      </c>
      <c r="C2153" s="1" t="s">
        <v>73</v>
      </c>
      <c r="D2153" s="1" t="s">
        <v>144</v>
      </c>
      <c r="E2153" s="1" t="s">
        <v>236</v>
      </c>
      <c r="F2153" s="1" t="s">
        <v>84</v>
      </c>
      <c r="G2153" s="1" t="s">
        <v>112</v>
      </c>
      <c r="H2153" s="1" t="s">
        <v>113</v>
      </c>
      <c r="I2153" s="1">
        <v>566.89</v>
      </c>
      <c r="J2153" s="1">
        <v>1</v>
      </c>
      <c r="K2153" s="1">
        <v>566.89</v>
      </c>
      <c r="L2153" s="1">
        <v>15</v>
      </c>
      <c r="M2153" s="1">
        <v>85.03</v>
      </c>
      <c r="N2153" s="1">
        <v>481.86</v>
      </c>
      <c r="O2153" s="1" t="s">
        <v>24</v>
      </c>
      <c r="P2153" s="1" t="s">
        <v>2718</v>
      </c>
      <c r="Q2153" s="1">
        <v>5</v>
      </c>
      <c r="R2153" s="1">
        <f>Retail_Sales_Analyis[[#This Row],[Final_Price]]-Retail_Sales_Analyis[[#This Row],[Total_Price]]</f>
        <v>-85.029999999999973</v>
      </c>
      <c r="S21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4" spans="1:19" x14ac:dyDescent="0.25">
      <c r="A2154" s="1" t="s">
        <v>3175</v>
      </c>
      <c r="B2154" s="2">
        <v>45373</v>
      </c>
      <c r="C2154" s="1" t="s">
        <v>61</v>
      </c>
      <c r="D2154" s="1" t="s">
        <v>144</v>
      </c>
      <c r="E2154" s="1" t="s">
        <v>50</v>
      </c>
      <c r="F2154" s="1" t="s">
        <v>37</v>
      </c>
      <c r="G2154" s="1" t="s">
        <v>85</v>
      </c>
      <c r="H2154" s="1" t="s">
        <v>98</v>
      </c>
      <c r="I2154" s="1">
        <v>4086.59</v>
      </c>
      <c r="J2154" s="1">
        <v>6</v>
      </c>
      <c r="K2154" s="1">
        <v>24519.54</v>
      </c>
      <c r="L2154" s="1">
        <v>20</v>
      </c>
      <c r="M2154" s="1">
        <v>4903.91</v>
      </c>
      <c r="N2154" s="1">
        <v>19615.63</v>
      </c>
      <c r="O2154" s="1" t="s">
        <v>46</v>
      </c>
      <c r="P2154" s="1" t="s">
        <v>3176</v>
      </c>
      <c r="Q2154" s="1">
        <v>2</v>
      </c>
      <c r="R2154" s="1">
        <f>Retail_Sales_Analyis[[#This Row],[Final_Price]]-Retail_Sales_Analyis[[#This Row],[Total_Price]]</f>
        <v>-4903.91</v>
      </c>
      <c r="S21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55" spans="1:19" x14ac:dyDescent="0.25">
      <c r="A2155" s="1" t="s">
        <v>3177</v>
      </c>
      <c r="B2155" s="2">
        <v>45307</v>
      </c>
      <c r="C2155" s="1" t="s">
        <v>36</v>
      </c>
      <c r="D2155" s="1" t="s">
        <v>28</v>
      </c>
      <c r="E2155" s="1" t="s">
        <v>236</v>
      </c>
      <c r="F2155" s="1" t="s">
        <v>30</v>
      </c>
      <c r="G2155" s="1" t="s">
        <v>38</v>
      </c>
      <c r="H2155" s="1" t="s">
        <v>70</v>
      </c>
      <c r="I2155" s="1">
        <v>500.7</v>
      </c>
      <c r="J2155" s="1">
        <v>1</v>
      </c>
      <c r="K2155" s="1">
        <v>500.7</v>
      </c>
      <c r="L2155" s="1">
        <v>10</v>
      </c>
      <c r="M2155" s="1">
        <v>50.07</v>
      </c>
      <c r="N2155" s="1">
        <v>450.63</v>
      </c>
      <c r="O2155" s="1" t="s">
        <v>64</v>
      </c>
      <c r="P2155" s="1" t="s">
        <v>298</v>
      </c>
      <c r="Q2155" s="1">
        <v>2</v>
      </c>
      <c r="R2155" s="1">
        <f>Retail_Sales_Analyis[[#This Row],[Final_Price]]-Retail_Sales_Analyis[[#This Row],[Total_Price]]</f>
        <v>-50.069999999999993</v>
      </c>
      <c r="S21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6" spans="1:19" x14ac:dyDescent="0.25">
      <c r="A2156" s="1" t="s">
        <v>3178</v>
      </c>
      <c r="B2156" s="2">
        <v>45365</v>
      </c>
      <c r="C2156" s="1" t="s">
        <v>61</v>
      </c>
      <c r="D2156" s="1" t="s">
        <v>67</v>
      </c>
      <c r="E2156" s="1" t="s">
        <v>192</v>
      </c>
      <c r="F2156" s="1" t="s">
        <v>37</v>
      </c>
      <c r="G2156" s="1" t="s">
        <v>57</v>
      </c>
      <c r="H2156" s="1" t="s">
        <v>101</v>
      </c>
      <c r="I2156" s="1">
        <v>777.61</v>
      </c>
      <c r="J2156" s="1">
        <v>1</v>
      </c>
      <c r="K2156" s="1">
        <v>777.61</v>
      </c>
      <c r="L2156" s="1">
        <v>0</v>
      </c>
      <c r="M2156" s="1">
        <v>0</v>
      </c>
      <c r="N2156" s="1">
        <v>777.61</v>
      </c>
      <c r="O2156" s="1" t="s">
        <v>64</v>
      </c>
      <c r="P2156" s="1" t="s">
        <v>1096</v>
      </c>
      <c r="Q2156" s="1">
        <v>3</v>
      </c>
      <c r="R2156" s="1">
        <f>Retail_Sales_Analyis[[#This Row],[Final_Price]]-Retail_Sales_Analyis[[#This Row],[Total_Price]]</f>
        <v>0</v>
      </c>
      <c r="S21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57" spans="1:19" x14ac:dyDescent="0.25">
      <c r="A2157" s="1" t="s">
        <v>3179</v>
      </c>
      <c r="B2157" s="2">
        <v>45603</v>
      </c>
      <c r="C2157" s="1" t="s">
        <v>18</v>
      </c>
      <c r="D2157" s="1" t="s">
        <v>67</v>
      </c>
      <c r="E2157" s="1" t="s">
        <v>62</v>
      </c>
      <c r="F2157" s="1" t="s">
        <v>30</v>
      </c>
      <c r="G2157" s="1" t="s">
        <v>78</v>
      </c>
      <c r="H2157" s="1" t="s">
        <v>323</v>
      </c>
      <c r="I2157" s="1">
        <v>304.82</v>
      </c>
      <c r="J2157" s="1">
        <v>1</v>
      </c>
      <c r="K2157" s="1">
        <v>304.82</v>
      </c>
      <c r="L2157" s="1">
        <v>0</v>
      </c>
      <c r="M2157" s="1">
        <v>0</v>
      </c>
      <c r="N2157" s="1">
        <v>304.82</v>
      </c>
      <c r="O2157" s="1" t="s">
        <v>80</v>
      </c>
      <c r="P2157" s="1" t="s">
        <v>1085</v>
      </c>
      <c r="Q2157" s="1">
        <v>2</v>
      </c>
      <c r="R2157" s="1">
        <f>Retail_Sales_Analyis[[#This Row],[Final_Price]]-Retail_Sales_Analyis[[#This Row],[Total_Price]]</f>
        <v>0</v>
      </c>
      <c r="S21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58" spans="1:19" x14ac:dyDescent="0.25">
      <c r="A2158" s="1" t="s">
        <v>3180</v>
      </c>
      <c r="B2158" s="2">
        <v>45639</v>
      </c>
      <c r="C2158" s="1" t="s">
        <v>73</v>
      </c>
      <c r="D2158" s="1" t="s">
        <v>144</v>
      </c>
      <c r="E2158" s="1" t="s">
        <v>94</v>
      </c>
      <c r="F2158" s="1" t="s">
        <v>21</v>
      </c>
      <c r="G2158" s="1" t="s">
        <v>112</v>
      </c>
      <c r="H2158" s="1" t="s">
        <v>113</v>
      </c>
      <c r="I2158" s="1">
        <v>1782.97</v>
      </c>
      <c r="J2158" s="1">
        <v>10</v>
      </c>
      <c r="K2158" s="1">
        <v>17829.7</v>
      </c>
      <c r="L2158" s="1">
        <v>10</v>
      </c>
      <c r="M2158" s="1">
        <v>1782.97</v>
      </c>
      <c r="N2158" s="1">
        <v>16046.73</v>
      </c>
      <c r="O2158" s="1" t="s">
        <v>80</v>
      </c>
      <c r="P2158" s="1" t="s">
        <v>242</v>
      </c>
      <c r="Q2158" s="1">
        <v>5</v>
      </c>
      <c r="R2158" s="1">
        <f>Retail_Sales_Analyis[[#This Row],[Final_Price]]-Retail_Sales_Analyis[[#This Row],[Total_Price]]</f>
        <v>-1782.9700000000012</v>
      </c>
      <c r="S21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59" spans="1:19" x14ac:dyDescent="0.25">
      <c r="A2159" s="1" t="s">
        <v>3181</v>
      </c>
      <c r="B2159" s="2">
        <v>45516</v>
      </c>
      <c r="C2159" s="1" t="s">
        <v>93</v>
      </c>
      <c r="D2159" s="1" t="s">
        <v>43</v>
      </c>
      <c r="E2159" s="1" t="s">
        <v>236</v>
      </c>
      <c r="F2159" s="1" t="s">
        <v>84</v>
      </c>
      <c r="G2159" s="1" t="s">
        <v>57</v>
      </c>
      <c r="H2159" s="1" t="s">
        <v>101</v>
      </c>
      <c r="I2159" s="1">
        <v>739.69</v>
      </c>
      <c r="J2159" s="1">
        <v>3</v>
      </c>
      <c r="K2159" s="1">
        <v>2219.0700000000002</v>
      </c>
      <c r="L2159" s="1">
        <v>0</v>
      </c>
      <c r="M2159" s="1">
        <v>0</v>
      </c>
      <c r="N2159" s="1">
        <v>2219.0700000000002</v>
      </c>
      <c r="O2159" s="1" t="s">
        <v>64</v>
      </c>
      <c r="P2159" s="1" t="s">
        <v>639</v>
      </c>
      <c r="Q2159" s="1">
        <v>4</v>
      </c>
      <c r="R2159" s="1">
        <f>Retail_Sales_Analyis[[#This Row],[Final_Price]]-Retail_Sales_Analyis[[#This Row],[Total_Price]]</f>
        <v>0</v>
      </c>
      <c r="S21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60" spans="1:19" x14ac:dyDescent="0.25">
      <c r="A2160" s="1" t="s">
        <v>3182</v>
      </c>
      <c r="B2160" s="2">
        <v>45309</v>
      </c>
      <c r="C2160" s="1" t="s">
        <v>36</v>
      </c>
      <c r="D2160" s="1" t="s">
        <v>67</v>
      </c>
      <c r="E2160" s="1" t="s">
        <v>20</v>
      </c>
      <c r="F2160" s="1" t="s">
        <v>21</v>
      </c>
      <c r="G2160" s="1" t="s">
        <v>85</v>
      </c>
      <c r="H2160" s="1" t="s">
        <v>297</v>
      </c>
      <c r="I2160" s="1">
        <v>4247.38</v>
      </c>
      <c r="J2160" s="1">
        <v>1</v>
      </c>
      <c r="K2160" s="1">
        <v>4247.38</v>
      </c>
      <c r="L2160" s="1">
        <v>0</v>
      </c>
      <c r="M2160" s="1">
        <v>0</v>
      </c>
      <c r="N2160" s="1">
        <v>4247.38</v>
      </c>
      <c r="O2160" s="1" t="s">
        <v>80</v>
      </c>
      <c r="P2160" s="1" t="s">
        <v>1405</v>
      </c>
      <c r="Q2160" s="1">
        <v>5</v>
      </c>
      <c r="R2160" s="1">
        <f>Retail_Sales_Analyis[[#This Row],[Final_Price]]-Retail_Sales_Analyis[[#This Row],[Total_Price]]</f>
        <v>0</v>
      </c>
      <c r="S21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61" spans="1:19" x14ac:dyDescent="0.25">
      <c r="A2161" s="1" t="s">
        <v>3183</v>
      </c>
      <c r="B2161" s="2">
        <v>45356</v>
      </c>
      <c r="C2161" s="1" t="s">
        <v>61</v>
      </c>
      <c r="D2161" s="1" t="s">
        <v>28</v>
      </c>
      <c r="E2161" s="1" t="s">
        <v>312</v>
      </c>
      <c r="F2161" s="1" t="s">
        <v>30</v>
      </c>
      <c r="G2161" s="1" t="s">
        <v>85</v>
      </c>
      <c r="H2161" s="1" t="s">
        <v>180</v>
      </c>
      <c r="I2161" s="1">
        <v>4010.63</v>
      </c>
      <c r="J2161" s="1">
        <v>2</v>
      </c>
      <c r="K2161" s="1">
        <v>8021.26</v>
      </c>
      <c r="L2161" s="1">
        <v>0</v>
      </c>
      <c r="M2161" s="1">
        <v>0</v>
      </c>
      <c r="N2161" s="1">
        <v>8021.26</v>
      </c>
      <c r="O2161" s="1" t="s">
        <v>80</v>
      </c>
      <c r="P2161" s="1" t="s">
        <v>3184</v>
      </c>
      <c r="Q2161" s="1">
        <v>1</v>
      </c>
      <c r="R2161" s="1">
        <f>Retail_Sales_Analyis[[#This Row],[Final_Price]]-Retail_Sales_Analyis[[#This Row],[Total_Price]]</f>
        <v>0</v>
      </c>
      <c r="S21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62" spans="1:19" x14ac:dyDescent="0.25">
      <c r="A2162" s="1" t="s">
        <v>3185</v>
      </c>
      <c r="B2162" s="2">
        <v>45326</v>
      </c>
      <c r="C2162" s="1" t="s">
        <v>27</v>
      </c>
      <c r="D2162" s="1" t="s">
        <v>49</v>
      </c>
      <c r="E2162" s="1" t="s">
        <v>111</v>
      </c>
      <c r="F2162" s="1" t="s">
        <v>37</v>
      </c>
      <c r="G2162" s="1" t="s">
        <v>22</v>
      </c>
      <c r="H2162" s="1" t="s">
        <v>277</v>
      </c>
      <c r="I2162" s="1">
        <v>926.14</v>
      </c>
      <c r="J2162" s="1">
        <v>10</v>
      </c>
      <c r="K2162" s="1">
        <v>9261.4</v>
      </c>
      <c r="L2162" s="1">
        <v>10</v>
      </c>
      <c r="M2162" s="1">
        <v>926.14</v>
      </c>
      <c r="N2162" s="1">
        <v>8335.26</v>
      </c>
      <c r="O2162" s="1" t="s">
        <v>80</v>
      </c>
      <c r="P2162" s="1" t="s">
        <v>530</v>
      </c>
      <c r="Q2162" s="1">
        <v>2</v>
      </c>
      <c r="R2162" s="1">
        <f>Retail_Sales_Analyis[[#This Row],[Final_Price]]-Retail_Sales_Analyis[[#This Row],[Total_Price]]</f>
        <v>-926.13999999999942</v>
      </c>
      <c r="S21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63" spans="1:19" x14ac:dyDescent="0.25">
      <c r="A2163" s="1" t="s">
        <v>3186</v>
      </c>
      <c r="B2163" s="2">
        <v>45412</v>
      </c>
      <c r="C2163" s="1" t="s">
        <v>54</v>
      </c>
      <c r="D2163" s="1" t="s">
        <v>28</v>
      </c>
      <c r="E2163" s="1" t="s">
        <v>132</v>
      </c>
      <c r="F2163" s="1" t="s">
        <v>30</v>
      </c>
      <c r="G2163" s="1" t="s">
        <v>57</v>
      </c>
      <c r="H2163" s="1" t="s">
        <v>58</v>
      </c>
      <c r="I2163" s="1">
        <v>1324.17</v>
      </c>
      <c r="J2163" s="1">
        <v>2</v>
      </c>
      <c r="K2163" s="1">
        <v>2648.34</v>
      </c>
      <c r="L2163" s="1">
        <v>5</v>
      </c>
      <c r="M2163" s="1">
        <v>132.41999999999999</v>
      </c>
      <c r="N2163" s="1">
        <v>2515.92</v>
      </c>
      <c r="O2163" s="1" t="s">
        <v>33</v>
      </c>
      <c r="P2163" s="1" t="s">
        <v>1559</v>
      </c>
      <c r="Q2163" s="1">
        <v>3</v>
      </c>
      <c r="R2163" s="1">
        <f>Retail_Sales_Analyis[[#This Row],[Final_Price]]-Retail_Sales_Analyis[[#This Row],[Total_Price]]</f>
        <v>-132.42000000000007</v>
      </c>
      <c r="S21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64" spans="1:19" x14ac:dyDescent="0.25">
      <c r="A2164" s="1" t="s">
        <v>3187</v>
      </c>
      <c r="B2164" s="2">
        <v>45622</v>
      </c>
      <c r="C2164" s="1" t="s">
        <v>18</v>
      </c>
      <c r="D2164" s="1" t="s">
        <v>28</v>
      </c>
      <c r="E2164" s="1" t="s">
        <v>20</v>
      </c>
      <c r="F2164" s="1" t="s">
        <v>37</v>
      </c>
      <c r="G2164" s="1" t="s">
        <v>85</v>
      </c>
      <c r="H2164" s="1" t="s">
        <v>297</v>
      </c>
      <c r="I2164" s="1">
        <v>4625.66</v>
      </c>
      <c r="J2164" s="1">
        <v>7</v>
      </c>
      <c r="K2164" s="1">
        <v>32379.62</v>
      </c>
      <c r="L2164" s="1">
        <v>0</v>
      </c>
      <c r="M2164" s="1">
        <v>0</v>
      </c>
      <c r="N2164" s="1">
        <v>32379.62</v>
      </c>
      <c r="O2164" s="1" t="s">
        <v>80</v>
      </c>
      <c r="P2164" s="1" t="s">
        <v>2133</v>
      </c>
      <c r="Q2164" s="1">
        <v>3</v>
      </c>
      <c r="R2164" s="1">
        <f>Retail_Sales_Analyis[[#This Row],[Final_Price]]-Retail_Sales_Analyis[[#This Row],[Total_Price]]</f>
        <v>0</v>
      </c>
      <c r="S21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65" spans="1:19" x14ac:dyDescent="0.25">
      <c r="A2165" s="1" t="s">
        <v>3188</v>
      </c>
      <c r="B2165" s="2">
        <v>45479</v>
      </c>
      <c r="C2165" s="1" t="s">
        <v>195</v>
      </c>
      <c r="D2165" s="1" t="s">
        <v>19</v>
      </c>
      <c r="E2165" s="1" t="s">
        <v>207</v>
      </c>
      <c r="F2165" s="1" t="s">
        <v>69</v>
      </c>
      <c r="G2165" s="1" t="s">
        <v>57</v>
      </c>
      <c r="H2165" s="1" t="s">
        <v>58</v>
      </c>
      <c r="I2165" s="1">
        <v>1157.31</v>
      </c>
      <c r="J2165" s="1">
        <v>2</v>
      </c>
      <c r="K2165" s="1">
        <v>2314.62</v>
      </c>
      <c r="L2165" s="1">
        <v>10</v>
      </c>
      <c r="M2165" s="1">
        <v>231.46</v>
      </c>
      <c r="N2165" s="1">
        <v>2083.16</v>
      </c>
      <c r="O2165" s="1" t="s">
        <v>64</v>
      </c>
      <c r="P2165" s="1" t="s">
        <v>291</v>
      </c>
      <c r="Q2165" s="1">
        <v>2</v>
      </c>
      <c r="R2165" s="1">
        <f>Retail_Sales_Analyis[[#This Row],[Final_Price]]-Retail_Sales_Analyis[[#This Row],[Total_Price]]</f>
        <v>-231.46000000000004</v>
      </c>
      <c r="S21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66" spans="1:19" x14ac:dyDescent="0.25">
      <c r="A2166" s="1" t="s">
        <v>3189</v>
      </c>
      <c r="B2166" s="2">
        <v>45477</v>
      </c>
      <c r="C2166" s="1" t="s">
        <v>195</v>
      </c>
      <c r="D2166" s="1" t="s">
        <v>67</v>
      </c>
      <c r="E2166" s="1" t="s">
        <v>302</v>
      </c>
      <c r="F2166" s="1" t="s">
        <v>30</v>
      </c>
      <c r="G2166" s="1" t="s">
        <v>57</v>
      </c>
      <c r="H2166" s="1" t="s">
        <v>152</v>
      </c>
      <c r="I2166" s="1">
        <v>1548.53</v>
      </c>
      <c r="J2166" s="1">
        <v>4</v>
      </c>
      <c r="K2166" s="1">
        <v>6194.12</v>
      </c>
      <c r="L2166" s="1">
        <v>15</v>
      </c>
      <c r="M2166" s="1">
        <v>929.12</v>
      </c>
      <c r="N2166" s="1">
        <v>5265</v>
      </c>
      <c r="O2166" s="1" t="s">
        <v>33</v>
      </c>
      <c r="P2166" s="1" t="s">
        <v>373</v>
      </c>
      <c r="Q2166" s="1">
        <v>2</v>
      </c>
      <c r="R2166" s="1">
        <f>Retail_Sales_Analyis[[#This Row],[Final_Price]]-Retail_Sales_Analyis[[#This Row],[Total_Price]]</f>
        <v>-929.11999999999989</v>
      </c>
      <c r="S21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67" spans="1:19" x14ac:dyDescent="0.25">
      <c r="A2167" s="1" t="s">
        <v>3190</v>
      </c>
      <c r="B2167" s="2">
        <v>45488</v>
      </c>
      <c r="C2167" s="1" t="s">
        <v>195</v>
      </c>
      <c r="D2167" s="1" t="s">
        <v>43</v>
      </c>
      <c r="E2167" s="1" t="s">
        <v>121</v>
      </c>
      <c r="F2167" s="1" t="s">
        <v>37</v>
      </c>
      <c r="G2167" s="1" t="s">
        <v>78</v>
      </c>
      <c r="H2167" s="1" t="s">
        <v>146</v>
      </c>
      <c r="I2167" s="1">
        <v>450.5</v>
      </c>
      <c r="J2167" s="1">
        <v>9</v>
      </c>
      <c r="K2167" s="1">
        <v>4054.5</v>
      </c>
      <c r="L2167" s="1">
        <v>15</v>
      </c>
      <c r="M2167" s="1">
        <v>608.16999999999996</v>
      </c>
      <c r="N2167" s="1">
        <v>3446.33</v>
      </c>
      <c r="O2167" s="1" t="s">
        <v>33</v>
      </c>
      <c r="P2167" s="1" t="s">
        <v>286</v>
      </c>
      <c r="Q2167" s="1">
        <v>3</v>
      </c>
      <c r="R2167" s="1">
        <f>Retail_Sales_Analyis[[#This Row],[Final_Price]]-Retail_Sales_Analyis[[#This Row],[Total_Price]]</f>
        <v>-608.17000000000007</v>
      </c>
      <c r="S21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68" spans="1:19" x14ac:dyDescent="0.25">
      <c r="A2168" s="1" t="s">
        <v>3191</v>
      </c>
      <c r="B2168" s="2">
        <v>45582</v>
      </c>
      <c r="C2168" s="1" t="s">
        <v>76</v>
      </c>
      <c r="D2168" s="1" t="s">
        <v>67</v>
      </c>
      <c r="E2168" s="1" t="s">
        <v>337</v>
      </c>
      <c r="F2168" s="1" t="s">
        <v>37</v>
      </c>
      <c r="G2168" s="1" t="s">
        <v>85</v>
      </c>
      <c r="H2168" s="1" t="s">
        <v>297</v>
      </c>
      <c r="I2168" s="1">
        <v>4561.42</v>
      </c>
      <c r="J2168" s="1">
        <v>7</v>
      </c>
      <c r="K2168" s="1">
        <v>31929.94</v>
      </c>
      <c r="L2168" s="1">
        <v>0</v>
      </c>
      <c r="M2168" s="1">
        <v>0</v>
      </c>
      <c r="N2168" s="1">
        <v>31929.94</v>
      </c>
      <c r="O2168" s="1" t="s">
        <v>33</v>
      </c>
      <c r="P2168" s="1" t="s">
        <v>2745</v>
      </c>
      <c r="Q2168" s="1">
        <v>2</v>
      </c>
      <c r="R2168" s="1">
        <f>Retail_Sales_Analyis[[#This Row],[Final_Price]]-Retail_Sales_Analyis[[#This Row],[Total_Price]]</f>
        <v>0</v>
      </c>
      <c r="S21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69" spans="1:19" x14ac:dyDescent="0.25">
      <c r="A2169" s="1" t="s">
        <v>3192</v>
      </c>
      <c r="B2169" s="2">
        <v>45308</v>
      </c>
      <c r="C2169" s="1" t="s">
        <v>36</v>
      </c>
      <c r="D2169" s="1" t="s">
        <v>55</v>
      </c>
      <c r="E2169" s="1" t="s">
        <v>111</v>
      </c>
      <c r="F2169" s="1" t="s">
        <v>21</v>
      </c>
      <c r="G2169" s="1" t="s">
        <v>85</v>
      </c>
      <c r="H2169" s="1" t="s">
        <v>90</v>
      </c>
      <c r="I2169" s="1">
        <v>4609.54</v>
      </c>
      <c r="J2169" s="1">
        <v>6</v>
      </c>
      <c r="K2169" s="1">
        <v>27657.24</v>
      </c>
      <c r="L2169" s="1">
        <v>20</v>
      </c>
      <c r="M2169" s="1">
        <v>5531.45</v>
      </c>
      <c r="N2169" s="1">
        <v>22125.79</v>
      </c>
      <c r="O2169" s="1" t="s">
        <v>64</v>
      </c>
      <c r="P2169" s="1" t="s">
        <v>794</v>
      </c>
      <c r="Q2169" s="1">
        <v>3</v>
      </c>
      <c r="R2169" s="1">
        <f>Retail_Sales_Analyis[[#This Row],[Final_Price]]-Retail_Sales_Analyis[[#This Row],[Total_Price]]</f>
        <v>-5531.4500000000007</v>
      </c>
      <c r="S21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70" spans="1:19" x14ac:dyDescent="0.25">
      <c r="A2170" s="1" t="s">
        <v>3193</v>
      </c>
      <c r="B2170" s="2">
        <v>45601</v>
      </c>
      <c r="C2170" s="1" t="s">
        <v>18</v>
      </c>
      <c r="D2170" s="1" t="s">
        <v>28</v>
      </c>
      <c r="E2170" s="1" t="s">
        <v>157</v>
      </c>
      <c r="F2170" s="1" t="s">
        <v>30</v>
      </c>
      <c r="G2170" s="1" t="s">
        <v>169</v>
      </c>
      <c r="H2170" s="1" t="s">
        <v>208</v>
      </c>
      <c r="I2170" s="1">
        <v>724.6</v>
      </c>
      <c r="J2170" s="1">
        <v>4</v>
      </c>
      <c r="K2170" s="1">
        <v>2898.4</v>
      </c>
      <c r="L2170" s="1">
        <v>20</v>
      </c>
      <c r="M2170" s="1">
        <v>579.67999999999995</v>
      </c>
      <c r="N2170" s="1">
        <v>2318.7199999999998</v>
      </c>
      <c r="O2170" s="1" t="s">
        <v>46</v>
      </c>
      <c r="P2170" s="1" t="s">
        <v>1687</v>
      </c>
      <c r="Q2170" s="1">
        <v>3</v>
      </c>
      <c r="R2170" s="1">
        <f>Retail_Sales_Analyis[[#This Row],[Final_Price]]-Retail_Sales_Analyis[[#This Row],[Total_Price]]</f>
        <v>-579.68000000000029</v>
      </c>
      <c r="S21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71" spans="1:19" x14ac:dyDescent="0.25">
      <c r="A2171" s="1" t="s">
        <v>3194</v>
      </c>
      <c r="B2171" s="2">
        <v>45370</v>
      </c>
      <c r="C2171" s="1" t="s">
        <v>61</v>
      </c>
      <c r="D2171" s="1" t="s">
        <v>28</v>
      </c>
      <c r="E2171" s="1" t="s">
        <v>351</v>
      </c>
      <c r="F2171" s="1" t="s">
        <v>21</v>
      </c>
      <c r="G2171" s="1" t="s">
        <v>38</v>
      </c>
      <c r="H2171" s="1" t="s">
        <v>214</v>
      </c>
      <c r="I2171" s="1">
        <v>603.86</v>
      </c>
      <c r="J2171" s="1">
        <v>3</v>
      </c>
      <c r="K2171" s="1">
        <v>1811.58</v>
      </c>
      <c r="L2171" s="1">
        <v>0</v>
      </c>
      <c r="M2171" s="1">
        <v>0</v>
      </c>
      <c r="N2171" s="1">
        <v>1811.58</v>
      </c>
      <c r="O2171" s="1" t="s">
        <v>80</v>
      </c>
      <c r="P2171" s="1" t="s">
        <v>2755</v>
      </c>
      <c r="Q2171" s="1">
        <v>1</v>
      </c>
      <c r="R2171" s="1">
        <f>Retail_Sales_Analyis[[#This Row],[Final_Price]]-Retail_Sales_Analyis[[#This Row],[Total_Price]]</f>
        <v>0</v>
      </c>
      <c r="S21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72" spans="1:19" x14ac:dyDescent="0.25">
      <c r="A2172" s="1" t="s">
        <v>3195</v>
      </c>
      <c r="B2172" s="2">
        <v>45639</v>
      </c>
      <c r="C2172" s="1" t="s">
        <v>73</v>
      </c>
      <c r="D2172" s="1" t="s">
        <v>144</v>
      </c>
      <c r="E2172" s="1" t="s">
        <v>151</v>
      </c>
      <c r="F2172" s="1" t="s">
        <v>69</v>
      </c>
      <c r="G2172" s="1" t="s">
        <v>112</v>
      </c>
      <c r="H2172" s="1" t="s">
        <v>183</v>
      </c>
      <c r="I2172" s="1">
        <v>1777.03</v>
      </c>
      <c r="J2172" s="1">
        <v>8</v>
      </c>
      <c r="K2172" s="1">
        <v>14216.24</v>
      </c>
      <c r="L2172" s="1">
        <v>10</v>
      </c>
      <c r="M2172" s="1">
        <v>1421.62</v>
      </c>
      <c r="N2172" s="1">
        <v>12794.62</v>
      </c>
      <c r="O2172" s="1" t="s">
        <v>33</v>
      </c>
      <c r="P2172" s="1" t="s">
        <v>1675</v>
      </c>
      <c r="Q2172" s="1">
        <v>2</v>
      </c>
      <c r="R2172" s="1">
        <f>Retail_Sales_Analyis[[#This Row],[Final_Price]]-Retail_Sales_Analyis[[#This Row],[Total_Price]]</f>
        <v>-1421.619999999999</v>
      </c>
      <c r="S21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73" spans="1:19" x14ac:dyDescent="0.25">
      <c r="A2173" s="1" t="s">
        <v>3196</v>
      </c>
      <c r="B2173" s="2">
        <v>45522</v>
      </c>
      <c r="C2173" s="1" t="s">
        <v>93</v>
      </c>
      <c r="D2173" s="1" t="s">
        <v>49</v>
      </c>
      <c r="E2173" s="1" t="s">
        <v>239</v>
      </c>
      <c r="F2173" s="1" t="s">
        <v>84</v>
      </c>
      <c r="G2173" s="1" t="s">
        <v>85</v>
      </c>
      <c r="H2173" s="1" t="s">
        <v>180</v>
      </c>
      <c r="I2173" s="1">
        <v>3769.7</v>
      </c>
      <c r="J2173" s="1">
        <v>5</v>
      </c>
      <c r="K2173" s="1">
        <v>18848.5</v>
      </c>
      <c r="L2173" s="1">
        <v>20</v>
      </c>
      <c r="M2173" s="1">
        <v>3769.7</v>
      </c>
      <c r="N2173" s="1">
        <v>15078.8</v>
      </c>
      <c r="O2173" s="1" t="s">
        <v>64</v>
      </c>
      <c r="P2173" s="1" t="s">
        <v>413</v>
      </c>
      <c r="Q2173" s="1">
        <v>2</v>
      </c>
      <c r="R2173" s="1">
        <f>Retail_Sales_Analyis[[#This Row],[Final_Price]]-Retail_Sales_Analyis[[#This Row],[Total_Price]]</f>
        <v>-3769.7000000000007</v>
      </c>
      <c r="S21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74" spans="1:19" x14ac:dyDescent="0.25">
      <c r="A2174" s="1" t="s">
        <v>3197</v>
      </c>
      <c r="B2174" s="2">
        <v>45481</v>
      </c>
      <c r="C2174" s="1" t="s">
        <v>195</v>
      </c>
      <c r="D2174" s="1" t="s">
        <v>43</v>
      </c>
      <c r="E2174" s="1" t="s">
        <v>132</v>
      </c>
      <c r="F2174" s="1" t="s">
        <v>21</v>
      </c>
      <c r="G2174" s="1" t="s">
        <v>57</v>
      </c>
      <c r="H2174" s="1" t="s">
        <v>158</v>
      </c>
      <c r="I2174" s="1">
        <v>1959.19</v>
      </c>
      <c r="J2174" s="1">
        <v>6</v>
      </c>
      <c r="K2174" s="1">
        <v>11755.14</v>
      </c>
      <c r="L2174" s="1">
        <v>15</v>
      </c>
      <c r="M2174" s="1">
        <v>1763.27</v>
      </c>
      <c r="N2174" s="1">
        <v>9991.8700000000008</v>
      </c>
      <c r="O2174" s="1" t="s">
        <v>80</v>
      </c>
      <c r="P2174" s="1" t="s">
        <v>437</v>
      </c>
      <c r="Q2174" s="1">
        <v>1</v>
      </c>
      <c r="R2174" s="1">
        <f>Retail_Sales_Analyis[[#This Row],[Final_Price]]-Retail_Sales_Analyis[[#This Row],[Total_Price]]</f>
        <v>-1763.2699999999986</v>
      </c>
      <c r="S21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75" spans="1:19" x14ac:dyDescent="0.25">
      <c r="A2175" s="1" t="s">
        <v>3198</v>
      </c>
      <c r="B2175" s="2">
        <v>45482</v>
      </c>
      <c r="C2175" s="1" t="s">
        <v>195</v>
      </c>
      <c r="D2175" s="1" t="s">
        <v>28</v>
      </c>
      <c r="E2175" s="1" t="s">
        <v>44</v>
      </c>
      <c r="F2175" s="1" t="s">
        <v>69</v>
      </c>
      <c r="G2175" s="1" t="s">
        <v>112</v>
      </c>
      <c r="H2175" s="1" t="s">
        <v>118</v>
      </c>
      <c r="I2175" s="1">
        <v>1657.49</v>
      </c>
      <c r="J2175" s="1">
        <v>8</v>
      </c>
      <c r="K2175" s="1">
        <v>13259.92</v>
      </c>
      <c r="L2175" s="1">
        <v>5</v>
      </c>
      <c r="M2175" s="1">
        <v>663</v>
      </c>
      <c r="N2175" s="1">
        <v>12596.92</v>
      </c>
      <c r="O2175" s="1" t="s">
        <v>24</v>
      </c>
      <c r="P2175" s="1" t="s">
        <v>65</v>
      </c>
      <c r="Q2175" s="1">
        <v>4</v>
      </c>
      <c r="R2175" s="1">
        <f>Retail_Sales_Analyis[[#This Row],[Final_Price]]-Retail_Sales_Analyis[[#This Row],[Total_Price]]</f>
        <v>-663</v>
      </c>
      <c r="S21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76" spans="1:19" x14ac:dyDescent="0.25">
      <c r="A2176" s="1" t="s">
        <v>3199</v>
      </c>
      <c r="B2176" s="2">
        <v>45519</v>
      </c>
      <c r="C2176" s="1" t="s">
        <v>93</v>
      </c>
      <c r="D2176" s="1" t="s">
        <v>67</v>
      </c>
      <c r="E2176" s="1" t="s">
        <v>302</v>
      </c>
      <c r="F2176" s="1" t="s">
        <v>30</v>
      </c>
      <c r="G2176" s="1" t="s">
        <v>57</v>
      </c>
      <c r="H2176" s="1" t="s">
        <v>101</v>
      </c>
      <c r="I2176" s="1">
        <v>2665.76</v>
      </c>
      <c r="J2176" s="1">
        <v>3</v>
      </c>
      <c r="K2176" s="1">
        <v>7997.28</v>
      </c>
      <c r="L2176" s="1">
        <v>10</v>
      </c>
      <c r="M2176" s="1">
        <v>799.73</v>
      </c>
      <c r="N2176" s="1">
        <v>7197.55</v>
      </c>
      <c r="O2176" s="1" t="s">
        <v>80</v>
      </c>
      <c r="P2176" s="1" t="s">
        <v>651</v>
      </c>
      <c r="Q2176" s="1">
        <v>5</v>
      </c>
      <c r="R2176" s="1">
        <f>Retail_Sales_Analyis[[#This Row],[Final_Price]]-Retail_Sales_Analyis[[#This Row],[Total_Price]]</f>
        <v>-799.72999999999956</v>
      </c>
      <c r="S21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77" spans="1:19" x14ac:dyDescent="0.25">
      <c r="A2177" s="1" t="s">
        <v>3200</v>
      </c>
      <c r="B2177" s="2">
        <v>45331</v>
      </c>
      <c r="C2177" s="1" t="s">
        <v>27</v>
      </c>
      <c r="D2177" s="1" t="s">
        <v>144</v>
      </c>
      <c r="E2177" s="1" t="s">
        <v>104</v>
      </c>
      <c r="F2177" s="1" t="s">
        <v>30</v>
      </c>
      <c r="G2177" s="1" t="s">
        <v>78</v>
      </c>
      <c r="H2177" s="1" t="s">
        <v>126</v>
      </c>
      <c r="I2177" s="1">
        <v>574.24</v>
      </c>
      <c r="J2177" s="1">
        <v>3</v>
      </c>
      <c r="K2177" s="1">
        <v>1722.72</v>
      </c>
      <c r="L2177" s="1">
        <v>0</v>
      </c>
      <c r="M2177" s="1">
        <v>0</v>
      </c>
      <c r="N2177" s="1">
        <v>1722.72</v>
      </c>
      <c r="O2177" s="1" t="s">
        <v>33</v>
      </c>
      <c r="P2177" s="1" t="s">
        <v>178</v>
      </c>
      <c r="Q2177" s="1">
        <v>5</v>
      </c>
      <c r="R2177" s="1">
        <f>Retail_Sales_Analyis[[#This Row],[Final_Price]]-Retail_Sales_Analyis[[#This Row],[Total_Price]]</f>
        <v>0</v>
      </c>
      <c r="S21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78" spans="1:19" x14ac:dyDescent="0.25">
      <c r="A2178" s="1" t="s">
        <v>3201</v>
      </c>
      <c r="B2178" s="2">
        <v>45585</v>
      </c>
      <c r="C2178" s="1" t="s">
        <v>76</v>
      </c>
      <c r="D2178" s="1" t="s">
        <v>49</v>
      </c>
      <c r="E2178" s="1" t="s">
        <v>117</v>
      </c>
      <c r="F2178" s="1" t="s">
        <v>84</v>
      </c>
      <c r="G2178" s="1" t="s">
        <v>22</v>
      </c>
      <c r="H2178" s="1" t="s">
        <v>277</v>
      </c>
      <c r="I2178" s="1">
        <v>245.86</v>
      </c>
      <c r="J2178" s="1">
        <v>9</v>
      </c>
      <c r="K2178" s="1">
        <v>2212.7399999999998</v>
      </c>
      <c r="L2178" s="1">
        <v>0</v>
      </c>
      <c r="M2178" s="1">
        <v>0</v>
      </c>
      <c r="N2178" s="1">
        <v>2212.7399999999998</v>
      </c>
      <c r="O2178" s="1" t="s">
        <v>80</v>
      </c>
      <c r="P2178" s="1" t="s">
        <v>147</v>
      </c>
      <c r="Q2178" s="1">
        <v>3</v>
      </c>
      <c r="R2178" s="1">
        <f>Retail_Sales_Analyis[[#This Row],[Final_Price]]-Retail_Sales_Analyis[[#This Row],[Total_Price]]</f>
        <v>0</v>
      </c>
      <c r="S21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79" spans="1:19" x14ac:dyDescent="0.25">
      <c r="A2179" s="1" t="s">
        <v>3202</v>
      </c>
      <c r="B2179" s="2">
        <v>45362</v>
      </c>
      <c r="C2179" s="1" t="s">
        <v>61</v>
      </c>
      <c r="D2179" s="1" t="s">
        <v>43</v>
      </c>
      <c r="E2179" s="1" t="s">
        <v>68</v>
      </c>
      <c r="F2179" s="1" t="s">
        <v>69</v>
      </c>
      <c r="G2179" s="1" t="s">
        <v>57</v>
      </c>
      <c r="H2179" s="1" t="s">
        <v>122</v>
      </c>
      <c r="I2179" s="1">
        <v>681.03</v>
      </c>
      <c r="J2179" s="1">
        <v>6</v>
      </c>
      <c r="K2179" s="1">
        <v>4086.18</v>
      </c>
      <c r="L2179" s="1">
        <v>15</v>
      </c>
      <c r="M2179" s="1">
        <v>612.92999999999995</v>
      </c>
      <c r="N2179" s="1">
        <v>3473.25</v>
      </c>
      <c r="O2179" s="1" t="s">
        <v>33</v>
      </c>
      <c r="P2179" s="1" t="s">
        <v>1701</v>
      </c>
      <c r="Q2179" s="1">
        <v>4</v>
      </c>
      <c r="R2179" s="1">
        <f>Retail_Sales_Analyis[[#This Row],[Final_Price]]-Retail_Sales_Analyis[[#This Row],[Total_Price]]</f>
        <v>-612.92999999999984</v>
      </c>
      <c r="S21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80" spans="1:19" x14ac:dyDescent="0.25">
      <c r="A2180" s="1" t="s">
        <v>3203</v>
      </c>
      <c r="B2180" s="2">
        <v>45563</v>
      </c>
      <c r="C2180" s="1" t="s">
        <v>116</v>
      </c>
      <c r="D2180" s="1" t="s">
        <v>19</v>
      </c>
      <c r="E2180" s="1" t="s">
        <v>104</v>
      </c>
      <c r="F2180" s="1" t="s">
        <v>84</v>
      </c>
      <c r="G2180" s="1" t="s">
        <v>85</v>
      </c>
      <c r="H2180" s="1" t="s">
        <v>297</v>
      </c>
      <c r="I2180" s="1">
        <v>3958.62</v>
      </c>
      <c r="J2180" s="1">
        <v>5</v>
      </c>
      <c r="K2180" s="1">
        <v>19793.099999999999</v>
      </c>
      <c r="L2180" s="1">
        <v>5</v>
      </c>
      <c r="M2180" s="1">
        <v>989.65</v>
      </c>
      <c r="N2180" s="1">
        <v>18803.45</v>
      </c>
      <c r="O2180" s="1" t="s">
        <v>33</v>
      </c>
      <c r="P2180" s="1" t="s">
        <v>2347</v>
      </c>
      <c r="Q2180" s="1">
        <v>2</v>
      </c>
      <c r="R2180" s="1">
        <f>Retail_Sales_Analyis[[#This Row],[Final_Price]]-Retail_Sales_Analyis[[#This Row],[Total_Price]]</f>
        <v>-989.64999999999782</v>
      </c>
      <c r="S218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81" spans="1:19" x14ac:dyDescent="0.25">
      <c r="A2181" s="1" t="s">
        <v>3204</v>
      </c>
      <c r="B2181" s="2">
        <v>45479</v>
      </c>
      <c r="C2181" s="1" t="s">
        <v>195</v>
      </c>
      <c r="D2181" s="1" t="s">
        <v>19</v>
      </c>
      <c r="E2181" s="1" t="s">
        <v>239</v>
      </c>
      <c r="F2181" s="1" t="s">
        <v>84</v>
      </c>
      <c r="G2181" s="1" t="s">
        <v>85</v>
      </c>
      <c r="H2181" s="1" t="s">
        <v>180</v>
      </c>
      <c r="I2181" s="1">
        <v>2220.5700000000002</v>
      </c>
      <c r="J2181" s="1">
        <v>4</v>
      </c>
      <c r="K2181" s="1">
        <v>8882.2800000000007</v>
      </c>
      <c r="L2181" s="1">
        <v>20</v>
      </c>
      <c r="M2181" s="1">
        <v>1776.46</v>
      </c>
      <c r="N2181" s="1">
        <v>7105.82</v>
      </c>
      <c r="O2181" s="1" t="s">
        <v>46</v>
      </c>
      <c r="P2181" s="1" t="s">
        <v>1462</v>
      </c>
      <c r="Q2181" s="1">
        <v>3</v>
      </c>
      <c r="R2181" s="1">
        <f>Retail_Sales_Analyis[[#This Row],[Final_Price]]-Retail_Sales_Analyis[[#This Row],[Total_Price]]</f>
        <v>-1776.4600000000009</v>
      </c>
      <c r="S21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82" spans="1:19" x14ac:dyDescent="0.25">
      <c r="A2182" s="1" t="s">
        <v>3205</v>
      </c>
      <c r="B2182" s="2">
        <v>45495</v>
      </c>
      <c r="C2182" s="1" t="s">
        <v>195</v>
      </c>
      <c r="D2182" s="1" t="s">
        <v>43</v>
      </c>
      <c r="E2182" s="1" t="s">
        <v>174</v>
      </c>
      <c r="F2182" s="1" t="s">
        <v>37</v>
      </c>
      <c r="G2182" s="1" t="s">
        <v>85</v>
      </c>
      <c r="H2182" s="1" t="s">
        <v>90</v>
      </c>
      <c r="I2182" s="1">
        <v>1636.1</v>
      </c>
      <c r="J2182" s="1">
        <v>3</v>
      </c>
      <c r="K2182" s="1">
        <v>4908.3</v>
      </c>
      <c r="L2182" s="1">
        <v>20</v>
      </c>
      <c r="M2182" s="1">
        <v>981.66</v>
      </c>
      <c r="N2182" s="1">
        <v>3926.64</v>
      </c>
      <c r="O2182" s="1" t="s">
        <v>46</v>
      </c>
      <c r="P2182" s="1" t="s">
        <v>3206</v>
      </c>
      <c r="Q2182" s="1">
        <v>1</v>
      </c>
      <c r="R2182" s="1">
        <f>Retail_Sales_Analyis[[#This Row],[Final_Price]]-Retail_Sales_Analyis[[#This Row],[Total_Price]]</f>
        <v>-981.66000000000031</v>
      </c>
      <c r="S21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83" spans="1:19" x14ac:dyDescent="0.25">
      <c r="A2183" s="1" t="s">
        <v>3207</v>
      </c>
      <c r="B2183" s="2">
        <v>45452</v>
      </c>
      <c r="C2183" s="1" t="s">
        <v>173</v>
      </c>
      <c r="D2183" s="1" t="s">
        <v>49</v>
      </c>
      <c r="E2183" s="1" t="s">
        <v>129</v>
      </c>
      <c r="F2183" s="1" t="s">
        <v>84</v>
      </c>
      <c r="G2183" s="1" t="s">
        <v>85</v>
      </c>
      <c r="H2183" s="1" t="s">
        <v>180</v>
      </c>
      <c r="I2183" s="1">
        <v>3917.34</v>
      </c>
      <c r="J2183" s="1">
        <v>7</v>
      </c>
      <c r="K2183" s="1">
        <v>27421.38</v>
      </c>
      <c r="L2183" s="1">
        <v>0</v>
      </c>
      <c r="M2183" s="1">
        <v>0</v>
      </c>
      <c r="N2183" s="1">
        <v>27421.38</v>
      </c>
      <c r="O2183" s="1" t="s">
        <v>46</v>
      </c>
      <c r="P2183" s="1" t="s">
        <v>669</v>
      </c>
      <c r="Q2183" s="1">
        <v>4</v>
      </c>
      <c r="R2183" s="1">
        <f>Retail_Sales_Analyis[[#This Row],[Final_Price]]-Retail_Sales_Analyis[[#This Row],[Total_Price]]</f>
        <v>0</v>
      </c>
      <c r="S21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84" spans="1:19" x14ac:dyDescent="0.25">
      <c r="A2184" s="1" t="s">
        <v>3208</v>
      </c>
      <c r="B2184" s="2">
        <v>45624</v>
      </c>
      <c r="C2184" s="1" t="s">
        <v>18</v>
      </c>
      <c r="D2184" s="1" t="s">
        <v>67</v>
      </c>
      <c r="E2184" s="1" t="s">
        <v>236</v>
      </c>
      <c r="F2184" s="1" t="s">
        <v>21</v>
      </c>
      <c r="G2184" s="1" t="s">
        <v>57</v>
      </c>
      <c r="H2184" s="1" t="s">
        <v>122</v>
      </c>
      <c r="I2184" s="1">
        <v>2329.34</v>
      </c>
      <c r="J2184" s="1">
        <v>3</v>
      </c>
      <c r="K2184" s="1">
        <v>6988.02</v>
      </c>
      <c r="L2184" s="1">
        <v>15</v>
      </c>
      <c r="M2184" s="1">
        <v>1048.2</v>
      </c>
      <c r="N2184" s="1">
        <v>5939.82</v>
      </c>
      <c r="O2184" s="1" t="s">
        <v>24</v>
      </c>
      <c r="P2184" s="1" t="s">
        <v>1423</v>
      </c>
      <c r="Q2184" s="1">
        <v>1</v>
      </c>
      <c r="R2184" s="1">
        <f>Retail_Sales_Analyis[[#This Row],[Final_Price]]-Retail_Sales_Analyis[[#This Row],[Total_Price]]</f>
        <v>-1048.2000000000007</v>
      </c>
      <c r="S21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85" spans="1:19" x14ac:dyDescent="0.25">
      <c r="A2185" s="1" t="s">
        <v>3209</v>
      </c>
      <c r="B2185" s="2">
        <v>45434</v>
      </c>
      <c r="C2185" s="1" t="s">
        <v>42</v>
      </c>
      <c r="D2185" s="1" t="s">
        <v>55</v>
      </c>
      <c r="E2185" s="1" t="s">
        <v>157</v>
      </c>
      <c r="F2185" s="1" t="s">
        <v>84</v>
      </c>
      <c r="G2185" s="1" t="s">
        <v>38</v>
      </c>
      <c r="H2185" s="1" t="s">
        <v>39</v>
      </c>
      <c r="I2185" s="1">
        <v>301.23</v>
      </c>
      <c r="J2185" s="1">
        <v>10</v>
      </c>
      <c r="K2185" s="1">
        <v>3012.3</v>
      </c>
      <c r="L2185" s="1">
        <v>0</v>
      </c>
      <c r="M2185" s="1">
        <v>0</v>
      </c>
      <c r="N2185" s="1">
        <v>3012.3</v>
      </c>
      <c r="O2185" s="1" t="s">
        <v>80</v>
      </c>
      <c r="P2185" s="1" t="s">
        <v>3210</v>
      </c>
      <c r="Q2185" s="1">
        <v>1</v>
      </c>
      <c r="R2185" s="1">
        <f>Retail_Sales_Analyis[[#This Row],[Final_Price]]-Retail_Sales_Analyis[[#This Row],[Total_Price]]</f>
        <v>0</v>
      </c>
      <c r="S21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86" spans="1:19" x14ac:dyDescent="0.25">
      <c r="A2186" s="1" t="s">
        <v>3211</v>
      </c>
      <c r="B2186" s="2">
        <v>45419</v>
      </c>
      <c r="C2186" s="1" t="s">
        <v>42</v>
      </c>
      <c r="D2186" s="1" t="s">
        <v>28</v>
      </c>
      <c r="E2186" s="1" t="s">
        <v>207</v>
      </c>
      <c r="F2186" s="1" t="s">
        <v>37</v>
      </c>
      <c r="G2186" s="1" t="s">
        <v>22</v>
      </c>
      <c r="H2186" s="1" t="s">
        <v>51</v>
      </c>
      <c r="I2186" s="1">
        <v>336.19</v>
      </c>
      <c r="J2186" s="1">
        <v>8</v>
      </c>
      <c r="K2186" s="1">
        <v>2689.52</v>
      </c>
      <c r="L2186" s="1">
        <v>0</v>
      </c>
      <c r="M2186" s="1">
        <v>0</v>
      </c>
      <c r="N2186" s="1">
        <v>2689.52</v>
      </c>
      <c r="O2186" s="1" t="s">
        <v>64</v>
      </c>
      <c r="P2186" s="1" t="s">
        <v>2597</v>
      </c>
      <c r="Q2186" s="1">
        <v>4</v>
      </c>
      <c r="R2186" s="1">
        <f>Retail_Sales_Analyis[[#This Row],[Final_Price]]-Retail_Sales_Analyis[[#This Row],[Total_Price]]</f>
        <v>0</v>
      </c>
      <c r="S21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87" spans="1:19" x14ac:dyDescent="0.25">
      <c r="A2187" s="1" t="s">
        <v>3212</v>
      </c>
      <c r="B2187" s="2">
        <v>45350</v>
      </c>
      <c r="C2187" s="1" t="s">
        <v>27</v>
      </c>
      <c r="D2187" s="1" t="s">
        <v>55</v>
      </c>
      <c r="E2187" s="1" t="s">
        <v>192</v>
      </c>
      <c r="F2187" s="1" t="s">
        <v>69</v>
      </c>
      <c r="G2187" s="1" t="s">
        <v>78</v>
      </c>
      <c r="H2187" s="1" t="s">
        <v>79</v>
      </c>
      <c r="I2187" s="1">
        <v>583.29</v>
      </c>
      <c r="J2187" s="1">
        <v>6</v>
      </c>
      <c r="K2187" s="1">
        <v>3499.74</v>
      </c>
      <c r="L2187" s="1">
        <v>5</v>
      </c>
      <c r="M2187" s="1">
        <v>174.99</v>
      </c>
      <c r="N2187" s="1">
        <v>3324.75</v>
      </c>
      <c r="O2187" s="1" t="s">
        <v>64</v>
      </c>
      <c r="P2187" s="1" t="s">
        <v>1098</v>
      </c>
      <c r="Q2187" s="1">
        <v>2</v>
      </c>
      <c r="R2187" s="1">
        <f>Retail_Sales_Analyis[[#This Row],[Final_Price]]-Retail_Sales_Analyis[[#This Row],[Total_Price]]</f>
        <v>-174.98999999999978</v>
      </c>
      <c r="S21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88" spans="1:19" x14ac:dyDescent="0.25">
      <c r="A2188" s="1" t="s">
        <v>3213</v>
      </c>
      <c r="B2188" s="2">
        <v>45305</v>
      </c>
      <c r="C2188" s="1" t="s">
        <v>36</v>
      </c>
      <c r="D2188" s="1" t="s">
        <v>49</v>
      </c>
      <c r="E2188" s="1" t="s">
        <v>117</v>
      </c>
      <c r="F2188" s="1" t="s">
        <v>37</v>
      </c>
      <c r="G2188" s="1" t="s">
        <v>38</v>
      </c>
      <c r="H2188" s="1" t="s">
        <v>39</v>
      </c>
      <c r="I2188" s="1">
        <v>113.13</v>
      </c>
      <c r="J2188" s="1">
        <v>4</v>
      </c>
      <c r="K2188" s="1">
        <v>452.52</v>
      </c>
      <c r="L2188" s="1">
        <v>10</v>
      </c>
      <c r="M2188" s="1">
        <v>45.25</v>
      </c>
      <c r="N2188" s="1">
        <v>407.27</v>
      </c>
      <c r="O2188" s="1" t="s">
        <v>24</v>
      </c>
      <c r="P2188" s="1" t="s">
        <v>164</v>
      </c>
      <c r="Q2188" s="1">
        <v>1</v>
      </c>
      <c r="R2188" s="1">
        <f>Retail_Sales_Analyis[[#This Row],[Final_Price]]-Retail_Sales_Analyis[[#This Row],[Total_Price]]</f>
        <v>-45.25</v>
      </c>
      <c r="S21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89" spans="1:19" x14ac:dyDescent="0.25">
      <c r="A2189" s="1" t="s">
        <v>3214</v>
      </c>
      <c r="B2189" s="2">
        <v>45387</v>
      </c>
      <c r="C2189" s="1" t="s">
        <v>54</v>
      </c>
      <c r="D2189" s="1" t="s">
        <v>144</v>
      </c>
      <c r="E2189" s="1" t="s">
        <v>68</v>
      </c>
      <c r="F2189" s="1" t="s">
        <v>21</v>
      </c>
      <c r="G2189" s="1" t="s">
        <v>57</v>
      </c>
      <c r="H2189" s="1" t="s">
        <v>101</v>
      </c>
      <c r="I2189" s="1">
        <v>1238.06</v>
      </c>
      <c r="J2189" s="1">
        <v>4</v>
      </c>
      <c r="K2189" s="1">
        <v>4952.24</v>
      </c>
      <c r="L2189" s="1">
        <v>10</v>
      </c>
      <c r="M2189" s="1">
        <v>495.22</v>
      </c>
      <c r="N2189" s="1">
        <v>4457.0200000000004</v>
      </c>
      <c r="O2189" s="1" t="s">
        <v>80</v>
      </c>
      <c r="P2189" s="1" t="s">
        <v>3168</v>
      </c>
      <c r="Q2189" s="1">
        <v>2</v>
      </c>
      <c r="R2189" s="1">
        <f>Retail_Sales_Analyis[[#This Row],[Final_Price]]-Retail_Sales_Analyis[[#This Row],[Total_Price]]</f>
        <v>-495.21999999999935</v>
      </c>
      <c r="S21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90" spans="1:19" x14ac:dyDescent="0.25">
      <c r="A2190" s="1" t="s">
        <v>3215</v>
      </c>
      <c r="B2190" s="2">
        <v>45547</v>
      </c>
      <c r="C2190" s="1" t="s">
        <v>116</v>
      </c>
      <c r="D2190" s="1" t="s">
        <v>67</v>
      </c>
      <c r="E2190" s="1" t="s">
        <v>168</v>
      </c>
      <c r="F2190" s="1" t="s">
        <v>37</v>
      </c>
      <c r="G2190" s="1" t="s">
        <v>31</v>
      </c>
      <c r="H2190" s="1" t="s">
        <v>329</v>
      </c>
      <c r="I2190" s="1">
        <v>89.08</v>
      </c>
      <c r="J2190" s="1">
        <v>10</v>
      </c>
      <c r="K2190" s="1">
        <v>890.8</v>
      </c>
      <c r="L2190" s="1">
        <v>0</v>
      </c>
      <c r="M2190" s="1">
        <v>0</v>
      </c>
      <c r="N2190" s="1">
        <v>890.8</v>
      </c>
      <c r="O2190" s="1" t="s">
        <v>33</v>
      </c>
      <c r="P2190" s="1" t="s">
        <v>732</v>
      </c>
      <c r="Q2190" s="1">
        <v>1</v>
      </c>
      <c r="R2190" s="1">
        <f>Retail_Sales_Analyis[[#This Row],[Final_Price]]-Retail_Sales_Analyis[[#This Row],[Total_Price]]</f>
        <v>0</v>
      </c>
      <c r="S21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91" spans="1:19" x14ac:dyDescent="0.25">
      <c r="A2191" s="1" t="s">
        <v>3216</v>
      </c>
      <c r="B2191" s="2">
        <v>45557</v>
      </c>
      <c r="C2191" s="1" t="s">
        <v>116</v>
      </c>
      <c r="D2191" s="1" t="s">
        <v>49</v>
      </c>
      <c r="E2191" s="1" t="s">
        <v>207</v>
      </c>
      <c r="F2191" s="1" t="s">
        <v>30</v>
      </c>
      <c r="G2191" s="1" t="s">
        <v>112</v>
      </c>
      <c r="H2191" s="1" t="s">
        <v>183</v>
      </c>
      <c r="I2191" s="1">
        <v>715.35</v>
      </c>
      <c r="J2191" s="1">
        <v>8</v>
      </c>
      <c r="K2191" s="1">
        <v>5722.8</v>
      </c>
      <c r="L2191" s="1">
        <v>15</v>
      </c>
      <c r="M2191" s="1">
        <v>858.42</v>
      </c>
      <c r="N2191" s="1">
        <v>4864.38</v>
      </c>
      <c r="O2191" s="1" t="s">
        <v>24</v>
      </c>
      <c r="P2191" s="1" t="s">
        <v>1166</v>
      </c>
      <c r="Q2191" s="1">
        <v>3</v>
      </c>
      <c r="R2191" s="1">
        <f>Retail_Sales_Analyis[[#This Row],[Final_Price]]-Retail_Sales_Analyis[[#This Row],[Total_Price]]</f>
        <v>-858.42000000000007</v>
      </c>
      <c r="S21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92" spans="1:19" x14ac:dyDescent="0.25">
      <c r="A2192" s="1" t="s">
        <v>3217</v>
      </c>
      <c r="B2192" s="2">
        <v>45490</v>
      </c>
      <c r="C2192" s="1" t="s">
        <v>195</v>
      </c>
      <c r="D2192" s="1" t="s">
        <v>55</v>
      </c>
      <c r="E2192" s="1" t="s">
        <v>207</v>
      </c>
      <c r="F2192" s="1" t="s">
        <v>30</v>
      </c>
      <c r="G2192" s="1" t="s">
        <v>169</v>
      </c>
      <c r="H2192" s="1" t="s">
        <v>348</v>
      </c>
      <c r="I2192" s="1">
        <v>1297.1400000000001</v>
      </c>
      <c r="J2192" s="1">
        <v>1</v>
      </c>
      <c r="K2192" s="1">
        <v>1297.1400000000001</v>
      </c>
      <c r="L2192" s="1">
        <v>5</v>
      </c>
      <c r="M2192" s="1">
        <v>64.86</v>
      </c>
      <c r="N2192" s="1">
        <v>1232.28</v>
      </c>
      <c r="O2192" s="1" t="s">
        <v>33</v>
      </c>
      <c r="P2192" s="1" t="s">
        <v>3218</v>
      </c>
      <c r="Q2192" s="1">
        <v>2</v>
      </c>
      <c r="R2192" s="1">
        <f>Retail_Sales_Analyis[[#This Row],[Final_Price]]-Retail_Sales_Analyis[[#This Row],[Total_Price]]</f>
        <v>-64.860000000000127</v>
      </c>
      <c r="S21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193" spans="1:19" x14ac:dyDescent="0.25">
      <c r="A2193" s="1" t="s">
        <v>3219</v>
      </c>
      <c r="B2193" s="2">
        <v>45579</v>
      </c>
      <c r="C2193" s="1" t="s">
        <v>76</v>
      </c>
      <c r="D2193" s="1" t="s">
        <v>43</v>
      </c>
      <c r="E2193" s="1" t="s">
        <v>186</v>
      </c>
      <c r="F2193" s="1" t="s">
        <v>30</v>
      </c>
      <c r="G2193" s="1" t="s">
        <v>78</v>
      </c>
      <c r="H2193" s="1" t="s">
        <v>79</v>
      </c>
      <c r="I2193" s="1">
        <v>156.63</v>
      </c>
      <c r="J2193" s="1">
        <v>6</v>
      </c>
      <c r="K2193" s="1">
        <v>939.78</v>
      </c>
      <c r="L2193" s="1">
        <v>0</v>
      </c>
      <c r="M2193" s="1">
        <v>0</v>
      </c>
      <c r="N2193" s="1">
        <v>939.78</v>
      </c>
      <c r="O2193" s="1" t="s">
        <v>33</v>
      </c>
      <c r="P2193" s="1" t="s">
        <v>439</v>
      </c>
      <c r="Q2193" s="1">
        <v>2</v>
      </c>
      <c r="R2193" s="1">
        <f>Retail_Sales_Analyis[[#This Row],[Final_Price]]-Retail_Sales_Analyis[[#This Row],[Total_Price]]</f>
        <v>0</v>
      </c>
      <c r="S21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94" spans="1:19" x14ac:dyDescent="0.25">
      <c r="A2194" s="1" t="s">
        <v>3220</v>
      </c>
      <c r="B2194" s="2">
        <v>45352</v>
      </c>
      <c r="C2194" s="1" t="s">
        <v>61</v>
      </c>
      <c r="D2194" s="1" t="s">
        <v>144</v>
      </c>
      <c r="E2194" s="1" t="s">
        <v>145</v>
      </c>
      <c r="F2194" s="1" t="s">
        <v>21</v>
      </c>
      <c r="G2194" s="1" t="s">
        <v>169</v>
      </c>
      <c r="H2194" s="1" t="s">
        <v>348</v>
      </c>
      <c r="I2194" s="1">
        <v>1291.3900000000001</v>
      </c>
      <c r="J2194" s="1">
        <v>3</v>
      </c>
      <c r="K2194" s="1">
        <v>3874.17</v>
      </c>
      <c r="L2194" s="1">
        <v>20</v>
      </c>
      <c r="M2194" s="1">
        <v>774.83</v>
      </c>
      <c r="N2194" s="1">
        <v>3099.34</v>
      </c>
      <c r="O2194" s="1" t="s">
        <v>64</v>
      </c>
      <c r="P2194" s="1" t="s">
        <v>971</v>
      </c>
      <c r="Q2194" s="1">
        <v>1</v>
      </c>
      <c r="R2194" s="1">
        <f>Retail_Sales_Analyis[[#This Row],[Final_Price]]-Retail_Sales_Analyis[[#This Row],[Total_Price]]</f>
        <v>-774.82999999999993</v>
      </c>
      <c r="S21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95" spans="1:19" x14ac:dyDescent="0.25">
      <c r="A2195" s="1" t="s">
        <v>3221</v>
      </c>
      <c r="B2195" s="2">
        <v>45426</v>
      </c>
      <c r="C2195" s="1" t="s">
        <v>42</v>
      </c>
      <c r="D2195" s="1" t="s">
        <v>28</v>
      </c>
      <c r="E2195" s="1" t="s">
        <v>302</v>
      </c>
      <c r="F2195" s="1" t="s">
        <v>30</v>
      </c>
      <c r="G2195" s="1" t="s">
        <v>22</v>
      </c>
      <c r="H2195" s="1" t="s">
        <v>133</v>
      </c>
      <c r="I2195" s="1">
        <v>209.94</v>
      </c>
      <c r="J2195" s="1">
        <v>10</v>
      </c>
      <c r="K2195" s="1">
        <v>2099.4</v>
      </c>
      <c r="L2195" s="1">
        <v>0</v>
      </c>
      <c r="M2195" s="1">
        <v>0</v>
      </c>
      <c r="N2195" s="1">
        <v>2099.4</v>
      </c>
      <c r="O2195" s="1" t="s">
        <v>46</v>
      </c>
      <c r="P2195" s="1" t="s">
        <v>2274</v>
      </c>
      <c r="Q2195" s="1">
        <v>1</v>
      </c>
      <c r="R2195" s="1">
        <f>Retail_Sales_Analyis[[#This Row],[Final_Price]]-Retail_Sales_Analyis[[#This Row],[Total_Price]]</f>
        <v>0</v>
      </c>
      <c r="S21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196" spans="1:19" x14ac:dyDescent="0.25">
      <c r="A2196" s="1" t="s">
        <v>3222</v>
      </c>
      <c r="B2196" s="2">
        <v>45425</v>
      </c>
      <c r="C2196" s="1" t="s">
        <v>42</v>
      </c>
      <c r="D2196" s="1" t="s">
        <v>43</v>
      </c>
      <c r="E2196" s="1" t="s">
        <v>117</v>
      </c>
      <c r="F2196" s="1" t="s">
        <v>21</v>
      </c>
      <c r="G2196" s="1" t="s">
        <v>57</v>
      </c>
      <c r="H2196" s="1" t="s">
        <v>152</v>
      </c>
      <c r="I2196" s="1">
        <v>1289.45</v>
      </c>
      <c r="J2196" s="1">
        <v>5</v>
      </c>
      <c r="K2196" s="1">
        <v>6447.25</v>
      </c>
      <c r="L2196" s="1">
        <v>20</v>
      </c>
      <c r="M2196" s="1">
        <v>1289.45</v>
      </c>
      <c r="N2196" s="1">
        <v>5157.8</v>
      </c>
      <c r="O2196" s="1" t="s">
        <v>46</v>
      </c>
      <c r="P2196" s="1" t="s">
        <v>40</v>
      </c>
      <c r="Q2196" s="1">
        <v>1</v>
      </c>
      <c r="R2196" s="1">
        <f>Retail_Sales_Analyis[[#This Row],[Final_Price]]-Retail_Sales_Analyis[[#This Row],[Total_Price]]</f>
        <v>-1289.4499999999998</v>
      </c>
      <c r="S21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197" spans="1:19" x14ac:dyDescent="0.25">
      <c r="A2197" s="1" t="s">
        <v>3223</v>
      </c>
      <c r="B2197" s="2">
        <v>45652</v>
      </c>
      <c r="C2197" s="1" t="s">
        <v>73</v>
      </c>
      <c r="D2197" s="1" t="s">
        <v>67</v>
      </c>
      <c r="E2197" s="1" t="s">
        <v>261</v>
      </c>
      <c r="F2197" s="1" t="s">
        <v>37</v>
      </c>
      <c r="G2197" s="1" t="s">
        <v>85</v>
      </c>
      <c r="H2197" s="1" t="s">
        <v>86</v>
      </c>
      <c r="I2197" s="1">
        <v>2879.47</v>
      </c>
      <c r="J2197" s="1">
        <v>7</v>
      </c>
      <c r="K2197" s="1">
        <v>20156.29</v>
      </c>
      <c r="L2197" s="1">
        <v>10</v>
      </c>
      <c r="M2197" s="1">
        <v>2015.63</v>
      </c>
      <c r="N2197" s="1">
        <v>18140.66</v>
      </c>
      <c r="O2197" s="1" t="s">
        <v>46</v>
      </c>
      <c r="P2197" s="1" t="s">
        <v>356</v>
      </c>
      <c r="Q2197" s="1">
        <v>4</v>
      </c>
      <c r="R2197" s="1">
        <f>Retail_Sales_Analyis[[#This Row],[Final_Price]]-Retail_Sales_Analyis[[#This Row],[Total_Price]]</f>
        <v>-2015.630000000001</v>
      </c>
      <c r="S21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98" spans="1:19" x14ac:dyDescent="0.25">
      <c r="A2198" s="1" t="s">
        <v>3224</v>
      </c>
      <c r="B2198" s="2">
        <v>45520</v>
      </c>
      <c r="C2198" s="1" t="s">
        <v>93</v>
      </c>
      <c r="D2198" s="1" t="s">
        <v>144</v>
      </c>
      <c r="E2198" s="1" t="s">
        <v>302</v>
      </c>
      <c r="F2198" s="1" t="s">
        <v>37</v>
      </c>
      <c r="G2198" s="1" t="s">
        <v>57</v>
      </c>
      <c r="H2198" s="1" t="s">
        <v>158</v>
      </c>
      <c r="I2198" s="1">
        <v>1892.33</v>
      </c>
      <c r="J2198" s="1">
        <v>3</v>
      </c>
      <c r="K2198" s="1">
        <v>5676.99</v>
      </c>
      <c r="L2198" s="1">
        <v>10</v>
      </c>
      <c r="M2198" s="1">
        <v>567.70000000000005</v>
      </c>
      <c r="N2198" s="1">
        <v>5109.29</v>
      </c>
      <c r="O2198" s="1" t="s">
        <v>24</v>
      </c>
      <c r="P2198" s="1" t="s">
        <v>373</v>
      </c>
      <c r="Q2198" s="1">
        <v>3</v>
      </c>
      <c r="R2198" s="1">
        <f>Retail_Sales_Analyis[[#This Row],[Final_Price]]-Retail_Sales_Analyis[[#This Row],[Total_Price]]</f>
        <v>-567.69999999999982</v>
      </c>
      <c r="S21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199" spans="1:19" x14ac:dyDescent="0.25">
      <c r="A2199" s="1" t="s">
        <v>3225</v>
      </c>
      <c r="B2199" s="2">
        <v>45401</v>
      </c>
      <c r="C2199" s="1" t="s">
        <v>54</v>
      </c>
      <c r="D2199" s="1" t="s">
        <v>144</v>
      </c>
      <c r="E2199" s="1" t="s">
        <v>44</v>
      </c>
      <c r="F2199" s="1" t="s">
        <v>84</v>
      </c>
      <c r="G2199" s="1" t="s">
        <v>78</v>
      </c>
      <c r="H2199" s="1" t="s">
        <v>323</v>
      </c>
      <c r="I2199" s="1">
        <v>195.04</v>
      </c>
      <c r="J2199" s="1">
        <v>9</v>
      </c>
      <c r="K2199" s="1">
        <v>1755.36</v>
      </c>
      <c r="L2199" s="1">
        <v>5</v>
      </c>
      <c r="M2199" s="1">
        <v>87.77</v>
      </c>
      <c r="N2199" s="1">
        <v>1667.59</v>
      </c>
      <c r="O2199" s="1" t="s">
        <v>24</v>
      </c>
      <c r="P2199" s="1" t="s">
        <v>515</v>
      </c>
      <c r="Q2199" s="1">
        <v>1</v>
      </c>
      <c r="R2199" s="1">
        <f>Retail_Sales_Analyis[[#This Row],[Final_Price]]-Retail_Sales_Analyis[[#This Row],[Total_Price]]</f>
        <v>-87.769999999999982</v>
      </c>
      <c r="S21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00" spans="1:19" x14ac:dyDescent="0.25">
      <c r="A2200" s="1" t="s">
        <v>3226</v>
      </c>
      <c r="B2200" s="2">
        <v>45605</v>
      </c>
      <c r="C2200" s="1" t="s">
        <v>18</v>
      </c>
      <c r="D2200" s="1" t="s">
        <v>19</v>
      </c>
      <c r="E2200" s="1" t="s">
        <v>163</v>
      </c>
      <c r="F2200" s="1" t="s">
        <v>21</v>
      </c>
      <c r="G2200" s="1" t="s">
        <v>57</v>
      </c>
      <c r="H2200" s="1" t="s">
        <v>101</v>
      </c>
      <c r="I2200" s="1">
        <v>1039.3800000000001</v>
      </c>
      <c r="J2200" s="1">
        <v>3</v>
      </c>
      <c r="K2200" s="1">
        <v>3118.14</v>
      </c>
      <c r="L2200" s="1">
        <v>0</v>
      </c>
      <c r="M2200" s="1">
        <v>0</v>
      </c>
      <c r="N2200" s="1">
        <v>3118.14</v>
      </c>
      <c r="O2200" s="1" t="s">
        <v>64</v>
      </c>
      <c r="P2200" s="1" t="s">
        <v>1517</v>
      </c>
      <c r="Q2200" s="1">
        <v>3</v>
      </c>
      <c r="R2200" s="1">
        <f>Retail_Sales_Analyis[[#This Row],[Final_Price]]-Retail_Sales_Analyis[[#This Row],[Total_Price]]</f>
        <v>0</v>
      </c>
      <c r="S22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01" spans="1:19" x14ac:dyDescent="0.25">
      <c r="A2201" s="1" t="s">
        <v>3227</v>
      </c>
      <c r="B2201" s="2">
        <v>45438</v>
      </c>
      <c r="C2201" s="1" t="s">
        <v>42</v>
      </c>
      <c r="D2201" s="1" t="s">
        <v>49</v>
      </c>
      <c r="E2201" s="1" t="s">
        <v>125</v>
      </c>
      <c r="F2201" s="1" t="s">
        <v>30</v>
      </c>
      <c r="G2201" s="1" t="s">
        <v>38</v>
      </c>
      <c r="H2201" s="1" t="s">
        <v>422</v>
      </c>
      <c r="I2201" s="1">
        <v>640.04999999999995</v>
      </c>
      <c r="J2201" s="1">
        <v>2</v>
      </c>
      <c r="K2201" s="1">
        <v>1280.0999999999999</v>
      </c>
      <c r="L2201" s="1">
        <v>20</v>
      </c>
      <c r="M2201" s="1">
        <v>256.02</v>
      </c>
      <c r="N2201" s="1">
        <v>1024.08</v>
      </c>
      <c r="O2201" s="1" t="s">
        <v>33</v>
      </c>
      <c r="P2201" s="1" t="s">
        <v>3228</v>
      </c>
      <c r="Q2201" s="1">
        <v>2</v>
      </c>
      <c r="R2201" s="1">
        <f>Retail_Sales_Analyis[[#This Row],[Final_Price]]-Retail_Sales_Analyis[[#This Row],[Total_Price]]</f>
        <v>-256.02</v>
      </c>
      <c r="S22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02" spans="1:19" x14ac:dyDescent="0.25">
      <c r="A2202" s="1" t="s">
        <v>3229</v>
      </c>
      <c r="B2202" s="2">
        <v>45647</v>
      </c>
      <c r="C2202" s="1" t="s">
        <v>73</v>
      </c>
      <c r="D2202" s="1" t="s">
        <v>19</v>
      </c>
      <c r="E2202" s="1" t="s">
        <v>151</v>
      </c>
      <c r="F2202" s="1" t="s">
        <v>69</v>
      </c>
      <c r="G2202" s="1" t="s">
        <v>22</v>
      </c>
      <c r="H2202" s="1" t="s">
        <v>277</v>
      </c>
      <c r="I2202" s="1">
        <v>836.9</v>
      </c>
      <c r="J2202" s="1">
        <v>9</v>
      </c>
      <c r="K2202" s="1">
        <v>7532.1</v>
      </c>
      <c r="L2202" s="1">
        <v>20</v>
      </c>
      <c r="M2202" s="1">
        <v>1506.42</v>
      </c>
      <c r="N2202" s="1">
        <v>6025.68</v>
      </c>
      <c r="O2202" s="1" t="s">
        <v>33</v>
      </c>
      <c r="P2202" s="1" t="s">
        <v>3230</v>
      </c>
      <c r="Q2202" s="1">
        <v>5</v>
      </c>
      <c r="R2202" s="1">
        <f>Retail_Sales_Analyis[[#This Row],[Final_Price]]-Retail_Sales_Analyis[[#This Row],[Total_Price]]</f>
        <v>-1506.42</v>
      </c>
      <c r="S220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03" spans="1:19" x14ac:dyDescent="0.25">
      <c r="A2203" s="1" t="s">
        <v>3231</v>
      </c>
      <c r="B2203" s="2">
        <v>45543</v>
      </c>
      <c r="C2203" s="1" t="s">
        <v>116</v>
      </c>
      <c r="D2203" s="1" t="s">
        <v>49</v>
      </c>
      <c r="E2203" s="1" t="s">
        <v>117</v>
      </c>
      <c r="F2203" s="1" t="s">
        <v>21</v>
      </c>
      <c r="G2203" s="1" t="s">
        <v>112</v>
      </c>
      <c r="H2203" s="1" t="s">
        <v>113</v>
      </c>
      <c r="I2203" s="1">
        <v>1038.4000000000001</v>
      </c>
      <c r="J2203" s="1">
        <v>5</v>
      </c>
      <c r="K2203" s="1">
        <v>5192</v>
      </c>
      <c r="L2203" s="1">
        <v>20</v>
      </c>
      <c r="M2203" s="1">
        <v>1038.4000000000001</v>
      </c>
      <c r="N2203" s="1">
        <v>4153.6000000000004</v>
      </c>
      <c r="O2203" s="1" t="s">
        <v>80</v>
      </c>
      <c r="P2203" s="1" t="s">
        <v>244</v>
      </c>
      <c r="Q2203" s="1">
        <v>3</v>
      </c>
      <c r="R2203" s="1">
        <f>Retail_Sales_Analyis[[#This Row],[Final_Price]]-Retail_Sales_Analyis[[#This Row],[Total_Price]]</f>
        <v>-1038.3999999999996</v>
      </c>
      <c r="S22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04" spans="1:19" x14ac:dyDescent="0.25">
      <c r="A2204" s="1" t="s">
        <v>3232</v>
      </c>
      <c r="B2204" s="2">
        <v>45394</v>
      </c>
      <c r="C2204" s="1" t="s">
        <v>54</v>
      </c>
      <c r="D2204" s="1" t="s">
        <v>144</v>
      </c>
      <c r="E2204" s="1" t="s">
        <v>186</v>
      </c>
      <c r="F2204" s="1" t="s">
        <v>84</v>
      </c>
      <c r="G2204" s="1" t="s">
        <v>85</v>
      </c>
      <c r="H2204" s="1" t="s">
        <v>86</v>
      </c>
      <c r="I2204" s="1">
        <v>3237.65</v>
      </c>
      <c r="J2204" s="1">
        <v>1</v>
      </c>
      <c r="K2204" s="1">
        <v>3237.65</v>
      </c>
      <c r="L2204" s="1">
        <v>0</v>
      </c>
      <c r="M2204" s="1">
        <v>0</v>
      </c>
      <c r="N2204" s="1">
        <v>3237.65</v>
      </c>
      <c r="O2204" s="1" t="s">
        <v>33</v>
      </c>
      <c r="P2204" s="1" t="s">
        <v>932</v>
      </c>
      <c r="Q2204" s="1">
        <v>2</v>
      </c>
      <c r="R2204" s="1">
        <f>Retail_Sales_Analyis[[#This Row],[Final_Price]]-Retail_Sales_Analyis[[#This Row],[Total_Price]]</f>
        <v>0</v>
      </c>
      <c r="S22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05" spans="1:19" x14ac:dyDescent="0.25">
      <c r="A2205" s="1" t="s">
        <v>3233</v>
      </c>
      <c r="B2205" s="2">
        <v>45354</v>
      </c>
      <c r="C2205" s="1" t="s">
        <v>61</v>
      </c>
      <c r="D2205" s="1" t="s">
        <v>49</v>
      </c>
      <c r="E2205" s="1" t="s">
        <v>213</v>
      </c>
      <c r="F2205" s="1" t="s">
        <v>30</v>
      </c>
      <c r="G2205" s="1" t="s">
        <v>38</v>
      </c>
      <c r="H2205" s="1" t="s">
        <v>39</v>
      </c>
      <c r="I2205" s="1">
        <v>556.99</v>
      </c>
      <c r="J2205" s="1">
        <v>1</v>
      </c>
      <c r="K2205" s="1">
        <v>556.99</v>
      </c>
      <c r="L2205" s="1">
        <v>10</v>
      </c>
      <c r="M2205" s="1">
        <v>55.7</v>
      </c>
      <c r="N2205" s="1">
        <v>501.29</v>
      </c>
      <c r="O2205" s="1" t="s">
        <v>46</v>
      </c>
      <c r="P2205" s="1" t="s">
        <v>3234</v>
      </c>
      <c r="Q2205" s="1">
        <v>2</v>
      </c>
      <c r="R2205" s="1">
        <f>Retail_Sales_Analyis[[#This Row],[Final_Price]]-Retail_Sales_Analyis[[#This Row],[Total_Price]]</f>
        <v>-55.699999999999989</v>
      </c>
      <c r="S22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06" spans="1:19" x14ac:dyDescent="0.25">
      <c r="A2206" s="1" t="s">
        <v>3235</v>
      </c>
      <c r="B2206" s="2">
        <v>45361</v>
      </c>
      <c r="C2206" s="1" t="s">
        <v>61</v>
      </c>
      <c r="D2206" s="1" t="s">
        <v>49</v>
      </c>
      <c r="E2206" s="1" t="s">
        <v>204</v>
      </c>
      <c r="F2206" s="1" t="s">
        <v>30</v>
      </c>
      <c r="G2206" s="1" t="s">
        <v>78</v>
      </c>
      <c r="H2206" s="1" t="s">
        <v>136</v>
      </c>
      <c r="I2206" s="1">
        <v>483.86</v>
      </c>
      <c r="J2206" s="1">
        <v>5</v>
      </c>
      <c r="K2206" s="1">
        <v>2419.3000000000002</v>
      </c>
      <c r="L2206" s="1">
        <v>0</v>
      </c>
      <c r="M2206" s="1">
        <v>0</v>
      </c>
      <c r="N2206" s="1">
        <v>2419.3000000000002</v>
      </c>
      <c r="O2206" s="1" t="s">
        <v>24</v>
      </c>
      <c r="P2206" s="1" t="s">
        <v>2039</v>
      </c>
      <c r="Q2206" s="1">
        <v>4</v>
      </c>
      <c r="R2206" s="1">
        <f>Retail_Sales_Analyis[[#This Row],[Final_Price]]-Retail_Sales_Analyis[[#This Row],[Total_Price]]</f>
        <v>0</v>
      </c>
      <c r="S22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07" spans="1:19" x14ac:dyDescent="0.25">
      <c r="A2207" s="1" t="s">
        <v>3236</v>
      </c>
      <c r="B2207" s="2">
        <v>45329</v>
      </c>
      <c r="C2207" s="1" t="s">
        <v>27</v>
      </c>
      <c r="D2207" s="1" t="s">
        <v>55</v>
      </c>
      <c r="E2207" s="1" t="s">
        <v>141</v>
      </c>
      <c r="F2207" s="1" t="s">
        <v>37</v>
      </c>
      <c r="G2207" s="1" t="s">
        <v>78</v>
      </c>
      <c r="H2207" s="1" t="s">
        <v>126</v>
      </c>
      <c r="I2207" s="1">
        <v>421.53</v>
      </c>
      <c r="J2207" s="1">
        <v>1</v>
      </c>
      <c r="K2207" s="1">
        <v>421.53</v>
      </c>
      <c r="L2207" s="1">
        <v>10</v>
      </c>
      <c r="M2207" s="1">
        <v>42.15</v>
      </c>
      <c r="N2207" s="1">
        <v>379.38</v>
      </c>
      <c r="O2207" s="1" t="s">
        <v>64</v>
      </c>
      <c r="P2207" s="1" t="s">
        <v>2597</v>
      </c>
      <c r="Q2207" s="1">
        <v>4</v>
      </c>
      <c r="R2207" s="1">
        <f>Retail_Sales_Analyis[[#This Row],[Final_Price]]-Retail_Sales_Analyis[[#This Row],[Total_Price]]</f>
        <v>-42.149999999999977</v>
      </c>
      <c r="S22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08" spans="1:19" x14ac:dyDescent="0.25">
      <c r="A2208" s="1" t="s">
        <v>3237</v>
      </c>
      <c r="B2208" s="2">
        <v>45523</v>
      </c>
      <c r="C2208" s="1" t="s">
        <v>93</v>
      </c>
      <c r="D2208" s="1" t="s">
        <v>43</v>
      </c>
      <c r="E2208" s="1" t="s">
        <v>125</v>
      </c>
      <c r="F2208" s="1" t="s">
        <v>69</v>
      </c>
      <c r="G2208" s="1" t="s">
        <v>22</v>
      </c>
      <c r="H2208" s="1" t="s">
        <v>133</v>
      </c>
      <c r="I2208" s="1">
        <v>443.78</v>
      </c>
      <c r="J2208" s="1">
        <v>7</v>
      </c>
      <c r="K2208" s="1">
        <v>3106.46</v>
      </c>
      <c r="L2208" s="1">
        <v>15</v>
      </c>
      <c r="M2208" s="1">
        <v>465.97</v>
      </c>
      <c r="N2208" s="1">
        <v>2640.49</v>
      </c>
      <c r="O2208" s="1" t="s">
        <v>24</v>
      </c>
      <c r="P2208" s="1" t="s">
        <v>25</v>
      </c>
      <c r="Q2208" s="1">
        <v>3</v>
      </c>
      <c r="R2208" s="1">
        <f>Retail_Sales_Analyis[[#This Row],[Final_Price]]-Retail_Sales_Analyis[[#This Row],[Total_Price]]</f>
        <v>-465.97000000000025</v>
      </c>
      <c r="S22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09" spans="1:19" x14ac:dyDescent="0.25">
      <c r="A2209" s="1" t="s">
        <v>3238</v>
      </c>
      <c r="B2209" s="2">
        <v>45380</v>
      </c>
      <c r="C2209" s="1" t="s">
        <v>61</v>
      </c>
      <c r="D2209" s="1" t="s">
        <v>144</v>
      </c>
      <c r="E2209" s="1" t="s">
        <v>141</v>
      </c>
      <c r="F2209" s="1" t="s">
        <v>69</v>
      </c>
      <c r="G2209" s="1" t="s">
        <v>38</v>
      </c>
      <c r="H2209" s="1" t="s">
        <v>422</v>
      </c>
      <c r="I2209" s="1">
        <v>248.6</v>
      </c>
      <c r="J2209" s="1">
        <v>1</v>
      </c>
      <c r="K2209" s="1">
        <v>248.6</v>
      </c>
      <c r="L2209" s="1">
        <v>5</v>
      </c>
      <c r="M2209" s="1">
        <v>12.43</v>
      </c>
      <c r="N2209" s="1">
        <v>236.17</v>
      </c>
      <c r="O2209" s="1" t="s">
        <v>33</v>
      </c>
      <c r="P2209" s="1" t="s">
        <v>3239</v>
      </c>
      <c r="Q2209" s="1">
        <v>1</v>
      </c>
      <c r="R2209" s="1">
        <f>Retail_Sales_Analyis[[#This Row],[Final_Price]]-Retail_Sales_Analyis[[#This Row],[Total_Price]]</f>
        <v>-12.430000000000007</v>
      </c>
      <c r="S22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10" spans="1:19" x14ac:dyDescent="0.25">
      <c r="A2210" s="1" t="s">
        <v>3240</v>
      </c>
      <c r="B2210" s="2">
        <v>45657</v>
      </c>
      <c r="C2210" s="1" t="s">
        <v>73</v>
      </c>
      <c r="D2210" s="1" t="s">
        <v>28</v>
      </c>
      <c r="E2210" s="1" t="s">
        <v>285</v>
      </c>
      <c r="F2210" s="1" t="s">
        <v>69</v>
      </c>
      <c r="G2210" s="1" t="s">
        <v>78</v>
      </c>
      <c r="H2210" s="1" t="s">
        <v>136</v>
      </c>
      <c r="I2210" s="1">
        <v>265.38</v>
      </c>
      <c r="J2210" s="1">
        <v>7</v>
      </c>
      <c r="K2210" s="1">
        <v>1857.66</v>
      </c>
      <c r="L2210" s="1">
        <v>20</v>
      </c>
      <c r="M2210" s="1">
        <v>371.53</v>
      </c>
      <c r="N2210" s="1">
        <v>1486.13</v>
      </c>
      <c r="O2210" s="1" t="s">
        <v>33</v>
      </c>
      <c r="P2210" s="1" t="s">
        <v>127</v>
      </c>
      <c r="Q2210" s="1">
        <v>2</v>
      </c>
      <c r="R2210" s="1">
        <f>Retail_Sales_Analyis[[#This Row],[Final_Price]]-Retail_Sales_Analyis[[#This Row],[Total_Price]]</f>
        <v>-371.53</v>
      </c>
      <c r="S22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11" spans="1:19" x14ac:dyDescent="0.25">
      <c r="A2211" s="1" t="s">
        <v>3241</v>
      </c>
      <c r="B2211" s="2">
        <v>45519</v>
      </c>
      <c r="C2211" s="1" t="s">
        <v>93</v>
      </c>
      <c r="D2211" s="1" t="s">
        <v>67</v>
      </c>
      <c r="E2211" s="1" t="s">
        <v>139</v>
      </c>
      <c r="F2211" s="1" t="s">
        <v>30</v>
      </c>
      <c r="G2211" s="1" t="s">
        <v>57</v>
      </c>
      <c r="H2211" s="1" t="s">
        <v>58</v>
      </c>
      <c r="I2211" s="1">
        <v>1749.67</v>
      </c>
      <c r="J2211" s="1">
        <v>2</v>
      </c>
      <c r="K2211" s="1">
        <v>3499.34</v>
      </c>
      <c r="L2211" s="1">
        <v>0</v>
      </c>
      <c r="M2211" s="1">
        <v>0</v>
      </c>
      <c r="N2211" s="1">
        <v>3499.34</v>
      </c>
      <c r="O2211" s="1" t="s">
        <v>46</v>
      </c>
      <c r="P2211" s="1" t="s">
        <v>1339</v>
      </c>
      <c r="Q2211" s="1">
        <v>1</v>
      </c>
      <c r="R2211" s="1">
        <f>Retail_Sales_Analyis[[#This Row],[Final_Price]]-Retail_Sales_Analyis[[#This Row],[Total_Price]]</f>
        <v>0</v>
      </c>
      <c r="S22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12" spans="1:19" x14ac:dyDescent="0.25">
      <c r="A2212" s="1" t="s">
        <v>3242</v>
      </c>
      <c r="B2212" s="2">
        <v>45336</v>
      </c>
      <c r="C2212" s="1" t="s">
        <v>27</v>
      </c>
      <c r="D2212" s="1" t="s">
        <v>55</v>
      </c>
      <c r="E2212" s="1" t="s">
        <v>322</v>
      </c>
      <c r="F2212" s="1" t="s">
        <v>37</v>
      </c>
      <c r="G2212" s="1" t="s">
        <v>112</v>
      </c>
      <c r="H2212" s="1" t="s">
        <v>223</v>
      </c>
      <c r="I2212" s="1">
        <v>723.73</v>
      </c>
      <c r="J2212" s="1">
        <v>8</v>
      </c>
      <c r="K2212" s="1">
        <v>5789.84</v>
      </c>
      <c r="L2212" s="1">
        <v>15</v>
      </c>
      <c r="M2212" s="1">
        <v>868.48</v>
      </c>
      <c r="N2212" s="1">
        <v>4921.3599999999997</v>
      </c>
      <c r="O2212" s="1" t="s">
        <v>64</v>
      </c>
      <c r="P2212" s="1" t="s">
        <v>2511</v>
      </c>
      <c r="Q2212" s="1">
        <v>5</v>
      </c>
      <c r="R2212" s="1">
        <f>Retail_Sales_Analyis[[#This Row],[Final_Price]]-Retail_Sales_Analyis[[#This Row],[Total_Price]]</f>
        <v>-868.48000000000047</v>
      </c>
      <c r="S22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13" spans="1:19" x14ac:dyDescent="0.25">
      <c r="A2213" s="1" t="s">
        <v>3243</v>
      </c>
      <c r="B2213" s="2">
        <v>45641</v>
      </c>
      <c r="C2213" s="1" t="s">
        <v>73</v>
      </c>
      <c r="D2213" s="1" t="s">
        <v>49</v>
      </c>
      <c r="E2213" s="1" t="s">
        <v>337</v>
      </c>
      <c r="F2213" s="1" t="s">
        <v>30</v>
      </c>
      <c r="G2213" s="1" t="s">
        <v>38</v>
      </c>
      <c r="H2213" s="1" t="s">
        <v>422</v>
      </c>
      <c r="I2213" s="1">
        <v>128.71</v>
      </c>
      <c r="J2213" s="1">
        <v>8</v>
      </c>
      <c r="K2213" s="1">
        <v>1029.68</v>
      </c>
      <c r="L2213" s="1">
        <v>15</v>
      </c>
      <c r="M2213" s="1">
        <v>154.44999999999999</v>
      </c>
      <c r="N2213" s="1">
        <v>875.23</v>
      </c>
      <c r="O2213" s="1" t="s">
        <v>80</v>
      </c>
      <c r="P2213" s="1" t="s">
        <v>707</v>
      </c>
      <c r="Q2213" s="1">
        <v>4</v>
      </c>
      <c r="R2213" s="1">
        <f>Retail_Sales_Analyis[[#This Row],[Final_Price]]-Retail_Sales_Analyis[[#This Row],[Total_Price]]</f>
        <v>-154.45000000000005</v>
      </c>
      <c r="S22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14" spans="1:19" x14ac:dyDescent="0.25">
      <c r="A2214" s="1" t="s">
        <v>3244</v>
      </c>
      <c r="B2214" s="2">
        <v>45455</v>
      </c>
      <c r="C2214" s="1" t="s">
        <v>173</v>
      </c>
      <c r="D2214" s="1" t="s">
        <v>55</v>
      </c>
      <c r="E2214" s="1" t="s">
        <v>125</v>
      </c>
      <c r="F2214" s="1" t="s">
        <v>21</v>
      </c>
      <c r="G2214" s="1" t="s">
        <v>57</v>
      </c>
      <c r="H2214" s="1" t="s">
        <v>158</v>
      </c>
      <c r="I2214" s="1">
        <v>1353.31</v>
      </c>
      <c r="J2214" s="1">
        <v>7</v>
      </c>
      <c r="K2214" s="1">
        <v>9473.17</v>
      </c>
      <c r="L2214" s="1">
        <v>0</v>
      </c>
      <c r="M2214" s="1">
        <v>0</v>
      </c>
      <c r="N2214" s="1">
        <v>9473.17</v>
      </c>
      <c r="O2214" s="1" t="s">
        <v>46</v>
      </c>
      <c r="P2214" s="1" t="s">
        <v>2055</v>
      </c>
      <c r="Q2214" s="1">
        <v>1</v>
      </c>
      <c r="R2214" s="1">
        <f>Retail_Sales_Analyis[[#This Row],[Final_Price]]-Retail_Sales_Analyis[[#This Row],[Total_Price]]</f>
        <v>0</v>
      </c>
      <c r="S22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15" spans="1:19" x14ac:dyDescent="0.25">
      <c r="A2215" s="1" t="s">
        <v>3245</v>
      </c>
      <c r="B2215" s="2">
        <v>45633</v>
      </c>
      <c r="C2215" s="1" t="s">
        <v>73</v>
      </c>
      <c r="D2215" s="1" t="s">
        <v>19</v>
      </c>
      <c r="E2215" s="1" t="s">
        <v>83</v>
      </c>
      <c r="F2215" s="1" t="s">
        <v>69</v>
      </c>
      <c r="G2215" s="1" t="s">
        <v>38</v>
      </c>
      <c r="H2215" s="1" t="s">
        <v>108</v>
      </c>
      <c r="I2215" s="1">
        <v>514.5</v>
      </c>
      <c r="J2215" s="1">
        <v>4</v>
      </c>
      <c r="K2215" s="1">
        <v>2058</v>
      </c>
      <c r="L2215" s="1">
        <v>0</v>
      </c>
      <c r="M2215" s="1">
        <v>0</v>
      </c>
      <c r="N2215" s="1">
        <v>2058</v>
      </c>
      <c r="O2215" s="1" t="s">
        <v>24</v>
      </c>
      <c r="P2215" s="1" t="s">
        <v>697</v>
      </c>
      <c r="Q2215" s="1">
        <v>4</v>
      </c>
      <c r="R2215" s="1">
        <f>Retail_Sales_Analyis[[#This Row],[Final_Price]]-Retail_Sales_Analyis[[#This Row],[Total_Price]]</f>
        <v>0</v>
      </c>
      <c r="S22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16" spans="1:19" x14ac:dyDescent="0.25">
      <c r="A2216" s="1" t="s">
        <v>3246</v>
      </c>
      <c r="B2216" s="2">
        <v>45469</v>
      </c>
      <c r="C2216" s="1" t="s">
        <v>173</v>
      </c>
      <c r="D2216" s="1" t="s">
        <v>55</v>
      </c>
      <c r="E2216" s="1" t="s">
        <v>68</v>
      </c>
      <c r="F2216" s="1" t="s">
        <v>21</v>
      </c>
      <c r="G2216" s="1" t="s">
        <v>57</v>
      </c>
      <c r="H2216" s="1" t="s">
        <v>152</v>
      </c>
      <c r="I2216" s="1">
        <v>2488.79</v>
      </c>
      <c r="J2216" s="1">
        <v>8</v>
      </c>
      <c r="K2216" s="1">
        <v>19910.32</v>
      </c>
      <c r="L2216" s="1">
        <v>15</v>
      </c>
      <c r="M2216" s="1">
        <v>2986.55</v>
      </c>
      <c r="N2216" s="1">
        <v>16923.77</v>
      </c>
      <c r="O2216" s="1" t="s">
        <v>24</v>
      </c>
      <c r="P2216" s="1" t="s">
        <v>1192</v>
      </c>
      <c r="Q2216" s="1">
        <v>5</v>
      </c>
      <c r="R2216" s="1">
        <f>Retail_Sales_Analyis[[#This Row],[Final_Price]]-Retail_Sales_Analyis[[#This Row],[Total_Price]]</f>
        <v>-2986.5499999999993</v>
      </c>
      <c r="S22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17" spans="1:19" x14ac:dyDescent="0.25">
      <c r="A2217" s="1" t="s">
        <v>3247</v>
      </c>
      <c r="B2217" s="2">
        <v>45655</v>
      </c>
      <c r="C2217" s="1" t="s">
        <v>73</v>
      </c>
      <c r="D2217" s="1" t="s">
        <v>49</v>
      </c>
      <c r="E2217" s="1" t="s">
        <v>50</v>
      </c>
      <c r="F2217" s="1" t="s">
        <v>37</v>
      </c>
      <c r="G2217" s="1" t="s">
        <v>85</v>
      </c>
      <c r="H2217" s="1" t="s">
        <v>86</v>
      </c>
      <c r="I2217" s="1">
        <v>2641.25</v>
      </c>
      <c r="J2217" s="1">
        <v>8</v>
      </c>
      <c r="K2217" s="1">
        <v>21130</v>
      </c>
      <c r="L2217" s="1">
        <v>10</v>
      </c>
      <c r="M2217" s="1">
        <v>2113</v>
      </c>
      <c r="N2217" s="1">
        <v>19017</v>
      </c>
      <c r="O2217" s="1" t="s">
        <v>46</v>
      </c>
      <c r="P2217" s="1" t="s">
        <v>3248</v>
      </c>
      <c r="Q2217" s="1">
        <v>1</v>
      </c>
      <c r="R2217" s="1">
        <f>Retail_Sales_Analyis[[#This Row],[Final_Price]]-Retail_Sales_Analyis[[#This Row],[Total_Price]]</f>
        <v>-2113</v>
      </c>
      <c r="S22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18" spans="1:19" x14ac:dyDescent="0.25">
      <c r="A2218" s="1" t="s">
        <v>3249</v>
      </c>
      <c r="B2218" s="2">
        <v>45325</v>
      </c>
      <c r="C2218" s="1" t="s">
        <v>27</v>
      </c>
      <c r="D2218" s="1" t="s">
        <v>19</v>
      </c>
      <c r="E2218" s="1" t="s">
        <v>174</v>
      </c>
      <c r="F2218" s="1" t="s">
        <v>30</v>
      </c>
      <c r="G2218" s="1" t="s">
        <v>31</v>
      </c>
      <c r="H2218" s="1" t="s">
        <v>45</v>
      </c>
      <c r="I2218" s="1">
        <v>341.17</v>
      </c>
      <c r="J2218" s="1">
        <v>7</v>
      </c>
      <c r="K2218" s="1">
        <v>2388.19</v>
      </c>
      <c r="L2218" s="1">
        <v>0</v>
      </c>
      <c r="M2218" s="1">
        <v>0</v>
      </c>
      <c r="N2218" s="1">
        <v>2388.19</v>
      </c>
      <c r="O2218" s="1" t="s">
        <v>64</v>
      </c>
      <c r="P2218" s="1" t="s">
        <v>3011</v>
      </c>
      <c r="Q2218" s="1">
        <v>5</v>
      </c>
      <c r="R2218" s="1">
        <f>Retail_Sales_Analyis[[#This Row],[Final_Price]]-Retail_Sales_Analyis[[#This Row],[Total_Price]]</f>
        <v>0</v>
      </c>
      <c r="S22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19" spans="1:19" x14ac:dyDescent="0.25">
      <c r="A2219" s="1" t="s">
        <v>3250</v>
      </c>
      <c r="B2219" s="2">
        <v>45573</v>
      </c>
      <c r="C2219" s="1" t="s">
        <v>76</v>
      </c>
      <c r="D2219" s="1" t="s">
        <v>28</v>
      </c>
      <c r="E2219" s="1" t="s">
        <v>351</v>
      </c>
      <c r="F2219" s="1" t="s">
        <v>21</v>
      </c>
      <c r="G2219" s="1" t="s">
        <v>112</v>
      </c>
      <c r="H2219" s="1" t="s">
        <v>288</v>
      </c>
      <c r="I2219" s="1">
        <v>1206.0899999999999</v>
      </c>
      <c r="J2219" s="1">
        <v>4</v>
      </c>
      <c r="K2219" s="1">
        <v>4824.3599999999997</v>
      </c>
      <c r="L2219" s="1">
        <v>10</v>
      </c>
      <c r="M2219" s="1">
        <v>482.44</v>
      </c>
      <c r="N2219" s="1">
        <v>4341.92</v>
      </c>
      <c r="O2219" s="1" t="s">
        <v>33</v>
      </c>
      <c r="P2219" s="1" t="s">
        <v>385</v>
      </c>
      <c r="Q2219" s="1">
        <v>2</v>
      </c>
      <c r="R2219" s="1">
        <f>Retail_Sales_Analyis[[#This Row],[Final_Price]]-Retail_Sales_Analyis[[#This Row],[Total_Price]]</f>
        <v>-482.4399999999996</v>
      </c>
      <c r="S22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20" spans="1:19" x14ac:dyDescent="0.25">
      <c r="A2220" s="1" t="s">
        <v>3251</v>
      </c>
      <c r="B2220" s="2">
        <v>45569</v>
      </c>
      <c r="C2220" s="1" t="s">
        <v>76</v>
      </c>
      <c r="D2220" s="1" t="s">
        <v>144</v>
      </c>
      <c r="E2220" s="1" t="s">
        <v>104</v>
      </c>
      <c r="F2220" s="1" t="s">
        <v>30</v>
      </c>
      <c r="G2220" s="1" t="s">
        <v>31</v>
      </c>
      <c r="H2220" s="1" t="s">
        <v>32</v>
      </c>
      <c r="I2220" s="1">
        <v>60.83</v>
      </c>
      <c r="J2220" s="1">
        <v>6</v>
      </c>
      <c r="K2220" s="1">
        <v>364.98</v>
      </c>
      <c r="L2220" s="1">
        <v>20</v>
      </c>
      <c r="M2220" s="1">
        <v>73</v>
      </c>
      <c r="N2220" s="1">
        <v>291.98</v>
      </c>
      <c r="O2220" s="1" t="s">
        <v>46</v>
      </c>
      <c r="P2220" s="1" t="s">
        <v>2745</v>
      </c>
      <c r="Q2220" s="1">
        <v>1</v>
      </c>
      <c r="R2220" s="1">
        <f>Retail_Sales_Analyis[[#This Row],[Final_Price]]-Retail_Sales_Analyis[[#This Row],[Total_Price]]</f>
        <v>-73</v>
      </c>
      <c r="S22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21" spans="1:19" x14ac:dyDescent="0.25">
      <c r="A2221" s="1" t="s">
        <v>3252</v>
      </c>
      <c r="B2221" s="2">
        <v>45440</v>
      </c>
      <c r="C2221" s="1" t="s">
        <v>42</v>
      </c>
      <c r="D2221" s="1" t="s">
        <v>28</v>
      </c>
      <c r="E2221" s="1" t="s">
        <v>302</v>
      </c>
      <c r="F2221" s="1" t="s">
        <v>37</v>
      </c>
      <c r="G2221" s="1" t="s">
        <v>85</v>
      </c>
      <c r="H2221" s="1" t="s">
        <v>98</v>
      </c>
      <c r="I2221" s="1">
        <v>4313.74</v>
      </c>
      <c r="J2221" s="1">
        <v>8</v>
      </c>
      <c r="K2221" s="1">
        <v>34509.919999999998</v>
      </c>
      <c r="L2221" s="1">
        <v>0</v>
      </c>
      <c r="M2221" s="1">
        <v>0</v>
      </c>
      <c r="N2221" s="1">
        <v>34509.919999999998</v>
      </c>
      <c r="O2221" s="1" t="s">
        <v>46</v>
      </c>
      <c r="P2221" s="1" t="s">
        <v>413</v>
      </c>
      <c r="Q2221" s="1">
        <v>5</v>
      </c>
      <c r="R2221" s="1">
        <f>Retail_Sales_Analyis[[#This Row],[Final_Price]]-Retail_Sales_Analyis[[#This Row],[Total_Price]]</f>
        <v>0</v>
      </c>
      <c r="S22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22" spans="1:19" x14ac:dyDescent="0.25">
      <c r="A2222" s="1" t="s">
        <v>3253</v>
      </c>
      <c r="B2222" s="2">
        <v>45445</v>
      </c>
      <c r="C2222" s="1" t="s">
        <v>173</v>
      </c>
      <c r="D2222" s="1" t="s">
        <v>49</v>
      </c>
      <c r="E2222" s="1" t="s">
        <v>174</v>
      </c>
      <c r="F2222" s="1" t="s">
        <v>37</v>
      </c>
      <c r="G2222" s="1" t="s">
        <v>22</v>
      </c>
      <c r="H2222" s="1" t="s">
        <v>51</v>
      </c>
      <c r="I2222" s="1">
        <v>223.79</v>
      </c>
      <c r="J2222" s="1">
        <v>7</v>
      </c>
      <c r="K2222" s="1">
        <v>1566.53</v>
      </c>
      <c r="L2222" s="1">
        <v>0</v>
      </c>
      <c r="M2222" s="1">
        <v>0</v>
      </c>
      <c r="N2222" s="1">
        <v>1566.53</v>
      </c>
      <c r="O2222" s="1" t="s">
        <v>64</v>
      </c>
      <c r="P2222" s="1" t="s">
        <v>710</v>
      </c>
      <c r="Q2222" s="1">
        <v>1</v>
      </c>
      <c r="R2222" s="1">
        <f>Retail_Sales_Analyis[[#This Row],[Final_Price]]-Retail_Sales_Analyis[[#This Row],[Total_Price]]</f>
        <v>0</v>
      </c>
      <c r="S22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23" spans="1:19" x14ac:dyDescent="0.25">
      <c r="A2223" s="1" t="s">
        <v>3254</v>
      </c>
      <c r="B2223" s="2">
        <v>45372</v>
      </c>
      <c r="C2223" s="1" t="s">
        <v>61</v>
      </c>
      <c r="D2223" s="1" t="s">
        <v>67</v>
      </c>
      <c r="E2223" s="1" t="s">
        <v>132</v>
      </c>
      <c r="F2223" s="1" t="s">
        <v>21</v>
      </c>
      <c r="G2223" s="1" t="s">
        <v>85</v>
      </c>
      <c r="H2223" s="1" t="s">
        <v>90</v>
      </c>
      <c r="I2223" s="1">
        <v>4723.7299999999996</v>
      </c>
      <c r="J2223" s="1">
        <v>1</v>
      </c>
      <c r="K2223" s="1">
        <v>4723.7299999999996</v>
      </c>
      <c r="L2223" s="1">
        <v>5</v>
      </c>
      <c r="M2223" s="1">
        <v>236.19</v>
      </c>
      <c r="N2223" s="1">
        <v>4487.54</v>
      </c>
      <c r="O2223" s="1" t="s">
        <v>64</v>
      </c>
      <c r="P2223" s="1" t="s">
        <v>1100</v>
      </c>
      <c r="Q2223" s="1">
        <v>5</v>
      </c>
      <c r="R2223" s="1">
        <f>Retail_Sales_Analyis[[#This Row],[Final_Price]]-Retail_Sales_Analyis[[#This Row],[Total_Price]]</f>
        <v>-236.1899999999996</v>
      </c>
      <c r="S22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4" spans="1:19" x14ac:dyDescent="0.25">
      <c r="A2224" s="1" t="s">
        <v>3255</v>
      </c>
      <c r="B2224" s="2">
        <v>45656</v>
      </c>
      <c r="C2224" s="1" t="s">
        <v>73</v>
      </c>
      <c r="D2224" s="1" t="s">
        <v>43</v>
      </c>
      <c r="E2224" s="1" t="s">
        <v>107</v>
      </c>
      <c r="F2224" s="1" t="s">
        <v>69</v>
      </c>
      <c r="G2224" s="1" t="s">
        <v>169</v>
      </c>
      <c r="H2224" s="1" t="s">
        <v>170</v>
      </c>
      <c r="I2224" s="1">
        <v>1279.68</v>
      </c>
      <c r="J2224" s="1">
        <v>3</v>
      </c>
      <c r="K2224" s="1">
        <v>3839.04</v>
      </c>
      <c r="L2224" s="1">
        <v>5</v>
      </c>
      <c r="M2224" s="1">
        <v>191.95</v>
      </c>
      <c r="N2224" s="1">
        <v>3647.09</v>
      </c>
      <c r="O2224" s="1" t="s">
        <v>24</v>
      </c>
      <c r="P2224" s="1" t="s">
        <v>3210</v>
      </c>
      <c r="Q2224" s="1">
        <v>5</v>
      </c>
      <c r="R2224" s="1">
        <f>Retail_Sales_Analyis[[#This Row],[Final_Price]]-Retail_Sales_Analyis[[#This Row],[Total_Price]]</f>
        <v>-191.94999999999982</v>
      </c>
      <c r="S222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5" spans="1:19" x14ac:dyDescent="0.25">
      <c r="A2225" s="1" t="s">
        <v>3256</v>
      </c>
      <c r="B2225" s="2">
        <v>45655</v>
      </c>
      <c r="C2225" s="1" t="s">
        <v>73</v>
      </c>
      <c r="D2225" s="1" t="s">
        <v>49</v>
      </c>
      <c r="E2225" s="1" t="s">
        <v>117</v>
      </c>
      <c r="F2225" s="1" t="s">
        <v>37</v>
      </c>
      <c r="G2225" s="1" t="s">
        <v>78</v>
      </c>
      <c r="H2225" s="1" t="s">
        <v>146</v>
      </c>
      <c r="I2225" s="1">
        <v>497.68</v>
      </c>
      <c r="J2225" s="1">
        <v>4</v>
      </c>
      <c r="K2225" s="1">
        <v>1990.72</v>
      </c>
      <c r="L2225" s="1">
        <v>5</v>
      </c>
      <c r="M2225" s="1">
        <v>99.54</v>
      </c>
      <c r="N2225" s="1">
        <v>1891.18</v>
      </c>
      <c r="O2225" s="1" t="s">
        <v>24</v>
      </c>
      <c r="P2225" s="1" t="s">
        <v>3206</v>
      </c>
      <c r="Q2225" s="1">
        <v>4</v>
      </c>
      <c r="R2225" s="1">
        <f>Retail_Sales_Analyis[[#This Row],[Final_Price]]-Retail_Sales_Analyis[[#This Row],[Total_Price]]</f>
        <v>-99.539999999999964</v>
      </c>
      <c r="S22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6" spans="1:19" x14ac:dyDescent="0.25">
      <c r="A2226" s="1" t="s">
        <v>3257</v>
      </c>
      <c r="B2226" s="2">
        <v>45650</v>
      </c>
      <c r="C2226" s="1" t="s">
        <v>73</v>
      </c>
      <c r="D2226" s="1" t="s">
        <v>28</v>
      </c>
      <c r="E2226" s="1" t="s">
        <v>236</v>
      </c>
      <c r="F2226" s="1" t="s">
        <v>37</v>
      </c>
      <c r="G2226" s="1" t="s">
        <v>22</v>
      </c>
      <c r="H2226" s="1" t="s">
        <v>277</v>
      </c>
      <c r="I2226" s="1">
        <v>688.6</v>
      </c>
      <c r="J2226" s="1">
        <v>3</v>
      </c>
      <c r="K2226" s="1">
        <v>2065.8000000000002</v>
      </c>
      <c r="L2226" s="1">
        <v>5</v>
      </c>
      <c r="M2226" s="1">
        <v>103.29</v>
      </c>
      <c r="N2226" s="1">
        <v>1962.51</v>
      </c>
      <c r="O2226" s="1" t="s">
        <v>80</v>
      </c>
      <c r="P2226" s="1" t="s">
        <v>1776</v>
      </c>
      <c r="Q2226" s="1">
        <v>3</v>
      </c>
      <c r="R2226" s="1">
        <f>Retail_Sales_Analyis[[#This Row],[Final_Price]]-Retail_Sales_Analyis[[#This Row],[Total_Price]]</f>
        <v>-103.29000000000019</v>
      </c>
      <c r="S222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7" spans="1:19" x14ac:dyDescent="0.25">
      <c r="A2227" s="1" t="s">
        <v>3258</v>
      </c>
      <c r="B2227" s="2">
        <v>45618</v>
      </c>
      <c r="C2227" s="1" t="s">
        <v>18</v>
      </c>
      <c r="D2227" s="1" t="s">
        <v>144</v>
      </c>
      <c r="E2227" s="1" t="s">
        <v>168</v>
      </c>
      <c r="F2227" s="1" t="s">
        <v>37</v>
      </c>
      <c r="G2227" s="1" t="s">
        <v>57</v>
      </c>
      <c r="H2227" s="1" t="s">
        <v>152</v>
      </c>
      <c r="I2227" s="1">
        <v>2088.8000000000002</v>
      </c>
      <c r="J2227" s="1">
        <v>4</v>
      </c>
      <c r="K2227" s="1">
        <v>8355.2000000000007</v>
      </c>
      <c r="L2227" s="1">
        <v>0</v>
      </c>
      <c r="M2227" s="1">
        <v>0</v>
      </c>
      <c r="N2227" s="1">
        <v>8355.2000000000007</v>
      </c>
      <c r="O2227" s="1" t="s">
        <v>46</v>
      </c>
      <c r="P2227" s="1" t="s">
        <v>653</v>
      </c>
      <c r="Q2227" s="1">
        <v>5</v>
      </c>
      <c r="R2227" s="1">
        <f>Retail_Sales_Analyis[[#This Row],[Final_Price]]-Retail_Sales_Analyis[[#This Row],[Total_Price]]</f>
        <v>0</v>
      </c>
      <c r="S22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28" spans="1:19" x14ac:dyDescent="0.25">
      <c r="A2228" s="1" t="s">
        <v>3259</v>
      </c>
      <c r="B2228" s="2">
        <v>45381</v>
      </c>
      <c r="C2228" s="1" t="s">
        <v>61</v>
      </c>
      <c r="D2228" s="1" t="s">
        <v>19</v>
      </c>
      <c r="E2228" s="1" t="s">
        <v>121</v>
      </c>
      <c r="F2228" s="1" t="s">
        <v>84</v>
      </c>
      <c r="G2228" s="1" t="s">
        <v>38</v>
      </c>
      <c r="H2228" s="1" t="s">
        <v>422</v>
      </c>
      <c r="I2228" s="1">
        <v>642.55999999999995</v>
      </c>
      <c r="J2228" s="1">
        <v>10</v>
      </c>
      <c r="K2228" s="1">
        <v>6425.6</v>
      </c>
      <c r="L2228" s="1">
        <v>5</v>
      </c>
      <c r="M2228" s="1">
        <v>321.27999999999997</v>
      </c>
      <c r="N2228" s="1">
        <v>6104.32</v>
      </c>
      <c r="O2228" s="1" t="s">
        <v>33</v>
      </c>
      <c r="P2228" s="1" t="s">
        <v>763</v>
      </c>
      <c r="Q2228" s="1">
        <v>1</v>
      </c>
      <c r="R2228" s="1">
        <f>Retail_Sales_Analyis[[#This Row],[Final_Price]]-Retail_Sales_Analyis[[#This Row],[Total_Price]]</f>
        <v>-321.28000000000065</v>
      </c>
      <c r="S22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29" spans="1:19" x14ac:dyDescent="0.25">
      <c r="A2229" s="1" t="s">
        <v>3260</v>
      </c>
      <c r="B2229" s="2">
        <v>45477</v>
      </c>
      <c r="C2229" s="1" t="s">
        <v>195</v>
      </c>
      <c r="D2229" s="1" t="s">
        <v>67</v>
      </c>
      <c r="E2229" s="1" t="s">
        <v>307</v>
      </c>
      <c r="F2229" s="1" t="s">
        <v>30</v>
      </c>
      <c r="G2229" s="1" t="s">
        <v>169</v>
      </c>
      <c r="H2229" s="1" t="s">
        <v>170</v>
      </c>
      <c r="I2229" s="1">
        <v>707.97</v>
      </c>
      <c r="J2229" s="1">
        <v>9</v>
      </c>
      <c r="K2229" s="1">
        <v>6371.73</v>
      </c>
      <c r="L2229" s="1">
        <v>5</v>
      </c>
      <c r="M2229" s="1">
        <v>318.58999999999997</v>
      </c>
      <c r="N2229" s="1">
        <v>6053.14</v>
      </c>
      <c r="O2229" s="1" t="s">
        <v>64</v>
      </c>
      <c r="P2229" s="1" t="s">
        <v>1353</v>
      </c>
      <c r="Q2229" s="1">
        <v>1</v>
      </c>
      <c r="R2229" s="1">
        <f>Retail_Sales_Analyis[[#This Row],[Final_Price]]-Retail_Sales_Analyis[[#This Row],[Total_Price]]</f>
        <v>-318.58999999999924</v>
      </c>
      <c r="S22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30" spans="1:19" x14ac:dyDescent="0.25">
      <c r="A2230" s="1" t="s">
        <v>3261</v>
      </c>
      <c r="B2230" s="2">
        <v>45552</v>
      </c>
      <c r="C2230" s="1" t="s">
        <v>116</v>
      </c>
      <c r="D2230" s="1" t="s">
        <v>28</v>
      </c>
      <c r="E2230" s="1" t="s">
        <v>111</v>
      </c>
      <c r="F2230" s="1" t="s">
        <v>21</v>
      </c>
      <c r="G2230" s="1" t="s">
        <v>85</v>
      </c>
      <c r="H2230" s="1" t="s">
        <v>180</v>
      </c>
      <c r="I2230" s="1">
        <v>1928</v>
      </c>
      <c r="J2230" s="1">
        <v>9</v>
      </c>
      <c r="K2230" s="1">
        <v>17352</v>
      </c>
      <c r="L2230" s="1">
        <v>15</v>
      </c>
      <c r="M2230" s="1">
        <v>2602.8000000000002</v>
      </c>
      <c r="N2230" s="1">
        <v>14749.2</v>
      </c>
      <c r="O2230" s="1" t="s">
        <v>46</v>
      </c>
      <c r="P2230" s="1" t="s">
        <v>1497</v>
      </c>
      <c r="Q2230" s="1">
        <v>2</v>
      </c>
      <c r="R2230" s="1">
        <f>Retail_Sales_Analyis[[#This Row],[Final_Price]]-Retail_Sales_Analyis[[#This Row],[Total_Price]]</f>
        <v>-2602.7999999999993</v>
      </c>
      <c r="S22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31" spans="1:19" x14ac:dyDescent="0.25">
      <c r="A2231" s="1" t="s">
        <v>3262</v>
      </c>
      <c r="B2231" s="2">
        <v>45406</v>
      </c>
      <c r="C2231" s="1" t="s">
        <v>54</v>
      </c>
      <c r="D2231" s="1" t="s">
        <v>55</v>
      </c>
      <c r="E2231" s="1" t="s">
        <v>157</v>
      </c>
      <c r="F2231" s="1" t="s">
        <v>69</v>
      </c>
      <c r="G2231" s="1" t="s">
        <v>169</v>
      </c>
      <c r="H2231" s="1" t="s">
        <v>348</v>
      </c>
      <c r="I2231" s="1">
        <v>1169.6199999999999</v>
      </c>
      <c r="J2231" s="1">
        <v>2</v>
      </c>
      <c r="K2231" s="1">
        <v>2339.2399999999998</v>
      </c>
      <c r="L2231" s="1">
        <v>5</v>
      </c>
      <c r="M2231" s="1">
        <v>116.96</v>
      </c>
      <c r="N2231" s="1">
        <v>2222.2800000000002</v>
      </c>
      <c r="O2231" s="1" t="s">
        <v>33</v>
      </c>
      <c r="P2231" s="1" t="s">
        <v>1125</v>
      </c>
      <c r="Q2231" s="1">
        <v>5</v>
      </c>
      <c r="R2231" s="1">
        <f>Retail_Sales_Analyis[[#This Row],[Final_Price]]-Retail_Sales_Analyis[[#This Row],[Total_Price]]</f>
        <v>-116.95999999999958</v>
      </c>
      <c r="S22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32" spans="1:19" x14ac:dyDescent="0.25">
      <c r="A2232" s="1" t="s">
        <v>3263</v>
      </c>
      <c r="B2232" s="2">
        <v>45354</v>
      </c>
      <c r="C2232" s="1" t="s">
        <v>61</v>
      </c>
      <c r="D2232" s="1" t="s">
        <v>49</v>
      </c>
      <c r="E2232" s="1" t="s">
        <v>174</v>
      </c>
      <c r="F2232" s="1" t="s">
        <v>37</v>
      </c>
      <c r="G2232" s="1" t="s">
        <v>22</v>
      </c>
      <c r="H2232" s="1" t="s">
        <v>277</v>
      </c>
      <c r="I2232" s="1">
        <v>730.66</v>
      </c>
      <c r="J2232" s="1">
        <v>2</v>
      </c>
      <c r="K2232" s="1">
        <v>1461.32</v>
      </c>
      <c r="L2232" s="1">
        <v>0</v>
      </c>
      <c r="M2232" s="1">
        <v>0</v>
      </c>
      <c r="N2232" s="1">
        <v>1461.32</v>
      </c>
      <c r="O2232" s="1" t="s">
        <v>80</v>
      </c>
      <c r="P2232" s="1" t="s">
        <v>47</v>
      </c>
      <c r="Q2232" s="1">
        <v>5</v>
      </c>
      <c r="R2232" s="1">
        <f>Retail_Sales_Analyis[[#This Row],[Final_Price]]-Retail_Sales_Analyis[[#This Row],[Total_Price]]</f>
        <v>0</v>
      </c>
      <c r="S22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33" spans="1:19" x14ac:dyDescent="0.25">
      <c r="A2233" s="1" t="s">
        <v>3264</v>
      </c>
      <c r="B2233" s="2">
        <v>45394</v>
      </c>
      <c r="C2233" s="1" t="s">
        <v>54</v>
      </c>
      <c r="D2233" s="1" t="s">
        <v>144</v>
      </c>
      <c r="E2233" s="1" t="s">
        <v>239</v>
      </c>
      <c r="F2233" s="1" t="s">
        <v>30</v>
      </c>
      <c r="G2233" s="1" t="s">
        <v>22</v>
      </c>
      <c r="H2233" s="1" t="s">
        <v>277</v>
      </c>
      <c r="I2233" s="1">
        <v>905.99</v>
      </c>
      <c r="J2233" s="1">
        <v>10</v>
      </c>
      <c r="K2233" s="1">
        <v>9059.9</v>
      </c>
      <c r="L2233" s="1">
        <v>15</v>
      </c>
      <c r="M2233" s="1">
        <v>1358.98</v>
      </c>
      <c r="N2233" s="1">
        <v>7700.92</v>
      </c>
      <c r="O2233" s="1" t="s">
        <v>64</v>
      </c>
      <c r="P2233" s="1" t="s">
        <v>1296</v>
      </c>
      <c r="Q2233" s="1">
        <v>5</v>
      </c>
      <c r="R2233" s="1">
        <f>Retail_Sales_Analyis[[#This Row],[Final_Price]]-Retail_Sales_Analyis[[#This Row],[Total_Price]]</f>
        <v>-1358.9799999999996</v>
      </c>
      <c r="S22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34" spans="1:19" x14ac:dyDescent="0.25">
      <c r="A2234" s="1" t="s">
        <v>3265</v>
      </c>
      <c r="B2234" s="2">
        <v>45363</v>
      </c>
      <c r="C2234" s="1" t="s">
        <v>61</v>
      </c>
      <c r="D2234" s="1" t="s">
        <v>28</v>
      </c>
      <c r="E2234" s="1" t="s">
        <v>107</v>
      </c>
      <c r="F2234" s="1" t="s">
        <v>69</v>
      </c>
      <c r="G2234" s="1" t="s">
        <v>57</v>
      </c>
      <c r="H2234" s="1" t="s">
        <v>58</v>
      </c>
      <c r="I2234" s="1">
        <v>2369.19</v>
      </c>
      <c r="J2234" s="1">
        <v>2</v>
      </c>
      <c r="K2234" s="1">
        <v>4738.38</v>
      </c>
      <c r="L2234" s="1">
        <v>5</v>
      </c>
      <c r="M2234" s="1">
        <v>236.92</v>
      </c>
      <c r="N2234" s="1">
        <v>4501.46</v>
      </c>
      <c r="O2234" s="1" t="s">
        <v>24</v>
      </c>
      <c r="P2234" s="1" t="s">
        <v>1766</v>
      </c>
      <c r="Q2234" s="1">
        <v>5</v>
      </c>
      <c r="R2234" s="1">
        <f>Retail_Sales_Analyis[[#This Row],[Final_Price]]-Retail_Sales_Analyis[[#This Row],[Total_Price]]</f>
        <v>-236.92000000000007</v>
      </c>
      <c r="S22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35" spans="1:19" x14ac:dyDescent="0.25">
      <c r="A2235" s="1" t="s">
        <v>3266</v>
      </c>
      <c r="B2235" s="2">
        <v>45413</v>
      </c>
      <c r="C2235" s="1" t="s">
        <v>42</v>
      </c>
      <c r="D2235" s="1" t="s">
        <v>55</v>
      </c>
      <c r="E2235" s="1" t="s">
        <v>328</v>
      </c>
      <c r="F2235" s="1" t="s">
        <v>84</v>
      </c>
      <c r="G2235" s="1" t="s">
        <v>38</v>
      </c>
      <c r="H2235" s="1" t="s">
        <v>39</v>
      </c>
      <c r="I2235" s="1">
        <v>412.39</v>
      </c>
      <c r="J2235" s="1">
        <v>1</v>
      </c>
      <c r="K2235" s="1">
        <v>412.39</v>
      </c>
      <c r="L2235" s="1">
        <v>0</v>
      </c>
      <c r="M2235" s="1">
        <v>0</v>
      </c>
      <c r="N2235" s="1">
        <v>412.39</v>
      </c>
      <c r="O2235" s="1" t="s">
        <v>24</v>
      </c>
      <c r="P2235" s="1" t="s">
        <v>3267</v>
      </c>
      <c r="Q2235" s="1">
        <v>5</v>
      </c>
      <c r="R2235" s="1">
        <f>Retail_Sales_Analyis[[#This Row],[Final_Price]]-Retail_Sales_Analyis[[#This Row],[Total_Price]]</f>
        <v>0</v>
      </c>
      <c r="S22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36" spans="1:19" x14ac:dyDescent="0.25">
      <c r="A2236" s="1" t="s">
        <v>3268</v>
      </c>
      <c r="B2236" s="2">
        <v>45544</v>
      </c>
      <c r="C2236" s="1" t="s">
        <v>116</v>
      </c>
      <c r="D2236" s="1" t="s">
        <v>43</v>
      </c>
      <c r="E2236" s="1" t="s">
        <v>261</v>
      </c>
      <c r="F2236" s="1" t="s">
        <v>84</v>
      </c>
      <c r="G2236" s="1" t="s">
        <v>169</v>
      </c>
      <c r="H2236" s="1" t="s">
        <v>348</v>
      </c>
      <c r="I2236" s="1">
        <v>491.2</v>
      </c>
      <c r="J2236" s="1">
        <v>3</v>
      </c>
      <c r="K2236" s="1">
        <v>1473.6</v>
      </c>
      <c r="L2236" s="1">
        <v>10</v>
      </c>
      <c r="M2236" s="1">
        <v>147.36000000000001</v>
      </c>
      <c r="N2236" s="1">
        <v>1326.24</v>
      </c>
      <c r="O2236" s="1" t="s">
        <v>64</v>
      </c>
      <c r="P2236" s="1" t="s">
        <v>3269</v>
      </c>
      <c r="Q2236" s="1">
        <v>5</v>
      </c>
      <c r="R2236" s="1">
        <f>Retail_Sales_Analyis[[#This Row],[Final_Price]]-Retail_Sales_Analyis[[#This Row],[Total_Price]]</f>
        <v>-147.3599999999999</v>
      </c>
      <c r="S22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37" spans="1:19" x14ac:dyDescent="0.25">
      <c r="A2237" s="1" t="s">
        <v>3270</v>
      </c>
      <c r="B2237" s="2">
        <v>45305</v>
      </c>
      <c r="C2237" s="1" t="s">
        <v>36</v>
      </c>
      <c r="D2237" s="1" t="s">
        <v>49</v>
      </c>
      <c r="E2237" s="1" t="s">
        <v>56</v>
      </c>
      <c r="F2237" s="1" t="s">
        <v>21</v>
      </c>
      <c r="G2237" s="1" t="s">
        <v>38</v>
      </c>
      <c r="H2237" s="1" t="s">
        <v>422</v>
      </c>
      <c r="I2237" s="1">
        <v>689.71</v>
      </c>
      <c r="J2237" s="1">
        <v>6</v>
      </c>
      <c r="K2237" s="1">
        <v>4138.26</v>
      </c>
      <c r="L2237" s="1">
        <v>20</v>
      </c>
      <c r="M2237" s="1">
        <v>827.65</v>
      </c>
      <c r="N2237" s="1">
        <v>3310.61</v>
      </c>
      <c r="O2237" s="1" t="s">
        <v>24</v>
      </c>
      <c r="P2237" s="1" t="s">
        <v>1506</v>
      </c>
      <c r="Q2237" s="1">
        <v>1</v>
      </c>
      <c r="R2237" s="1">
        <f>Retail_Sales_Analyis[[#This Row],[Final_Price]]-Retail_Sales_Analyis[[#This Row],[Total_Price]]</f>
        <v>-827.65000000000009</v>
      </c>
      <c r="S22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38" spans="1:19" x14ac:dyDescent="0.25">
      <c r="A2238" s="1" t="s">
        <v>3271</v>
      </c>
      <c r="B2238" s="2">
        <v>45476</v>
      </c>
      <c r="C2238" s="1" t="s">
        <v>195</v>
      </c>
      <c r="D2238" s="1" t="s">
        <v>55</v>
      </c>
      <c r="E2238" s="1" t="s">
        <v>192</v>
      </c>
      <c r="F2238" s="1" t="s">
        <v>69</v>
      </c>
      <c r="G2238" s="1" t="s">
        <v>78</v>
      </c>
      <c r="H2238" s="1" t="s">
        <v>126</v>
      </c>
      <c r="I2238" s="1">
        <v>232.73</v>
      </c>
      <c r="J2238" s="1">
        <v>8</v>
      </c>
      <c r="K2238" s="1">
        <v>1861.84</v>
      </c>
      <c r="L2238" s="1">
        <v>15</v>
      </c>
      <c r="M2238" s="1">
        <v>279.27999999999997</v>
      </c>
      <c r="N2238" s="1">
        <v>1582.56</v>
      </c>
      <c r="O2238" s="1" t="s">
        <v>46</v>
      </c>
      <c r="P2238" s="1" t="s">
        <v>1749</v>
      </c>
      <c r="Q2238" s="1">
        <v>1</v>
      </c>
      <c r="R2238" s="1">
        <f>Retail_Sales_Analyis[[#This Row],[Final_Price]]-Retail_Sales_Analyis[[#This Row],[Total_Price]]</f>
        <v>-279.27999999999997</v>
      </c>
      <c r="S22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39" spans="1:19" x14ac:dyDescent="0.25">
      <c r="A2239" s="1" t="s">
        <v>3272</v>
      </c>
      <c r="B2239" s="2">
        <v>45575</v>
      </c>
      <c r="C2239" s="1" t="s">
        <v>76</v>
      </c>
      <c r="D2239" s="1" t="s">
        <v>67</v>
      </c>
      <c r="E2239" s="1" t="s">
        <v>322</v>
      </c>
      <c r="F2239" s="1" t="s">
        <v>21</v>
      </c>
      <c r="G2239" s="1" t="s">
        <v>112</v>
      </c>
      <c r="H2239" s="1" t="s">
        <v>288</v>
      </c>
      <c r="I2239" s="1">
        <v>1905.59</v>
      </c>
      <c r="J2239" s="1">
        <v>2</v>
      </c>
      <c r="K2239" s="1">
        <v>3811.18</v>
      </c>
      <c r="L2239" s="1">
        <v>15</v>
      </c>
      <c r="M2239" s="1">
        <v>571.67999999999995</v>
      </c>
      <c r="N2239" s="1">
        <v>3239.5</v>
      </c>
      <c r="O2239" s="1" t="s">
        <v>80</v>
      </c>
      <c r="P2239" s="1" t="s">
        <v>3273</v>
      </c>
      <c r="Q2239" s="1">
        <v>4</v>
      </c>
      <c r="R2239" s="1">
        <f>Retail_Sales_Analyis[[#This Row],[Final_Price]]-Retail_Sales_Analyis[[#This Row],[Total_Price]]</f>
        <v>-571.67999999999984</v>
      </c>
      <c r="S22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40" spans="1:19" x14ac:dyDescent="0.25">
      <c r="A2240" s="1" t="s">
        <v>3274</v>
      </c>
      <c r="B2240" s="2">
        <v>45585</v>
      </c>
      <c r="C2240" s="1" t="s">
        <v>76</v>
      </c>
      <c r="D2240" s="1" t="s">
        <v>49</v>
      </c>
      <c r="E2240" s="1" t="s">
        <v>68</v>
      </c>
      <c r="F2240" s="1" t="s">
        <v>37</v>
      </c>
      <c r="G2240" s="1" t="s">
        <v>31</v>
      </c>
      <c r="H2240" s="1" t="s">
        <v>32</v>
      </c>
      <c r="I2240" s="1">
        <v>226.36</v>
      </c>
      <c r="J2240" s="1">
        <v>1</v>
      </c>
      <c r="K2240" s="1">
        <v>226.36</v>
      </c>
      <c r="L2240" s="1">
        <v>10</v>
      </c>
      <c r="M2240" s="1">
        <v>22.64</v>
      </c>
      <c r="N2240" s="1">
        <v>203.72</v>
      </c>
      <c r="O2240" s="1" t="s">
        <v>24</v>
      </c>
      <c r="P2240" s="1" t="s">
        <v>873</v>
      </c>
      <c r="Q2240" s="1">
        <v>5</v>
      </c>
      <c r="R2240" s="1">
        <f>Retail_Sales_Analyis[[#This Row],[Final_Price]]-Retail_Sales_Analyis[[#This Row],[Total_Price]]</f>
        <v>-22.640000000000015</v>
      </c>
      <c r="S22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41" spans="1:19" x14ac:dyDescent="0.25">
      <c r="A2241" s="1" t="s">
        <v>3275</v>
      </c>
      <c r="B2241" s="2">
        <v>45480</v>
      </c>
      <c r="C2241" s="1" t="s">
        <v>195</v>
      </c>
      <c r="D2241" s="1" t="s">
        <v>49</v>
      </c>
      <c r="E2241" s="1" t="s">
        <v>199</v>
      </c>
      <c r="F2241" s="1" t="s">
        <v>30</v>
      </c>
      <c r="G2241" s="1" t="s">
        <v>169</v>
      </c>
      <c r="H2241" s="1" t="s">
        <v>348</v>
      </c>
      <c r="I2241" s="1">
        <v>368.18</v>
      </c>
      <c r="J2241" s="1">
        <v>3</v>
      </c>
      <c r="K2241" s="1">
        <v>1104.54</v>
      </c>
      <c r="L2241" s="1">
        <v>5</v>
      </c>
      <c r="M2241" s="1">
        <v>55.23</v>
      </c>
      <c r="N2241" s="1">
        <v>1049.31</v>
      </c>
      <c r="O2241" s="1" t="s">
        <v>64</v>
      </c>
      <c r="P2241" s="1" t="s">
        <v>3218</v>
      </c>
      <c r="Q2241" s="1">
        <v>3</v>
      </c>
      <c r="R2241" s="1">
        <f>Retail_Sales_Analyis[[#This Row],[Final_Price]]-Retail_Sales_Analyis[[#This Row],[Total_Price]]</f>
        <v>-55.230000000000018</v>
      </c>
      <c r="S224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42" spans="1:19" x14ac:dyDescent="0.25">
      <c r="A2242" s="1" t="s">
        <v>3276</v>
      </c>
      <c r="B2242" s="2">
        <v>45531</v>
      </c>
      <c r="C2242" s="1" t="s">
        <v>93</v>
      </c>
      <c r="D2242" s="1" t="s">
        <v>28</v>
      </c>
      <c r="E2242" s="1" t="s">
        <v>139</v>
      </c>
      <c r="F2242" s="1" t="s">
        <v>69</v>
      </c>
      <c r="G2242" s="1" t="s">
        <v>78</v>
      </c>
      <c r="H2242" s="1" t="s">
        <v>126</v>
      </c>
      <c r="I2242" s="1">
        <v>321.67</v>
      </c>
      <c r="J2242" s="1">
        <v>3</v>
      </c>
      <c r="K2242" s="1">
        <v>965.01</v>
      </c>
      <c r="L2242" s="1">
        <v>15</v>
      </c>
      <c r="M2242" s="1">
        <v>144.75</v>
      </c>
      <c r="N2242" s="1">
        <v>820.26</v>
      </c>
      <c r="O2242" s="1" t="s">
        <v>46</v>
      </c>
      <c r="P2242" s="1" t="s">
        <v>1795</v>
      </c>
      <c r="Q2242" s="1">
        <v>3</v>
      </c>
      <c r="R2242" s="1">
        <f>Retail_Sales_Analyis[[#This Row],[Final_Price]]-Retail_Sales_Analyis[[#This Row],[Total_Price]]</f>
        <v>-144.75</v>
      </c>
      <c r="S22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43" spans="1:19" x14ac:dyDescent="0.25">
      <c r="A2243" s="1" t="s">
        <v>3277</v>
      </c>
      <c r="B2243" s="2">
        <v>45574</v>
      </c>
      <c r="C2243" s="1" t="s">
        <v>76</v>
      </c>
      <c r="D2243" s="1" t="s">
        <v>55</v>
      </c>
      <c r="E2243" s="1" t="s">
        <v>236</v>
      </c>
      <c r="F2243" s="1" t="s">
        <v>30</v>
      </c>
      <c r="G2243" s="1" t="s">
        <v>112</v>
      </c>
      <c r="H2243" s="1" t="s">
        <v>223</v>
      </c>
      <c r="I2243" s="1">
        <v>767.96</v>
      </c>
      <c r="J2243" s="1">
        <v>5</v>
      </c>
      <c r="K2243" s="1">
        <v>3839.8</v>
      </c>
      <c r="L2243" s="1">
        <v>20</v>
      </c>
      <c r="M2243" s="1">
        <v>767.96</v>
      </c>
      <c r="N2243" s="1">
        <v>3071.84</v>
      </c>
      <c r="O2243" s="1" t="s">
        <v>64</v>
      </c>
      <c r="P2243" s="1" t="s">
        <v>716</v>
      </c>
      <c r="Q2243" s="1">
        <v>3</v>
      </c>
      <c r="R2243" s="1">
        <f>Retail_Sales_Analyis[[#This Row],[Final_Price]]-Retail_Sales_Analyis[[#This Row],[Total_Price]]</f>
        <v>-767.96</v>
      </c>
      <c r="S22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44" spans="1:19" x14ac:dyDescent="0.25">
      <c r="A2244" s="1" t="s">
        <v>3278</v>
      </c>
      <c r="B2244" s="2">
        <v>45358</v>
      </c>
      <c r="C2244" s="1" t="s">
        <v>61</v>
      </c>
      <c r="D2244" s="1" t="s">
        <v>67</v>
      </c>
      <c r="E2244" s="1" t="s">
        <v>307</v>
      </c>
      <c r="F2244" s="1" t="s">
        <v>21</v>
      </c>
      <c r="G2244" s="1" t="s">
        <v>22</v>
      </c>
      <c r="H2244" s="1" t="s">
        <v>187</v>
      </c>
      <c r="I2244" s="1">
        <v>214.85</v>
      </c>
      <c r="J2244" s="1">
        <v>2</v>
      </c>
      <c r="K2244" s="1">
        <v>429.7</v>
      </c>
      <c r="L2244" s="1">
        <v>0</v>
      </c>
      <c r="M2244" s="1">
        <v>0</v>
      </c>
      <c r="N2244" s="1">
        <v>429.7</v>
      </c>
      <c r="O2244" s="1" t="s">
        <v>64</v>
      </c>
      <c r="P2244" s="1" t="s">
        <v>3279</v>
      </c>
      <c r="Q2244" s="1">
        <v>4</v>
      </c>
      <c r="R2244" s="1">
        <f>Retail_Sales_Analyis[[#This Row],[Final_Price]]-Retail_Sales_Analyis[[#This Row],[Total_Price]]</f>
        <v>0</v>
      </c>
      <c r="S22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45" spans="1:19" x14ac:dyDescent="0.25">
      <c r="A2245" s="1" t="s">
        <v>3280</v>
      </c>
      <c r="B2245" s="2">
        <v>45605</v>
      </c>
      <c r="C2245" s="1" t="s">
        <v>18</v>
      </c>
      <c r="D2245" s="1" t="s">
        <v>19</v>
      </c>
      <c r="E2245" s="1" t="s">
        <v>29</v>
      </c>
      <c r="F2245" s="1" t="s">
        <v>84</v>
      </c>
      <c r="G2245" s="1" t="s">
        <v>85</v>
      </c>
      <c r="H2245" s="1" t="s">
        <v>90</v>
      </c>
      <c r="I2245" s="1">
        <v>4637.8900000000003</v>
      </c>
      <c r="J2245" s="1">
        <v>10</v>
      </c>
      <c r="K2245" s="1">
        <v>46378.9</v>
      </c>
      <c r="L2245" s="1">
        <v>5</v>
      </c>
      <c r="M2245" s="1">
        <v>2318.9499999999998</v>
      </c>
      <c r="N2245" s="1">
        <v>44059.95</v>
      </c>
      <c r="O2245" s="1" t="s">
        <v>33</v>
      </c>
      <c r="P2245" s="1" t="s">
        <v>645</v>
      </c>
      <c r="Q2245" s="1">
        <v>1</v>
      </c>
      <c r="R2245" s="1">
        <f>Retail_Sales_Analyis[[#This Row],[Final_Price]]-Retail_Sales_Analyis[[#This Row],[Total_Price]]</f>
        <v>-2318.9500000000044</v>
      </c>
      <c r="S224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46" spans="1:19" x14ac:dyDescent="0.25">
      <c r="A2246" s="1" t="s">
        <v>3281</v>
      </c>
      <c r="B2246" s="2">
        <v>45336</v>
      </c>
      <c r="C2246" s="1" t="s">
        <v>27</v>
      </c>
      <c r="D2246" s="1" t="s">
        <v>55</v>
      </c>
      <c r="E2246" s="1" t="s">
        <v>68</v>
      </c>
      <c r="F2246" s="1" t="s">
        <v>30</v>
      </c>
      <c r="G2246" s="1" t="s">
        <v>31</v>
      </c>
      <c r="H2246" s="1" t="s">
        <v>329</v>
      </c>
      <c r="I2246" s="1">
        <v>109.34</v>
      </c>
      <c r="J2246" s="1">
        <v>5</v>
      </c>
      <c r="K2246" s="1">
        <v>546.70000000000005</v>
      </c>
      <c r="L2246" s="1">
        <v>0</v>
      </c>
      <c r="M2246" s="1">
        <v>0</v>
      </c>
      <c r="N2246" s="1">
        <v>546.70000000000005</v>
      </c>
      <c r="O2246" s="1" t="s">
        <v>33</v>
      </c>
      <c r="P2246" s="1" t="s">
        <v>745</v>
      </c>
      <c r="Q2246" s="1">
        <v>3</v>
      </c>
      <c r="R2246" s="1">
        <f>Retail_Sales_Analyis[[#This Row],[Final_Price]]-Retail_Sales_Analyis[[#This Row],[Total_Price]]</f>
        <v>0</v>
      </c>
      <c r="S22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47" spans="1:19" x14ac:dyDescent="0.25">
      <c r="A2247" s="1" t="s">
        <v>3282</v>
      </c>
      <c r="B2247" s="2">
        <v>45325</v>
      </c>
      <c r="C2247" s="1" t="s">
        <v>27</v>
      </c>
      <c r="D2247" s="1" t="s">
        <v>19</v>
      </c>
      <c r="E2247" s="1" t="s">
        <v>168</v>
      </c>
      <c r="F2247" s="1" t="s">
        <v>84</v>
      </c>
      <c r="G2247" s="1" t="s">
        <v>78</v>
      </c>
      <c r="H2247" s="1" t="s">
        <v>323</v>
      </c>
      <c r="I2247" s="1">
        <v>250.04</v>
      </c>
      <c r="J2247" s="1">
        <v>7</v>
      </c>
      <c r="K2247" s="1">
        <v>1750.28</v>
      </c>
      <c r="L2247" s="1">
        <v>0</v>
      </c>
      <c r="M2247" s="1">
        <v>0</v>
      </c>
      <c r="N2247" s="1">
        <v>1750.28</v>
      </c>
      <c r="O2247" s="1" t="s">
        <v>80</v>
      </c>
      <c r="P2247" s="1" t="s">
        <v>2856</v>
      </c>
      <c r="Q2247" s="1">
        <v>1</v>
      </c>
      <c r="R2247" s="1">
        <f>Retail_Sales_Analyis[[#This Row],[Final_Price]]-Retail_Sales_Analyis[[#This Row],[Total_Price]]</f>
        <v>0</v>
      </c>
      <c r="S22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48" spans="1:19" x14ac:dyDescent="0.25">
      <c r="A2248" s="1" t="s">
        <v>3283</v>
      </c>
      <c r="B2248" s="2">
        <v>45450</v>
      </c>
      <c r="C2248" s="1" t="s">
        <v>173</v>
      </c>
      <c r="D2248" s="1" t="s">
        <v>144</v>
      </c>
      <c r="E2248" s="1" t="s">
        <v>207</v>
      </c>
      <c r="F2248" s="1" t="s">
        <v>30</v>
      </c>
      <c r="G2248" s="1" t="s">
        <v>31</v>
      </c>
      <c r="H2248" s="1" t="s">
        <v>63</v>
      </c>
      <c r="I2248" s="1">
        <v>400.5</v>
      </c>
      <c r="J2248" s="1">
        <v>5</v>
      </c>
      <c r="K2248" s="1">
        <v>2002.5</v>
      </c>
      <c r="L2248" s="1">
        <v>15</v>
      </c>
      <c r="M2248" s="1">
        <v>300.38</v>
      </c>
      <c r="N2248" s="1">
        <v>1702.12</v>
      </c>
      <c r="O2248" s="1" t="s">
        <v>24</v>
      </c>
      <c r="P2248" s="1" t="s">
        <v>1627</v>
      </c>
      <c r="Q2248" s="1">
        <v>2</v>
      </c>
      <c r="R2248" s="1">
        <f>Retail_Sales_Analyis[[#This Row],[Final_Price]]-Retail_Sales_Analyis[[#This Row],[Total_Price]]</f>
        <v>-300.38000000000011</v>
      </c>
      <c r="S22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49" spans="1:19" x14ac:dyDescent="0.25">
      <c r="A2249" s="1" t="s">
        <v>3284</v>
      </c>
      <c r="B2249" s="2">
        <v>45495</v>
      </c>
      <c r="C2249" s="1" t="s">
        <v>195</v>
      </c>
      <c r="D2249" s="1" t="s">
        <v>43</v>
      </c>
      <c r="E2249" s="1" t="s">
        <v>139</v>
      </c>
      <c r="F2249" s="1" t="s">
        <v>30</v>
      </c>
      <c r="G2249" s="1" t="s">
        <v>85</v>
      </c>
      <c r="H2249" s="1" t="s">
        <v>297</v>
      </c>
      <c r="I2249" s="1">
        <v>2409.11</v>
      </c>
      <c r="J2249" s="1">
        <v>10</v>
      </c>
      <c r="K2249" s="1">
        <v>24091.1</v>
      </c>
      <c r="L2249" s="1">
        <v>5</v>
      </c>
      <c r="M2249" s="1">
        <v>1204.56</v>
      </c>
      <c r="N2249" s="1">
        <v>22886.54</v>
      </c>
      <c r="O2249" s="1" t="s">
        <v>33</v>
      </c>
      <c r="P2249" s="1" t="s">
        <v>1751</v>
      </c>
      <c r="Q2249" s="1">
        <v>2</v>
      </c>
      <c r="R2249" s="1">
        <f>Retail_Sales_Analyis[[#This Row],[Final_Price]]-Retail_Sales_Analyis[[#This Row],[Total_Price]]</f>
        <v>-1204.5599999999977</v>
      </c>
      <c r="S22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50" spans="1:19" x14ac:dyDescent="0.25">
      <c r="A2250" s="1" t="s">
        <v>3285</v>
      </c>
      <c r="B2250" s="2">
        <v>45537</v>
      </c>
      <c r="C2250" s="1" t="s">
        <v>116</v>
      </c>
      <c r="D2250" s="1" t="s">
        <v>43</v>
      </c>
      <c r="E2250" s="1" t="s">
        <v>342</v>
      </c>
      <c r="F2250" s="1" t="s">
        <v>69</v>
      </c>
      <c r="G2250" s="1" t="s">
        <v>22</v>
      </c>
      <c r="H2250" s="1" t="s">
        <v>51</v>
      </c>
      <c r="I2250" s="1">
        <v>321.82</v>
      </c>
      <c r="J2250" s="1">
        <v>4</v>
      </c>
      <c r="K2250" s="1">
        <v>1287.28</v>
      </c>
      <c r="L2250" s="1">
        <v>0</v>
      </c>
      <c r="M2250" s="1">
        <v>0</v>
      </c>
      <c r="N2250" s="1">
        <v>1287.28</v>
      </c>
      <c r="O2250" s="1" t="s">
        <v>64</v>
      </c>
      <c r="P2250" s="1" t="s">
        <v>3286</v>
      </c>
      <c r="Q2250" s="1">
        <v>4</v>
      </c>
      <c r="R2250" s="1">
        <f>Retail_Sales_Analyis[[#This Row],[Final_Price]]-Retail_Sales_Analyis[[#This Row],[Total_Price]]</f>
        <v>0</v>
      </c>
      <c r="S22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51" spans="1:19" x14ac:dyDescent="0.25">
      <c r="A2251" s="1" t="s">
        <v>3287</v>
      </c>
      <c r="B2251" s="2">
        <v>45561</v>
      </c>
      <c r="C2251" s="1" t="s">
        <v>116</v>
      </c>
      <c r="D2251" s="1" t="s">
        <v>67</v>
      </c>
      <c r="E2251" s="1" t="s">
        <v>192</v>
      </c>
      <c r="F2251" s="1" t="s">
        <v>21</v>
      </c>
      <c r="G2251" s="1" t="s">
        <v>31</v>
      </c>
      <c r="H2251" s="1" t="s">
        <v>45</v>
      </c>
      <c r="I2251" s="1">
        <v>398.96</v>
      </c>
      <c r="J2251" s="1">
        <v>9</v>
      </c>
      <c r="K2251" s="1">
        <v>3590.64</v>
      </c>
      <c r="L2251" s="1">
        <v>5</v>
      </c>
      <c r="M2251" s="1">
        <v>179.53</v>
      </c>
      <c r="N2251" s="1">
        <v>3411.11</v>
      </c>
      <c r="O2251" s="1" t="s">
        <v>46</v>
      </c>
      <c r="P2251" s="1" t="s">
        <v>2665</v>
      </c>
      <c r="Q2251" s="1">
        <v>5</v>
      </c>
      <c r="R2251" s="1">
        <f>Retail_Sales_Analyis[[#This Row],[Final_Price]]-Retail_Sales_Analyis[[#This Row],[Total_Price]]</f>
        <v>-179.52999999999975</v>
      </c>
      <c r="S22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52" spans="1:19" x14ac:dyDescent="0.25">
      <c r="A2252" s="1" t="s">
        <v>3288</v>
      </c>
      <c r="B2252" s="2">
        <v>45502</v>
      </c>
      <c r="C2252" s="1" t="s">
        <v>195</v>
      </c>
      <c r="D2252" s="1" t="s">
        <v>43</v>
      </c>
      <c r="E2252" s="1" t="s">
        <v>129</v>
      </c>
      <c r="F2252" s="1" t="s">
        <v>84</v>
      </c>
      <c r="G2252" s="1" t="s">
        <v>38</v>
      </c>
      <c r="H2252" s="1" t="s">
        <v>70</v>
      </c>
      <c r="I2252" s="1">
        <v>671.62</v>
      </c>
      <c r="J2252" s="1">
        <v>3</v>
      </c>
      <c r="K2252" s="1">
        <v>2014.86</v>
      </c>
      <c r="L2252" s="1">
        <v>0</v>
      </c>
      <c r="M2252" s="1">
        <v>0</v>
      </c>
      <c r="N2252" s="1">
        <v>2014.86</v>
      </c>
      <c r="O2252" s="1" t="s">
        <v>24</v>
      </c>
      <c r="P2252" s="1" t="s">
        <v>526</v>
      </c>
      <c r="Q2252" s="1">
        <v>3</v>
      </c>
      <c r="R2252" s="1">
        <f>Retail_Sales_Analyis[[#This Row],[Final_Price]]-Retail_Sales_Analyis[[#This Row],[Total_Price]]</f>
        <v>0</v>
      </c>
      <c r="S22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53" spans="1:19" x14ac:dyDescent="0.25">
      <c r="A2253" s="1" t="s">
        <v>3289</v>
      </c>
      <c r="B2253" s="2">
        <v>45501</v>
      </c>
      <c r="C2253" s="1" t="s">
        <v>195</v>
      </c>
      <c r="D2253" s="1" t="s">
        <v>49</v>
      </c>
      <c r="E2253" s="1" t="s">
        <v>157</v>
      </c>
      <c r="F2253" s="1" t="s">
        <v>69</v>
      </c>
      <c r="G2253" s="1" t="s">
        <v>22</v>
      </c>
      <c r="H2253" s="1" t="s">
        <v>23</v>
      </c>
      <c r="I2253" s="1">
        <v>332.63</v>
      </c>
      <c r="J2253" s="1">
        <v>7</v>
      </c>
      <c r="K2253" s="1">
        <v>2328.41</v>
      </c>
      <c r="L2253" s="1">
        <v>10</v>
      </c>
      <c r="M2253" s="1">
        <v>232.84</v>
      </c>
      <c r="N2253" s="1">
        <v>2095.5700000000002</v>
      </c>
      <c r="O2253" s="1" t="s">
        <v>80</v>
      </c>
      <c r="P2253" s="1" t="s">
        <v>890</v>
      </c>
      <c r="Q2253" s="1">
        <v>2</v>
      </c>
      <c r="R2253" s="1">
        <f>Retail_Sales_Analyis[[#This Row],[Final_Price]]-Retail_Sales_Analyis[[#This Row],[Total_Price]]</f>
        <v>-232.83999999999969</v>
      </c>
      <c r="S22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54" spans="1:19" x14ac:dyDescent="0.25">
      <c r="A2254" s="1" t="s">
        <v>3290</v>
      </c>
      <c r="B2254" s="2">
        <v>45586</v>
      </c>
      <c r="C2254" s="1" t="s">
        <v>76</v>
      </c>
      <c r="D2254" s="1" t="s">
        <v>43</v>
      </c>
      <c r="E2254" s="1" t="s">
        <v>186</v>
      </c>
      <c r="F2254" s="1" t="s">
        <v>30</v>
      </c>
      <c r="G2254" s="1" t="s">
        <v>22</v>
      </c>
      <c r="H2254" s="1" t="s">
        <v>133</v>
      </c>
      <c r="I2254" s="1">
        <v>973.2</v>
      </c>
      <c r="J2254" s="1">
        <v>10</v>
      </c>
      <c r="K2254" s="1">
        <v>9732</v>
      </c>
      <c r="L2254" s="1">
        <v>10</v>
      </c>
      <c r="M2254" s="1">
        <v>973.2</v>
      </c>
      <c r="N2254" s="1">
        <v>8758.7999999999993</v>
      </c>
      <c r="O2254" s="1" t="s">
        <v>33</v>
      </c>
      <c r="P2254" s="1" t="s">
        <v>1129</v>
      </c>
      <c r="Q2254" s="1">
        <v>2</v>
      </c>
      <c r="R2254" s="1">
        <f>Retail_Sales_Analyis[[#This Row],[Final_Price]]-Retail_Sales_Analyis[[#This Row],[Total_Price]]</f>
        <v>-973.20000000000073</v>
      </c>
      <c r="S22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55" spans="1:19" x14ac:dyDescent="0.25">
      <c r="A2255" s="1" t="s">
        <v>3291</v>
      </c>
      <c r="B2255" s="2">
        <v>45329</v>
      </c>
      <c r="C2255" s="1" t="s">
        <v>27</v>
      </c>
      <c r="D2255" s="1" t="s">
        <v>55</v>
      </c>
      <c r="E2255" s="1" t="s">
        <v>145</v>
      </c>
      <c r="F2255" s="1" t="s">
        <v>30</v>
      </c>
      <c r="G2255" s="1" t="s">
        <v>85</v>
      </c>
      <c r="H2255" s="1" t="s">
        <v>90</v>
      </c>
      <c r="I2255" s="1">
        <v>4659.25</v>
      </c>
      <c r="J2255" s="1">
        <v>10</v>
      </c>
      <c r="K2255" s="1">
        <v>46592.5</v>
      </c>
      <c r="L2255" s="1">
        <v>20</v>
      </c>
      <c r="M2255" s="1">
        <v>9318.5</v>
      </c>
      <c r="N2255" s="1">
        <v>37274</v>
      </c>
      <c r="O2255" s="1" t="s">
        <v>80</v>
      </c>
      <c r="P2255" s="1" t="s">
        <v>3184</v>
      </c>
      <c r="Q2255" s="1">
        <v>2</v>
      </c>
      <c r="R2255" s="1">
        <f>Retail_Sales_Analyis[[#This Row],[Final_Price]]-Retail_Sales_Analyis[[#This Row],[Total_Price]]</f>
        <v>-9318.5</v>
      </c>
      <c r="S22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56" spans="1:19" x14ac:dyDescent="0.25">
      <c r="A2256" s="1" t="s">
        <v>3292</v>
      </c>
      <c r="B2256" s="2">
        <v>45356</v>
      </c>
      <c r="C2256" s="1" t="s">
        <v>61</v>
      </c>
      <c r="D2256" s="1" t="s">
        <v>28</v>
      </c>
      <c r="E2256" s="1" t="s">
        <v>50</v>
      </c>
      <c r="F2256" s="1" t="s">
        <v>21</v>
      </c>
      <c r="G2256" s="1" t="s">
        <v>31</v>
      </c>
      <c r="H2256" s="1" t="s">
        <v>32</v>
      </c>
      <c r="I2256" s="1">
        <v>300.19</v>
      </c>
      <c r="J2256" s="1">
        <v>8</v>
      </c>
      <c r="K2256" s="1">
        <v>2401.52</v>
      </c>
      <c r="L2256" s="1">
        <v>15</v>
      </c>
      <c r="M2256" s="1">
        <v>360.23</v>
      </c>
      <c r="N2256" s="1">
        <v>2041.29</v>
      </c>
      <c r="O2256" s="1" t="s">
        <v>33</v>
      </c>
      <c r="P2256" s="1" t="s">
        <v>2665</v>
      </c>
      <c r="Q2256" s="1">
        <v>4</v>
      </c>
      <c r="R2256" s="1">
        <f>Retail_Sales_Analyis[[#This Row],[Final_Price]]-Retail_Sales_Analyis[[#This Row],[Total_Price]]</f>
        <v>-360.23</v>
      </c>
      <c r="S22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57" spans="1:19" x14ac:dyDescent="0.25">
      <c r="A2257" s="1" t="s">
        <v>3293</v>
      </c>
      <c r="B2257" s="2">
        <v>45454</v>
      </c>
      <c r="C2257" s="1" t="s">
        <v>173</v>
      </c>
      <c r="D2257" s="1" t="s">
        <v>28</v>
      </c>
      <c r="E2257" s="1" t="s">
        <v>111</v>
      </c>
      <c r="F2257" s="1" t="s">
        <v>84</v>
      </c>
      <c r="G2257" s="1" t="s">
        <v>22</v>
      </c>
      <c r="H2257" s="1" t="s">
        <v>133</v>
      </c>
      <c r="I2257" s="1">
        <v>440.89</v>
      </c>
      <c r="J2257" s="1">
        <v>4</v>
      </c>
      <c r="K2257" s="1">
        <v>1763.56</v>
      </c>
      <c r="L2257" s="1">
        <v>0</v>
      </c>
      <c r="M2257" s="1">
        <v>0</v>
      </c>
      <c r="N2257" s="1">
        <v>1763.56</v>
      </c>
      <c r="O2257" s="1" t="s">
        <v>80</v>
      </c>
      <c r="P2257" s="1" t="s">
        <v>3294</v>
      </c>
      <c r="Q2257" s="1">
        <v>2</v>
      </c>
      <c r="R2257" s="1">
        <f>Retail_Sales_Analyis[[#This Row],[Final_Price]]-Retail_Sales_Analyis[[#This Row],[Total_Price]]</f>
        <v>0</v>
      </c>
      <c r="S22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58" spans="1:19" x14ac:dyDescent="0.25">
      <c r="A2258" s="1" t="s">
        <v>3295</v>
      </c>
      <c r="B2258" s="2">
        <v>45620</v>
      </c>
      <c r="C2258" s="1" t="s">
        <v>18</v>
      </c>
      <c r="D2258" s="1" t="s">
        <v>49</v>
      </c>
      <c r="E2258" s="1" t="s">
        <v>139</v>
      </c>
      <c r="F2258" s="1" t="s">
        <v>21</v>
      </c>
      <c r="G2258" s="1" t="s">
        <v>38</v>
      </c>
      <c r="H2258" s="1" t="s">
        <v>70</v>
      </c>
      <c r="I2258" s="1">
        <v>669.17</v>
      </c>
      <c r="J2258" s="1">
        <v>2</v>
      </c>
      <c r="K2258" s="1">
        <v>1338.34</v>
      </c>
      <c r="L2258" s="1">
        <v>0</v>
      </c>
      <c r="M2258" s="1">
        <v>0</v>
      </c>
      <c r="N2258" s="1">
        <v>1338.34</v>
      </c>
      <c r="O2258" s="1" t="s">
        <v>64</v>
      </c>
      <c r="P2258" s="1" t="s">
        <v>707</v>
      </c>
      <c r="Q2258" s="1">
        <v>5</v>
      </c>
      <c r="R2258" s="1">
        <f>Retail_Sales_Analyis[[#This Row],[Final_Price]]-Retail_Sales_Analyis[[#This Row],[Total_Price]]</f>
        <v>0</v>
      </c>
      <c r="S22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59" spans="1:19" x14ac:dyDescent="0.25">
      <c r="A2259" s="1" t="s">
        <v>3296</v>
      </c>
      <c r="B2259" s="2">
        <v>45329</v>
      </c>
      <c r="C2259" s="1" t="s">
        <v>27</v>
      </c>
      <c r="D2259" s="1" t="s">
        <v>55</v>
      </c>
      <c r="E2259" s="1" t="s">
        <v>192</v>
      </c>
      <c r="F2259" s="1" t="s">
        <v>30</v>
      </c>
      <c r="G2259" s="1" t="s">
        <v>169</v>
      </c>
      <c r="H2259" s="1" t="s">
        <v>366</v>
      </c>
      <c r="I2259" s="1">
        <v>1489.25</v>
      </c>
      <c r="J2259" s="1">
        <v>7</v>
      </c>
      <c r="K2259" s="1">
        <v>10424.75</v>
      </c>
      <c r="L2259" s="1">
        <v>0</v>
      </c>
      <c r="M2259" s="1">
        <v>0</v>
      </c>
      <c r="N2259" s="1">
        <v>10424.75</v>
      </c>
      <c r="O2259" s="1" t="s">
        <v>24</v>
      </c>
      <c r="P2259" s="1" t="s">
        <v>826</v>
      </c>
      <c r="Q2259" s="1">
        <v>1</v>
      </c>
      <c r="R2259" s="1">
        <f>Retail_Sales_Analyis[[#This Row],[Final_Price]]-Retail_Sales_Analyis[[#This Row],[Total_Price]]</f>
        <v>0</v>
      </c>
      <c r="S22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0" spans="1:19" x14ac:dyDescent="0.25">
      <c r="A2260" s="1" t="s">
        <v>3297</v>
      </c>
      <c r="B2260" s="2">
        <v>45522</v>
      </c>
      <c r="C2260" s="1" t="s">
        <v>93</v>
      </c>
      <c r="D2260" s="1" t="s">
        <v>49</v>
      </c>
      <c r="E2260" s="1" t="s">
        <v>351</v>
      </c>
      <c r="F2260" s="1" t="s">
        <v>21</v>
      </c>
      <c r="G2260" s="1" t="s">
        <v>112</v>
      </c>
      <c r="H2260" s="1" t="s">
        <v>288</v>
      </c>
      <c r="I2260" s="1">
        <v>1894.92</v>
      </c>
      <c r="J2260" s="1">
        <v>3</v>
      </c>
      <c r="K2260" s="1">
        <v>5684.76</v>
      </c>
      <c r="L2260" s="1">
        <v>20</v>
      </c>
      <c r="M2260" s="1">
        <v>1136.95</v>
      </c>
      <c r="N2260" s="1">
        <v>4547.8100000000004</v>
      </c>
      <c r="O2260" s="1" t="s">
        <v>80</v>
      </c>
      <c r="P2260" s="1" t="s">
        <v>2256</v>
      </c>
      <c r="Q2260" s="1">
        <v>1</v>
      </c>
      <c r="R2260" s="1">
        <f>Retail_Sales_Analyis[[#This Row],[Final_Price]]-Retail_Sales_Analyis[[#This Row],[Total_Price]]</f>
        <v>-1136.9499999999998</v>
      </c>
      <c r="S22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61" spans="1:19" x14ac:dyDescent="0.25">
      <c r="A2261" s="1" t="s">
        <v>3298</v>
      </c>
      <c r="B2261" s="2">
        <v>45530</v>
      </c>
      <c r="C2261" s="1" t="s">
        <v>93</v>
      </c>
      <c r="D2261" s="1" t="s">
        <v>43</v>
      </c>
      <c r="E2261" s="1" t="s">
        <v>322</v>
      </c>
      <c r="F2261" s="1" t="s">
        <v>37</v>
      </c>
      <c r="G2261" s="1" t="s">
        <v>112</v>
      </c>
      <c r="H2261" s="1" t="s">
        <v>118</v>
      </c>
      <c r="I2261" s="1">
        <v>1596.63</v>
      </c>
      <c r="J2261" s="1">
        <v>10</v>
      </c>
      <c r="K2261" s="1">
        <v>15966.3</v>
      </c>
      <c r="L2261" s="1">
        <v>0</v>
      </c>
      <c r="M2261" s="1">
        <v>0</v>
      </c>
      <c r="N2261" s="1">
        <v>15966.3</v>
      </c>
      <c r="O2261" s="1" t="s">
        <v>64</v>
      </c>
      <c r="P2261" s="1" t="s">
        <v>3299</v>
      </c>
      <c r="Q2261" s="1">
        <v>3</v>
      </c>
      <c r="R2261" s="1">
        <f>Retail_Sales_Analyis[[#This Row],[Final_Price]]-Retail_Sales_Analyis[[#This Row],[Total_Price]]</f>
        <v>0</v>
      </c>
      <c r="S22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2" spans="1:19" x14ac:dyDescent="0.25">
      <c r="A2262" s="1" t="s">
        <v>3300</v>
      </c>
      <c r="B2262" s="2">
        <v>45640</v>
      </c>
      <c r="C2262" s="1" t="s">
        <v>73</v>
      </c>
      <c r="D2262" s="1" t="s">
        <v>19</v>
      </c>
      <c r="E2262" s="1" t="s">
        <v>132</v>
      </c>
      <c r="F2262" s="1" t="s">
        <v>84</v>
      </c>
      <c r="G2262" s="1" t="s">
        <v>31</v>
      </c>
      <c r="H2262" s="1" t="s">
        <v>63</v>
      </c>
      <c r="I2262" s="1">
        <v>118.54</v>
      </c>
      <c r="J2262" s="1">
        <v>9</v>
      </c>
      <c r="K2262" s="1">
        <v>1066.8599999999999</v>
      </c>
      <c r="L2262" s="1">
        <v>5</v>
      </c>
      <c r="M2262" s="1">
        <v>53.34</v>
      </c>
      <c r="N2262" s="1">
        <v>1013.52</v>
      </c>
      <c r="O2262" s="1" t="s">
        <v>64</v>
      </c>
      <c r="P2262" s="1" t="s">
        <v>984</v>
      </c>
      <c r="Q2262" s="1">
        <v>1</v>
      </c>
      <c r="R2262" s="1">
        <f>Retail_Sales_Analyis[[#This Row],[Final_Price]]-Retail_Sales_Analyis[[#This Row],[Total_Price]]</f>
        <v>-53.339999999999918</v>
      </c>
      <c r="S22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63" spans="1:19" x14ac:dyDescent="0.25">
      <c r="A2263" s="1" t="s">
        <v>3301</v>
      </c>
      <c r="B2263" s="2">
        <v>45556</v>
      </c>
      <c r="C2263" s="1" t="s">
        <v>116</v>
      </c>
      <c r="D2263" s="1" t="s">
        <v>19</v>
      </c>
      <c r="E2263" s="1" t="s">
        <v>94</v>
      </c>
      <c r="F2263" s="1" t="s">
        <v>37</v>
      </c>
      <c r="G2263" s="1" t="s">
        <v>22</v>
      </c>
      <c r="H2263" s="1" t="s">
        <v>277</v>
      </c>
      <c r="I2263" s="1">
        <v>866.26</v>
      </c>
      <c r="J2263" s="1">
        <v>7</v>
      </c>
      <c r="K2263" s="1">
        <v>6063.82</v>
      </c>
      <c r="L2263" s="1">
        <v>0</v>
      </c>
      <c r="M2263" s="1">
        <v>0</v>
      </c>
      <c r="N2263" s="1">
        <v>6063.82</v>
      </c>
      <c r="O2263" s="1" t="s">
        <v>64</v>
      </c>
      <c r="P2263" s="1" t="s">
        <v>1633</v>
      </c>
      <c r="Q2263" s="1">
        <v>2</v>
      </c>
      <c r="R2263" s="1">
        <f>Retail_Sales_Analyis[[#This Row],[Final_Price]]-Retail_Sales_Analyis[[#This Row],[Total_Price]]</f>
        <v>0</v>
      </c>
      <c r="S22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4" spans="1:19" x14ac:dyDescent="0.25">
      <c r="A2264" s="1" t="s">
        <v>3302</v>
      </c>
      <c r="B2264" s="2">
        <v>45468</v>
      </c>
      <c r="C2264" s="1" t="s">
        <v>173</v>
      </c>
      <c r="D2264" s="1" t="s">
        <v>28</v>
      </c>
      <c r="E2264" s="1" t="s">
        <v>196</v>
      </c>
      <c r="F2264" s="1" t="s">
        <v>69</v>
      </c>
      <c r="G2264" s="1" t="s">
        <v>85</v>
      </c>
      <c r="H2264" s="1" t="s">
        <v>297</v>
      </c>
      <c r="I2264" s="1">
        <v>3074.36</v>
      </c>
      <c r="J2264" s="1">
        <v>4</v>
      </c>
      <c r="K2264" s="1">
        <v>12297.44</v>
      </c>
      <c r="L2264" s="1">
        <v>0</v>
      </c>
      <c r="M2264" s="1">
        <v>0</v>
      </c>
      <c r="N2264" s="1">
        <v>12297.44</v>
      </c>
      <c r="O2264" s="1" t="s">
        <v>64</v>
      </c>
      <c r="P2264" s="1" t="s">
        <v>639</v>
      </c>
      <c r="Q2264" s="1">
        <v>1</v>
      </c>
      <c r="R2264" s="1">
        <f>Retail_Sales_Analyis[[#This Row],[Final_Price]]-Retail_Sales_Analyis[[#This Row],[Total_Price]]</f>
        <v>0</v>
      </c>
      <c r="S22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5" spans="1:19" x14ac:dyDescent="0.25">
      <c r="A2265" s="1" t="s">
        <v>3303</v>
      </c>
      <c r="B2265" s="2">
        <v>45357</v>
      </c>
      <c r="C2265" s="1" t="s">
        <v>61</v>
      </c>
      <c r="D2265" s="1" t="s">
        <v>55</v>
      </c>
      <c r="E2265" s="1" t="s">
        <v>50</v>
      </c>
      <c r="F2265" s="1" t="s">
        <v>69</v>
      </c>
      <c r="G2265" s="1" t="s">
        <v>22</v>
      </c>
      <c r="H2265" s="1" t="s">
        <v>187</v>
      </c>
      <c r="I2265" s="1">
        <v>953.93</v>
      </c>
      <c r="J2265" s="1">
        <v>2</v>
      </c>
      <c r="K2265" s="1">
        <v>1907.86</v>
      </c>
      <c r="L2265" s="1">
        <v>10</v>
      </c>
      <c r="M2265" s="1">
        <v>190.79</v>
      </c>
      <c r="N2265" s="1">
        <v>1717.07</v>
      </c>
      <c r="O2265" s="1" t="s">
        <v>46</v>
      </c>
      <c r="P2265" s="1" t="s">
        <v>3081</v>
      </c>
      <c r="Q2265" s="1">
        <v>5</v>
      </c>
      <c r="R2265" s="1">
        <f>Retail_Sales_Analyis[[#This Row],[Final_Price]]-Retail_Sales_Analyis[[#This Row],[Total_Price]]</f>
        <v>-190.78999999999996</v>
      </c>
      <c r="S22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66" spans="1:19" x14ac:dyDescent="0.25">
      <c r="A2266" s="1" t="s">
        <v>3304</v>
      </c>
      <c r="B2266" s="2">
        <v>45574</v>
      </c>
      <c r="C2266" s="1" t="s">
        <v>76</v>
      </c>
      <c r="D2266" s="1" t="s">
        <v>55</v>
      </c>
      <c r="E2266" s="1" t="s">
        <v>104</v>
      </c>
      <c r="F2266" s="1" t="s">
        <v>30</v>
      </c>
      <c r="G2266" s="1" t="s">
        <v>112</v>
      </c>
      <c r="H2266" s="1" t="s">
        <v>118</v>
      </c>
      <c r="I2266" s="1">
        <v>1103.45</v>
      </c>
      <c r="J2266" s="1">
        <v>3</v>
      </c>
      <c r="K2266" s="1">
        <v>3310.35</v>
      </c>
      <c r="L2266" s="1">
        <v>0</v>
      </c>
      <c r="M2266" s="1">
        <v>0</v>
      </c>
      <c r="N2266" s="1">
        <v>3310.35</v>
      </c>
      <c r="O2266" s="1" t="s">
        <v>24</v>
      </c>
      <c r="P2266" s="1" t="s">
        <v>1423</v>
      </c>
      <c r="Q2266" s="1">
        <v>4</v>
      </c>
      <c r="R2266" s="1">
        <f>Retail_Sales_Analyis[[#This Row],[Final_Price]]-Retail_Sales_Analyis[[#This Row],[Total_Price]]</f>
        <v>0</v>
      </c>
      <c r="S22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7" spans="1:19" x14ac:dyDescent="0.25">
      <c r="A2267" s="1" t="s">
        <v>3305</v>
      </c>
      <c r="B2267" s="2">
        <v>45619</v>
      </c>
      <c r="C2267" s="1" t="s">
        <v>18</v>
      </c>
      <c r="D2267" s="1" t="s">
        <v>19</v>
      </c>
      <c r="E2267" s="1" t="s">
        <v>196</v>
      </c>
      <c r="F2267" s="1" t="s">
        <v>30</v>
      </c>
      <c r="G2267" s="1" t="s">
        <v>112</v>
      </c>
      <c r="H2267" s="1" t="s">
        <v>288</v>
      </c>
      <c r="I2267" s="1">
        <v>1423.53</v>
      </c>
      <c r="J2267" s="1">
        <v>7</v>
      </c>
      <c r="K2267" s="1">
        <v>9964.7099999999991</v>
      </c>
      <c r="L2267" s="1">
        <v>0</v>
      </c>
      <c r="M2267" s="1">
        <v>0</v>
      </c>
      <c r="N2267" s="1">
        <v>9964.7099999999991</v>
      </c>
      <c r="O2267" s="1" t="s">
        <v>80</v>
      </c>
      <c r="P2267" s="1" t="s">
        <v>1311</v>
      </c>
      <c r="Q2267" s="1">
        <v>4</v>
      </c>
      <c r="R2267" s="1">
        <f>Retail_Sales_Analyis[[#This Row],[Final_Price]]-Retail_Sales_Analyis[[#This Row],[Total_Price]]</f>
        <v>0</v>
      </c>
      <c r="S22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8" spans="1:19" x14ac:dyDescent="0.25">
      <c r="A2268" s="1" t="s">
        <v>3306</v>
      </c>
      <c r="B2268" s="2">
        <v>45592</v>
      </c>
      <c r="C2268" s="1" t="s">
        <v>76</v>
      </c>
      <c r="D2268" s="1" t="s">
        <v>49</v>
      </c>
      <c r="E2268" s="1" t="s">
        <v>44</v>
      </c>
      <c r="F2268" s="1" t="s">
        <v>30</v>
      </c>
      <c r="G2268" s="1" t="s">
        <v>85</v>
      </c>
      <c r="H2268" s="1" t="s">
        <v>180</v>
      </c>
      <c r="I2268" s="1">
        <v>4398.3</v>
      </c>
      <c r="J2268" s="1">
        <v>1</v>
      </c>
      <c r="K2268" s="1">
        <v>4398.3</v>
      </c>
      <c r="L2268" s="1">
        <v>0</v>
      </c>
      <c r="M2268" s="1">
        <v>0</v>
      </c>
      <c r="N2268" s="1">
        <v>4398.3</v>
      </c>
      <c r="O2268" s="1" t="s">
        <v>64</v>
      </c>
      <c r="P2268" s="1" t="s">
        <v>875</v>
      </c>
      <c r="Q2268" s="1">
        <v>3</v>
      </c>
      <c r="R2268" s="1">
        <f>Retail_Sales_Analyis[[#This Row],[Final_Price]]-Retail_Sales_Analyis[[#This Row],[Total_Price]]</f>
        <v>0</v>
      </c>
      <c r="S22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69" spans="1:19" x14ac:dyDescent="0.25">
      <c r="A2269" s="1" t="s">
        <v>3307</v>
      </c>
      <c r="B2269" s="2">
        <v>45385</v>
      </c>
      <c r="C2269" s="1" t="s">
        <v>54</v>
      </c>
      <c r="D2269" s="1" t="s">
        <v>55</v>
      </c>
      <c r="E2269" s="1" t="s">
        <v>104</v>
      </c>
      <c r="F2269" s="1" t="s">
        <v>84</v>
      </c>
      <c r="G2269" s="1" t="s">
        <v>85</v>
      </c>
      <c r="H2269" s="1" t="s">
        <v>180</v>
      </c>
      <c r="I2269" s="1">
        <v>1902.15</v>
      </c>
      <c r="J2269" s="1">
        <v>2</v>
      </c>
      <c r="K2269" s="1">
        <v>3804.3</v>
      </c>
      <c r="L2269" s="1">
        <v>15</v>
      </c>
      <c r="M2269" s="1">
        <v>570.64</v>
      </c>
      <c r="N2269" s="1">
        <v>3233.66</v>
      </c>
      <c r="O2269" s="1" t="s">
        <v>64</v>
      </c>
      <c r="P2269" s="1" t="s">
        <v>2891</v>
      </c>
      <c r="Q2269" s="1">
        <v>4</v>
      </c>
      <c r="R2269" s="1">
        <f>Retail_Sales_Analyis[[#This Row],[Final_Price]]-Retail_Sales_Analyis[[#This Row],[Total_Price]]</f>
        <v>-570.64000000000033</v>
      </c>
      <c r="S22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70" spans="1:19" x14ac:dyDescent="0.25">
      <c r="A2270" s="1" t="s">
        <v>3308</v>
      </c>
      <c r="B2270" s="2">
        <v>45358</v>
      </c>
      <c r="C2270" s="1" t="s">
        <v>61</v>
      </c>
      <c r="D2270" s="1" t="s">
        <v>67</v>
      </c>
      <c r="E2270" s="1" t="s">
        <v>20</v>
      </c>
      <c r="F2270" s="1" t="s">
        <v>21</v>
      </c>
      <c r="G2270" s="1" t="s">
        <v>22</v>
      </c>
      <c r="H2270" s="1" t="s">
        <v>133</v>
      </c>
      <c r="I2270" s="1">
        <v>210.19</v>
      </c>
      <c r="J2270" s="1">
        <v>8</v>
      </c>
      <c r="K2270" s="1">
        <v>1681.52</v>
      </c>
      <c r="L2270" s="1">
        <v>5</v>
      </c>
      <c r="M2270" s="1">
        <v>84.08</v>
      </c>
      <c r="N2270" s="1">
        <v>1597.44</v>
      </c>
      <c r="O2270" s="1" t="s">
        <v>33</v>
      </c>
      <c r="P2270" s="1" t="s">
        <v>2810</v>
      </c>
      <c r="Q2270" s="1">
        <v>2</v>
      </c>
      <c r="R2270" s="1">
        <f>Retail_Sales_Analyis[[#This Row],[Final_Price]]-Retail_Sales_Analyis[[#This Row],[Total_Price]]</f>
        <v>-84.079999999999927</v>
      </c>
      <c r="S227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71" spans="1:19" x14ac:dyDescent="0.25">
      <c r="A2271" s="1" t="s">
        <v>3309</v>
      </c>
      <c r="B2271" s="2">
        <v>45513</v>
      </c>
      <c r="C2271" s="1" t="s">
        <v>93</v>
      </c>
      <c r="D2271" s="1" t="s">
        <v>144</v>
      </c>
      <c r="E2271" s="1" t="s">
        <v>342</v>
      </c>
      <c r="F2271" s="1" t="s">
        <v>21</v>
      </c>
      <c r="G2271" s="1" t="s">
        <v>31</v>
      </c>
      <c r="H2271" s="1" t="s">
        <v>63</v>
      </c>
      <c r="I2271" s="1">
        <v>77.95</v>
      </c>
      <c r="J2271" s="1">
        <v>7</v>
      </c>
      <c r="K2271" s="1">
        <v>545.65</v>
      </c>
      <c r="L2271" s="1">
        <v>0</v>
      </c>
      <c r="M2271" s="1">
        <v>0</v>
      </c>
      <c r="N2271" s="1">
        <v>545.65</v>
      </c>
      <c r="O2271" s="1" t="s">
        <v>80</v>
      </c>
      <c r="P2271" s="1" t="s">
        <v>506</v>
      </c>
      <c r="Q2271" s="1">
        <v>2</v>
      </c>
      <c r="R2271" s="1">
        <f>Retail_Sales_Analyis[[#This Row],[Final_Price]]-Retail_Sales_Analyis[[#This Row],[Total_Price]]</f>
        <v>0</v>
      </c>
      <c r="S22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72" spans="1:19" x14ac:dyDescent="0.25">
      <c r="A2272" s="1" t="s">
        <v>3310</v>
      </c>
      <c r="B2272" s="2">
        <v>45549</v>
      </c>
      <c r="C2272" s="1" t="s">
        <v>116</v>
      </c>
      <c r="D2272" s="1" t="s">
        <v>19</v>
      </c>
      <c r="E2272" s="1" t="s">
        <v>186</v>
      </c>
      <c r="F2272" s="1" t="s">
        <v>84</v>
      </c>
      <c r="G2272" s="1" t="s">
        <v>78</v>
      </c>
      <c r="H2272" s="1" t="s">
        <v>126</v>
      </c>
      <c r="I2272" s="1">
        <v>484.89</v>
      </c>
      <c r="J2272" s="1">
        <v>10</v>
      </c>
      <c r="K2272" s="1">
        <v>4848.8999999999996</v>
      </c>
      <c r="L2272" s="1">
        <v>10</v>
      </c>
      <c r="M2272" s="1">
        <v>484.89</v>
      </c>
      <c r="N2272" s="1">
        <v>4364.01</v>
      </c>
      <c r="O2272" s="1" t="s">
        <v>24</v>
      </c>
      <c r="P2272" s="1" t="s">
        <v>699</v>
      </c>
      <c r="Q2272" s="1">
        <v>5</v>
      </c>
      <c r="R2272" s="1">
        <f>Retail_Sales_Analyis[[#This Row],[Final_Price]]-Retail_Sales_Analyis[[#This Row],[Total_Price]]</f>
        <v>-484.88999999999942</v>
      </c>
      <c r="S22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73" spans="1:19" x14ac:dyDescent="0.25">
      <c r="A2273" s="1" t="s">
        <v>3311</v>
      </c>
      <c r="B2273" s="2">
        <v>45320</v>
      </c>
      <c r="C2273" s="1" t="s">
        <v>36</v>
      </c>
      <c r="D2273" s="1" t="s">
        <v>43</v>
      </c>
      <c r="E2273" s="1" t="s">
        <v>351</v>
      </c>
      <c r="F2273" s="1" t="s">
        <v>30</v>
      </c>
      <c r="G2273" s="1" t="s">
        <v>57</v>
      </c>
      <c r="H2273" s="1" t="s">
        <v>101</v>
      </c>
      <c r="I2273" s="1">
        <v>1486.94</v>
      </c>
      <c r="J2273" s="1">
        <v>4</v>
      </c>
      <c r="K2273" s="1">
        <v>5947.76</v>
      </c>
      <c r="L2273" s="1">
        <v>0</v>
      </c>
      <c r="M2273" s="1">
        <v>0</v>
      </c>
      <c r="N2273" s="1">
        <v>5947.76</v>
      </c>
      <c r="O2273" s="1" t="s">
        <v>64</v>
      </c>
      <c r="P2273" s="1" t="s">
        <v>739</v>
      </c>
      <c r="Q2273" s="1">
        <v>3</v>
      </c>
      <c r="R2273" s="1">
        <f>Retail_Sales_Analyis[[#This Row],[Final_Price]]-Retail_Sales_Analyis[[#This Row],[Total_Price]]</f>
        <v>0</v>
      </c>
      <c r="S22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74" spans="1:19" x14ac:dyDescent="0.25">
      <c r="A2274" s="1" t="s">
        <v>3312</v>
      </c>
      <c r="B2274" s="2">
        <v>45355</v>
      </c>
      <c r="C2274" s="1" t="s">
        <v>61</v>
      </c>
      <c r="D2274" s="1" t="s">
        <v>43</v>
      </c>
      <c r="E2274" s="1" t="s">
        <v>302</v>
      </c>
      <c r="F2274" s="1" t="s">
        <v>37</v>
      </c>
      <c r="G2274" s="1" t="s">
        <v>31</v>
      </c>
      <c r="H2274" s="1" t="s">
        <v>63</v>
      </c>
      <c r="I2274" s="1">
        <v>297.48</v>
      </c>
      <c r="J2274" s="1">
        <v>1</v>
      </c>
      <c r="K2274" s="1">
        <v>297.48</v>
      </c>
      <c r="L2274" s="1">
        <v>20</v>
      </c>
      <c r="M2274" s="1">
        <v>59.5</v>
      </c>
      <c r="N2274" s="1">
        <v>237.98</v>
      </c>
      <c r="O2274" s="1" t="s">
        <v>46</v>
      </c>
      <c r="P2274" s="1" t="s">
        <v>2055</v>
      </c>
      <c r="Q2274" s="1">
        <v>4</v>
      </c>
      <c r="R2274" s="1">
        <f>Retail_Sales_Analyis[[#This Row],[Final_Price]]-Retail_Sales_Analyis[[#This Row],[Total_Price]]</f>
        <v>-59.500000000000028</v>
      </c>
      <c r="S227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75" spans="1:19" x14ac:dyDescent="0.25">
      <c r="A2275" s="1" t="s">
        <v>3313</v>
      </c>
      <c r="B2275" s="2">
        <v>45557</v>
      </c>
      <c r="C2275" s="1" t="s">
        <v>116</v>
      </c>
      <c r="D2275" s="1" t="s">
        <v>49</v>
      </c>
      <c r="E2275" s="1" t="s">
        <v>261</v>
      </c>
      <c r="F2275" s="1" t="s">
        <v>30</v>
      </c>
      <c r="G2275" s="1" t="s">
        <v>22</v>
      </c>
      <c r="H2275" s="1" t="s">
        <v>23</v>
      </c>
      <c r="I2275" s="1">
        <v>819.57</v>
      </c>
      <c r="J2275" s="1">
        <v>6</v>
      </c>
      <c r="K2275" s="1">
        <v>4917.42</v>
      </c>
      <c r="L2275" s="1">
        <v>0</v>
      </c>
      <c r="M2275" s="1">
        <v>0</v>
      </c>
      <c r="N2275" s="1">
        <v>4917.42</v>
      </c>
      <c r="O2275" s="1" t="s">
        <v>24</v>
      </c>
      <c r="P2275" s="1" t="s">
        <v>1090</v>
      </c>
      <c r="Q2275" s="1">
        <v>4</v>
      </c>
      <c r="R2275" s="1">
        <f>Retail_Sales_Analyis[[#This Row],[Final_Price]]-Retail_Sales_Analyis[[#This Row],[Total_Price]]</f>
        <v>0</v>
      </c>
      <c r="S22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76" spans="1:19" x14ac:dyDescent="0.25">
      <c r="A2276" s="1" t="s">
        <v>3314</v>
      </c>
      <c r="B2276" s="2">
        <v>45370</v>
      </c>
      <c r="C2276" s="1" t="s">
        <v>61</v>
      </c>
      <c r="D2276" s="1" t="s">
        <v>28</v>
      </c>
      <c r="E2276" s="1" t="s">
        <v>83</v>
      </c>
      <c r="F2276" s="1" t="s">
        <v>21</v>
      </c>
      <c r="G2276" s="1" t="s">
        <v>169</v>
      </c>
      <c r="H2276" s="1" t="s">
        <v>348</v>
      </c>
      <c r="I2276" s="1">
        <v>1055.8499999999999</v>
      </c>
      <c r="J2276" s="1">
        <v>9</v>
      </c>
      <c r="K2276" s="1">
        <v>9502.65</v>
      </c>
      <c r="L2276" s="1">
        <v>20</v>
      </c>
      <c r="M2276" s="1">
        <v>1900.53</v>
      </c>
      <c r="N2276" s="1">
        <v>7602.12</v>
      </c>
      <c r="O2276" s="1" t="s">
        <v>46</v>
      </c>
      <c r="P2276" s="1" t="s">
        <v>986</v>
      </c>
      <c r="Q2276" s="1">
        <v>1</v>
      </c>
      <c r="R2276" s="1">
        <f>Retail_Sales_Analyis[[#This Row],[Final_Price]]-Retail_Sales_Analyis[[#This Row],[Total_Price]]</f>
        <v>-1900.5299999999997</v>
      </c>
      <c r="S22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77" spans="1:19" x14ac:dyDescent="0.25">
      <c r="A2277" s="1" t="s">
        <v>3315</v>
      </c>
      <c r="B2277" s="2">
        <v>45447</v>
      </c>
      <c r="C2277" s="1" t="s">
        <v>173</v>
      </c>
      <c r="D2277" s="1" t="s">
        <v>28</v>
      </c>
      <c r="E2277" s="1" t="s">
        <v>186</v>
      </c>
      <c r="F2277" s="1" t="s">
        <v>30</v>
      </c>
      <c r="G2277" s="1" t="s">
        <v>85</v>
      </c>
      <c r="H2277" s="1" t="s">
        <v>90</v>
      </c>
      <c r="I2277" s="1">
        <v>3372.36</v>
      </c>
      <c r="J2277" s="1">
        <v>2</v>
      </c>
      <c r="K2277" s="1">
        <v>6744.72</v>
      </c>
      <c r="L2277" s="1">
        <v>0</v>
      </c>
      <c r="M2277" s="1">
        <v>0</v>
      </c>
      <c r="N2277" s="1">
        <v>6744.72</v>
      </c>
      <c r="O2277" s="1" t="s">
        <v>46</v>
      </c>
      <c r="P2277" s="1" t="s">
        <v>1707</v>
      </c>
      <c r="Q2277" s="1">
        <v>4</v>
      </c>
      <c r="R2277" s="1">
        <f>Retail_Sales_Analyis[[#This Row],[Final_Price]]-Retail_Sales_Analyis[[#This Row],[Total_Price]]</f>
        <v>0</v>
      </c>
      <c r="S22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78" spans="1:19" x14ac:dyDescent="0.25">
      <c r="A2278" s="1" t="s">
        <v>3316</v>
      </c>
      <c r="B2278" s="2">
        <v>45376</v>
      </c>
      <c r="C2278" s="1" t="s">
        <v>61</v>
      </c>
      <c r="D2278" s="1" t="s">
        <v>43</v>
      </c>
      <c r="E2278" s="1" t="s">
        <v>141</v>
      </c>
      <c r="F2278" s="1" t="s">
        <v>37</v>
      </c>
      <c r="G2278" s="1" t="s">
        <v>169</v>
      </c>
      <c r="H2278" s="1" t="s">
        <v>170</v>
      </c>
      <c r="I2278" s="1">
        <v>1253.74</v>
      </c>
      <c r="J2278" s="1">
        <v>9</v>
      </c>
      <c r="K2278" s="1">
        <v>11283.66</v>
      </c>
      <c r="L2278" s="1">
        <v>0</v>
      </c>
      <c r="M2278" s="1">
        <v>0</v>
      </c>
      <c r="N2278" s="1">
        <v>11283.66</v>
      </c>
      <c r="O2278" s="1" t="s">
        <v>46</v>
      </c>
      <c r="P2278" s="1" t="s">
        <v>1006</v>
      </c>
      <c r="Q2278" s="1">
        <v>3</v>
      </c>
      <c r="R2278" s="1">
        <f>Retail_Sales_Analyis[[#This Row],[Final_Price]]-Retail_Sales_Analyis[[#This Row],[Total_Price]]</f>
        <v>0</v>
      </c>
      <c r="S22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79" spans="1:19" x14ac:dyDescent="0.25">
      <c r="A2279" s="1" t="s">
        <v>3317</v>
      </c>
      <c r="B2279" s="2">
        <v>45374</v>
      </c>
      <c r="C2279" s="1" t="s">
        <v>61</v>
      </c>
      <c r="D2279" s="1" t="s">
        <v>19</v>
      </c>
      <c r="E2279" s="1" t="s">
        <v>207</v>
      </c>
      <c r="F2279" s="1" t="s">
        <v>30</v>
      </c>
      <c r="G2279" s="1" t="s">
        <v>169</v>
      </c>
      <c r="H2279" s="1" t="s">
        <v>175</v>
      </c>
      <c r="I2279" s="1">
        <v>1374.24</v>
      </c>
      <c r="J2279" s="1">
        <v>8</v>
      </c>
      <c r="K2279" s="1">
        <v>10993.92</v>
      </c>
      <c r="L2279" s="1">
        <v>0</v>
      </c>
      <c r="M2279" s="1">
        <v>0</v>
      </c>
      <c r="N2279" s="1">
        <v>10993.92</v>
      </c>
      <c r="O2279" s="1" t="s">
        <v>46</v>
      </c>
      <c r="P2279" s="1" t="s">
        <v>1491</v>
      </c>
      <c r="Q2279" s="1">
        <v>5</v>
      </c>
      <c r="R2279" s="1">
        <f>Retail_Sales_Analyis[[#This Row],[Final_Price]]-Retail_Sales_Analyis[[#This Row],[Total_Price]]</f>
        <v>0</v>
      </c>
      <c r="S22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0" spans="1:19" x14ac:dyDescent="0.25">
      <c r="A2280" s="1" t="s">
        <v>3318</v>
      </c>
      <c r="B2280" s="2">
        <v>45457</v>
      </c>
      <c r="C2280" s="1" t="s">
        <v>173</v>
      </c>
      <c r="D2280" s="1" t="s">
        <v>144</v>
      </c>
      <c r="E2280" s="1" t="s">
        <v>111</v>
      </c>
      <c r="F2280" s="1" t="s">
        <v>30</v>
      </c>
      <c r="G2280" s="1" t="s">
        <v>169</v>
      </c>
      <c r="H2280" s="1" t="s">
        <v>348</v>
      </c>
      <c r="I2280" s="1">
        <v>356.27</v>
      </c>
      <c r="J2280" s="1">
        <v>8</v>
      </c>
      <c r="K2280" s="1">
        <v>2850.16</v>
      </c>
      <c r="L2280" s="1">
        <v>20</v>
      </c>
      <c r="M2280" s="1">
        <v>570.03</v>
      </c>
      <c r="N2280" s="1">
        <v>2280.13</v>
      </c>
      <c r="O2280" s="1" t="s">
        <v>33</v>
      </c>
      <c r="P2280" s="1" t="s">
        <v>3319</v>
      </c>
      <c r="Q2280" s="1">
        <v>1</v>
      </c>
      <c r="R2280" s="1">
        <f>Retail_Sales_Analyis[[#This Row],[Final_Price]]-Retail_Sales_Analyis[[#This Row],[Total_Price]]</f>
        <v>-570.02999999999975</v>
      </c>
      <c r="S22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81" spans="1:19" x14ac:dyDescent="0.25">
      <c r="A2281" s="1" t="s">
        <v>3320</v>
      </c>
      <c r="B2281" s="2">
        <v>45655</v>
      </c>
      <c r="C2281" s="1" t="s">
        <v>73</v>
      </c>
      <c r="D2281" s="1" t="s">
        <v>49</v>
      </c>
      <c r="E2281" s="1" t="s">
        <v>199</v>
      </c>
      <c r="F2281" s="1" t="s">
        <v>37</v>
      </c>
      <c r="G2281" s="1" t="s">
        <v>57</v>
      </c>
      <c r="H2281" s="1" t="s">
        <v>152</v>
      </c>
      <c r="I2281" s="1">
        <v>2207.11</v>
      </c>
      <c r="J2281" s="1">
        <v>6</v>
      </c>
      <c r="K2281" s="1">
        <v>13242.66</v>
      </c>
      <c r="L2281" s="1">
        <v>0</v>
      </c>
      <c r="M2281" s="1">
        <v>0</v>
      </c>
      <c r="N2281" s="1">
        <v>13242.66</v>
      </c>
      <c r="O2281" s="1" t="s">
        <v>24</v>
      </c>
      <c r="P2281" s="1" t="s">
        <v>1284</v>
      </c>
      <c r="Q2281" s="1">
        <v>5</v>
      </c>
      <c r="R2281" s="1">
        <f>Retail_Sales_Analyis[[#This Row],[Final_Price]]-Retail_Sales_Analyis[[#This Row],[Total_Price]]</f>
        <v>0</v>
      </c>
      <c r="S22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2" spans="1:19" x14ac:dyDescent="0.25">
      <c r="A2282" s="1" t="s">
        <v>3321</v>
      </c>
      <c r="B2282" s="2">
        <v>45407</v>
      </c>
      <c r="C2282" s="1" t="s">
        <v>54</v>
      </c>
      <c r="D2282" s="1" t="s">
        <v>67</v>
      </c>
      <c r="E2282" s="1" t="s">
        <v>141</v>
      </c>
      <c r="F2282" s="1" t="s">
        <v>37</v>
      </c>
      <c r="G2282" s="1" t="s">
        <v>57</v>
      </c>
      <c r="H2282" s="1" t="s">
        <v>122</v>
      </c>
      <c r="I2282" s="1">
        <v>2784.73</v>
      </c>
      <c r="J2282" s="1">
        <v>9</v>
      </c>
      <c r="K2282" s="1">
        <v>25062.57</v>
      </c>
      <c r="L2282" s="1">
        <v>0</v>
      </c>
      <c r="M2282" s="1">
        <v>0</v>
      </c>
      <c r="N2282" s="1">
        <v>25062.57</v>
      </c>
      <c r="O2282" s="1" t="s">
        <v>64</v>
      </c>
      <c r="P2282" s="1" t="s">
        <v>865</v>
      </c>
      <c r="Q2282" s="1">
        <v>1</v>
      </c>
      <c r="R2282" s="1">
        <f>Retail_Sales_Analyis[[#This Row],[Final_Price]]-Retail_Sales_Analyis[[#This Row],[Total_Price]]</f>
        <v>0</v>
      </c>
      <c r="S22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3" spans="1:19" x14ac:dyDescent="0.25">
      <c r="A2283" s="1" t="s">
        <v>3322</v>
      </c>
      <c r="B2283" s="2">
        <v>45469</v>
      </c>
      <c r="C2283" s="1" t="s">
        <v>173</v>
      </c>
      <c r="D2283" s="1" t="s">
        <v>55</v>
      </c>
      <c r="E2283" s="1" t="s">
        <v>213</v>
      </c>
      <c r="F2283" s="1" t="s">
        <v>30</v>
      </c>
      <c r="G2283" s="1" t="s">
        <v>57</v>
      </c>
      <c r="H2283" s="1" t="s">
        <v>122</v>
      </c>
      <c r="I2283" s="1">
        <v>1271.33</v>
      </c>
      <c r="J2283" s="1">
        <v>3</v>
      </c>
      <c r="K2283" s="1">
        <v>3813.99</v>
      </c>
      <c r="L2283" s="1">
        <v>20</v>
      </c>
      <c r="M2283" s="1">
        <v>762.8</v>
      </c>
      <c r="N2283" s="1">
        <v>3051.19</v>
      </c>
      <c r="O2283" s="1" t="s">
        <v>24</v>
      </c>
      <c r="P2283" s="1" t="s">
        <v>3323</v>
      </c>
      <c r="Q2283" s="1">
        <v>2</v>
      </c>
      <c r="R2283" s="1">
        <f>Retail_Sales_Analyis[[#This Row],[Final_Price]]-Retail_Sales_Analyis[[#This Row],[Total_Price]]</f>
        <v>-762.79999999999973</v>
      </c>
      <c r="S22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84" spans="1:19" x14ac:dyDescent="0.25">
      <c r="A2284" s="1" t="s">
        <v>3324</v>
      </c>
      <c r="B2284" s="2">
        <v>45557</v>
      </c>
      <c r="C2284" s="1" t="s">
        <v>116</v>
      </c>
      <c r="D2284" s="1" t="s">
        <v>49</v>
      </c>
      <c r="E2284" s="1" t="s">
        <v>141</v>
      </c>
      <c r="F2284" s="1" t="s">
        <v>37</v>
      </c>
      <c r="G2284" s="1" t="s">
        <v>22</v>
      </c>
      <c r="H2284" s="1" t="s">
        <v>277</v>
      </c>
      <c r="I2284" s="1">
        <v>702.67</v>
      </c>
      <c r="J2284" s="1">
        <v>1</v>
      </c>
      <c r="K2284" s="1">
        <v>702.67</v>
      </c>
      <c r="L2284" s="1">
        <v>15</v>
      </c>
      <c r="M2284" s="1">
        <v>105.4</v>
      </c>
      <c r="N2284" s="1">
        <v>597.27</v>
      </c>
      <c r="O2284" s="1" t="s">
        <v>33</v>
      </c>
      <c r="P2284" s="1" t="s">
        <v>459</v>
      </c>
      <c r="Q2284" s="1">
        <v>5</v>
      </c>
      <c r="R2284" s="1">
        <f>Retail_Sales_Analyis[[#This Row],[Final_Price]]-Retail_Sales_Analyis[[#This Row],[Total_Price]]</f>
        <v>-105.39999999999998</v>
      </c>
      <c r="S22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85" spans="1:19" x14ac:dyDescent="0.25">
      <c r="A2285" s="1" t="s">
        <v>3325</v>
      </c>
      <c r="B2285" s="2">
        <v>45437</v>
      </c>
      <c r="C2285" s="1" t="s">
        <v>42</v>
      </c>
      <c r="D2285" s="1" t="s">
        <v>19</v>
      </c>
      <c r="E2285" s="1" t="s">
        <v>168</v>
      </c>
      <c r="F2285" s="1" t="s">
        <v>69</v>
      </c>
      <c r="G2285" s="1" t="s">
        <v>22</v>
      </c>
      <c r="H2285" s="1" t="s">
        <v>277</v>
      </c>
      <c r="I2285" s="1">
        <v>325.95999999999998</v>
      </c>
      <c r="J2285" s="1">
        <v>6</v>
      </c>
      <c r="K2285" s="1">
        <v>1955.76</v>
      </c>
      <c r="L2285" s="1">
        <v>0</v>
      </c>
      <c r="M2285" s="1">
        <v>0</v>
      </c>
      <c r="N2285" s="1">
        <v>1955.76</v>
      </c>
      <c r="O2285" s="1" t="s">
        <v>33</v>
      </c>
      <c r="P2285" s="1" t="s">
        <v>524</v>
      </c>
      <c r="Q2285" s="1">
        <v>3</v>
      </c>
      <c r="R2285" s="1">
        <f>Retail_Sales_Analyis[[#This Row],[Final_Price]]-Retail_Sales_Analyis[[#This Row],[Total_Price]]</f>
        <v>0</v>
      </c>
      <c r="S22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6" spans="1:19" x14ac:dyDescent="0.25">
      <c r="A2286" s="1" t="s">
        <v>3326</v>
      </c>
      <c r="B2286" s="2">
        <v>45332</v>
      </c>
      <c r="C2286" s="1" t="s">
        <v>27</v>
      </c>
      <c r="D2286" s="1" t="s">
        <v>19</v>
      </c>
      <c r="E2286" s="1" t="s">
        <v>186</v>
      </c>
      <c r="F2286" s="1" t="s">
        <v>37</v>
      </c>
      <c r="G2286" s="1" t="s">
        <v>57</v>
      </c>
      <c r="H2286" s="1" t="s">
        <v>101</v>
      </c>
      <c r="I2286" s="1">
        <v>2222.65</v>
      </c>
      <c r="J2286" s="1">
        <v>6</v>
      </c>
      <c r="K2286" s="1">
        <v>13335.9</v>
      </c>
      <c r="L2286" s="1">
        <v>15</v>
      </c>
      <c r="M2286" s="1">
        <v>2000.38</v>
      </c>
      <c r="N2286" s="1">
        <v>11335.52</v>
      </c>
      <c r="O2286" s="1" t="s">
        <v>33</v>
      </c>
      <c r="P2286" s="1" t="s">
        <v>693</v>
      </c>
      <c r="Q2286" s="1">
        <v>2</v>
      </c>
      <c r="R2286" s="1">
        <f>Retail_Sales_Analyis[[#This Row],[Final_Price]]-Retail_Sales_Analyis[[#This Row],[Total_Price]]</f>
        <v>-2000.3799999999992</v>
      </c>
      <c r="S22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87" spans="1:19" x14ac:dyDescent="0.25">
      <c r="A2287" s="1" t="s">
        <v>3327</v>
      </c>
      <c r="B2287" s="2">
        <v>45420</v>
      </c>
      <c r="C2287" s="1" t="s">
        <v>42</v>
      </c>
      <c r="D2287" s="1" t="s">
        <v>55</v>
      </c>
      <c r="E2287" s="1" t="s">
        <v>213</v>
      </c>
      <c r="F2287" s="1" t="s">
        <v>37</v>
      </c>
      <c r="G2287" s="1" t="s">
        <v>57</v>
      </c>
      <c r="H2287" s="1" t="s">
        <v>122</v>
      </c>
      <c r="I2287" s="1">
        <v>2959.27</v>
      </c>
      <c r="J2287" s="1">
        <v>5</v>
      </c>
      <c r="K2287" s="1">
        <v>14796.35</v>
      </c>
      <c r="L2287" s="1">
        <v>0</v>
      </c>
      <c r="M2287" s="1">
        <v>0</v>
      </c>
      <c r="N2287" s="1">
        <v>14796.35</v>
      </c>
      <c r="O2287" s="1" t="s">
        <v>24</v>
      </c>
      <c r="P2287" s="1" t="s">
        <v>435</v>
      </c>
      <c r="Q2287" s="1">
        <v>5</v>
      </c>
      <c r="R2287" s="1">
        <f>Retail_Sales_Analyis[[#This Row],[Final_Price]]-Retail_Sales_Analyis[[#This Row],[Total_Price]]</f>
        <v>0</v>
      </c>
      <c r="S22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88" spans="1:19" x14ac:dyDescent="0.25">
      <c r="A2288" s="1" t="s">
        <v>3328</v>
      </c>
      <c r="B2288" s="2">
        <v>45392</v>
      </c>
      <c r="C2288" s="1" t="s">
        <v>54</v>
      </c>
      <c r="D2288" s="1" t="s">
        <v>55</v>
      </c>
      <c r="E2288" s="1" t="s">
        <v>89</v>
      </c>
      <c r="F2288" s="1" t="s">
        <v>21</v>
      </c>
      <c r="G2288" s="1" t="s">
        <v>22</v>
      </c>
      <c r="H2288" s="1" t="s">
        <v>51</v>
      </c>
      <c r="I2288" s="1">
        <v>234.06</v>
      </c>
      <c r="J2288" s="1">
        <v>10</v>
      </c>
      <c r="K2288" s="1">
        <v>2340.6</v>
      </c>
      <c r="L2288" s="1">
        <v>10</v>
      </c>
      <c r="M2288" s="1">
        <v>234.06</v>
      </c>
      <c r="N2288" s="1">
        <v>2106.54</v>
      </c>
      <c r="O2288" s="1" t="s">
        <v>33</v>
      </c>
      <c r="P2288" s="1" t="s">
        <v>181</v>
      </c>
      <c r="Q2288" s="1">
        <v>1</v>
      </c>
      <c r="R2288" s="1">
        <f>Retail_Sales_Analyis[[#This Row],[Final_Price]]-Retail_Sales_Analyis[[#This Row],[Total_Price]]</f>
        <v>-234.05999999999995</v>
      </c>
      <c r="S22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89" spans="1:19" x14ac:dyDescent="0.25">
      <c r="A2289" s="1" t="s">
        <v>3329</v>
      </c>
      <c r="B2289" s="2">
        <v>45617</v>
      </c>
      <c r="C2289" s="1" t="s">
        <v>18</v>
      </c>
      <c r="D2289" s="1" t="s">
        <v>67</v>
      </c>
      <c r="E2289" s="1" t="s">
        <v>239</v>
      </c>
      <c r="F2289" s="1" t="s">
        <v>37</v>
      </c>
      <c r="G2289" s="1" t="s">
        <v>169</v>
      </c>
      <c r="H2289" s="1" t="s">
        <v>170</v>
      </c>
      <c r="I2289" s="1">
        <v>1139.1500000000001</v>
      </c>
      <c r="J2289" s="1">
        <v>2</v>
      </c>
      <c r="K2289" s="1">
        <v>2278.3000000000002</v>
      </c>
      <c r="L2289" s="1">
        <v>10</v>
      </c>
      <c r="M2289" s="1">
        <v>227.83</v>
      </c>
      <c r="N2289" s="1">
        <v>2050.4699999999998</v>
      </c>
      <c r="O2289" s="1" t="s">
        <v>46</v>
      </c>
      <c r="P2289" s="1" t="s">
        <v>1667</v>
      </c>
      <c r="Q2289" s="1">
        <v>2</v>
      </c>
      <c r="R2289" s="1">
        <f>Retail_Sales_Analyis[[#This Row],[Final_Price]]-Retail_Sales_Analyis[[#This Row],[Total_Price]]</f>
        <v>-227.83000000000038</v>
      </c>
      <c r="S22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90" spans="1:19" x14ac:dyDescent="0.25">
      <c r="A2290" s="1" t="s">
        <v>3330</v>
      </c>
      <c r="B2290" s="2">
        <v>45574</v>
      </c>
      <c r="C2290" s="1" t="s">
        <v>76</v>
      </c>
      <c r="D2290" s="1" t="s">
        <v>55</v>
      </c>
      <c r="E2290" s="1" t="s">
        <v>163</v>
      </c>
      <c r="F2290" s="1" t="s">
        <v>30</v>
      </c>
      <c r="G2290" s="1" t="s">
        <v>85</v>
      </c>
      <c r="H2290" s="1" t="s">
        <v>86</v>
      </c>
      <c r="I2290" s="1">
        <v>2514.29</v>
      </c>
      <c r="J2290" s="1">
        <v>2</v>
      </c>
      <c r="K2290" s="1">
        <v>5028.58</v>
      </c>
      <c r="L2290" s="1">
        <v>0</v>
      </c>
      <c r="M2290" s="1">
        <v>0</v>
      </c>
      <c r="N2290" s="1">
        <v>5028.58</v>
      </c>
      <c r="O2290" s="1" t="s">
        <v>80</v>
      </c>
      <c r="P2290" s="1" t="s">
        <v>1697</v>
      </c>
      <c r="Q2290" s="1">
        <v>3</v>
      </c>
      <c r="R2290" s="1">
        <f>Retail_Sales_Analyis[[#This Row],[Final_Price]]-Retail_Sales_Analyis[[#This Row],[Total_Price]]</f>
        <v>0</v>
      </c>
      <c r="S22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1" spans="1:19" x14ac:dyDescent="0.25">
      <c r="A2291" s="1" t="s">
        <v>3331</v>
      </c>
      <c r="B2291" s="2">
        <v>45432</v>
      </c>
      <c r="C2291" s="1" t="s">
        <v>42</v>
      </c>
      <c r="D2291" s="1" t="s">
        <v>43</v>
      </c>
      <c r="E2291" s="1" t="s">
        <v>322</v>
      </c>
      <c r="F2291" s="1" t="s">
        <v>84</v>
      </c>
      <c r="G2291" s="1" t="s">
        <v>112</v>
      </c>
      <c r="H2291" s="1" t="s">
        <v>118</v>
      </c>
      <c r="I2291" s="1">
        <v>744.51</v>
      </c>
      <c r="J2291" s="1">
        <v>7</v>
      </c>
      <c r="K2291" s="1">
        <v>5211.57</v>
      </c>
      <c r="L2291" s="1">
        <v>0</v>
      </c>
      <c r="M2291" s="1">
        <v>0</v>
      </c>
      <c r="N2291" s="1">
        <v>5211.57</v>
      </c>
      <c r="O2291" s="1" t="s">
        <v>64</v>
      </c>
      <c r="P2291" s="1" t="s">
        <v>1449</v>
      </c>
      <c r="Q2291" s="1">
        <v>1</v>
      </c>
      <c r="R2291" s="1">
        <f>Retail_Sales_Analyis[[#This Row],[Final_Price]]-Retail_Sales_Analyis[[#This Row],[Total_Price]]</f>
        <v>0</v>
      </c>
      <c r="S22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2" spans="1:19" x14ac:dyDescent="0.25">
      <c r="A2292" s="1" t="s">
        <v>3332</v>
      </c>
      <c r="B2292" s="2">
        <v>45356</v>
      </c>
      <c r="C2292" s="1" t="s">
        <v>61</v>
      </c>
      <c r="D2292" s="1" t="s">
        <v>28</v>
      </c>
      <c r="E2292" s="1" t="s">
        <v>337</v>
      </c>
      <c r="F2292" s="1" t="s">
        <v>30</v>
      </c>
      <c r="G2292" s="1" t="s">
        <v>22</v>
      </c>
      <c r="H2292" s="1" t="s">
        <v>133</v>
      </c>
      <c r="I2292" s="1">
        <v>436.21</v>
      </c>
      <c r="J2292" s="1">
        <v>8</v>
      </c>
      <c r="K2292" s="1">
        <v>3489.68</v>
      </c>
      <c r="L2292" s="1">
        <v>20</v>
      </c>
      <c r="M2292" s="1">
        <v>697.94</v>
      </c>
      <c r="N2292" s="1">
        <v>2791.74</v>
      </c>
      <c r="O2292" s="1" t="s">
        <v>64</v>
      </c>
      <c r="P2292" s="1" t="s">
        <v>761</v>
      </c>
      <c r="Q2292" s="1">
        <v>2</v>
      </c>
      <c r="R2292" s="1">
        <f>Retail_Sales_Analyis[[#This Row],[Final_Price]]-Retail_Sales_Analyis[[#This Row],[Total_Price]]</f>
        <v>-697.94</v>
      </c>
      <c r="S22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93" spans="1:19" x14ac:dyDescent="0.25">
      <c r="A2293" s="1" t="s">
        <v>3333</v>
      </c>
      <c r="B2293" s="2">
        <v>45612</v>
      </c>
      <c r="C2293" s="1" t="s">
        <v>18</v>
      </c>
      <c r="D2293" s="1" t="s">
        <v>19</v>
      </c>
      <c r="E2293" s="1" t="s">
        <v>83</v>
      </c>
      <c r="F2293" s="1" t="s">
        <v>37</v>
      </c>
      <c r="G2293" s="1" t="s">
        <v>31</v>
      </c>
      <c r="H2293" s="1" t="s">
        <v>329</v>
      </c>
      <c r="I2293" s="1">
        <v>264.22000000000003</v>
      </c>
      <c r="J2293" s="1">
        <v>5</v>
      </c>
      <c r="K2293" s="1">
        <v>1321.1</v>
      </c>
      <c r="L2293" s="1">
        <v>0</v>
      </c>
      <c r="M2293" s="1">
        <v>0</v>
      </c>
      <c r="N2293" s="1">
        <v>1321.1</v>
      </c>
      <c r="O2293" s="1" t="s">
        <v>46</v>
      </c>
      <c r="P2293" s="1" t="s">
        <v>1264</v>
      </c>
      <c r="Q2293" s="1">
        <v>3</v>
      </c>
      <c r="R2293" s="1">
        <f>Retail_Sales_Analyis[[#This Row],[Final_Price]]-Retail_Sales_Analyis[[#This Row],[Total_Price]]</f>
        <v>0</v>
      </c>
      <c r="S22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4" spans="1:19" x14ac:dyDescent="0.25">
      <c r="A2294" s="1" t="s">
        <v>3334</v>
      </c>
      <c r="B2294" s="2">
        <v>45447</v>
      </c>
      <c r="C2294" s="1" t="s">
        <v>173</v>
      </c>
      <c r="D2294" s="1" t="s">
        <v>28</v>
      </c>
      <c r="E2294" s="1" t="s">
        <v>50</v>
      </c>
      <c r="F2294" s="1" t="s">
        <v>84</v>
      </c>
      <c r="G2294" s="1" t="s">
        <v>85</v>
      </c>
      <c r="H2294" s="1" t="s">
        <v>98</v>
      </c>
      <c r="I2294" s="1">
        <v>1319.71</v>
      </c>
      <c r="J2294" s="1">
        <v>2</v>
      </c>
      <c r="K2294" s="1">
        <v>2639.42</v>
      </c>
      <c r="L2294" s="1">
        <v>0</v>
      </c>
      <c r="M2294" s="1">
        <v>0</v>
      </c>
      <c r="N2294" s="1">
        <v>2639.42</v>
      </c>
      <c r="O2294" s="1" t="s">
        <v>33</v>
      </c>
      <c r="P2294" s="1" t="s">
        <v>1073</v>
      </c>
      <c r="Q2294" s="1">
        <v>1</v>
      </c>
      <c r="R2294" s="1">
        <f>Retail_Sales_Analyis[[#This Row],[Final_Price]]-Retail_Sales_Analyis[[#This Row],[Total_Price]]</f>
        <v>0</v>
      </c>
      <c r="S22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5" spans="1:19" x14ac:dyDescent="0.25">
      <c r="A2295" s="1" t="s">
        <v>3335</v>
      </c>
      <c r="B2295" s="2">
        <v>45606</v>
      </c>
      <c r="C2295" s="1" t="s">
        <v>18</v>
      </c>
      <c r="D2295" s="1" t="s">
        <v>49</v>
      </c>
      <c r="E2295" s="1" t="s">
        <v>68</v>
      </c>
      <c r="F2295" s="1" t="s">
        <v>69</v>
      </c>
      <c r="G2295" s="1" t="s">
        <v>57</v>
      </c>
      <c r="H2295" s="1" t="s">
        <v>122</v>
      </c>
      <c r="I2295" s="1">
        <v>962.44</v>
      </c>
      <c r="J2295" s="1">
        <v>8</v>
      </c>
      <c r="K2295" s="1">
        <v>7699.52</v>
      </c>
      <c r="L2295" s="1">
        <v>20</v>
      </c>
      <c r="M2295" s="1">
        <v>1539.9</v>
      </c>
      <c r="N2295" s="1">
        <v>6159.62</v>
      </c>
      <c r="O2295" s="1" t="s">
        <v>33</v>
      </c>
      <c r="P2295" s="1" t="s">
        <v>863</v>
      </c>
      <c r="Q2295" s="1">
        <v>4</v>
      </c>
      <c r="R2295" s="1">
        <f>Retail_Sales_Analyis[[#This Row],[Final_Price]]-Retail_Sales_Analyis[[#This Row],[Total_Price]]</f>
        <v>-1539.9000000000005</v>
      </c>
      <c r="S229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296" spans="1:19" x14ac:dyDescent="0.25">
      <c r="A2296" s="1" t="s">
        <v>3336</v>
      </c>
      <c r="B2296" s="2">
        <v>45565</v>
      </c>
      <c r="C2296" s="1" t="s">
        <v>116</v>
      </c>
      <c r="D2296" s="1" t="s">
        <v>43</v>
      </c>
      <c r="E2296" s="1" t="s">
        <v>125</v>
      </c>
      <c r="F2296" s="1" t="s">
        <v>37</v>
      </c>
      <c r="G2296" s="1" t="s">
        <v>57</v>
      </c>
      <c r="H2296" s="1" t="s">
        <v>158</v>
      </c>
      <c r="I2296" s="1">
        <v>2168.7399999999998</v>
      </c>
      <c r="J2296" s="1">
        <v>10</v>
      </c>
      <c r="K2296" s="1">
        <v>21687.4</v>
      </c>
      <c r="L2296" s="1">
        <v>5</v>
      </c>
      <c r="M2296" s="1">
        <v>1084.3699999999999</v>
      </c>
      <c r="N2296" s="1">
        <v>20603.03</v>
      </c>
      <c r="O2296" s="1" t="s">
        <v>24</v>
      </c>
      <c r="P2296" s="1" t="s">
        <v>1488</v>
      </c>
      <c r="Q2296" s="1">
        <v>3</v>
      </c>
      <c r="R2296" s="1">
        <f>Retail_Sales_Analyis[[#This Row],[Final_Price]]-Retail_Sales_Analyis[[#This Row],[Total_Price]]</f>
        <v>-1084.3700000000026</v>
      </c>
      <c r="S22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297" spans="1:19" x14ac:dyDescent="0.25">
      <c r="A2297" s="1" t="s">
        <v>3337</v>
      </c>
      <c r="B2297" s="2">
        <v>45339</v>
      </c>
      <c r="C2297" s="1" t="s">
        <v>27</v>
      </c>
      <c r="D2297" s="1" t="s">
        <v>19</v>
      </c>
      <c r="E2297" s="1" t="s">
        <v>44</v>
      </c>
      <c r="F2297" s="1" t="s">
        <v>84</v>
      </c>
      <c r="G2297" s="1" t="s">
        <v>22</v>
      </c>
      <c r="H2297" s="1" t="s">
        <v>133</v>
      </c>
      <c r="I2297" s="1">
        <v>791.89</v>
      </c>
      <c r="J2297" s="1">
        <v>5</v>
      </c>
      <c r="K2297" s="1">
        <v>3959.45</v>
      </c>
      <c r="L2297" s="1">
        <v>0</v>
      </c>
      <c r="M2297" s="1">
        <v>0</v>
      </c>
      <c r="N2297" s="1">
        <v>3959.45</v>
      </c>
      <c r="O2297" s="1" t="s">
        <v>64</v>
      </c>
      <c r="P2297" s="1" t="s">
        <v>2579</v>
      </c>
      <c r="Q2297" s="1">
        <v>3</v>
      </c>
      <c r="R2297" s="1">
        <f>Retail_Sales_Analyis[[#This Row],[Final_Price]]-Retail_Sales_Analyis[[#This Row],[Total_Price]]</f>
        <v>0</v>
      </c>
      <c r="S22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298" spans="1:19" x14ac:dyDescent="0.25">
      <c r="A2298" s="1" t="s">
        <v>3338</v>
      </c>
      <c r="B2298" s="2">
        <v>45549</v>
      </c>
      <c r="C2298" s="1" t="s">
        <v>116</v>
      </c>
      <c r="D2298" s="1" t="s">
        <v>19</v>
      </c>
      <c r="E2298" s="1" t="s">
        <v>62</v>
      </c>
      <c r="F2298" s="1" t="s">
        <v>37</v>
      </c>
      <c r="G2298" s="1" t="s">
        <v>31</v>
      </c>
      <c r="H2298" s="1" t="s">
        <v>329</v>
      </c>
      <c r="I2298" s="1">
        <v>147.24</v>
      </c>
      <c r="J2298" s="1">
        <v>7</v>
      </c>
      <c r="K2298" s="1">
        <v>1030.68</v>
      </c>
      <c r="L2298" s="1">
        <v>10</v>
      </c>
      <c r="M2298" s="1">
        <v>103.07</v>
      </c>
      <c r="N2298" s="1">
        <v>927.61</v>
      </c>
      <c r="O2298" s="1" t="s">
        <v>33</v>
      </c>
      <c r="P2298" s="1" t="s">
        <v>1680</v>
      </c>
      <c r="Q2298" s="1">
        <v>1</v>
      </c>
      <c r="R2298" s="1">
        <f>Retail_Sales_Analyis[[#This Row],[Final_Price]]-Retail_Sales_Analyis[[#This Row],[Total_Price]]</f>
        <v>-103.07000000000005</v>
      </c>
      <c r="S22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299" spans="1:19" x14ac:dyDescent="0.25">
      <c r="A2299" s="1" t="s">
        <v>3339</v>
      </c>
      <c r="B2299" s="2">
        <v>45620</v>
      </c>
      <c r="C2299" s="1" t="s">
        <v>18</v>
      </c>
      <c r="D2299" s="1" t="s">
        <v>49</v>
      </c>
      <c r="E2299" s="1" t="s">
        <v>342</v>
      </c>
      <c r="F2299" s="1" t="s">
        <v>21</v>
      </c>
      <c r="G2299" s="1" t="s">
        <v>57</v>
      </c>
      <c r="H2299" s="1" t="s">
        <v>152</v>
      </c>
      <c r="I2299" s="1">
        <v>1309.43</v>
      </c>
      <c r="J2299" s="1">
        <v>4</v>
      </c>
      <c r="K2299" s="1">
        <v>5237.72</v>
      </c>
      <c r="L2299" s="1">
        <v>5</v>
      </c>
      <c r="M2299" s="1">
        <v>261.89</v>
      </c>
      <c r="N2299" s="1">
        <v>4975.83</v>
      </c>
      <c r="O2299" s="1" t="s">
        <v>24</v>
      </c>
      <c r="P2299" s="1" t="s">
        <v>3340</v>
      </c>
      <c r="Q2299" s="1">
        <v>3</v>
      </c>
      <c r="R2299" s="1">
        <f>Retail_Sales_Analyis[[#This Row],[Final_Price]]-Retail_Sales_Analyis[[#This Row],[Total_Price]]</f>
        <v>-261.89000000000033</v>
      </c>
      <c r="S22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00" spans="1:19" x14ac:dyDescent="0.25">
      <c r="A2300" s="1" t="s">
        <v>3341</v>
      </c>
      <c r="B2300" s="2">
        <v>45378</v>
      </c>
      <c r="C2300" s="1" t="s">
        <v>61</v>
      </c>
      <c r="D2300" s="1" t="s">
        <v>55</v>
      </c>
      <c r="E2300" s="1" t="s">
        <v>322</v>
      </c>
      <c r="F2300" s="1" t="s">
        <v>37</v>
      </c>
      <c r="G2300" s="1" t="s">
        <v>169</v>
      </c>
      <c r="H2300" s="1" t="s">
        <v>348</v>
      </c>
      <c r="I2300" s="1">
        <v>619.17999999999995</v>
      </c>
      <c r="J2300" s="1">
        <v>1</v>
      </c>
      <c r="K2300" s="1">
        <v>619.17999999999995</v>
      </c>
      <c r="L2300" s="1">
        <v>10</v>
      </c>
      <c r="M2300" s="1">
        <v>61.92</v>
      </c>
      <c r="N2300" s="1">
        <v>557.26</v>
      </c>
      <c r="O2300" s="1" t="s">
        <v>80</v>
      </c>
      <c r="P2300" s="1" t="s">
        <v>807</v>
      </c>
      <c r="Q2300" s="1">
        <v>5</v>
      </c>
      <c r="R2300" s="1">
        <f>Retail_Sales_Analyis[[#This Row],[Final_Price]]-Retail_Sales_Analyis[[#This Row],[Total_Price]]</f>
        <v>-61.919999999999959</v>
      </c>
      <c r="S23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01" spans="1:19" x14ac:dyDescent="0.25">
      <c r="A2301" s="1" t="s">
        <v>3342</v>
      </c>
      <c r="B2301" s="2">
        <v>45595</v>
      </c>
      <c r="C2301" s="1" t="s">
        <v>76</v>
      </c>
      <c r="D2301" s="1" t="s">
        <v>55</v>
      </c>
      <c r="E2301" s="1" t="s">
        <v>328</v>
      </c>
      <c r="F2301" s="1" t="s">
        <v>37</v>
      </c>
      <c r="G2301" s="1" t="s">
        <v>57</v>
      </c>
      <c r="H2301" s="1" t="s">
        <v>122</v>
      </c>
      <c r="I2301" s="1">
        <v>322.64</v>
      </c>
      <c r="J2301" s="1">
        <v>2</v>
      </c>
      <c r="K2301" s="1">
        <v>645.28</v>
      </c>
      <c r="L2301" s="1">
        <v>0</v>
      </c>
      <c r="M2301" s="1">
        <v>0</v>
      </c>
      <c r="N2301" s="1">
        <v>645.28</v>
      </c>
      <c r="O2301" s="1" t="s">
        <v>24</v>
      </c>
      <c r="P2301" s="1" t="s">
        <v>530</v>
      </c>
      <c r="Q2301" s="1">
        <v>2</v>
      </c>
      <c r="R2301" s="1">
        <f>Retail_Sales_Analyis[[#This Row],[Final_Price]]-Retail_Sales_Analyis[[#This Row],[Total_Price]]</f>
        <v>0</v>
      </c>
      <c r="S23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02" spans="1:19" x14ac:dyDescent="0.25">
      <c r="A2302" s="1" t="s">
        <v>3343</v>
      </c>
      <c r="B2302" s="2">
        <v>45589</v>
      </c>
      <c r="C2302" s="1" t="s">
        <v>76</v>
      </c>
      <c r="D2302" s="1" t="s">
        <v>67</v>
      </c>
      <c r="E2302" s="1" t="s">
        <v>77</v>
      </c>
      <c r="F2302" s="1" t="s">
        <v>69</v>
      </c>
      <c r="G2302" s="1" t="s">
        <v>78</v>
      </c>
      <c r="H2302" s="1" t="s">
        <v>146</v>
      </c>
      <c r="I2302" s="1">
        <v>160.49</v>
      </c>
      <c r="J2302" s="1">
        <v>5</v>
      </c>
      <c r="K2302" s="1">
        <v>802.45</v>
      </c>
      <c r="L2302" s="1">
        <v>0</v>
      </c>
      <c r="M2302" s="1">
        <v>0</v>
      </c>
      <c r="N2302" s="1">
        <v>802.45</v>
      </c>
      <c r="O2302" s="1" t="s">
        <v>64</v>
      </c>
      <c r="P2302" s="1" t="s">
        <v>564</v>
      </c>
      <c r="Q2302" s="1">
        <v>2</v>
      </c>
      <c r="R2302" s="1">
        <f>Retail_Sales_Analyis[[#This Row],[Final_Price]]-Retail_Sales_Analyis[[#This Row],[Total_Price]]</f>
        <v>0</v>
      </c>
      <c r="S23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03" spans="1:19" x14ac:dyDescent="0.25">
      <c r="A2303" s="1" t="s">
        <v>3344</v>
      </c>
      <c r="B2303" s="2">
        <v>45370</v>
      </c>
      <c r="C2303" s="1" t="s">
        <v>61</v>
      </c>
      <c r="D2303" s="1" t="s">
        <v>28</v>
      </c>
      <c r="E2303" s="1" t="s">
        <v>196</v>
      </c>
      <c r="F2303" s="1" t="s">
        <v>21</v>
      </c>
      <c r="G2303" s="1" t="s">
        <v>78</v>
      </c>
      <c r="H2303" s="1" t="s">
        <v>126</v>
      </c>
      <c r="I2303" s="1">
        <v>360.37</v>
      </c>
      <c r="J2303" s="1">
        <v>10</v>
      </c>
      <c r="K2303" s="1">
        <v>3603.7</v>
      </c>
      <c r="L2303" s="1">
        <v>0</v>
      </c>
      <c r="M2303" s="1">
        <v>0</v>
      </c>
      <c r="N2303" s="1">
        <v>3603.7</v>
      </c>
      <c r="O2303" s="1" t="s">
        <v>64</v>
      </c>
      <c r="P2303" s="1" t="s">
        <v>362</v>
      </c>
      <c r="Q2303" s="1">
        <v>1</v>
      </c>
      <c r="R2303" s="1">
        <f>Retail_Sales_Analyis[[#This Row],[Final_Price]]-Retail_Sales_Analyis[[#This Row],[Total_Price]]</f>
        <v>0</v>
      </c>
      <c r="S23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04" spans="1:19" x14ac:dyDescent="0.25">
      <c r="A2304" s="1" t="s">
        <v>3345</v>
      </c>
      <c r="B2304" s="2">
        <v>45379</v>
      </c>
      <c r="C2304" s="1" t="s">
        <v>61</v>
      </c>
      <c r="D2304" s="1" t="s">
        <v>67</v>
      </c>
      <c r="E2304" s="1" t="s">
        <v>56</v>
      </c>
      <c r="F2304" s="1" t="s">
        <v>30</v>
      </c>
      <c r="G2304" s="1" t="s">
        <v>22</v>
      </c>
      <c r="H2304" s="1" t="s">
        <v>133</v>
      </c>
      <c r="I2304" s="1">
        <v>239.63</v>
      </c>
      <c r="J2304" s="1">
        <v>9</v>
      </c>
      <c r="K2304" s="1">
        <v>2156.67</v>
      </c>
      <c r="L2304" s="1">
        <v>5</v>
      </c>
      <c r="M2304" s="1">
        <v>107.83</v>
      </c>
      <c r="N2304" s="1">
        <v>2048.84</v>
      </c>
      <c r="O2304" s="1" t="s">
        <v>24</v>
      </c>
      <c r="P2304" s="1" t="s">
        <v>1931</v>
      </c>
      <c r="Q2304" s="1">
        <v>2</v>
      </c>
      <c r="R2304" s="1">
        <f>Retail_Sales_Analyis[[#This Row],[Final_Price]]-Retail_Sales_Analyis[[#This Row],[Total_Price]]</f>
        <v>-107.82999999999993</v>
      </c>
      <c r="S23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05" spans="1:19" x14ac:dyDescent="0.25">
      <c r="A2305" s="1" t="s">
        <v>3346</v>
      </c>
      <c r="B2305" s="2">
        <v>45629</v>
      </c>
      <c r="C2305" s="1" t="s">
        <v>73</v>
      </c>
      <c r="D2305" s="1" t="s">
        <v>28</v>
      </c>
      <c r="E2305" s="1" t="s">
        <v>68</v>
      </c>
      <c r="F2305" s="1" t="s">
        <v>37</v>
      </c>
      <c r="G2305" s="1" t="s">
        <v>31</v>
      </c>
      <c r="H2305" s="1" t="s">
        <v>63</v>
      </c>
      <c r="I2305" s="1">
        <v>347.71</v>
      </c>
      <c r="J2305" s="1">
        <v>5</v>
      </c>
      <c r="K2305" s="1">
        <v>1738.55</v>
      </c>
      <c r="L2305" s="1">
        <v>20</v>
      </c>
      <c r="M2305" s="1">
        <v>347.71</v>
      </c>
      <c r="N2305" s="1">
        <v>1390.84</v>
      </c>
      <c r="O2305" s="1" t="s">
        <v>46</v>
      </c>
      <c r="P2305" s="1" t="s">
        <v>1735</v>
      </c>
      <c r="Q2305" s="1">
        <v>5</v>
      </c>
      <c r="R2305" s="1">
        <f>Retail_Sales_Analyis[[#This Row],[Final_Price]]-Retail_Sales_Analyis[[#This Row],[Total_Price]]</f>
        <v>-347.71000000000004</v>
      </c>
      <c r="S23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06" spans="1:19" x14ac:dyDescent="0.25">
      <c r="A2306" s="1" t="s">
        <v>3347</v>
      </c>
      <c r="B2306" s="2">
        <v>45611</v>
      </c>
      <c r="C2306" s="1" t="s">
        <v>18</v>
      </c>
      <c r="D2306" s="1" t="s">
        <v>144</v>
      </c>
      <c r="E2306" s="1" t="s">
        <v>125</v>
      </c>
      <c r="F2306" s="1" t="s">
        <v>84</v>
      </c>
      <c r="G2306" s="1" t="s">
        <v>38</v>
      </c>
      <c r="H2306" s="1" t="s">
        <v>70</v>
      </c>
      <c r="I2306" s="1">
        <v>773.85</v>
      </c>
      <c r="J2306" s="1">
        <v>5</v>
      </c>
      <c r="K2306" s="1">
        <v>3869.25</v>
      </c>
      <c r="L2306" s="1">
        <v>15</v>
      </c>
      <c r="M2306" s="1">
        <v>580.39</v>
      </c>
      <c r="N2306" s="1">
        <v>3288.86</v>
      </c>
      <c r="O2306" s="1" t="s">
        <v>46</v>
      </c>
      <c r="P2306" s="1" t="s">
        <v>1172</v>
      </c>
      <c r="Q2306" s="1">
        <v>3</v>
      </c>
      <c r="R2306" s="1">
        <f>Retail_Sales_Analyis[[#This Row],[Final_Price]]-Retail_Sales_Analyis[[#This Row],[Total_Price]]</f>
        <v>-580.38999999999987</v>
      </c>
      <c r="S23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07" spans="1:19" x14ac:dyDescent="0.25">
      <c r="A2307" s="1" t="s">
        <v>3348</v>
      </c>
      <c r="B2307" s="2">
        <v>45601</v>
      </c>
      <c r="C2307" s="1" t="s">
        <v>18</v>
      </c>
      <c r="D2307" s="1" t="s">
        <v>28</v>
      </c>
      <c r="E2307" s="1" t="s">
        <v>121</v>
      </c>
      <c r="F2307" s="1" t="s">
        <v>30</v>
      </c>
      <c r="G2307" s="1" t="s">
        <v>169</v>
      </c>
      <c r="H2307" s="1" t="s">
        <v>170</v>
      </c>
      <c r="I2307" s="1">
        <v>319.55</v>
      </c>
      <c r="J2307" s="1">
        <v>9</v>
      </c>
      <c r="K2307" s="1">
        <v>2875.95</v>
      </c>
      <c r="L2307" s="1">
        <v>0</v>
      </c>
      <c r="M2307" s="1">
        <v>0</v>
      </c>
      <c r="N2307" s="1">
        <v>2875.95</v>
      </c>
      <c r="O2307" s="1" t="s">
        <v>80</v>
      </c>
      <c r="P2307" s="1" t="s">
        <v>3349</v>
      </c>
      <c r="Q2307" s="1">
        <v>5</v>
      </c>
      <c r="R2307" s="1">
        <f>Retail_Sales_Analyis[[#This Row],[Final_Price]]-Retail_Sales_Analyis[[#This Row],[Total_Price]]</f>
        <v>0</v>
      </c>
      <c r="S23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08" spans="1:19" x14ac:dyDescent="0.25">
      <c r="A2308" s="1" t="s">
        <v>3350</v>
      </c>
      <c r="B2308" s="2">
        <v>45464</v>
      </c>
      <c r="C2308" s="1" t="s">
        <v>173</v>
      </c>
      <c r="D2308" s="1" t="s">
        <v>144</v>
      </c>
      <c r="E2308" s="1" t="s">
        <v>207</v>
      </c>
      <c r="F2308" s="1" t="s">
        <v>21</v>
      </c>
      <c r="G2308" s="1" t="s">
        <v>78</v>
      </c>
      <c r="H2308" s="1" t="s">
        <v>126</v>
      </c>
      <c r="I2308" s="1">
        <v>245.11</v>
      </c>
      <c r="J2308" s="1">
        <v>5</v>
      </c>
      <c r="K2308" s="1">
        <v>1225.55</v>
      </c>
      <c r="L2308" s="1">
        <v>20</v>
      </c>
      <c r="M2308" s="1">
        <v>245.11</v>
      </c>
      <c r="N2308" s="1">
        <v>980.44</v>
      </c>
      <c r="O2308" s="1" t="s">
        <v>46</v>
      </c>
      <c r="P2308" s="1" t="s">
        <v>478</v>
      </c>
      <c r="Q2308" s="1">
        <v>4</v>
      </c>
      <c r="R2308" s="1">
        <f>Retail_Sales_Analyis[[#This Row],[Final_Price]]-Retail_Sales_Analyis[[#This Row],[Total_Price]]</f>
        <v>-245.1099999999999</v>
      </c>
      <c r="S23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09" spans="1:19" x14ac:dyDescent="0.25">
      <c r="A2309" s="1" t="s">
        <v>3351</v>
      </c>
      <c r="B2309" s="2">
        <v>45580</v>
      </c>
      <c r="C2309" s="1" t="s">
        <v>76</v>
      </c>
      <c r="D2309" s="1" t="s">
        <v>28</v>
      </c>
      <c r="E2309" s="1" t="s">
        <v>50</v>
      </c>
      <c r="F2309" s="1" t="s">
        <v>69</v>
      </c>
      <c r="G2309" s="1" t="s">
        <v>85</v>
      </c>
      <c r="H2309" s="1" t="s">
        <v>90</v>
      </c>
      <c r="I2309" s="1">
        <v>4176.8100000000004</v>
      </c>
      <c r="J2309" s="1">
        <v>6</v>
      </c>
      <c r="K2309" s="1">
        <v>25060.86</v>
      </c>
      <c r="L2309" s="1">
        <v>0</v>
      </c>
      <c r="M2309" s="1">
        <v>0</v>
      </c>
      <c r="N2309" s="1">
        <v>25060.86</v>
      </c>
      <c r="O2309" s="1" t="s">
        <v>24</v>
      </c>
      <c r="P2309" s="1" t="s">
        <v>1261</v>
      </c>
      <c r="Q2309" s="1">
        <v>4</v>
      </c>
      <c r="R2309" s="1">
        <f>Retail_Sales_Analyis[[#This Row],[Final_Price]]-Retail_Sales_Analyis[[#This Row],[Total_Price]]</f>
        <v>0</v>
      </c>
      <c r="S23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10" spans="1:19" x14ac:dyDescent="0.25">
      <c r="A2310" s="1" t="s">
        <v>3352</v>
      </c>
      <c r="B2310" s="2">
        <v>45313</v>
      </c>
      <c r="C2310" s="1" t="s">
        <v>36</v>
      </c>
      <c r="D2310" s="1" t="s">
        <v>43</v>
      </c>
      <c r="E2310" s="1" t="s">
        <v>261</v>
      </c>
      <c r="F2310" s="1" t="s">
        <v>21</v>
      </c>
      <c r="G2310" s="1" t="s">
        <v>78</v>
      </c>
      <c r="H2310" s="1" t="s">
        <v>136</v>
      </c>
      <c r="I2310" s="1">
        <v>320.95</v>
      </c>
      <c r="J2310" s="1">
        <v>4</v>
      </c>
      <c r="K2310" s="1">
        <v>1283.8</v>
      </c>
      <c r="L2310" s="1">
        <v>20</v>
      </c>
      <c r="M2310" s="1">
        <v>256.76</v>
      </c>
      <c r="N2310" s="1">
        <v>1027.04</v>
      </c>
      <c r="O2310" s="1" t="s">
        <v>33</v>
      </c>
      <c r="P2310" s="1" t="s">
        <v>2076</v>
      </c>
      <c r="Q2310" s="1">
        <v>1</v>
      </c>
      <c r="R2310" s="1">
        <f>Retail_Sales_Analyis[[#This Row],[Final_Price]]-Retail_Sales_Analyis[[#This Row],[Total_Price]]</f>
        <v>-256.76</v>
      </c>
      <c r="S23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11" spans="1:19" x14ac:dyDescent="0.25">
      <c r="A2311" s="1" t="s">
        <v>3353</v>
      </c>
      <c r="B2311" s="2">
        <v>45306</v>
      </c>
      <c r="C2311" s="1" t="s">
        <v>36</v>
      </c>
      <c r="D2311" s="1" t="s">
        <v>43</v>
      </c>
      <c r="E2311" s="1" t="s">
        <v>207</v>
      </c>
      <c r="F2311" s="1" t="s">
        <v>37</v>
      </c>
      <c r="G2311" s="1" t="s">
        <v>22</v>
      </c>
      <c r="H2311" s="1" t="s">
        <v>133</v>
      </c>
      <c r="I2311" s="1">
        <v>558.12</v>
      </c>
      <c r="J2311" s="1">
        <v>5</v>
      </c>
      <c r="K2311" s="1">
        <v>2790.6</v>
      </c>
      <c r="L2311" s="1">
        <v>5</v>
      </c>
      <c r="M2311" s="1">
        <v>139.53</v>
      </c>
      <c r="N2311" s="1">
        <v>2651.07</v>
      </c>
      <c r="O2311" s="1" t="s">
        <v>64</v>
      </c>
      <c r="P2311" s="1" t="s">
        <v>1259</v>
      </c>
      <c r="Q2311" s="1">
        <v>4</v>
      </c>
      <c r="R2311" s="1">
        <f>Retail_Sales_Analyis[[#This Row],[Final_Price]]-Retail_Sales_Analyis[[#This Row],[Total_Price]]</f>
        <v>-139.52999999999975</v>
      </c>
      <c r="S23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12" spans="1:19" x14ac:dyDescent="0.25">
      <c r="A2312" s="1" t="s">
        <v>3354</v>
      </c>
      <c r="B2312" s="2">
        <v>45333</v>
      </c>
      <c r="C2312" s="1" t="s">
        <v>27</v>
      </c>
      <c r="D2312" s="1" t="s">
        <v>49</v>
      </c>
      <c r="E2312" s="1" t="s">
        <v>337</v>
      </c>
      <c r="F2312" s="1" t="s">
        <v>37</v>
      </c>
      <c r="G2312" s="1" t="s">
        <v>57</v>
      </c>
      <c r="H2312" s="1" t="s">
        <v>158</v>
      </c>
      <c r="I2312" s="1">
        <v>2439.38</v>
      </c>
      <c r="J2312" s="1">
        <v>2</v>
      </c>
      <c r="K2312" s="1">
        <v>4878.76</v>
      </c>
      <c r="L2312" s="1">
        <v>0</v>
      </c>
      <c r="M2312" s="1">
        <v>0</v>
      </c>
      <c r="N2312" s="1">
        <v>4878.76</v>
      </c>
      <c r="O2312" s="1" t="s">
        <v>80</v>
      </c>
      <c r="P2312" s="1" t="s">
        <v>1050</v>
      </c>
      <c r="Q2312" s="1">
        <v>3</v>
      </c>
      <c r="R2312" s="1">
        <f>Retail_Sales_Analyis[[#This Row],[Final_Price]]-Retail_Sales_Analyis[[#This Row],[Total_Price]]</f>
        <v>0</v>
      </c>
      <c r="S23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13" spans="1:19" x14ac:dyDescent="0.25">
      <c r="A2313" s="1" t="s">
        <v>3355</v>
      </c>
      <c r="B2313" s="2">
        <v>45315</v>
      </c>
      <c r="C2313" s="1" t="s">
        <v>36</v>
      </c>
      <c r="D2313" s="1" t="s">
        <v>55</v>
      </c>
      <c r="E2313" s="1" t="s">
        <v>44</v>
      </c>
      <c r="F2313" s="1" t="s">
        <v>37</v>
      </c>
      <c r="G2313" s="1" t="s">
        <v>57</v>
      </c>
      <c r="H2313" s="1" t="s">
        <v>152</v>
      </c>
      <c r="I2313" s="1">
        <v>389.98</v>
      </c>
      <c r="J2313" s="1">
        <v>4</v>
      </c>
      <c r="K2313" s="1">
        <v>1559.92</v>
      </c>
      <c r="L2313" s="1">
        <v>15</v>
      </c>
      <c r="M2313" s="1">
        <v>233.99</v>
      </c>
      <c r="N2313" s="1">
        <v>1325.93</v>
      </c>
      <c r="O2313" s="1" t="s">
        <v>24</v>
      </c>
      <c r="P2313" s="1" t="s">
        <v>2891</v>
      </c>
      <c r="Q2313" s="1">
        <v>4</v>
      </c>
      <c r="R2313" s="1">
        <f>Retail_Sales_Analyis[[#This Row],[Final_Price]]-Retail_Sales_Analyis[[#This Row],[Total_Price]]</f>
        <v>-233.99</v>
      </c>
      <c r="S23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14" spans="1:19" x14ac:dyDescent="0.25">
      <c r="A2314" s="1" t="s">
        <v>3356</v>
      </c>
      <c r="B2314" s="2">
        <v>45620</v>
      </c>
      <c r="C2314" s="1" t="s">
        <v>18</v>
      </c>
      <c r="D2314" s="1" t="s">
        <v>49</v>
      </c>
      <c r="E2314" s="1" t="s">
        <v>68</v>
      </c>
      <c r="F2314" s="1" t="s">
        <v>21</v>
      </c>
      <c r="G2314" s="1" t="s">
        <v>22</v>
      </c>
      <c r="H2314" s="1" t="s">
        <v>133</v>
      </c>
      <c r="I2314" s="1">
        <v>477.49</v>
      </c>
      <c r="J2314" s="1">
        <v>8</v>
      </c>
      <c r="K2314" s="1">
        <v>3819.92</v>
      </c>
      <c r="L2314" s="1">
        <v>10</v>
      </c>
      <c r="M2314" s="1">
        <v>381.99</v>
      </c>
      <c r="N2314" s="1">
        <v>3437.93</v>
      </c>
      <c r="O2314" s="1" t="s">
        <v>24</v>
      </c>
      <c r="P2314" s="1" t="s">
        <v>2376</v>
      </c>
      <c r="Q2314" s="1">
        <v>3</v>
      </c>
      <c r="R2314" s="1">
        <f>Retail_Sales_Analyis[[#This Row],[Final_Price]]-Retail_Sales_Analyis[[#This Row],[Total_Price]]</f>
        <v>-381.99000000000024</v>
      </c>
      <c r="S23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15" spans="1:19" x14ac:dyDescent="0.25">
      <c r="A2315" s="1" t="s">
        <v>3357</v>
      </c>
      <c r="B2315" s="2">
        <v>45587</v>
      </c>
      <c r="C2315" s="1" t="s">
        <v>76</v>
      </c>
      <c r="D2315" s="1" t="s">
        <v>28</v>
      </c>
      <c r="E2315" s="1" t="s">
        <v>196</v>
      </c>
      <c r="F2315" s="1" t="s">
        <v>30</v>
      </c>
      <c r="G2315" s="1" t="s">
        <v>38</v>
      </c>
      <c r="H2315" s="1" t="s">
        <v>39</v>
      </c>
      <c r="I2315" s="1">
        <v>246.43</v>
      </c>
      <c r="J2315" s="1">
        <v>10</v>
      </c>
      <c r="K2315" s="1">
        <v>2464.3000000000002</v>
      </c>
      <c r="L2315" s="1">
        <v>0</v>
      </c>
      <c r="M2315" s="1">
        <v>0</v>
      </c>
      <c r="N2315" s="1">
        <v>2464.3000000000002</v>
      </c>
      <c r="O2315" s="1" t="s">
        <v>46</v>
      </c>
      <c r="P2315" s="1" t="s">
        <v>782</v>
      </c>
      <c r="Q2315" s="1">
        <v>4</v>
      </c>
      <c r="R2315" s="1">
        <f>Retail_Sales_Analyis[[#This Row],[Final_Price]]-Retail_Sales_Analyis[[#This Row],[Total_Price]]</f>
        <v>0</v>
      </c>
      <c r="S23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16" spans="1:19" x14ac:dyDescent="0.25">
      <c r="A2316" s="1" t="s">
        <v>3358</v>
      </c>
      <c r="B2316" s="2">
        <v>45427</v>
      </c>
      <c r="C2316" s="1" t="s">
        <v>42</v>
      </c>
      <c r="D2316" s="1" t="s">
        <v>55</v>
      </c>
      <c r="E2316" s="1" t="s">
        <v>168</v>
      </c>
      <c r="F2316" s="1" t="s">
        <v>69</v>
      </c>
      <c r="G2316" s="1" t="s">
        <v>22</v>
      </c>
      <c r="H2316" s="1" t="s">
        <v>277</v>
      </c>
      <c r="I2316" s="1">
        <v>785.54</v>
      </c>
      <c r="J2316" s="1">
        <v>6</v>
      </c>
      <c r="K2316" s="1">
        <v>4713.24</v>
      </c>
      <c r="L2316" s="1">
        <v>0</v>
      </c>
      <c r="M2316" s="1">
        <v>0</v>
      </c>
      <c r="N2316" s="1">
        <v>4713.24</v>
      </c>
      <c r="O2316" s="1" t="s">
        <v>24</v>
      </c>
      <c r="P2316" s="1" t="s">
        <v>3359</v>
      </c>
      <c r="Q2316" s="1">
        <v>3</v>
      </c>
      <c r="R2316" s="1">
        <f>Retail_Sales_Analyis[[#This Row],[Final_Price]]-Retail_Sales_Analyis[[#This Row],[Total_Price]]</f>
        <v>0</v>
      </c>
      <c r="S23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17" spans="1:19" x14ac:dyDescent="0.25">
      <c r="A2317" s="1" t="s">
        <v>3360</v>
      </c>
      <c r="B2317" s="2">
        <v>45625</v>
      </c>
      <c r="C2317" s="1" t="s">
        <v>18</v>
      </c>
      <c r="D2317" s="1" t="s">
        <v>144</v>
      </c>
      <c r="E2317" s="1" t="s">
        <v>328</v>
      </c>
      <c r="F2317" s="1" t="s">
        <v>84</v>
      </c>
      <c r="G2317" s="1" t="s">
        <v>112</v>
      </c>
      <c r="H2317" s="1" t="s">
        <v>118</v>
      </c>
      <c r="I2317" s="1">
        <v>1584.02</v>
      </c>
      <c r="J2317" s="1">
        <v>2</v>
      </c>
      <c r="K2317" s="1">
        <v>3168.04</v>
      </c>
      <c r="L2317" s="1">
        <v>10</v>
      </c>
      <c r="M2317" s="1">
        <v>316.8</v>
      </c>
      <c r="N2317" s="1">
        <v>2851.24</v>
      </c>
      <c r="O2317" s="1" t="s">
        <v>24</v>
      </c>
      <c r="P2317" s="1" t="s">
        <v>405</v>
      </c>
      <c r="Q2317" s="1">
        <v>5</v>
      </c>
      <c r="R2317" s="1">
        <f>Retail_Sales_Analyis[[#This Row],[Final_Price]]-Retail_Sales_Analyis[[#This Row],[Total_Price]]</f>
        <v>-316.80000000000018</v>
      </c>
      <c r="S23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18" spans="1:19" x14ac:dyDescent="0.25">
      <c r="A2318" s="1" t="s">
        <v>3361</v>
      </c>
      <c r="B2318" s="2">
        <v>45399</v>
      </c>
      <c r="C2318" s="1" t="s">
        <v>54</v>
      </c>
      <c r="D2318" s="1" t="s">
        <v>55</v>
      </c>
      <c r="E2318" s="1" t="s">
        <v>145</v>
      </c>
      <c r="F2318" s="1" t="s">
        <v>69</v>
      </c>
      <c r="G2318" s="1" t="s">
        <v>22</v>
      </c>
      <c r="H2318" s="1" t="s">
        <v>51</v>
      </c>
      <c r="I2318" s="1">
        <v>971.54</v>
      </c>
      <c r="J2318" s="1">
        <v>5</v>
      </c>
      <c r="K2318" s="1">
        <v>4857.7</v>
      </c>
      <c r="L2318" s="1">
        <v>20</v>
      </c>
      <c r="M2318" s="1">
        <v>971.54</v>
      </c>
      <c r="N2318" s="1">
        <v>3886.16</v>
      </c>
      <c r="O2318" s="1" t="s">
        <v>33</v>
      </c>
      <c r="P2318" s="1" t="s">
        <v>2621</v>
      </c>
      <c r="Q2318" s="1">
        <v>5</v>
      </c>
      <c r="R2318" s="1">
        <f>Retail_Sales_Analyis[[#This Row],[Final_Price]]-Retail_Sales_Analyis[[#This Row],[Total_Price]]</f>
        <v>-971.54</v>
      </c>
      <c r="S23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19" spans="1:19" x14ac:dyDescent="0.25">
      <c r="A2319" s="1" t="s">
        <v>3362</v>
      </c>
      <c r="B2319" s="2">
        <v>45584</v>
      </c>
      <c r="C2319" s="1" t="s">
        <v>76</v>
      </c>
      <c r="D2319" s="1" t="s">
        <v>19</v>
      </c>
      <c r="E2319" s="1" t="s">
        <v>151</v>
      </c>
      <c r="F2319" s="1" t="s">
        <v>84</v>
      </c>
      <c r="G2319" s="1" t="s">
        <v>22</v>
      </c>
      <c r="H2319" s="1" t="s">
        <v>133</v>
      </c>
      <c r="I2319" s="1">
        <v>642.98</v>
      </c>
      <c r="J2319" s="1">
        <v>4</v>
      </c>
      <c r="K2319" s="1">
        <v>2571.92</v>
      </c>
      <c r="L2319" s="1">
        <v>0</v>
      </c>
      <c r="M2319" s="1">
        <v>0</v>
      </c>
      <c r="N2319" s="1">
        <v>2571.92</v>
      </c>
      <c r="O2319" s="1" t="s">
        <v>80</v>
      </c>
      <c r="P2319" s="1" t="s">
        <v>867</v>
      </c>
      <c r="Q2319" s="1">
        <v>4</v>
      </c>
      <c r="R2319" s="1">
        <f>Retail_Sales_Analyis[[#This Row],[Final_Price]]-Retail_Sales_Analyis[[#This Row],[Total_Price]]</f>
        <v>0</v>
      </c>
      <c r="S23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20" spans="1:19" x14ac:dyDescent="0.25">
      <c r="A2320" s="1" t="s">
        <v>3363</v>
      </c>
      <c r="B2320" s="2">
        <v>45505</v>
      </c>
      <c r="C2320" s="1" t="s">
        <v>93</v>
      </c>
      <c r="D2320" s="1" t="s">
        <v>67</v>
      </c>
      <c r="E2320" s="1" t="s">
        <v>77</v>
      </c>
      <c r="F2320" s="1" t="s">
        <v>21</v>
      </c>
      <c r="G2320" s="1" t="s">
        <v>22</v>
      </c>
      <c r="H2320" s="1" t="s">
        <v>187</v>
      </c>
      <c r="I2320" s="1">
        <v>963.88</v>
      </c>
      <c r="J2320" s="1">
        <v>6</v>
      </c>
      <c r="K2320" s="1">
        <v>5783.28</v>
      </c>
      <c r="L2320" s="1">
        <v>15</v>
      </c>
      <c r="M2320" s="1">
        <v>867.49</v>
      </c>
      <c r="N2320" s="1">
        <v>4915.79</v>
      </c>
      <c r="O2320" s="1" t="s">
        <v>33</v>
      </c>
      <c r="P2320" s="1" t="s">
        <v>34</v>
      </c>
      <c r="Q2320" s="1">
        <v>1</v>
      </c>
      <c r="R2320" s="1">
        <f>Retail_Sales_Analyis[[#This Row],[Final_Price]]-Retail_Sales_Analyis[[#This Row],[Total_Price]]</f>
        <v>-867.48999999999978</v>
      </c>
      <c r="S23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1" spans="1:19" x14ac:dyDescent="0.25">
      <c r="A2321" s="1" t="s">
        <v>3364</v>
      </c>
      <c r="B2321" s="2">
        <v>45608</v>
      </c>
      <c r="C2321" s="1" t="s">
        <v>18</v>
      </c>
      <c r="D2321" s="1" t="s">
        <v>28</v>
      </c>
      <c r="E2321" s="1" t="s">
        <v>157</v>
      </c>
      <c r="F2321" s="1" t="s">
        <v>37</v>
      </c>
      <c r="G2321" s="1" t="s">
        <v>57</v>
      </c>
      <c r="H2321" s="1" t="s">
        <v>58</v>
      </c>
      <c r="I2321" s="1">
        <v>2573.1799999999998</v>
      </c>
      <c r="J2321" s="1">
        <v>2</v>
      </c>
      <c r="K2321" s="1">
        <v>5146.3599999999997</v>
      </c>
      <c r="L2321" s="1">
        <v>10</v>
      </c>
      <c r="M2321" s="1">
        <v>514.64</v>
      </c>
      <c r="N2321" s="1">
        <v>4631.72</v>
      </c>
      <c r="O2321" s="1" t="s">
        <v>46</v>
      </c>
      <c r="P2321" s="1" t="s">
        <v>1493</v>
      </c>
      <c r="Q2321" s="1">
        <v>2</v>
      </c>
      <c r="R2321" s="1">
        <f>Retail_Sales_Analyis[[#This Row],[Final_Price]]-Retail_Sales_Analyis[[#This Row],[Total_Price]]</f>
        <v>-514.63999999999942</v>
      </c>
      <c r="S23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2" spans="1:19" x14ac:dyDescent="0.25">
      <c r="A2322" s="1" t="s">
        <v>3365</v>
      </c>
      <c r="B2322" s="2">
        <v>45619</v>
      </c>
      <c r="C2322" s="1" t="s">
        <v>18</v>
      </c>
      <c r="D2322" s="1" t="s">
        <v>19</v>
      </c>
      <c r="E2322" s="1" t="s">
        <v>145</v>
      </c>
      <c r="F2322" s="1" t="s">
        <v>21</v>
      </c>
      <c r="G2322" s="1" t="s">
        <v>85</v>
      </c>
      <c r="H2322" s="1" t="s">
        <v>98</v>
      </c>
      <c r="I2322" s="1">
        <v>1102.1300000000001</v>
      </c>
      <c r="J2322" s="1">
        <v>6</v>
      </c>
      <c r="K2322" s="1">
        <v>6612.78</v>
      </c>
      <c r="L2322" s="1">
        <v>5</v>
      </c>
      <c r="M2322" s="1">
        <v>330.64</v>
      </c>
      <c r="N2322" s="1">
        <v>6282.14</v>
      </c>
      <c r="O2322" s="1" t="s">
        <v>33</v>
      </c>
      <c r="P2322" s="1" t="s">
        <v>3366</v>
      </c>
      <c r="Q2322" s="1">
        <v>2</v>
      </c>
      <c r="R2322" s="1">
        <f>Retail_Sales_Analyis[[#This Row],[Final_Price]]-Retail_Sales_Analyis[[#This Row],[Total_Price]]</f>
        <v>-330.63999999999942</v>
      </c>
      <c r="S232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23" spans="1:19" x14ac:dyDescent="0.25">
      <c r="A2323" s="1" t="s">
        <v>3367</v>
      </c>
      <c r="B2323" s="2">
        <v>45307</v>
      </c>
      <c r="C2323" s="1" t="s">
        <v>36</v>
      </c>
      <c r="D2323" s="1" t="s">
        <v>28</v>
      </c>
      <c r="E2323" s="1" t="s">
        <v>196</v>
      </c>
      <c r="F2323" s="1" t="s">
        <v>69</v>
      </c>
      <c r="G2323" s="1" t="s">
        <v>85</v>
      </c>
      <c r="H2323" s="1" t="s">
        <v>90</v>
      </c>
      <c r="I2323" s="1">
        <v>3794.41</v>
      </c>
      <c r="J2323" s="1">
        <v>4</v>
      </c>
      <c r="K2323" s="1">
        <v>15177.64</v>
      </c>
      <c r="L2323" s="1">
        <v>20</v>
      </c>
      <c r="M2323" s="1">
        <v>3035.53</v>
      </c>
      <c r="N2323" s="1">
        <v>12142.11</v>
      </c>
      <c r="O2323" s="1" t="s">
        <v>64</v>
      </c>
      <c r="P2323" s="1" t="s">
        <v>1603</v>
      </c>
      <c r="Q2323" s="1">
        <v>2</v>
      </c>
      <c r="R2323" s="1">
        <f>Retail_Sales_Analyis[[#This Row],[Final_Price]]-Retail_Sales_Analyis[[#This Row],[Total_Price]]</f>
        <v>-3035.5299999999988</v>
      </c>
      <c r="S23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24" spans="1:19" x14ac:dyDescent="0.25">
      <c r="A2324" s="1" t="s">
        <v>3368</v>
      </c>
      <c r="B2324" s="2">
        <v>45546</v>
      </c>
      <c r="C2324" s="1" t="s">
        <v>116</v>
      </c>
      <c r="D2324" s="1" t="s">
        <v>55</v>
      </c>
      <c r="E2324" s="1" t="s">
        <v>174</v>
      </c>
      <c r="F2324" s="1" t="s">
        <v>21</v>
      </c>
      <c r="G2324" s="1" t="s">
        <v>38</v>
      </c>
      <c r="H2324" s="1" t="s">
        <v>39</v>
      </c>
      <c r="I2324" s="1">
        <v>230.23</v>
      </c>
      <c r="J2324" s="1">
        <v>9</v>
      </c>
      <c r="K2324" s="1">
        <v>2072.0700000000002</v>
      </c>
      <c r="L2324" s="1">
        <v>0</v>
      </c>
      <c r="M2324" s="1">
        <v>0</v>
      </c>
      <c r="N2324" s="1">
        <v>2072.0700000000002</v>
      </c>
      <c r="O2324" s="1" t="s">
        <v>46</v>
      </c>
      <c r="P2324" s="1" t="s">
        <v>896</v>
      </c>
      <c r="Q2324" s="1">
        <v>2</v>
      </c>
      <c r="R2324" s="1">
        <f>Retail_Sales_Analyis[[#This Row],[Final_Price]]-Retail_Sales_Analyis[[#This Row],[Total_Price]]</f>
        <v>0</v>
      </c>
      <c r="S23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25" spans="1:19" x14ac:dyDescent="0.25">
      <c r="A2325" s="1" t="s">
        <v>3369</v>
      </c>
      <c r="B2325" s="2">
        <v>45613</v>
      </c>
      <c r="C2325" s="1" t="s">
        <v>18</v>
      </c>
      <c r="D2325" s="1" t="s">
        <v>49</v>
      </c>
      <c r="E2325" s="1" t="s">
        <v>236</v>
      </c>
      <c r="F2325" s="1" t="s">
        <v>69</v>
      </c>
      <c r="G2325" s="1" t="s">
        <v>22</v>
      </c>
      <c r="H2325" s="1" t="s">
        <v>51</v>
      </c>
      <c r="I2325" s="1">
        <v>500.85</v>
      </c>
      <c r="J2325" s="1">
        <v>10</v>
      </c>
      <c r="K2325" s="1">
        <v>5008.5</v>
      </c>
      <c r="L2325" s="1">
        <v>15</v>
      </c>
      <c r="M2325" s="1">
        <v>751.27</v>
      </c>
      <c r="N2325" s="1">
        <v>4257.2299999999996</v>
      </c>
      <c r="O2325" s="1" t="s">
        <v>64</v>
      </c>
      <c r="P2325" s="1" t="s">
        <v>373</v>
      </c>
      <c r="Q2325" s="1">
        <v>3</v>
      </c>
      <c r="R2325" s="1">
        <f>Retail_Sales_Analyis[[#This Row],[Final_Price]]-Retail_Sales_Analyis[[#This Row],[Total_Price]]</f>
        <v>-751.27000000000044</v>
      </c>
      <c r="S23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6" spans="1:19" x14ac:dyDescent="0.25">
      <c r="A2326" s="1" t="s">
        <v>3370</v>
      </c>
      <c r="B2326" s="2">
        <v>45571</v>
      </c>
      <c r="C2326" s="1" t="s">
        <v>76</v>
      </c>
      <c r="D2326" s="1" t="s">
        <v>49</v>
      </c>
      <c r="E2326" s="1" t="s">
        <v>20</v>
      </c>
      <c r="F2326" s="1" t="s">
        <v>21</v>
      </c>
      <c r="G2326" s="1" t="s">
        <v>57</v>
      </c>
      <c r="H2326" s="1" t="s">
        <v>122</v>
      </c>
      <c r="I2326" s="1">
        <v>2812.55</v>
      </c>
      <c r="J2326" s="1">
        <v>3</v>
      </c>
      <c r="K2326" s="1">
        <v>8437.65</v>
      </c>
      <c r="L2326" s="1">
        <v>0</v>
      </c>
      <c r="M2326" s="1">
        <v>0</v>
      </c>
      <c r="N2326" s="1">
        <v>8437.65</v>
      </c>
      <c r="O2326" s="1" t="s">
        <v>80</v>
      </c>
      <c r="P2326" s="1" t="s">
        <v>2718</v>
      </c>
      <c r="Q2326" s="1">
        <v>3</v>
      </c>
      <c r="R2326" s="1">
        <f>Retail_Sales_Analyis[[#This Row],[Final_Price]]-Retail_Sales_Analyis[[#This Row],[Total_Price]]</f>
        <v>0</v>
      </c>
      <c r="S23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27" spans="1:19" x14ac:dyDescent="0.25">
      <c r="A2327" s="1" t="s">
        <v>3371</v>
      </c>
      <c r="B2327" s="2">
        <v>45440</v>
      </c>
      <c r="C2327" s="1" t="s">
        <v>42</v>
      </c>
      <c r="D2327" s="1" t="s">
        <v>28</v>
      </c>
      <c r="E2327" s="1" t="s">
        <v>168</v>
      </c>
      <c r="F2327" s="1" t="s">
        <v>37</v>
      </c>
      <c r="G2327" s="1" t="s">
        <v>85</v>
      </c>
      <c r="H2327" s="1" t="s">
        <v>98</v>
      </c>
      <c r="I2327" s="1">
        <v>3744.04</v>
      </c>
      <c r="J2327" s="1">
        <v>1</v>
      </c>
      <c r="K2327" s="1">
        <v>3744.04</v>
      </c>
      <c r="L2327" s="1">
        <v>10</v>
      </c>
      <c r="M2327" s="1">
        <v>374.4</v>
      </c>
      <c r="N2327" s="1">
        <v>3369.64</v>
      </c>
      <c r="O2327" s="1" t="s">
        <v>24</v>
      </c>
      <c r="P2327" s="1" t="s">
        <v>551</v>
      </c>
      <c r="Q2327" s="1">
        <v>3</v>
      </c>
      <c r="R2327" s="1">
        <f>Retail_Sales_Analyis[[#This Row],[Final_Price]]-Retail_Sales_Analyis[[#This Row],[Total_Price]]</f>
        <v>-374.40000000000009</v>
      </c>
      <c r="S23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8" spans="1:19" x14ac:dyDescent="0.25">
      <c r="A2328" s="1" t="s">
        <v>3372</v>
      </c>
      <c r="B2328" s="2">
        <v>45620</v>
      </c>
      <c r="C2328" s="1" t="s">
        <v>18</v>
      </c>
      <c r="D2328" s="1" t="s">
        <v>49</v>
      </c>
      <c r="E2328" s="1" t="s">
        <v>68</v>
      </c>
      <c r="F2328" s="1" t="s">
        <v>21</v>
      </c>
      <c r="G2328" s="1" t="s">
        <v>22</v>
      </c>
      <c r="H2328" s="1" t="s">
        <v>187</v>
      </c>
      <c r="I2328" s="1">
        <v>351.12</v>
      </c>
      <c r="J2328" s="1">
        <v>3</v>
      </c>
      <c r="K2328" s="1">
        <v>1053.3599999999999</v>
      </c>
      <c r="L2328" s="1">
        <v>10</v>
      </c>
      <c r="M2328" s="1">
        <v>105.34</v>
      </c>
      <c r="N2328" s="1">
        <v>948.02</v>
      </c>
      <c r="O2328" s="1" t="s">
        <v>46</v>
      </c>
      <c r="P2328" s="1" t="s">
        <v>986</v>
      </c>
      <c r="Q2328" s="1">
        <v>3</v>
      </c>
      <c r="R2328" s="1">
        <f>Retail_Sales_Analyis[[#This Row],[Final_Price]]-Retail_Sales_Analyis[[#This Row],[Total_Price]]</f>
        <v>-105.33999999999992</v>
      </c>
      <c r="S23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29" spans="1:19" x14ac:dyDescent="0.25">
      <c r="A2329" s="1" t="s">
        <v>3373</v>
      </c>
      <c r="B2329" s="2">
        <v>45446</v>
      </c>
      <c r="C2329" s="1" t="s">
        <v>173</v>
      </c>
      <c r="D2329" s="1" t="s">
        <v>43</v>
      </c>
      <c r="E2329" s="1" t="s">
        <v>89</v>
      </c>
      <c r="F2329" s="1" t="s">
        <v>37</v>
      </c>
      <c r="G2329" s="1" t="s">
        <v>38</v>
      </c>
      <c r="H2329" s="1" t="s">
        <v>108</v>
      </c>
      <c r="I2329" s="1">
        <v>561.89</v>
      </c>
      <c r="J2329" s="1">
        <v>10</v>
      </c>
      <c r="K2329" s="1">
        <v>5618.9</v>
      </c>
      <c r="L2329" s="1">
        <v>10</v>
      </c>
      <c r="M2329" s="1">
        <v>561.89</v>
      </c>
      <c r="N2329" s="1">
        <v>5057.01</v>
      </c>
      <c r="O2329" s="1" t="s">
        <v>80</v>
      </c>
      <c r="P2329" s="1" t="s">
        <v>2201</v>
      </c>
      <c r="Q2329" s="1">
        <v>2</v>
      </c>
      <c r="R2329" s="1">
        <f>Retail_Sales_Analyis[[#This Row],[Final_Price]]-Retail_Sales_Analyis[[#This Row],[Total_Price]]</f>
        <v>-561.88999999999942</v>
      </c>
      <c r="S23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30" spans="1:19" x14ac:dyDescent="0.25">
      <c r="A2330" s="1" t="s">
        <v>3374</v>
      </c>
      <c r="B2330" s="2">
        <v>45539</v>
      </c>
      <c r="C2330" s="1" t="s">
        <v>116</v>
      </c>
      <c r="D2330" s="1" t="s">
        <v>55</v>
      </c>
      <c r="E2330" s="1" t="s">
        <v>68</v>
      </c>
      <c r="F2330" s="1" t="s">
        <v>69</v>
      </c>
      <c r="G2330" s="1" t="s">
        <v>31</v>
      </c>
      <c r="H2330" s="1" t="s">
        <v>63</v>
      </c>
      <c r="I2330" s="1">
        <v>418.95</v>
      </c>
      <c r="J2330" s="1">
        <v>2</v>
      </c>
      <c r="K2330" s="1">
        <v>837.9</v>
      </c>
      <c r="L2330" s="1">
        <v>0</v>
      </c>
      <c r="M2330" s="1">
        <v>0</v>
      </c>
      <c r="N2330" s="1">
        <v>837.9</v>
      </c>
      <c r="O2330" s="1" t="s">
        <v>46</v>
      </c>
      <c r="P2330" s="1" t="s">
        <v>1248</v>
      </c>
      <c r="Q2330" s="1">
        <v>3</v>
      </c>
      <c r="R2330" s="1">
        <f>Retail_Sales_Analyis[[#This Row],[Final_Price]]-Retail_Sales_Analyis[[#This Row],[Total_Price]]</f>
        <v>0</v>
      </c>
      <c r="S23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31" spans="1:19" x14ac:dyDescent="0.25">
      <c r="A2331" s="1" t="s">
        <v>3375</v>
      </c>
      <c r="B2331" s="2">
        <v>45417</v>
      </c>
      <c r="C2331" s="1" t="s">
        <v>42</v>
      </c>
      <c r="D2331" s="1" t="s">
        <v>49</v>
      </c>
      <c r="E2331" s="1" t="s">
        <v>163</v>
      </c>
      <c r="F2331" s="1" t="s">
        <v>21</v>
      </c>
      <c r="G2331" s="1" t="s">
        <v>31</v>
      </c>
      <c r="H2331" s="1" t="s">
        <v>63</v>
      </c>
      <c r="I2331" s="1">
        <v>246.39</v>
      </c>
      <c r="J2331" s="1">
        <v>10</v>
      </c>
      <c r="K2331" s="1">
        <v>2463.9</v>
      </c>
      <c r="L2331" s="1">
        <v>10</v>
      </c>
      <c r="M2331" s="1">
        <v>246.39</v>
      </c>
      <c r="N2331" s="1">
        <v>2217.5100000000002</v>
      </c>
      <c r="O2331" s="1" t="s">
        <v>24</v>
      </c>
      <c r="P2331" s="1" t="s">
        <v>2152</v>
      </c>
      <c r="Q2331" s="1">
        <v>2</v>
      </c>
      <c r="R2331" s="1">
        <f>Retail_Sales_Analyis[[#This Row],[Final_Price]]-Retail_Sales_Analyis[[#This Row],[Total_Price]]</f>
        <v>-246.38999999999987</v>
      </c>
      <c r="S23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32" spans="1:19" x14ac:dyDescent="0.25">
      <c r="A2332" s="1" t="s">
        <v>3376</v>
      </c>
      <c r="B2332" s="2">
        <v>45642</v>
      </c>
      <c r="C2332" s="1" t="s">
        <v>73</v>
      </c>
      <c r="D2332" s="1" t="s">
        <v>43</v>
      </c>
      <c r="E2332" s="1" t="s">
        <v>145</v>
      </c>
      <c r="F2332" s="1" t="s">
        <v>21</v>
      </c>
      <c r="G2332" s="1" t="s">
        <v>112</v>
      </c>
      <c r="H2332" s="1" t="s">
        <v>223</v>
      </c>
      <c r="I2332" s="1">
        <v>1574.93</v>
      </c>
      <c r="J2332" s="1">
        <v>7</v>
      </c>
      <c r="K2332" s="1">
        <v>11024.51</v>
      </c>
      <c r="L2332" s="1">
        <v>20</v>
      </c>
      <c r="M2332" s="1">
        <v>2204.9</v>
      </c>
      <c r="N2332" s="1">
        <v>8819.61</v>
      </c>
      <c r="O2332" s="1" t="s">
        <v>46</v>
      </c>
      <c r="P2332" s="1" t="s">
        <v>310</v>
      </c>
      <c r="Q2332" s="1">
        <v>2</v>
      </c>
      <c r="R2332" s="1">
        <f>Retail_Sales_Analyis[[#This Row],[Final_Price]]-Retail_Sales_Analyis[[#This Row],[Total_Price]]</f>
        <v>-2204.8999999999996</v>
      </c>
      <c r="S23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33" spans="1:19" x14ac:dyDescent="0.25">
      <c r="A2333" s="1" t="s">
        <v>3377</v>
      </c>
      <c r="B2333" s="2">
        <v>45499</v>
      </c>
      <c r="C2333" s="1" t="s">
        <v>195</v>
      </c>
      <c r="D2333" s="1" t="s">
        <v>144</v>
      </c>
      <c r="E2333" s="1" t="s">
        <v>145</v>
      </c>
      <c r="F2333" s="1" t="s">
        <v>21</v>
      </c>
      <c r="G2333" s="1" t="s">
        <v>22</v>
      </c>
      <c r="H2333" s="1" t="s">
        <v>23</v>
      </c>
      <c r="I2333" s="1">
        <v>930.89</v>
      </c>
      <c r="J2333" s="1">
        <v>8</v>
      </c>
      <c r="K2333" s="1">
        <v>7447.12</v>
      </c>
      <c r="L2333" s="1">
        <v>5</v>
      </c>
      <c r="M2333" s="1">
        <v>372.36</v>
      </c>
      <c r="N2333" s="1">
        <v>7074.76</v>
      </c>
      <c r="O2333" s="1" t="s">
        <v>33</v>
      </c>
      <c r="P2333" s="1" t="s">
        <v>480</v>
      </c>
      <c r="Q2333" s="1">
        <v>4</v>
      </c>
      <c r="R2333" s="1">
        <f>Retail_Sales_Analyis[[#This Row],[Final_Price]]-Retail_Sales_Analyis[[#This Row],[Total_Price]]</f>
        <v>-372.35999999999967</v>
      </c>
      <c r="S23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34" spans="1:19" x14ac:dyDescent="0.25">
      <c r="A2334" s="1" t="s">
        <v>3378</v>
      </c>
      <c r="B2334" s="2">
        <v>45444</v>
      </c>
      <c r="C2334" s="1" t="s">
        <v>173</v>
      </c>
      <c r="D2334" s="1" t="s">
        <v>19</v>
      </c>
      <c r="E2334" s="1" t="s">
        <v>207</v>
      </c>
      <c r="F2334" s="1" t="s">
        <v>30</v>
      </c>
      <c r="G2334" s="1" t="s">
        <v>169</v>
      </c>
      <c r="H2334" s="1" t="s">
        <v>348</v>
      </c>
      <c r="I2334" s="1">
        <v>1364.04</v>
      </c>
      <c r="J2334" s="1">
        <v>9</v>
      </c>
      <c r="K2334" s="1">
        <v>12276.36</v>
      </c>
      <c r="L2334" s="1">
        <v>15</v>
      </c>
      <c r="M2334" s="1">
        <v>1841.45</v>
      </c>
      <c r="N2334" s="1">
        <v>10434.91</v>
      </c>
      <c r="O2334" s="1" t="s">
        <v>24</v>
      </c>
      <c r="P2334" s="1" t="s">
        <v>2610</v>
      </c>
      <c r="Q2334" s="1">
        <v>4</v>
      </c>
      <c r="R2334" s="1">
        <f>Retail_Sales_Analyis[[#This Row],[Final_Price]]-Retail_Sales_Analyis[[#This Row],[Total_Price]]</f>
        <v>-1841.4500000000007</v>
      </c>
      <c r="S23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35" spans="1:19" x14ac:dyDescent="0.25">
      <c r="A2335" s="1" t="s">
        <v>3379</v>
      </c>
      <c r="B2335" s="2">
        <v>45524</v>
      </c>
      <c r="C2335" s="1" t="s">
        <v>93</v>
      </c>
      <c r="D2335" s="1" t="s">
        <v>28</v>
      </c>
      <c r="E2335" s="1" t="s">
        <v>307</v>
      </c>
      <c r="F2335" s="1" t="s">
        <v>37</v>
      </c>
      <c r="G2335" s="1" t="s">
        <v>31</v>
      </c>
      <c r="H2335" s="1" t="s">
        <v>329</v>
      </c>
      <c r="I2335" s="1">
        <v>466.48</v>
      </c>
      <c r="J2335" s="1">
        <v>8</v>
      </c>
      <c r="K2335" s="1">
        <v>3731.84</v>
      </c>
      <c r="L2335" s="1">
        <v>0</v>
      </c>
      <c r="M2335" s="1">
        <v>0</v>
      </c>
      <c r="N2335" s="1">
        <v>3731.84</v>
      </c>
      <c r="O2335" s="1" t="s">
        <v>64</v>
      </c>
      <c r="P2335" s="1" t="s">
        <v>599</v>
      </c>
      <c r="Q2335" s="1">
        <v>5</v>
      </c>
      <c r="R2335" s="1">
        <f>Retail_Sales_Analyis[[#This Row],[Final_Price]]-Retail_Sales_Analyis[[#This Row],[Total_Price]]</f>
        <v>0</v>
      </c>
      <c r="S23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36" spans="1:19" x14ac:dyDescent="0.25">
      <c r="A2336" s="1" t="s">
        <v>3380</v>
      </c>
      <c r="B2336" s="2">
        <v>45329</v>
      </c>
      <c r="C2336" s="1" t="s">
        <v>27</v>
      </c>
      <c r="D2336" s="1" t="s">
        <v>55</v>
      </c>
      <c r="E2336" s="1" t="s">
        <v>351</v>
      </c>
      <c r="F2336" s="1" t="s">
        <v>21</v>
      </c>
      <c r="G2336" s="1" t="s">
        <v>22</v>
      </c>
      <c r="H2336" s="1" t="s">
        <v>133</v>
      </c>
      <c r="I2336" s="1">
        <v>468.05</v>
      </c>
      <c r="J2336" s="1">
        <v>6</v>
      </c>
      <c r="K2336" s="1">
        <v>2808.3</v>
      </c>
      <c r="L2336" s="1">
        <v>0</v>
      </c>
      <c r="M2336" s="1">
        <v>0</v>
      </c>
      <c r="N2336" s="1">
        <v>2808.3</v>
      </c>
      <c r="O2336" s="1" t="s">
        <v>80</v>
      </c>
      <c r="P2336" s="1" t="s">
        <v>1766</v>
      </c>
      <c r="Q2336" s="1">
        <v>5</v>
      </c>
      <c r="R2336" s="1">
        <f>Retail_Sales_Analyis[[#This Row],[Final_Price]]-Retail_Sales_Analyis[[#This Row],[Total_Price]]</f>
        <v>0</v>
      </c>
      <c r="S23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37" spans="1:19" x14ac:dyDescent="0.25">
      <c r="A2337" s="1" t="s">
        <v>3381</v>
      </c>
      <c r="B2337" s="2">
        <v>45644</v>
      </c>
      <c r="C2337" s="1" t="s">
        <v>73</v>
      </c>
      <c r="D2337" s="1" t="s">
        <v>55</v>
      </c>
      <c r="E2337" s="1" t="s">
        <v>204</v>
      </c>
      <c r="F2337" s="1" t="s">
        <v>37</v>
      </c>
      <c r="G2337" s="1" t="s">
        <v>38</v>
      </c>
      <c r="H2337" s="1" t="s">
        <v>39</v>
      </c>
      <c r="I2337" s="1">
        <v>609.54999999999995</v>
      </c>
      <c r="J2337" s="1">
        <v>1</v>
      </c>
      <c r="K2337" s="1">
        <v>609.54999999999995</v>
      </c>
      <c r="L2337" s="1">
        <v>15</v>
      </c>
      <c r="M2337" s="1">
        <v>91.43</v>
      </c>
      <c r="N2337" s="1">
        <v>518.12</v>
      </c>
      <c r="O2337" s="1" t="s">
        <v>33</v>
      </c>
      <c r="P2337" s="1" t="s">
        <v>2016</v>
      </c>
      <c r="Q2337" s="1">
        <v>3</v>
      </c>
      <c r="R2337" s="1">
        <f>Retail_Sales_Analyis[[#This Row],[Final_Price]]-Retail_Sales_Analyis[[#This Row],[Total_Price]]</f>
        <v>-91.42999999999995</v>
      </c>
      <c r="S23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38" spans="1:19" x14ac:dyDescent="0.25">
      <c r="A2338" s="1" t="s">
        <v>3382</v>
      </c>
      <c r="B2338" s="2">
        <v>45322</v>
      </c>
      <c r="C2338" s="1" t="s">
        <v>36</v>
      </c>
      <c r="D2338" s="1" t="s">
        <v>55</v>
      </c>
      <c r="E2338" s="1" t="s">
        <v>236</v>
      </c>
      <c r="F2338" s="1" t="s">
        <v>69</v>
      </c>
      <c r="G2338" s="1" t="s">
        <v>31</v>
      </c>
      <c r="H2338" s="1" t="s">
        <v>63</v>
      </c>
      <c r="I2338" s="1">
        <v>58.33</v>
      </c>
      <c r="J2338" s="1">
        <v>7</v>
      </c>
      <c r="K2338" s="1">
        <v>408.31</v>
      </c>
      <c r="L2338" s="1">
        <v>5</v>
      </c>
      <c r="M2338" s="1">
        <v>20.420000000000002</v>
      </c>
      <c r="N2338" s="1">
        <v>387.89</v>
      </c>
      <c r="O2338" s="1" t="s">
        <v>46</v>
      </c>
      <c r="P2338" s="1" t="s">
        <v>496</v>
      </c>
      <c r="Q2338" s="1">
        <v>5</v>
      </c>
      <c r="R2338" s="1">
        <f>Retail_Sales_Analyis[[#This Row],[Final_Price]]-Retail_Sales_Analyis[[#This Row],[Total_Price]]</f>
        <v>-20.420000000000016</v>
      </c>
      <c r="S23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39" spans="1:19" x14ac:dyDescent="0.25">
      <c r="A2339" s="1" t="s">
        <v>3383</v>
      </c>
      <c r="B2339" s="2">
        <v>45372</v>
      </c>
      <c r="C2339" s="1" t="s">
        <v>61</v>
      </c>
      <c r="D2339" s="1" t="s">
        <v>67</v>
      </c>
      <c r="E2339" s="1" t="s">
        <v>157</v>
      </c>
      <c r="F2339" s="1" t="s">
        <v>37</v>
      </c>
      <c r="G2339" s="1" t="s">
        <v>22</v>
      </c>
      <c r="H2339" s="1" t="s">
        <v>23</v>
      </c>
      <c r="I2339" s="1">
        <v>497</v>
      </c>
      <c r="J2339" s="1">
        <v>1</v>
      </c>
      <c r="K2339" s="1">
        <v>497</v>
      </c>
      <c r="L2339" s="1">
        <v>20</v>
      </c>
      <c r="M2339" s="1">
        <v>99.4</v>
      </c>
      <c r="N2339" s="1">
        <v>397.6</v>
      </c>
      <c r="O2339" s="1" t="s">
        <v>33</v>
      </c>
      <c r="P2339" s="1" t="s">
        <v>2911</v>
      </c>
      <c r="Q2339" s="1">
        <v>2</v>
      </c>
      <c r="R2339" s="1">
        <f>Retail_Sales_Analyis[[#This Row],[Final_Price]]-Retail_Sales_Analyis[[#This Row],[Total_Price]]</f>
        <v>-99.399999999999977</v>
      </c>
      <c r="S23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40" spans="1:19" x14ac:dyDescent="0.25">
      <c r="A2340" s="1" t="s">
        <v>3384</v>
      </c>
      <c r="B2340" s="2">
        <v>45517</v>
      </c>
      <c r="C2340" s="1" t="s">
        <v>93</v>
      </c>
      <c r="D2340" s="1" t="s">
        <v>28</v>
      </c>
      <c r="E2340" s="1" t="s">
        <v>261</v>
      </c>
      <c r="F2340" s="1" t="s">
        <v>37</v>
      </c>
      <c r="G2340" s="1" t="s">
        <v>22</v>
      </c>
      <c r="H2340" s="1" t="s">
        <v>23</v>
      </c>
      <c r="I2340" s="1">
        <v>843.88</v>
      </c>
      <c r="J2340" s="1">
        <v>6</v>
      </c>
      <c r="K2340" s="1">
        <v>5063.28</v>
      </c>
      <c r="L2340" s="1">
        <v>15</v>
      </c>
      <c r="M2340" s="1">
        <v>759.49</v>
      </c>
      <c r="N2340" s="1">
        <v>4303.79</v>
      </c>
      <c r="O2340" s="1" t="s">
        <v>33</v>
      </c>
      <c r="P2340" s="1" t="s">
        <v>393</v>
      </c>
      <c r="Q2340" s="1">
        <v>3</v>
      </c>
      <c r="R2340" s="1">
        <f>Retail_Sales_Analyis[[#This Row],[Final_Price]]-Retail_Sales_Analyis[[#This Row],[Total_Price]]</f>
        <v>-759.48999999999978</v>
      </c>
      <c r="S23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1" spans="1:19" x14ac:dyDescent="0.25">
      <c r="A2341" s="1" t="s">
        <v>3385</v>
      </c>
      <c r="B2341" s="2">
        <v>45504</v>
      </c>
      <c r="C2341" s="1" t="s">
        <v>195</v>
      </c>
      <c r="D2341" s="1" t="s">
        <v>55</v>
      </c>
      <c r="E2341" s="1" t="s">
        <v>542</v>
      </c>
      <c r="F2341" s="1" t="s">
        <v>84</v>
      </c>
      <c r="G2341" s="1" t="s">
        <v>31</v>
      </c>
      <c r="H2341" s="1" t="s">
        <v>63</v>
      </c>
      <c r="I2341" s="1">
        <v>191.78</v>
      </c>
      <c r="J2341" s="1">
        <v>8</v>
      </c>
      <c r="K2341" s="1">
        <v>1534.24</v>
      </c>
      <c r="L2341" s="1">
        <v>15</v>
      </c>
      <c r="M2341" s="1">
        <v>230.14</v>
      </c>
      <c r="N2341" s="1">
        <v>1304.0999999999999</v>
      </c>
      <c r="O2341" s="1" t="s">
        <v>80</v>
      </c>
      <c r="P2341" s="1" t="s">
        <v>657</v>
      </c>
      <c r="Q2341" s="1">
        <v>2</v>
      </c>
      <c r="R2341" s="1">
        <f>Retail_Sales_Analyis[[#This Row],[Final_Price]]-Retail_Sales_Analyis[[#This Row],[Total_Price]]</f>
        <v>-230.1400000000001</v>
      </c>
      <c r="S23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2" spans="1:19" x14ac:dyDescent="0.25">
      <c r="A2342" s="1" t="s">
        <v>3386</v>
      </c>
      <c r="B2342" s="2">
        <v>45539</v>
      </c>
      <c r="C2342" s="1" t="s">
        <v>116</v>
      </c>
      <c r="D2342" s="1" t="s">
        <v>55</v>
      </c>
      <c r="E2342" s="1" t="s">
        <v>141</v>
      </c>
      <c r="F2342" s="1" t="s">
        <v>30</v>
      </c>
      <c r="G2342" s="1" t="s">
        <v>57</v>
      </c>
      <c r="H2342" s="1" t="s">
        <v>122</v>
      </c>
      <c r="I2342" s="1">
        <v>2157.15</v>
      </c>
      <c r="J2342" s="1">
        <v>10</v>
      </c>
      <c r="K2342" s="1">
        <v>21571.5</v>
      </c>
      <c r="L2342" s="1">
        <v>15</v>
      </c>
      <c r="M2342" s="1">
        <v>3235.72</v>
      </c>
      <c r="N2342" s="1">
        <v>18335.78</v>
      </c>
      <c r="O2342" s="1" t="s">
        <v>33</v>
      </c>
      <c r="P2342" s="1" t="s">
        <v>522</v>
      </c>
      <c r="Q2342" s="1">
        <v>5</v>
      </c>
      <c r="R2342" s="1">
        <f>Retail_Sales_Analyis[[#This Row],[Final_Price]]-Retail_Sales_Analyis[[#This Row],[Total_Price]]</f>
        <v>-3235.7200000000012</v>
      </c>
      <c r="S23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3" spans="1:19" x14ac:dyDescent="0.25">
      <c r="A2343" s="1" t="s">
        <v>3387</v>
      </c>
      <c r="B2343" s="2">
        <v>45529</v>
      </c>
      <c r="C2343" s="1" t="s">
        <v>93</v>
      </c>
      <c r="D2343" s="1" t="s">
        <v>49</v>
      </c>
      <c r="E2343" s="1" t="s">
        <v>117</v>
      </c>
      <c r="F2343" s="1" t="s">
        <v>84</v>
      </c>
      <c r="G2343" s="1" t="s">
        <v>169</v>
      </c>
      <c r="H2343" s="1" t="s">
        <v>175</v>
      </c>
      <c r="I2343" s="1">
        <v>1018.49</v>
      </c>
      <c r="J2343" s="1">
        <v>9</v>
      </c>
      <c r="K2343" s="1">
        <v>9166.41</v>
      </c>
      <c r="L2343" s="1">
        <v>5</v>
      </c>
      <c r="M2343" s="1">
        <v>458.32</v>
      </c>
      <c r="N2343" s="1">
        <v>8708.09</v>
      </c>
      <c r="O2343" s="1" t="s">
        <v>24</v>
      </c>
      <c r="P2343" s="1" t="s">
        <v>907</v>
      </c>
      <c r="Q2343" s="1">
        <v>5</v>
      </c>
      <c r="R2343" s="1">
        <f>Retail_Sales_Analyis[[#This Row],[Final_Price]]-Retail_Sales_Analyis[[#This Row],[Total_Price]]</f>
        <v>-458.31999999999971</v>
      </c>
      <c r="S23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44" spans="1:19" x14ac:dyDescent="0.25">
      <c r="A2344" s="1" t="s">
        <v>3388</v>
      </c>
      <c r="B2344" s="2">
        <v>45396</v>
      </c>
      <c r="C2344" s="1" t="s">
        <v>54</v>
      </c>
      <c r="D2344" s="1" t="s">
        <v>49</v>
      </c>
      <c r="E2344" s="1" t="s">
        <v>261</v>
      </c>
      <c r="F2344" s="1" t="s">
        <v>69</v>
      </c>
      <c r="G2344" s="1" t="s">
        <v>78</v>
      </c>
      <c r="H2344" s="1" t="s">
        <v>323</v>
      </c>
      <c r="I2344" s="1">
        <v>156.38999999999999</v>
      </c>
      <c r="J2344" s="1">
        <v>5</v>
      </c>
      <c r="K2344" s="1">
        <v>781.95</v>
      </c>
      <c r="L2344" s="1">
        <v>10</v>
      </c>
      <c r="M2344" s="1">
        <v>78.2</v>
      </c>
      <c r="N2344" s="1">
        <v>703.75</v>
      </c>
      <c r="O2344" s="1" t="s">
        <v>64</v>
      </c>
      <c r="P2344" s="1" t="s">
        <v>155</v>
      </c>
      <c r="Q2344" s="1">
        <v>2</v>
      </c>
      <c r="R2344" s="1">
        <f>Retail_Sales_Analyis[[#This Row],[Final_Price]]-Retail_Sales_Analyis[[#This Row],[Total_Price]]</f>
        <v>-78.200000000000045</v>
      </c>
      <c r="S23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5" spans="1:19" x14ac:dyDescent="0.25">
      <c r="A2345" s="1" t="s">
        <v>3389</v>
      </c>
      <c r="B2345" s="2">
        <v>45466</v>
      </c>
      <c r="C2345" s="1" t="s">
        <v>173</v>
      </c>
      <c r="D2345" s="1" t="s">
        <v>49</v>
      </c>
      <c r="E2345" s="1" t="s">
        <v>542</v>
      </c>
      <c r="F2345" s="1" t="s">
        <v>21</v>
      </c>
      <c r="G2345" s="1" t="s">
        <v>57</v>
      </c>
      <c r="H2345" s="1" t="s">
        <v>101</v>
      </c>
      <c r="I2345" s="1">
        <v>569.01</v>
      </c>
      <c r="J2345" s="1">
        <v>4</v>
      </c>
      <c r="K2345" s="1">
        <v>2276.04</v>
      </c>
      <c r="L2345" s="1">
        <v>10</v>
      </c>
      <c r="M2345" s="1">
        <v>227.6</v>
      </c>
      <c r="N2345" s="1">
        <v>2048.44</v>
      </c>
      <c r="O2345" s="1" t="s">
        <v>46</v>
      </c>
      <c r="P2345" s="1" t="s">
        <v>913</v>
      </c>
      <c r="Q2345" s="1">
        <v>4</v>
      </c>
      <c r="R2345" s="1">
        <f>Retail_Sales_Analyis[[#This Row],[Final_Price]]-Retail_Sales_Analyis[[#This Row],[Total_Price]]</f>
        <v>-227.59999999999991</v>
      </c>
      <c r="S23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6" spans="1:19" x14ac:dyDescent="0.25">
      <c r="A2346" s="1" t="s">
        <v>3390</v>
      </c>
      <c r="B2346" s="2">
        <v>45602</v>
      </c>
      <c r="C2346" s="1" t="s">
        <v>18</v>
      </c>
      <c r="D2346" s="1" t="s">
        <v>55</v>
      </c>
      <c r="E2346" s="1" t="s">
        <v>62</v>
      </c>
      <c r="F2346" s="1" t="s">
        <v>84</v>
      </c>
      <c r="G2346" s="1" t="s">
        <v>85</v>
      </c>
      <c r="H2346" s="1" t="s">
        <v>90</v>
      </c>
      <c r="I2346" s="1">
        <v>3342.9</v>
      </c>
      <c r="J2346" s="1">
        <v>9</v>
      </c>
      <c r="K2346" s="1">
        <v>30086.1</v>
      </c>
      <c r="L2346" s="1">
        <v>20</v>
      </c>
      <c r="M2346" s="1">
        <v>6017.22</v>
      </c>
      <c r="N2346" s="1">
        <v>24068.880000000001</v>
      </c>
      <c r="O2346" s="1" t="s">
        <v>24</v>
      </c>
      <c r="P2346" s="1" t="s">
        <v>492</v>
      </c>
      <c r="Q2346" s="1">
        <v>1</v>
      </c>
      <c r="R2346" s="1">
        <f>Retail_Sales_Analyis[[#This Row],[Final_Price]]-Retail_Sales_Analyis[[#This Row],[Total_Price]]</f>
        <v>-6017.2199999999975</v>
      </c>
      <c r="S23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47" spans="1:19" x14ac:dyDescent="0.25">
      <c r="A2347" s="1" t="s">
        <v>3391</v>
      </c>
      <c r="B2347" s="2">
        <v>45365</v>
      </c>
      <c r="C2347" s="1" t="s">
        <v>61</v>
      </c>
      <c r="D2347" s="1" t="s">
        <v>67</v>
      </c>
      <c r="E2347" s="1" t="s">
        <v>285</v>
      </c>
      <c r="F2347" s="1" t="s">
        <v>69</v>
      </c>
      <c r="G2347" s="1" t="s">
        <v>78</v>
      </c>
      <c r="H2347" s="1" t="s">
        <v>146</v>
      </c>
      <c r="I2347" s="1">
        <v>263.17</v>
      </c>
      <c r="J2347" s="1">
        <v>1</v>
      </c>
      <c r="K2347" s="1">
        <v>263.17</v>
      </c>
      <c r="L2347" s="1">
        <v>15</v>
      </c>
      <c r="M2347" s="1">
        <v>39.479999999999997</v>
      </c>
      <c r="N2347" s="1">
        <v>223.69</v>
      </c>
      <c r="O2347" s="1" t="s">
        <v>24</v>
      </c>
      <c r="P2347" s="1" t="s">
        <v>354</v>
      </c>
      <c r="Q2347" s="1">
        <v>2</v>
      </c>
      <c r="R2347" s="1">
        <f>Retail_Sales_Analyis[[#This Row],[Final_Price]]-Retail_Sales_Analyis[[#This Row],[Total_Price]]</f>
        <v>-39.480000000000018</v>
      </c>
      <c r="S23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8" spans="1:19" x14ac:dyDescent="0.25">
      <c r="A2348" s="1" t="s">
        <v>3392</v>
      </c>
      <c r="B2348" s="2">
        <v>45452</v>
      </c>
      <c r="C2348" s="1" t="s">
        <v>173</v>
      </c>
      <c r="D2348" s="1" t="s">
        <v>49</v>
      </c>
      <c r="E2348" s="1" t="s">
        <v>351</v>
      </c>
      <c r="F2348" s="1" t="s">
        <v>21</v>
      </c>
      <c r="G2348" s="1" t="s">
        <v>85</v>
      </c>
      <c r="H2348" s="1" t="s">
        <v>98</v>
      </c>
      <c r="I2348" s="1">
        <v>4638.4799999999996</v>
      </c>
      <c r="J2348" s="1">
        <v>10</v>
      </c>
      <c r="K2348" s="1">
        <v>46384.800000000003</v>
      </c>
      <c r="L2348" s="1">
        <v>10</v>
      </c>
      <c r="M2348" s="1">
        <v>4638.4799999999996</v>
      </c>
      <c r="N2348" s="1">
        <v>41746.32</v>
      </c>
      <c r="O2348" s="1" t="s">
        <v>46</v>
      </c>
      <c r="P2348" s="1" t="s">
        <v>1755</v>
      </c>
      <c r="Q2348" s="1">
        <v>4</v>
      </c>
      <c r="R2348" s="1">
        <f>Retail_Sales_Analyis[[#This Row],[Final_Price]]-Retail_Sales_Analyis[[#This Row],[Total_Price]]</f>
        <v>-4638.4800000000032</v>
      </c>
      <c r="S23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49" spans="1:19" x14ac:dyDescent="0.25">
      <c r="A2349" s="1" t="s">
        <v>3393</v>
      </c>
      <c r="B2349" s="2">
        <v>45455</v>
      </c>
      <c r="C2349" s="1" t="s">
        <v>173</v>
      </c>
      <c r="D2349" s="1" t="s">
        <v>55</v>
      </c>
      <c r="E2349" s="1" t="s">
        <v>192</v>
      </c>
      <c r="F2349" s="1" t="s">
        <v>84</v>
      </c>
      <c r="G2349" s="1" t="s">
        <v>85</v>
      </c>
      <c r="H2349" s="1" t="s">
        <v>180</v>
      </c>
      <c r="I2349" s="1">
        <v>2590.77</v>
      </c>
      <c r="J2349" s="1">
        <v>8</v>
      </c>
      <c r="K2349" s="1">
        <v>20726.16</v>
      </c>
      <c r="L2349" s="1">
        <v>15</v>
      </c>
      <c r="M2349" s="1">
        <v>3108.92</v>
      </c>
      <c r="N2349" s="1">
        <v>17617.240000000002</v>
      </c>
      <c r="O2349" s="1" t="s">
        <v>80</v>
      </c>
      <c r="P2349" s="1" t="s">
        <v>137</v>
      </c>
      <c r="Q2349" s="1">
        <v>4</v>
      </c>
      <c r="R2349" s="1">
        <f>Retail_Sales_Analyis[[#This Row],[Final_Price]]-Retail_Sales_Analyis[[#This Row],[Total_Price]]</f>
        <v>-3108.9199999999983</v>
      </c>
      <c r="S23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0" spans="1:19" x14ac:dyDescent="0.25">
      <c r="A2350" s="1" t="s">
        <v>3394</v>
      </c>
      <c r="B2350" s="2">
        <v>45468</v>
      </c>
      <c r="C2350" s="1" t="s">
        <v>173</v>
      </c>
      <c r="D2350" s="1" t="s">
        <v>28</v>
      </c>
      <c r="E2350" s="1" t="s">
        <v>111</v>
      </c>
      <c r="F2350" s="1" t="s">
        <v>30</v>
      </c>
      <c r="G2350" s="1" t="s">
        <v>85</v>
      </c>
      <c r="H2350" s="1" t="s">
        <v>98</v>
      </c>
      <c r="I2350" s="1">
        <v>1820.12</v>
      </c>
      <c r="J2350" s="1">
        <v>9</v>
      </c>
      <c r="K2350" s="1">
        <v>16381.08</v>
      </c>
      <c r="L2350" s="1">
        <v>15</v>
      </c>
      <c r="M2350" s="1">
        <v>2457.16</v>
      </c>
      <c r="N2350" s="1">
        <v>13923.92</v>
      </c>
      <c r="O2350" s="1" t="s">
        <v>80</v>
      </c>
      <c r="P2350" s="1" t="s">
        <v>397</v>
      </c>
      <c r="Q2350" s="1">
        <v>4</v>
      </c>
      <c r="R2350" s="1">
        <f>Retail_Sales_Analyis[[#This Row],[Final_Price]]-Retail_Sales_Analyis[[#This Row],[Total_Price]]</f>
        <v>-2457.16</v>
      </c>
      <c r="S23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1" spans="1:19" x14ac:dyDescent="0.25">
      <c r="A2351" s="1" t="s">
        <v>3395</v>
      </c>
      <c r="B2351" s="2">
        <v>45496</v>
      </c>
      <c r="C2351" s="1" t="s">
        <v>195</v>
      </c>
      <c r="D2351" s="1" t="s">
        <v>28</v>
      </c>
      <c r="E2351" s="1" t="s">
        <v>168</v>
      </c>
      <c r="F2351" s="1" t="s">
        <v>30</v>
      </c>
      <c r="G2351" s="1" t="s">
        <v>38</v>
      </c>
      <c r="H2351" s="1" t="s">
        <v>39</v>
      </c>
      <c r="I2351" s="1">
        <v>371.55</v>
      </c>
      <c r="J2351" s="1">
        <v>1</v>
      </c>
      <c r="K2351" s="1">
        <v>371.55</v>
      </c>
      <c r="L2351" s="1">
        <v>5</v>
      </c>
      <c r="M2351" s="1">
        <v>18.579999999999998</v>
      </c>
      <c r="N2351" s="1">
        <v>352.97</v>
      </c>
      <c r="O2351" s="1" t="s">
        <v>24</v>
      </c>
      <c r="P2351" s="1" t="s">
        <v>1460</v>
      </c>
      <c r="Q2351" s="1">
        <v>2</v>
      </c>
      <c r="R2351" s="1">
        <f>Retail_Sales_Analyis[[#This Row],[Final_Price]]-Retail_Sales_Analyis[[#This Row],[Total_Price]]</f>
        <v>-18.579999999999984</v>
      </c>
      <c r="S23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52" spans="1:19" x14ac:dyDescent="0.25">
      <c r="A2352" s="1" t="s">
        <v>3396</v>
      </c>
      <c r="B2352" s="2">
        <v>45358</v>
      </c>
      <c r="C2352" s="1" t="s">
        <v>61</v>
      </c>
      <c r="D2352" s="1" t="s">
        <v>67</v>
      </c>
      <c r="E2352" s="1" t="s">
        <v>207</v>
      </c>
      <c r="F2352" s="1" t="s">
        <v>37</v>
      </c>
      <c r="G2352" s="1" t="s">
        <v>78</v>
      </c>
      <c r="H2352" s="1" t="s">
        <v>136</v>
      </c>
      <c r="I2352" s="1">
        <v>287.68</v>
      </c>
      <c r="J2352" s="1">
        <v>10</v>
      </c>
      <c r="K2352" s="1">
        <v>2876.8</v>
      </c>
      <c r="L2352" s="1">
        <v>10</v>
      </c>
      <c r="M2352" s="1">
        <v>287.68</v>
      </c>
      <c r="N2352" s="1">
        <v>2589.12</v>
      </c>
      <c r="O2352" s="1" t="s">
        <v>80</v>
      </c>
      <c r="P2352" s="1" t="s">
        <v>2584</v>
      </c>
      <c r="Q2352" s="1">
        <v>3</v>
      </c>
      <c r="R2352" s="1">
        <f>Retail_Sales_Analyis[[#This Row],[Final_Price]]-Retail_Sales_Analyis[[#This Row],[Total_Price]]</f>
        <v>-287.68000000000029</v>
      </c>
      <c r="S23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3" spans="1:19" x14ac:dyDescent="0.25">
      <c r="A2353" s="1" t="s">
        <v>3397</v>
      </c>
      <c r="B2353" s="2">
        <v>45481</v>
      </c>
      <c r="C2353" s="1" t="s">
        <v>195</v>
      </c>
      <c r="D2353" s="1" t="s">
        <v>43</v>
      </c>
      <c r="E2353" s="1" t="s">
        <v>77</v>
      </c>
      <c r="F2353" s="1" t="s">
        <v>69</v>
      </c>
      <c r="G2353" s="1" t="s">
        <v>78</v>
      </c>
      <c r="H2353" s="1" t="s">
        <v>126</v>
      </c>
      <c r="I2353" s="1">
        <v>342.77</v>
      </c>
      <c r="J2353" s="1">
        <v>8</v>
      </c>
      <c r="K2353" s="1">
        <v>2742.16</v>
      </c>
      <c r="L2353" s="1">
        <v>10</v>
      </c>
      <c r="M2353" s="1">
        <v>274.22000000000003</v>
      </c>
      <c r="N2353" s="1">
        <v>2467.94</v>
      </c>
      <c r="O2353" s="1" t="s">
        <v>46</v>
      </c>
      <c r="P2353" s="1" t="s">
        <v>1282</v>
      </c>
      <c r="Q2353" s="1">
        <v>5</v>
      </c>
      <c r="R2353" s="1">
        <f>Retail_Sales_Analyis[[#This Row],[Final_Price]]-Retail_Sales_Analyis[[#This Row],[Total_Price]]</f>
        <v>-274.2199999999998</v>
      </c>
      <c r="S23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4" spans="1:19" x14ac:dyDescent="0.25">
      <c r="A2354" s="1" t="s">
        <v>3398</v>
      </c>
      <c r="B2354" s="2">
        <v>45555</v>
      </c>
      <c r="C2354" s="1" t="s">
        <v>116</v>
      </c>
      <c r="D2354" s="1" t="s">
        <v>144</v>
      </c>
      <c r="E2354" s="1" t="s">
        <v>322</v>
      </c>
      <c r="F2354" s="1" t="s">
        <v>37</v>
      </c>
      <c r="G2354" s="1" t="s">
        <v>57</v>
      </c>
      <c r="H2354" s="1" t="s">
        <v>152</v>
      </c>
      <c r="I2354" s="1">
        <v>2597.6799999999998</v>
      </c>
      <c r="J2354" s="1">
        <v>8</v>
      </c>
      <c r="K2354" s="1">
        <v>20781.439999999999</v>
      </c>
      <c r="L2354" s="1">
        <v>0</v>
      </c>
      <c r="M2354" s="1">
        <v>0</v>
      </c>
      <c r="N2354" s="1">
        <v>20781.439999999999</v>
      </c>
      <c r="O2354" s="1" t="s">
        <v>64</v>
      </c>
      <c r="P2354" s="1" t="s">
        <v>3399</v>
      </c>
      <c r="Q2354" s="1">
        <v>4</v>
      </c>
      <c r="R2354" s="1">
        <f>Retail_Sales_Analyis[[#This Row],[Final_Price]]-Retail_Sales_Analyis[[#This Row],[Total_Price]]</f>
        <v>0</v>
      </c>
      <c r="S23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55" spans="1:19" x14ac:dyDescent="0.25">
      <c r="A2355" s="1" t="s">
        <v>3400</v>
      </c>
      <c r="B2355" s="2">
        <v>45579</v>
      </c>
      <c r="C2355" s="1" t="s">
        <v>76</v>
      </c>
      <c r="D2355" s="1" t="s">
        <v>43</v>
      </c>
      <c r="E2355" s="1" t="s">
        <v>68</v>
      </c>
      <c r="F2355" s="1" t="s">
        <v>37</v>
      </c>
      <c r="G2355" s="1" t="s">
        <v>112</v>
      </c>
      <c r="H2355" s="1" t="s">
        <v>183</v>
      </c>
      <c r="I2355" s="1">
        <v>1820.09</v>
      </c>
      <c r="J2355" s="1">
        <v>7</v>
      </c>
      <c r="K2355" s="1">
        <v>12740.63</v>
      </c>
      <c r="L2355" s="1">
        <v>0</v>
      </c>
      <c r="M2355" s="1">
        <v>0</v>
      </c>
      <c r="N2355" s="1">
        <v>12740.63</v>
      </c>
      <c r="O2355" s="1" t="s">
        <v>33</v>
      </c>
      <c r="P2355" s="1" t="s">
        <v>1913</v>
      </c>
      <c r="Q2355" s="1">
        <v>4</v>
      </c>
      <c r="R2355" s="1">
        <f>Retail_Sales_Analyis[[#This Row],[Final_Price]]-Retail_Sales_Analyis[[#This Row],[Total_Price]]</f>
        <v>0</v>
      </c>
      <c r="S23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56" spans="1:19" x14ac:dyDescent="0.25">
      <c r="A2356" s="1" t="s">
        <v>3401</v>
      </c>
      <c r="B2356" s="2">
        <v>45346</v>
      </c>
      <c r="C2356" s="1" t="s">
        <v>27</v>
      </c>
      <c r="D2356" s="1" t="s">
        <v>19</v>
      </c>
      <c r="E2356" s="1" t="s">
        <v>261</v>
      </c>
      <c r="F2356" s="1" t="s">
        <v>30</v>
      </c>
      <c r="G2356" s="1" t="s">
        <v>22</v>
      </c>
      <c r="H2356" s="1" t="s">
        <v>277</v>
      </c>
      <c r="I2356" s="1">
        <v>485.06</v>
      </c>
      <c r="J2356" s="1">
        <v>6</v>
      </c>
      <c r="K2356" s="1">
        <v>2910.36</v>
      </c>
      <c r="L2356" s="1">
        <v>15</v>
      </c>
      <c r="M2356" s="1">
        <v>436.55</v>
      </c>
      <c r="N2356" s="1">
        <v>2473.81</v>
      </c>
      <c r="O2356" s="1" t="s">
        <v>33</v>
      </c>
      <c r="P2356" s="1" t="s">
        <v>2621</v>
      </c>
      <c r="Q2356" s="1">
        <v>5</v>
      </c>
      <c r="R2356" s="1">
        <f>Retail_Sales_Analyis[[#This Row],[Final_Price]]-Retail_Sales_Analyis[[#This Row],[Total_Price]]</f>
        <v>-436.55000000000018</v>
      </c>
      <c r="S23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57" spans="1:19" x14ac:dyDescent="0.25">
      <c r="A2357" s="1" t="s">
        <v>3402</v>
      </c>
      <c r="B2357" s="2">
        <v>45455</v>
      </c>
      <c r="C2357" s="1" t="s">
        <v>173</v>
      </c>
      <c r="D2357" s="1" t="s">
        <v>55</v>
      </c>
      <c r="E2357" s="1" t="s">
        <v>411</v>
      </c>
      <c r="F2357" s="1" t="s">
        <v>37</v>
      </c>
      <c r="G2357" s="1" t="s">
        <v>31</v>
      </c>
      <c r="H2357" s="1" t="s">
        <v>45</v>
      </c>
      <c r="I2357" s="1">
        <v>476.16</v>
      </c>
      <c r="J2357" s="1">
        <v>6</v>
      </c>
      <c r="K2357" s="1">
        <v>2856.96</v>
      </c>
      <c r="L2357" s="1">
        <v>0</v>
      </c>
      <c r="M2357" s="1">
        <v>0</v>
      </c>
      <c r="N2357" s="1">
        <v>2856.96</v>
      </c>
      <c r="O2357" s="1" t="s">
        <v>46</v>
      </c>
      <c r="P2357" s="1" t="s">
        <v>892</v>
      </c>
      <c r="Q2357" s="1">
        <v>4</v>
      </c>
      <c r="R2357" s="1">
        <f>Retail_Sales_Analyis[[#This Row],[Final_Price]]-Retail_Sales_Analyis[[#This Row],[Total_Price]]</f>
        <v>0</v>
      </c>
      <c r="S23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58" spans="1:19" x14ac:dyDescent="0.25">
      <c r="A2358" s="1" t="s">
        <v>3403</v>
      </c>
      <c r="B2358" s="2">
        <v>45415</v>
      </c>
      <c r="C2358" s="1" t="s">
        <v>42</v>
      </c>
      <c r="D2358" s="1" t="s">
        <v>144</v>
      </c>
      <c r="E2358" s="1" t="s">
        <v>121</v>
      </c>
      <c r="F2358" s="1" t="s">
        <v>84</v>
      </c>
      <c r="G2358" s="1" t="s">
        <v>85</v>
      </c>
      <c r="H2358" s="1" t="s">
        <v>180</v>
      </c>
      <c r="I2358" s="1">
        <v>2881.04</v>
      </c>
      <c r="J2358" s="1">
        <v>5</v>
      </c>
      <c r="K2358" s="1">
        <v>14405.2</v>
      </c>
      <c r="L2358" s="1">
        <v>0</v>
      </c>
      <c r="M2358" s="1">
        <v>0</v>
      </c>
      <c r="N2358" s="1">
        <v>14405.2</v>
      </c>
      <c r="O2358" s="1" t="s">
        <v>24</v>
      </c>
      <c r="P2358" s="1" t="s">
        <v>1206</v>
      </c>
      <c r="Q2358" s="1">
        <v>1</v>
      </c>
      <c r="R2358" s="1">
        <f>Retail_Sales_Analyis[[#This Row],[Final_Price]]-Retail_Sales_Analyis[[#This Row],[Total_Price]]</f>
        <v>0</v>
      </c>
      <c r="S23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59" spans="1:19" x14ac:dyDescent="0.25">
      <c r="A2359" s="1" t="s">
        <v>3404</v>
      </c>
      <c r="B2359" s="2">
        <v>45530</v>
      </c>
      <c r="C2359" s="1" t="s">
        <v>93</v>
      </c>
      <c r="D2359" s="1" t="s">
        <v>43</v>
      </c>
      <c r="E2359" s="1" t="s">
        <v>94</v>
      </c>
      <c r="F2359" s="1" t="s">
        <v>37</v>
      </c>
      <c r="G2359" s="1" t="s">
        <v>78</v>
      </c>
      <c r="H2359" s="1" t="s">
        <v>126</v>
      </c>
      <c r="I2359" s="1">
        <v>504.1</v>
      </c>
      <c r="J2359" s="1">
        <v>7</v>
      </c>
      <c r="K2359" s="1">
        <v>3528.7</v>
      </c>
      <c r="L2359" s="1">
        <v>20</v>
      </c>
      <c r="M2359" s="1">
        <v>705.74</v>
      </c>
      <c r="N2359" s="1">
        <v>2822.96</v>
      </c>
      <c r="O2359" s="1" t="s">
        <v>80</v>
      </c>
      <c r="P2359" s="1" t="s">
        <v>915</v>
      </c>
      <c r="Q2359" s="1">
        <v>2</v>
      </c>
      <c r="R2359" s="1">
        <f>Retail_Sales_Analyis[[#This Row],[Final_Price]]-Retail_Sales_Analyis[[#This Row],[Total_Price]]</f>
        <v>-705.73999999999978</v>
      </c>
      <c r="S23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60" spans="1:19" x14ac:dyDescent="0.25">
      <c r="A2360" s="1" t="s">
        <v>3405</v>
      </c>
      <c r="B2360" s="2">
        <v>45354</v>
      </c>
      <c r="C2360" s="1" t="s">
        <v>61</v>
      </c>
      <c r="D2360" s="1" t="s">
        <v>49</v>
      </c>
      <c r="E2360" s="1" t="s">
        <v>129</v>
      </c>
      <c r="F2360" s="1" t="s">
        <v>30</v>
      </c>
      <c r="G2360" s="1" t="s">
        <v>169</v>
      </c>
      <c r="H2360" s="1" t="s">
        <v>348</v>
      </c>
      <c r="I2360" s="1">
        <v>759.14</v>
      </c>
      <c r="J2360" s="1">
        <v>5</v>
      </c>
      <c r="K2360" s="1">
        <v>3795.7</v>
      </c>
      <c r="L2360" s="1">
        <v>0</v>
      </c>
      <c r="M2360" s="1">
        <v>0</v>
      </c>
      <c r="N2360" s="1">
        <v>3795.7</v>
      </c>
      <c r="O2360" s="1" t="s">
        <v>24</v>
      </c>
      <c r="P2360" s="1" t="s">
        <v>308</v>
      </c>
      <c r="Q2360" s="1">
        <v>2</v>
      </c>
      <c r="R2360" s="1">
        <f>Retail_Sales_Analyis[[#This Row],[Final_Price]]-Retail_Sales_Analyis[[#This Row],[Total_Price]]</f>
        <v>0</v>
      </c>
      <c r="S23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61" spans="1:19" x14ac:dyDescent="0.25">
      <c r="A2361" s="1" t="s">
        <v>3406</v>
      </c>
      <c r="B2361" s="2">
        <v>45428</v>
      </c>
      <c r="C2361" s="1" t="s">
        <v>42</v>
      </c>
      <c r="D2361" s="1" t="s">
        <v>67</v>
      </c>
      <c r="E2361" s="1" t="s">
        <v>94</v>
      </c>
      <c r="F2361" s="1" t="s">
        <v>37</v>
      </c>
      <c r="G2361" s="1" t="s">
        <v>38</v>
      </c>
      <c r="H2361" s="1" t="s">
        <v>422</v>
      </c>
      <c r="I2361" s="1">
        <v>148.1</v>
      </c>
      <c r="J2361" s="1">
        <v>9</v>
      </c>
      <c r="K2361" s="1">
        <v>1332.9</v>
      </c>
      <c r="L2361" s="1">
        <v>10</v>
      </c>
      <c r="M2361" s="1">
        <v>133.29</v>
      </c>
      <c r="N2361" s="1">
        <v>1199.6099999999999</v>
      </c>
      <c r="O2361" s="1" t="s">
        <v>80</v>
      </c>
      <c r="P2361" s="1" t="s">
        <v>1937</v>
      </c>
      <c r="Q2361" s="1">
        <v>4</v>
      </c>
      <c r="R2361" s="1">
        <f>Retail_Sales_Analyis[[#This Row],[Final_Price]]-Retail_Sales_Analyis[[#This Row],[Total_Price]]</f>
        <v>-133.29000000000019</v>
      </c>
      <c r="S23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62" spans="1:19" x14ac:dyDescent="0.25">
      <c r="A2362" s="1" t="s">
        <v>3407</v>
      </c>
      <c r="B2362" s="2">
        <v>45522</v>
      </c>
      <c r="C2362" s="1" t="s">
        <v>93</v>
      </c>
      <c r="D2362" s="1" t="s">
        <v>49</v>
      </c>
      <c r="E2362" s="1" t="s">
        <v>77</v>
      </c>
      <c r="F2362" s="1" t="s">
        <v>21</v>
      </c>
      <c r="G2362" s="1" t="s">
        <v>57</v>
      </c>
      <c r="H2362" s="1" t="s">
        <v>101</v>
      </c>
      <c r="I2362" s="1">
        <v>1681.99</v>
      </c>
      <c r="J2362" s="1">
        <v>9</v>
      </c>
      <c r="K2362" s="1">
        <v>15137.91</v>
      </c>
      <c r="L2362" s="1">
        <v>5</v>
      </c>
      <c r="M2362" s="1">
        <v>756.9</v>
      </c>
      <c r="N2362" s="1">
        <v>14381.01</v>
      </c>
      <c r="O2362" s="1" t="s">
        <v>24</v>
      </c>
      <c r="P2362" s="1" t="s">
        <v>1098</v>
      </c>
      <c r="Q2362" s="1">
        <v>5</v>
      </c>
      <c r="R2362" s="1">
        <f>Retail_Sales_Analyis[[#This Row],[Final_Price]]-Retail_Sales_Analyis[[#This Row],[Total_Price]]</f>
        <v>-756.89999999999964</v>
      </c>
      <c r="S23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63" spans="1:19" x14ac:dyDescent="0.25">
      <c r="A2363" s="1" t="s">
        <v>3408</v>
      </c>
      <c r="B2363" s="2">
        <v>45418</v>
      </c>
      <c r="C2363" s="1" t="s">
        <v>42</v>
      </c>
      <c r="D2363" s="1" t="s">
        <v>43</v>
      </c>
      <c r="E2363" s="1" t="s">
        <v>261</v>
      </c>
      <c r="F2363" s="1" t="s">
        <v>21</v>
      </c>
      <c r="G2363" s="1" t="s">
        <v>78</v>
      </c>
      <c r="H2363" s="1" t="s">
        <v>136</v>
      </c>
      <c r="I2363" s="1">
        <v>540.27</v>
      </c>
      <c r="J2363" s="1">
        <v>2</v>
      </c>
      <c r="K2363" s="1">
        <v>1080.54</v>
      </c>
      <c r="L2363" s="1">
        <v>5</v>
      </c>
      <c r="M2363" s="1">
        <v>54.03</v>
      </c>
      <c r="N2363" s="1">
        <v>1026.51</v>
      </c>
      <c r="O2363" s="1" t="s">
        <v>24</v>
      </c>
      <c r="P2363" s="1" t="s">
        <v>1345</v>
      </c>
      <c r="Q2363" s="1">
        <v>2</v>
      </c>
      <c r="R2363" s="1">
        <f>Retail_Sales_Analyis[[#This Row],[Final_Price]]-Retail_Sales_Analyis[[#This Row],[Total_Price]]</f>
        <v>-54.029999999999973</v>
      </c>
      <c r="S23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64" spans="1:19" x14ac:dyDescent="0.25">
      <c r="A2364" s="1" t="s">
        <v>3409</v>
      </c>
      <c r="B2364" s="2">
        <v>45364</v>
      </c>
      <c r="C2364" s="1" t="s">
        <v>61</v>
      </c>
      <c r="D2364" s="1" t="s">
        <v>55</v>
      </c>
      <c r="E2364" s="1" t="s">
        <v>129</v>
      </c>
      <c r="F2364" s="1" t="s">
        <v>37</v>
      </c>
      <c r="G2364" s="1" t="s">
        <v>38</v>
      </c>
      <c r="H2364" s="1" t="s">
        <v>422</v>
      </c>
      <c r="I2364" s="1">
        <v>207.72</v>
      </c>
      <c r="J2364" s="1">
        <v>4</v>
      </c>
      <c r="K2364" s="1">
        <v>830.88</v>
      </c>
      <c r="L2364" s="1">
        <v>10</v>
      </c>
      <c r="M2364" s="1">
        <v>83.09</v>
      </c>
      <c r="N2364" s="1">
        <v>747.79</v>
      </c>
      <c r="O2364" s="1" t="s">
        <v>33</v>
      </c>
      <c r="P2364" s="1" t="s">
        <v>2342</v>
      </c>
      <c r="Q2364" s="1">
        <v>1</v>
      </c>
      <c r="R2364" s="1">
        <f>Retail_Sales_Analyis[[#This Row],[Final_Price]]-Retail_Sales_Analyis[[#This Row],[Total_Price]]</f>
        <v>-83.090000000000032</v>
      </c>
      <c r="S23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65" spans="1:19" x14ac:dyDescent="0.25">
      <c r="A2365" s="1" t="s">
        <v>3410</v>
      </c>
      <c r="B2365" s="2">
        <v>45341</v>
      </c>
      <c r="C2365" s="1" t="s">
        <v>27</v>
      </c>
      <c r="D2365" s="1" t="s">
        <v>43</v>
      </c>
      <c r="E2365" s="1" t="s">
        <v>77</v>
      </c>
      <c r="F2365" s="1" t="s">
        <v>30</v>
      </c>
      <c r="G2365" s="1" t="s">
        <v>78</v>
      </c>
      <c r="H2365" s="1" t="s">
        <v>79</v>
      </c>
      <c r="I2365" s="1">
        <v>393.25</v>
      </c>
      <c r="J2365" s="1">
        <v>9</v>
      </c>
      <c r="K2365" s="1">
        <v>3539.25</v>
      </c>
      <c r="L2365" s="1">
        <v>0</v>
      </c>
      <c r="M2365" s="1">
        <v>0</v>
      </c>
      <c r="N2365" s="1">
        <v>3539.25</v>
      </c>
      <c r="O2365" s="1" t="s">
        <v>24</v>
      </c>
      <c r="P2365" s="1" t="s">
        <v>3411</v>
      </c>
      <c r="Q2365" s="1">
        <v>5</v>
      </c>
      <c r="R2365" s="1">
        <f>Retail_Sales_Analyis[[#This Row],[Final_Price]]-Retail_Sales_Analyis[[#This Row],[Total_Price]]</f>
        <v>0</v>
      </c>
      <c r="S23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66" spans="1:19" x14ac:dyDescent="0.25">
      <c r="A2366" s="1" t="s">
        <v>3412</v>
      </c>
      <c r="B2366" s="2">
        <v>45317</v>
      </c>
      <c r="C2366" s="1" t="s">
        <v>36</v>
      </c>
      <c r="D2366" s="1" t="s">
        <v>144</v>
      </c>
      <c r="E2366" s="1" t="s">
        <v>328</v>
      </c>
      <c r="F2366" s="1" t="s">
        <v>37</v>
      </c>
      <c r="G2366" s="1" t="s">
        <v>169</v>
      </c>
      <c r="H2366" s="1" t="s">
        <v>366</v>
      </c>
      <c r="I2366" s="1">
        <v>622.94000000000005</v>
      </c>
      <c r="J2366" s="1">
        <v>10</v>
      </c>
      <c r="K2366" s="1">
        <v>6229.4</v>
      </c>
      <c r="L2366" s="1">
        <v>0</v>
      </c>
      <c r="M2366" s="1">
        <v>0</v>
      </c>
      <c r="N2366" s="1">
        <v>6229.4</v>
      </c>
      <c r="O2366" s="1" t="s">
        <v>80</v>
      </c>
      <c r="P2366" s="1" t="s">
        <v>3170</v>
      </c>
      <c r="Q2366" s="1">
        <v>4</v>
      </c>
      <c r="R2366" s="1">
        <f>Retail_Sales_Analyis[[#This Row],[Final_Price]]-Retail_Sales_Analyis[[#This Row],[Total_Price]]</f>
        <v>0</v>
      </c>
      <c r="S23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67" spans="1:19" x14ac:dyDescent="0.25">
      <c r="A2367" s="1" t="s">
        <v>3413</v>
      </c>
      <c r="B2367" s="2">
        <v>45440</v>
      </c>
      <c r="C2367" s="1" t="s">
        <v>42</v>
      </c>
      <c r="D2367" s="1" t="s">
        <v>28</v>
      </c>
      <c r="E2367" s="1" t="s">
        <v>62</v>
      </c>
      <c r="F2367" s="1" t="s">
        <v>21</v>
      </c>
      <c r="G2367" s="1" t="s">
        <v>31</v>
      </c>
      <c r="H2367" s="1" t="s">
        <v>45</v>
      </c>
      <c r="I2367" s="1">
        <v>268.16000000000003</v>
      </c>
      <c r="J2367" s="1">
        <v>10</v>
      </c>
      <c r="K2367" s="1">
        <v>2681.6</v>
      </c>
      <c r="L2367" s="1">
        <v>5</v>
      </c>
      <c r="M2367" s="1">
        <v>134.08000000000001</v>
      </c>
      <c r="N2367" s="1">
        <v>2547.52</v>
      </c>
      <c r="O2367" s="1" t="s">
        <v>64</v>
      </c>
      <c r="P2367" s="1" t="s">
        <v>574</v>
      </c>
      <c r="Q2367" s="1">
        <v>3</v>
      </c>
      <c r="R2367" s="1">
        <f>Retail_Sales_Analyis[[#This Row],[Final_Price]]-Retail_Sales_Analyis[[#This Row],[Total_Price]]</f>
        <v>-134.07999999999993</v>
      </c>
      <c r="S23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68" spans="1:19" x14ac:dyDescent="0.25">
      <c r="A2368" s="1" t="s">
        <v>3414</v>
      </c>
      <c r="B2368" s="2">
        <v>45488</v>
      </c>
      <c r="C2368" s="1" t="s">
        <v>195</v>
      </c>
      <c r="D2368" s="1" t="s">
        <v>43</v>
      </c>
      <c r="E2368" s="1" t="s">
        <v>157</v>
      </c>
      <c r="F2368" s="1" t="s">
        <v>30</v>
      </c>
      <c r="G2368" s="1" t="s">
        <v>38</v>
      </c>
      <c r="H2368" s="1" t="s">
        <v>39</v>
      </c>
      <c r="I2368" s="1">
        <v>246.82</v>
      </c>
      <c r="J2368" s="1">
        <v>7</v>
      </c>
      <c r="K2368" s="1">
        <v>1727.74</v>
      </c>
      <c r="L2368" s="1">
        <v>10</v>
      </c>
      <c r="M2368" s="1">
        <v>172.77</v>
      </c>
      <c r="N2368" s="1">
        <v>1554.97</v>
      </c>
      <c r="O2368" s="1" t="s">
        <v>46</v>
      </c>
      <c r="P2368" s="1" t="s">
        <v>193</v>
      </c>
      <c r="Q2368" s="1">
        <v>5</v>
      </c>
      <c r="R2368" s="1">
        <f>Retail_Sales_Analyis[[#This Row],[Final_Price]]-Retail_Sales_Analyis[[#This Row],[Total_Price]]</f>
        <v>-172.76999999999998</v>
      </c>
      <c r="S23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69" spans="1:19" x14ac:dyDescent="0.25">
      <c r="A2369" s="1" t="s">
        <v>3415</v>
      </c>
      <c r="B2369" s="2">
        <v>45607</v>
      </c>
      <c r="C2369" s="1" t="s">
        <v>18</v>
      </c>
      <c r="D2369" s="1" t="s">
        <v>43</v>
      </c>
      <c r="E2369" s="1" t="s">
        <v>213</v>
      </c>
      <c r="F2369" s="1" t="s">
        <v>37</v>
      </c>
      <c r="G2369" s="1" t="s">
        <v>112</v>
      </c>
      <c r="H2369" s="1" t="s">
        <v>288</v>
      </c>
      <c r="I2369" s="1">
        <v>806.97</v>
      </c>
      <c r="J2369" s="1">
        <v>7</v>
      </c>
      <c r="K2369" s="1">
        <v>5648.79</v>
      </c>
      <c r="L2369" s="1">
        <v>20</v>
      </c>
      <c r="M2369" s="1">
        <v>1129.76</v>
      </c>
      <c r="N2369" s="1">
        <v>4519.03</v>
      </c>
      <c r="O2369" s="1" t="s">
        <v>33</v>
      </c>
      <c r="P2369" s="1" t="s">
        <v>2763</v>
      </c>
      <c r="Q2369" s="1">
        <v>3</v>
      </c>
      <c r="R2369" s="1">
        <f>Retail_Sales_Analyis[[#This Row],[Final_Price]]-Retail_Sales_Analyis[[#This Row],[Total_Price]]</f>
        <v>-1129.7600000000002</v>
      </c>
      <c r="S23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70" spans="1:19" x14ac:dyDescent="0.25">
      <c r="A2370" s="1" t="s">
        <v>3416</v>
      </c>
      <c r="B2370" s="2">
        <v>45506</v>
      </c>
      <c r="C2370" s="1" t="s">
        <v>93</v>
      </c>
      <c r="D2370" s="1" t="s">
        <v>144</v>
      </c>
      <c r="E2370" s="1" t="s">
        <v>62</v>
      </c>
      <c r="F2370" s="1" t="s">
        <v>84</v>
      </c>
      <c r="G2370" s="1" t="s">
        <v>78</v>
      </c>
      <c r="H2370" s="1" t="s">
        <v>136</v>
      </c>
      <c r="I2370" s="1">
        <v>438.1</v>
      </c>
      <c r="J2370" s="1">
        <v>4</v>
      </c>
      <c r="K2370" s="1">
        <v>1752.4</v>
      </c>
      <c r="L2370" s="1">
        <v>10</v>
      </c>
      <c r="M2370" s="1">
        <v>175.24</v>
      </c>
      <c r="N2370" s="1">
        <v>1577.16</v>
      </c>
      <c r="O2370" s="1" t="s">
        <v>46</v>
      </c>
      <c r="P2370" s="1" t="s">
        <v>948</v>
      </c>
      <c r="Q2370" s="1">
        <v>1</v>
      </c>
      <c r="R2370" s="1">
        <f>Retail_Sales_Analyis[[#This Row],[Final_Price]]-Retail_Sales_Analyis[[#This Row],[Total_Price]]</f>
        <v>-175.24</v>
      </c>
      <c r="S23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71" spans="1:19" x14ac:dyDescent="0.25">
      <c r="A2371" s="1" t="s">
        <v>3417</v>
      </c>
      <c r="B2371" s="2">
        <v>45419</v>
      </c>
      <c r="C2371" s="1" t="s">
        <v>42</v>
      </c>
      <c r="D2371" s="1" t="s">
        <v>28</v>
      </c>
      <c r="E2371" s="1" t="s">
        <v>151</v>
      </c>
      <c r="F2371" s="1" t="s">
        <v>30</v>
      </c>
      <c r="G2371" s="1" t="s">
        <v>112</v>
      </c>
      <c r="H2371" s="1" t="s">
        <v>113</v>
      </c>
      <c r="I2371" s="1">
        <v>1486.79</v>
      </c>
      <c r="J2371" s="1">
        <v>7</v>
      </c>
      <c r="K2371" s="1">
        <v>10407.530000000001</v>
      </c>
      <c r="L2371" s="1">
        <v>0</v>
      </c>
      <c r="M2371" s="1">
        <v>0</v>
      </c>
      <c r="N2371" s="1">
        <v>10407.530000000001</v>
      </c>
      <c r="O2371" s="1" t="s">
        <v>64</v>
      </c>
      <c r="P2371" s="1" t="s">
        <v>1452</v>
      </c>
      <c r="Q2371" s="1">
        <v>5</v>
      </c>
      <c r="R2371" s="1">
        <f>Retail_Sales_Analyis[[#This Row],[Final_Price]]-Retail_Sales_Analyis[[#This Row],[Total_Price]]</f>
        <v>0</v>
      </c>
      <c r="S23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72" spans="1:19" x14ac:dyDescent="0.25">
      <c r="A2372" s="1" t="s">
        <v>3418</v>
      </c>
      <c r="B2372" s="2">
        <v>45373</v>
      </c>
      <c r="C2372" s="1" t="s">
        <v>61</v>
      </c>
      <c r="D2372" s="1" t="s">
        <v>144</v>
      </c>
      <c r="E2372" s="1" t="s">
        <v>62</v>
      </c>
      <c r="F2372" s="1" t="s">
        <v>84</v>
      </c>
      <c r="G2372" s="1" t="s">
        <v>112</v>
      </c>
      <c r="H2372" s="1" t="s">
        <v>113</v>
      </c>
      <c r="I2372" s="1">
        <v>1954.17</v>
      </c>
      <c r="J2372" s="1">
        <v>6</v>
      </c>
      <c r="K2372" s="1">
        <v>11725.02</v>
      </c>
      <c r="L2372" s="1">
        <v>10</v>
      </c>
      <c r="M2372" s="1">
        <v>1172.5</v>
      </c>
      <c r="N2372" s="1">
        <v>10552.52</v>
      </c>
      <c r="O2372" s="1" t="s">
        <v>80</v>
      </c>
      <c r="P2372" s="1" t="s">
        <v>3419</v>
      </c>
      <c r="Q2372" s="1">
        <v>2</v>
      </c>
      <c r="R2372" s="1">
        <f>Retail_Sales_Analyis[[#This Row],[Final_Price]]-Retail_Sales_Analyis[[#This Row],[Total_Price]]</f>
        <v>-1172.5</v>
      </c>
      <c r="S23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73" spans="1:19" x14ac:dyDescent="0.25">
      <c r="A2373" s="1" t="s">
        <v>3420</v>
      </c>
      <c r="B2373" s="2">
        <v>45459</v>
      </c>
      <c r="C2373" s="1" t="s">
        <v>173</v>
      </c>
      <c r="D2373" s="1" t="s">
        <v>49</v>
      </c>
      <c r="E2373" s="1" t="s">
        <v>542</v>
      </c>
      <c r="F2373" s="1" t="s">
        <v>84</v>
      </c>
      <c r="G2373" s="1" t="s">
        <v>112</v>
      </c>
      <c r="H2373" s="1" t="s">
        <v>288</v>
      </c>
      <c r="I2373" s="1">
        <v>786.81</v>
      </c>
      <c r="J2373" s="1">
        <v>5</v>
      </c>
      <c r="K2373" s="1">
        <v>3934.05</v>
      </c>
      <c r="L2373" s="1">
        <v>0</v>
      </c>
      <c r="M2373" s="1">
        <v>0</v>
      </c>
      <c r="N2373" s="1">
        <v>3934.05</v>
      </c>
      <c r="O2373" s="1" t="s">
        <v>24</v>
      </c>
      <c r="P2373" s="1" t="s">
        <v>1235</v>
      </c>
      <c r="Q2373" s="1">
        <v>2</v>
      </c>
      <c r="R2373" s="1">
        <f>Retail_Sales_Analyis[[#This Row],[Final_Price]]-Retail_Sales_Analyis[[#This Row],[Total_Price]]</f>
        <v>0</v>
      </c>
      <c r="S23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74" spans="1:19" x14ac:dyDescent="0.25">
      <c r="A2374" s="1" t="s">
        <v>3421</v>
      </c>
      <c r="B2374" s="2">
        <v>45587</v>
      </c>
      <c r="C2374" s="1" t="s">
        <v>76</v>
      </c>
      <c r="D2374" s="1" t="s">
        <v>28</v>
      </c>
      <c r="E2374" s="1" t="s">
        <v>50</v>
      </c>
      <c r="F2374" s="1" t="s">
        <v>30</v>
      </c>
      <c r="G2374" s="1" t="s">
        <v>31</v>
      </c>
      <c r="H2374" s="1" t="s">
        <v>32</v>
      </c>
      <c r="I2374" s="1">
        <v>262.02</v>
      </c>
      <c r="J2374" s="1">
        <v>9</v>
      </c>
      <c r="K2374" s="1">
        <v>2358.1799999999998</v>
      </c>
      <c r="L2374" s="1">
        <v>5</v>
      </c>
      <c r="M2374" s="1">
        <v>117.91</v>
      </c>
      <c r="N2374" s="1">
        <v>2240.27</v>
      </c>
      <c r="O2374" s="1" t="s">
        <v>33</v>
      </c>
      <c r="P2374" s="1" t="s">
        <v>289</v>
      </c>
      <c r="Q2374" s="1">
        <v>3</v>
      </c>
      <c r="R2374" s="1">
        <f>Retail_Sales_Analyis[[#This Row],[Final_Price]]-Retail_Sales_Analyis[[#This Row],[Total_Price]]</f>
        <v>-117.90999999999985</v>
      </c>
      <c r="S23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75" spans="1:19" x14ac:dyDescent="0.25">
      <c r="A2375" s="1" t="s">
        <v>3422</v>
      </c>
      <c r="B2375" s="2">
        <v>45452</v>
      </c>
      <c r="C2375" s="1" t="s">
        <v>173</v>
      </c>
      <c r="D2375" s="1" t="s">
        <v>49</v>
      </c>
      <c r="E2375" s="1" t="s">
        <v>204</v>
      </c>
      <c r="F2375" s="1" t="s">
        <v>21</v>
      </c>
      <c r="G2375" s="1" t="s">
        <v>169</v>
      </c>
      <c r="H2375" s="1" t="s">
        <v>175</v>
      </c>
      <c r="I2375" s="1">
        <v>380.03</v>
      </c>
      <c r="J2375" s="1">
        <v>7</v>
      </c>
      <c r="K2375" s="1">
        <v>2660.21</v>
      </c>
      <c r="L2375" s="1">
        <v>15</v>
      </c>
      <c r="M2375" s="1">
        <v>399.03</v>
      </c>
      <c r="N2375" s="1">
        <v>2261.1799999999998</v>
      </c>
      <c r="O2375" s="1" t="s">
        <v>46</v>
      </c>
      <c r="P2375" s="1" t="s">
        <v>1853</v>
      </c>
      <c r="Q2375" s="1">
        <v>5</v>
      </c>
      <c r="R2375" s="1">
        <f>Retail_Sales_Analyis[[#This Row],[Final_Price]]-Retail_Sales_Analyis[[#This Row],[Total_Price]]</f>
        <v>-399.0300000000002</v>
      </c>
      <c r="S23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76" spans="1:19" x14ac:dyDescent="0.25">
      <c r="A2376" s="1" t="s">
        <v>3423</v>
      </c>
      <c r="B2376" s="2">
        <v>45389</v>
      </c>
      <c r="C2376" s="1" t="s">
        <v>54</v>
      </c>
      <c r="D2376" s="1" t="s">
        <v>49</v>
      </c>
      <c r="E2376" s="1" t="s">
        <v>20</v>
      </c>
      <c r="F2376" s="1" t="s">
        <v>84</v>
      </c>
      <c r="G2376" s="1" t="s">
        <v>112</v>
      </c>
      <c r="H2376" s="1" t="s">
        <v>183</v>
      </c>
      <c r="I2376" s="1">
        <v>1282.97</v>
      </c>
      <c r="J2376" s="1">
        <v>3</v>
      </c>
      <c r="K2376" s="1">
        <v>3848.91</v>
      </c>
      <c r="L2376" s="1">
        <v>20</v>
      </c>
      <c r="M2376" s="1">
        <v>769.78</v>
      </c>
      <c r="N2376" s="1">
        <v>3079.13</v>
      </c>
      <c r="O2376" s="1" t="s">
        <v>80</v>
      </c>
      <c r="P2376" s="1" t="s">
        <v>3424</v>
      </c>
      <c r="Q2376" s="1">
        <v>3</v>
      </c>
      <c r="R2376" s="1">
        <f>Retail_Sales_Analyis[[#This Row],[Final_Price]]-Retail_Sales_Analyis[[#This Row],[Total_Price]]</f>
        <v>-769.77999999999975</v>
      </c>
      <c r="S23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77" spans="1:19" x14ac:dyDescent="0.25">
      <c r="A2377" s="1" t="s">
        <v>3425</v>
      </c>
      <c r="B2377" s="2">
        <v>45373</v>
      </c>
      <c r="C2377" s="1" t="s">
        <v>61</v>
      </c>
      <c r="D2377" s="1" t="s">
        <v>144</v>
      </c>
      <c r="E2377" s="1" t="s">
        <v>236</v>
      </c>
      <c r="F2377" s="1" t="s">
        <v>21</v>
      </c>
      <c r="G2377" s="1" t="s">
        <v>22</v>
      </c>
      <c r="H2377" s="1" t="s">
        <v>187</v>
      </c>
      <c r="I2377" s="1">
        <v>844.78</v>
      </c>
      <c r="J2377" s="1">
        <v>5</v>
      </c>
      <c r="K2377" s="1">
        <v>4223.8999999999996</v>
      </c>
      <c r="L2377" s="1">
        <v>0</v>
      </c>
      <c r="M2377" s="1">
        <v>0</v>
      </c>
      <c r="N2377" s="1">
        <v>4223.8999999999996</v>
      </c>
      <c r="O2377" s="1" t="s">
        <v>80</v>
      </c>
      <c r="P2377" s="1" t="s">
        <v>1341</v>
      </c>
      <c r="Q2377" s="1">
        <v>4</v>
      </c>
      <c r="R2377" s="1">
        <f>Retail_Sales_Analyis[[#This Row],[Final_Price]]-Retail_Sales_Analyis[[#This Row],[Total_Price]]</f>
        <v>0</v>
      </c>
      <c r="S23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78" spans="1:19" x14ac:dyDescent="0.25">
      <c r="A2378" s="1" t="s">
        <v>3426</v>
      </c>
      <c r="B2378" s="2">
        <v>45547</v>
      </c>
      <c r="C2378" s="1" t="s">
        <v>116</v>
      </c>
      <c r="D2378" s="1" t="s">
        <v>67</v>
      </c>
      <c r="E2378" s="1" t="s">
        <v>121</v>
      </c>
      <c r="F2378" s="1" t="s">
        <v>84</v>
      </c>
      <c r="G2378" s="1" t="s">
        <v>57</v>
      </c>
      <c r="H2378" s="1" t="s">
        <v>101</v>
      </c>
      <c r="I2378" s="1">
        <v>2919.01</v>
      </c>
      <c r="J2378" s="1">
        <v>7</v>
      </c>
      <c r="K2378" s="1">
        <v>20433.07</v>
      </c>
      <c r="L2378" s="1">
        <v>0</v>
      </c>
      <c r="M2378" s="1">
        <v>0</v>
      </c>
      <c r="N2378" s="1">
        <v>20433.07</v>
      </c>
      <c r="O2378" s="1" t="s">
        <v>46</v>
      </c>
      <c r="P2378" s="1" t="s">
        <v>720</v>
      </c>
      <c r="Q2378" s="1">
        <v>5</v>
      </c>
      <c r="R2378" s="1">
        <f>Retail_Sales_Analyis[[#This Row],[Final_Price]]-Retail_Sales_Analyis[[#This Row],[Total_Price]]</f>
        <v>0</v>
      </c>
      <c r="S23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79" spans="1:19" x14ac:dyDescent="0.25">
      <c r="A2379" s="1" t="s">
        <v>3427</v>
      </c>
      <c r="B2379" s="2">
        <v>45555</v>
      </c>
      <c r="C2379" s="1" t="s">
        <v>116</v>
      </c>
      <c r="D2379" s="1" t="s">
        <v>144</v>
      </c>
      <c r="E2379" s="1" t="s">
        <v>542</v>
      </c>
      <c r="F2379" s="1" t="s">
        <v>69</v>
      </c>
      <c r="G2379" s="1" t="s">
        <v>38</v>
      </c>
      <c r="H2379" s="1" t="s">
        <v>214</v>
      </c>
      <c r="I2379" s="1">
        <v>421.47</v>
      </c>
      <c r="J2379" s="1">
        <v>8</v>
      </c>
      <c r="K2379" s="1">
        <v>3371.76</v>
      </c>
      <c r="L2379" s="1">
        <v>0</v>
      </c>
      <c r="M2379" s="1">
        <v>0</v>
      </c>
      <c r="N2379" s="1">
        <v>3371.76</v>
      </c>
      <c r="O2379" s="1" t="s">
        <v>80</v>
      </c>
      <c r="P2379" s="1" t="s">
        <v>1282</v>
      </c>
      <c r="Q2379" s="1">
        <v>2</v>
      </c>
      <c r="R2379" s="1">
        <f>Retail_Sales_Analyis[[#This Row],[Final_Price]]-Retail_Sales_Analyis[[#This Row],[Total_Price]]</f>
        <v>0</v>
      </c>
      <c r="S23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0" spans="1:19" x14ac:dyDescent="0.25">
      <c r="A2380" s="1" t="s">
        <v>3428</v>
      </c>
      <c r="B2380" s="2">
        <v>45531</v>
      </c>
      <c r="C2380" s="1" t="s">
        <v>93</v>
      </c>
      <c r="D2380" s="1" t="s">
        <v>28</v>
      </c>
      <c r="E2380" s="1" t="s">
        <v>239</v>
      </c>
      <c r="F2380" s="1" t="s">
        <v>84</v>
      </c>
      <c r="G2380" s="1" t="s">
        <v>112</v>
      </c>
      <c r="H2380" s="1" t="s">
        <v>288</v>
      </c>
      <c r="I2380" s="1">
        <v>1104.28</v>
      </c>
      <c r="J2380" s="1">
        <v>10</v>
      </c>
      <c r="K2380" s="1">
        <v>11042.8</v>
      </c>
      <c r="L2380" s="1">
        <v>0</v>
      </c>
      <c r="M2380" s="1">
        <v>0</v>
      </c>
      <c r="N2380" s="1">
        <v>11042.8</v>
      </c>
      <c r="O2380" s="1" t="s">
        <v>24</v>
      </c>
      <c r="P2380" s="1" t="s">
        <v>837</v>
      </c>
      <c r="Q2380" s="1">
        <v>3</v>
      </c>
      <c r="R2380" s="1">
        <f>Retail_Sales_Analyis[[#This Row],[Final_Price]]-Retail_Sales_Analyis[[#This Row],[Total_Price]]</f>
        <v>0</v>
      </c>
      <c r="S23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1" spans="1:19" x14ac:dyDescent="0.25">
      <c r="A2381" s="1" t="s">
        <v>3429</v>
      </c>
      <c r="B2381" s="2">
        <v>45547</v>
      </c>
      <c r="C2381" s="1" t="s">
        <v>116</v>
      </c>
      <c r="D2381" s="1" t="s">
        <v>67</v>
      </c>
      <c r="E2381" s="1" t="s">
        <v>307</v>
      </c>
      <c r="F2381" s="1" t="s">
        <v>30</v>
      </c>
      <c r="G2381" s="1" t="s">
        <v>169</v>
      </c>
      <c r="H2381" s="1" t="s">
        <v>348</v>
      </c>
      <c r="I2381" s="1">
        <v>949.06</v>
      </c>
      <c r="J2381" s="1">
        <v>3</v>
      </c>
      <c r="K2381" s="1">
        <v>2847.18</v>
      </c>
      <c r="L2381" s="1">
        <v>0</v>
      </c>
      <c r="M2381" s="1">
        <v>0</v>
      </c>
      <c r="N2381" s="1">
        <v>2847.18</v>
      </c>
      <c r="O2381" s="1" t="s">
        <v>64</v>
      </c>
      <c r="P2381" s="1" t="s">
        <v>1649</v>
      </c>
      <c r="Q2381" s="1">
        <v>4</v>
      </c>
      <c r="R2381" s="1">
        <f>Retail_Sales_Analyis[[#This Row],[Final_Price]]-Retail_Sales_Analyis[[#This Row],[Total_Price]]</f>
        <v>0</v>
      </c>
      <c r="S23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2" spans="1:19" x14ac:dyDescent="0.25">
      <c r="A2382" s="1" t="s">
        <v>3430</v>
      </c>
      <c r="B2382" s="2">
        <v>45449</v>
      </c>
      <c r="C2382" s="1" t="s">
        <v>173</v>
      </c>
      <c r="D2382" s="1" t="s">
        <v>67</v>
      </c>
      <c r="E2382" s="1" t="s">
        <v>107</v>
      </c>
      <c r="F2382" s="1" t="s">
        <v>21</v>
      </c>
      <c r="G2382" s="1" t="s">
        <v>38</v>
      </c>
      <c r="H2382" s="1" t="s">
        <v>108</v>
      </c>
      <c r="I2382" s="1">
        <v>536</v>
      </c>
      <c r="J2382" s="1">
        <v>10</v>
      </c>
      <c r="K2382" s="1">
        <v>5360</v>
      </c>
      <c r="L2382" s="1">
        <v>20</v>
      </c>
      <c r="M2382" s="1">
        <v>1072</v>
      </c>
      <c r="N2382" s="1">
        <v>4288</v>
      </c>
      <c r="O2382" s="1" t="s">
        <v>24</v>
      </c>
      <c r="P2382" s="1" t="s">
        <v>2127</v>
      </c>
      <c r="Q2382" s="1">
        <v>4</v>
      </c>
      <c r="R2382" s="1">
        <f>Retail_Sales_Analyis[[#This Row],[Final_Price]]-Retail_Sales_Analyis[[#This Row],[Total_Price]]</f>
        <v>-1072</v>
      </c>
      <c r="S23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83" spans="1:19" x14ac:dyDescent="0.25">
      <c r="A2383" s="1" t="s">
        <v>3431</v>
      </c>
      <c r="B2383" s="2">
        <v>45546</v>
      </c>
      <c r="C2383" s="1" t="s">
        <v>116</v>
      </c>
      <c r="D2383" s="1" t="s">
        <v>55</v>
      </c>
      <c r="E2383" s="1" t="s">
        <v>213</v>
      </c>
      <c r="F2383" s="1" t="s">
        <v>84</v>
      </c>
      <c r="G2383" s="1" t="s">
        <v>31</v>
      </c>
      <c r="H2383" s="1" t="s">
        <v>250</v>
      </c>
      <c r="I2383" s="1">
        <v>149.03</v>
      </c>
      <c r="J2383" s="1">
        <v>8</v>
      </c>
      <c r="K2383" s="1">
        <v>1192.24</v>
      </c>
      <c r="L2383" s="1">
        <v>0</v>
      </c>
      <c r="M2383" s="1">
        <v>0</v>
      </c>
      <c r="N2383" s="1">
        <v>1192.24</v>
      </c>
      <c r="O2383" s="1" t="s">
        <v>33</v>
      </c>
      <c r="P2383" s="1" t="s">
        <v>2110</v>
      </c>
      <c r="Q2383" s="1">
        <v>5</v>
      </c>
      <c r="R2383" s="1">
        <f>Retail_Sales_Analyis[[#This Row],[Final_Price]]-Retail_Sales_Analyis[[#This Row],[Total_Price]]</f>
        <v>0</v>
      </c>
      <c r="S23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4" spans="1:19" x14ac:dyDescent="0.25">
      <c r="A2384" s="1" t="s">
        <v>3432</v>
      </c>
      <c r="B2384" s="2">
        <v>45303</v>
      </c>
      <c r="C2384" s="1" t="s">
        <v>36</v>
      </c>
      <c r="D2384" s="1" t="s">
        <v>144</v>
      </c>
      <c r="E2384" s="1" t="s">
        <v>166</v>
      </c>
      <c r="F2384" s="1" t="s">
        <v>30</v>
      </c>
      <c r="G2384" s="1" t="s">
        <v>85</v>
      </c>
      <c r="H2384" s="1" t="s">
        <v>98</v>
      </c>
      <c r="I2384" s="1">
        <v>1912</v>
      </c>
      <c r="J2384" s="1">
        <v>10</v>
      </c>
      <c r="K2384" s="1">
        <v>19120</v>
      </c>
      <c r="L2384" s="1">
        <v>0</v>
      </c>
      <c r="M2384" s="1">
        <v>0</v>
      </c>
      <c r="N2384" s="1">
        <v>19120</v>
      </c>
      <c r="O2384" s="1" t="s">
        <v>24</v>
      </c>
      <c r="P2384" s="1" t="s">
        <v>461</v>
      </c>
      <c r="Q2384" s="1">
        <v>4</v>
      </c>
      <c r="R2384" s="1">
        <f>Retail_Sales_Analyis[[#This Row],[Final_Price]]-Retail_Sales_Analyis[[#This Row],[Total_Price]]</f>
        <v>0</v>
      </c>
      <c r="S23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5" spans="1:19" x14ac:dyDescent="0.25">
      <c r="A2385" s="1" t="s">
        <v>3433</v>
      </c>
      <c r="B2385" s="2">
        <v>45338</v>
      </c>
      <c r="C2385" s="1" t="s">
        <v>27</v>
      </c>
      <c r="D2385" s="1" t="s">
        <v>144</v>
      </c>
      <c r="E2385" s="1" t="s">
        <v>132</v>
      </c>
      <c r="F2385" s="1" t="s">
        <v>30</v>
      </c>
      <c r="G2385" s="1" t="s">
        <v>31</v>
      </c>
      <c r="H2385" s="1" t="s">
        <v>329</v>
      </c>
      <c r="I2385" s="1">
        <v>351.99</v>
      </c>
      <c r="J2385" s="1">
        <v>9</v>
      </c>
      <c r="K2385" s="1">
        <v>3167.91</v>
      </c>
      <c r="L2385" s="1">
        <v>0</v>
      </c>
      <c r="M2385" s="1">
        <v>0</v>
      </c>
      <c r="N2385" s="1">
        <v>3167.91</v>
      </c>
      <c r="O2385" s="1" t="s">
        <v>33</v>
      </c>
      <c r="P2385" s="1" t="s">
        <v>3434</v>
      </c>
      <c r="Q2385" s="1">
        <v>4</v>
      </c>
      <c r="R2385" s="1">
        <f>Retail_Sales_Analyis[[#This Row],[Final_Price]]-Retail_Sales_Analyis[[#This Row],[Total_Price]]</f>
        <v>0</v>
      </c>
      <c r="S23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86" spans="1:19" x14ac:dyDescent="0.25">
      <c r="A2386" s="1" t="s">
        <v>3435</v>
      </c>
      <c r="B2386" s="2">
        <v>45493</v>
      </c>
      <c r="C2386" s="1" t="s">
        <v>195</v>
      </c>
      <c r="D2386" s="1" t="s">
        <v>19</v>
      </c>
      <c r="E2386" s="1" t="s">
        <v>166</v>
      </c>
      <c r="F2386" s="1" t="s">
        <v>21</v>
      </c>
      <c r="G2386" s="1" t="s">
        <v>38</v>
      </c>
      <c r="H2386" s="1" t="s">
        <v>39</v>
      </c>
      <c r="I2386" s="1">
        <v>538.98</v>
      </c>
      <c r="J2386" s="1">
        <v>8</v>
      </c>
      <c r="K2386" s="1">
        <v>4311.84</v>
      </c>
      <c r="L2386" s="1">
        <v>5</v>
      </c>
      <c r="M2386" s="1">
        <v>215.59</v>
      </c>
      <c r="N2386" s="1">
        <v>4096.25</v>
      </c>
      <c r="O2386" s="1" t="s">
        <v>33</v>
      </c>
      <c r="P2386" s="1" t="s">
        <v>641</v>
      </c>
      <c r="Q2386" s="1">
        <v>3</v>
      </c>
      <c r="R2386" s="1">
        <f>Retail_Sales_Analyis[[#This Row],[Final_Price]]-Retail_Sales_Analyis[[#This Row],[Total_Price]]</f>
        <v>-215.59000000000015</v>
      </c>
      <c r="S238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87" spans="1:19" x14ac:dyDescent="0.25">
      <c r="A2387" s="1" t="s">
        <v>3436</v>
      </c>
      <c r="B2387" s="2">
        <v>45550</v>
      </c>
      <c r="C2387" s="1" t="s">
        <v>116</v>
      </c>
      <c r="D2387" s="1" t="s">
        <v>49</v>
      </c>
      <c r="E2387" s="1" t="s">
        <v>56</v>
      </c>
      <c r="F2387" s="1" t="s">
        <v>84</v>
      </c>
      <c r="G2387" s="1" t="s">
        <v>169</v>
      </c>
      <c r="H2387" s="1" t="s">
        <v>170</v>
      </c>
      <c r="I2387" s="1">
        <v>948.94</v>
      </c>
      <c r="J2387" s="1">
        <v>1</v>
      </c>
      <c r="K2387" s="1">
        <v>948.94</v>
      </c>
      <c r="L2387" s="1">
        <v>20</v>
      </c>
      <c r="M2387" s="1">
        <v>189.79</v>
      </c>
      <c r="N2387" s="1">
        <v>759.15</v>
      </c>
      <c r="O2387" s="1" t="s">
        <v>33</v>
      </c>
      <c r="P2387" s="1" t="s">
        <v>557</v>
      </c>
      <c r="Q2387" s="1">
        <v>2</v>
      </c>
      <c r="R2387" s="1">
        <f>Retail_Sales_Analyis[[#This Row],[Final_Price]]-Retail_Sales_Analyis[[#This Row],[Total_Price]]</f>
        <v>-189.79000000000008</v>
      </c>
      <c r="S23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88" spans="1:19" x14ac:dyDescent="0.25">
      <c r="A2388" s="1" t="s">
        <v>3437</v>
      </c>
      <c r="B2388" s="2">
        <v>45526</v>
      </c>
      <c r="C2388" s="1" t="s">
        <v>93</v>
      </c>
      <c r="D2388" s="1" t="s">
        <v>67</v>
      </c>
      <c r="E2388" s="1" t="s">
        <v>132</v>
      </c>
      <c r="F2388" s="1" t="s">
        <v>30</v>
      </c>
      <c r="G2388" s="1" t="s">
        <v>78</v>
      </c>
      <c r="H2388" s="1" t="s">
        <v>126</v>
      </c>
      <c r="I2388" s="1">
        <v>179.16</v>
      </c>
      <c r="J2388" s="1">
        <v>8</v>
      </c>
      <c r="K2388" s="1">
        <v>1433.28</v>
      </c>
      <c r="L2388" s="1">
        <v>10</v>
      </c>
      <c r="M2388" s="1">
        <v>143.33000000000001</v>
      </c>
      <c r="N2388" s="1">
        <v>1289.95</v>
      </c>
      <c r="O2388" s="1" t="s">
        <v>24</v>
      </c>
      <c r="P2388" s="1" t="s">
        <v>219</v>
      </c>
      <c r="Q2388" s="1">
        <v>5</v>
      </c>
      <c r="R2388" s="1">
        <f>Retail_Sales_Analyis[[#This Row],[Final_Price]]-Retail_Sales_Analyis[[#This Row],[Total_Price]]</f>
        <v>-143.32999999999993</v>
      </c>
      <c r="S23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89" spans="1:19" x14ac:dyDescent="0.25">
      <c r="A2389" s="1" t="s">
        <v>3438</v>
      </c>
      <c r="B2389" s="2">
        <v>45415</v>
      </c>
      <c r="C2389" s="1" t="s">
        <v>42</v>
      </c>
      <c r="D2389" s="1" t="s">
        <v>144</v>
      </c>
      <c r="E2389" s="1" t="s">
        <v>163</v>
      </c>
      <c r="F2389" s="1" t="s">
        <v>84</v>
      </c>
      <c r="G2389" s="1" t="s">
        <v>22</v>
      </c>
      <c r="H2389" s="1" t="s">
        <v>23</v>
      </c>
      <c r="I2389" s="1">
        <v>523.99</v>
      </c>
      <c r="J2389" s="1">
        <v>9</v>
      </c>
      <c r="K2389" s="1">
        <v>4715.91</v>
      </c>
      <c r="L2389" s="1">
        <v>0</v>
      </c>
      <c r="M2389" s="1">
        <v>0</v>
      </c>
      <c r="N2389" s="1">
        <v>4715.91</v>
      </c>
      <c r="O2389" s="1" t="s">
        <v>80</v>
      </c>
      <c r="P2389" s="1" t="s">
        <v>3439</v>
      </c>
      <c r="Q2389" s="1">
        <v>3</v>
      </c>
      <c r="R2389" s="1">
        <f>Retail_Sales_Analyis[[#This Row],[Final_Price]]-Retail_Sales_Analyis[[#This Row],[Total_Price]]</f>
        <v>0</v>
      </c>
      <c r="S23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90" spans="1:19" x14ac:dyDescent="0.25">
      <c r="A2390" s="1" t="s">
        <v>3440</v>
      </c>
      <c r="B2390" s="2">
        <v>45402</v>
      </c>
      <c r="C2390" s="1" t="s">
        <v>54</v>
      </c>
      <c r="D2390" s="1" t="s">
        <v>19</v>
      </c>
      <c r="E2390" s="1" t="s">
        <v>239</v>
      </c>
      <c r="F2390" s="1" t="s">
        <v>21</v>
      </c>
      <c r="G2390" s="1" t="s">
        <v>22</v>
      </c>
      <c r="H2390" s="1" t="s">
        <v>23</v>
      </c>
      <c r="I2390" s="1">
        <v>620.1</v>
      </c>
      <c r="J2390" s="1">
        <v>3</v>
      </c>
      <c r="K2390" s="1">
        <v>1860.3</v>
      </c>
      <c r="L2390" s="1">
        <v>0</v>
      </c>
      <c r="M2390" s="1">
        <v>0</v>
      </c>
      <c r="N2390" s="1">
        <v>1860.3</v>
      </c>
      <c r="O2390" s="1" t="s">
        <v>33</v>
      </c>
      <c r="P2390" s="1" t="s">
        <v>599</v>
      </c>
      <c r="Q2390" s="1">
        <v>4</v>
      </c>
      <c r="R2390" s="1">
        <f>Retail_Sales_Analyis[[#This Row],[Final_Price]]-Retail_Sales_Analyis[[#This Row],[Total_Price]]</f>
        <v>0</v>
      </c>
      <c r="S23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91" spans="1:19" x14ac:dyDescent="0.25">
      <c r="A2391" s="1" t="s">
        <v>3441</v>
      </c>
      <c r="B2391" s="2">
        <v>45590</v>
      </c>
      <c r="C2391" s="1" t="s">
        <v>76</v>
      </c>
      <c r="D2391" s="1" t="s">
        <v>144</v>
      </c>
      <c r="E2391" s="1" t="s">
        <v>163</v>
      </c>
      <c r="F2391" s="1" t="s">
        <v>84</v>
      </c>
      <c r="G2391" s="1" t="s">
        <v>22</v>
      </c>
      <c r="H2391" s="1" t="s">
        <v>133</v>
      </c>
      <c r="I2391" s="1">
        <v>344.33</v>
      </c>
      <c r="J2391" s="1">
        <v>10</v>
      </c>
      <c r="K2391" s="1">
        <v>3443.3</v>
      </c>
      <c r="L2391" s="1">
        <v>0</v>
      </c>
      <c r="M2391" s="1">
        <v>0</v>
      </c>
      <c r="N2391" s="1">
        <v>3443.3</v>
      </c>
      <c r="O2391" s="1" t="s">
        <v>46</v>
      </c>
      <c r="P2391" s="1" t="s">
        <v>265</v>
      </c>
      <c r="Q2391" s="1">
        <v>1</v>
      </c>
      <c r="R2391" s="1">
        <f>Retail_Sales_Analyis[[#This Row],[Final_Price]]-Retail_Sales_Analyis[[#This Row],[Total_Price]]</f>
        <v>0</v>
      </c>
      <c r="S23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92" spans="1:19" x14ac:dyDescent="0.25">
      <c r="A2392" s="1" t="s">
        <v>3442</v>
      </c>
      <c r="B2392" s="2">
        <v>45472</v>
      </c>
      <c r="C2392" s="1" t="s">
        <v>173</v>
      </c>
      <c r="D2392" s="1" t="s">
        <v>19</v>
      </c>
      <c r="E2392" s="1" t="s">
        <v>213</v>
      </c>
      <c r="F2392" s="1" t="s">
        <v>21</v>
      </c>
      <c r="G2392" s="1" t="s">
        <v>85</v>
      </c>
      <c r="H2392" s="1" t="s">
        <v>90</v>
      </c>
      <c r="I2392" s="1">
        <v>3588.16</v>
      </c>
      <c r="J2392" s="1">
        <v>9</v>
      </c>
      <c r="K2392" s="1">
        <v>32293.439999999999</v>
      </c>
      <c r="L2392" s="1">
        <v>10</v>
      </c>
      <c r="M2392" s="1">
        <v>3229.34</v>
      </c>
      <c r="N2392" s="1">
        <v>29064.1</v>
      </c>
      <c r="O2392" s="1" t="s">
        <v>33</v>
      </c>
      <c r="P2392" s="1" t="s">
        <v>896</v>
      </c>
      <c r="Q2392" s="1">
        <v>1</v>
      </c>
      <c r="R2392" s="1">
        <f>Retail_Sales_Analyis[[#This Row],[Final_Price]]-Retail_Sales_Analyis[[#This Row],[Total_Price]]</f>
        <v>-3229.34</v>
      </c>
      <c r="S23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93" spans="1:19" x14ac:dyDescent="0.25">
      <c r="A2393" s="1" t="s">
        <v>3443</v>
      </c>
      <c r="B2393" s="2">
        <v>45316</v>
      </c>
      <c r="C2393" s="1" t="s">
        <v>36</v>
      </c>
      <c r="D2393" s="1" t="s">
        <v>67</v>
      </c>
      <c r="E2393" s="1" t="s">
        <v>322</v>
      </c>
      <c r="F2393" s="1" t="s">
        <v>37</v>
      </c>
      <c r="G2393" s="1" t="s">
        <v>112</v>
      </c>
      <c r="H2393" s="1" t="s">
        <v>288</v>
      </c>
      <c r="I2393" s="1">
        <v>510.56</v>
      </c>
      <c r="J2393" s="1">
        <v>7</v>
      </c>
      <c r="K2393" s="1">
        <v>3573.92</v>
      </c>
      <c r="L2393" s="1">
        <v>5</v>
      </c>
      <c r="M2393" s="1">
        <v>178.7</v>
      </c>
      <c r="N2393" s="1">
        <v>3395.22</v>
      </c>
      <c r="O2393" s="1" t="s">
        <v>80</v>
      </c>
      <c r="P2393" s="1" t="s">
        <v>1307</v>
      </c>
      <c r="Q2393" s="1">
        <v>1</v>
      </c>
      <c r="R2393" s="1">
        <f>Retail_Sales_Analyis[[#This Row],[Final_Price]]-Retail_Sales_Analyis[[#This Row],[Total_Price]]</f>
        <v>-178.70000000000027</v>
      </c>
      <c r="S23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94" spans="1:19" x14ac:dyDescent="0.25">
      <c r="A2394" s="1" t="s">
        <v>3444</v>
      </c>
      <c r="B2394" s="2">
        <v>45317</v>
      </c>
      <c r="C2394" s="1" t="s">
        <v>36</v>
      </c>
      <c r="D2394" s="1" t="s">
        <v>144</v>
      </c>
      <c r="E2394" s="1" t="s">
        <v>121</v>
      </c>
      <c r="F2394" s="1" t="s">
        <v>84</v>
      </c>
      <c r="G2394" s="1" t="s">
        <v>85</v>
      </c>
      <c r="H2394" s="1" t="s">
        <v>98</v>
      </c>
      <c r="I2394" s="1">
        <v>2924.19</v>
      </c>
      <c r="J2394" s="1">
        <v>3</v>
      </c>
      <c r="K2394" s="1">
        <v>8772.57</v>
      </c>
      <c r="L2394" s="1">
        <v>10</v>
      </c>
      <c r="M2394" s="1">
        <v>877.26</v>
      </c>
      <c r="N2394" s="1">
        <v>7895.31</v>
      </c>
      <c r="O2394" s="1" t="s">
        <v>80</v>
      </c>
      <c r="P2394" s="1" t="s">
        <v>1353</v>
      </c>
      <c r="Q2394" s="1">
        <v>2</v>
      </c>
      <c r="R2394" s="1">
        <f>Retail_Sales_Analyis[[#This Row],[Final_Price]]-Retail_Sales_Analyis[[#This Row],[Total_Price]]</f>
        <v>-877.25999999999931</v>
      </c>
      <c r="S23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95" spans="1:19" x14ac:dyDescent="0.25">
      <c r="A2395" s="1" t="s">
        <v>3445</v>
      </c>
      <c r="B2395" s="2">
        <v>45436</v>
      </c>
      <c r="C2395" s="1" t="s">
        <v>42</v>
      </c>
      <c r="D2395" s="1" t="s">
        <v>144</v>
      </c>
      <c r="E2395" s="1" t="s">
        <v>89</v>
      </c>
      <c r="F2395" s="1" t="s">
        <v>69</v>
      </c>
      <c r="G2395" s="1" t="s">
        <v>57</v>
      </c>
      <c r="H2395" s="1" t="s">
        <v>101</v>
      </c>
      <c r="I2395" s="1">
        <v>969.72</v>
      </c>
      <c r="J2395" s="1">
        <v>9</v>
      </c>
      <c r="K2395" s="1">
        <v>8727.48</v>
      </c>
      <c r="L2395" s="1">
        <v>15</v>
      </c>
      <c r="M2395" s="1">
        <v>1309.1199999999999</v>
      </c>
      <c r="N2395" s="1">
        <v>7418.36</v>
      </c>
      <c r="O2395" s="1" t="s">
        <v>33</v>
      </c>
      <c r="P2395" s="1" t="s">
        <v>737</v>
      </c>
      <c r="Q2395" s="1">
        <v>3</v>
      </c>
      <c r="R2395" s="1">
        <f>Retail_Sales_Analyis[[#This Row],[Final_Price]]-Retail_Sales_Analyis[[#This Row],[Total_Price]]</f>
        <v>-1309.1199999999999</v>
      </c>
      <c r="S23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396" spans="1:19" x14ac:dyDescent="0.25">
      <c r="A2396" s="1" t="s">
        <v>3446</v>
      </c>
      <c r="B2396" s="2">
        <v>45545</v>
      </c>
      <c r="C2396" s="1" t="s">
        <v>116</v>
      </c>
      <c r="D2396" s="1" t="s">
        <v>28</v>
      </c>
      <c r="E2396" s="1" t="s">
        <v>56</v>
      </c>
      <c r="F2396" s="1" t="s">
        <v>84</v>
      </c>
      <c r="G2396" s="1" t="s">
        <v>112</v>
      </c>
      <c r="H2396" s="1" t="s">
        <v>113</v>
      </c>
      <c r="I2396" s="1">
        <v>1570.77</v>
      </c>
      <c r="J2396" s="1">
        <v>1</v>
      </c>
      <c r="K2396" s="1">
        <v>1570.77</v>
      </c>
      <c r="L2396" s="1">
        <v>5</v>
      </c>
      <c r="M2396" s="1">
        <v>78.540000000000006</v>
      </c>
      <c r="N2396" s="1">
        <v>1492.23</v>
      </c>
      <c r="O2396" s="1" t="s">
        <v>33</v>
      </c>
      <c r="P2396" s="1" t="s">
        <v>1622</v>
      </c>
      <c r="Q2396" s="1">
        <v>3</v>
      </c>
      <c r="R2396" s="1">
        <f>Retail_Sales_Analyis[[#This Row],[Final_Price]]-Retail_Sales_Analyis[[#This Row],[Total_Price]]</f>
        <v>-78.539999999999964</v>
      </c>
      <c r="S23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397" spans="1:19" x14ac:dyDescent="0.25">
      <c r="A2397" s="1" t="s">
        <v>3447</v>
      </c>
      <c r="B2397" s="2">
        <v>45597</v>
      </c>
      <c r="C2397" s="1" t="s">
        <v>18</v>
      </c>
      <c r="D2397" s="1" t="s">
        <v>144</v>
      </c>
      <c r="E2397" s="1" t="s">
        <v>168</v>
      </c>
      <c r="F2397" s="1" t="s">
        <v>69</v>
      </c>
      <c r="G2397" s="1" t="s">
        <v>22</v>
      </c>
      <c r="H2397" s="1" t="s">
        <v>187</v>
      </c>
      <c r="I2397" s="1">
        <v>826.35</v>
      </c>
      <c r="J2397" s="1">
        <v>4</v>
      </c>
      <c r="K2397" s="1">
        <v>3305.4</v>
      </c>
      <c r="L2397" s="1">
        <v>0</v>
      </c>
      <c r="M2397" s="1">
        <v>0</v>
      </c>
      <c r="N2397" s="1">
        <v>3305.4</v>
      </c>
      <c r="O2397" s="1" t="s">
        <v>46</v>
      </c>
      <c r="P2397" s="1" t="s">
        <v>1906</v>
      </c>
      <c r="Q2397" s="1">
        <v>3</v>
      </c>
      <c r="R2397" s="1">
        <f>Retail_Sales_Analyis[[#This Row],[Final_Price]]-Retail_Sales_Analyis[[#This Row],[Total_Price]]</f>
        <v>0</v>
      </c>
      <c r="S23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398" spans="1:19" x14ac:dyDescent="0.25">
      <c r="A2398" s="1" t="s">
        <v>3448</v>
      </c>
      <c r="B2398" s="2">
        <v>45626</v>
      </c>
      <c r="C2398" s="1" t="s">
        <v>18</v>
      </c>
      <c r="D2398" s="1" t="s">
        <v>19</v>
      </c>
      <c r="E2398" s="1" t="s">
        <v>542</v>
      </c>
      <c r="F2398" s="1" t="s">
        <v>30</v>
      </c>
      <c r="G2398" s="1" t="s">
        <v>31</v>
      </c>
      <c r="H2398" s="1" t="s">
        <v>32</v>
      </c>
      <c r="I2398" s="1">
        <v>156.26</v>
      </c>
      <c r="J2398" s="1">
        <v>2</v>
      </c>
      <c r="K2398" s="1">
        <v>312.52</v>
      </c>
      <c r="L2398" s="1">
        <v>20</v>
      </c>
      <c r="M2398" s="1">
        <v>62.5</v>
      </c>
      <c r="N2398" s="1">
        <v>250.02</v>
      </c>
      <c r="O2398" s="1" t="s">
        <v>64</v>
      </c>
      <c r="P2398" s="1" t="s">
        <v>1633</v>
      </c>
      <c r="Q2398" s="1">
        <v>2</v>
      </c>
      <c r="R2398" s="1">
        <f>Retail_Sales_Analyis[[#This Row],[Final_Price]]-Retail_Sales_Analyis[[#This Row],[Total_Price]]</f>
        <v>-62.499999999999972</v>
      </c>
      <c r="S23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399" spans="1:19" x14ac:dyDescent="0.25">
      <c r="A2399" s="1" t="s">
        <v>3449</v>
      </c>
      <c r="B2399" s="2">
        <v>45636</v>
      </c>
      <c r="C2399" s="1" t="s">
        <v>73</v>
      </c>
      <c r="D2399" s="1" t="s">
        <v>28</v>
      </c>
      <c r="E2399" s="1" t="s">
        <v>68</v>
      </c>
      <c r="F2399" s="1" t="s">
        <v>37</v>
      </c>
      <c r="G2399" s="1" t="s">
        <v>78</v>
      </c>
      <c r="H2399" s="1" t="s">
        <v>79</v>
      </c>
      <c r="I2399" s="1">
        <v>456.61</v>
      </c>
      <c r="J2399" s="1">
        <v>6</v>
      </c>
      <c r="K2399" s="1">
        <v>2739.66</v>
      </c>
      <c r="L2399" s="1">
        <v>5</v>
      </c>
      <c r="M2399" s="1">
        <v>136.97999999999999</v>
      </c>
      <c r="N2399" s="1">
        <v>2602.6799999999998</v>
      </c>
      <c r="O2399" s="1" t="s">
        <v>24</v>
      </c>
      <c r="P2399" s="1" t="s">
        <v>526</v>
      </c>
      <c r="Q2399" s="1">
        <v>3</v>
      </c>
      <c r="R2399" s="1">
        <f>Retail_Sales_Analyis[[#This Row],[Final_Price]]-Retail_Sales_Analyis[[#This Row],[Total_Price]]</f>
        <v>-136.98000000000002</v>
      </c>
      <c r="S23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00" spans="1:19" x14ac:dyDescent="0.25">
      <c r="A2400" s="1" t="s">
        <v>3450</v>
      </c>
      <c r="B2400" s="2">
        <v>45532</v>
      </c>
      <c r="C2400" s="1" t="s">
        <v>93</v>
      </c>
      <c r="D2400" s="1" t="s">
        <v>55</v>
      </c>
      <c r="E2400" s="1" t="s">
        <v>151</v>
      </c>
      <c r="F2400" s="1" t="s">
        <v>37</v>
      </c>
      <c r="G2400" s="1" t="s">
        <v>31</v>
      </c>
      <c r="H2400" s="1" t="s">
        <v>45</v>
      </c>
      <c r="I2400" s="1">
        <v>321.58</v>
      </c>
      <c r="J2400" s="1">
        <v>4</v>
      </c>
      <c r="K2400" s="1">
        <v>1286.32</v>
      </c>
      <c r="L2400" s="1">
        <v>10</v>
      </c>
      <c r="M2400" s="1">
        <v>128.63</v>
      </c>
      <c r="N2400" s="1">
        <v>1157.69</v>
      </c>
      <c r="O2400" s="1" t="s">
        <v>46</v>
      </c>
      <c r="P2400" s="1" t="s">
        <v>1178</v>
      </c>
      <c r="Q2400" s="1">
        <v>3</v>
      </c>
      <c r="R2400" s="1">
        <f>Retail_Sales_Analyis[[#This Row],[Final_Price]]-Retail_Sales_Analyis[[#This Row],[Total_Price]]</f>
        <v>-128.62999999999988</v>
      </c>
      <c r="S24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01" spans="1:19" x14ac:dyDescent="0.25">
      <c r="A2401" s="1" t="s">
        <v>3451</v>
      </c>
      <c r="B2401" s="2">
        <v>45438</v>
      </c>
      <c r="C2401" s="1" t="s">
        <v>42</v>
      </c>
      <c r="D2401" s="1" t="s">
        <v>49</v>
      </c>
      <c r="E2401" s="1" t="s">
        <v>351</v>
      </c>
      <c r="F2401" s="1" t="s">
        <v>69</v>
      </c>
      <c r="G2401" s="1" t="s">
        <v>78</v>
      </c>
      <c r="H2401" s="1" t="s">
        <v>126</v>
      </c>
      <c r="I2401" s="1">
        <v>391.83</v>
      </c>
      <c r="J2401" s="1">
        <v>2</v>
      </c>
      <c r="K2401" s="1">
        <v>783.66</v>
      </c>
      <c r="L2401" s="1">
        <v>0</v>
      </c>
      <c r="M2401" s="1">
        <v>0</v>
      </c>
      <c r="N2401" s="1">
        <v>783.66</v>
      </c>
      <c r="O2401" s="1" t="s">
        <v>46</v>
      </c>
      <c r="P2401" s="1" t="s">
        <v>869</v>
      </c>
      <c r="Q2401" s="1">
        <v>1</v>
      </c>
      <c r="R2401" s="1">
        <f>Retail_Sales_Analyis[[#This Row],[Final_Price]]-Retail_Sales_Analyis[[#This Row],[Total_Price]]</f>
        <v>0</v>
      </c>
      <c r="S24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2" spans="1:19" x14ac:dyDescent="0.25">
      <c r="A2402" s="1" t="s">
        <v>3452</v>
      </c>
      <c r="B2402" s="2">
        <v>45566</v>
      </c>
      <c r="C2402" s="1" t="s">
        <v>76</v>
      </c>
      <c r="D2402" s="1" t="s">
        <v>28</v>
      </c>
      <c r="E2402" s="1" t="s">
        <v>186</v>
      </c>
      <c r="F2402" s="1" t="s">
        <v>69</v>
      </c>
      <c r="G2402" s="1" t="s">
        <v>112</v>
      </c>
      <c r="H2402" s="1" t="s">
        <v>223</v>
      </c>
      <c r="I2402" s="1">
        <v>1628.81</v>
      </c>
      <c r="J2402" s="1">
        <v>4</v>
      </c>
      <c r="K2402" s="1">
        <v>6515.24</v>
      </c>
      <c r="L2402" s="1">
        <v>15</v>
      </c>
      <c r="M2402" s="1">
        <v>977.29</v>
      </c>
      <c r="N2402" s="1">
        <v>5537.95</v>
      </c>
      <c r="O2402" s="1" t="s">
        <v>46</v>
      </c>
      <c r="P2402" s="1" t="s">
        <v>3453</v>
      </c>
      <c r="Q2402" s="1">
        <v>1</v>
      </c>
      <c r="R2402" s="1">
        <f>Retail_Sales_Analyis[[#This Row],[Final_Price]]-Retail_Sales_Analyis[[#This Row],[Total_Price]]</f>
        <v>-977.29</v>
      </c>
      <c r="S24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03" spans="1:19" x14ac:dyDescent="0.25">
      <c r="A2403" s="1" t="s">
        <v>3454</v>
      </c>
      <c r="B2403" s="2">
        <v>45296</v>
      </c>
      <c r="C2403" s="1" t="s">
        <v>36</v>
      </c>
      <c r="D2403" s="1" t="s">
        <v>144</v>
      </c>
      <c r="E2403" s="1" t="s">
        <v>192</v>
      </c>
      <c r="F2403" s="1" t="s">
        <v>37</v>
      </c>
      <c r="G2403" s="1" t="s">
        <v>31</v>
      </c>
      <c r="H2403" s="1" t="s">
        <v>329</v>
      </c>
      <c r="I2403" s="1">
        <v>195.93</v>
      </c>
      <c r="J2403" s="1">
        <v>7</v>
      </c>
      <c r="K2403" s="1">
        <v>1371.51</v>
      </c>
      <c r="L2403" s="1">
        <v>20</v>
      </c>
      <c r="M2403" s="1">
        <v>274.3</v>
      </c>
      <c r="N2403" s="1">
        <v>1097.21</v>
      </c>
      <c r="O2403" s="1" t="s">
        <v>80</v>
      </c>
      <c r="P2403" s="1" t="s">
        <v>846</v>
      </c>
      <c r="Q2403" s="1">
        <v>5</v>
      </c>
      <c r="R2403" s="1">
        <f>Retail_Sales_Analyis[[#This Row],[Final_Price]]-Retail_Sales_Analyis[[#This Row],[Total_Price]]</f>
        <v>-274.29999999999995</v>
      </c>
      <c r="S24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04" spans="1:19" x14ac:dyDescent="0.25">
      <c r="A2404" s="1" t="s">
        <v>3455</v>
      </c>
      <c r="B2404" s="2">
        <v>45347</v>
      </c>
      <c r="C2404" s="1" t="s">
        <v>27</v>
      </c>
      <c r="D2404" s="1" t="s">
        <v>49</v>
      </c>
      <c r="E2404" s="1" t="s">
        <v>328</v>
      </c>
      <c r="F2404" s="1" t="s">
        <v>30</v>
      </c>
      <c r="G2404" s="1" t="s">
        <v>31</v>
      </c>
      <c r="H2404" s="1" t="s">
        <v>32</v>
      </c>
      <c r="I2404" s="1">
        <v>328.06</v>
      </c>
      <c r="J2404" s="1">
        <v>9</v>
      </c>
      <c r="K2404" s="1">
        <v>2952.54</v>
      </c>
      <c r="L2404" s="1">
        <v>0</v>
      </c>
      <c r="M2404" s="1">
        <v>0</v>
      </c>
      <c r="N2404" s="1">
        <v>2952.54</v>
      </c>
      <c r="O2404" s="1" t="s">
        <v>64</v>
      </c>
      <c r="P2404" s="1" t="s">
        <v>2216</v>
      </c>
      <c r="Q2404" s="1">
        <v>2</v>
      </c>
      <c r="R2404" s="1">
        <f>Retail_Sales_Analyis[[#This Row],[Final_Price]]-Retail_Sales_Analyis[[#This Row],[Total_Price]]</f>
        <v>0</v>
      </c>
      <c r="S24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5" spans="1:19" x14ac:dyDescent="0.25">
      <c r="A2405" s="1" t="s">
        <v>3456</v>
      </c>
      <c r="B2405" s="2">
        <v>45512</v>
      </c>
      <c r="C2405" s="1" t="s">
        <v>93</v>
      </c>
      <c r="D2405" s="1" t="s">
        <v>67</v>
      </c>
      <c r="E2405" s="1" t="s">
        <v>196</v>
      </c>
      <c r="F2405" s="1" t="s">
        <v>30</v>
      </c>
      <c r="G2405" s="1" t="s">
        <v>38</v>
      </c>
      <c r="H2405" s="1" t="s">
        <v>422</v>
      </c>
      <c r="I2405" s="1">
        <v>398.45</v>
      </c>
      <c r="J2405" s="1">
        <v>5</v>
      </c>
      <c r="K2405" s="1">
        <v>1992.25</v>
      </c>
      <c r="L2405" s="1">
        <v>0</v>
      </c>
      <c r="M2405" s="1">
        <v>0</v>
      </c>
      <c r="N2405" s="1">
        <v>1992.25</v>
      </c>
      <c r="O2405" s="1" t="s">
        <v>33</v>
      </c>
      <c r="P2405" s="1" t="s">
        <v>528</v>
      </c>
      <c r="Q2405" s="1">
        <v>4</v>
      </c>
      <c r="R2405" s="1">
        <f>Retail_Sales_Analyis[[#This Row],[Final_Price]]-Retail_Sales_Analyis[[#This Row],[Total_Price]]</f>
        <v>0</v>
      </c>
      <c r="S24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6" spans="1:19" x14ac:dyDescent="0.25">
      <c r="A2406" s="1" t="s">
        <v>3457</v>
      </c>
      <c r="B2406" s="2">
        <v>45360</v>
      </c>
      <c r="C2406" s="1" t="s">
        <v>61</v>
      </c>
      <c r="D2406" s="1" t="s">
        <v>19</v>
      </c>
      <c r="E2406" s="1" t="s">
        <v>302</v>
      </c>
      <c r="F2406" s="1" t="s">
        <v>21</v>
      </c>
      <c r="G2406" s="1" t="s">
        <v>57</v>
      </c>
      <c r="H2406" s="1" t="s">
        <v>58</v>
      </c>
      <c r="I2406" s="1">
        <v>2231.7600000000002</v>
      </c>
      <c r="J2406" s="1">
        <v>7</v>
      </c>
      <c r="K2406" s="1">
        <v>15622.32</v>
      </c>
      <c r="L2406" s="1">
        <v>0</v>
      </c>
      <c r="M2406" s="1">
        <v>0</v>
      </c>
      <c r="N2406" s="1">
        <v>15622.32</v>
      </c>
      <c r="O2406" s="1" t="s">
        <v>24</v>
      </c>
      <c r="P2406" s="1" t="s">
        <v>1552</v>
      </c>
      <c r="Q2406" s="1">
        <v>1</v>
      </c>
      <c r="R2406" s="1">
        <f>Retail_Sales_Analyis[[#This Row],[Final_Price]]-Retail_Sales_Analyis[[#This Row],[Total_Price]]</f>
        <v>0</v>
      </c>
      <c r="S24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7" spans="1:19" x14ac:dyDescent="0.25">
      <c r="A2407" s="1" t="s">
        <v>3458</v>
      </c>
      <c r="B2407" s="2">
        <v>45427</v>
      </c>
      <c r="C2407" s="1" t="s">
        <v>42</v>
      </c>
      <c r="D2407" s="1" t="s">
        <v>55</v>
      </c>
      <c r="E2407" s="1" t="s">
        <v>104</v>
      </c>
      <c r="F2407" s="1" t="s">
        <v>21</v>
      </c>
      <c r="G2407" s="1" t="s">
        <v>85</v>
      </c>
      <c r="H2407" s="1" t="s">
        <v>90</v>
      </c>
      <c r="I2407" s="1">
        <v>2277.19</v>
      </c>
      <c r="J2407" s="1">
        <v>4</v>
      </c>
      <c r="K2407" s="1">
        <v>9108.76</v>
      </c>
      <c r="L2407" s="1">
        <v>20</v>
      </c>
      <c r="M2407" s="1">
        <v>1821.75</v>
      </c>
      <c r="N2407" s="1">
        <v>7287.01</v>
      </c>
      <c r="O2407" s="1" t="s">
        <v>33</v>
      </c>
      <c r="P2407" s="1" t="s">
        <v>2288</v>
      </c>
      <c r="Q2407" s="1">
        <v>5</v>
      </c>
      <c r="R2407" s="1">
        <f>Retail_Sales_Analyis[[#This Row],[Final_Price]]-Retail_Sales_Analyis[[#This Row],[Total_Price]]</f>
        <v>-1821.75</v>
      </c>
      <c r="S24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08" spans="1:19" x14ac:dyDescent="0.25">
      <c r="A2408" s="1" t="s">
        <v>3459</v>
      </c>
      <c r="B2408" s="2">
        <v>45479</v>
      </c>
      <c r="C2408" s="1" t="s">
        <v>195</v>
      </c>
      <c r="D2408" s="1" t="s">
        <v>19</v>
      </c>
      <c r="E2408" s="1" t="s">
        <v>89</v>
      </c>
      <c r="F2408" s="1" t="s">
        <v>21</v>
      </c>
      <c r="G2408" s="1" t="s">
        <v>169</v>
      </c>
      <c r="H2408" s="1" t="s">
        <v>175</v>
      </c>
      <c r="I2408" s="1">
        <v>998.75</v>
      </c>
      <c r="J2408" s="1">
        <v>8</v>
      </c>
      <c r="K2408" s="1">
        <v>7990</v>
      </c>
      <c r="L2408" s="1">
        <v>0</v>
      </c>
      <c r="M2408" s="1">
        <v>0</v>
      </c>
      <c r="N2408" s="1">
        <v>7990</v>
      </c>
      <c r="O2408" s="1" t="s">
        <v>33</v>
      </c>
      <c r="P2408" s="1" t="s">
        <v>215</v>
      </c>
      <c r="Q2408" s="1">
        <v>2</v>
      </c>
      <c r="R2408" s="1">
        <f>Retail_Sales_Analyis[[#This Row],[Final_Price]]-Retail_Sales_Analyis[[#This Row],[Total_Price]]</f>
        <v>0</v>
      </c>
      <c r="S24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09" spans="1:19" x14ac:dyDescent="0.25">
      <c r="A2409" s="1" t="s">
        <v>3460</v>
      </c>
      <c r="B2409" s="2">
        <v>45498</v>
      </c>
      <c r="C2409" s="1" t="s">
        <v>195</v>
      </c>
      <c r="D2409" s="1" t="s">
        <v>67</v>
      </c>
      <c r="E2409" s="1" t="s">
        <v>68</v>
      </c>
      <c r="F2409" s="1" t="s">
        <v>84</v>
      </c>
      <c r="G2409" s="1" t="s">
        <v>31</v>
      </c>
      <c r="H2409" s="1" t="s">
        <v>250</v>
      </c>
      <c r="I2409" s="1">
        <v>97.01</v>
      </c>
      <c r="J2409" s="1">
        <v>7</v>
      </c>
      <c r="K2409" s="1">
        <v>679.07</v>
      </c>
      <c r="L2409" s="1">
        <v>10</v>
      </c>
      <c r="M2409" s="1">
        <v>67.91</v>
      </c>
      <c r="N2409" s="1">
        <v>611.16</v>
      </c>
      <c r="O2409" s="1" t="s">
        <v>64</v>
      </c>
      <c r="P2409" s="1" t="s">
        <v>65</v>
      </c>
      <c r="Q2409" s="1">
        <v>1</v>
      </c>
      <c r="R2409" s="1">
        <f>Retail_Sales_Analyis[[#This Row],[Final_Price]]-Retail_Sales_Analyis[[#This Row],[Total_Price]]</f>
        <v>-67.910000000000082</v>
      </c>
      <c r="S24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10" spans="1:19" x14ac:dyDescent="0.25">
      <c r="A2410" s="1" t="s">
        <v>3461</v>
      </c>
      <c r="B2410" s="2">
        <v>45479</v>
      </c>
      <c r="C2410" s="1" t="s">
        <v>195</v>
      </c>
      <c r="D2410" s="1" t="s">
        <v>19</v>
      </c>
      <c r="E2410" s="1" t="s">
        <v>125</v>
      </c>
      <c r="F2410" s="1" t="s">
        <v>21</v>
      </c>
      <c r="G2410" s="1" t="s">
        <v>169</v>
      </c>
      <c r="H2410" s="1" t="s">
        <v>175</v>
      </c>
      <c r="I2410" s="1">
        <v>971.05</v>
      </c>
      <c r="J2410" s="1">
        <v>5</v>
      </c>
      <c r="K2410" s="1">
        <v>4855.25</v>
      </c>
      <c r="L2410" s="1">
        <v>15</v>
      </c>
      <c r="M2410" s="1">
        <v>728.29</v>
      </c>
      <c r="N2410" s="1">
        <v>4126.96</v>
      </c>
      <c r="O2410" s="1" t="s">
        <v>64</v>
      </c>
      <c r="P2410" s="1" t="s">
        <v>725</v>
      </c>
      <c r="Q2410" s="1">
        <v>2</v>
      </c>
      <c r="R2410" s="1">
        <f>Retail_Sales_Analyis[[#This Row],[Final_Price]]-Retail_Sales_Analyis[[#This Row],[Total_Price]]</f>
        <v>-728.29</v>
      </c>
      <c r="S24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11" spans="1:19" x14ac:dyDescent="0.25">
      <c r="A2411" s="1" t="s">
        <v>3462</v>
      </c>
      <c r="B2411" s="2">
        <v>45315</v>
      </c>
      <c r="C2411" s="1" t="s">
        <v>36</v>
      </c>
      <c r="D2411" s="1" t="s">
        <v>55</v>
      </c>
      <c r="E2411" s="1" t="s">
        <v>328</v>
      </c>
      <c r="F2411" s="1" t="s">
        <v>30</v>
      </c>
      <c r="G2411" s="1" t="s">
        <v>169</v>
      </c>
      <c r="H2411" s="1" t="s">
        <v>348</v>
      </c>
      <c r="I2411" s="1">
        <v>1325.44</v>
      </c>
      <c r="J2411" s="1">
        <v>6</v>
      </c>
      <c r="K2411" s="1">
        <v>7952.64</v>
      </c>
      <c r="L2411" s="1">
        <v>0</v>
      </c>
      <c r="M2411" s="1">
        <v>0</v>
      </c>
      <c r="N2411" s="1">
        <v>7952.64</v>
      </c>
      <c r="O2411" s="1" t="s">
        <v>80</v>
      </c>
      <c r="P2411" s="1" t="s">
        <v>3463</v>
      </c>
      <c r="Q2411" s="1">
        <v>3</v>
      </c>
      <c r="R2411" s="1">
        <f>Retail_Sales_Analyis[[#This Row],[Final_Price]]-Retail_Sales_Analyis[[#This Row],[Total_Price]]</f>
        <v>0</v>
      </c>
      <c r="S24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2" spans="1:19" x14ac:dyDescent="0.25">
      <c r="A2412" s="1" t="s">
        <v>3464</v>
      </c>
      <c r="B2412" s="2">
        <v>45497</v>
      </c>
      <c r="C2412" s="1" t="s">
        <v>195</v>
      </c>
      <c r="D2412" s="1" t="s">
        <v>55</v>
      </c>
      <c r="E2412" s="1" t="s">
        <v>351</v>
      </c>
      <c r="F2412" s="1" t="s">
        <v>30</v>
      </c>
      <c r="G2412" s="1" t="s">
        <v>57</v>
      </c>
      <c r="H2412" s="1" t="s">
        <v>122</v>
      </c>
      <c r="I2412" s="1">
        <v>1412.01</v>
      </c>
      <c r="J2412" s="1">
        <v>7</v>
      </c>
      <c r="K2412" s="1">
        <v>9884.07</v>
      </c>
      <c r="L2412" s="1">
        <v>0</v>
      </c>
      <c r="M2412" s="1">
        <v>0</v>
      </c>
      <c r="N2412" s="1">
        <v>9884.07</v>
      </c>
      <c r="O2412" s="1" t="s">
        <v>33</v>
      </c>
      <c r="P2412" s="1" t="s">
        <v>2226</v>
      </c>
      <c r="Q2412" s="1">
        <v>2</v>
      </c>
      <c r="R2412" s="1">
        <f>Retail_Sales_Analyis[[#This Row],[Final_Price]]-Retail_Sales_Analyis[[#This Row],[Total_Price]]</f>
        <v>0</v>
      </c>
      <c r="S24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3" spans="1:19" x14ac:dyDescent="0.25">
      <c r="A2413" s="1" t="s">
        <v>3465</v>
      </c>
      <c r="B2413" s="2">
        <v>45318</v>
      </c>
      <c r="C2413" s="1" t="s">
        <v>36</v>
      </c>
      <c r="D2413" s="1" t="s">
        <v>19</v>
      </c>
      <c r="E2413" s="1" t="s">
        <v>117</v>
      </c>
      <c r="F2413" s="1" t="s">
        <v>84</v>
      </c>
      <c r="G2413" s="1" t="s">
        <v>22</v>
      </c>
      <c r="H2413" s="1" t="s">
        <v>51</v>
      </c>
      <c r="I2413" s="1">
        <v>767.22</v>
      </c>
      <c r="J2413" s="1">
        <v>7</v>
      </c>
      <c r="K2413" s="1">
        <v>5370.54</v>
      </c>
      <c r="L2413" s="1">
        <v>0</v>
      </c>
      <c r="M2413" s="1">
        <v>0</v>
      </c>
      <c r="N2413" s="1">
        <v>5370.54</v>
      </c>
      <c r="O2413" s="1" t="s">
        <v>24</v>
      </c>
      <c r="P2413" s="1" t="s">
        <v>915</v>
      </c>
      <c r="Q2413" s="1">
        <v>3</v>
      </c>
      <c r="R2413" s="1">
        <f>Retail_Sales_Analyis[[#This Row],[Final_Price]]-Retail_Sales_Analyis[[#This Row],[Total_Price]]</f>
        <v>0</v>
      </c>
      <c r="S24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4" spans="1:19" x14ac:dyDescent="0.25">
      <c r="A2414" s="1" t="s">
        <v>3466</v>
      </c>
      <c r="B2414" s="2">
        <v>45583</v>
      </c>
      <c r="C2414" s="1" t="s">
        <v>76</v>
      </c>
      <c r="D2414" s="1" t="s">
        <v>144</v>
      </c>
      <c r="E2414" s="1" t="s">
        <v>302</v>
      </c>
      <c r="F2414" s="1" t="s">
        <v>37</v>
      </c>
      <c r="G2414" s="1" t="s">
        <v>38</v>
      </c>
      <c r="H2414" s="1" t="s">
        <v>39</v>
      </c>
      <c r="I2414" s="1">
        <v>745.1</v>
      </c>
      <c r="J2414" s="1">
        <v>8</v>
      </c>
      <c r="K2414" s="1">
        <v>5960.8</v>
      </c>
      <c r="L2414" s="1">
        <v>0</v>
      </c>
      <c r="M2414" s="1">
        <v>0</v>
      </c>
      <c r="N2414" s="1">
        <v>5960.8</v>
      </c>
      <c r="O2414" s="1" t="s">
        <v>80</v>
      </c>
      <c r="P2414" s="1" t="s">
        <v>3467</v>
      </c>
      <c r="Q2414" s="1">
        <v>1</v>
      </c>
      <c r="R2414" s="1">
        <f>Retail_Sales_Analyis[[#This Row],[Final_Price]]-Retail_Sales_Analyis[[#This Row],[Total_Price]]</f>
        <v>0</v>
      </c>
      <c r="S24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5" spans="1:19" x14ac:dyDescent="0.25">
      <c r="A2415" s="1" t="s">
        <v>3468</v>
      </c>
      <c r="B2415" s="2">
        <v>45579</v>
      </c>
      <c r="C2415" s="1" t="s">
        <v>76</v>
      </c>
      <c r="D2415" s="1" t="s">
        <v>43</v>
      </c>
      <c r="E2415" s="1" t="s">
        <v>104</v>
      </c>
      <c r="F2415" s="1" t="s">
        <v>37</v>
      </c>
      <c r="G2415" s="1" t="s">
        <v>112</v>
      </c>
      <c r="H2415" s="1" t="s">
        <v>118</v>
      </c>
      <c r="I2415" s="1">
        <v>519.69000000000005</v>
      </c>
      <c r="J2415" s="1">
        <v>3</v>
      </c>
      <c r="K2415" s="1">
        <v>1559.07</v>
      </c>
      <c r="L2415" s="1">
        <v>0</v>
      </c>
      <c r="M2415" s="1">
        <v>0</v>
      </c>
      <c r="N2415" s="1">
        <v>1559.07</v>
      </c>
      <c r="O2415" s="1" t="s">
        <v>24</v>
      </c>
      <c r="P2415" s="1" t="s">
        <v>3469</v>
      </c>
      <c r="Q2415" s="1">
        <v>5</v>
      </c>
      <c r="R2415" s="1">
        <f>Retail_Sales_Analyis[[#This Row],[Final_Price]]-Retail_Sales_Analyis[[#This Row],[Total_Price]]</f>
        <v>0</v>
      </c>
      <c r="S24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6" spans="1:19" x14ac:dyDescent="0.25">
      <c r="A2416" s="1" t="s">
        <v>3470</v>
      </c>
      <c r="B2416" s="2">
        <v>45391</v>
      </c>
      <c r="C2416" s="1" t="s">
        <v>54</v>
      </c>
      <c r="D2416" s="1" t="s">
        <v>28</v>
      </c>
      <c r="E2416" s="1" t="s">
        <v>104</v>
      </c>
      <c r="F2416" s="1" t="s">
        <v>69</v>
      </c>
      <c r="G2416" s="1" t="s">
        <v>169</v>
      </c>
      <c r="H2416" s="1" t="s">
        <v>175</v>
      </c>
      <c r="I2416" s="1">
        <v>1369.49</v>
      </c>
      <c r="J2416" s="1">
        <v>2</v>
      </c>
      <c r="K2416" s="1">
        <v>2738.98</v>
      </c>
      <c r="L2416" s="1">
        <v>0</v>
      </c>
      <c r="M2416" s="1">
        <v>0</v>
      </c>
      <c r="N2416" s="1">
        <v>2738.98</v>
      </c>
      <c r="O2416" s="1" t="s">
        <v>46</v>
      </c>
      <c r="P2416" s="1" t="s">
        <v>3471</v>
      </c>
      <c r="Q2416" s="1">
        <v>3</v>
      </c>
      <c r="R2416" s="1">
        <f>Retail_Sales_Analyis[[#This Row],[Final_Price]]-Retail_Sales_Analyis[[#This Row],[Total_Price]]</f>
        <v>0</v>
      </c>
      <c r="S24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7" spans="1:19" x14ac:dyDescent="0.25">
      <c r="A2417" s="1" t="s">
        <v>3472</v>
      </c>
      <c r="B2417" s="2">
        <v>45477</v>
      </c>
      <c r="C2417" s="1" t="s">
        <v>195</v>
      </c>
      <c r="D2417" s="1" t="s">
        <v>67</v>
      </c>
      <c r="E2417" s="1" t="s">
        <v>94</v>
      </c>
      <c r="F2417" s="1" t="s">
        <v>37</v>
      </c>
      <c r="G2417" s="1" t="s">
        <v>112</v>
      </c>
      <c r="H2417" s="1" t="s">
        <v>183</v>
      </c>
      <c r="I2417" s="1">
        <v>882.72</v>
      </c>
      <c r="J2417" s="1">
        <v>9</v>
      </c>
      <c r="K2417" s="1">
        <v>7944.48</v>
      </c>
      <c r="L2417" s="1">
        <v>0</v>
      </c>
      <c r="M2417" s="1">
        <v>0</v>
      </c>
      <c r="N2417" s="1">
        <v>7944.48</v>
      </c>
      <c r="O2417" s="1" t="s">
        <v>33</v>
      </c>
      <c r="P2417" s="1" t="s">
        <v>437</v>
      </c>
      <c r="Q2417" s="1">
        <v>4</v>
      </c>
      <c r="R2417" s="1">
        <f>Retail_Sales_Analyis[[#This Row],[Final_Price]]-Retail_Sales_Analyis[[#This Row],[Total_Price]]</f>
        <v>0</v>
      </c>
      <c r="S24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18" spans="1:19" x14ac:dyDescent="0.25">
      <c r="A2418" s="1" t="s">
        <v>3473</v>
      </c>
      <c r="B2418" s="2">
        <v>45575</v>
      </c>
      <c r="C2418" s="1" t="s">
        <v>76</v>
      </c>
      <c r="D2418" s="1" t="s">
        <v>67</v>
      </c>
      <c r="E2418" s="1" t="s">
        <v>104</v>
      </c>
      <c r="F2418" s="1" t="s">
        <v>21</v>
      </c>
      <c r="G2418" s="1" t="s">
        <v>85</v>
      </c>
      <c r="H2418" s="1" t="s">
        <v>90</v>
      </c>
      <c r="I2418" s="1">
        <v>4241.46</v>
      </c>
      <c r="J2418" s="1">
        <v>3</v>
      </c>
      <c r="K2418" s="1">
        <v>12724.38</v>
      </c>
      <c r="L2418" s="1">
        <v>10</v>
      </c>
      <c r="M2418" s="1">
        <v>1272.44</v>
      </c>
      <c r="N2418" s="1">
        <v>11451.94</v>
      </c>
      <c r="O2418" s="1" t="s">
        <v>33</v>
      </c>
      <c r="P2418" s="1" t="s">
        <v>2081</v>
      </c>
      <c r="Q2418" s="1">
        <v>3</v>
      </c>
      <c r="R2418" s="1">
        <f>Retail_Sales_Analyis[[#This Row],[Final_Price]]-Retail_Sales_Analyis[[#This Row],[Total_Price]]</f>
        <v>-1272.4399999999987</v>
      </c>
      <c r="S24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19" spans="1:19" x14ac:dyDescent="0.25">
      <c r="A2419" s="1" t="s">
        <v>3474</v>
      </c>
      <c r="B2419" s="2">
        <v>45439</v>
      </c>
      <c r="C2419" s="1" t="s">
        <v>42</v>
      </c>
      <c r="D2419" s="1" t="s">
        <v>43</v>
      </c>
      <c r="E2419" s="1" t="s">
        <v>196</v>
      </c>
      <c r="F2419" s="1" t="s">
        <v>84</v>
      </c>
      <c r="G2419" s="1" t="s">
        <v>57</v>
      </c>
      <c r="H2419" s="1" t="s">
        <v>152</v>
      </c>
      <c r="I2419" s="1">
        <v>2473.34</v>
      </c>
      <c r="J2419" s="1">
        <v>7</v>
      </c>
      <c r="K2419" s="1">
        <v>17313.38</v>
      </c>
      <c r="L2419" s="1">
        <v>20</v>
      </c>
      <c r="M2419" s="1">
        <v>3462.68</v>
      </c>
      <c r="N2419" s="1">
        <v>13850.7</v>
      </c>
      <c r="O2419" s="1" t="s">
        <v>46</v>
      </c>
      <c r="P2419" s="1" t="s">
        <v>1201</v>
      </c>
      <c r="Q2419" s="1">
        <v>1</v>
      </c>
      <c r="R2419" s="1">
        <f>Retail_Sales_Analyis[[#This Row],[Final_Price]]-Retail_Sales_Analyis[[#This Row],[Total_Price]]</f>
        <v>-3462.6800000000003</v>
      </c>
      <c r="S24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20" spans="1:19" x14ac:dyDescent="0.25">
      <c r="A2420" s="1" t="s">
        <v>3475</v>
      </c>
      <c r="B2420" s="2">
        <v>45329</v>
      </c>
      <c r="C2420" s="1" t="s">
        <v>27</v>
      </c>
      <c r="D2420" s="1" t="s">
        <v>55</v>
      </c>
      <c r="E2420" s="1" t="s">
        <v>56</v>
      </c>
      <c r="F2420" s="1" t="s">
        <v>37</v>
      </c>
      <c r="G2420" s="1" t="s">
        <v>85</v>
      </c>
      <c r="H2420" s="1" t="s">
        <v>297</v>
      </c>
      <c r="I2420" s="1">
        <v>3231.32</v>
      </c>
      <c r="J2420" s="1">
        <v>4</v>
      </c>
      <c r="K2420" s="1">
        <v>12925.28</v>
      </c>
      <c r="L2420" s="1">
        <v>5</v>
      </c>
      <c r="M2420" s="1">
        <v>646.26</v>
      </c>
      <c r="N2420" s="1">
        <v>12279.02</v>
      </c>
      <c r="O2420" s="1" t="s">
        <v>33</v>
      </c>
      <c r="P2420" s="1" t="s">
        <v>1579</v>
      </c>
      <c r="Q2420" s="1">
        <v>4</v>
      </c>
      <c r="R2420" s="1">
        <f>Retail_Sales_Analyis[[#This Row],[Final_Price]]-Retail_Sales_Analyis[[#This Row],[Total_Price]]</f>
        <v>-646.26000000000022</v>
      </c>
      <c r="S24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21" spans="1:19" x14ac:dyDescent="0.25">
      <c r="A2421" s="1" t="s">
        <v>3476</v>
      </c>
      <c r="B2421" s="2">
        <v>45489</v>
      </c>
      <c r="C2421" s="1" t="s">
        <v>195</v>
      </c>
      <c r="D2421" s="1" t="s">
        <v>28</v>
      </c>
      <c r="E2421" s="1" t="s">
        <v>117</v>
      </c>
      <c r="F2421" s="1" t="s">
        <v>69</v>
      </c>
      <c r="G2421" s="1" t="s">
        <v>22</v>
      </c>
      <c r="H2421" s="1" t="s">
        <v>51</v>
      </c>
      <c r="I2421" s="1">
        <v>531.09</v>
      </c>
      <c r="J2421" s="1">
        <v>2</v>
      </c>
      <c r="K2421" s="1">
        <v>1062.18</v>
      </c>
      <c r="L2421" s="1">
        <v>0</v>
      </c>
      <c r="M2421" s="1">
        <v>0</v>
      </c>
      <c r="N2421" s="1">
        <v>1062.18</v>
      </c>
      <c r="O2421" s="1" t="s">
        <v>64</v>
      </c>
      <c r="P2421" s="1" t="s">
        <v>3323</v>
      </c>
      <c r="Q2421" s="1">
        <v>3</v>
      </c>
      <c r="R2421" s="1">
        <f>Retail_Sales_Analyis[[#This Row],[Final_Price]]-Retail_Sales_Analyis[[#This Row],[Total_Price]]</f>
        <v>0</v>
      </c>
      <c r="S24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2" spans="1:19" x14ac:dyDescent="0.25">
      <c r="A2422" s="1" t="s">
        <v>3477</v>
      </c>
      <c r="B2422" s="2">
        <v>45550</v>
      </c>
      <c r="C2422" s="1" t="s">
        <v>116</v>
      </c>
      <c r="D2422" s="1" t="s">
        <v>49</v>
      </c>
      <c r="E2422" s="1" t="s">
        <v>285</v>
      </c>
      <c r="F2422" s="1" t="s">
        <v>21</v>
      </c>
      <c r="G2422" s="1" t="s">
        <v>57</v>
      </c>
      <c r="H2422" s="1" t="s">
        <v>158</v>
      </c>
      <c r="I2422" s="1">
        <v>686.91</v>
      </c>
      <c r="J2422" s="1">
        <v>1</v>
      </c>
      <c r="K2422" s="1">
        <v>686.91</v>
      </c>
      <c r="L2422" s="1">
        <v>0</v>
      </c>
      <c r="M2422" s="1">
        <v>0</v>
      </c>
      <c r="N2422" s="1">
        <v>686.91</v>
      </c>
      <c r="O2422" s="1" t="s">
        <v>64</v>
      </c>
      <c r="P2422" s="1" t="s">
        <v>1570</v>
      </c>
      <c r="Q2422" s="1">
        <v>2</v>
      </c>
      <c r="R2422" s="1">
        <f>Retail_Sales_Analyis[[#This Row],[Final_Price]]-Retail_Sales_Analyis[[#This Row],[Total_Price]]</f>
        <v>0</v>
      </c>
      <c r="S24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3" spans="1:19" x14ac:dyDescent="0.25">
      <c r="A2423" s="1" t="s">
        <v>3478</v>
      </c>
      <c r="B2423" s="2">
        <v>45522</v>
      </c>
      <c r="C2423" s="1" t="s">
        <v>93</v>
      </c>
      <c r="D2423" s="1" t="s">
        <v>49</v>
      </c>
      <c r="E2423" s="1" t="s">
        <v>163</v>
      </c>
      <c r="F2423" s="1" t="s">
        <v>21</v>
      </c>
      <c r="G2423" s="1" t="s">
        <v>112</v>
      </c>
      <c r="H2423" s="1" t="s">
        <v>223</v>
      </c>
      <c r="I2423" s="1">
        <v>1849.47</v>
      </c>
      <c r="J2423" s="1">
        <v>4</v>
      </c>
      <c r="K2423" s="1">
        <v>7397.88</v>
      </c>
      <c r="L2423" s="1">
        <v>15</v>
      </c>
      <c r="M2423" s="1">
        <v>1109.68</v>
      </c>
      <c r="N2423" s="1">
        <v>6288.2</v>
      </c>
      <c r="O2423" s="1" t="s">
        <v>33</v>
      </c>
      <c r="P2423" s="1" t="s">
        <v>211</v>
      </c>
      <c r="Q2423" s="1">
        <v>4</v>
      </c>
      <c r="R2423" s="1">
        <f>Retail_Sales_Analyis[[#This Row],[Final_Price]]-Retail_Sales_Analyis[[#This Row],[Total_Price]]</f>
        <v>-1109.6800000000003</v>
      </c>
      <c r="S24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24" spans="1:19" x14ac:dyDescent="0.25">
      <c r="A2424" s="1" t="s">
        <v>3479</v>
      </c>
      <c r="B2424" s="2">
        <v>45573</v>
      </c>
      <c r="C2424" s="1" t="s">
        <v>76</v>
      </c>
      <c r="D2424" s="1" t="s">
        <v>28</v>
      </c>
      <c r="E2424" s="1" t="s">
        <v>50</v>
      </c>
      <c r="F2424" s="1" t="s">
        <v>37</v>
      </c>
      <c r="G2424" s="1" t="s">
        <v>22</v>
      </c>
      <c r="H2424" s="1" t="s">
        <v>51</v>
      </c>
      <c r="I2424" s="1">
        <v>486.47</v>
      </c>
      <c r="J2424" s="1">
        <v>1</v>
      </c>
      <c r="K2424" s="1">
        <v>486.47</v>
      </c>
      <c r="L2424" s="1">
        <v>0</v>
      </c>
      <c r="M2424" s="1">
        <v>0</v>
      </c>
      <c r="N2424" s="1">
        <v>486.47</v>
      </c>
      <c r="O2424" s="1" t="s">
        <v>33</v>
      </c>
      <c r="P2424" s="1" t="s">
        <v>1835</v>
      </c>
      <c r="Q2424" s="1">
        <v>4</v>
      </c>
      <c r="R2424" s="1">
        <f>Retail_Sales_Analyis[[#This Row],[Final_Price]]-Retail_Sales_Analyis[[#This Row],[Total_Price]]</f>
        <v>0</v>
      </c>
      <c r="S24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5" spans="1:19" x14ac:dyDescent="0.25">
      <c r="A2425" s="1" t="s">
        <v>3480</v>
      </c>
      <c r="B2425" s="2">
        <v>45435</v>
      </c>
      <c r="C2425" s="1" t="s">
        <v>42</v>
      </c>
      <c r="D2425" s="1" t="s">
        <v>67</v>
      </c>
      <c r="E2425" s="1" t="s">
        <v>337</v>
      </c>
      <c r="F2425" s="1" t="s">
        <v>84</v>
      </c>
      <c r="G2425" s="1" t="s">
        <v>85</v>
      </c>
      <c r="H2425" s="1" t="s">
        <v>180</v>
      </c>
      <c r="I2425" s="1">
        <v>2104.31</v>
      </c>
      <c r="J2425" s="1">
        <v>7</v>
      </c>
      <c r="K2425" s="1">
        <v>14730.17</v>
      </c>
      <c r="L2425" s="1">
        <v>0</v>
      </c>
      <c r="M2425" s="1">
        <v>0</v>
      </c>
      <c r="N2425" s="1">
        <v>14730.17</v>
      </c>
      <c r="O2425" s="1" t="s">
        <v>46</v>
      </c>
      <c r="P2425" s="1" t="s">
        <v>2459</v>
      </c>
      <c r="Q2425" s="1">
        <v>3</v>
      </c>
      <c r="R2425" s="1">
        <f>Retail_Sales_Analyis[[#This Row],[Final_Price]]-Retail_Sales_Analyis[[#This Row],[Total_Price]]</f>
        <v>0</v>
      </c>
      <c r="S24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6" spans="1:19" x14ac:dyDescent="0.25">
      <c r="A2426" s="1" t="s">
        <v>3481</v>
      </c>
      <c r="B2426" s="2">
        <v>45611</v>
      </c>
      <c r="C2426" s="1" t="s">
        <v>18</v>
      </c>
      <c r="D2426" s="1" t="s">
        <v>144</v>
      </c>
      <c r="E2426" s="1" t="s">
        <v>207</v>
      </c>
      <c r="F2426" s="1" t="s">
        <v>30</v>
      </c>
      <c r="G2426" s="1" t="s">
        <v>57</v>
      </c>
      <c r="H2426" s="1" t="s">
        <v>101</v>
      </c>
      <c r="I2426" s="1">
        <v>2375.2199999999998</v>
      </c>
      <c r="J2426" s="1">
        <v>6</v>
      </c>
      <c r="K2426" s="1">
        <v>14251.32</v>
      </c>
      <c r="L2426" s="1">
        <v>0</v>
      </c>
      <c r="M2426" s="1">
        <v>0</v>
      </c>
      <c r="N2426" s="1">
        <v>14251.32</v>
      </c>
      <c r="O2426" s="1" t="s">
        <v>33</v>
      </c>
      <c r="P2426" s="1" t="s">
        <v>932</v>
      </c>
      <c r="Q2426" s="1">
        <v>3</v>
      </c>
      <c r="R2426" s="1">
        <f>Retail_Sales_Analyis[[#This Row],[Final_Price]]-Retail_Sales_Analyis[[#This Row],[Total_Price]]</f>
        <v>0</v>
      </c>
      <c r="S24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27" spans="1:19" x14ac:dyDescent="0.25">
      <c r="A2427" s="1" t="s">
        <v>3482</v>
      </c>
      <c r="B2427" s="2">
        <v>45640</v>
      </c>
      <c r="C2427" s="1" t="s">
        <v>73</v>
      </c>
      <c r="D2427" s="1" t="s">
        <v>19</v>
      </c>
      <c r="E2427" s="1" t="s">
        <v>163</v>
      </c>
      <c r="F2427" s="1" t="s">
        <v>69</v>
      </c>
      <c r="G2427" s="1" t="s">
        <v>38</v>
      </c>
      <c r="H2427" s="1" t="s">
        <v>214</v>
      </c>
      <c r="I2427" s="1">
        <v>707.99</v>
      </c>
      <c r="J2427" s="1">
        <v>7</v>
      </c>
      <c r="K2427" s="1">
        <v>4955.93</v>
      </c>
      <c r="L2427" s="1">
        <v>20</v>
      </c>
      <c r="M2427" s="1">
        <v>991.19</v>
      </c>
      <c r="N2427" s="1">
        <v>3964.74</v>
      </c>
      <c r="O2427" s="1" t="s">
        <v>24</v>
      </c>
      <c r="P2427" s="1" t="s">
        <v>2044</v>
      </c>
      <c r="Q2427" s="1">
        <v>1</v>
      </c>
      <c r="R2427" s="1">
        <f>Retail_Sales_Analyis[[#This Row],[Final_Price]]-Retail_Sales_Analyis[[#This Row],[Total_Price]]</f>
        <v>-991.19000000000051</v>
      </c>
      <c r="S24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28" spans="1:19" x14ac:dyDescent="0.25">
      <c r="A2428" s="1" t="s">
        <v>3483</v>
      </c>
      <c r="B2428" s="2">
        <v>45604</v>
      </c>
      <c r="C2428" s="1" t="s">
        <v>18</v>
      </c>
      <c r="D2428" s="1" t="s">
        <v>144</v>
      </c>
      <c r="E2428" s="1" t="s">
        <v>117</v>
      </c>
      <c r="F2428" s="1" t="s">
        <v>69</v>
      </c>
      <c r="G2428" s="1" t="s">
        <v>31</v>
      </c>
      <c r="H2428" s="1" t="s">
        <v>250</v>
      </c>
      <c r="I2428" s="1">
        <v>220.82</v>
      </c>
      <c r="J2428" s="1">
        <v>2</v>
      </c>
      <c r="K2428" s="1">
        <v>441.64</v>
      </c>
      <c r="L2428" s="1">
        <v>10</v>
      </c>
      <c r="M2428" s="1">
        <v>44.16</v>
      </c>
      <c r="N2428" s="1">
        <v>397.48</v>
      </c>
      <c r="O2428" s="1" t="s">
        <v>80</v>
      </c>
      <c r="P2428" s="1" t="s">
        <v>2007</v>
      </c>
      <c r="Q2428" s="1">
        <v>3</v>
      </c>
      <c r="R2428" s="1">
        <f>Retail_Sales_Analyis[[#This Row],[Final_Price]]-Retail_Sales_Analyis[[#This Row],[Total_Price]]</f>
        <v>-44.159999999999968</v>
      </c>
      <c r="S24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29" spans="1:19" x14ac:dyDescent="0.25">
      <c r="A2429" s="1" t="s">
        <v>3484</v>
      </c>
      <c r="B2429" s="2">
        <v>45352</v>
      </c>
      <c r="C2429" s="1" t="s">
        <v>61</v>
      </c>
      <c r="D2429" s="1" t="s">
        <v>144</v>
      </c>
      <c r="E2429" s="1" t="s">
        <v>285</v>
      </c>
      <c r="F2429" s="1" t="s">
        <v>69</v>
      </c>
      <c r="G2429" s="1" t="s">
        <v>78</v>
      </c>
      <c r="H2429" s="1" t="s">
        <v>323</v>
      </c>
      <c r="I2429" s="1">
        <v>412.19</v>
      </c>
      <c r="J2429" s="1">
        <v>3</v>
      </c>
      <c r="K2429" s="1">
        <v>1236.57</v>
      </c>
      <c r="L2429" s="1">
        <v>15</v>
      </c>
      <c r="M2429" s="1">
        <v>185.49</v>
      </c>
      <c r="N2429" s="1">
        <v>1051.08</v>
      </c>
      <c r="O2429" s="1" t="s">
        <v>64</v>
      </c>
      <c r="P2429" s="1" t="s">
        <v>257</v>
      </c>
      <c r="Q2429" s="1">
        <v>4</v>
      </c>
      <c r="R2429" s="1">
        <f>Retail_Sales_Analyis[[#This Row],[Final_Price]]-Retail_Sales_Analyis[[#This Row],[Total_Price]]</f>
        <v>-185.49</v>
      </c>
      <c r="S24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30" spans="1:19" x14ac:dyDescent="0.25">
      <c r="A2430" s="1" t="s">
        <v>3485</v>
      </c>
      <c r="B2430" s="2">
        <v>45357</v>
      </c>
      <c r="C2430" s="1" t="s">
        <v>61</v>
      </c>
      <c r="D2430" s="1" t="s">
        <v>55</v>
      </c>
      <c r="E2430" s="1" t="s">
        <v>166</v>
      </c>
      <c r="F2430" s="1" t="s">
        <v>37</v>
      </c>
      <c r="G2430" s="1" t="s">
        <v>38</v>
      </c>
      <c r="H2430" s="1" t="s">
        <v>39</v>
      </c>
      <c r="I2430" s="1">
        <v>309.04000000000002</v>
      </c>
      <c r="J2430" s="1">
        <v>1</v>
      </c>
      <c r="K2430" s="1">
        <v>309.04000000000002</v>
      </c>
      <c r="L2430" s="1">
        <v>0</v>
      </c>
      <c r="M2430" s="1">
        <v>0</v>
      </c>
      <c r="N2430" s="1">
        <v>309.04000000000002</v>
      </c>
      <c r="O2430" s="1" t="s">
        <v>64</v>
      </c>
      <c r="P2430" s="1" t="s">
        <v>226</v>
      </c>
      <c r="Q2430" s="1">
        <v>5</v>
      </c>
      <c r="R2430" s="1">
        <f>Retail_Sales_Analyis[[#This Row],[Final_Price]]-Retail_Sales_Analyis[[#This Row],[Total_Price]]</f>
        <v>0</v>
      </c>
      <c r="S24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1" spans="1:19" x14ac:dyDescent="0.25">
      <c r="A2431" s="1" t="s">
        <v>3486</v>
      </c>
      <c r="B2431" s="2">
        <v>45341</v>
      </c>
      <c r="C2431" s="1" t="s">
        <v>27</v>
      </c>
      <c r="D2431" s="1" t="s">
        <v>43</v>
      </c>
      <c r="E2431" s="1" t="s">
        <v>285</v>
      </c>
      <c r="F2431" s="1" t="s">
        <v>30</v>
      </c>
      <c r="G2431" s="1" t="s">
        <v>85</v>
      </c>
      <c r="H2431" s="1" t="s">
        <v>180</v>
      </c>
      <c r="I2431" s="1">
        <v>2373.1</v>
      </c>
      <c r="J2431" s="1">
        <v>4</v>
      </c>
      <c r="K2431" s="1">
        <v>9492.4</v>
      </c>
      <c r="L2431" s="1">
        <v>20</v>
      </c>
      <c r="M2431" s="1">
        <v>1898.48</v>
      </c>
      <c r="N2431" s="1">
        <v>7593.92</v>
      </c>
      <c r="O2431" s="1" t="s">
        <v>46</v>
      </c>
      <c r="P2431" s="1" t="s">
        <v>1320</v>
      </c>
      <c r="Q2431" s="1">
        <v>3</v>
      </c>
      <c r="R2431" s="1">
        <f>Retail_Sales_Analyis[[#This Row],[Final_Price]]-Retail_Sales_Analyis[[#This Row],[Total_Price]]</f>
        <v>-1898.4799999999996</v>
      </c>
      <c r="S243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32" spans="1:19" x14ac:dyDescent="0.25">
      <c r="A2432" s="1" t="s">
        <v>3487</v>
      </c>
      <c r="B2432" s="2">
        <v>45493</v>
      </c>
      <c r="C2432" s="1" t="s">
        <v>195</v>
      </c>
      <c r="D2432" s="1" t="s">
        <v>19</v>
      </c>
      <c r="E2432" s="1" t="s">
        <v>157</v>
      </c>
      <c r="F2432" s="1" t="s">
        <v>30</v>
      </c>
      <c r="G2432" s="1" t="s">
        <v>22</v>
      </c>
      <c r="H2432" s="1" t="s">
        <v>51</v>
      </c>
      <c r="I2432" s="1">
        <v>312.55</v>
      </c>
      <c r="J2432" s="1">
        <v>9</v>
      </c>
      <c r="K2432" s="1">
        <v>2812.95</v>
      </c>
      <c r="L2432" s="1">
        <v>10</v>
      </c>
      <c r="M2432" s="1">
        <v>281.3</v>
      </c>
      <c r="N2432" s="1">
        <v>2531.65</v>
      </c>
      <c r="O2432" s="1" t="s">
        <v>64</v>
      </c>
      <c r="P2432" s="1" t="s">
        <v>2648</v>
      </c>
      <c r="Q2432" s="1">
        <v>5</v>
      </c>
      <c r="R2432" s="1">
        <f>Retail_Sales_Analyis[[#This Row],[Final_Price]]-Retail_Sales_Analyis[[#This Row],[Total_Price]]</f>
        <v>-281.29999999999973</v>
      </c>
      <c r="S24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33" spans="1:19" x14ac:dyDescent="0.25">
      <c r="A2433" s="1" t="s">
        <v>3488</v>
      </c>
      <c r="B2433" s="2">
        <v>45483</v>
      </c>
      <c r="C2433" s="1" t="s">
        <v>195</v>
      </c>
      <c r="D2433" s="1" t="s">
        <v>55</v>
      </c>
      <c r="E2433" s="1" t="s">
        <v>307</v>
      </c>
      <c r="F2433" s="1" t="s">
        <v>69</v>
      </c>
      <c r="G2433" s="1" t="s">
        <v>57</v>
      </c>
      <c r="H2433" s="1" t="s">
        <v>101</v>
      </c>
      <c r="I2433" s="1">
        <v>385.09</v>
      </c>
      <c r="J2433" s="1">
        <v>6</v>
      </c>
      <c r="K2433" s="1">
        <v>2310.54</v>
      </c>
      <c r="L2433" s="1">
        <v>0</v>
      </c>
      <c r="M2433" s="1">
        <v>0</v>
      </c>
      <c r="N2433" s="1">
        <v>2310.54</v>
      </c>
      <c r="O2433" s="1" t="s">
        <v>33</v>
      </c>
      <c r="P2433" s="1" t="s">
        <v>1957</v>
      </c>
      <c r="Q2433" s="1">
        <v>1</v>
      </c>
      <c r="R2433" s="1">
        <f>Retail_Sales_Analyis[[#This Row],[Final_Price]]-Retail_Sales_Analyis[[#This Row],[Total_Price]]</f>
        <v>0</v>
      </c>
      <c r="S24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4" spans="1:19" x14ac:dyDescent="0.25">
      <c r="A2434" s="1" t="s">
        <v>3489</v>
      </c>
      <c r="B2434" s="2">
        <v>45465</v>
      </c>
      <c r="C2434" s="1" t="s">
        <v>173</v>
      </c>
      <c r="D2434" s="1" t="s">
        <v>19</v>
      </c>
      <c r="E2434" s="1" t="s">
        <v>139</v>
      </c>
      <c r="F2434" s="1" t="s">
        <v>84</v>
      </c>
      <c r="G2434" s="1" t="s">
        <v>57</v>
      </c>
      <c r="H2434" s="1" t="s">
        <v>101</v>
      </c>
      <c r="I2434" s="1">
        <v>1201.27</v>
      </c>
      <c r="J2434" s="1">
        <v>2</v>
      </c>
      <c r="K2434" s="1">
        <v>2402.54</v>
      </c>
      <c r="L2434" s="1">
        <v>0</v>
      </c>
      <c r="M2434" s="1">
        <v>0</v>
      </c>
      <c r="N2434" s="1">
        <v>2402.54</v>
      </c>
      <c r="O2434" s="1" t="s">
        <v>80</v>
      </c>
      <c r="P2434" s="1" t="s">
        <v>3490</v>
      </c>
      <c r="Q2434" s="1">
        <v>4</v>
      </c>
      <c r="R2434" s="1">
        <f>Retail_Sales_Analyis[[#This Row],[Final_Price]]-Retail_Sales_Analyis[[#This Row],[Total_Price]]</f>
        <v>0</v>
      </c>
      <c r="S24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5" spans="1:19" x14ac:dyDescent="0.25">
      <c r="A2435" s="1" t="s">
        <v>3491</v>
      </c>
      <c r="B2435" s="2">
        <v>45577</v>
      </c>
      <c r="C2435" s="1" t="s">
        <v>76</v>
      </c>
      <c r="D2435" s="1" t="s">
        <v>19</v>
      </c>
      <c r="E2435" s="1" t="s">
        <v>166</v>
      </c>
      <c r="F2435" s="1" t="s">
        <v>30</v>
      </c>
      <c r="G2435" s="1" t="s">
        <v>78</v>
      </c>
      <c r="H2435" s="1" t="s">
        <v>146</v>
      </c>
      <c r="I2435" s="1">
        <v>178.59</v>
      </c>
      <c r="J2435" s="1">
        <v>1</v>
      </c>
      <c r="K2435" s="1">
        <v>178.59</v>
      </c>
      <c r="L2435" s="1">
        <v>0</v>
      </c>
      <c r="M2435" s="1">
        <v>0</v>
      </c>
      <c r="N2435" s="1">
        <v>178.59</v>
      </c>
      <c r="O2435" s="1" t="s">
        <v>24</v>
      </c>
      <c r="P2435" s="1" t="s">
        <v>3492</v>
      </c>
      <c r="Q2435" s="1">
        <v>5</v>
      </c>
      <c r="R2435" s="1">
        <f>Retail_Sales_Analyis[[#This Row],[Final_Price]]-Retail_Sales_Analyis[[#This Row],[Total_Price]]</f>
        <v>0</v>
      </c>
      <c r="S24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6" spans="1:19" x14ac:dyDescent="0.25">
      <c r="A2436" s="1" t="s">
        <v>3493</v>
      </c>
      <c r="B2436" s="2">
        <v>45479</v>
      </c>
      <c r="C2436" s="1" t="s">
        <v>195</v>
      </c>
      <c r="D2436" s="1" t="s">
        <v>19</v>
      </c>
      <c r="E2436" s="1" t="s">
        <v>111</v>
      </c>
      <c r="F2436" s="1" t="s">
        <v>84</v>
      </c>
      <c r="G2436" s="1" t="s">
        <v>31</v>
      </c>
      <c r="H2436" s="1" t="s">
        <v>32</v>
      </c>
      <c r="I2436" s="1">
        <v>342.78</v>
      </c>
      <c r="J2436" s="1">
        <v>7</v>
      </c>
      <c r="K2436" s="1">
        <v>2399.46</v>
      </c>
      <c r="L2436" s="1">
        <v>0</v>
      </c>
      <c r="M2436" s="1">
        <v>0</v>
      </c>
      <c r="N2436" s="1">
        <v>2399.46</v>
      </c>
      <c r="O2436" s="1" t="s">
        <v>80</v>
      </c>
      <c r="P2436" s="1" t="s">
        <v>2216</v>
      </c>
      <c r="Q2436" s="1">
        <v>2</v>
      </c>
      <c r="R2436" s="1">
        <f>Retail_Sales_Analyis[[#This Row],[Final_Price]]-Retail_Sales_Analyis[[#This Row],[Total_Price]]</f>
        <v>0</v>
      </c>
      <c r="S24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7" spans="1:19" x14ac:dyDescent="0.25">
      <c r="A2437" s="1" t="s">
        <v>3494</v>
      </c>
      <c r="B2437" s="2">
        <v>45365</v>
      </c>
      <c r="C2437" s="1" t="s">
        <v>61</v>
      </c>
      <c r="D2437" s="1" t="s">
        <v>67</v>
      </c>
      <c r="E2437" s="1" t="s">
        <v>29</v>
      </c>
      <c r="F2437" s="1" t="s">
        <v>37</v>
      </c>
      <c r="G2437" s="1" t="s">
        <v>78</v>
      </c>
      <c r="H2437" s="1" t="s">
        <v>126</v>
      </c>
      <c r="I2437" s="1">
        <v>173.22</v>
      </c>
      <c r="J2437" s="1">
        <v>2</v>
      </c>
      <c r="K2437" s="1">
        <v>346.44</v>
      </c>
      <c r="L2437" s="1">
        <v>15</v>
      </c>
      <c r="M2437" s="1">
        <v>51.97</v>
      </c>
      <c r="N2437" s="1">
        <v>294.47000000000003</v>
      </c>
      <c r="O2437" s="1" t="s">
        <v>80</v>
      </c>
      <c r="P2437" s="1" t="s">
        <v>741</v>
      </c>
      <c r="Q2437" s="1">
        <v>4</v>
      </c>
      <c r="R2437" s="1">
        <f>Retail_Sales_Analyis[[#This Row],[Final_Price]]-Retail_Sales_Analyis[[#This Row],[Total_Price]]</f>
        <v>-51.96999999999997</v>
      </c>
      <c r="S24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38" spans="1:19" x14ac:dyDescent="0.25">
      <c r="A2438" s="1" t="s">
        <v>3495</v>
      </c>
      <c r="B2438" s="2">
        <v>45393</v>
      </c>
      <c r="C2438" s="1" t="s">
        <v>54</v>
      </c>
      <c r="D2438" s="1" t="s">
        <v>67</v>
      </c>
      <c r="E2438" s="1" t="s">
        <v>302</v>
      </c>
      <c r="F2438" s="1" t="s">
        <v>69</v>
      </c>
      <c r="G2438" s="1" t="s">
        <v>57</v>
      </c>
      <c r="H2438" s="1" t="s">
        <v>122</v>
      </c>
      <c r="I2438" s="1">
        <v>436.06</v>
      </c>
      <c r="J2438" s="1">
        <v>2</v>
      </c>
      <c r="K2438" s="1">
        <v>872.12</v>
      </c>
      <c r="L2438" s="1">
        <v>0</v>
      </c>
      <c r="M2438" s="1">
        <v>0</v>
      </c>
      <c r="N2438" s="1">
        <v>872.12</v>
      </c>
      <c r="O2438" s="1" t="s">
        <v>46</v>
      </c>
      <c r="P2438" s="1" t="s">
        <v>1961</v>
      </c>
      <c r="Q2438" s="1">
        <v>2</v>
      </c>
      <c r="R2438" s="1">
        <f>Retail_Sales_Analyis[[#This Row],[Final_Price]]-Retail_Sales_Analyis[[#This Row],[Total_Price]]</f>
        <v>0</v>
      </c>
      <c r="S24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39" spans="1:19" x14ac:dyDescent="0.25">
      <c r="A2439" s="1" t="s">
        <v>3496</v>
      </c>
      <c r="B2439" s="2">
        <v>45600</v>
      </c>
      <c r="C2439" s="1" t="s">
        <v>18</v>
      </c>
      <c r="D2439" s="1" t="s">
        <v>43</v>
      </c>
      <c r="E2439" s="1" t="s">
        <v>163</v>
      </c>
      <c r="F2439" s="1" t="s">
        <v>69</v>
      </c>
      <c r="G2439" s="1" t="s">
        <v>22</v>
      </c>
      <c r="H2439" s="1" t="s">
        <v>23</v>
      </c>
      <c r="I2439" s="1">
        <v>705.05</v>
      </c>
      <c r="J2439" s="1">
        <v>1</v>
      </c>
      <c r="K2439" s="1">
        <v>705.05</v>
      </c>
      <c r="L2439" s="1">
        <v>5</v>
      </c>
      <c r="M2439" s="1">
        <v>35.25</v>
      </c>
      <c r="N2439" s="1">
        <v>669.8</v>
      </c>
      <c r="O2439" s="1" t="s">
        <v>80</v>
      </c>
      <c r="P2439" s="1" t="s">
        <v>547</v>
      </c>
      <c r="Q2439" s="1">
        <v>1</v>
      </c>
      <c r="R2439" s="1">
        <f>Retail_Sales_Analyis[[#This Row],[Final_Price]]-Retail_Sales_Analyis[[#This Row],[Total_Price]]</f>
        <v>-35.25</v>
      </c>
      <c r="S24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40" spans="1:19" x14ac:dyDescent="0.25">
      <c r="A2440" s="1" t="s">
        <v>3497</v>
      </c>
      <c r="B2440" s="2">
        <v>45552</v>
      </c>
      <c r="C2440" s="1" t="s">
        <v>116</v>
      </c>
      <c r="D2440" s="1" t="s">
        <v>28</v>
      </c>
      <c r="E2440" s="1" t="s">
        <v>68</v>
      </c>
      <c r="F2440" s="1" t="s">
        <v>30</v>
      </c>
      <c r="G2440" s="1" t="s">
        <v>112</v>
      </c>
      <c r="H2440" s="1" t="s">
        <v>183</v>
      </c>
      <c r="I2440" s="1">
        <v>1507.08</v>
      </c>
      <c r="J2440" s="1">
        <v>9</v>
      </c>
      <c r="K2440" s="1">
        <v>13563.72</v>
      </c>
      <c r="L2440" s="1">
        <v>0</v>
      </c>
      <c r="M2440" s="1">
        <v>0</v>
      </c>
      <c r="N2440" s="1">
        <v>13563.72</v>
      </c>
      <c r="O2440" s="1" t="s">
        <v>33</v>
      </c>
      <c r="P2440" s="1" t="s">
        <v>1284</v>
      </c>
      <c r="Q2440" s="1">
        <v>3</v>
      </c>
      <c r="R2440" s="1">
        <f>Retail_Sales_Analyis[[#This Row],[Final_Price]]-Retail_Sales_Analyis[[#This Row],[Total_Price]]</f>
        <v>0</v>
      </c>
      <c r="S24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1" spans="1:19" x14ac:dyDescent="0.25">
      <c r="A2441" s="1" t="s">
        <v>3498</v>
      </c>
      <c r="B2441" s="2">
        <v>45497</v>
      </c>
      <c r="C2441" s="1" t="s">
        <v>195</v>
      </c>
      <c r="D2441" s="1" t="s">
        <v>55</v>
      </c>
      <c r="E2441" s="1" t="s">
        <v>302</v>
      </c>
      <c r="F2441" s="1" t="s">
        <v>84</v>
      </c>
      <c r="G2441" s="1" t="s">
        <v>31</v>
      </c>
      <c r="H2441" s="1" t="s">
        <v>329</v>
      </c>
      <c r="I2441" s="1">
        <v>232.95</v>
      </c>
      <c r="J2441" s="1">
        <v>9</v>
      </c>
      <c r="K2441" s="1">
        <v>2096.5500000000002</v>
      </c>
      <c r="L2441" s="1">
        <v>15</v>
      </c>
      <c r="M2441" s="1">
        <v>314.48</v>
      </c>
      <c r="N2441" s="1">
        <v>1782.07</v>
      </c>
      <c r="O2441" s="1" t="s">
        <v>24</v>
      </c>
      <c r="P2441" s="1" t="s">
        <v>3499</v>
      </c>
      <c r="Q2441" s="1">
        <v>2</v>
      </c>
      <c r="R2441" s="1">
        <f>Retail_Sales_Analyis[[#This Row],[Final_Price]]-Retail_Sales_Analyis[[#This Row],[Total_Price]]</f>
        <v>-314.48000000000025</v>
      </c>
      <c r="S24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42" spans="1:19" x14ac:dyDescent="0.25">
      <c r="A2442" s="1" t="s">
        <v>3500</v>
      </c>
      <c r="B2442" s="2">
        <v>45548</v>
      </c>
      <c r="C2442" s="1" t="s">
        <v>116</v>
      </c>
      <c r="D2442" s="1" t="s">
        <v>144</v>
      </c>
      <c r="E2442" s="1" t="s">
        <v>97</v>
      </c>
      <c r="F2442" s="1" t="s">
        <v>21</v>
      </c>
      <c r="G2442" s="1" t="s">
        <v>57</v>
      </c>
      <c r="H2442" s="1" t="s">
        <v>101</v>
      </c>
      <c r="I2442" s="1">
        <v>2788.59</v>
      </c>
      <c r="J2442" s="1">
        <v>2</v>
      </c>
      <c r="K2442" s="1">
        <v>5577.18</v>
      </c>
      <c r="L2442" s="1">
        <v>0</v>
      </c>
      <c r="M2442" s="1">
        <v>0</v>
      </c>
      <c r="N2442" s="1">
        <v>5577.18</v>
      </c>
      <c r="O2442" s="1" t="s">
        <v>46</v>
      </c>
      <c r="P2442" s="1" t="s">
        <v>1757</v>
      </c>
      <c r="Q2442" s="1">
        <v>2</v>
      </c>
      <c r="R2442" s="1">
        <f>Retail_Sales_Analyis[[#This Row],[Final_Price]]-Retail_Sales_Analyis[[#This Row],[Total_Price]]</f>
        <v>0</v>
      </c>
      <c r="S24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3" spans="1:19" x14ac:dyDescent="0.25">
      <c r="A2443" s="1" t="s">
        <v>3501</v>
      </c>
      <c r="B2443" s="2">
        <v>45312</v>
      </c>
      <c r="C2443" s="1" t="s">
        <v>36</v>
      </c>
      <c r="D2443" s="1" t="s">
        <v>49</v>
      </c>
      <c r="E2443" s="1" t="s">
        <v>302</v>
      </c>
      <c r="F2443" s="1" t="s">
        <v>30</v>
      </c>
      <c r="G2443" s="1" t="s">
        <v>22</v>
      </c>
      <c r="H2443" s="1" t="s">
        <v>133</v>
      </c>
      <c r="I2443" s="1">
        <v>242.24</v>
      </c>
      <c r="J2443" s="1">
        <v>4</v>
      </c>
      <c r="K2443" s="1">
        <v>968.96</v>
      </c>
      <c r="L2443" s="1">
        <v>0</v>
      </c>
      <c r="M2443" s="1">
        <v>0</v>
      </c>
      <c r="N2443" s="1">
        <v>968.96</v>
      </c>
      <c r="O2443" s="1" t="s">
        <v>64</v>
      </c>
      <c r="P2443" s="1" t="s">
        <v>1341</v>
      </c>
      <c r="Q2443" s="1">
        <v>5</v>
      </c>
      <c r="R2443" s="1">
        <f>Retail_Sales_Analyis[[#This Row],[Final_Price]]-Retail_Sales_Analyis[[#This Row],[Total_Price]]</f>
        <v>0</v>
      </c>
      <c r="S24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4" spans="1:19" x14ac:dyDescent="0.25">
      <c r="A2444" s="1" t="s">
        <v>3502</v>
      </c>
      <c r="B2444" s="2">
        <v>45315</v>
      </c>
      <c r="C2444" s="1" t="s">
        <v>36</v>
      </c>
      <c r="D2444" s="1" t="s">
        <v>55</v>
      </c>
      <c r="E2444" s="1" t="s">
        <v>542</v>
      </c>
      <c r="F2444" s="1" t="s">
        <v>30</v>
      </c>
      <c r="G2444" s="1" t="s">
        <v>78</v>
      </c>
      <c r="H2444" s="1" t="s">
        <v>79</v>
      </c>
      <c r="I2444" s="1">
        <v>453.88</v>
      </c>
      <c r="J2444" s="1">
        <v>3</v>
      </c>
      <c r="K2444" s="1">
        <v>1361.64</v>
      </c>
      <c r="L2444" s="1">
        <v>0</v>
      </c>
      <c r="M2444" s="1">
        <v>0</v>
      </c>
      <c r="N2444" s="1">
        <v>1361.64</v>
      </c>
      <c r="O2444" s="1" t="s">
        <v>46</v>
      </c>
      <c r="P2444" s="1" t="s">
        <v>1701</v>
      </c>
      <c r="Q2444" s="1">
        <v>1</v>
      </c>
      <c r="R2444" s="1">
        <f>Retail_Sales_Analyis[[#This Row],[Final_Price]]-Retail_Sales_Analyis[[#This Row],[Total_Price]]</f>
        <v>0</v>
      </c>
      <c r="S24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5" spans="1:19" x14ac:dyDescent="0.25">
      <c r="A2445" s="1" t="s">
        <v>3503</v>
      </c>
      <c r="B2445" s="2">
        <v>45311</v>
      </c>
      <c r="C2445" s="1" t="s">
        <v>36</v>
      </c>
      <c r="D2445" s="1" t="s">
        <v>19</v>
      </c>
      <c r="E2445" s="1" t="s">
        <v>192</v>
      </c>
      <c r="F2445" s="1" t="s">
        <v>30</v>
      </c>
      <c r="G2445" s="1" t="s">
        <v>85</v>
      </c>
      <c r="H2445" s="1" t="s">
        <v>297</v>
      </c>
      <c r="I2445" s="1">
        <v>2614.86</v>
      </c>
      <c r="J2445" s="1">
        <v>8</v>
      </c>
      <c r="K2445" s="1">
        <v>20918.88</v>
      </c>
      <c r="L2445" s="1">
        <v>0</v>
      </c>
      <c r="M2445" s="1">
        <v>0</v>
      </c>
      <c r="N2445" s="1">
        <v>20918.88</v>
      </c>
      <c r="O2445" s="1" t="s">
        <v>24</v>
      </c>
      <c r="P2445" s="1" t="s">
        <v>1322</v>
      </c>
      <c r="Q2445" s="1">
        <v>3</v>
      </c>
      <c r="R2445" s="1">
        <f>Retail_Sales_Analyis[[#This Row],[Final_Price]]-Retail_Sales_Analyis[[#This Row],[Total_Price]]</f>
        <v>0</v>
      </c>
      <c r="S24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6" spans="1:19" x14ac:dyDescent="0.25">
      <c r="A2446" s="1" t="s">
        <v>3504</v>
      </c>
      <c r="B2446" s="2">
        <v>45362</v>
      </c>
      <c r="C2446" s="1" t="s">
        <v>61</v>
      </c>
      <c r="D2446" s="1" t="s">
        <v>43</v>
      </c>
      <c r="E2446" s="1" t="s">
        <v>117</v>
      </c>
      <c r="F2446" s="1" t="s">
        <v>84</v>
      </c>
      <c r="G2446" s="1" t="s">
        <v>85</v>
      </c>
      <c r="H2446" s="1" t="s">
        <v>297</v>
      </c>
      <c r="I2446" s="1">
        <v>1381.79</v>
      </c>
      <c r="J2446" s="1">
        <v>7</v>
      </c>
      <c r="K2446" s="1">
        <v>9672.5300000000007</v>
      </c>
      <c r="L2446" s="1">
        <v>5</v>
      </c>
      <c r="M2446" s="1">
        <v>483.63</v>
      </c>
      <c r="N2446" s="1">
        <v>9188.9</v>
      </c>
      <c r="O2446" s="1" t="s">
        <v>64</v>
      </c>
      <c r="P2446" s="1" t="s">
        <v>1611</v>
      </c>
      <c r="Q2446" s="1">
        <v>2</v>
      </c>
      <c r="R2446" s="1">
        <f>Retail_Sales_Analyis[[#This Row],[Final_Price]]-Retail_Sales_Analyis[[#This Row],[Total_Price]]</f>
        <v>-483.63000000000102</v>
      </c>
      <c r="S24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47" spans="1:19" x14ac:dyDescent="0.25">
      <c r="A2447" s="1" t="s">
        <v>3505</v>
      </c>
      <c r="B2447" s="2">
        <v>45657</v>
      </c>
      <c r="C2447" s="1" t="s">
        <v>73</v>
      </c>
      <c r="D2447" s="1" t="s">
        <v>28</v>
      </c>
      <c r="E2447" s="1" t="s">
        <v>125</v>
      </c>
      <c r="F2447" s="1" t="s">
        <v>84</v>
      </c>
      <c r="G2447" s="1" t="s">
        <v>85</v>
      </c>
      <c r="H2447" s="1" t="s">
        <v>98</v>
      </c>
      <c r="I2447" s="1">
        <v>4411.5200000000004</v>
      </c>
      <c r="J2447" s="1">
        <v>5</v>
      </c>
      <c r="K2447" s="1">
        <v>22057.599999999999</v>
      </c>
      <c r="L2447" s="1">
        <v>0</v>
      </c>
      <c r="M2447" s="1">
        <v>0</v>
      </c>
      <c r="N2447" s="1">
        <v>22057.599999999999</v>
      </c>
      <c r="O2447" s="1" t="s">
        <v>24</v>
      </c>
      <c r="P2447" s="1" t="s">
        <v>611</v>
      </c>
      <c r="Q2447" s="1">
        <v>3</v>
      </c>
      <c r="R2447" s="1">
        <f>Retail_Sales_Analyis[[#This Row],[Final_Price]]-Retail_Sales_Analyis[[#This Row],[Total_Price]]</f>
        <v>0</v>
      </c>
      <c r="S24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8" spans="1:19" x14ac:dyDescent="0.25">
      <c r="A2448" s="1" t="s">
        <v>3506</v>
      </c>
      <c r="B2448" s="2">
        <v>45462</v>
      </c>
      <c r="C2448" s="1" t="s">
        <v>173</v>
      </c>
      <c r="D2448" s="1" t="s">
        <v>55</v>
      </c>
      <c r="E2448" s="1" t="s">
        <v>104</v>
      </c>
      <c r="F2448" s="1" t="s">
        <v>84</v>
      </c>
      <c r="G2448" s="1" t="s">
        <v>85</v>
      </c>
      <c r="H2448" s="1" t="s">
        <v>98</v>
      </c>
      <c r="I2448" s="1">
        <v>1188.77</v>
      </c>
      <c r="J2448" s="1">
        <v>7</v>
      </c>
      <c r="K2448" s="1">
        <v>8321.39</v>
      </c>
      <c r="L2448" s="1">
        <v>0</v>
      </c>
      <c r="M2448" s="1">
        <v>0</v>
      </c>
      <c r="N2448" s="1">
        <v>8321.39</v>
      </c>
      <c r="O2448" s="1" t="s">
        <v>24</v>
      </c>
      <c r="P2448" s="1" t="s">
        <v>564</v>
      </c>
      <c r="Q2448" s="1">
        <v>1</v>
      </c>
      <c r="R2448" s="1">
        <f>Retail_Sales_Analyis[[#This Row],[Final_Price]]-Retail_Sales_Analyis[[#This Row],[Total_Price]]</f>
        <v>0</v>
      </c>
      <c r="S24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49" spans="1:19" x14ac:dyDescent="0.25">
      <c r="A2449" s="1" t="s">
        <v>3507</v>
      </c>
      <c r="B2449" s="2">
        <v>45534</v>
      </c>
      <c r="C2449" s="1" t="s">
        <v>93</v>
      </c>
      <c r="D2449" s="1" t="s">
        <v>144</v>
      </c>
      <c r="E2449" s="1" t="s">
        <v>145</v>
      </c>
      <c r="F2449" s="1" t="s">
        <v>21</v>
      </c>
      <c r="G2449" s="1" t="s">
        <v>112</v>
      </c>
      <c r="H2449" s="1" t="s">
        <v>223</v>
      </c>
      <c r="I2449" s="1">
        <v>670.81</v>
      </c>
      <c r="J2449" s="1">
        <v>4</v>
      </c>
      <c r="K2449" s="1">
        <v>2683.24</v>
      </c>
      <c r="L2449" s="1">
        <v>0</v>
      </c>
      <c r="M2449" s="1">
        <v>0</v>
      </c>
      <c r="N2449" s="1">
        <v>2683.24</v>
      </c>
      <c r="O2449" s="1" t="s">
        <v>80</v>
      </c>
      <c r="P2449" s="1" t="s">
        <v>1460</v>
      </c>
      <c r="Q2449" s="1">
        <v>3</v>
      </c>
      <c r="R2449" s="1">
        <f>Retail_Sales_Analyis[[#This Row],[Final_Price]]-Retail_Sales_Analyis[[#This Row],[Total_Price]]</f>
        <v>0</v>
      </c>
      <c r="S24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0" spans="1:19" x14ac:dyDescent="0.25">
      <c r="A2450" s="1" t="s">
        <v>3508</v>
      </c>
      <c r="B2450" s="2">
        <v>45557</v>
      </c>
      <c r="C2450" s="1" t="s">
        <v>116</v>
      </c>
      <c r="D2450" s="1" t="s">
        <v>49</v>
      </c>
      <c r="E2450" s="1" t="s">
        <v>121</v>
      </c>
      <c r="F2450" s="1" t="s">
        <v>37</v>
      </c>
      <c r="G2450" s="1" t="s">
        <v>169</v>
      </c>
      <c r="H2450" s="1" t="s">
        <v>366</v>
      </c>
      <c r="I2450" s="1">
        <v>573.39</v>
      </c>
      <c r="J2450" s="1">
        <v>3</v>
      </c>
      <c r="K2450" s="1">
        <v>1720.17</v>
      </c>
      <c r="L2450" s="1">
        <v>0</v>
      </c>
      <c r="M2450" s="1">
        <v>0</v>
      </c>
      <c r="N2450" s="1">
        <v>1720.17</v>
      </c>
      <c r="O2450" s="1" t="s">
        <v>64</v>
      </c>
      <c r="P2450" s="1" t="s">
        <v>2639</v>
      </c>
      <c r="Q2450" s="1">
        <v>5</v>
      </c>
      <c r="R2450" s="1">
        <f>Retail_Sales_Analyis[[#This Row],[Final_Price]]-Retail_Sales_Analyis[[#This Row],[Total_Price]]</f>
        <v>0</v>
      </c>
      <c r="S24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1" spans="1:19" x14ac:dyDescent="0.25">
      <c r="A2451" s="1" t="s">
        <v>3509</v>
      </c>
      <c r="B2451" s="2">
        <v>45525</v>
      </c>
      <c r="C2451" s="1" t="s">
        <v>93</v>
      </c>
      <c r="D2451" s="1" t="s">
        <v>55</v>
      </c>
      <c r="E2451" s="1" t="s">
        <v>285</v>
      </c>
      <c r="F2451" s="1" t="s">
        <v>30</v>
      </c>
      <c r="G2451" s="1" t="s">
        <v>57</v>
      </c>
      <c r="H2451" s="1" t="s">
        <v>101</v>
      </c>
      <c r="I2451" s="1">
        <v>881.12</v>
      </c>
      <c r="J2451" s="1">
        <v>10</v>
      </c>
      <c r="K2451" s="1">
        <v>8811.2000000000007</v>
      </c>
      <c r="L2451" s="1">
        <v>0</v>
      </c>
      <c r="M2451" s="1">
        <v>0</v>
      </c>
      <c r="N2451" s="1">
        <v>8811.2000000000007</v>
      </c>
      <c r="O2451" s="1" t="s">
        <v>46</v>
      </c>
      <c r="P2451" s="1" t="s">
        <v>1134</v>
      </c>
      <c r="Q2451" s="1">
        <v>4</v>
      </c>
      <c r="R2451" s="1">
        <f>Retail_Sales_Analyis[[#This Row],[Final_Price]]-Retail_Sales_Analyis[[#This Row],[Total_Price]]</f>
        <v>0</v>
      </c>
      <c r="S24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2" spans="1:19" x14ac:dyDescent="0.25">
      <c r="A2452" s="1" t="s">
        <v>3510</v>
      </c>
      <c r="B2452" s="2">
        <v>45368</v>
      </c>
      <c r="C2452" s="1" t="s">
        <v>61</v>
      </c>
      <c r="D2452" s="1" t="s">
        <v>49</v>
      </c>
      <c r="E2452" s="1" t="s">
        <v>50</v>
      </c>
      <c r="F2452" s="1" t="s">
        <v>69</v>
      </c>
      <c r="G2452" s="1" t="s">
        <v>85</v>
      </c>
      <c r="H2452" s="1" t="s">
        <v>98</v>
      </c>
      <c r="I2452" s="1">
        <v>2217.12</v>
      </c>
      <c r="J2452" s="1">
        <v>9</v>
      </c>
      <c r="K2452" s="1">
        <v>19954.080000000002</v>
      </c>
      <c r="L2452" s="1">
        <v>5</v>
      </c>
      <c r="M2452" s="1">
        <v>997.7</v>
      </c>
      <c r="N2452" s="1">
        <v>18956.38</v>
      </c>
      <c r="O2452" s="1" t="s">
        <v>46</v>
      </c>
      <c r="P2452" s="1" t="s">
        <v>3511</v>
      </c>
      <c r="Q2452" s="1">
        <v>3</v>
      </c>
      <c r="R2452" s="1">
        <f>Retail_Sales_Analyis[[#This Row],[Final_Price]]-Retail_Sales_Analyis[[#This Row],[Total_Price]]</f>
        <v>-997.70000000000073</v>
      </c>
      <c r="S24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53" spans="1:19" x14ac:dyDescent="0.25">
      <c r="A2453" s="1" t="s">
        <v>3512</v>
      </c>
      <c r="B2453" s="2">
        <v>45602</v>
      </c>
      <c r="C2453" s="1" t="s">
        <v>18</v>
      </c>
      <c r="D2453" s="1" t="s">
        <v>55</v>
      </c>
      <c r="E2453" s="1" t="s">
        <v>199</v>
      </c>
      <c r="F2453" s="1" t="s">
        <v>21</v>
      </c>
      <c r="G2453" s="1" t="s">
        <v>112</v>
      </c>
      <c r="H2453" s="1" t="s">
        <v>113</v>
      </c>
      <c r="I2453" s="1">
        <v>895.56</v>
      </c>
      <c r="J2453" s="1">
        <v>9</v>
      </c>
      <c r="K2453" s="1">
        <v>8060.04</v>
      </c>
      <c r="L2453" s="1">
        <v>5</v>
      </c>
      <c r="M2453" s="1">
        <v>403</v>
      </c>
      <c r="N2453" s="1">
        <v>7657.04</v>
      </c>
      <c r="O2453" s="1" t="s">
        <v>33</v>
      </c>
      <c r="P2453" s="1" t="s">
        <v>433</v>
      </c>
      <c r="Q2453" s="1">
        <v>2</v>
      </c>
      <c r="R2453" s="1">
        <f>Retail_Sales_Analyis[[#This Row],[Final_Price]]-Retail_Sales_Analyis[[#This Row],[Total_Price]]</f>
        <v>-403</v>
      </c>
      <c r="S24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54" spans="1:19" x14ac:dyDescent="0.25">
      <c r="A2454" s="1" t="s">
        <v>3513</v>
      </c>
      <c r="B2454" s="2">
        <v>45555</v>
      </c>
      <c r="C2454" s="1" t="s">
        <v>116</v>
      </c>
      <c r="D2454" s="1" t="s">
        <v>144</v>
      </c>
      <c r="E2454" s="1" t="s">
        <v>328</v>
      </c>
      <c r="F2454" s="1" t="s">
        <v>21</v>
      </c>
      <c r="G2454" s="1" t="s">
        <v>112</v>
      </c>
      <c r="H2454" s="1" t="s">
        <v>183</v>
      </c>
      <c r="I2454" s="1">
        <v>1926.13</v>
      </c>
      <c r="J2454" s="1">
        <v>4</v>
      </c>
      <c r="K2454" s="1">
        <v>7704.52</v>
      </c>
      <c r="L2454" s="1">
        <v>5</v>
      </c>
      <c r="M2454" s="1">
        <v>385.23</v>
      </c>
      <c r="N2454" s="1">
        <v>7319.29</v>
      </c>
      <c r="O2454" s="1" t="s">
        <v>33</v>
      </c>
      <c r="P2454" s="1" t="s">
        <v>1751</v>
      </c>
      <c r="Q2454" s="1">
        <v>4</v>
      </c>
      <c r="R2454" s="1">
        <f>Retail_Sales_Analyis[[#This Row],[Final_Price]]-Retail_Sales_Analyis[[#This Row],[Total_Price]]</f>
        <v>-385.23000000000047</v>
      </c>
      <c r="S24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55" spans="1:19" x14ac:dyDescent="0.25">
      <c r="A2455" s="1" t="s">
        <v>3514</v>
      </c>
      <c r="B2455" s="2">
        <v>45363</v>
      </c>
      <c r="C2455" s="1" t="s">
        <v>61</v>
      </c>
      <c r="D2455" s="1" t="s">
        <v>28</v>
      </c>
      <c r="E2455" s="1" t="s">
        <v>62</v>
      </c>
      <c r="F2455" s="1" t="s">
        <v>21</v>
      </c>
      <c r="G2455" s="1" t="s">
        <v>78</v>
      </c>
      <c r="H2455" s="1" t="s">
        <v>146</v>
      </c>
      <c r="I2455" s="1">
        <v>429.82</v>
      </c>
      <c r="J2455" s="1">
        <v>4</v>
      </c>
      <c r="K2455" s="1">
        <v>1719.28</v>
      </c>
      <c r="L2455" s="1">
        <v>0</v>
      </c>
      <c r="M2455" s="1">
        <v>0</v>
      </c>
      <c r="N2455" s="1">
        <v>1719.28</v>
      </c>
      <c r="O2455" s="1" t="s">
        <v>33</v>
      </c>
      <c r="P2455" s="1" t="s">
        <v>3139</v>
      </c>
      <c r="Q2455" s="1">
        <v>1</v>
      </c>
      <c r="R2455" s="1">
        <f>Retail_Sales_Analyis[[#This Row],[Final_Price]]-Retail_Sales_Analyis[[#This Row],[Total_Price]]</f>
        <v>0</v>
      </c>
      <c r="S24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6" spans="1:19" x14ac:dyDescent="0.25">
      <c r="A2456" s="1" t="s">
        <v>3515</v>
      </c>
      <c r="B2456" s="2">
        <v>45459</v>
      </c>
      <c r="C2456" s="1" t="s">
        <v>173</v>
      </c>
      <c r="D2456" s="1" t="s">
        <v>49</v>
      </c>
      <c r="E2456" s="1" t="s">
        <v>44</v>
      </c>
      <c r="F2456" s="1" t="s">
        <v>69</v>
      </c>
      <c r="G2456" s="1" t="s">
        <v>22</v>
      </c>
      <c r="H2456" s="1" t="s">
        <v>277</v>
      </c>
      <c r="I2456" s="1">
        <v>851.26</v>
      </c>
      <c r="J2456" s="1">
        <v>10</v>
      </c>
      <c r="K2456" s="1">
        <v>8512.6</v>
      </c>
      <c r="L2456" s="1">
        <v>20</v>
      </c>
      <c r="M2456" s="1">
        <v>1702.52</v>
      </c>
      <c r="N2456" s="1">
        <v>6810.08</v>
      </c>
      <c r="O2456" s="1" t="s">
        <v>24</v>
      </c>
      <c r="P2456" s="1" t="s">
        <v>178</v>
      </c>
      <c r="Q2456" s="1">
        <v>3</v>
      </c>
      <c r="R2456" s="1">
        <f>Retail_Sales_Analyis[[#This Row],[Final_Price]]-Retail_Sales_Analyis[[#This Row],[Total_Price]]</f>
        <v>-1702.5200000000004</v>
      </c>
      <c r="S24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57" spans="1:19" x14ac:dyDescent="0.25">
      <c r="A2457" s="1" t="s">
        <v>3516</v>
      </c>
      <c r="B2457" s="2">
        <v>45605</v>
      </c>
      <c r="C2457" s="1" t="s">
        <v>18</v>
      </c>
      <c r="D2457" s="1" t="s">
        <v>19</v>
      </c>
      <c r="E2457" s="1" t="s">
        <v>261</v>
      </c>
      <c r="F2457" s="1" t="s">
        <v>30</v>
      </c>
      <c r="G2457" s="1" t="s">
        <v>85</v>
      </c>
      <c r="H2457" s="1" t="s">
        <v>180</v>
      </c>
      <c r="I2457" s="1">
        <v>4150.1400000000003</v>
      </c>
      <c r="J2457" s="1">
        <v>9</v>
      </c>
      <c r="K2457" s="1">
        <v>37351.26</v>
      </c>
      <c r="L2457" s="1">
        <v>0</v>
      </c>
      <c r="M2457" s="1">
        <v>0</v>
      </c>
      <c r="N2457" s="1">
        <v>37351.26</v>
      </c>
      <c r="O2457" s="1" t="s">
        <v>80</v>
      </c>
      <c r="P2457" s="1" t="s">
        <v>922</v>
      </c>
      <c r="Q2457" s="1">
        <v>4</v>
      </c>
      <c r="R2457" s="1">
        <f>Retail_Sales_Analyis[[#This Row],[Final_Price]]-Retail_Sales_Analyis[[#This Row],[Total_Price]]</f>
        <v>0</v>
      </c>
      <c r="S24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8" spans="1:19" x14ac:dyDescent="0.25">
      <c r="A2458" s="1" t="s">
        <v>3517</v>
      </c>
      <c r="B2458" s="2">
        <v>45455</v>
      </c>
      <c r="C2458" s="1" t="s">
        <v>173</v>
      </c>
      <c r="D2458" s="1" t="s">
        <v>55</v>
      </c>
      <c r="E2458" s="1" t="s">
        <v>132</v>
      </c>
      <c r="F2458" s="1" t="s">
        <v>30</v>
      </c>
      <c r="G2458" s="1" t="s">
        <v>38</v>
      </c>
      <c r="H2458" s="1" t="s">
        <v>108</v>
      </c>
      <c r="I2458" s="1">
        <v>647.92999999999995</v>
      </c>
      <c r="J2458" s="1">
        <v>6</v>
      </c>
      <c r="K2458" s="1">
        <v>3887.58</v>
      </c>
      <c r="L2458" s="1">
        <v>0</v>
      </c>
      <c r="M2458" s="1">
        <v>0</v>
      </c>
      <c r="N2458" s="1">
        <v>3887.58</v>
      </c>
      <c r="O2458" s="1" t="s">
        <v>64</v>
      </c>
      <c r="P2458" s="1" t="s">
        <v>2651</v>
      </c>
      <c r="Q2458" s="1">
        <v>4</v>
      </c>
      <c r="R2458" s="1">
        <f>Retail_Sales_Analyis[[#This Row],[Final_Price]]-Retail_Sales_Analyis[[#This Row],[Total_Price]]</f>
        <v>0</v>
      </c>
      <c r="S24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59" spans="1:19" x14ac:dyDescent="0.25">
      <c r="A2459" s="1" t="s">
        <v>3518</v>
      </c>
      <c r="B2459" s="2">
        <v>45375</v>
      </c>
      <c r="C2459" s="1" t="s">
        <v>61</v>
      </c>
      <c r="D2459" s="1" t="s">
        <v>49</v>
      </c>
      <c r="E2459" s="1" t="s">
        <v>204</v>
      </c>
      <c r="F2459" s="1" t="s">
        <v>30</v>
      </c>
      <c r="G2459" s="1" t="s">
        <v>38</v>
      </c>
      <c r="H2459" s="1" t="s">
        <v>108</v>
      </c>
      <c r="I2459" s="1">
        <v>644.22</v>
      </c>
      <c r="J2459" s="1">
        <v>5</v>
      </c>
      <c r="K2459" s="1">
        <v>3221.1</v>
      </c>
      <c r="L2459" s="1">
        <v>20</v>
      </c>
      <c r="M2459" s="1">
        <v>644.22</v>
      </c>
      <c r="N2459" s="1">
        <v>2576.88</v>
      </c>
      <c r="O2459" s="1" t="s">
        <v>33</v>
      </c>
      <c r="P2459" s="1" t="s">
        <v>2755</v>
      </c>
      <c r="Q2459" s="1">
        <v>4</v>
      </c>
      <c r="R2459" s="1">
        <f>Retail_Sales_Analyis[[#This Row],[Final_Price]]-Retail_Sales_Analyis[[#This Row],[Total_Price]]</f>
        <v>-644.2199999999998</v>
      </c>
      <c r="S24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60" spans="1:19" x14ac:dyDescent="0.25">
      <c r="A2460" s="1" t="s">
        <v>3519</v>
      </c>
      <c r="B2460" s="2">
        <v>45493</v>
      </c>
      <c r="C2460" s="1" t="s">
        <v>195</v>
      </c>
      <c r="D2460" s="1" t="s">
        <v>19</v>
      </c>
      <c r="E2460" s="1" t="s">
        <v>174</v>
      </c>
      <c r="F2460" s="1" t="s">
        <v>84</v>
      </c>
      <c r="G2460" s="1" t="s">
        <v>57</v>
      </c>
      <c r="H2460" s="1" t="s">
        <v>158</v>
      </c>
      <c r="I2460" s="1">
        <v>783.46</v>
      </c>
      <c r="J2460" s="1">
        <v>10</v>
      </c>
      <c r="K2460" s="1">
        <v>7834.6</v>
      </c>
      <c r="L2460" s="1">
        <v>15</v>
      </c>
      <c r="M2460" s="1">
        <v>1175.19</v>
      </c>
      <c r="N2460" s="1">
        <v>6659.41</v>
      </c>
      <c r="O2460" s="1" t="s">
        <v>33</v>
      </c>
      <c r="P2460" s="1" t="s">
        <v>1301</v>
      </c>
      <c r="Q2460" s="1">
        <v>2</v>
      </c>
      <c r="R2460" s="1">
        <f>Retail_Sales_Analyis[[#This Row],[Final_Price]]-Retail_Sales_Analyis[[#This Row],[Total_Price]]</f>
        <v>-1175.1900000000005</v>
      </c>
      <c r="S24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61" spans="1:19" x14ac:dyDescent="0.25">
      <c r="A2461" s="1" t="s">
        <v>3520</v>
      </c>
      <c r="B2461" s="2">
        <v>45607</v>
      </c>
      <c r="C2461" s="1" t="s">
        <v>18</v>
      </c>
      <c r="D2461" s="1" t="s">
        <v>43</v>
      </c>
      <c r="E2461" s="1" t="s">
        <v>132</v>
      </c>
      <c r="F2461" s="1" t="s">
        <v>21</v>
      </c>
      <c r="G2461" s="1" t="s">
        <v>78</v>
      </c>
      <c r="H2461" s="1" t="s">
        <v>146</v>
      </c>
      <c r="I2461" s="1">
        <v>219.34</v>
      </c>
      <c r="J2461" s="1">
        <v>4</v>
      </c>
      <c r="K2461" s="1">
        <v>877.36</v>
      </c>
      <c r="L2461" s="1">
        <v>15</v>
      </c>
      <c r="M2461" s="1">
        <v>131.6</v>
      </c>
      <c r="N2461" s="1">
        <v>745.76</v>
      </c>
      <c r="O2461" s="1" t="s">
        <v>33</v>
      </c>
      <c r="P2461" s="1" t="s">
        <v>826</v>
      </c>
      <c r="Q2461" s="1">
        <v>4</v>
      </c>
      <c r="R2461" s="1">
        <f>Retail_Sales_Analyis[[#This Row],[Final_Price]]-Retail_Sales_Analyis[[#This Row],[Total_Price]]</f>
        <v>-131.60000000000002</v>
      </c>
      <c r="S24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62" spans="1:19" x14ac:dyDescent="0.25">
      <c r="A2462" s="1" t="s">
        <v>3521</v>
      </c>
      <c r="B2462" s="2">
        <v>45445</v>
      </c>
      <c r="C2462" s="1" t="s">
        <v>173</v>
      </c>
      <c r="D2462" s="1" t="s">
        <v>49</v>
      </c>
      <c r="E2462" s="1" t="s">
        <v>186</v>
      </c>
      <c r="F2462" s="1" t="s">
        <v>84</v>
      </c>
      <c r="G2462" s="1" t="s">
        <v>169</v>
      </c>
      <c r="H2462" s="1" t="s">
        <v>175</v>
      </c>
      <c r="I2462" s="1">
        <v>869.79</v>
      </c>
      <c r="J2462" s="1">
        <v>3</v>
      </c>
      <c r="K2462" s="1">
        <v>2609.37</v>
      </c>
      <c r="L2462" s="1">
        <v>15</v>
      </c>
      <c r="M2462" s="1">
        <v>391.41</v>
      </c>
      <c r="N2462" s="1">
        <v>2217.96</v>
      </c>
      <c r="O2462" s="1" t="s">
        <v>33</v>
      </c>
      <c r="P2462" s="1" t="s">
        <v>1287</v>
      </c>
      <c r="Q2462" s="1">
        <v>4</v>
      </c>
      <c r="R2462" s="1">
        <f>Retail_Sales_Analyis[[#This Row],[Final_Price]]-Retail_Sales_Analyis[[#This Row],[Total_Price]]</f>
        <v>-391.40999999999985</v>
      </c>
      <c r="S24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63" spans="1:19" x14ac:dyDescent="0.25">
      <c r="A2463" s="1" t="s">
        <v>3522</v>
      </c>
      <c r="B2463" s="2">
        <v>45595</v>
      </c>
      <c r="C2463" s="1" t="s">
        <v>76</v>
      </c>
      <c r="D2463" s="1" t="s">
        <v>55</v>
      </c>
      <c r="E2463" s="1" t="s">
        <v>213</v>
      </c>
      <c r="F2463" s="1" t="s">
        <v>69</v>
      </c>
      <c r="G2463" s="1" t="s">
        <v>57</v>
      </c>
      <c r="H2463" s="1" t="s">
        <v>158</v>
      </c>
      <c r="I2463" s="1">
        <v>960.07</v>
      </c>
      <c r="J2463" s="1">
        <v>5</v>
      </c>
      <c r="K2463" s="1">
        <v>4800.3500000000004</v>
      </c>
      <c r="L2463" s="1">
        <v>5</v>
      </c>
      <c r="M2463" s="1">
        <v>240.02</v>
      </c>
      <c r="N2463" s="1">
        <v>4560.33</v>
      </c>
      <c r="O2463" s="1" t="s">
        <v>80</v>
      </c>
      <c r="P2463" s="1" t="s">
        <v>2044</v>
      </c>
      <c r="Q2463" s="1">
        <v>3</v>
      </c>
      <c r="R2463" s="1">
        <f>Retail_Sales_Analyis[[#This Row],[Final_Price]]-Retail_Sales_Analyis[[#This Row],[Total_Price]]</f>
        <v>-240.02000000000044</v>
      </c>
      <c r="S24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64" spans="1:19" x14ac:dyDescent="0.25">
      <c r="A2464" s="1" t="s">
        <v>3523</v>
      </c>
      <c r="B2464" s="2">
        <v>45464</v>
      </c>
      <c r="C2464" s="1" t="s">
        <v>173</v>
      </c>
      <c r="D2464" s="1" t="s">
        <v>144</v>
      </c>
      <c r="E2464" s="1" t="s">
        <v>94</v>
      </c>
      <c r="F2464" s="1" t="s">
        <v>84</v>
      </c>
      <c r="G2464" s="1" t="s">
        <v>112</v>
      </c>
      <c r="H2464" s="1" t="s">
        <v>288</v>
      </c>
      <c r="I2464" s="1">
        <v>1677.19</v>
      </c>
      <c r="J2464" s="1">
        <v>7</v>
      </c>
      <c r="K2464" s="1">
        <v>11740.33</v>
      </c>
      <c r="L2464" s="1">
        <v>15</v>
      </c>
      <c r="M2464" s="1">
        <v>1761.05</v>
      </c>
      <c r="N2464" s="1">
        <v>9979.2800000000007</v>
      </c>
      <c r="O2464" s="1" t="s">
        <v>80</v>
      </c>
      <c r="P2464" s="1" t="s">
        <v>369</v>
      </c>
      <c r="Q2464" s="1">
        <v>2</v>
      </c>
      <c r="R2464" s="1">
        <f>Retail_Sales_Analyis[[#This Row],[Final_Price]]-Retail_Sales_Analyis[[#This Row],[Total_Price]]</f>
        <v>-1761.0499999999993</v>
      </c>
      <c r="S24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65" spans="1:19" x14ac:dyDescent="0.25">
      <c r="A2465" s="1" t="s">
        <v>3524</v>
      </c>
      <c r="B2465" s="2">
        <v>45551</v>
      </c>
      <c r="C2465" s="1" t="s">
        <v>116</v>
      </c>
      <c r="D2465" s="1" t="s">
        <v>43</v>
      </c>
      <c r="E2465" s="1" t="s">
        <v>542</v>
      </c>
      <c r="F2465" s="1" t="s">
        <v>30</v>
      </c>
      <c r="G2465" s="1" t="s">
        <v>57</v>
      </c>
      <c r="H2465" s="1" t="s">
        <v>122</v>
      </c>
      <c r="I2465" s="1">
        <v>1903.57</v>
      </c>
      <c r="J2465" s="1">
        <v>9</v>
      </c>
      <c r="K2465" s="1">
        <v>17132.13</v>
      </c>
      <c r="L2465" s="1">
        <v>20</v>
      </c>
      <c r="M2465" s="1">
        <v>3426.43</v>
      </c>
      <c r="N2465" s="1">
        <v>13705.7</v>
      </c>
      <c r="O2465" s="1" t="s">
        <v>24</v>
      </c>
      <c r="P2465" s="1" t="s">
        <v>343</v>
      </c>
      <c r="Q2465" s="1">
        <v>4</v>
      </c>
      <c r="R2465" s="1">
        <f>Retail_Sales_Analyis[[#This Row],[Final_Price]]-Retail_Sales_Analyis[[#This Row],[Total_Price]]</f>
        <v>-3426.4300000000003</v>
      </c>
      <c r="S246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66" spans="1:19" x14ac:dyDescent="0.25">
      <c r="A2466" s="1" t="s">
        <v>3525</v>
      </c>
      <c r="B2466" s="2">
        <v>45552</v>
      </c>
      <c r="C2466" s="1" t="s">
        <v>116</v>
      </c>
      <c r="D2466" s="1" t="s">
        <v>28</v>
      </c>
      <c r="E2466" s="1" t="s">
        <v>168</v>
      </c>
      <c r="F2466" s="1" t="s">
        <v>69</v>
      </c>
      <c r="G2466" s="1" t="s">
        <v>57</v>
      </c>
      <c r="H2466" s="1" t="s">
        <v>122</v>
      </c>
      <c r="I2466" s="1">
        <v>433.25</v>
      </c>
      <c r="J2466" s="1">
        <v>7</v>
      </c>
      <c r="K2466" s="1">
        <v>3032.75</v>
      </c>
      <c r="L2466" s="1">
        <v>20</v>
      </c>
      <c r="M2466" s="1">
        <v>606.54999999999995</v>
      </c>
      <c r="N2466" s="1">
        <v>2426.1999999999998</v>
      </c>
      <c r="O2466" s="1" t="s">
        <v>80</v>
      </c>
      <c r="P2466" s="1" t="s">
        <v>1500</v>
      </c>
      <c r="Q2466" s="1">
        <v>2</v>
      </c>
      <c r="R2466" s="1">
        <f>Retail_Sales_Analyis[[#This Row],[Final_Price]]-Retail_Sales_Analyis[[#This Row],[Total_Price]]</f>
        <v>-606.55000000000018</v>
      </c>
      <c r="S24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67" spans="1:19" x14ac:dyDescent="0.25">
      <c r="A2467" s="1" t="s">
        <v>3526</v>
      </c>
      <c r="B2467" s="2">
        <v>45564</v>
      </c>
      <c r="C2467" s="1" t="s">
        <v>116</v>
      </c>
      <c r="D2467" s="1" t="s">
        <v>49</v>
      </c>
      <c r="E2467" s="1" t="s">
        <v>111</v>
      </c>
      <c r="F2467" s="1" t="s">
        <v>69</v>
      </c>
      <c r="G2467" s="1" t="s">
        <v>112</v>
      </c>
      <c r="H2467" s="1" t="s">
        <v>113</v>
      </c>
      <c r="I2467" s="1">
        <v>534.67999999999995</v>
      </c>
      <c r="J2467" s="1">
        <v>4</v>
      </c>
      <c r="K2467" s="1">
        <v>2138.7199999999998</v>
      </c>
      <c r="L2467" s="1">
        <v>5</v>
      </c>
      <c r="M2467" s="1">
        <v>106.94</v>
      </c>
      <c r="N2467" s="1">
        <v>2031.78</v>
      </c>
      <c r="O2467" s="1" t="s">
        <v>64</v>
      </c>
      <c r="P2467" s="1" t="s">
        <v>318</v>
      </c>
      <c r="Q2467" s="1">
        <v>4</v>
      </c>
      <c r="R2467" s="1">
        <f>Retail_Sales_Analyis[[#This Row],[Final_Price]]-Retail_Sales_Analyis[[#This Row],[Total_Price]]</f>
        <v>-106.93999999999983</v>
      </c>
      <c r="S24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68" spans="1:19" x14ac:dyDescent="0.25">
      <c r="A2468" s="1" t="s">
        <v>3527</v>
      </c>
      <c r="B2468" s="2">
        <v>45542</v>
      </c>
      <c r="C2468" s="1" t="s">
        <v>116</v>
      </c>
      <c r="D2468" s="1" t="s">
        <v>19</v>
      </c>
      <c r="E2468" s="1" t="s">
        <v>83</v>
      </c>
      <c r="F2468" s="1" t="s">
        <v>84</v>
      </c>
      <c r="G2468" s="1" t="s">
        <v>85</v>
      </c>
      <c r="H2468" s="1" t="s">
        <v>297</v>
      </c>
      <c r="I2468" s="1">
        <v>4771.9399999999996</v>
      </c>
      <c r="J2468" s="1">
        <v>5</v>
      </c>
      <c r="K2468" s="1">
        <v>23859.7</v>
      </c>
      <c r="L2468" s="1">
        <v>10</v>
      </c>
      <c r="M2468" s="1">
        <v>2385.9699999999998</v>
      </c>
      <c r="N2468" s="1">
        <v>21473.73</v>
      </c>
      <c r="O2468" s="1" t="s">
        <v>80</v>
      </c>
      <c r="P2468" s="1" t="s">
        <v>3528</v>
      </c>
      <c r="Q2468" s="1">
        <v>4</v>
      </c>
      <c r="R2468" s="1">
        <f>Retail_Sales_Analyis[[#This Row],[Final_Price]]-Retail_Sales_Analyis[[#This Row],[Total_Price]]</f>
        <v>-2385.9700000000012</v>
      </c>
      <c r="S24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69" spans="1:19" x14ac:dyDescent="0.25">
      <c r="A2469" s="1" t="s">
        <v>3529</v>
      </c>
      <c r="B2469" s="2">
        <v>45654</v>
      </c>
      <c r="C2469" s="1" t="s">
        <v>73</v>
      </c>
      <c r="D2469" s="1" t="s">
        <v>19</v>
      </c>
      <c r="E2469" s="1" t="s">
        <v>145</v>
      </c>
      <c r="F2469" s="1" t="s">
        <v>37</v>
      </c>
      <c r="G2469" s="1" t="s">
        <v>112</v>
      </c>
      <c r="H2469" s="1" t="s">
        <v>183</v>
      </c>
      <c r="I2469" s="1">
        <v>1844.36</v>
      </c>
      <c r="J2469" s="1">
        <v>7</v>
      </c>
      <c r="K2469" s="1">
        <v>12910.52</v>
      </c>
      <c r="L2469" s="1">
        <v>15</v>
      </c>
      <c r="M2469" s="1">
        <v>1936.58</v>
      </c>
      <c r="N2469" s="1">
        <v>10973.94</v>
      </c>
      <c r="O2469" s="1" t="s">
        <v>46</v>
      </c>
      <c r="P2469" s="1" t="s">
        <v>1259</v>
      </c>
      <c r="Q2469" s="1">
        <v>5</v>
      </c>
      <c r="R2469" s="1">
        <f>Retail_Sales_Analyis[[#This Row],[Final_Price]]-Retail_Sales_Analyis[[#This Row],[Total_Price]]</f>
        <v>-1936.58</v>
      </c>
      <c r="S24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0" spans="1:19" x14ac:dyDescent="0.25">
      <c r="A2470" s="1" t="s">
        <v>3530</v>
      </c>
      <c r="B2470" s="2">
        <v>45580</v>
      </c>
      <c r="C2470" s="1" t="s">
        <v>76</v>
      </c>
      <c r="D2470" s="1" t="s">
        <v>28</v>
      </c>
      <c r="E2470" s="1" t="s">
        <v>207</v>
      </c>
      <c r="F2470" s="1" t="s">
        <v>21</v>
      </c>
      <c r="G2470" s="1" t="s">
        <v>169</v>
      </c>
      <c r="H2470" s="1" t="s">
        <v>175</v>
      </c>
      <c r="I2470" s="1">
        <v>777.88</v>
      </c>
      <c r="J2470" s="1">
        <v>4</v>
      </c>
      <c r="K2470" s="1">
        <v>3111.52</v>
      </c>
      <c r="L2470" s="1">
        <v>10</v>
      </c>
      <c r="M2470" s="1">
        <v>311.14999999999998</v>
      </c>
      <c r="N2470" s="1">
        <v>2800.37</v>
      </c>
      <c r="O2470" s="1" t="s">
        <v>46</v>
      </c>
      <c r="P2470" s="1" t="s">
        <v>487</v>
      </c>
      <c r="Q2470" s="1">
        <v>4</v>
      </c>
      <c r="R2470" s="1">
        <f>Retail_Sales_Analyis[[#This Row],[Final_Price]]-Retail_Sales_Analyis[[#This Row],[Total_Price]]</f>
        <v>-311.15000000000009</v>
      </c>
      <c r="S24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1" spans="1:19" x14ac:dyDescent="0.25">
      <c r="A2471" s="1" t="s">
        <v>3531</v>
      </c>
      <c r="B2471" s="2">
        <v>45445</v>
      </c>
      <c r="C2471" s="1" t="s">
        <v>173</v>
      </c>
      <c r="D2471" s="1" t="s">
        <v>49</v>
      </c>
      <c r="E2471" s="1" t="s">
        <v>174</v>
      </c>
      <c r="F2471" s="1" t="s">
        <v>69</v>
      </c>
      <c r="G2471" s="1" t="s">
        <v>38</v>
      </c>
      <c r="H2471" s="1" t="s">
        <v>214</v>
      </c>
      <c r="I2471" s="1">
        <v>624.07000000000005</v>
      </c>
      <c r="J2471" s="1">
        <v>3</v>
      </c>
      <c r="K2471" s="1">
        <v>1872.21</v>
      </c>
      <c r="L2471" s="1">
        <v>5</v>
      </c>
      <c r="M2471" s="1">
        <v>93.61</v>
      </c>
      <c r="N2471" s="1">
        <v>1778.6</v>
      </c>
      <c r="O2471" s="1" t="s">
        <v>46</v>
      </c>
      <c r="P2471" s="1" t="s">
        <v>566</v>
      </c>
      <c r="Q2471" s="1">
        <v>3</v>
      </c>
      <c r="R2471" s="1">
        <f>Retail_Sales_Analyis[[#This Row],[Final_Price]]-Retail_Sales_Analyis[[#This Row],[Total_Price]]</f>
        <v>-93.610000000000127</v>
      </c>
      <c r="S24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472" spans="1:19" x14ac:dyDescent="0.25">
      <c r="A2472" s="1" t="s">
        <v>3532</v>
      </c>
      <c r="B2472" s="2">
        <v>45535</v>
      </c>
      <c r="C2472" s="1" t="s">
        <v>93</v>
      </c>
      <c r="D2472" s="1" t="s">
        <v>19</v>
      </c>
      <c r="E2472" s="1" t="s">
        <v>328</v>
      </c>
      <c r="F2472" s="1" t="s">
        <v>30</v>
      </c>
      <c r="G2472" s="1" t="s">
        <v>57</v>
      </c>
      <c r="H2472" s="1" t="s">
        <v>122</v>
      </c>
      <c r="I2472" s="1">
        <v>504.88</v>
      </c>
      <c r="J2472" s="1">
        <v>3</v>
      </c>
      <c r="K2472" s="1">
        <v>1514.64</v>
      </c>
      <c r="L2472" s="1">
        <v>15</v>
      </c>
      <c r="M2472" s="1">
        <v>227.2</v>
      </c>
      <c r="N2472" s="1">
        <v>1287.44</v>
      </c>
      <c r="O2472" s="1" t="s">
        <v>80</v>
      </c>
      <c r="P2472" s="1" t="s">
        <v>3319</v>
      </c>
      <c r="Q2472" s="1">
        <v>5</v>
      </c>
      <c r="R2472" s="1">
        <f>Retail_Sales_Analyis[[#This Row],[Final_Price]]-Retail_Sales_Analyis[[#This Row],[Total_Price]]</f>
        <v>-227.20000000000005</v>
      </c>
      <c r="S24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3" spans="1:19" x14ac:dyDescent="0.25">
      <c r="A2473" s="1" t="s">
        <v>3533</v>
      </c>
      <c r="B2473" s="2">
        <v>45300</v>
      </c>
      <c r="C2473" s="1" t="s">
        <v>36</v>
      </c>
      <c r="D2473" s="1" t="s">
        <v>28</v>
      </c>
      <c r="E2473" s="1" t="s">
        <v>129</v>
      </c>
      <c r="F2473" s="1" t="s">
        <v>69</v>
      </c>
      <c r="G2473" s="1" t="s">
        <v>57</v>
      </c>
      <c r="H2473" s="1" t="s">
        <v>58</v>
      </c>
      <c r="I2473" s="1">
        <v>2497.85</v>
      </c>
      <c r="J2473" s="1">
        <v>5</v>
      </c>
      <c r="K2473" s="1">
        <v>12489.25</v>
      </c>
      <c r="L2473" s="1">
        <v>10</v>
      </c>
      <c r="M2473" s="1">
        <v>1248.93</v>
      </c>
      <c r="N2473" s="1">
        <v>11240.32</v>
      </c>
      <c r="O2473" s="1" t="s">
        <v>24</v>
      </c>
      <c r="P2473" s="1" t="s">
        <v>3210</v>
      </c>
      <c r="Q2473" s="1">
        <v>1</v>
      </c>
      <c r="R2473" s="1">
        <f>Retail_Sales_Analyis[[#This Row],[Final_Price]]-Retail_Sales_Analyis[[#This Row],[Total_Price]]</f>
        <v>-1248.9300000000003</v>
      </c>
      <c r="S24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4" spans="1:19" x14ac:dyDescent="0.25">
      <c r="A2474" s="1" t="s">
        <v>3534</v>
      </c>
      <c r="B2474" s="2">
        <v>45480</v>
      </c>
      <c r="C2474" s="1" t="s">
        <v>195</v>
      </c>
      <c r="D2474" s="1" t="s">
        <v>49</v>
      </c>
      <c r="E2474" s="1" t="s">
        <v>285</v>
      </c>
      <c r="F2474" s="1" t="s">
        <v>37</v>
      </c>
      <c r="G2474" s="1" t="s">
        <v>22</v>
      </c>
      <c r="H2474" s="1" t="s">
        <v>277</v>
      </c>
      <c r="I2474" s="1">
        <v>653.73</v>
      </c>
      <c r="J2474" s="1">
        <v>2</v>
      </c>
      <c r="K2474" s="1">
        <v>1307.46</v>
      </c>
      <c r="L2474" s="1">
        <v>10</v>
      </c>
      <c r="M2474" s="1">
        <v>130.75</v>
      </c>
      <c r="N2474" s="1">
        <v>1176.71</v>
      </c>
      <c r="O2474" s="1" t="s">
        <v>33</v>
      </c>
      <c r="P2474" s="1" t="s">
        <v>669</v>
      </c>
      <c r="Q2474" s="1">
        <v>4</v>
      </c>
      <c r="R2474" s="1">
        <f>Retail_Sales_Analyis[[#This Row],[Final_Price]]-Retail_Sales_Analyis[[#This Row],[Total_Price]]</f>
        <v>-130.75</v>
      </c>
      <c r="S24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5" spans="1:19" x14ac:dyDescent="0.25">
      <c r="A2475" s="1" t="s">
        <v>3535</v>
      </c>
      <c r="B2475" s="2">
        <v>45461</v>
      </c>
      <c r="C2475" s="1" t="s">
        <v>173</v>
      </c>
      <c r="D2475" s="1" t="s">
        <v>28</v>
      </c>
      <c r="E2475" s="1" t="s">
        <v>121</v>
      </c>
      <c r="F2475" s="1" t="s">
        <v>37</v>
      </c>
      <c r="G2475" s="1" t="s">
        <v>57</v>
      </c>
      <c r="H2475" s="1" t="s">
        <v>101</v>
      </c>
      <c r="I2475" s="1">
        <v>1120.18</v>
      </c>
      <c r="J2475" s="1">
        <v>10</v>
      </c>
      <c r="K2475" s="1">
        <v>11201.8</v>
      </c>
      <c r="L2475" s="1">
        <v>0</v>
      </c>
      <c r="M2475" s="1">
        <v>0</v>
      </c>
      <c r="N2475" s="1">
        <v>11201.8</v>
      </c>
      <c r="O2475" s="1" t="s">
        <v>24</v>
      </c>
      <c r="P2475" s="1" t="s">
        <v>3536</v>
      </c>
      <c r="Q2475" s="1">
        <v>1</v>
      </c>
      <c r="R2475" s="1">
        <f>Retail_Sales_Analyis[[#This Row],[Final_Price]]-Retail_Sales_Analyis[[#This Row],[Total_Price]]</f>
        <v>0</v>
      </c>
      <c r="S24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76" spans="1:19" x14ac:dyDescent="0.25">
      <c r="A2476" s="1" t="s">
        <v>3537</v>
      </c>
      <c r="B2476" s="2">
        <v>45636</v>
      </c>
      <c r="C2476" s="1" t="s">
        <v>73</v>
      </c>
      <c r="D2476" s="1" t="s">
        <v>28</v>
      </c>
      <c r="E2476" s="1" t="s">
        <v>89</v>
      </c>
      <c r="F2476" s="1" t="s">
        <v>30</v>
      </c>
      <c r="G2476" s="1" t="s">
        <v>78</v>
      </c>
      <c r="H2476" s="1" t="s">
        <v>126</v>
      </c>
      <c r="I2476" s="1">
        <v>162.38999999999999</v>
      </c>
      <c r="J2476" s="1">
        <v>7</v>
      </c>
      <c r="K2476" s="1">
        <v>1136.73</v>
      </c>
      <c r="L2476" s="1">
        <v>20</v>
      </c>
      <c r="M2476" s="1">
        <v>227.35</v>
      </c>
      <c r="N2476" s="1">
        <v>909.38</v>
      </c>
      <c r="O2476" s="1" t="s">
        <v>64</v>
      </c>
      <c r="P2476" s="1" t="s">
        <v>3340</v>
      </c>
      <c r="Q2476" s="1">
        <v>5</v>
      </c>
      <c r="R2476" s="1">
        <f>Retail_Sales_Analyis[[#This Row],[Final_Price]]-Retail_Sales_Analyis[[#This Row],[Total_Price]]</f>
        <v>-227.35000000000002</v>
      </c>
      <c r="S24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77" spans="1:19" x14ac:dyDescent="0.25">
      <c r="A2477" s="1" t="s">
        <v>3538</v>
      </c>
      <c r="B2477" s="2">
        <v>45348</v>
      </c>
      <c r="C2477" s="1" t="s">
        <v>27</v>
      </c>
      <c r="D2477" s="1" t="s">
        <v>43</v>
      </c>
      <c r="E2477" s="1" t="s">
        <v>83</v>
      </c>
      <c r="F2477" s="1" t="s">
        <v>69</v>
      </c>
      <c r="G2477" s="1" t="s">
        <v>112</v>
      </c>
      <c r="H2477" s="1" t="s">
        <v>223</v>
      </c>
      <c r="I2477" s="1">
        <v>792.03</v>
      </c>
      <c r="J2477" s="1">
        <v>4</v>
      </c>
      <c r="K2477" s="1">
        <v>3168.12</v>
      </c>
      <c r="L2477" s="1">
        <v>0</v>
      </c>
      <c r="M2477" s="1">
        <v>0</v>
      </c>
      <c r="N2477" s="1">
        <v>3168.12</v>
      </c>
      <c r="O2477" s="1" t="s">
        <v>46</v>
      </c>
      <c r="P2477" s="1" t="s">
        <v>1597</v>
      </c>
      <c r="Q2477" s="1">
        <v>2</v>
      </c>
      <c r="R2477" s="1">
        <f>Retail_Sales_Analyis[[#This Row],[Final_Price]]-Retail_Sales_Analyis[[#This Row],[Total_Price]]</f>
        <v>0</v>
      </c>
      <c r="S24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78" spans="1:19" x14ac:dyDescent="0.25">
      <c r="A2478" s="1" t="s">
        <v>3539</v>
      </c>
      <c r="B2478" s="2">
        <v>45505</v>
      </c>
      <c r="C2478" s="1" t="s">
        <v>93</v>
      </c>
      <c r="D2478" s="1" t="s">
        <v>67</v>
      </c>
      <c r="E2478" s="1" t="s">
        <v>342</v>
      </c>
      <c r="F2478" s="1" t="s">
        <v>84</v>
      </c>
      <c r="G2478" s="1" t="s">
        <v>31</v>
      </c>
      <c r="H2478" s="1" t="s">
        <v>250</v>
      </c>
      <c r="I2478" s="1">
        <v>480.65</v>
      </c>
      <c r="J2478" s="1">
        <v>5</v>
      </c>
      <c r="K2478" s="1">
        <v>2403.25</v>
      </c>
      <c r="L2478" s="1">
        <v>10</v>
      </c>
      <c r="M2478" s="1">
        <v>240.33</v>
      </c>
      <c r="N2478" s="1">
        <v>2162.92</v>
      </c>
      <c r="O2478" s="1" t="s">
        <v>24</v>
      </c>
      <c r="P2478" s="1" t="s">
        <v>413</v>
      </c>
      <c r="Q2478" s="1">
        <v>3</v>
      </c>
      <c r="R2478" s="1">
        <f>Retail_Sales_Analyis[[#This Row],[Final_Price]]-Retail_Sales_Analyis[[#This Row],[Total_Price]]</f>
        <v>-240.32999999999993</v>
      </c>
      <c r="S24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79" spans="1:19" x14ac:dyDescent="0.25">
      <c r="A2479" s="1" t="s">
        <v>3540</v>
      </c>
      <c r="B2479" s="2">
        <v>45590</v>
      </c>
      <c r="C2479" s="1" t="s">
        <v>76</v>
      </c>
      <c r="D2479" s="1" t="s">
        <v>144</v>
      </c>
      <c r="E2479" s="1" t="s">
        <v>89</v>
      </c>
      <c r="F2479" s="1" t="s">
        <v>21</v>
      </c>
      <c r="G2479" s="1" t="s">
        <v>38</v>
      </c>
      <c r="H2479" s="1" t="s">
        <v>39</v>
      </c>
      <c r="I2479" s="1">
        <v>609.86</v>
      </c>
      <c r="J2479" s="1">
        <v>2</v>
      </c>
      <c r="K2479" s="1">
        <v>1219.72</v>
      </c>
      <c r="L2479" s="1">
        <v>20</v>
      </c>
      <c r="M2479" s="1">
        <v>243.94</v>
      </c>
      <c r="N2479" s="1">
        <v>975.78</v>
      </c>
      <c r="O2479" s="1" t="s">
        <v>33</v>
      </c>
      <c r="P2479" s="1" t="s">
        <v>425</v>
      </c>
      <c r="Q2479" s="1">
        <v>4</v>
      </c>
      <c r="R2479" s="1">
        <f>Retail_Sales_Analyis[[#This Row],[Final_Price]]-Retail_Sales_Analyis[[#This Row],[Total_Price]]</f>
        <v>-243.94000000000005</v>
      </c>
      <c r="S24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80" spans="1:19" x14ac:dyDescent="0.25">
      <c r="A2480" s="1" t="s">
        <v>3541</v>
      </c>
      <c r="B2480" s="2">
        <v>45449</v>
      </c>
      <c r="C2480" s="1" t="s">
        <v>173</v>
      </c>
      <c r="D2480" s="1" t="s">
        <v>67</v>
      </c>
      <c r="E2480" s="1" t="s">
        <v>94</v>
      </c>
      <c r="F2480" s="1" t="s">
        <v>84</v>
      </c>
      <c r="G2480" s="1" t="s">
        <v>169</v>
      </c>
      <c r="H2480" s="1" t="s">
        <v>175</v>
      </c>
      <c r="I2480" s="1">
        <v>1390.45</v>
      </c>
      <c r="J2480" s="1">
        <v>2</v>
      </c>
      <c r="K2480" s="1">
        <v>2780.9</v>
      </c>
      <c r="L2480" s="1">
        <v>0</v>
      </c>
      <c r="M2480" s="1">
        <v>0</v>
      </c>
      <c r="N2480" s="1">
        <v>2780.9</v>
      </c>
      <c r="O2480" s="1" t="s">
        <v>33</v>
      </c>
      <c r="P2480" s="1" t="s">
        <v>451</v>
      </c>
      <c r="Q2480" s="1">
        <v>1</v>
      </c>
      <c r="R2480" s="1">
        <f>Retail_Sales_Analyis[[#This Row],[Final_Price]]-Retail_Sales_Analyis[[#This Row],[Total_Price]]</f>
        <v>0</v>
      </c>
      <c r="S24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1" spans="1:19" x14ac:dyDescent="0.25">
      <c r="A2481" s="1" t="s">
        <v>3542</v>
      </c>
      <c r="B2481" s="2">
        <v>45644</v>
      </c>
      <c r="C2481" s="1" t="s">
        <v>73</v>
      </c>
      <c r="D2481" s="1" t="s">
        <v>55</v>
      </c>
      <c r="E2481" s="1" t="s">
        <v>107</v>
      </c>
      <c r="F2481" s="1" t="s">
        <v>84</v>
      </c>
      <c r="G2481" s="1" t="s">
        <v>169</v>
      </c>
      <c r="H2481" s="1" t="s">
        <v>208</v>
      </c>
      <c r="I2481" s="1">
        <v>357.07</v>
      </c>
      <c r="J2481" s="1">
        <v>5</v>
      </c>
      <c r="K2481" s="1">
        <v>1785.35</v>
      </c>
      <c r="L2481" s="1">
        <v>15</v>
      </c>
      <c r="M2481" s="1">
        <v>267.8</v>
      </c>
      <c r="N2481" s="1">
        <v>1517.55</v>
      </c>
      <c r="O2481" s="1" t="s">
        <v>64</v>
      </c>
      <c r="P2481" s="1" t="s">
        <v>3543</v>
      </c>
      <c r="Q2481" s="1">
        <v>1</v>
      </c>
      <c r="R2481" s="1">
        <f>Retail_Sales_Analyis[[#This Row],[Final_Price]]-Retail_Sales_Analyis[[#This Row],[Total_Price]]</f>
        <v>-267.79999999999995</v>
      </c>
      <c r="S24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82" spans="1:19" x14ac:dyDescent="0.25">
      <c r="A2482" s="1" t="s">
        <v>3544</v>
      </c>
      <c r="B2482" s="2">
        <v>45614</v>
      </c>
      <c r="C2482" s="1" t="s">
        <v>18</v>
      </c>
      <c r="D2482" s="1" t="s">
        <v>43</v>
      </c>
      <c r="E2482" s="1" t="s">
        <v>50</v>
      </c>
      <c r="F2482" s="1" t="s">
        <v>84</v>
      </c>
      <c r="G2482" s="1" t="s">
        <v>22</v>
      </c>
      <c r="H2482" s="1" t="s">
        <v>51</v>
      </c>
      <c r="I2482" s="1">
        <v>940.66</v>
      </c>
      <c r="J2482" s="1">
        <v>7</v>
      </c>
      <c r="K2482" s="1">
        <v>6584.62</v>
      </c>
      <c r="L2482" s="1">
        <v>10</v>
      </c>
      <c r="M2482" s="1">
        <v>658.46</v>
      </c>
      <c r="N2482" s="1">
        <v>5926.16</v>
      </c>
      <c r="O2482" s="1" t="s">
        <v>24</v>
      </c>
      <c r="P2482" s="1" t="s">
        <v>3545</v>
      </c>
      <c r="Q2482" s="1">
        <v>1</v>
      </c>
      <c r="R2482" s="1">
        <f>Retail_Sales_Analyis[[#This Row],[Final_Price]]-Retail_Sales_Analyis[[#This Row],[Total_Price]]</f>
        <v>-658.46</v>
      </c>
      <c r="S24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483" spans="1:19" x14ac:dyDescent="0.25">
      <c r="A2483" s="1" t="s">
        <v>3546</v>
      </c>
      <c r="B2483" s="2">
        <v>45305</v>
      </c>
      <c r="C2483" s="1" t="s">
        <v>36</v>
      </c>
      <c r="D2483" s="1" t="s">
        <v>49</v>
      </c>
      <c r="E2483" s="1" t="s">
        <v>351</v>
      </c>
      <c r="F2483" s="1" t="s">
        <v>84</v>
      </c>
      <c r="G2483" s="1" t="s">
        <v>57</v>
      </c>
      <c r="H2483" s="1" t="s">
        <v>158</v>
      </c>
      <c r="I2483" s="1">
        <v>604.26</v>
      </c>
      <c r="J2483" s="1">
        <v>4</v>
      </c>
      <c r="K2483" s="1">
        <v>2417.04</v>
      </c>
      <c r="L2483" s="1">
        <v>0</v>
      </c>
      <c r="M2483" s="1">
        <v>0</v>
      </c>
      <c r="N2483" s="1">
        <v>2417.04</v>
      </c>
      <c r="O2483" s="1" t="s">
        <v>80</v>
      </c>
      <c r="P2483" s="1" t="s">
        <v>1142</v>
      </c>
      <c r="Q2483" s="1">
        <v>3</v>
      </c>
      <c r="R2483" s="1">
        <f>Retail_Sales_Analyis[[#This Row],[Final_Price]]-Retail_Sales_Analyis[[#This Row],[Total_Price]]</f>
        <v>0</v>
      </c>
      <c r="S24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4" spans="1:19" x14ac:dyDescent="0.25">
      <c r="A2484" s="1" t="s">
        <v>3547</v>
      </c>
      <c r="B2484" s="2">
        <v>45597</v>
      </c>
      <c r="C2484" s="1" t="s">
        <v>18</v>
      </c>
      <c r="D2484" s="1" t="s">
        <v>144</v>
      </c>
      <c r="E2484" s="1" t="s">
        <v>168</v>
      </c>
      <c r="F2484" s="1" t="s">
        <v>69</v>
      </c>
      <c r="G2484" s="1" t="s">
        <v>85</v>
      </c>
      <c r="H2484" s="1" t="s">
        <v>297</v>
      </c>
      <c r="I2484" s="1">
        <v>1838.12</v>
      </c>
      <c r="J2484" s="1">
        <v>4</v>
      </c>
      <c r="K2484" s="1">
        <v>7352.48</v>
      </c>
      <c r="L2484" s="1">
        <v>0</v>
      </c>
      <c r="M2484" s="1">
        <v>0</v>
      </c>
      <c r="N2484" s="1">
        <v>7352.48</v>
      </c>
      <c r="O2484" s="1" t="s">
        <v>33</v>
      </c>
      <c r="P2484" s="1" t="s">
        <v>2133</v>
      </c>
      <c r="Q2484" s="1">
        <v>1</v>
      </c>
      <c r="R2484" s="1">
        <f>Retail_Sales_Analyis[[#This Row],[Final_Price]]-Retail_Sales_Analyis[[#This Row],[Total_Price]]</f>
        <v>0</v>
      </c>
      <c r="S24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5" spans="1:19" x14ac:dyDescent="0.25">
      <c r="A2485" s="1" t="s">
        <v>3548</v>
      </c>
      <c r="B2485" s="2">
        <v>45534</v>
      </c>
      <c r="C2485" s="1" t="s">
        <v>93</v>
      </c>
      <c r="D2485" s="1" t="s">
        <v>144</v>
      </c>
      <c r="E2485" s="1" t="s">
        <v>121</v>
      </c>
      <c r="F2485" s="1" t="s">
        <v>37</v>
      </c>
      <c r="G2485" s="1" t="s">
        <v>169</v>
      </c>
      <c r="H2485" s="1" t="s">
        <v>348</v>
      </c>
      <c r="I2485" s="1">
        <v>1304.8</v>
      </c>
      <c r="J2485" s="1">
        <v>10</v>
      </c>
      <c r="K2485" s="1">
        <v>13048</v>
      </c>
      <c r="L2485" s="1">
        <v>0</v>
      </c>
      <c r="M2485" s="1">
        <v>0</v>
      </c>
      <c r="N2485" s="1">
        <v>13048</v>
      </c>
      <c r="O2485" s="1" t="s">
        <v>64</v>
      </c>
      <c r="P2485" s="1" t="s">
        <v>2175</v>
      </c>
      <c r="Q2485" s="1">
        <v>5</v>
      </c>
      <c r="R2485" s="1">
        <f>Retail_Sales_Analyis[[#This Row],[Final_Price]]-Retail_Sales_Analyis[[#This Row],[Total_Price]]</f>
        <v>0</v>
      </c>
      <c r="S24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6" spans="1:19" x14ac:dyDescent="0.25">
      <c r="A2486" s="1" t="s">
        <v>3549</v>
      </c>
      <c r="B2486" s="2">
        <v>45427</v>
      </c>
      <c r="C2486" s="1" t="s">
        <v>42</v>
      </c>
      <c r="D2486" s="1" t="s">
        <v>55</v>
      </c>
      <c r="E2486" s="1" t="s">
        <v>145</v>
      </c>
      <c r="F2486" s="1" t="s">
        <v>21</v>
      </c>
      <c r="G2486" s="1" t="s">
        <v>78</v>
      </c>
      <c r="H2486" s="1" t="s">
        <v>136</v>
      </c>
      <c r="I2486" s="1">
        <v>194.5</v>
      </c>
      <c r="J2486" s="1">
        <v>2</v>
      </c>
      <c r="K2486" s="1">
        <v>389</v>
      </c>
      <c r="L2486" s="1">
        <v>20</v>
      </c>
      <c r="M2486" s="1">
        <v>77.8</v>
      </c>
      <c r="N2486" s="1">
        <v>311.2</v>
      </c>
      <c r="O2486" s="1" t="s">
        <v>33</v>
      </c>
      <c r="P2486" s="1" t="s">
        <v>1497</v>
      </c>
      <c r="Q2486" s="1">
        <v>1</v>
      </c>
      <c r="R2486" s="1">
        <f>Retail_Sales_Analyis[[#This Row],[Final_Price]]-Retail_Sales_Analyis[[#This Row],[Total_Price]]</f>
        <v>-77.800000000000011</v>
      </c>
      <c r="S24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87" spans="1:19" x14ac:dyDescent="0.25">
      <c r="A2487" s="1" t="s">
        <v>3550</v>
      </c>
      <c r="B2487" s="2">
        <v>45627</v>
      </c>
      <c r="C2487" s="1" t="s">
        <v>73</v>
      </c>
      <c r="D2487" s="1" t="s">
        <v>49</v>
      </c>
      <c r="E2487" s="1" t="s">
        <v>104</v>
      </c>
      <c r="F2487" s="1" t="s">
        <v>37</v>
      </c>
      <c r="G2487" s="1" t="s">
        <v>169</v>
      </c>
      <c r="H2487" s="1" t="s">
        <v>170</v>
      </c>
      <c r="I2487" s="1">
        <v>1118.21</v>
      </c>
      <c r="J2487" s="1">
        <v>1</v>
      </c>
      <c r="K2487" s="1">
        <v>1118.21</v>
      </c>
      <c r="L2487" s="1">
        <v>0</v>
      </c>
      <c r="M2487" s="1">
        <v>0</v>
      </c>
      <c r="N2487" s="1">
        <v>1118.21</v>
      </c>
      <c r="O2487" s="1" t="s">
        <v>46</v>
      </c>
      <c r="P2487" s="1" t="s">
        <v>1254</v>
      </c>
      <c r="Q2487" s="1">
        <v>4</v>
      </c>
      <c r="R2487" s="1">
        <f>Retail_Sales_Analyis[[#This Row],[Final_Price]]-Retail_Sales_Analyis[[#This Row],[Total_Price]]</f>
        <v>0</v>
      </c>
      <c r="S24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88" spans="1:19" x14ac:dyDescent="0.25">
      <c r="A2488" s="1" t="s">
        <v>3551</v>
      </c>
      <c r="B2488" s="2">
        <v>45588</v>
      </c>
      <c r="C2488" s="1" t="s">
        <v>76</v>
      </c>
      <c r="D2488" s="1" t="s">
        <v>55</v>
      </c>
      <c r="E2488" s="1" t="s">
        <v>328</v>
      </c>
      <c r="F2488" s="1" t="s">
        <v>30</v>
      </c>
      <c r="G2488" s="1" t="s">
        <v>169</v>
      </c>
      <c r="H2488" s="1" t="s">
        <v>175</v>
      </c>
      <c r="I2488" s="1">
        <v>410.42</v>
      </c>
      <c r="J2488" s="1">
        <v>3</v>
      </c>
      <c r="K2488" s="1">
        <v>1231.26</v>
      </c>
      <c r="L2488" s="1">
        <v>20</v>
      </c>
      <c r="M2488" s="1">
        <v>246.25</v>
      </c>
      <c r="N2488" s="1">
        <v>985.01</v>
      </c>
      <c r="O2488" s="1" t="s">
        <v>80</v>
      </c>
      <c r="P2488" s="1" t="s">
        <v>3552</v>
      </c>
      <c r="Q2488" s="1">
        <v>4</v>
      </c>
      <c r="R2488" s="1">
        <f>Retail_Sales_Analyis[[#This Row],[Final_Price]]-Retail_Sales_Analyis[[#This Row],[Total_Price]]</f>
        <v>-246.25</v>
      </c>
      <c r="S24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89" spans="1:19" x14ac:dyDescent="0.25">
      <c r="A2489" s="1" t="s">
        <v>3553</v>
      </c>
      <c r="B2489" s="2">
        <v>45587</v>
      </c>
      <c r="C2489" s="1" t="s">
        <v>76</v>
      </c>
      <c r="D2489" s="1" t="s">
        <v>28</v>
      </c>
      <c r="E2489" s="1" t="s">
        <v>302</v>
      </c>
      <c r="F2489" s="1" t="s">
        <v>69</v>
      </c>
      <c r="G2489" s="1" t="s">
        <v>85</v>
      </c>
      <c r="H2489" s="1" t="s">
        <v>86</v>
      </c>
      <c r="I2489" s="1">
        <v>4735.55</v>
      </c>
      <c r="J2489" s="1">
        <v>2</v>
      </c>
      <c r="K2489" s="1">
        <v>9471.1</v>
      </c>
      <c r="L2489" s="1">
        <v>20</v>
      </c>
      <c r="M2489" s="1">
        <v>1894.22</v>
      </c>
      <c r="N2489" s="1">
        <v>7576.88</v>
      </c>
      <c r="O2489" s="1" t="s">
        <v>80</v>
      </c>
      <c r="P2489" s="1" t="s">
        <v>3554</v>
      </c>
      <c r="Q2489" s="1">
        <v>2</v>
      </c>
      <c r="R2489" s="1">
        <f>Retail_Sales_Analyis[[#This Row],[Final_Price]]-Retail_Sales_Analyis[[#This Row],[Total_Price]]</f>
        <v>-1894.2200000000003</v>
      </c>
      <c r="S24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490" spans="1:19" x14ac:dyDescent="0.25">
      <c r="A2490" s="1" t="s">
        <v>3555</v>
      </c>
      <c r="B2490" s="2">
        <v>45408</v>
      </c>
      <c r="C2490" s="1" t="s">
        <v>54</v>
      </c>
      <c r="D2490" s="1" t="s">
        <v>144</v>
      </c>
      <c r="E2490" s="1" t="s">
        <v>29</v>
      </c>
      <c r="F2490" s="1" t="s">
        <v>84</v>
      </c>
      <c r="G2490" s="1" t="s">
        <v>78</v>
      </c>
      <c r="H2490" s="1" t="s">
        <v>136</v>
      </c>
      <c r="I2490" s="1">
        <v>321.25</v>
      </c>
      <c r="J2490" s="1">
        <v>7</v>
      </c>
      <c r="K2490" s="1">
        <v>2248.75</v>
      </c>
      <c r="L2490" s="1">
        <v>0</v>
      </c>
      <c r="M2490" s="1">
        <v>0</v>
      </c>
      <c r="N2490" s="1">
        <v>2248.75</v>
      </c>
      <c r="O2490" s="1" t="s">
        <v>80</v>
      </c>
      <c r="P2490" s="1" t="s">
        <v>1701</v>
      </c>
      <c r="Q2490" s="1">
        <v>1</v>
      </c>
      <c r="R2490" s="1">
        <f>Retail_Sales_Analyis[[#This Row],[Final_Price]]-Retail_Sales_Analyis[[#This Row],[Total_Price]]</f>
        <v>0</v>
      </c>
      <c r="S24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1" spans="1:19" x14ac:dyDescent="0.25">
      <c r="A2491" s="1" t="s">
        <v>3556</v>
      </c>
      <c r="B2491" s="2">
        <v>45318</v>
      </c>
      <c r="C2491" s="1" t="s">
        <v>36</v>
      </c>
      <c r="D2491" s="1" t="s">
        <v>19</v>
      </c>
      <c r="E2491" s="1" t="s">
        <v>104</v>
      </c>
      <c r="F2491" s="1" t="s">
        <v>69</v>
      </c>
      <c r="G2491" s="1" t="s">
        <v>169</v>
      </c>
      <c r="H2491" s="1" t="s">
        <v>208</v>
      </c>
      <c r="I2491" s="1">
        <v>1401.56</v>
      </c>
      <c r="J2491" s="1">
        <v>8</v>
      </c>
      <c r="K2491" s="1">
        <v>11212.48</v>
      </c>
      <c r="L2491" s="1">
        <v>0</v>
      </c>
      <c r="M2491" s="1">
        <v>0</v>
      </c>
      <c r="N2491" s="1">
        <v>11212.48</v>
      </c>
      <c r="O2491" s="1" t="s">
        <v>80</v>
      </c>
      <c r="P2491" s="1" t="s">
        <v>1405</v>
      </c>
      <c r="Q2491" s="1">
        <v>1</v>
      </c>
      <c r="R2491" s="1">
        <f>Retail_Sales_Analyis[[#This Row],[Final_Price]]-Retail_Sales_Analyis[[#This Row],[Total_Price]]</f>
        <v>0</v>
      </c>
      <c r="S24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2" spans="1:19" x14ac:dyDescent="0.25">
      <c r="A2492" s="1" t="s">
        <v>3557</v>
      </c>
      <c r="B2492" s="2">
        <v>45590</v>
      </c>
      <c r="C2492" s="1" t="s">
        <v>76</v>
      </c>
      <c r="D2492" s="1" t="s">
        <v>144</v>
      </c>
      <c r="E2492" s="1" t="s">
        <v>111</v>
      </c>
      <c r="F2492" s="1" t="s">
        <v>37</v>
      </c>
      <c r="G2492" s="1" t="s">
        <v>38</v>
      </c>
      <c r="H2492" s="1" t="s">
        <v>214</v>
      </c>
      <c r="I2492" s="1">
        <v>274.64999999999998</v>
      </c>
      <c r="J2492" s="1">
        <v>3</v>
      </c>
      <c r="K2492" s="1">
        <v>823.95</v>
      </c>
      <c r="L2492" s="1">
        <v>0</v>
      </c>
      <c r="M2492" s="1">
        <v>0</v>
      </c>
      <c r="N2492" s="1">
        <v>823.95</v>
      </c>
      <c r="O2492" s="1" t="s">
        <v>46</v>
      </c>
      <c r="P2492" s="1" t="s">
        <v>332</v>
      </c>
      <c r="Q2492" s="1">
        <v>3</v>
      </c>
      <c r="R2492" s="1">
        <f>Retail_Sales_Analyis[[#This Row],[Final_Price]]-Retail_Sales_Analyis[[#This Row],[Total_Price]]</f>
        <v>0</v>
      </c>
      <c r="S24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3" spans="1:19" x14ac:dyDescent="0.25">
      <c r="A2493" s="1" t="s">
        <v>3558</v>
      </c>
      <c r="B2493" s="2">
        <v>45537</v>
      </c>
      <c r="C2493" s="1" t="s">
        <v>116</v>
      </c>
      <c r="D2493" s="1" t="s">
        <v>43</v>
      </c>
      <c r="E2493" s="1" t="s">
        <v>89</v>
      </c>
      <c r="F2493" s="1" t="s">
        <v>69</v>
      </c>
      <c r="G2493" s="1" t="s">
        <v>57</v>
      </c>
      <c r="H2493" s="1" t="s">
        <v>152</v>
      </c>
      <c r="I2493" s="1">
        <v>2776.23</v>
      </c>
      <c r="J2493" s="1">
        <v>4</v>
      </c>
      <c r="K2493" s="1">
        <v>11104.92</v>
      </c>
      <c r="L2493" s="1">
        <v>0</v>
      </c>
      <c r="M2493" s="1">
        <v>0</v>
      </c>
      <c r="N2493" s="1">
        <v>11104.92</v>
      </c>
      <c r="O2493" s="1" t="s">
        <v>24</v>
      </c>
      <c r="P2493" s="1" t="s">
        <v>1375</v>
      </c>
      <c r="Q2493" s="1">
        <v>4</v>
      </c>
      <c r="R2493" s="1">
        <f>Retail_Sales_Analyis[[#This Row],[Final_Price]]-Retail_Sales_Analyis[[#This Row],[Total_Price]]</f>
        <v>0</v>
      </c>
      <c r="S24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4" spans="1:19" x14ac:dyDescent="0.25">
      <c r="A2494" s="1" t="s">
        <v>3559</v>
      </c>
      <c r="B2494" s="2">
        <v>45379</v>
      </c>
      <c r="C2494" s="1" t="s">
        <v>61</v>
      </c>
      <c r="D2494" s="1" t="s">
        <v>67</v>
      </c>
      <c r="E2494" s="1" t="s">
        <v>236</v>
      </c>
      <c r="F2494" s="1" t="s">
        <v>30</v>
      </c>
      <c r="G2494" s="1" t="s">
        <v>85</v>
      </c>
      <c r="H2494" s="1" t="s">
        <v>86</v>
      </c>
      <c r="I2494" s="1">
        <v>1265.72</v>
      </c>
      <c r="J2494" s="1">
        <v>9</v>
      </c>
      <c r="K2494" s="1">
        <v>11391.48</v>
      </c>
      <c r="L2494" s="1">
        <v>0</v>
      </c>
      <c r="M2494" s="1">
        <v>0</v>
      </c>
      <c r="N2494" s="1">
        <v>11391.48</v>
      </c>
      <c r="O2494" s="1" t="s">
        <v>46</v>
      </c>
      <c r="P2494" s="1" t="s">
        <v>202</v>
      </c>
      <c r="Q2494" s="1">
        <v>3</v>
      </c>
      <c r="R2494" s="1">
        <f>Retail_Sales_Analyis[[#This Row],[Final_Price]]-Retail_Sales_Analyis[[#This Row],[Total_Price]]</f>
        <v>0</v>
      </c>
      <c r="S24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5" spans="1:19" x14ac:dyDescent="0.25">
      <c r="A2495" s="1" t="s">
        <v>3560</v>
      </c>
      <c r="B2495" s="2">
        <v>45560</v>
      </c>
      <c r="C2495" s="1" t="s">
        <v>116</v>
      </c>
      <c r="D2495" s="1" t="s">
        <v>55</v>
      </c>
      <c r="E2495" s="1" t="s">
        <v>44</v>
      </c>
      <c r="F2495" s="1" t="s">
        <v>37</v>
      </c>
      <c r="G2495" s="1" t="s">
        <v>31</v>
      </c>
      <c r="H2495" s="1" t="s">
        <v>63</v>
      </c>
      <c r="I2495" s="1">
        <v>452.04</v>
      </c>
      <c r="J2495" s="1">
        <v>1</v>
      </c>
      <c r="K2495" s="1">
        <v>452.04</v>
      </c>
      <c r="L2495" s="1">
        <v>0</v>
      </c>
      <c r="M2495" s="1">
        <v>0</v>
      </c>
      <c r="N2495" s="1">
        <v>452.04</v>
      </c>
      <c r="O2495" s="1" t="s">
        <v>46</v>
      </c>
      <c r="P2495" s="1" t="s">
        <v>1106</v>
      </c>
      <c r="Q2495" s="1">
        <v>3</v>
      </c>
      <c r="R2495" s="1">
        <f>Retail_Sales_Analyis[[#This Row],[Final_Price]]-Retail_Sales_Analyis[[#This Row],[Total_Price]]</f>
        <v>0</v>
      </c>
      <c r="S24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6" spans="1:19" x14ac:dyDescent="0.25">
      <c r="A2496" s="1" t="s">
        <v>3561</v>
      </c>
      <c r="B2496" s="2">
        <v>45614</v>
      </c>
      <c r="C2496" s="1" t="s">
        <v>18</v>
      </c>
      <c r="D2496" s="1" t="s">
        <v>43</v>
      </c>
      <c r="E2496" s="1" t="s">
        <v>411</v>
      </c>
      <c r="F2496" s="1" t="s">
        <v>69</v>
      </c>
      <c r="G2496" s="1" t="s">
        <v>31</v>
      </c>
      <c r="H2496" s="1" t="s">
        <v>45</v>
      </c>
      <c r="I2496" s="1">
        <v>294.26</v>
      </c>
      <c r="J2496" s="1">
        <v>10</v>
      </c>
      <c r="K2496" s="1">
        <v>2942.6</v>
      </c>
      <c r="L2496" s="1">
        <v>0</v>
      </c>
      <c r="M2496" s="1">
        <v>0</v>
      </c>
      <c r="N2496" s="1">
        <v>2942.6</v>
      </c>
      <c r="O2496" s="1" t="s">
        <v>80</v>
      </c>
      <c r="P2496" s="1" t="s">
        <v>2979</v>
      </c>
      <c r="Q2496" s="1">
        <v>5</v>
      </c>
      <c r="R2496" s="1">
        <f>Retail_Sales_Analyis[[#This Row],[Final_Price]]-Retail_Sales_Analyis[[#This Row],[Total_Price]]</f>
        <v>0</v>
      </c>
      <c r="S24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7" spans="1:19" x14ac:dyDescent="0.25">
      <c r="A2497" s="1" t="s">
        <v>3562</v>
      </c>
      <c r="B2497" s="2">
        <v>45609</v>
      </c>
      <c r="C2497" s="1" t="s">
        <v>18</v>
      </c>
      <c r="D2497" s="1" t="s">
        <v>55</v>
      </c>
      <c r="E2497" s="1" t="s">
        <v>307</v>
      </c>
      <c r="F2497" s="1" t="s">
        <v>37</v>
      </c>
      <c r="G2497" s="1" t="s">
        <v>38</v>
      </c>
      <c r="H2497" s="1" t="s">
        <v>70</v>
      </c>
      <c r="I2497" s="1">
        <v>499.15</v>
      </c>
      <c r="J2497" s="1">
        <v>10</v>
      </c>
      <c r="K2497" s="1">
        <v>4991.5</v>
      </c>
      <c r="L2497" s="1">
        <v>0</v>
      </c>
      <c r="M2497" s="1">
        <v>0</v>
      </c>
      <c r="N2497" s="1">
        <v>4991.5</v>
      </c>
      <c r="O2497" s="1" t="s">
        <v>24</v>
      </c>
      <c r="P2497" s="1" t="s">
        <v>1601</v>
      </c>
      <c r="Q2497" s="1">
        <v>1</v>
      </c>
      <c r="R2497" s="1">
        <f>Retail_Sales_Analyis[[#This Row],[Final_Price]]-Retail_Sales_Analyis[[#This Row],[Total_Price]]</f>
        <v>0</v>
      </c>
      <c r="S24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8" spans="1:19" x14ac:dyDescent="0.25">
      <c r="A2498" s="1" t="s">
        <v>3563</v>
      </c>
      <c r="B2498" s="2">
        <v>45486</v>
      </c>
      <c r="C2498" s="1" t="s">
        <v>195</v>
      </c>
      <c r="D2498" s="1" t="s">
        <v>19</v>
      </c>
      <c r="E2498" s="1" t="s">
        <v>77</v>
      </c>
      <c r="F2498" s="1" t="s">
        <v>84</v>
      </c>
      <c r="G2498" s="1" t="s">
        <v>78</v>
      </c>
      <c r="H2498" s="1" t="s">
        <v>136</v>
      </c>
      <c r="I2498" s="1">
        <v>353.14</v>
      </c>
      <c r="J2498" s="1">
        <v>7</v>
      </c>
      <c r="K2498" s="1">
        <v>2471.98</v>
      </c>
      <c r="L2498" s="1">
        <v>0</v>
      </c>
      <c r="M2498" s="1">
        <v>0</v>
      </c>
      <c r="N2498" s="1">
        <v>2471.98</v>
      </c>
      <c r="O2498" s="1" t="s">
        <v>46</v>
      </c>
      <c r="P2498" s="1" t="s">
        <v>155</v>
      </c>
      <c r="Q2498" s="1">
        <v>3</v>
      </c>
      <c r="R2498" s="1">
        <f>Retail_Sales_Analyis[[#This Row],[Final_Price]]-Retail_Sales_Analyis[[#This Row],[Total_Price]]</f>
        <v>0</v>
      </c>
      <c r="S24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499" spans="1:19" x14ac:dyDescent="0.25">
      <c r="A2499" s="1" t="s">
        <v>3564</v>
      </c>
      <c r="B2499" s="2">
        <v>45367</v>
      </c>
      <c r="C2499" s="1" t="s">
        <v>61</v>
      </c>
      <c r="D2499" s="1" t="s">
        <v>19</v>
      </c>
      <c r="E2499" s="1" t="s">
        <v>207</v>
      </c>
      <c r="F2499" s="1" t="s">
        <v>21</v>
      </c>
      <c r="G2499" s="1" t="s">
        <v>85</v>
      </c>
      <c r="H2499" s="1" t="s">
        <v>98</v>
      </c>
      <c r="I2499" s="1">
        <v>2793.02</v>
      </c>
      <c r="J2499" s="1">
        <v>2</v>
      </c>
      <c r="K2499" s="1">
        <v>5586.04</v>
      </c>
      <c r="L2499" s="1">
        <v>5</v>
      </c>
      <c r="M2499" s="1">
        <v>279.3</v>
      </c>
      <c r="N2499" s="1">
        <v>5306.74</v>
      </c>
      <c r="O2499" s="1" t="s">
        <v>64</v>
      </c>
      <c r="P2499" s="1" t="s">
        <v>1652</v>
      </c>
      <c r="Q2499" s="1">
        <v>4</v>
      </c>
      <c r="R2499" s="1">
        <f>Retail_Sales_Analyis[[#This Row],[Final_Price]]-Retail_Sales_Analyis[[#This Row],[Total_Price]]</f>
        <v>-279.30000000000018</v>
      </c>
      <c r="S24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00" spans="1:19" x14ac:dyDescent="0.25">
      <c r="A2500" s="1" t="s">
        <v>3565</v>
      </c>
      <c r="B2500" s="2">
        <v>45640</v>
      </c>
      <c r="C2500" s="1" t="s">
        <v>73</v>
      </c>
      <c r="D2500" s="1" t="s">
        <v>19</v>
      </c>
      <c r="E2500" s="1" t="s">
        <v>337</v>
      </c>
      <c r="F2500" s="1" t="s">
        <v>37</v>
      </c>
      <c r="G2500" s="1" t="s">
        <v>78</v>
      </c>
      <c r="H2500" s="1" t="s">
        <v>136</v>
      </c>
      <c r="I2500" s="1">
        <v>315.13</v>
      </c>
      <c r="J2500" s="1">
        <v>5</v>
      </c>
      <c r="K2500" s="1">
        <v>1575.65</v>
      </c>
      <c r="L2500" s="1">
        <v>5</v>
      </c>
      <c r="M2500" s="1">
        <v>78.78</v>
      </c>
      <c r="N2500" s="1">
        <v>1496.87</v>
      </c>
      <c r="O2500" s="1" t="s">
        <v>24</v>
      </c>
      <c r="P2500" s="1" t="s">
        <v>759</v>
      </c>
      <c r="Q2500" s="1">
        <v>4</v>
      </c>
      <c r="R2500" s="1">
        <f>Retail_Sales_Analyis[[#This Row],[Final_Price]]-Retail_Sales_Analyis[[#This Row],[Total_Price]]</f>
        <v>-78.7800000000002</v>
      </c>
      <c r="S25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01" spans="1:19" x14ac:dyDescent="0.25">
      <c r="A2501" s="1" t="s">
        <v>3566</v>
      </c>
      <c r="B2501" s="2">
        <v>45416</v>
      </c>
      <c r="C2501" s="1" t="s">
        <v>42</v>
      </c>
      <c r="D2501" s="1" t="s">
        <v>19</v>
      </c>
      <c r="E2501" s="1" t="s">
        <v>20</v>
      </c>
      <c r="F2501" s="1" t="s">
        <v>69</v>
      </c>
      <c r="G2501" s="1" t="s">
        <v>38</v>
      </c>
      <c r="H2501" s="1" t="s">
        <v>422</v>
      </c>
      <c r="I2501" s="1">
        <v>177.86</v>
      </c>
      <c r="J2501" s="1">
        <v>4</v>
      </c>
      <c r="K2501" s="1">
        <v>711.44</v>
      </c>
      <c r="L2501" s="1">
        <v>0</v>
      </c>
      <c r="M2501" s="1">
        <v>0</v>
      </c>
      <c r="N2501" s="1">
        <v>711.44</v>
      </c>
      <c r="O2501" s="1" t="s">
        <v>33</v>
      </c>
      <c r="P2501" s="1" t="s">
        <v>343</v>
      </c>
      <c r="Q2501" s="1">
        <v>5</v>
      </c>
      <c r="R2501" s="1">
        <f>Retail_Sales_Analyis[[#This Row],[Final_Price]]-Retail_Sales_Analyis[[#This Row],[Total_Price]]</f>
        <v>0</v>
      </c>
      <c r="S25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02" spans="1:19" x14ac:dyDescent="0.25">
      <c r="A2502" s="1" t="s">
        <v>3567</v>
      </c>
      <c r="B2502" s="2">
        <v>45308</v>
      </c>
      <c r="C2502" s="1" t="s">
        <v>36</v>
      </c>
      <c r="D2502" s="1" t="s">
        <v>55</v>
      </c>
      <c r="E2502" s="1" t="s">
        <v>157</v>
      </c>
      <c r="F2502" s="1" t="s">
        <v>69</v>
      </c>
      <c r="G2502" s="1" t="s">
        <v>85</v>
      </c>
      <c r="H2502" s="1" t="s">
        <v>180</v>
      </c>
      <c r="I2502" s="1">
        <v>1162.0999999999999</v>
      </c>
      <c r="J2502" s="1">
        <v>9</v>
      </c>
      <c r="K2502" s="1">
        <v>10458.9</v>
      </c>
      <c r="L2502" s="1">
        <v>5</v>
      </c>
      <c r="M2502" s="1">
        <v>522.95000000000005</v>
      </c>
      <c r="N2502" s="1">
        <v>9935.9500000000007</v>
      </c>
      <c r="O2502" s="1" t="s">
        <v>24</v>
      </c>
      <c r="P2502" s="1" t="s">
        <v>255</v>
      </c>
      <c r="Q2502" s="1">
        <v>1</v>
      </c>
      <c r="R2502" s="1">
        <f>Retail_Sales_Analyis[[#This Row],[Final_Price]]-Retail_Sales_Analyis[[#This Row],[Total_Price]]</f>
        <v>-522.94999999999891</v>
      </c>
      <c r="S250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03" spans="1:19" x14ac:dyDescent="0.25">
      <c r="A2503" s="1" t="s">
        <v>3568</v>
      </c>
      <c r="B2503" s="2">
        <v>45585</v>
      </c>
      <c r="C2503" s="1" t="s">
        <v>76</v>
      </c>
      <c r="D2503" s="1" t="s">
        <v>49</v>
      </c>
      <c r="E2503" s="1" t="s">
        <v>107</v>
      </c>
      <c r="F2503" s="1" t="s">
        <v>37</v>
      </c>
      <c r="G2503" s="1" t="s">
        <v>112</v>
      </c>
      <c r="H2503" s="1" t="s">
        <v>118</v>
      </c>
      <c r="I2503" s="1">
        <v>1982.41</v>
      </c>
      <c r="J2503" s="1">
        <v>2</v>
      </c>
      <c r="K2503" s="1">
        <v>3964.82</v>
      </c>
      <c r="L2503" s="1">
        <v>5</v>
      </c>
      <c r="M2503" s="1">
        <v>198.24</v>
      </c>
      <c r="N2503" s="1">
        <v>3766.58</v>
      </c>
      <c r="O2503" s="1" t="s">
        <v>64</v>
      </c>
      <c r="P2503" s="1" t="s">
        <v>2301</v>
      </c>
      <c r="Q2503" s="1">
        <v>5</v>
      </c>
      <c r="R2503" s="1">
        <f>Retail_Sales_Analyis[[#This Row],[Final_Price]]-Retail_Sales_Analyis[[#This Row],[Total_Price]]</f>
        <v>-198.24000000000024</v>
      </c>
      <c r="S25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04" spans="1:19" x14ac:dyDescent="0.25">
      <c r="A2504" s="1" t="s">
        <v>3569</v>
      </c>
      <c r="B2504" s="2">
        <v>45650</v>
      </c>
      <c r="C2504" s="1" t="s">
        <v>73</v>
      </c>
      <c r="D2504" s="1" t="s">
        <v>28</v>
      </c>
      <c r="E2504" s="1" t="s">
        <v>68</v>
      </c>
      <c r="F2504" s="1" t="s">
        <v>21</v>
      </c>
      <c r="G2504" s="1" t="s">
        <v>22</v>
      </c>
      <c r="H2504" s="1" t="s">
        <v>23</v>
      </c>
      <c r="I2504" s="1">
        <v>353.74</v>
      </c>
      <c r="J2504" s="1">
        <v>2</v>
      </c>
      <c r="K2504" s="1">
        <v>707.48</v>
      </c>
      <c r="L2504" s="1">
        <v>0</v>
      </c>
      <c r="M2504" s="1">
        <v>0</v>
      </c>
      <c r="N2504" s="1">
        <v>707.48</v>
      </c>
      <c r="O2504" s="1" t="s">
        <v>46</v>
      </c>
      <c r="P2504" s="1" t="s">
        <v>530</v>
      </c>
      <c r="Q2504" s="1">
        <v>2</v>
      </c>
      <c r="R2504" s="1">
        <f>Retail_Sales_Analyis[[#This Row],[Final_Price]]-Retail_Sales_Analyis[[#This Row],[Total_Price]]</f>
        <v>0</v>
      </c>
      <c r="S25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05" spans="1:19" x14ac:dyDescent="0.25">
      <c r="A2505" s="1" t="s">
        <v>3570</v>
      </c>
      <c r="B2505" s="2">
        <v>45348</v>
      </c>
      <c r="C2505" s="1" t="s">
        <v>27</v>
      </c>
      <c r="D2505" s="1" t="s">
        <v>43</v>
      </c>
      <c r="E2505" s="1" t="s">
        <v>199</v>
      </c>
      <c r="F2505" s="1" t="s">
        <v>69</v>
      </c>
      <c r="G2505" s="1" t="s">
        <v>85</v>
      </c>
      <c r="H2505" s="1" t="s">
        <v>98</v>
      </c>
      <c r="I2505" s="1">
        <v>1699.96</v>
      </c>
      <c r="J2505" s="1">
        <v>3</v>
      </c>
      <c r="K2505" s="1">
        <v>5099.88</v>
      </c>
      <c r="L2505" s="1">
        <v>0</v>
      </c>
      <c r="M2505" s="1">
        <v>0</v>
      </c>
      <c r="N2505" s="1">
        <v>5099.88</v>
      </c>
      <c r="O2505" s="1" t="s">
        <v>24</v>
      </c>
      <c r="P2505" s="1" t="s">
        <v>429</v>
      </c>
      <c r="Q2505" s="1">
        <v>5</v>
      </c>
      <c r="R2505" s="1">
        <f>Retail_Sales_Analyis[[#This Row],[Final_Price]]-Retail_Sales_Analyis[[#This Row],[Total_Price]]</f>
        <v>0</v>
      </c>
      <c r="S25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06" spans="1:19" x14ac:dyDescent="0.25">
      <c r="A2506" s="1" t="s">
        <v>3571</v>
      </c>
      <c r="B2506" s="2">
        <v>45389</v>
      </c>
      <c r="C2506" s="1" t="s">
        <v>54</v>
      </c>
      <c r="D2506" s="1" t="s">
        <v>49</v>
      </c>
      <c r="E2506" s="1" t="s">
        <v>342</v>
      </c>
      <c r="F2506" s="1" t="s">
        <v>37</v>
      </c>
      <c r="G2506" s="1" t="s">
        <v>85</v>
      </c>
      <c r="H2506" s="1" t="s">
        <v>90</v>
      </c>
      <c r="I2506" s="1">
        <v>1770.42</v>
      </c>
      <c r="J2506" s="1">
        <v>10</v>
      </c>
      <c r="K2506" s="1">
        <v>17704.2</v>
      </c>
      <c r="L2506" s="1">
        <v>10</v>
      </c>
      <c r="M2506" s="1">
        <v>1770.42</v>
      </c>
      <c r="N2506" s="1">
        <v>15933.78</v>
      </c>
      <c r="O2506" s="1" t="s">
        <v>80</v>
      </c>
      <c r="P2506" s="1" t="s">
        <v>2085</v>
      </c>
      <c r="Q2506" s="1">
        <v>3</v>
      </c>
      <c r="R2506" s="1">
        <f>Retail_Sales_Analyis[[#This Row],[Final_Price]]-Retail_Sales_Analyis[[#This Row],[Total_Price]]</f>
        <v>-1770.42</v>
      </c>
      <c r="S25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07" spans="1:19" x14ac:dyDescent="0.25">
      <c r="A2507" s="1" t="s">
        <v>3572</v>
      </c>
      <c r="B2507" s="2">
        <v>45301</v>
      </c>
      <c r="C2507" s="1" t="s">
        <v>36</v>
      </c>
      <c r="D2507" s="1" t="s">
        <v>55</v>
      </c>
      <c r="E2507" s="1" t="s">
        <v>322</v>
      </c>
      <c r="F2507" s="1" t="s">
        <v>21</v>
      </c>
      <c r="G2507" s="1" t="s">
        <v>169</v>
      </c>
      <c r="H2507" s="1" t="s">
        <v>208</v>
      </c>
      <c r="I2507" s="1">
        <v>1171.55</v>
      </c>
      <c r="J2507" s="1">
        <v>9</v>
      </c>
      <c r="K2507" s="1">
        <v>10543.95</v>
      </c>
      <c r="L2507" s="1">
        <v>0</v>
      </c>
      <c r="M2507" s="1">
        <v>0</v>
      </c>
      <c r="N2507" s="1">
        <v>10543.95</v>
      </c>
      <c r="O2507" s="1" t="s">
        <v>33</v>
      </c>
      <c r="P2507" s="1" t="s">
        <v>2665</v>
      </c>
      <c r="Q2507" s="1">
        <v>5</v>
      </c>
      <c r="R2507" s="1">
        <f>Retail_Sales_Analyis[[#This Row],[Final_Price]]-Retail_Sales_Analyis[[#This Row],[Total_Price]]</f>
        <v>0</v>
      </c>
      <c r="S25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08" spans="1:19" x14ac:dyDescent="0.25">
      <c r="A2508" s="1" t="s">
        <v>3573</v>
      </c>
      <c r="B2508" s="2">
        <v>45517</v>
      </c>
      <c r="C2508" s="1" t="s">
        <v>93</v>
      </c>
      <c r="D2508" s="1" t="s">
        <v>28</v>
      </c>
      <c r="E2508" s="1" t="s">
        <v>186</v>
      </c>
      <c r="F2508" s="1" t="s">
        <v>30</v>
      </c>
      <c r="G2508" s="1" t="s">
        <v>169</v>
      </c>
      <c r="H2508" s="1" t="s">
        <v>208</v>
      </c>
      <c r="I2508" s="1">
        <v>1423.22</v>
      </c>
      <c r="J2508" s="1">
        <v>6</v>
      </c>
      <c r="K2508" s="1">
        <v>8539.32</v>
      </c>
      <c r="L2508" s="1">
        <v>15</v>
      </c>
      <c r="M2508" s="1">
        <v>1280.9000000000001</v>
      </c>
      <c r="N2508" s="1">
        <v>7258.42</v>
      </c>
      <c r="O2508" s="1" t="s">
        <v>24</v>
      </c>
      <c r="P2508" s="1" t="s">
        <v>1000</v>
      </c>
      <c r="Q2508" s="1">
        <v>3</v>
      </c>
      <c r="R2508" s="1">
        <f>Retail_Sales_Analyis[[#This Row],[Final_Price]]-Retail_Sales_Analyis[[#This Row],[Total_Price]]</f>
        <v>-1280.8999999999996</v>
      </c>
      <c r="S25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09" spans="1:19" x14ac:dyDescent="0.25">
      <c r="A2509" s="1" t="s">
        <v>3574</v>
      </c>
      <c r="B2509" s="2">
        <v>45452</v>
      </c>
      <c r="C2509" s="1" t="s">
        <v>173</v>
      </c>
      <c r="D2509" s="1" t="s">
        <v>49</v>
      </c>
      <c r="E2509" s="1" t="s">
        <v>302</v>
      </c>
      <c r="F2509" s="1" t="s">
        <v>30</v>
      </c>
      <c r="G2509" s="1" t="s">
        <v>31</v>
      </c>
      <c r="H2509" s="1" t="s">
        <v>250</v>
      </c>
      <c r="I2509" s="1">
        <v>124.13</v>
      </c>
      <c r="J2509" s="1">
        <v>9</v>
      </c>
      <c r="K2509" s="1">
        <v>1117.17</v>
      </c>
      <c r="L2509" s="1">
        <v>10</v>
      </c>
      <c r="M2509" s="1">
        <v>111.72</v>
      </c>
      <c r="N2509" s="1">
        <v>1005.45</v>
      </c>
      <c r="O2509" s="1" t="s">
        <v>64</v>
      </c>
      <c r="P2509" s="1" t="s">
        <v>1593</v>
      </c>
      <c r="Q2509" s="1">
        <v>1</v>
      </c>
      <c r="R2509" s="1">
        <f>Retail_Sales_Analyis[[#This Row],[Final_Price]]-Retail_Sales_Analyis[[#This Row],[Total_Price]]</f>
        <v>-111.72000000000003</v>
      </c>
      <c r="S25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10" spans="1:19" x14ac:dyDescent="0.25">
      <c r="A2510" s="1" t="s">
        <v>3575</v>
      </c>
      <c r="B2510" s="2">
        <v>45506</v>
      </c>
      <c r="C2510" s="1" t="s">
        <v>93</v>
      </c>
      <c r="D2510" s="1" t="s">
        <v>144</v>
      </c>
      <c r="E2510" s="1" t="s">
        <v>29</v>
      </c>
      <c r="F2510" s="1" t="s">
        <v>37</v>
      </c>
      <c r="G2510" s="1" t="s">
        <v>78</v>
      </c>
      <c r="H2510" s="1" t="s">
        <v>136</v>
      </c>
      <c r="I2510" s="1">
        <v>400.44</v>
      </c>
      <c r="J2510" s="1">
        <v>1</v>
      </c>
      <c r="K2510" s="1">
        <v>400.44</v>
      </c>
      <c r="L2510" s="1">
        <v>10</v>
      </c>
      <c r="M2510" s="1">
        <v>40.04</v>
      </c>
      <c r="N2510" s="1">
        <v>360.4</v>
      </c>
      <c r="O2510" s="1" t="s">
        <v>33</v>
      </c>
      <c r="P2510" s="1" t="s">
        <v>234</v>
      </c>
      <c r="Q2510" s="1">
        <v>5</v>
      </c>
      <c r="R2510" s="1">
        <f>Retail_Sales_Analyis[[#This Row],[Final_Price]]-Retail_Sales_Analyis[[#This Row],[Total_Price]]</f>
        <v>-40.04000000000002</v>
      </c>
      <c r="S25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11" spans="1:19" x14ac:dyDescent="0.25">
      <c r="A2511" s="1" t="s">
        <v>3576</v>
      </c>
      <c r="B2511" s="2">
        <v>45369</v>
      </c>
      <c r="C2511" s="1" t="s">
        <v>61</v>
      </c>
      <c r="D2511" s="1" t="s">
        <v>43</v>
      </c>
      <c r="E2511" s="1" t="s">
        <v>97</v>
      </c>
      <c r="F2511" s="1" t="s">
        <v>30</v>
      </c>
      <c r="G2511" s="1" t="s">
        <v>112</v>
      </c>
      <c r="H2511" s="1" t="s">
        <v>223</v>
      </c>
      <c r="I2511" s="1">
        <v>535.59</v>
      </c>
      <c r="J2511" s="1">
        <v>5</v>
      </c>
      <c r="K2511" s="1">
        <v>2677.95</v>
      </c>
      <c r="L2511" s="1">
        <v>0</v>
      </c>
      <c r="M2511" s="1">
        <v>0</v>
      </c>
      <c r="N2511" s="1">
        <v>2677.95</v>
      </c>
      <c r="O2511" s="1" t="s">
        <v>80</v>
      </c>
      <c r="P2511" s="1" t="s">
        <v>636</v>
      </c>
      <c r="Q2511" s="1">
        <v>3</v>
      </c>
      <c r="R2511" s="1">
        <f>Retail_Sales_Analyis[[#This Row],[Final_Price]]-Retail_Sales_Analyis[[#This Row],[Total_Price]]</f>
        <v>0</v>
      </c>
      <c r="S25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2" spans="1:19" x14ac:dyDescent="0.25">
      <c r="A2512" s="1" t="s">
        <v>3577</v>
      </c>
      <c r="B2512" s="2">
        <v>45503</v>
      </c>
      <c r="C2512" s="1" t="s">
        <v>195</v>
      </c>
      <c r="D2512" s="1" t="s">
        <v>28</v>
      </c>
      <c r="E2512" s="1" t="s">
        <v>20</v>
      </c>
      <c r="F2512" s="1" t="s">
        <v>30</v>
      </c>
      <c r="G2512" s="1" t="s">
        <v>38</v>
      </c>
      <c r="H2512" s="1" t="s">
        <v>39</v>
      </c>
      <c r="I2512" s="1">
        <v>529.29</v>
      </c>
      <c r="J2512" s="1">
        <v>3</v>
      </c>
      <c r="K2512" s="1">
        <v>1587.87</v>
      </c>
      <c r="L2512" s="1">
        <v>20</v>
      </c>
      <c r="M2512" s="1">
        <v>317.57</v>
      </c>
      <c r="N2512" s="1">
        <v>1270.3</v>
      </c>
      <c r="O2512" s="1" t="s">
        <v>80</v>
      </c>
      <c r="P2512" s="1" t="s">
        <v>2137</v>
      </c>
      <c r="Q2512" s="1">
        <v>1</v>
      </c>
      <c r="R2512" s="1">
        <f>Retail_Sales_Analyis[[#This Row],[Final_Price]]-Retail_Sales_Analyis[[#This Row],[Total_Price]]</f>
        <v>-317.56999999999994</v>
      </c>
      <c r="S25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13" spans="1:19" x14ac:dyDescent="0.25">
      <c r="A2513" s="1" t="s">
        <v>3578</v>
      </c>
      <c r="B2513" s="2">
        <v>45645</v>
      </c>
      <c r="C2513" s="1" t="s">
        <v>73</v>
      </c>
      <c r="D2513" s="1" t="s">
        <v>67</v>
      </c>
      <c r="E2513" s="1" t="s">
        <v>342</v>
      </c>
      <c r="F2513" s="1" t="s">
        <v>21</v>
      </c>
      <c r="G2513" s="1" t="s">
        <v>31</v>
      </c>
      <c r="H2513" s="1" t="s">
        <v>45</v>
      </c>
      <c r="I2513" s="1">
        <v>234.5</v>
      </c>
      <c r="J2513" s="1">
        <v>8</v>
      </c>
      <c r="K2513" s="1">
        <v>1876</v>
      </c>
      <c r="L2513" s="1">
        <v>0</v>
      </c>
      <c r="M2513" s="1">
        <v>0</v>
      </c>
      <c r="N2513" s="1">
        <v>1876</v>
      </c>
      <c r="O2513" s="1" t="s">
        <v>64</v>
      </c>
      <c r="P2513" s="1" t="s">
        <v>1568</v>
      </c>
      <c r="Q2513" s="1">
        <v>5</v>
      </c>
      <c r="R2513" s="1">
        <f>Retail_Sales_Analyis[[#This Row],[Final_Price]]-Retail_Sales_Analyis[[#This Row],[Total_Price]]</f>
        <v>0</v>
      </c>
      <c r="S25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4" spans="1:19" x14ac:dyDescent="0.25">
      <c r="A2514" s="1" t="s">
        <v>3579</v>
      </c>
      <c r="B2514" s="2">
        <v>45396</v>
      </c>
      <c r="C2514" s="1" t="s">
        <v>54</v>
      </c>
      <c r="D2514" s="1" t="s">
        <v>49</v>
      </c>
      <c r="E2514" s="1" t="s">
        <v>285</v>
      </c>
      <c r="F2514" s="1" t="s">
        <v>21</v>
      </c>
      <c r="G2514" s="1" t="s">
        <v>57</v>
      </c>
      <c r="H2514" s="1" t="s">
        <v>152</v>
      </c>
      <c r="I2514" s="1">
        <v>1279.47</v>
      </c>
      <c r="J2514" s="1">
        <v>6</v>
      </c>
      <c r="K2514" s="1">
        <v>7676.82</v>
      </c>
      <c r="L2514" s="1">
        <v>5</v>
      </c>
      <c r="M2514" s="1">
        <v>383.84</v>
      </c>
      <c r="N2514" s="1">
        <v>7292.98</v>
      </c>
      <c r="O2514" s="1" t="s">
        <v>80</v>
      </c>
      <c r="P2514" s="1" t="s">
        <v>601</v>
      </c>
      <c r="Q2514" s="1">
        <v>1</v>
      </c>
      <c r="R2514" s="1">
        <f>Retail_Sales_Analyis[[#This Row],[Final_Price]]-Retail_Sales_Analyis[[#This Row],[Total_Price]]</f>
        <v>-383.84000000000015</v>
      </c>
      <c r="S25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15" spans="1:19" x14ac:dyDescent="0.25">
      <c r="A2515" s="1" t="s">
        <v>3580</v>
      </c>
      <c r="B2515" s="2">
        <v>45502</v>
      </c>
      <c r="C2515" s="1" t="s">
        <v>195</v>
      </c>
      <c r="D2515" s="1" t="s">
        <v>43</v>
      </c>
      <c r="E2515" s="1" t="s">
        <v>29</v>
      </c>
      <c r="F2515" s="1" t="s">
        <v>69</v>
      </c>
      <c r="G2515" s="1" t="s">
        <v>169</v>
      </c>
      <c r="H2515" s="1" t="s">
        <v>366</v>
      </c>
      <c r="I2515" s="1">
        <v>416.82</v>
      </c>
      <c r="J2515" s="1">
        <v>10</v>
      </c>
      <c r="K2515" s="1">
        <v>4168.2</v>
      </c>
      <c r="L2515" s="1">
        <v>15</v>
      </c>
      <c r="M2515" s="1">
        <v>625.23</v>
      </c>
      <c r="N2515" s="1">
        <v>3542.97</v>
      </c>
      <c r="O2515" s="1" t="s">
        <v>33</v>
      </c>
      <c r="P2515" s="1" t="s">
        <v>560</v>
      </c>
      <c r="Q2515" s="1">
        <v>3</v>
      </c>
      <c r="R2515" s="1">
        <f>Retail_Sales_Analyis[[#This Row],[Final_Price]]-Retail_Sales_Analyis[[#This Row],[Total_Price]]</f>
        <v>-625.23</v>
      </c>
      <c r="S25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16" spans="1:19" x14ac:dyDescent="0.25">
      <c r="A2516" s="1" t="s">
        <v>3581</v>
      </c>
      <c r="B2516" s="2">
        <v>45548</v>
      </c>
      <c r="C2516" s="1" t="s">
        <v>116</v>
      </c>
      <c r="D2516" s="1" t="s">
        <v>144</v>
      </c>
      <c r="E2516" s="1" t="s">
        <v>307</v>
      </c>
      <c r="F2516" s="1" t="s">
        <v>84</v>
      </c>
      <c r="G2516" s="1" t="s">
        <v>112</v>
      </c>
      <c r="H2516" s="1" t="s">
        <v>118</v>
      </c>
      <c r="I2516" s="1">
        <v>1721.48</v>
      </c>
      <c r="J2516" s="1">
        <v>9</v>
      </c>
      <c r="K2516" s="1">
        <v>15493.32</v>
      </c>
      <c r="L2516" s="1">
        <v>0</v>
      </c>
      <c r="M2516" s="1">
        <v>0</v>
      </c>
      <c r="N2516" s="1">
        <v>15493.32</v>
      </c>
      <c r="O2516" s="1" t="s">
        <v>46</v>
      </c>
      <c r="P2516" s="1" t="s">
        <v>313</v>
      </c>
      <c r="Q2516" s="1">
        <v>4</v>
      </c>
      <c r="R2516" s="1">
        <f>Retail_Sales_Analyis[[#This Row],[Final_Price]]-Retail_Sales_Analyis[[#This Row],[Total_Price]]</f>
        <v>0</v>
      </c>
      <c r="S25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7" spans="1:19" x14ac:dyDescent="0.25">
      <c r="A2517" s="1" t="s">
        <v>3582</v>
      </c>
      <c r="B2517" s="2">
        <v>45605</v>
      </c>
      <c r="C2517" s="1" t="s">
        <v>18</v>
      </c>
      <c r="D2517" s="1" t="s">
        <v>19</v>
      </c>
      <c r="E2517" s="1" t="s">
        <v>261</v>
      </c>
      <c r="F2517" s="1" t="s">
        <v>84</v>
      </c>
      <c r="G2517" s="1" t="s">
        <v>38</v>
      </c>
      <c r="H2517" s="1" t="s">
        <v>39</v>
      </c>
      <c r="I2517" s="1">
        <v>481.31</v>
      </c>
      <c r="J2517" s="1">
        <v>5</v>
      </c>
      <c r="K2517" s="1">
        <v>2406.5500000000002</v>
      </c>
      <c r="L2517" s="1">
        <v>0</v>
      </c>
      <c r="M2517" s="1">
        <v>0</v>
      </c>
      <c r="N2517" s="1">
        <v>2406.5500000000002</v>
      </c>
      <c r="O2517" s="1" t="s">
        <v>80</v>
      </c>
      <c r="P2517" s="1" t="s">
        <v>1240</v>
      </c>
      <c r="Q2517" s="1">
        <v>1</v>
      </c>
      <c r="R2517" s="1">
        <f>Retail_Sales_Analyis[[#This Row],[Final_Price]]-Retail_Sales_Analyis[[#This Row],[Total_Price]]</f>
        <v>0</v>
      </c>
      <c r="S25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8" spans="1:19" x14ac:dyDescent="0.25">
      <c r="A2518" s="1" t="s">
        <v>3583</v>
      </c>
      <c r="B2518" s="2">
        <v>45533</v>
      </c>
      <c r="C2518" s="1" t="s">
        <v>93</v>
      </c>
      <c r="D2518" s="1" t="s">
        <v>67</v>
      </c>
      <c r="E2518" s="1" t="s">
        <v>89</v>
      </c>
      <c r="F2518" s="1" t="s">
        <v>84</v>
      </c>
      <c r="G2518" s="1" t="s">
        <v>22</v>
      </c>
      <c r="H2518" s="1" t="s">
        <v>187</v>
      </c>
      <c r="I2518" s="1">
        <v>710.11</v>
      </c>
      <c r="J2518" s="1">
        <v>5</v>
      </c>
      <c r="K2518" s="1">
        <v>3550.55</v>
      </c>
      <c r="L2518" s="1">
        <v>0</v>
      </c>
      <c r="M2518" s="1">
        <v>0</v>
      </c>
      <c r="N2518" s="1">
        <v>3550.55</v>
      </c>
      <c r="O2518" s="1" t="s">
        <v>64</v>
      </c>
      <c r="P2518" s="1" t="s">
        <v>839</v>
      </c>
      <c r="Q2518" s="1">
        <v>5</v>
      </c>
      <c r="R2518" s="1">
        <f>Retail_Sales_Analyis[[#This Row],[Final_Price]]-Retail_Sales_Analyis[[#This Row],[Total_Price]]</f>
        <v>0</v>
      </c>
      <c r="S25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19" spans="1:19" x14ac:dyDescent="0.25">
      <c r="A2519" s="1" t="s">
        <v>3584</v>
      </c>
      <c r="B2519" s="2">
        <v>45323</v>
      </c>
      <c r="C2519" s="1" t="s">
        <v>27</v>
      </c>
      <c r="D2519" s="1" t="s">
        <v>67</v>
      </c>
      <c r="E2519" s="1" t="s">
        <v>56</v>
      </c>
      <c r="F2519" s="1" t="s">
        <v>21</v>
      </c>
      <c r="G2519" s="1" t="s">
        <v>112</v>
      </c>
      <c r="H2519" s="1" t="s">
        <v>288</v>
      </c>
      <c r="I2519" s="1">
        <v>600.02</v>
      </c>
      <c r="J2519" s="1">
        <v>1</v>
      </c>
      <c r="K2519" s="1">
        <v>600.02</v>
      </c>
      <c r="L2519" s="1">
        <v>5</v>
      </c>
      <c r="M2519" s="1">
        <v>30</v>
      </c>
      <c r="N2519" s="1">
        <v>570.02</v>
      </c>
      <c r="O2519" s="1" t="s">
        <v>46</v>
      </c>
      <c r="P2519" s="1" t="s">
        <v>1061</v>
      </c>
      <c r="Q2519" s="1">
        <v>4</v>
      </c>
      <c r="R2519" s="1">
        <f>Retail_Sales_Analyis[[#This Row],[Final_Price]]-Retail_Sales_Analyis[[#This Row],[Total_Price]]</f>
        <v>-30</v>
      </c>
      <c r="S25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20" spans="1:19" x14ac:dyDescent="0.25">
      <c r="A2520" s="1" t="s">
        <v>3585</v>
      </c>
      <c r="B2520" s="2">
        <v>45653</v>
      </c>
      <c r="C2520" s="1" t="s">
        <v>73</v>
      </c>
      <c r="D2520" s="1" t="s">
        <v>144</v>
      </c>
      <c r="E2520" s="1" t="s">
        <v>107</v>
      </c>
      <c r="F2520" s="1" t="s">
        <v>69</v>
      </c>
      <c r="G2520" s="1" t="s">
        <v>31</v>
      </c>
      <c r="H2520" s="1" t="s">
        <v>63</v>
      </c>
      <c r="I2520" s="1">
        <v>217.06</v>
      </c>
      <c r="J2520" s="1">
        <v>1</v>
      </c>
      <c r="K2520" s="1">
        <v>217.06</v>
      </c>
      <c r="L2520" s="1">
        <v>0</v>
      </c>
      <c r="M2520" s="1">
        <v>0</v>
      </c>
      <c r="N2520" s="1">
        <v>217.06</v>
      </c>
      <c r="O2520" s="1" t="s">
        <v>33</v>
      </c>
      <c r="P2520" s="1" t="s">
        <v>1865</v>
      </c>
      <c r="Q2520" s="1">
        <v>3</v>
      </c>
      <c r="R2520" s="1">
        <f>Retail_Sales_Analyis[[#This Row],[Final_Price]]-Retail_Sales_Analyis[[#This Row],[Total_Price]]</f>
        <v>0</v>
      </c>
      <c r="S25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1" spans="1:19" x14ac:dyDescent="0.25">
      <c r="A2521" s="1" t="s">
        <v>3586</v>
      </c>
      <c r="B2521" s="2">
        <v>45362</v>
      </c>
      <c r="C2521" s="1" t="s">
        <v>61</v>
      </c>
      <c r="D2521" s="1" t="s">
        <v>43</v>
      </c>
      <c r="E2521" s="1" t="s">
        <v>163</v>
      </c>
      <c r="F2521" s="1" t="s">
        <v>37</v>
      </c>
      <c r="G2521" s="1" t="s">
        <v>169</v>
      </c>
      <c r="H2521" s="1" t="s">
        <v>366</v>
      </c>
      <c r="I2521" s="1">
        <v>801.91</v>
      </c>
      <c r="J2521" s="1">
        <v>9</v>
      </c>
      <c r="K2521" s="1">
        <v>7217.19</v>
      </c>
      <c r="L2521" s="1">
        <v>0</v>
      </c>
      <c r="M2521" s="1">
        <v>0</v>
      </c>
      <c r="N2521" s="1">
        <v>7217.19</v>
      </c>
      <c r="O2521" s="1" t="s">
        <v>46</v>
      </c>
      <c r="P2521" s="1" t="s">
        <v>629</v>
      </c>
      <c r="Q2521" s="1">
        <v>5</v>
      </c>
      <c r="R2521" s="1">
        <f>Retail_Sales_Analyis[[#This Row],[Final_Price]]-Retail_Sales_Analyis[[#This Row],[Total_Price]]</f>
        <v>0</v>
      </c>
      <c r="S25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2" spans="1:19" x14ac:dyDescent="0.25">
      <c r="A2522" s="1" t="s">
        <v>3587</v>
      </c>
      <c r="B2522" s="2">
        <v>45557</v>
      </c>
      <c r="C2522" s="1" t="s">
        <v>116</v>
      </c>
      <c r="D2522" s="1" t="s">
        <v>49</v>
      </c>
      <c r="E2522" s="1" t="s">
        <v>204</v>
      </c>
      <c r="F2522" s="1" t="s">
        <v>69</v>
      </c>
      <c r="G2522" s="1" t="s">
        <v>78</v>
      </c>
      <c r="H2522" s="1" t="s">
        <v>146</v>
      </c>
      <c r="I2522" s="1">
        <v>435.76</v>
      </c>
      <c r="J2522" s="1">
        <v>9</v>
      </c>
      <c r="K2522" s="1">
        <v>3921.84</v>
      </c>
      <c r="L2522" s="1">
        <v>0</v>
      </c>
      <c r="M2522" s="1">
        <v>0</v>
      </c>
      <c r="N2522" s="1">
        <v>3921.84</v>
      </c>
      <c r="O2522" s="1" t="s">
        <v>64</v>
      </c>
      <c r="P2522" s="1" t="s">
        <v>515</v>
      </c>
      <c r="Q2522" s="1">
        <v>4</v>
      </c>
      <c r="R2522" s="1">
        <f>Retail_Sales_Analyis[[#This Row],[Final_Price]]-Retail_Sales_Analyis[[#This Row],[Total_Price]]</f>
        <v>0</v>
      </c>
      <c r="S25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3" spans="1:19" x14ac:dyDescent="0.25">
      <c r="A2523" s="1" t="s">
        <v>3588</v>
      </c>
      <c r="B2523" s="2">
        <v>45398</v>
      </c>
      <c r="C2523" s="1" t="s">
        <v>54</v>
      </c>
      <c r="D2523" s="1" t="s">
        <v>28</v>
      </c>
      <c r="E2523" s="1" t="s">
        <v>77</v>
      </c>
      <c r="F2523" s="1" t="s">
        <v>69</v>
      </c>
      <c r="G2523" s="1" t="s">
        <v>85</v>
      </c>
      <c r="H2523" s="1" t="s">
        <v>90</v>
      </c>
      <c r="I2523" s="1">
        <v>4395.5200000000004</v>
      </c>
      <c r="J2523" s="1">
        <v>5</v>
      </c>
      <c r="K2523" s="1">
        <v>21977.599999999999</v>
      </c>
      <c r="L2523" s="1">
        <v>0</v>
      </c>
      <c r="M2523" s="1">
        <v>0</v>
      </c>
      <c r="N2523" s="1">
        <v>21977.599999999999</v>
      </c>
      <c r="O2523" s="1" t="s">
        <v>46</v>
      </c>
      <c r="P2523" s="1" t="s">
        <v>807</v>
      </c>
      <c r="Q2523" s="1">
        <v>4</v>
      </c>
      <c r="R2523" s="1">
        <f>Retail_Sales_Analyis[[#This Row],[Final_Price]]-Retail_Sales_Analyis[[#This Row],[Total_Price]]</f>
        <v>0</v>
      </c>
      <c r="S25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4" spans="1:19" x14ac:dyDescent="0.25">
      <c r="A2524" s="1" t="s">
        <v>3589</v>
      </c>
      <c r="B2524" s="2">
        <v>45579</v>
      </c>
      <c r="C2524" s="1" t="s">
        <v>76</v>
      </c>
      <c r="D2524" s="1" t="s">
        <v>43</v>
      </c>
      <c r="E2524" s="1" t="s">
        <v>29</v>
      </c>
      <c r="F2524" s="1" t="s">
        <v>21</v>
      </c>
      <c r="G2524" s="1" t="s">
        <v>85</v>
      </c>
      <c r="H2524" s="1" t="s">
        <v>180</v>
      </c>
      <c r="I2524" s="1">
        <v>4210.83</v>
      </c>
      <c r="J2524" s="1">
        <v>1</v>
      </c>
      <c r="K2524" s="1">
        <v>4210.83</v>
      </c>
      <c r="L2524" s="1">
        <v>10</v>
      </c>
      <c r="M2524" s="1">
        <v>421.08</v>
      </c>
      <c r="N2524" s="1">
        <v>3789.75</v>
      </c>
      <c r="O2524" s="1" t="s">
        <v>46</v>
      </c>
      <c r="P2524" s="1" t="s">
        <v>748</v>
      </c>
      <c r="Q2524" s="1">
        <v>2</v>
      </c>
      <c r="R2524" s="1">
        <f>Retail_Sales_Analyis[[#This Row],[Final_Price]]-Retail_Sales_Analyis[[#This Row],[Total_Price]]</f>
        <v>-421.07999999999993</v>
      </c>
      <c r="S25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25" spans="1:19" x14ac:dyDescent="0.25">
      <c r="A2525" s="1" t="s">
        <v>3590</v>
      </c>
      <c r="B2525" s="2">
        <v>45458</v>
      </c>
      <c r="C2525" s="1" t="s">
        <v>173</v>
      </c>
      <c r="D2525" s="1" t="s">
        <v>19</v>
      </c>
      <c r="E2525" s="1" t="s">
        <v>239</v>
      </c>
      <c r="F2525" s="1" t="s">
        <v>69</v>
      </c>
      <c r="G2525" s="1" t="s">
        <v>38</v>
      </c>
      <c r="H2525" s="1" t="s">
        <v>214</v>
      </c>
      <c r="I2525" s="1">
        <v>248.81</v>
      </c>
      <c r="J2525" s="1">
        <v>9</v>
      </c>
      <c r="K2525" s="1">
        <v>2239.29</v>
      </c>
      <c r="L2525" s="1">
        <v>0</v>
      </c>
      <c r="M2525" s="1">
        <v>0</v>
      </c>
      <c r="N2525" s="1">
        <v>2239.29</v>
      </c>
      <c r="O2525" s="1" t="s">
        <v>24</v>
      </c>
      <c r="P2525" s="1" t="s">
        <v>524</v>
      </c>
      <c r="Q2525" s="1">
        <v>3</v>
      </c>
      <c r="R2525" s="1">
        <f>Retail_Sales_Analyis[[#This Row],[Final_Price]]-Retail_Sales_Analyis[[#This Row],[Total_Price]]</f>
        <v>0</v>
      </c>
      <c r="S25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6" spans="1:19" x14ac:dyDescent="0.25">
      <c r="A2526" s="1" t="s">
        <v>3591</v>
      </c>
      <c r="B2526" s="2">
        <v>45631</v>
      </c>
      <c r="C2526" s="1" t="s">
        <v>73</v>
      </c>
      <c r="D2526" s="1" t="s">
        <v>67</v>
      </c>
      <c r="E2526" s="1" t="s">
        <v>89</v>
      </c>
      <c r="F2526" s="1" t="s">
        <v>37</v>
      </c>
      <c r="G2526" s="1" t="s">
        <v>85</v>
      </c>
      <c r="H2526" s="1" t="s">
        <v>180</v>
      </c>
      <c r="I2526" s="1">
        <v>1442.44</v>
      </c>
      <c r="J2526" s="1">
        <v>6</v>
      </c>
      <c r="K2526" s="1">
        <v>8654.64</v>
      </c>
      <c r="L2526" s="1">
        <v>0</v>
      </c>
      <c r="M2526" s="1">
        <v>0</v>
      </c>
      <c r="N2526" s="1">
        <v>8654.64</v>
      </c>
      <c r="O2526" s="1" t="s">
        <v>64</v>
      </c>
      <c r="P2526" s="1" t="s">
        <v>1835</v>
      </c>
      <c r="Q2526" s="1">
        <v>4</v>
      </c>
      <c r="R2526" s="1">
        <f>Retail_Sales_Analyis[[#This Row],[Final_Price]]-Retail_Sales_Analyis[[#This Row],[Total_Price]]</f>
        <v>0</v>
      </c>
      <c r="S25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7" spans="1:19" x14ac:dyDescent="0.25">
      <c r="A2527" s="1" t="s">
        <v>3592</v>
      </c>
      <c r="B2527" s="2">
        <v>45536</v>
      </c>
      <c r="C2527" s="1" t="s">
        <v>116</v>
      </c>
      <c r="D2527" s="1" t="s">
        <v>49</v>
      </c>
      <c r="E2527" s="1" t="s">
        <v>44</v>
      </c>
      <c r="F2527" s="1" t="s">
        <v>84</v>
      </c>
      <c r="G2527" s="1" t="s">
        <v>78</v>
      </c>
      <c r="H2527" s="1" t="s">
        <v>323</v>
      </c>
      <c r="I2527" s="1">
        <v>356.34</v>
      </c>
      <c r="J2527" s="1">
        <v>10</v>
      </c>
      <c r="K2527" s="1">
        <v>3563.4</v>
      </c>
      <c r="L2527" s="1">
        <v>0</v>
      </c>
      <c r="M2527" s="1">
        <v>0</v>
      </c>
      <c r="N2527" s="1">
        <v>3563.4</v>
      </c>
      <c r="O2527" s="1" t="s">
        <v>33</v>
      </c>
      <c r="P2527" s="1" t="s">
        <v>358</v>
      </c>
      <c r="Q2527" s="1">
        <v>2</v>
      </c>
      <c r="R2527" s="1">
        <f>Retail_Sales_Analyis[[#This Row],[Final_Price]]-Retail_Sales_Analyis[[#This Row],[Total_Price]]</f>
        <v>0</v>
      </c>
      <c r="S25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8" spans="1:19" x14ac:dyDescent="0.25">
      <c r="A2528" s="1" t="s">
        <v>3593</v>
      </c>
      <c r="B2528" s="2">
        <v>45561</v>
      </c>
      <c r="C2528" s="1" t="s">
        <v>116</v>
      </c>
      <c r="D2528" s="1" t="s">
        <v>67</v>
      </c>
      <c r="E2528" s="1" t="s">
        <v>29</v>
      </c>
      <c r="F2528" s="1" t="s">
        <v>21</v>
      </c>
      <c r="G2528" s="1" t="s">
        <v>22</v>
      </c>
      <c r="H2528" s="1" t="s">
        <v>133</v>
      </c>
      <c r="I2528" s="1">
        <v>329.72</v>
      </c>
      <c r="J2528" s="1">
        <v>3</v>
      </c>
      <c r="K2528" s="1">
        <v>989.16</v>
      </c>
      <c r="L2528" s="1">
        <v>0</v>
      </c>
      <c r="M2528" s="1">
        <v>0</v>
      </c>
      <c r="N2528" s="1">
        <v>989.16</v>
      </c>
      <c r="O2528" s="1" t="s">
        <v>33</v>
      </c>
      <c r="P2528" s="1" t="s">
        <v>3594</v>
      </c>
      <c r="Q2528" s="1">
        <v>1</v>
      </c>
      <c r="R2528" s="1">
        <f>Retail_Sales_Analyis[[#This Row],[Final_Price]]-Retail_Sales_Analyis[[#This Row],[Total_Price]]</f>
        <v>0</v>
      </c>
      <c r="S25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29" spans="1:19" x14ac:dyDescent="0.25">
      <c r="A2529" s="1" t="s">
        <v>3595</v>
      </c>
      <c r="B2529" s="2">
        <v>45484</v>
      </c>
      <c r="C2529" s="1" t="s">
        <v>195</v>
      </c>
      <c r="D2529" s="1" t="s">
        <v>67</v>
      </c>
      <c r="E2529" s="1" t="s">
        <v>125</v>
      </c>
      <c r="F2529" s="1" t="s">
        <v>37</v>
      </c>
      <c r="G2529" s="1" t="s">
        <v>85</v>
      </c>
      <c r="H2529" s="1" t="s">
        <v>90</v>
      </c>
      <c r="I2529" s="1">
        <v>4179.3100000000004</v>
      </c>
      <c r="J2529" s="1">
        <v>10</v>
      </c>
      <c r="K2529" s="1">
        <v>41793.1</v>
      </c>
      <c r="L2529" s="1">
        <v>0</v>
      </c>
      <c r="M2529" s="1">
        <v>0</v>
      </c>
      <c r="N2529" s="1">
        <v>41793.1</v>
      </c>
      <c r="O2529" s="1" t="s">
        <v>46</v>
      </c>
      <c r="P2529" s="1" t="s">
        <v>1654</v>
      </c>
      <c r="Q2529" s="1">
        <v>2</v>
      </c>
      <c r="R2529" s="1">
        <f>Retail_Sales_Analyis[[#This Row],[Final_Price]]-Retail_Sales_Analyis[[#This Row],[Total_Price]]</f>
        <v>0</v>
      </c>
      <c r="S25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0" spans="1:19" x14ac:dyDescent="0.25">
      <c r="A2530" s="1" t="s">
        <v>3596</v>
      </c>
      <c r="B2530" s="2">
        <v>45452</v>
      </c>
      <c r="C2530" s="1" t="s">
        <v>173</v>
      </c>
      <c r="D2530" s="1" t="s">
        <v>49</v>
      </c>
      <c r="E2530" s="1" t="s">
        <v>89</v>
      </c>
      <c r="F2530" s="1" t="s">
        <v>69</v>
      </c>
      <c r="G2530" s="1" t="s">
        <v>85</v>
      </c>
      <c r="H2530" s="1" t="s">
        <v>90</v>
      </c>
      <c r="I2530" s="1">
        <v>2547.5</v>
      </c>
      <c r="J2530" s="1">
        <v>1</v>
      </c>
      <c r="K2530" s="1">
        <v>2547.5</v>
      </c>
      <c r="L2530" s="1">
        <v>0</v>
      </c>
      <c r="M2530" s="1">
        <v>0</v>
      </c>
      <c r="N2530" s="1">
        <v>2547.5</v>
      </c>
      <c r="O2530" s="1" t="s">
        <v>24</v>
      </c>
      <c r="P2530" s="1" t="s">
        <v>1462</v>
      </c>
      <c r="Q2530" s="1">
        <v>2</v>
      </c>
      <c r="R2530" s="1">
        <f>Retail_Sales_Analyis[[#This Row],[Final_Price]]-Retail_Sales_Analyis[[#This Row],[Total_Price]]</f>
        <v>0</v>
      </c>
      <c r="S25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1" spans="1:19" x14ac:dyDescent="0.25">
      <c r="A2531" s="1" t="s">
        <v>3597</v>
      </c>
      <c r="B2531" s="2">
        <v>45380</v>
      </c>
      <c r="C2531" s="1" t="s">
        <v>61</v>
      </c>
      <c r="D2531" s="1" t="s">
        <v>144</v>
      </c>
      <c r="E2531" s="1" t="s">
        <v>94</v>
      </c>
      <c r="F2531" s="1" t="s">
        <v>21</v>
      </c>
      <c r="G2531" s="1" t="s">
        <v>85</v>
      </c>
      <c r="H2531" s="1" t="s">
        <v>90</v>
      </c>
      <c r="I2531" s="1">
        <v>3400.38</v>
      </c>
      <c r="J2531" s="1">
        <v>8</v>
      </c>
      <c r="K2531" s="1">
        <v>27203.040000000001</v>
      </c>
      <c r="L2531" s="1">
        <v>0</v>
      </c>
      <c r="M2531" s="1">
        <v>0</v>
      </c>
      <c r="N2531" s="1">
        <v>27203.040000000001</v>
      </c>
      <c r="O2531" s="1" t="s">
        <v>24</v>
      </c>
      <c r="P2531" s="1" t="s">
        <v>1579</v>
      </c>
      <c r="Q2531" s="1">
        <v>4</v>
      </c>
      <c r="R2531" s="1">
        <f>Retail_Sales_Analyis[[#This Row],[Final_Price]]-Retail_Sales_Analyis[[#This Row],[Total_Price]]</f>
        <v>0</v>
      </c>
      <c r="S25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2" spans="1:19" x14ac:dyDescent="0.25">
      <c r="A2532" s="1" t="s">
        <v>3598</v>
      </c>
      <c r="B2532" s="2">
        <v>45527</v>
      </c>
      <c r="C2532" s="1" t="s">
        <v>93</v>
      </c>
      <c r="D2532" s="1" t="s">
        <v>144</v>
      </c>
      <c r="E2532" s="1" t="s">
        <v>77</v>
      </c>
      <c r="F2532" s="1" t="s">
        <v>21</v>
      </c>
      <c r="G2532" s="1" t="s">
        <v>85</v>
      </c>
      <c r="H2532" s="1" t="s">
        <v>98</v>
      </c>
      <c r="I2532" s="1">
        <v>1105.77</v>
      </c>
      <c r="J2532" s="1">
        <v>2</v>
      </c>
      <c r="K2532" s="1">
        <v>2211.54</v>
      </c>
      <c r="L2532" s="1">
        <v>5</v>
      </c>
      <c r="M2532" s="1">
        <v>110.58</v>
      </c>
      <c r="N2532" s="1">
        <v>2100.96</v>
      </c>
      <c r="O2532" s="1" t="s">
        <v>33</v>
      </c>
      <c r="P2532" s="1" t="s">
        <v>2210</v>
      </c>
      <c r="Q2532" s="1">
        <v>5</v>
      </c>
      <c r="R2532" s="1">
        <f>Retail_Sales_Analyis[[#This Row],[Final_Price]]-Retail_Sales_Analyis[[#This Row],[Total_Price]]</f>
        <v>-110.57999999999993</v>
      </c>
      <c r="S25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33" spans="1:19" x14ac:dyDescent="0.25">
      <c r="A2533" s="1" t="s">
        <v>3599</v>
      </c>
      <c r="B2533" s="2">
        <v>45564</v>
      </c>
      <c r="C2533" s="1" t="s">
        <v>116</v>
      </c>
      <c r="D2533" s="1" t="s">
        <v>49</v>
      </c>
      <c r="E2533" s="1" t="s">
        <v>89</v>
      </c>
      <c r="F2533" s="1" t="s">
        <v>21</v>
      </c>
      <c r="G2533" s="1" t="s">
        <v>169</v>
      </c>
      <c r="H2533" s="1" t="s">
        <v>175</v>
      </c>
      <c r="I2533" s="1">
        <v>1121.4000000000001</v>
      </c>
      <c r="J2533" s="1">
        <v>10</v>
      </c>
      <c r="K2533" s="1">
        <v>11214</v>
      </c>
      <c r="L2533" s="1">
        <v>0</v>
      </c>
      <c r="M2533" s="1">
        <v>0</v>
      </c>
      <c r="N2533" s="1">
        <v>11214</v>
      </c>
      <c r="O2533" s="1" t="s">
        <v>33</v>
      </c>
      <c r="P2533" s="1" t="s">
        <v>2122</v>
      </c>
      <c r="Q2533" s="1">
        <v>4</v>
      </c>
      <c r="R2533" s="1">
        <f>Retail_Sales_Analyis[[#This Row],[Final_Price]]-Retail_Sales_Analyis[[#This Row],[Total_Price]]</f>
        <v>0</v>
      </c>
      <c r="S25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4" spans="1:19" x14ac:dyDescent="0.25">
      <c r="A2534" s="1" t="s">
        <v>3600</v>
      </c>
      <c r="B2534" s="2">
        <v>45467</v>
      </c>
      <c r="C2534" s="1" t="s">
        <v>173</v>
      </c>
      <c r="D2534" s="1" t="s">
        <v>43</v>
      </c>
      <c r="E2534" s="1" t="s">
        <v>145</v>
      </c>
      <c r="F2534" s="1" t="s">
        <v>37</v>
      </c>
      <c r="G2534" s="1" t="s">
        <v>112</v>
      </c>
      <c r="H2534" s="1" t="s">
        <v>288</v>
      </c>
      <c r="I2534" s="1">
        <v>831.94</v>
      </c>
      <c r="J2534" s="1">
        <v>3</v>
      </c>
      <c r="K2534" s="1">
        <v>2495.8200000000002</v>
      </c>
      <c r="L2534" s="1">
        <v>20</v>
      </c>
      <c r="M2534" s="1">
        <v>499.16</v>
      </c>
      <c r="N2534" s="1">
        <v>1996.66</v>
      </c>
      <c r="O2534" s="1" t="s">
        <v>46</v>
      </c>
      <c r="P2534" s="1" t="s">
        <v>3399</v>
      </c>
      <c r="Q2534" s="1">
        <v>1</v>
      </c>
      <c r="R2534" s="1">
        <f>Retail_Sales_Analyis[[#This Row],[Final_Price]]-Retail_Sales_Analyis[[#This Row],[Total_Price]]</f>
        <v>-499.16000000000008</v>
      </c>
      <c r="S253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35" spans="1:19" x14ac:dyDescent="0.25">
      <c r="A2535" s="1" t="s">
        <v>3601</v>
      </c>
      <c r="B2535" s="2">
        <v>45571</v>
      </c>
      <c r="C2535" s="1" t="s">
        <v>76</v>
      </c>
      <c r="D2535" s="1" t="s">
        <v>49</v>
      </c>
      <c r="E2535" s="1" t="s">
        <v>157</v>
      </c>
      <c r="F2535" s="1" t="s">
        <v>21</v>
      </c>
      <c r="G2535" s="1" t="s">
        <v>57</v>
      </c>
      <c r="H2535" s="1" t="s">
        <v>122</v>
      </c>
      <c r="I2535" s="1">
        <v>639.29999999999995</v>
      </c>
      <c r="J2535" s="1">
        <v>1</v>
      </c>
      <c r="K2535" s="1">
        <v>639.29999999999995</v>
      </c>
      <c r="L2535" s="1">
        <v>0</v>
      </c>
      <c r="M2535" s="1">
        <v>0</v>
      </c>
      <c r="N2535" s="1">
        <v>639.29999999999995</v>
      </c>
      <c r="O2535" s="1" t="s">
        <v>80</v>
      </c>
      <c r="P2535" s="1" t="s">
        <v>3093</v>
      </c>
      <c r="Q2535" s="1">
        <v>3</v>
      </c>
      <c r="R2535" s="1">
        <f>Retail_Sales_Analyis[[#This Row],[Final_Price]]-Retail_Sales_Analyis[[#This Row],[Total_Price]]</f>
        <v>0</v>
      </c>
      <c r="S25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6" spans="1:19" x14ac:dyDescent="0.25">
      <c r="A2536" s="1" t="s">
        <v>3602</v>
      </c>
      <c r="B2536" s="2">
        <v>45473</v>
      </c>
      <c r="C2536" s="1" t="s">
        <v>173</v>
      </c>
      <c r="D2536" s="1" t="s">
        <v>49</v>
      </c>
      <c r="E2536" s="1" t="s">
        <v>29</v>
      </c>
      <c r="F2536" s="1" t="s">
        <v>21</v>
      </c>
      <c r="G2536" s="1" t="s">
        <v>112</v>
      </c>
      <c r="H2536" s="1" t="s">
        <v>288</v>
      </c>
      <c r="I2536" s="1">
        <v>642.83000000000004</v>
      </c>
      <c r="J2536" s="1">
        <v>10</v>
      </c>
      <c r="K2536" s="1">
        <v>6428.3</v>
      </c>
      <c r="L2536" s="1">
        <v>0</v>
      </c>
      <c r="M2536" s="1">
        <v>0</v>
      </c>
      <c r="N2536" s="1">
        <v>6428.3</v>
      </c>
      <c r="O2536" s="1" t="s">
        <v>24</v>
      </c>
      <c r="P2536" s="1" t="s">
        <v>184</v>
      </c>
      <c r="Q2536" s="1">
        <v>5</v>
      </c>
      <c r="R2536" s="1">
        <f>Retail_Sales_Analyis[[#This Row],[Final_Price]]-Retail_Sales_Analyis[[#This Row],[Total_Price]]</f>
        <v>0</v>
      </c>
      <c r="S25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37" spans="1:19" x14ac:dyDescent="0.25">
      <c r="A2537" s="1" t="s">
        <v>3603</v>
      </c>
      <c r="B2537" s="2">
        <v>45638</v>
      </c>
      <c r="C2537" s="1" t="s">
        <v>73</v>
      </c>
      <c r="D2537" s="1" t="s">
        <v>67</v>
      </c>
      <c r="E2537" s="1" t="s">
        <v>111</v>
      </c>
      <c r="F2537" s="1" t="s">
        <v>37</v>
      </c>
      <c r="G2537" s="1" t="s">
        <v>78</v>
      </c>
      <c r="H2537" s="1" t="s">
        <v>126</v>
      </c>
      <c r="I2537" s="1">
        <v>251.56</v>
      </c>
      <c r="J2537" s="1">
        <v>10</v>
      </c>
      <c r="K2537" s="1">
        <v>2515.6</v>
      </c>
      <c r="L2537" s="1">
        <v>5</v>
      </c>
      <c r="M2537" s="1">
        <v>125.78</v>
      </c>
      <c r="N2537" s="1">
        <v>2389.8200000000002</v>
      </c>
      <c r="O2537" s="1" t="s">
        <v>24</v>
      </c>
      <c r="P2537" s="1" t="s">
        <v>1574</v>
      </c>
      <c r="Q2537" s="1">
        <v>5</v>
      </c>
      <c r="R2537" s="1">
        <f>Retail_Sales_Analyis[[#This Row],[Final_Price]]-Retail_Sales_Analyis[[#This Row],[Total_Price]]</f>
        <v>-125.77999999999975</v>
      </c>
      <c r="S25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38" spans="1:19" x14ac:dyDescent="0.25">
      <c r="A2538" s="1" t="s">
        <v>3604</v>
      </c>
      <c r="B2538" s="2">
        <v>45640</v>
      </c>
      <c r="C2538" s="1" t="s">
        <v>73</v>
      </c>
      <c r="D2538" s="1" t="s">
        <v>19</v>
      </c>
      <c r="E2538" s="1" t="s">
        <v>107</v>
      </c>
      <c r="F2538" s="1" t="s">
        <v>21</v>
      </c>
      <c r="G2538" s="1" t="s">
        <v>112</v>
      </c>
      <c r="H2538" s="1" t="s">
        <v>113</v>
      </c>
      <c r="I2538" s="1">
        <v>1563.1</v>
      </c>
      <c r="J2538" s="1">
        <v>6</v>
      </c>
      <c r="K2538" s="1">
        <v>9378.6</v>
      </c>
      <c r="L2538" s="1">
        <v>5</v>
      </c>
      <c r="M2538" s="1">
        <v>468.93</v>
      </c>
      <c r="N2538" s="1">
        <v>8909.67</v>
      </c>
      <c r="O2538" s="1" t="s">
        <v>24</v>
      </c>
      <c r="P2538" s="1" t="s">
        <v>884</v>
      </c>
      <c r="Q2538" s="1">
        <v>4</v>
      </c>
      <c r="R2538" s="1">
        <f>Retail_Sales_Analyis[[#This Row],[Final_Price]]-Retail_Sales_Analyis[[#This Row],[Total_Price]]</f>
        <v>-468.93000000000029</v>
      </c>
      <c r="S25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39" spans="1:19" x14ac:dyDescent="0.25">
      <c r="A2539" s="1" t="s">
        <v>3605</v>
      </c>
      <c r="B2539" s="2">
        <v>45621</v>
      </c>
      <c r="C2539" s="1" t="s">
        <v>18</v>
      </c>
      <c r="D2539" s="1" t="s">
        <v>43</v>
      </c>
      <c r="E2539" s="1" t="s">
        <v>213</v>
      </c>
      <c r="F2539" s="1" t="s">
        <v>30</v>
      </c>
      <c r="G2539" s="1" t="s">
        <v>78</v>
      </c>
      <c r="H2539" s="1" t="s">
        <v>136</v>
      </c>
      <c r="I2539" s="1">
        <v>471.99</v>
      </c>
      <c r="J2539" s="1">
        <v>5</v>
      </c>
      <c r="K2539" s="1">
        <v>2359.9499999999998</v>
      </c>
      <c r="L2539" s="1">
        <v>15</v>
      </c>
      <c r="M2539" s="1">
        <v>353.99</v>
      </c>
      <c r="N2539" s="1">
        <v>2005.96</v>
      </c>
      <c r="O2539" s="1" t="s">
        <v>33</v>
      </c>
      <c r="P2539" s="1" t="s">
        <v>1599</v>
      </c>
      <c r="Q2539" s="1">
        <v>1</v>
      </c>
      <c r="R2539" s="1">
        <f>Retail_Sales_Analyis[[#This Row],[Final_Price]]-Retail_Sales_Analyis[[#This Row],[Total_Price]]</f>
        <v>-353.98999999999978</v>
      </c>
      <c r="S25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40" spans="1:19" x14ac:dyDescent="0.25">
      <c r="A2540" s="1" t="s">
        <v>3606</v>
      </c>
      <c r="B2540" s="2">
        <v>45646</v>
      </c>
      <c r="C2540" s="1" t="s">
        <v>73</v>
      </c>
      <c r="D2540" s="1" t="s">
        <v>144</v>
      </c>
      <c r="E2540" s="1" t="s">
        <v>157</v>
      </c>
      <c r="F2540" s="1" t="s">
        <v>30</v>
      </c>
      <c r="G2540" s="1" t="s">
        <v>38</v>
      </c>
      <c r="H2540" s="1" t="s">
        <v>39</v>
      </c>
      <c r="I2540" s="1">
        <v>608.97</v>
      </c>
      <c r="J2540" s="1">
        <v>10</v>
      </c>
      <c r="K2540" s="1">
        <v>6089.7</v>
      </c>
      <c r="L2540" s="1">
        <v>10</v>
      </c>
      <c r="M2540" s="1">
        <v>608.97</v>
      </c>
      <c r="N2540" s="1">
        <v>5480.73</v>
      </c>
      <c r="O2540" s="1" t="s">
        <v>64</v>
      </c>
      <c r="P2540" s="1" t="s">
        <v>1418</v>
      </c>
      <c r="Q2540" s="1">
        <v>2</v>
      </c>
      <c r="R2540" s="1">
        <f>Retail_Sales_Analyis[[#This Row],[Final_Price]]-Retail_Sales_Analyis[[#This Row],[Total_Price]]</f>
        <v>-608.97000000000025</v>
      </c>
      <c r="S25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41" spans="1:19" x14ac:dyDescent="0.25">
      <c r="A2541" s="1" t="s">
        <v>3607</v>
      </c>
      <c r="B2541" s="2">
        <v>45427</v>
      </c>
      <c r="C2541" s="1" t="s">
        <v>42</v>
      </c>
      <c r="D2541" s="1" t="s">
        <v>55</v>
      </c>
      <c r="E2541" s="1" t="s">
        <v>56</v>
      </c>
      <c r="F2541" s="1" t="s">
        <v>84</v>
      </c>
      <c r="G2541" s="1" t="s">
        <v>78</v>
      </c>
      <c r="H2541" s="1" t="s">
        <v>146</v>
      </c>
      <c r="I2541" s="1">
        <v>211.52</v>
      </c>
      <c r="J2541" s="1">
        <v>4</v>
      </c>
      <c r="K2541" s="1">
        <v>846.08</v>
      </c>
      <c r="L2541" s="1">
        <v>0</v>
      </c>
      <c r="M2541" s="1">
        <v>0</v>
      </c>
      <c r="N2541" s="1">
        <v>846.08</v>
      </c>
      <c r="O2541" s="1" t="s">
        <v>33</v>
      </c>
      <c r="P2541" s="1" t="s">
        <v>770</v>
      </c>
      <c r="Q2541" s="1">
        <v>4</v>
      </c>
      <c r="R2541" s="1">
        <f>Retail_Sales_Analyis[[#This Row],[Final_Price]]-Retail_Sales_Analyis[[#This Row],[Total_Price]]</f>
        <v>0</v>
      </c>
      <c r="S25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2" spans="1:19" x14ac:dyDescent="0.25">
      <c r="A2542" s="1" t="s">
        <v>3608</v>
      </c>
      <c r="B2542" s="2">
        <v>45604</v>
      </c>
      <c r="C2542" s="1" t="s">
        <v>18</v>
      </c>
      <c r="D2542" s="1" t="s">
        <v>144</v>
      </c>
      <c r="E2542" s="1" t="s">
        <v>312</v>
      </c>
      <c r="F2542" s="1" t="s">
        <v>37</v>
      </c>
      <c r="G2542" s="1" t="s">
        <v>169</v>
      </c>
      <c r="H2542" s="1" t="s">
        <v>175</v>
      </c>
      <c r="I2542" s="1">
        <v>697.8</v>
      </c>
      <c r="J2542" s="1">
        <v>5</v>
      </c>
      <c r="K2542" s="1">
        <v>3489</v>
      </c>
      <c r="L2542" s="1">
        <v>5</v>
      </c>
      <c r="M2542" s="1">
        <v>174.45</v>
      </c>
      <c r="N2542" s="1">
        <v>3314.55</v>
      </c>
      <c r="O2542" s="1" t="s">
        <v>46</v>
      </c>
      <c r="P2542" s="1" t="s">
        <v>1497</v>
      </c>
      <c r="Q2542" s="1">
        <v>2</v>
      </c>
      <c r="R2542" s="1">
        <f>Retail_Sales_Analyis[[#This Row],[Final_Price]]-Retail_Sales_Analyis[[#This Row],[Total_Price]]</f>
        <v>-174.44999999999982</v>
      </c>
      <c r="S25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43" spans="1:19" x14ac:dyDescent="0.25">
      <c r="A2543" s="1" t="s">
        <v>3609</v>
      </c>
      <c r="B2543" s="2">
        <v>45539</v>
      </c>
      <c r="C2543" s="1" t="s">
        <v>116</v>
      </c>
      <c r="D2543" s="1" t="s">
        <v>55</v>
      </c>
      <c r="E2543" s="1" t="s">
        <v>239</v>
      </c>
      <c r="F2543" s="1" t="s">
        <v>69</v>
      </c>
      <c r="G2543" s="1" t="s">
        <v>169</v>
      </c>
      <c r="H2543" s="1" t="s">
        <v>170</v>
      </c>
      <c r="I2543" s="1">
        <v>654.85</v>
      </c>
      <c r="J2543" s="1">
        <v>6</v>
      </c>
      <c r="K2543" s="1">
        <v>3929.1</v>
      </c>
      <c r="L2543" s="1">
        <v>0</v>
      </c>
      <c r="M2543" s="1">
        <v>0</v>
      </c>
      <c r="N2543" s="1">
        <v>3929.1</v>
      </c>
      <c r="O2543" s="1" t="s">
        <v>80</v>
      </c>
      <c r="P2543" s="1" t="s">
        <v>3610</v>
      </c>
      <c r="Q2543" s="1">
        <v>1</v>
      </c>
      <c r="R2543" s="1">
        <f>Retail_Sales_Analyis[[#This Row],[Final_Price]]-Retail_Sales_Analyis[[#This Row],[Total_Price]]</f>
        <v>0</v>
      </c>
      <c r="S25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4" spans="1:19" x14ac:dyDescent="0.25">
      <c r="A2544" s="1" t="s">
        <v>3611</v>
      </c>
      <c r="B2544" s="2">
        <v>45390</v>
      </c>
      <c r="C2544" s="1" t="s">
        <v>54</v>
      </c>
      <c r="D2544" s="1" t="s">
        <v>43</v>
      </c>
      <c r="E2544" s="1" t="s">
        <v>129</v>
      </c>
      <c r="F2544" s="1" t="s">
        <v>69</v>
      </c>
      <c r="G2544" s="1" t="s">
        <v>31</v>
      </c>
      <c r="H2544" s="1" t="s">
        <v>32</v>
      </c>
      <c r="I2544" s="1">
        <v>486.14</v>
      </c>
      <c r="J2544" s="1">
        <v>7</v>
      </c>
      <c r="K2544" s="1">
        <v>3402.98</v>
      </c>
      <c r="L2544" s="1">
        <v>0</v>
      </c>
      <c r="M2544" s="1">
        <v>0</v>
      </c>
      <c r="N2544" s="1">
        <v>3402.98</v>
      </c>
      <c r="O2544" s="1" t="s">
        <v>24</v>
      </c>
      <c r="P2544" s="1" t="s">
        <v>576</v>
      </c>
      <c r="Q2544" s="1">
        <v>3</v>
      </c>
      <c r="R2544" s="1">
        <f>Retail_Sales_Analyis[[#This Row],[Final_Price]]-Retail_Sales_Analyis[[#This Row],[Total_Price]]</f>
        <v>0</v>
      </c>
      <c r="S25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5" spans="1:19" x14ac:dyDescent="0.25">
      <c r="A2545" s="1" t="s">
        <v>3612</v>
      </c>
      <c r="B2545" s="2">
        <v>45418</v>
      </c>
      <c r="C2545" s="1" t="s">
        <v>42</v>
      </c>
      <c r="D2545" s="1" t="s">
        <v>43</v>
      </c>
      <c r="E2545" s="1" t="s">
        <v>168</v>
      </c>
      <c r="F2545" s="1" t="s">
        <v>30</v>
      </c>
      <c r="G2545" s="1" t="s">
        <v>22</v>
      </c>
      <c r="H2545" s="1" t="s">
        <v>133</v>
      </c>
      <c r="I2545" s="1">
        <v>300.02</v>
      </c>
      <c r="J2545" s="1">
        <v>10</v>
      </c>
      <c r="K2545" s="1">
        <v>3000.2</v>
      </c>
      <c r="L2545" s="1">
        <v>0</v>
      </c>
      <c r="M2545" s="1">
        <v>0</v>
      </c>
      <c r="N2545" s="1">
        <v>3000.2</v>
      </c>
      <c r="O2545" s="1" t="s">
        <v>80</v>
      </c>
      <c r="P2545" s="1" t="s">
        <v>1466</v>
      </c>
      <c r="Q2545" s="1">
        <v>1</v>
      </c>
      <c r="R2545" s="1">
        <f>Retail_Sales_Analyis[[#This Row],[Final_Price]]-Retail_Sales_Analyis[[#This Row],[Total_Price]]</f>
        <v>0</v>
      </c>
      <c r="S25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6" spans="1:19" x14ac:dyDescent="0.25">
      <c r="A2546" s="1" t="s">
        <v>3613</v>
      </c>
      <c r="B2546" s="2">
        <v>45434</v>
      </c>
      <c r="C2546" s="1" t="s">
        <v>42</v>
      </c>
      <c r="D2546" s="1" t="s">
        <v>55</v>
      </c>
      <c r="E2546" s="1" t="s">
        <v>29</v>
      </c>
      <c r="F2546" s="1" t="s">
        <v>37</v>
      </c>
      <c r="G2546" s="1" t="s">
        <v>112</v>
      </c>
      <c r="H2546" s="1" t="s">
        <v>288</v>
      </c>
      <c r="I2546" s="1">
        <v>1493.27</v>
      </c>
      <c r="J2546" s="1">
        <v>10</v>
      </c>
      <c r="K2546" s="1">
        <v>14932.7</v>
      </c>
      <c r="L2546" s="1">
        <v>0</v>
      </c>
      <c r="M2546" s="1">
        <v>0</v>
      </c>
      <c r="N2546" s="1">
        <v>14932.7</v>
      </c>
      <c r="O2546" s="1" t="s">
        <v>64</v>
      </c>
      <c r="P2546" s="1" t="s">
        <v>2815</v>
      </c>
      <c r="Q2546" s="1">
        <v>2</v>
      </c>
      <c r="R2546" s="1">
        <f>Retail_Sales_Analyis[[#This Row],[Final_Price]]-Retail_Sales_Analyis[[#This Row],[Total_Price]]</f>
        <v>0</v>
      </c>
      <c r="S25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7" spans="1:19" x14ac:dyDescent="0.25">
      <c r="A2547" s="1" t="s">
        <v>3614</v>
      </c>
      <c r="B2547" s="2">
        <v>45577</v>
      </c>
      <c r="C2547" s="1" t="s">
        <v>76</v>
      </c>
      <c r="D2547" s="1" t="s">
        <v>19</v>
      </c>
      <c r="E2547" s="1" t="s">
        <v>121</v>
      </c>
      <c r="F2547" s="1" t="s">
        <v>69</v>
      </c>
      <c r="G2547" s="1" t="s">
        <v>169</v>
      </c>
      <c r="H2547" s="1" t="s">
        <v>348</v>
      </c>
      <c r="I2547" s="1">
        <v>874.15</v>
      </c>
      <c r="J2547" s="1">
        <v>9</v>
      </c>
      <c r="K2547" s="1">
        <v>7867.35</v>
      </c>
      <c r="L2547" s="1">
        <v>15</v>
      </c>
      <c r="M2547" s="1">
        <v>1180.0999999999999</v>
      </c>
      <c r="N2547" s="1">
        <v>6687.25</v>
      </c>
      <c r="O2547" s="1" t="s">
        <v>33</v>
      </c>
      <c r="P2547" s="1" t="s">
        <v>99</v>
      </c>
      <c r="Q2547" s="1">
        <v>1</v>
      </c>
      <c r="R2547" s="1">
        <f>Retail_Sales_Analyis[[#This Row],[Final_Price]]-Retail_Sales_Analyis[[#This Row],[Total_Price]]</f>
        <v>-1180.1000000000004</v>
      </c>
      <c r="S25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48" spans="1:19" x14ac:dyDescent="0.25">
      <c r="A2548" s="1" t="s">
        <v>3615</v>
      </c>
      <c r="B2548" s="2">
        <v>45444</v>
      </c>
      <c r="C2548" s="1" t="s">
        <v>173</v>
      </c>
      <c r="D2548" s="1" t="s">
        <v>19</v>
      </c>
      <c r="E2548" s="1" t="s">
        <v>322</v>
      </c>
      <c r="F2548" s="1" t="s">
        <v>84</v>
      </c>
      <c r="G2548" s="1" t="s">
        <v>22</v>
      </c>
      <c r="H2548" s="1" t="s">
        <v>23</v>
      </c>
      <c r="I2548" s="1">
        <v>468.24</v>
      </c>
      <c r="J2548" s="1">
        <v>3</v>
      </c>
      <c r="K2548" s="1">
        <v>1404.72</v>
      </c>
      <c r="L2548" s="1">
        <v>0</v>
      </c>
      <c r="M2548" s="1">
        <v>0</v>
      </c>
      <c r="N2548" s="1">
        <v>1404.72</v>
      </c>
      <c r="O2548" s="1" t="s">
        <v>64</v>
      </c>
      <c r="P2548" s="1" t="s">
        <v>295</v>
      </c>
      <c r="Q2548" s="1">
        <v>4</v>
      </c>
      <c r="R2548" s="1">
        <f>Retail_Sales_Analyis[[#This Row],[Final_Price]]-Retail_Sales_Analyis[[#This Row],[Total_Price]]</f>
        <v>0</v>
      </c>
      <c r="S25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49" spans="1:19" x14ac:dyDescent="0.25">
      <c r="A2549" s="1" t="s">
        <v>3616</v>
      </c>
      <c r="B2549" s="2">
        <v>45407</v>
      </c>
      <c r="C2549" s="1" t="s">
        <v>54</v>
      </c>
      <c r="D2549" s="1" t="s">
        <v>67</v>
      </c>
      <c r="E2549" s="1" t="s">
        <v>20</v>
      </c>
      <c r="F2549" s="1" t="s">
        <v>84</v>
      </c>
      <c r="G2549" s="1" t="s">
        <v>85</v>
      </c>
      <c r="H2549" s="1" t="s">
        <v>297</v>
      </c>
      <c r="I2549" s="1">
        <v>4476.0200000000004</v>
      </c>
      <c r="J2549" s="1">
        <v>7</v>
      </c>
      <c r="K2549" s="1">
        <v>31332.14</v>
      </c>
      <c r="L2549" s="1">
        <v>20</v>
      </c>
      <c r="M2549" s="1">
        <v>6266.43</v>
      </c>
      <c r="N2549" s="1">
        <v>25065.71</v>
      </c>
      <c r="O2549" s="1" t="s">
        <v>80</v>
      </c>
      <c r="P2549" s="1" t="s">
        <v>3617</v>
      </c>
      <c r="Q2549" s="1">
        <v>3</v>
      </c>
      <c r="R2549" s="1">
        <f>Retail_Sales_Analyis[[#This Row],[Final_Price]]-Retail_Sales_Analyis[[#This Row],[Total_Price]]</f>
        <v>-6266.43</v>
      </c>
      <c r="S25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50" spans="1:19" x14ac:dyDescent="0.25">
      <c r="A2550" s="1" t="s">
        <v>3618</v>
      </c>
      <c r="B2550" s="2">
        <v>45444</v>
      </c>
      <c r="C2550" s="1" t="s">
        <v>173</v>
      </c>
      <c r="D2550" s="1" t="s">
        <v>19</v>
      </c>
      <c r="E2550" s="1" t="s">
        <v>89</v>
      </c>
      <c r="F2550" s="1" t="s">
        <v>30</v>
      </c>
      <c r="G2550" s="1" t="s">
        <v>22</v>
      </c>
      <c r="H2550" s="1" t="s">
        <v>23</v>
      </c>
      <c r="I2550" s="1">
        <v>929.29</v>
      </c>
      <c r="J2550" s="1">
        <v>2</v>
      </c>
      <c r="K2550" s="1">
        <v>1858.58</v>
      </c>
      <c r="L2550" s="1">
        <v>0</v>
      </c>
      <c r="M2550" s="1">
        <v>0</v>
      </c>
      <c r="N2550" s="1">
        <v>1858.58</v>
      </c>
      <c r="O2550" s="1" t="s">
        <v>46</v>
      </c>
      <c r="P2550" s="1" t="s">
        <v>1282</v>
      </c>
      <c r="Q2550" s="1">
        <v>2</v>
      </c>
      <c r="R2550" s="1">
        <f>Retail_Sales_Analyis[[#This Row],[Final_Price]]-Retail_Sales_Analyis[[#This Row],[Total_Price]]</f>
        <v>0</v>
      </c>
      <c r="S25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51" spans="1:19" x14ac:dyDescent="0.25">
      <c r="A2551" s="1" t="s">
        <v>3619</v>
      </c>
      <c r="B2551" s="2">
        <v>45439</v>
      </c>
      <c r="C2551" s="1" t="s">
        <v>42</v>
      </c>
      <c r="D2551" s="1" t="s">
        <v>43</v>
      </c>
      <c r="E2551" s="1" t="s">
        <v>196</v>
      </c>
      <c r="F2551" s="1" t="s">
        <v>84</v>
      </c>
      <c r="G2551" s="1" t="s">
        <v>112</v>
      </c>
      <c r="H2551" s="1" t="s">
        <v>223</v>
      </c>
      <c r="I2551" s="1">
        <v>543.38</v>
      </c>
      <c r="J2551" s="1">
        <v>4</v>
      </c>
      <c r="K2551" s="1">
        <v>2173.52</v>
      </c>
      <c r="L2551" s="1">
        <v>5</v>
      </c>
      <c r="M2551" s="1">
        <v>108.68</v>
      </c>
      <c r="N2551" s="1">
        <v>2064.84</v>
      </c>
      <c r="O2551" s="1" t="s">
        <v>46</v>
      </c>
      <c r="P2551" s="1" t="s">
        <v>1004</v>
      </c>
      <c r="Q2551" s="1">
        <v>2</v>
      </c>
      <c r="R2551" s="1">
        <f>Retail_Sales_Analyis[[#This Row],[Final_Price]]-Retail_Sales_Analyis[[#This Row],[Total_Price]]</f>
        <v>-108.67999999999984</v>
      </c>
      <c r="S25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52" spans="1:19" x14ac:dyDescent="0.25">
      <c r="A2552" s="1" t="s">
        <v>3620</v>
      </c>
      <c r="B2552" s="2">
        <v>45652</v>
      </c>
      <c r="C2552" s="1" t="s">
        <v>73</v>
      </c>
      <c r="D2552" s="1" t="s">
        <v>67</v>
      </c>
      <c r="E2552" s="1" t="s">
        <v>302</v>
      </c>
      <c r="F2552" s="1" t="s">
        <v>30</v>
      </c>
      <c r="G2552" s="1" t="s">
        <v>85</v>
      </c>
      <c r="H2552" s="1" t="s">
        <v>98</v>
      </c>
      <c r="I2552" s="1">
        <v>3812.16</v>
      </c>
      <c r="J2552" s="1">
        <v>2</v>
      </c>
      <c r="K2552" s="1">
        <v>7624.32</v>
      </c>
      <c r="L2552" s="1">
        <v>0</v>
      </c>
      <c r="M2552" s="1">
        <v>0</v>
      </c>
      <c r="N2552" s="1">
        <v>7624.32</v>
      </c>
      <c r="O2552" s="1" t="s">
        <v>64</v>
      </c>
      <c r="P2552" s="1" t="s">
        <v>1183</v>
      </c>
      <c r="Q2552" s="1">
        <v>3</v>
      </c>
      <c r="R2552" s="1">
        <f>Retail_Sales_Analyis[[#This Row],[Final_Price]]-Retail_Sales_Analyis[[#This Row],[Total_Price]]</f>
        <v>0</v>
      </c>
      <c r="S25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53" spans="1:19" x14ac:dyDescent="0.25">
      <c r="A2553" s="1" t="s">
        <v>3621</v>
      </c>
      <c r="B2553" s="2">
        <v>45398</v>
      </c>
      <c r="C2553" s="1" t="s">
        <v>54</v>
      </c>
      <c r="D2553" s="1" t="s">
        <v>28</v>
      </c>
      <c r="E2553" s="1" t="s">
        <v>542</v>
      </c>
      <c r="F2553" s="1" t="s">
        <v>69</v>
      </c>
      <c r="G2553" s="1" t="s">
        <v>22</v>
      </c>
      <c r="H2553" s="1" t="s">
        <v>51</v>
      </c>
      <c r="I2553" s="1">
        <v>690.08</v>
      </c>
      <c r="J2553" s="1">
        <v>3</v>
      </c>
      <c r="K2553" s="1">
        <v>2070.2399999999998</v>
      </c>
      <c r="L2553" s="1">
        <v>5</v>
      </c>
      <c r="M2553" s="1">
        <v>103.51</v>
      </c>
      <c r="N2553" s="1">
        <v>1966.73</v>
      </c>
      <c r="O2553" s="1" t="s">
        <v>80</v>
      </c>
      <c r="P2553" s="1" t="s">
        <v>2778</v>
      </c>
      <c r="Q2553" s="1">
        <v>3</v>
      </c>
      <c r="R2553" s="1">
        <f>Retail_Sales_Analyis[[#This Row],[Final_Price]]-Retail_Sales_Analyis[[#This Row],[Total_Price]]</f>
        <v>-103.50999999999976</v>
      </c>
      <c r="S25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54" spans="1:19" x14ac:dyDescent="0.25">
      <c r="A2554" s="1" t="s">
        <v>3622</v>
      </c>
      <c r="B2554" s="2">
        <v>45645</v>
      </c>
      <c r="C2554" s="1" t="s">
        <v>73</v>
      </c>
      <c r="D2554" s="1" t="s">
        <v>67</v>
      </c>
      <c r="E2554" s="1" t="s">
        <v>139</v>
      </c>
      <c r="F2554" s="1" t="s">
        <v>21</v>
      </c>
      <c r="G2554" s="1" t="s">
        <v>57</v>
      </c>
      <c r="H2554" s="1" t="s">
        <v>58</v>
      </c>
      <c r="I2554" s="1">
        <v>1355.66</v>
      </c>
      <c r="J2554" s="1">
        <v>10</v>
      </c>
      <c r="K2554" s="1">
        <v>13556.6</v>
      </c>
      <c r="L2554" s="1">
        <v>0</v>
      </c>
      <c r="M2554" s="1">
        <v>0</v>
      </c>
      <c r="N2554" s="1">
        <v>13556.6</v>
      </c>
      <c r="O2554" s="1" t="s">
        <v>46</v>
      </c>
      <c r="P2554" s="1" t="s">
        <v>181</v>
      </c>
      <c r="Q2554" s="1">
        <v>2</v>
      </c>
      <c r="R2554" s="1">
        <f>Retail_Sales_Analyis[[#This Row],[Final_Price]]-Retail_Sales_Analyis[[#This Row],[Total_Price]]</f>
        <v>0</v>
      </c>
      <c r="S25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55" spans="1:19" x14ac:dyDescent="0.25">
      <c r="A2555" s="1" t="s">
        <v>3623</v>
      </c>
      <c r="B2555" s="2">
        <v>45652</v>
      </c>
      <c r="C2555" s="1" t="s">
        <v>73</v>
      </c>
      <c r="D2555" s="1" t="s">
        <v>67</v>
      </c>
      <c r="E2555" s="1" t="s">
        <v>236</v>
      </c>
      <c r="F2555" s="1" t="s">
        <v>69</v>
      </c>
      <c r="G2555" s="1" t="s">
        <v>169</v>
      </c>
      <c r="H2555" s="1" t="s">
        <v>208</v>
      </c>
      <c r="I2555" s="1">
        <v>1234.73</v>
      </c>
      <c r="J2555" s="1">
        <v>1</v>
      </c>
      <c r="K2555" s="1">
        <v>1234.73</v>
      </c>
      <c r="L2555" s="1">
        <v>20</v>
      </c>
      <c r="M2555" s="1">
        <v>246.95</v>
      </c>
      <c r="N2555" s="1">
        <v>987.78</v>
      </c>
      <c r="O2555" s="1" t="s">
        <v>33</v>
      </c>
      <c r="P2555" s="1" t="s">
        <v>1680</v>
      </c>
      <c r="Q2555" s="1">
        <v>3</v>
      </c>
      <c r="R2555" s="1">
        <f>Retail_Sales_Analyis[[#This Row],[Final_Price]]-Retail_Sales_Analyis[[#This Row],[Total_Price]]</f>
        <v>-246.95000000000005</v>
      </c>
      <c r="S25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56" spans="1:19" x14ac:dyDescent="0.25">
      <c r="A2556" s="1" t="s">
        <v>3624</v>
      </c>
      <c r="B2556" s="2">
        <v>45542</v>
      </c>
      <c r="C2556" s="1" t="s">
        <v>116</v>
      </c>
      <c r="D2556" s="1" t="s">
        <v>19</v>
      </c>
      <c r="E2556" s="1" t="s">
        <v>107</v>
      </c>
      <c r="F2556" s="1" t="s">
        <v>69</v>
      </c>
      <c r="G2556" s="1" t="s">
        <v>38</v>
      </c>
      <c r="H2556" s="1" t="s">
        <v>214</v>
      </c>
      <c r="I2556" s="1">
        <v>401.76</v>
      </c>
      <c r="J2556" s="1">
        <v>4</v>
      </c>
      <c r="K2556" s="1">
        <v>1607.04</v>
      </c>
      <c r="L2556" s="1">
        <v>20</v>
      </c>
      <c r="M2556" s="1">
        <v>321.41000000000003</v>
      </c>
      <c r="N2556" s="1">
        <v>1285.6300000000001</v>
      </c>
      <c r="O2556" s="1" t="s">
        <v>46</v>
      </c>
      <c r="P2556" s="1" t="s">
        <v>975</v>
      </c>
      <c r="Q2556" s="1">
        <v>1</v>
      </c>
      <c r="R2556" s="1">
        <f>Retail_Sales_Analyis[[#This Row],[Final_Price]]-Retail_Sales_Analyis[[#This Row],[Total_Price]]</f>
        <v>-321.40999999999985</v>
      </c>
      <c r="S25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57" spans="1:19" x14ac:dyDescent="0.25">
      <c r="A2557" s="1" t="s">
        <v>3625</v>
      </c>
      <c r="B2557" s="2">
        <v>45454</v>
      </c>
      <c r="C2557" s="1" t="s">
        <v>173</v>
      </c>
      <c r="D2557" s="1" t="s">
        <v>28</v>
      </c>
      <c r="E2557" s="1" t="s">
        <v>307</v>
      </c>
      <c r="F2557" s="1" t="s">
        <v>69</v>
      </c>
      <c r="G2557" s="1" t="s">
        <v>38</v>
      </c>
      <c r="H2557" s="1" t="s">
        <v>422</v>
      </c>
      <c r="I2557" s="1">
        <v>760.15</v>
      </c>
      <c r="J2557" s="1">
        <v>4</v>
      </c>
      <c r="K2557" s="1">
        <v>3040.6</v>
      </c>
      <c r="L2557" s="1">
        <v>20</v>
      </c>
      <c r="M2557" s="1">
        <v>608.12</v>
      </c>
      <c r="N2557" s="1">
        <v>2432.48</v>
      </c>
      <c r="O2557" s="1" t="s">
        <v>64</v>
      </c>
      <c r="P2557" s="1" t="s">
        <v>812</v>
      </c>
      <c r="Q2557" s="1">
        <v>4</v>
      </c>
      <c r="R2557" s="1">
        <f>Retail_Sales_Analyis[[#This Row],[Final_Price]]-Retail_Sales_Analyis[[#This Row],[Total_Price]]</f>
        <v>-608.11999999999989</v>
      </c>
      <c r="S25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58" spans="1:19" x14ac:dyDescent="0.25">
      <c r="A2558" s="1" t="s">
        <v>3626</v>
      </c>
      <c r="B2558" s="2">
        <v>45537</v>
      </c>
      <c r="C2558" s="1" t="s">
        <v>116</v>
      </c>
      <c r="D2558" s="1" t="s">
        <v>43</v>
      </c>
      <c r="E2558" s="1" t="s">
        <v>213</v>
      </c>
      <c r="F2558" s="1" t="s">
        <v>30</v>
      </c>
      <c r="G2558" s="1" t="s">
        <v>22</v>
      </c>
      <c r="H2558" s="1" t="s">
        <v>187</v>
      </c>
      <c r="I2558" s="1">
        <v>575.41</v>
      </c>
      <c r="J2558" s="1">
        <v>7</v>
      </c>
      <c r="K2558" s="1">
        <v>4027.87</v>
      </c>
      <c r="L2558" s="1">
        <v>0</v>
      </c>
      <c r="M2558" s="1">
        <v>0</v>
      </c>
      <c r="N2558" s="1">
        <v>4027.87</v>
      </c>
      <c r="O2558" s="1" t="s">
        <v>80</v>
      </c>
      <c r="P2558" s="1" t="s">
        <v>3627</v>
      </c>
      <c r="Q2558" s="1">
        <v>4</v>
      </c>
      <c r="R2558" s="1">
        <f>Retail_Sales_Analyis[[#This Row],[Final_Price]]-Retail_Sales_Analyis[[#This Row],[Total_Price]]</f>
        <v>0</v>
      </c>
      <c r="S25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59" spans="1:19" x14ac:dyDescent="0.25">
      <c r="A2559" s="1" t="s">
        <v>3628</v>
      </c>
      <c r="B2559" s="2">
        <v>45470</v>
      </c>
      <c r="C2559" s="1" t="s">
        <v>173</v>
      </c>
      <c r="D2559" s="1" t="s">
        <v>67</v>
      </c>
      <c r="E2559" s="1" t="s">
        <v>337</v>
      </c>
      <c r="F2559" s="1" t="s">
        <v>30</v>
      </c>
      <c r="G2559" s="1" t="s">
        <v>22</v>
      </c>
      <c r="H2559" s="1" t="s">
        <v>23</v>
      </c>
      <c r="I2559" s="1">
        <v>331.75</v>
      </c>
      <c r="J2559" s="1">
        <v>10</v>
      </c>
      <c r="K2559" s="1">
        <v>3317.5</v>
      </c>
      <c r="L2559" s="1">
        <v>0</v>
      </c>
      <c r="M2559" s="1">
        <v>0</v>
      </c>
      <c r="N2559" s="1">
        <v>3317.5</v>
      </c>
      <c r="O2559" s="1" t="s">
        <v>46</v>
      </c>
      <c r="P2559" s="1" t="s">
        <v>3145</v>
      </c>
      <c r="Q2559" s="1">
        <v>1</v>
      </c>
      <c r="R2559" s="1">
        <f>Retail_Sales_Analyis[[#This Row],[Final_Price]]-Retail_Sales_Analyis[[#This Row],[Total_Price]]</f>
        <v>0</v>
      </c>
      <c r="S25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60" spans="1:19" x14ac:dyDescent="0.25">
      <c r="A2560" s="1" t="s">
        <v>3629</v>
      </c>
      <c r="B2560" s="2">
        <v>45578</v>
      </c>
      <c r="C2560" s="1" t="s">
        <v>76</v>
      </c>
      <c r="D2560" s="1" t="s">
        <v>49</v>
      </c>
      <c r="E2560" s="1" t="s">
        <v>261</v>
      </c>
      <c r="F2560" s="1" t="s">
        <v>30</v>
      </c>
      <c r="G2560" s="1" t="s">
        <v>85</v>
      </c>
      <c r="H2560" s="1" t="s">
        <v>180</v>
      </c>
      <c r="I2560" s="1">
        <v>1023.25</v>
      </c>
      <c r="J2560" s="1">
        <v>7</v>
      </c>
      <c r="K2560" s="1">
        <v>7162.75</v>
      </c>
      <c r="L2560" s="1">
        <v>10</v>
      </c>
      <c r="M2560" s="1">
        <v>716.28</v>
      </c>
      <c r="N2560" s="1">
        <v>6446.47</v>
      </c>
      <c r="O2560" s="1" t="s">
        <v>64</v>
      </c>
      <c r="P2560" s="1" t="s">
        <v>3139</v>
      </c>
      <c r="Q2560" s="1">
        <v>5</v>
      </c>
      <c r="R2560" s="1">
        <f>Retail_Sales_Analyis[[#This Row],[Final_Price]]-Retail_Sales_Analyis[[#This Row],[Total_Price]]</f>
        <v>-716.27999999999975</v>
      </c>
      <c r="S25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61" spans="1:19" x14ac:dyDescent="0.25">
      <c r="A2561" s="1" t="s">
        <v>3630</v>
      </c>
      <c r="B2561" s="2">
        <v>45432</v>
      </c>
      <c r="C2561" s="1" t="s">
        <v>42</v>
      </c>
      <c r="D2561" s="1" t="s">
        <v>43</v>
      </c>
      <c r="E2561" s="1" t="s">
        <v>174</v>
      </c>
      <c r="F2561" s="1" t="s">
        <v>69</v>
      </c>
      <c r="G2561" s="1" t="s">
        <v>78</v>
      </c>
      <c r="H2561" s="1" t="s">
        <v>79</v>
      </c>
      <c r="I2561" s="1">
        <v>214.35</v>
      </c>
      <c r="J2561" s="1">
        <v>1</v>
      </c>
      <c r="K2561" s="1">
        <v>214.35</v>
      </c>
      <c r="L2561" s="1">
        <v>20</v>
      </c>
      <c r="M2561" s="1">
        <v>42.87</v>
      </c>
      <c r="N2561" s="1">
        <v>171.48</v>
      </c>
      <c r="O2561" s="1" t="s">
        <v>33</v>
      </c>
      <c r="P2561" s="1" t="s">
        <v>1320</v>
      </c>
      <c r="Q2561" s="1">
        <v>2</v>
      </c>
      <c r="R2561" s="1">
        <f>Retail_Sales_Analyis[[#This Row],[Final_Price]]-Retail_Sales_Analyis[[#This Row],[Total_Price]]</f>
        <v>-42.870000000000005</v>
      </c>
      <c r="S25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62" spans="1:19" x14ac:dyDescent="0.25">
      <c r="A2562" s="1" t="s">
        <v>3631</v>
      </c>
      <c r="B2562" s="2">
        <v>45439</v>
      </c>
      <c r="C2562" s="1" t="s">
        <v>42</v>
      </c>
      <c r="D2562" s="1" t="s">
        <v>43</v>
      </c>
      <c r="E2562" s="1" t="s">
        <v>50</v>
      </c>
      <c r="F2562" s="1" t="s">
        <v>69</v>
      </c>
      <c r="G2562" s="1" t="s">
        <v>22</v>
      </c>
      <c r="H2562" s="1" t="s">
        <v>51</v>
      </c>
      <c r="I2562" s="1">
        <v>343.46</v>
      </c>
      <c r="J2562" s="1">
        <v>4</v>
      </c>
      <c r="K2562" s="1">
        <v>1373.84</v>
      </c>
      <c r="L2562" s="1">
        <v>15</v>
      </c>
      <c r="M2562" s="1">
        <v>206.08</v>
      </c>
      <c r="N2562" s="1">
        <v>1167.76</v>
      </c>
      <c r="O2562" s="1" t="s">
        <v>46</v>
      </c>
      <c r="P2562" s="1" t="s">
        <v>1793</v>
      </c>
      <c r="Q2562" s="1">
        <v>1</v>
      </c>
      <c r="R2562" s="1">
        <f>Retail_Sales_Analyis[[#This Row],[Final_Price]]-Retail_Sales_Analyis[[#This Row],[Total_Price]]</f>
        <v>-206.07999999999993</v>
      </c>
      <c r="S25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63" spans="1:19" x14ac:dyDescent="0.25">
      <c r="A2563" s="1" t="s">
        <v>3632</v>
      </c>
      <c r="B2563" s="2">
        <v>45354</v>
      </c>
      <c r="C2563" s="1" t="s">
        <v>61</v>
      </c>
      <c r="D2563" s="1" t="s">
        <v>49</v>
      </c>
      <c r="E2563" s="1" t="s">
        <v>68</v>
      </c>
      <c r="F2563" s="1" t="s">
        <v>84</v>
      </c>
      <c r="G2563" s="1" t="s">
        <v>57</v>
      </c>
      <c r="H2563" s="1" t="s">
        <v>158</v>
      </c>
      <c r="I2563" s="1">
        <v>2117.48</v>
      </c>
      <c r="J2563" s="1">
        <v>5</v>
      </c>
      <c r="K2563" s="1">
        <v>10587.4</v>
      </c>
      <c r="L2563" s="1">
        <v>20</v>
      </c>
      <c r="M2563" s="1">
        <v>2117.48</v>
      </c>
      <c r="N2563" s="1">
        <v>8469.92</v>
      </c>
      <c r="O2563" s="1" t="s">
        <v>64</v>
      </c>
      <c r="P2563" s="1" t="s">
        <v>2898</v>
      </c>
      <c r="Q2563" s="1">
        <v>1</v>
      </c>
      <c r="R2563" s="1">
        <f>Retail_Sales_Analyis[[#This Row],[Final_Price]]-Retail_Sales_Analyis[[#This Row],[Total_Price]]</f>
        <v>-2117.4799999999996</v>
      </c>
      <c r="S25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64" spans="1:19" x14ac:dyDescent="0.25">
      <c r="A2564" s="1" t="s">
        <v>3633</v>
      </c>
      <c r="B2564" s="2">
        <v>45585</v>
      </c>
      <c r="C2564" s="1" t="s">
        <v>76</v>
      </c>
      <c r="D2564" s="1" t="s">
        <v>49</v>
      </c>
      <c r="E2564" s="1" t="s">
        <v>186</v>
      </c>
      <c r="F2564" s="1" t="s">
        <v>30</v>
      </c>
      <c r="G2564" s="1" t="s">
        <v>38</v>
      </c>
      <c r="H2564" s="1" t="s">
        <v>108</v>
      </c>
      <c r="I2564" s="1">
        <v>708.07</v>
      </c>
      <c r="J2564" s="1">
        <v>6</v>
      </c>
      <c r="K2564" s="1">
        <v>4248.42</v>
      </c>
      <c r="L2564" s="1">
        <v>0</v>
      </c>
      <c r="M2564" s="1">
        <v>0</v>
      </c>
      <c r="N2564" s="1">
        <v>4248.42</v>
      </c>
      <c r="O2564" s="1" t="s">
        <v>64</v>
      </c>
      <c r="P2564" s="1" t="s">
        <v>857</v>
      </c>
      <c r="Q2564" s="1">
        <v>2</v>
      </c>
      <c r="R2564" s="1">
        <f>Retail_Sales_Analyis[[#This Row],[Final_Price]]-Retail_Sales_Analyis[[#This Row],[Total_Price]]</f>
        <v>0</v>
      </c>
      <c r="S25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65" spans="1:19" x14ac:dyDescent="0.25">
      <c r="A2565" s="1" t="s">
        <v>3634</v>
      </c>
      <c r="B2565" s="2">
        <v>45638</v>
      </c>
      <c r="C2565" s="1" t="s">
        <v>73</v>
      </c>
      <c r="D2565" s="1" t="s">
        <v>67</v>
      </c>
      <c r="E2565" s="1" t="s">
        <v>204</v>
      </c>
      <c r="F2565" s="1" t="s">
        <v>84</v>
      </c>
      <c r="G2565" s="1" t="s">
        <v>31</v>
      </c>
      <c r="H2565" s="1" t="s">
        <v>32</v>
      </c>
      <c r="I2565" s="1">
        <v>297.55</v>
      </c>
      <c r="J2565" s="1">
        <v>1</v>
      </c>
      <c r="K2565" s="1">
        <v>297.55</v>
      </c>
      <c r="L2565" s="1">
        <v>0</v>
      </c>
      <c r="M2565" s="1">
        <v>0</v>
      </c>
      <c r="N2565" s="1">
        <v>297.55</v>
      </c>
      <c r="O2565" s="1" t="s">
        <v>46</v>
      </c>
      <c r="P2565" s="1" t="s">
        <v>367</v>
      </c>
      <c r="Q2565" s="1">
        <v>4</v>
      </c>
      <c r="R2565" s="1">
        <f>Retail_Sales_Analyis[[#This Row],[Final_Price]]-Retail_Sales_Analyis[[#This Row],[Total_Price]]</f>
        <v>0</v>
      </c>
      <c r="S25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66" spans="1:19" x14ac:dyDescent="0.25">
      <c r="A2566" s="1" t="s">
        <v>3635</v>
      </c>
      <c r="B2566" s="2">
        <v>45570</v>
      </c>
      <c r="C2566" s="1" t="s">
        <v>76</v>
      </c>
      <c r="D2566" s="1" t="s">
        <v>19</v>
      </c>
      <c r="E2566" s="1" t="s">
        <v>337</v>
      </c>
      <c r="F2566" s="1" t="s">
        <v>21</v>
      </c>
      <c r="G2566" s="1" t="s">
        <v>85</v>
      </c>
      <c r="H2566" s="1" t="s">
        <v>180</v>
      </c>
      <c r="I2566" s="1">
        <v>1464.87</v>
      </c>
      <c r="J2566" s="1">
        <v>9</v>
      </c>
      <c r="K2566" s="1">
        <v>13183.83</v>
      </c>
      <c r="L2566" s="1">
        <v>0</v>
      </c>
      <c r="M2566" s="1">
        <v>0</v>
      </c>
      <c r="N2566" s="1">
        <v>13183.83</v>
      </c>
      <c r="O2566" s="1" t="s">
        <v>24</v>
      </c>
      <c r="P2566" s="1" t="s">
        <v>3636</v>
      </c>
      <c r="Q2566" s="1">
        <v>4</v>
      </c>
      <c r="R2566" s="1">
        <f>Retail_Sales_Analyis[[#This Row],[Final_Price]]-Retail_Sales_Analyis[[#This Row],[Total_Price]]</f>
        <v>0</v>
      </c>
      <c r="S25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67" spans="1:19" x14ac:dyDescent="0.25">
      <c r="A2567" s="1" t="s">
        <v>3637</v>
      </c>
      <c r="B2567" s="2">
        <v>45486</v>
      </c>
      <c r="C2567" s="1" t="s">
        <v>195</v>
      </c>
      <c r="D2567" s="1" t="s">
        <v>19</v>
      </c>
      <c r="E2567" s="1" t="s">
        <v>186</v>
      </c>
      <c r="F2567" s="1" t="s">
        <v>69</v>
      </c>
      <c r="G2567" s="1" t="s">
        <v>85</v>
      </c>
      <c r="H2567" s="1" t="s">
        <v>297</v>
      </c>
      <c r="I2567" s="1">
        <v>2170.42</v>
      </c>
      <c r="J2567" s="1">
        <v>9</v>
      </c>
      <c r="K2567" s="1">
        <v>19533.78</v>
      </c>
      <c r="L2567" s="1">
        <v>15</v>
      </c>
      <c r="M2567" s="1">
        <v>2930.07</v>
      </c>
      <c r="N2567" s="1">
        <v>16603.71</v>
      </c>
      <c r="O2567" s="1" t="s">
        <v>64</v>
      </c>
      <c r="P2567" s="1" t="s">
        <v>1435</v>
      </c>
      <c r="Q2567" s="1">
        <v>2</v>
      </c>
      <c r="R2567" s="1">
        <f>Retail_Sales_Analyis[[#This Row],[Final_Price]]-Retail_Sales_Analyis[[#This Row],[Total_Price]]</f>
        <v>-2930.0699999999997</v>
      </c>
      <c r="S25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68" spans="1:19" x14ac:dyDescent="0.25">
      <c r="A2568" s="1" t="s">
        <v>3638</v>
      </c>
      <c r="B2568" s="2">
        <v>45494</v>
      </c>
      <c r="C2568" s="1" t="s">
        <v>195</v>
      </c>
      <c r="D2568" s="1" t="s">
        <v>49</v>
      </c>
      <c r="E2568" s="1" t="s">
        <v>44</v>
      </c>
      <c r="F2568" s="1" t="s">
        <v>69</v>
      </c>
      <c r="G2568" s="1" t="s">
        <v>85</v>
      </c>
      <c r="H2568" s="1" t="s">
        <v>297</v>
      </c>
      <c r="I2568" s="1">
        <v>4705.8599999999997</v>
      </c>
      <c r="J2568" s="1">
        <v>5</v>
      </c>
      <c r="K2568" s="1">
        <v>23529.3</v>
      </c>
      <c r="L2568" s="1">
        <v>0</v>
      </c>
      <c r="M2568" s="1">
        <v>0</v>
      </c>
      <c r="N2568" s="1">
        <v>23529.3</v>
      </c>
      <c r="O2568" s="1" t="s">
        <v>24</v>
      </c>
      <c r="P2568" s="1" t="s">
        <v>352</v>
      </c>
      <c r="Q2568" s="1">
        <v>4</v>
      </c>
      <c r="R2568" s="1">
        <f>Retail_Sales_Analyis[[#This Row],[Final_Price]]-Retail_Sales_Analyis[[#This Row],[Total_Price]]</f>
        <v>0</v>
      </c>
      <c r="S25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69" spans="1:19" x14ac:dyDescent="0.25">
      <c r="A2569" s="1" t="s">
        <v>3639</v>
      </c>
      <c r="B2569" s="2">
        <v>45468</v>
      </c>
      <c r="C2569" s="1" t="s">
        <v>173</v>
      </c>
      <c r="D2569" s="1" t="s">
        <v>28</v>
      </c>
      <c r="E2569" s="1" t="s">
        <v>139</v>
      </c>
      <c r="F2569" s="1" t="s">
        <v>69</v>
      </c>
      <c r="G2569" s="1" t="s">
        <v>31</v>
      </c>
      <c r="H2569" s="1" t="s">
        <v>329</v>
      </c>
      <c r="I2569" s="1">
        <v>227.94</v>
      </c>
      <c r="J2569" s="1">
        <v>7</v>
      </c>
      <c r="K2569" s="1">
        <v>1595.58</v>
      </c>
      <c r="L2569" s="1">
        <v>15</v>
      </c>
      <c r="M2569" s="1">
        <v>239.34</v>
      </c>
      <c r="N2569" s="1">
        <v>1356.24</v>
      </c>
      <c r="O2569" s="1" t="s">
        <v>64</v>
      </c>
      <c r="P2569" s="1" t="s">
        <v>1979</v>
      </c>
      <c r="Q2569" s="1">
        <v>2</v>
      </c>
      <c r="R2569" s="1">
        <f>Retail_Sales_Analyis[[#This Row],[Final_Price]]-Retail_Sales_Analyis[[#This Row],[Total_Price]]</f>
        <v>-239.33999999999992</v>
      </c>
      <c r="S25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70" spans="1:19" x14ac:dyDescent="0.25">
      <c r="A2570" s="1" t="s">
        <v>3640</v>
      </c>
      <c r="B2570" s="2">
        <v>45366</v>
      </c>
      <c r="C2570" s="1" t="s">
        <v>61</v>
      </c>
      <c r="D2570" s="1" t="s">
        <v>144</v>
      </c>
      <c r="E2570" s="1" t="s">
        <v>111</v>
      </c>
      <c r="F2570" s="1" t="s">
        <v>84</v>
      </c>
      <c r="G2570" s="1" t="s">
        <v>112</v>
      </c>
      <c r="H2570" s="1" t="s">
        <v>223</v>
      </c>
      <c r="I2570" s="1">
        <v>601.04999999999995</v>
      </c>
      <c r="J2570" s="1">
        <v>3</v>
      </c>
      <c r="K2570" s="1">
        <v>1803.15</v>
      </c>
      <c r="L2570" s="1">
        <v>20</v>
      </c>
      <c r="M2570" s="1">
        <v>360.63</v>
      </c>
      <c r="N2570" s="1">
        <v>1442.52</v>
      </c>
      <c r="O2570" s="1" t="s">
        <v>64</v>
      </c>
      <c r="P2570" s="1" t="s">
        <v>1957</v>
      </c>
      <c r="Q2570" s="1">
        <v>1</v>
      </c>
      <c r="R2570" s="1">
        <f>Retail_Sales_Analyis[[#This Row],[Final_Price]]-Retail_Sales_Analyis[[#This Row],[Total_Price]]</f>
        <v>-360.63000000000011</v>
      </c>
      <c r="S25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71" spans="1:19" x14ac:dyDescent="0.25">
      <c r="A2571" s="1" t="s">
        <v>3641</v>
      </c>
      <c r="B2571" s="2">
        <v>45440</v>
      </c>
      <c r="C2571" s="1" t="s">
        <v>42</v>
      </c>
      <c r="D2571" s="1" t="s">
        <v>28</v>
      </c>
      <c r="E2571" s="1" t="s">
        <v>145</v>
      </c>
      <c r="F2571" s="1" t="s">
        <v>21</v>
      </c>
      <c r="G2571" s="1" t="s">
        <v>38</v>
      </c>
      <c r="H2571" s="1" t="s">
        <v>214</v>
      </c>
      <c r="I2571" s="1">
        <v>371.39</v>
      </c>
      <c r="J2571" s="1">
        <v>5</v>
      </c>
      <c r="K2571" s="1">
        <v>1856.95</v>
      </c>
      <c r="L2571" s="1">
        <v>20</v>
      </c>
      <c r="M2571" s="1">
        <v>371.39</v>
      </c>
      <c r="N2571" s="1">
        <v>1485.56</v>
      </c>
      <c r="O2571" s="1" t="s">
        <v>80</v>
      </c>
      <c r="P2571" s="1" t="s">
        <v>439</v>
      </c>
      <c r="Q2571" s="1">
        <v>2</v>
      </c>
      <c r="R2571" s="1">
        <f>Retail_Sales_Analyis[[#This Row],[Final_Price]]-Retail_Sales_Analyis[[#This Row],[Total_Price]]</f>
        <v>-371.3900000000001</v>
      </c>
      <c r="S257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72" spans="1:19" x14ac:dyDescent="0.25">
      <c r="A2572" s="1" t="s">
        <v>3642</v>
      </c>
      <c r="B2572" s="2">
        <v>45313</v>
      </c>
      <c r="C2572" s="1" t="s">
        <v>36</v>
      </c>
      <c r="D2572" s="1" t="s">
        <v>43</v>
      </c>
      <c r="E2572" s="1" t="s">
        <v>207</v>
      </c>
      <c r="F2572" s="1" t="s">
        <v>69</v>
      </c>
      <c r="G2572" s="1" t="s">
        <v>31</v>
      </c>
      <c r="H2572" s="1" t="s">
        <v>45</v>
      </c>
      <c r="I2572" s="1">
        <v>221.46</v>
      </c>
      <c r="J2572" s="1">
        <v>9</v>
      </c>
      <c r="K2572" s="1">
        <v>1993.14</v>
      </c>
      <c r="L2572" s="1">
        <v>0</v>
      </c>
      <c r="M2572" s="1">
        <v>0</v>
      </c>
      <c r="N2572" s="1">
        <v>1993.14</v>
      </c>
      <c r="O2572" s="1" t="s">
        <v>80</v>
      </c>
      <c r="P2572" s="1" t="s">
        <v>153</v>
      </c>
      <c r="Q2572" s="1">
        <v>5</v>
      </c>
      <c r="R2572" s="1">
        <f>Retail_Sales_Analyis[[#This Row],[Final_Price]]-Retail_Sales_Analyis[[#This Row],[Total_Price]]</f>
        <v>0</v>
      </c>
      <c r="S25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73" spans="1:19" x14ac:dyDescent="0.25">
      <c r="A2573" s="1" t="s">
        <v>3643</v>
      </c>
      <c r="B2573" s="2">
        <v>45439</v>
      </c>
      <c r="C2573" s="1" t="s">
        <v>42</v>
      </c>
      <c r="D2573" s="1" t="s">
        <v>43</v>
      </c>
      <c r="E2573" s="1" t="s">
        <v>94</v>
      </c>
      <c r="F2573" s="1" t="s">
        <v>69</v>
      </c>
      <c r="G2573" s="1" t="s">
        <v>169</v>
      </c>
      <c r="H2573" s="1" t="s">
        <v>366</v>
      </c>
      <c r="I2573" s="1">
        <v>757.43</v>
      </c>
      <c r="J2573" s="1">
        <v>6</v>
      </c>
      <c r="K2573" s="1">
        <v>4544.58</v>
      </c>
      <c r="L2573" s="1">
        <v>15</v>
      </c>
      <c r="M2573" s="1">
        <v>681.69</v>
      </c>
      <c r="N2573" s="1">
        <v>3862.89</v>
      </c>
      <c r="O2573" s="1" t="s">
        <v>46</v>
      </c>
      <c r="P2573" s="1" t="s">
        <v>3644</v>
      </c>
      <c r="Q2573" s="1">
        <v>5</v>
      </c>
      <c r="R2573" s="1">
        <f>Retail_Sales_Analyis[[#This Row],[Final_Price]]-Retail_Sales_Analyis[[#This Row],[Total_Price]]</f>
        <v>-681.69</v>
      </c>
      <c r="S25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74" spans="1:19" x14ac:dyDescent="0.25">
      <c r="A2574" s="1" t="s">
        <v>3645</v>
      </c>
      <c r="B2574" s="2">
        <v>45657</v>
      </c>
      <c r="C2574" s="1" t="s">
        <v>73</v>
      </c>
      <c r="D2574" s="1" t="s">
        <v>28</v>
      </c>
      <c r="E2574" s="1" t="s">
        <v>97</v>
      </c>
      <c r="F2574" s="1" t="s">
        <v>37</v>
      </c>
      <c r="G2574" s="1" t="s">
        <v>85</v>
      </c>
      <c r="H2574" s="1" t="s">
        <v>297</v>
      </c>
      <c r="I2574" s="1">
        <v>3249.17</v>
      </c>
      <c r="J2574" s="1">
        <v>6</v>
      </c>
      <c r="K2574" s="1">
        <v>19495.02</v>
      </c>
      <c r="L2574" s="1">
        <v>5</v>
      </c>
      <c r="M2574" s="1">
        <v>974.75</v>
      </c>
      <c r="N2574" s="1">
        <v>18520.27</v>
      </c>
      <c r="O2574" s="1" t="s">
        <v>46</v>
      </c>
      <c r="P2574" s="1" t="s">
        <v>2535</v>
      </c>
      <c r="Q2574" s="1">
        <v>5</v>
      </c>
      <c r="R2574" s="1">
        <f>Retail_Sales_Analyis[[#This Row],[Final_Price]]-Retail_Sales_Analyis[[#This Row],[Total_Price]]</f>
        <v>-974.75</v>
      </c>
      <c r="S25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75" spans="1:19" x14ac:dyDescent="0.25">
      <c r="A2575" s="1" t="s">
        <v>3646</v>
      </c>
      <c r="B2575" s="2">
        <v>45332</v>
      </c>
      <c r="C2575" s="1" t="s">
        <v>27</v>
      </c>
      <c r="D2575" s="1" t="s">
        <v>19</v>
      </c>
      <c r="E2575" s="1" t="s">
        <v>145</v>
      </c>
      <c r="F2575" s="1" t="s">
        <v>30</v>
      </c>
      <c r="G2575" s="1" t="s">
        <v>57</v>
      </c>
      <c r="H2575" s="1" t="s">
        <v>101</v>
      </c>
      <c r="I2575" s="1">
        <v>932.34</v>
      </c>
      <c r="J2575" s="1">
        <v>6</v>
      </c>
      <c r="K2575" s="1">
        <v>5594.04</v>
      </c>
      <c r="L2575" s="1">
        <v>20</v>
      </c>
      <c r="M2575" s="1">
        <v>1118.81</v>
      </c>
      <c r="N2575" s="1">
        <v>4475.2299999999996</v>
      </c>
      <c r="O2575" s="1" t="s">
        <v>24</v>
      </c>
      <c r="P2575" s="1" t="s">
        <v>3647</v>
      </c>
      <c r="Q2575" s="1">
        <v>5</v>
      </c>
      <c r="R2575" s="1">
        <f>Retail_Sales_Analyis[[#This Row],[Final_Price]]-Retail_Sales_Analyis[[#This Row],[Total_Price]]</f>
        <v>-1118.8100000000004</v>
      </c>
      <c r="S25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76" spans="1:19" x14ac:dyDescent="0.25">
      <c r="A2576" s="1" t="s">
        <v>3648</v>
      </c>
      <c r="B2576" s="2">
        <v>45469</v>
      </c>
      <c r="C2576" s="1" t="s">
        <v>173</v>
      </c>
      <c r="D2576" s="1" t="s">
        <v>55</v>
      </c>
      <c r="E2576" s="1" t="s">
        <v>83</v>
      </c>
      <c r="F2576" s="1" t="s">
        <v>30</v>
      </c>
      <c r="G2576" s="1" t="s">
        <v>112</v>
      </c>
      <c r="H2576" s="1" t="s">
        <v>223</v>
      </c>
      <c r="I2576" s="1">
        <v>662.42</v>
      </c>
      <c r="J2576" s="1">
        <v>6</v>
      </c>
      <c r="K2576" s="1">
        <v>3974.52</v>
      </c>
      <c r="L2576" s="1">
        <v>0</v>
      </c>
      <c r="M2576" s="1">
        <v>0</v>
      </c>
      <c r="N2576" s="1">
        <v>3974.52</v>
      </c>
      <c r="O2576" s="1" t="s">
        <v>33</v>
      </c>
      <c r="P2576" s="1" t="s">
        <v>971</v>
      </c>
      <c r="Q2576" s="1">
        <v>1</v>
      </c>
      <c r="R2576" s="1">
        <f>Retail_Sales_Analyis[[#This Row],[Final_Price]]-Retail_Sales_Analyis[[#This Row],[Total_Price]]</f>
        <v>0</v>
      </c>
      <c r="S25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77" spans="1:19" x14ac:dyDescent="0.25">
      <c r="A2577" s="1" t="s">
        <v>3649</v>
      </c>
      <c r="B2577" s="2">
        <v>45518</v>
      </c>
      <c r="C2577" s="1" t="s">
        <v>93</v>
      </c>
      <c r="D2577" s="1" t="s">
        <v>55</v>
      </c>
      <c r="E2577" s="1" t="s">
        <v>328</v>
      </c>
      <c r="F2577" s="1" t="s">
        <v>37</v>
      </c>
      <c r="G2577" s="1" t="s">
        <v>112</v>
      </c>
      <c r="H2577" s="1" t="s">
        <v>183</v>
      </c>
      <c r="I2577" s="1">
        <v>1816.66</v>
      </c>
      <c r="J2577" s="1">
        <v>4</v>
      </c>
      <c r="K2577" s="1">
        <v>7266.64</v>
      </c>
      <c r="L2577" s="1">
        <v>10</v>
      </c>
      <c r="M2577" s="1">
        <v>726.66</v>
      </c>
      <c r="N2577" s="1">
        <v>6539.98</v>
      </c>
      <c r="O2577" s="1" t="s">
        <v>80</v>
      </c>
      <c r="P2577" s="1" t="s">
        <v>1607</v>
      </c>
      <c r="Q2577" s="1">
        <v>5</v>
      </c>
      <c r="R2577" s="1">
        <f>Retail_Sales_Analyis[[#This Row],[Final_Price]]-Retail_Sales_Analyis[[#This Row],[Total_Price]]</f>
        <v>-726.66000000000076</v>
      </c>
      <c r="S25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78" spans="1:19" x14ac:dyDescent="0.25">
      <c r="A2578" s="1" t="s">
        <v>3650</v>
      </c>
      <c r="B2578" s="2">
        <v>45627</v>
      </c>
      <c r="C2578" s="1" t="s">
        <v>73</v>
      </c>
      <c r="D2578" s="1" t="s">
        <v>49</v>
      </c>
      <c r="E2578" s="1" t="s">
        <v>411</v>
      </c>
      <c r="F2578" s="1" t="s">
        <v>69</v>
      </c>
      <c r="G2578" s="1" t="s">
        <v>38</v>
      </c>
      <c r="H2578" s="1" t="s">
        <v>39</v>
      </c>
      <c r="I2578" s="1">
        <v>142.88</v>
      </c>
      <c r="J2578" s="1">
        <v>1</v>
      </c>
      <c r="K2578" s="1">
        <v>142.88</v>
      </c>
      <c r="L2578" s="1">
        <v>0</v>
      </c>
      <c r="M2578" s="1">
        <v>0</v>
      </c>
      <c r="N2578" s="1">
        <v>142.88</v>
      </c>
      <c r="O2578" s="1" t="s">
        <v>64</v>
      </c>
      <c r="P2578" s="1" t="s">
        <v>371</v>
      </c>
      <c r="Q2578" s="1">
        <v>1</v>
      </c>
      <c r="R2578" s="1">
        <f>Retail_Sales_Analyis[[#This Row],[Final_Price]]-Retail_Sales_Analyis[[#This Row],[Total_Price]]</f>
        <v>0</v>
      </c>
      <c r="S25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79" spans="1:19" x14ac:dyDescent="0.25">
      <c r="A2579" s="1" t="s">
        <v>3651</v>
      </c>
      <c r="B2579" s="2">
        <v>45423</v>
      </c>
      <c r="C2579" s="1" t="s">
        <v>42</v>
      </c>
      <c r="D2579" s="1" t="s">
        <v>19</v>
      </c>
      <c r="E2579" s="1" t="s">
        <v>199</v>
      </c>
      <c r="F2579" s="1" t="s">
        <v>84</v>
      </c>
      <c r="G2579" s="1" t="s">
        <v>78</v>
      </c>
      <c r="H2579" s="1" t="s">
        <v>79</v>
      </c>
      <c r="I2579" s="1">
        <v>459.2</v>
      </c>
      <c r="J2579" s="1">
        <v>6</v>
      </c>
      <c r="K2579" s="1">
        <v>2755.2</v>
      </c>
      <c r="L2579" s="1">
        <v>0</v>
      </c>
      <c r="M2579" s="1">
        <v>0</v>
      </c>
      <c r="N2579" s="1">
        <v>2755.2</v>
      </c>
      <c r="O2579" s="1" t="s">
        <v>80</v>
      </c>
      <c r="P2579" s="1" t="s">
        <v>2770</v>
      </c>
      <c r="Q2579" s="1">
        <v>1</v>
      </c>
      <c r="R2579" s="1">
        <f>Retail_Sales_Analyis[[#This Row],[Final_Price]]-Retail_Sales_Analyis[[#This Row],[Total_Price]]</f>
        <v>0</v>
      </c>
      <c r="S25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80" spans="1:19" x14ac:dyDescent="0.25">
      <c r="A2580" s="1" t="s">
        <v>3652</v>
      </c>
      <c r="B2580" s="2">
        <v>45537</v>
      </c>
      <c r="C2580" s="1" t="s">
        <v>116</v>
      </c>
      <c r="D2580" s="1" t="s">
        <v>43</v>
      </c>
      <c r="E2580" s="1" t="s">
        <v>186</v>
      </c>
      <c r="F2580" s="1" t="s">
        <v>37</v>
      </c>
      <c r="G2580" s="1" t="s">
        <v>57</v>
      </c>
      <c r="H2580" s="1" t="s">
        <v>58</v>
      </c>
      <c r="I2580" s="1">
        <v>1068.82</v>
      </c>
      <c r="J2580" s="1">
        <v>6</v>
      </c>
      <c r="K2580" s="1">
        <v>6412.92</v>
      </c>
      <c r="L2580" s="1">
        <v>0</v>
      </c>
      <c r="M2580" s="1">
        <v>0</v>
      </c>
      <c r="N2580" s="1">
        <v>6412.92</v>
      </c>
      <c r="O2580" s="1" t="s">
        <v>80</v>
      </c>
      <c r="P2580" s="1" t="s">
        <v>2330</v>
      </c>
      <c r="Q2580" s="1">
        <v>1</v>
      </c>
      <c r="R2580" s="1">
        <f>Retail_Sales_Analyis[[#This Row],[Final_Price]]-Retail_Sales_Analyis[[#This Row],[Total_Price]]</f>
        <v>0</v>
      </c>
      <c r="S25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81" spans="1:19" x14ac:dyDescent="0.25">
      <c r="A2581" s="1" t="s">
        <v>3653</v>
      </c>
      <c r="B2581" s="2">
        <v>45401</v>
      </c>
      <c r="C2581" s="1" t="s">
        <v>54</v>
      </c>
      <c r="D2581" s="1" t="s">
        <v>144</v>
      </c>
      <c r="E2581" s="1" t="s">
        <v>312</v>
      </c>
      <c r="F2581" s="1" t="s">
        <v>37</v>
      </c>
      <c r="G2581" s="1" t="s">
        <v>112</v>
      </c>
      <c r="H2581" s="1" t="s">
        <v>223</v>
      </c>
      <c r="I2581" s="1">
        <v>1883.26</v>
      </c>
      <c r="J2581" s="1">
        <v>9</v>
      </c>
      <c r="K2581" s="1">
        <v>16949.34</v>
      </c>
      <c r="L2581" s="1">
        <v>0</v>
      </c>
      <c r="M2581" s="1">
        <v>0</v>
      </c>
      <c r="N2581" s="1">
        <v>16949.34</v>
      </c>
      <c r="O2581" s="1" t="s">
        <v>33</v>
      </c>
      <c r="P2581" s="1" t="s">
        <v>2214</v>
      </c>
      <c r="Q2581" s="1">
        <v>3</v>
      </c>
      <c r="R2581" s="1">
        <f>Retail_Sales_Analyis[[#This Row],[Final_Price]]-Retail_Sales_Analyis[[#This Row],[Total_Price]]</f>
        <v>0</v>
      </c>
      <c r="S25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82" spans="1:19" x14ac:dyDescent="0.25">
      <c r="A2582" s="1" t="s">
        <v>3654</v>
      </c>
      <c r="B2582" s="2">
        <v>45395</v>
      </c>
      <c r="C2582" s="1" t="s">
        <v>54</v>
      </c>
      <c r="D2582" s="1" t="s">
        <v>19</v>
      </c>
      <c r="E2582" s="1" t="s">
        <v>56</v>
      </c>
      <c r="F2582" s="1" t="s">
        <v>37</v>
      </c>
      <c r="G2582" s="1" t="s">
        <v>31</v>
      </c>
      <c r="H2582" s="1" t="s">
        <v>45</v>
      </c>
      <c r="I2582" s="1">
        <v>168.02</v>
      </c>
      <c r="J2582" s="1">
        <v>2</v>
      </c>
      <c r="K2582" s="1">
        <v>336.04</v>
      </c>
      <c r="L2582" s="1">
        <v>10</v>
      </c>
      <c r="M2582" s="1">
        <v>33.6</v>
      </c>
      <c r="N2582" s="1">
        <v>302.44</v>
      </c>
      <c r="O2582" s="1" t="s">
        <v>24</v>
      </c>
      <c r="P2582" s="1" t="s">
        <v>3469</v>
      </c>
      <c r="Q2582" s="1">
        <v>2</v>
      </c>
      <c r="R2582" s="1">
        <f>Retail_Sales_Analyis[[#This Row],[Final_Price]]-Retail_Sales_Analyis[[#This Row],[Total_Price]]</f>
        <v>-33.600000000000023</v>
      </c>
      <c r="S25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83" spans="1:19" x14ac:dyDescent="0.25">
      <c r="A2583" s="1" t="s">
        <v>3655</v>
      </c>
      <c r="B2583" s="2">
        <v>45567</v>
      </c>
      <c r="C2583" s="1" t="s">
        <v>76</v>
      </c>
      <c r="D2583" s="1" t="s">
        <v>55</v>
      </c>
      <c r="E2583" s="1" t="s">
        <v>139</v>
      </c>
      <c r="F2583" s="1" t="s">
        <v>69</v>
      </c>
      <c r="G2583" s="1" t="s">
        <v>57</v>
      </c>
      <c r="H2583" s="1" t="s">
        <v>58</v>
      </c>
      <c r="I2583" s="1">
        <v>2164.83</v>
      </c>
      <c r="J2583" s="1">
        <v>7</v>
      </c>
      <c r="K2583" s="1">
        <v>15153.81</v>
      </c>
      <c r="L2583" s="1">
        <v>0</v>
      </c>
      <c r="M2583" s="1">
        <v>0</v>
      </c>
      <c r="N2583" s="1">
        <v>15153.81</v>
      </c>
      <c r="O2583" s="1" t="s">
        <v>24</v>
      </c>
      <c r="P2583" s="1" t="s">
        <v>580</v>
      </c>
      <c r="Q2583" s="1">
        <v>3</v>
      </c>
      <c r="R2583" s="1">
        <f>Retail_Sales_Analyis[[#This Row],[Final_Price]]-Retail_Sales_Analyis[[#This Row],[Total_Price]]</f>
        <v>0</v>
      </c>
      <c r="S25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84" spans="1:19" x14ac:dyDescent="0.25">
      <c r="A2584" s="1" t="s">
        <v>3656</v>
      </c>
      <c r="B2584" s="2">
        <v>45430</v>
      </c>
      <c r="C2584" s="1" t="s">
        <v>42</v>
      </c>
      <c r="D2584" s="1" t="s">
        <v>19</v>
      </c>
      <c r="E2584" s="1" t="s">
        <v>411</v>
      </c>
      <c r="F2584" s="1" t="s">
        <v>84</v>
      </c>
      <c r="G2584" s="1" t="s">
        <v>22</v>
      </c>
      <c r="H2584" s="1" t="s">
        <v>133</v>
      </c>
      <c r="I2584" s="1">
        <v>268.14999999999998</v>
      </c>
      <c r="J2584" s="1">
        <v>10</v>
      </c>
      <c r="K2584" s="1">
        <v>2681.5</v>
      </c>
      <c r="L2584" s="1">
        <v>5</v>
      </c>
      <c r="M2584" s="1">
        <v>134.08000000000001</v>
      </c>
      <c r="N2584" s="1">
        <v>2547.42</v>
      </c>
      <c r="O2584" s="1" t="s">
        <v>33</v>
      </c>
      <c r="P2584" s="1" t="s">
        <v>437</v>
      </c>
      <c r="Q2584" s="1">
        <v>4</v>
      </c>
      <c r="R2584" s="1">
        <f>Retail_Sales_Analyis[[#This Row],[Final_Price]]-Retail_Sales_Analyis[[#This Row],[Total_Price]]</f>
        <v>-134.07999999999993</v>
      </c>
      <c r="S25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85" spans="1:19" x14ac:dyDescent="0.25">
      <c r="A2585" s="1" t="s">
        <v>3657</v>
      </c>
      <c r="B2585" s="2">
        <v>45579</v>
      </c>
      <c r="C2585" s="1" t="s">
        <v>76</v>
      </c>
      <c r="D2585" s="1" t="s">
        <v>43</v>
      </c>
      <c r="E2585" s="1" t="s">
        <v>337</v>
      </c>
      <c r="F2585" s="1" t="s">
        <v>30</v>
      </c>
      <c r="G2585" s="1" t="s">
        <v>57</v>
      </c>
      <c r="H2585" s="1" t="s">
        <v>101</v>
      </c>
      <c r="I2585" s="1">
        <v>647.53</v>
      </c>
      <c r="J2585" s="1">
        <v>2</v>
      </c>
      <c r="K2585" s="1">
        <v>1295.06</v>
      </c>
      <c r="L2585" s="1">
        <v>5</v>
      </c>
      <c r="M2585" s="1">
        <v>64.75</v>
      </c>
      <c r="N2585" s="1">
        <v>1230.31</v>
      </c>
      <c r="O2585" s="1" t="s">
        <v>24</v>
      </c>
      <c r="P2585" s="1" t="s">
        <v>362</v>
      </c>
      <c r="Q2585" s="1">
        <v>3</v>
      </c>
      <c r="R2585" s="1">
        <f>Retail_Sales_Analyis[[#This Row],[Final_Price]]-Retail_Sales_Analyis[[#This Row],[Total_Price]]</f>
        <v>-64.75</v>
      </c>
      <c r="S25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86" spans="1:19" x14ac:dyDescent="0.25">
      <c r="A2586" s="1" t="s">
        <v>3658</v>
      </c>
      <c r="B2586" s="2">
        <v>45648</v>
      </c>
      <c r="C2586" s="1" t="s">
        <v>73</v>
      </c>
      <c r="D2586" s="1" t="s">
        <v>49</v>
      </c>
      <c r="E2586" s="1" t="s">
        <v>132</v>
      </c>
      <c r="F2586" s="1" t="s">
        <v>30</v>
      </c>
      <c r="G2586" s="1" t="s">
        <v>57</v>
      </c>
      <c r="H2586" s="1" t="s">
        <v>158</v>
      </c>
      <c r="I2586" s="1">
        <v>730.86</v>
      </c>
      <c r="J2586" s="1">
        <v>6</v>
      </c>
      <c r="K2586" s="1">
        <v>4385.16</v>
      </c>
      <c r="L2586" s="1">
        <v>15</v>
      </c>
      <c r="M2586" s="1">
        <v>657.77</v>
      </c>
      <c r="N2586" s="1">
        <v>3727.39</v>
      </c>
      <c r="O2586" s="1" t="s">
        <v>80</v>
      </c>
      <c r="P2586" s="1" t="s">
        <v>356</v>
      </c>
      <c r="Q2586" s="1">
        <v>1</v>
      </c>
      <c r="R2586" s="1">
        <f>Retail_Sales_Analyis[[#This Row],[Final_Price]]-Retail_Sales_Analyis[[#This Row],[Total_Price]]</f>
        <v>-657.77</v>
      </c>
      <c r="S25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87" spans="1:19" x14ac:dyDescent="0.25">
      <c r="A2587" s="1" t="s">
        <v>3659</v>
      </c>
      <c r="B2587" s="2">
        <v>45431</v>
      </c>
      <c r="C2587" s="1" t="s">
        <v>42</v>
      </c>
      <c r="D2587" s="1" t="s">
        <v>49</v>
      </c>
      <c r="E2587" s="1" t="s">
        <v>29</v>
      </c>
      <c r="F2587" s="1" t="s">
        <v>21</v>
      </c>
      <c r="G2587" s="1" t="s">
        <v>78</v>
      </c>
      <c r="H2587" s="1" t="s">
        <v>136</v>
      </c>
      <c r="I2587" s="1">
        <v>467.52</v>
      </c>
      <c r="J2587" s="1">
        <v>9</v>
      </c>
      <c r="K2587" s="1">
        <v>4207.68</v>
      </c>
      <c r="L2587" s="1">
        <v>0</v>
      </c>
      <c r="M2587" s="1">
        <v>0</v>
      </c>
      <c r="N2587" s="1">
        <v>4207.68</v>
      </c>
      <c r="O2587" s="1" t="s">
        <v>64</v>
      </c>
      <c r="P2587" s="1" t="s">
        <v>224</v>
      </c>
      <c r="Q2587" s="1">
        <v>3</v>
      </c>
      <c r="R2587" s="1">
        <f>Retail_Sales_Analyis[[#This Row],[Final_Price]]-Retail_Sales_Analyis[[#This Row],[Total_Price]]</f>
        <v>0</v>
      </c>
      <c r="S25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88" spans="1:19" x14ac:dyDescent="0.25">
      <c r="A2588" s="1" t="s">
        <v>3660</v>
      </c>
      <c r="B2588" s="2">
        <v>45362</v>
      </c>
      <c r="C2588" s="1" t="s">
        <v>61</v>
      </c>
      <c r="D2588" s="1" t="s">
        <v>43</v>
      </c>
      <c r="E2588" s="1" t="s">
        <v>56</v>
      </c>
      <c r="F2588" s="1" t="s">
        <v>69</v>
      </c>
      <c r="G2588" s="1" t="s">
        <v>85</v>
      </c>
      <c r="H2588" s="1" t="s">
        <v>180</v>
      </c>
      <c r="I2588" s="1">
        <v>1636.89</v>
      </c>
      <c r="J2588" s="1">
        <v>7</v>
      </c>
      <c r="K2588" s="1">
        <v>11458.23</v>
      </c>
      <c r="L2588" s="1">
        <v>15</v>
      </c>
      <c r="M2588" s="1">
        <v>1718.73</v>
      </c>
      <c r="N2588" s="1">
        <v>9739.5</v>
      </c>
      <c r="O2588" s="1" t="s">
        <v>64</v>
      </c>
      <c r="P2588" s="1" t="s">
        <v>1981</v>
      </c>
      <c r="Q2588" s="1">
        <v>1</v>
      </c>
      <c r="R2588" s="1">
        <f>Retail_Sales_Analyis[[#This Row],[Final_Price]]-Retail_Sales_Analyis[[#This Row],[Total_Price]]</f>
        <v>-1718.7299999999996</v>
      </c>
      <c r="S25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89" spans="1:19" x14ac:dyDescent="0.25">
      <c r="A2589" s="1" t="s">
        <v>3661</v>
      </c>
      <c r="B2589" s="2">
        <v>45347</v>
      </c>
      <c r="C2589" s="1" t="s">
        <v>27</v>
      </c>
      <c r="D2589" s="1" t="s">
        <v>49</v>
      </c>
      <c r="E2589" s="1" t="s">
        <v>302</v>
      </c>
      <c r="F2589" s="1" t="s">
        <v>84</v>
      </c>
      <c r="G2589" s="1" t="s">
        <v>112</v>
      </c>
      <c r="H2589" s="1" t="s">
        <v>223</v>
      </c>
      <c r="I2589" s="1">
        <v>1521.98</v>
      </c>
      <c r="J2589" s="1">
        <v>9</v>
      </c>
      <c r="K2589" s="1">
        <v>13697.82</v>
      </c>
      <c r="L2589" s="1">
        <v>20</v>
      </c>
      <c r="M2589" s="1">
        <v>2739.56</v>
      </c>
      <c r="N2589" s="1">
        <v>10958.26</v>
      </c>
      <c r="O2589" s="1" t="s">
        <v>46</v>
      </c>
      <c r="P2589" s="1" t="s">
        <v>592</v>
      </c>
      <c r="Q2589" s="1">
        <v>4</v>
      </c>
      <c r="R2589" s="1">
        <f>Retail_Sales_Analyis[[#This Row],[Final_Price]]-Retail_Sales_Analyis[[#This Row],[Total_Price]]</f>
        <v>-2739.5599999999995</v>
      </c>
      <c r="S25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590" spans="1:19" x14ac:dyDescent="0.25">
      <c r="A2590" s="1" t="s">
        <v>3662</v>
      </c>
      <c r="B2590" s="2">
        <v>45607</v>
      </c>
      <c r="C2590" s="1" t="s">
        <v>18</v>
      </c>
      <c r="D2590" s="1" t="s">
        <v>43</v>
      </c>
      <c r="E2590" s="1" t="s">
        <v>62</v>
      </c>
      <c r="F2590" s="1" t="s">
        <v>21</v>
      </c>
      <c r="G2590" s="1" t="s">
        <v>57</v>
      </c>
      <c r="H2590" s="1" t="s">
        <v>152</v>
      </c>
      <c r="I2590" s="1">
        <v>2481.4</v>
      </c>
      <c r="J2590" s="1">
        <v>4</v>
      </c>
      <c r="K2590" s="1">
        <v>9925.6</v>
      </c>
      <c r="L2590" s="1">
        <v>0</v>
      </c>
      <c r="M2590" s="1">
        <v>0</v>
      </c>
      <c r="N2590" s="1">
        <v>9925.6</v>
      </c>
      <c r="O2590" s="1" t="s">
        <v>64</v>
      </c>
      <c r="P2590" s="1" t="s">
        <v>230</v>
      </c>
      <c r="Q2590" s="1">
        <v>5</v>
      </c>
      <c r="R2590" s="1">
        <f>Retail_Sales_Analyis[[#This Row],[Final_Price]]-Retail_Sales_Analyis[[#This Row],[Total_Price]]</f>
        <v>0</v>
      </c>
      <c r="S25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1" spans="1:19" x14ac:dyDescent="0.25">
      <c r="A2591" s="1" t="s">
        <v>3663</v>
      </c>
      <c r="B2591" s="2">
        <v>45592</v>
      </c>
      <c r="C2591" s="1" t="s">
        <v>76</v>
      </c>
      <c r="D2591" s="1" t="s">
        <v>49</v>
      </c>
      <c r="E2591" s="1" t="s">
        <v>20</v>
      </c>
      <c r="F2591" s="1" t="s">
        <v>21</v>
      </c>
      <c r="G2591" s="1" t="s">
        <v>31</v>
      </c>
      <c r="H2591" s="1" t="s">
        <v>250</v>
      </c>
      <c r="I2591" s="1">
        <v>265.55</v>
      </c>
      <c r="J2591" s="1">
        <v>7</v>
      </c>
      <c r="K2591" s="1">
        <v>1858.85</v>
      </c>
      <c r="L2591" s="1">
        <v>5</v>
      </c>
      <c r="M2591" s="1">
        <v>92.94</v>
      </c>
      <c r="N2591" s="1">
        <v>1765.91</v>
      </c>
      <c r="O2591" s="1" t="s">
        <v>80</v>
      </c>
      <c r="P2591" s="1" t="s">
        <v>2376</v>
      </c>
      <c r="Q2591" s="1">
        <v>5</v>
      </c>
      <c r="R2591" s="1">
        <f>Retail_Sales_Analyis[[#This Row],[Final_Price]]-Retail_Sales_Analyis[[#This Row],[Total_Price]]</f>
        <v>-92.939999999999827</v>
      </c>
      <c r="S259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592" spans="1:19" x14ac:dyDescent="0.25">
      <c r="A2592" s="1" t="s">
        <v>3664</v>
      </c>
      <c r="B2592" s="2">
        <v>45414</v>
      </c>
      <c r="C2592" s="1" t="s">
        <v>42</v>
      </c>
      <c r="D2592" s="1" t="s">
        <v>67</v>
      </c>
      <c r="E2592" s="1" t="s">
        <v>139</v>
      </c>
      <c r="F2592" s="1" t="s">
        <v>30</v>
      </c>
      <c r="G2592" s="1" t="s">
        <v>78</v>
      </c>
      <c r="H2592" s="1" t="s">
        <v>79</v>
      </c>
      <c r="I2592" s="1">
        <v>437.09</v>
      </c>
      <c r="J2592" s="1">
        <v>1</v>
      </c>
      <c r="K2592" s="1">
        <v>437.09</v>
      </c>
      <c r="L2592" s="1">
        <v>0</v>
      </c>
      <c r="M2592" s="1">
        <v>0</v>
      </c>
      <c r="N2592" s="1">
        <v>437.09</v>
      </c>
      <c r="O2592" s="1" t="s">
        <v>46</v>
      </c>
      <c r="P2592" s="1" t="s">
        <v>3148</v>
      </c>
      <c r="Q2592" s="1">
        <v>2</v>
      </c>
      <c r="R2592" s="1">
        <f>Retail_Sales_Analyis[[#This Row],[Final_Price]]-Retail_Sales_Analyis[[#This Row],[Total_Price]]</f>
        <v>0</v>
      </c>
      <c r="S25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3" spans="1:19" x14ac:dyDescent="0.25">
      <c r="A2593" s="1" t="s">
        <v>3665</v>
      </c>
      <c r="B2593" s="2">
        <v>45416</v>
      </c>
      <c r="C2593" s="1" t="s">
        <v>42</v>
      </c>
      <c r="D2593" s="1" t="s">
        <v>19</v>
      </c>
      <c r="E2593" s="1" t="s">
        <v>186</v>
      </c>
      <c r="F2593" s="1" t="s">
        <v>37</v>
      </c>
      <c r="G2593" s="1" t="s">
        <v>38</v>
      </c>
      <c r="H2593" s="1" t="s">
        <v>108</v>
      </c>
      <c r="I2593" s="1">
        <v>174.55</v>
      </c>
      <c r="J2593" s="1">
        <v>4</v>
      </c>
      <c r="K2593" s="1">
        <v>698.2</v>
      </c>
      <c r="L2593" s="1">
        <v>0</v>
      </c>
      <c r="M2593" s="1">
        <v>0</v>
      </c>
      <c r="N2593" s="1">
        <v>698.2</v>
      </c>
      <c r="O2593" s="1" t="s">
        <v>80</v>
      </c>
      <c r="P2593" s="1" t="s">
        <v>3453</v>
      </c>
      <c r="Q2593" s="1">
        <v>4</v>
      </c>
      <c r="R2593" s="1">
        <f>Retail_Sales_Analyis[[#This Row],[Final_Price]]-Retail_Sales_Analyis[[#This Row],[Total_Price]]</f>
        <v>0</v>
      </c>
      <c r="S25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4" spans="1:19" x14ac:dyDescent="0.25">
      <c r="A2594" s="1" t="s">
        <v>3666</v>
      </c>
      <c r="B2594" s="2">
        <v>45317</v>
      </c>
      <c r="C2594" s="1" t="s">
        <v>36</v>
      </c>
      <c r="D2594" s="1" t="s">
        <v>144</v>
      </c>
      <c r="E2594" s="1" t="s">
        <v>163</v>
      </c>
      <c r="F2594" s="1" t="s">
        <v>21</v>
      </c>
      <c r="G2594" s="1" t="s">
        <v>31</v>
      </c>
      <c r="H2594" s="1" t="s">
        <v>250</v>
      </c>
      <c r="I2594" s="1">
        <v>448.7</v>
      </c>
      <c r="J2594" s="1">
        <v>1</v>
      </c>
      <c r="K2594" s="1">
        <v>448.7</v>
      </c>
      <c r="L2594" s="1">
        <v>15</v>
      </c>
      <c r="M2594" s="1">
        <v>67.3</v>
      </c>
      <c r="N2594" s="1">
        <v>381.4</v>
      </c>
      <c r="O2594" s="1" t="s">
        <v>33</v>
      </c>
      <c r="P2594" s="1" t="s">
        <v>2324</v>
      </c>
      <c r="Q2594" s="1">
        <v>2</v>
      </c>
      <c r="R2594" s="1">
        <f>Retail_Sales_Analyis[[#This Row],[Final_Price]]-Retail_Sales_Analyis[[#This Row],[Total_Price]]</f>
        <v>-67.300000000000011</v>
      </c>
      <c r="S25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95" spans="1:19" x14ac:dyDescent="0.25">
      <c r="A2595" s="1" t="s">
        <v>3667</v>
      </c>
      <c r="B2595" s="2">
        <v>45634</v>
      </c>
      <c r="C2595" s="1" t="s">
        <v>73</v>
      </c>
      <c r="D2595" s="1" t="s">
        <v>49</v>
      </c>
      <c r="E2595" s="1" t="s">
        <v>68</v>
      </c>
      <c r="F2595" s="1" t="s">
        <v>30</v>
      </c>
      <c r="G2595" s="1" t="s">
        <v>31</v>
      </c>
      <c r="H2595" s="1" t="s">
        <v>32</v>
      </c>
      <c r="I2595" s="1">
        <v>261.11</v>
      </c>
      <c r="J2595" s="1">
        <v>2</v>
      </c>
      <c r="K2595" s="1">
        <v>522.22</v>
      </c>
      <c r="L2595" s="1">
        <v>0</v>
      </c>
      <c r="M2595" s="1">
        <v>0</v>
      </c>
      <c r="N2595" s="1">
        <v>522.22</v>
      </c>
      <c r="O2595" s="1" t="s">
        <v>80</v>
      </c>
      <c r="P2595" s="1" t="s">
        <v>3668</v>
      </c>
      <c r="Q2595" s="1">
        <v>3</v>
      </c>
      <c r="R2595" s="1">
        <f>Retail_Sales_Analyis[[#This Row],[Final_Price]]-Retail_Sales_Analyis[[#This Row],[Total_Price]]</f>
        <v>0</v>
      </c>
      <c r="S25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6" spans="1:19" x14ac:dyDescent="0.25">
      <c r="A2596" s="1" t="s">
        <v>3669</v>
      </c>
      <c r="B2596" s="2">
        <v>45563</v>
      </c>
      <c r="C2596" s="1" t="s">
        <v>116</v>
      </c>
      <c r="D2596" s="1" t="s">
        <v>19</v>
      </c>
      <c r="E2596" s="1" t="s">
        <v>157</v>
      </c>
      <c r="F2596" s="1" t="s">
        <v>69</v>
      </c>
      <c r="G2596" s="1" t="s">
        <v>31</v>
      </c>
      <c r="H2596" s="1" t="s">
        <v>45</v>
      </c>
      <c r="I2596" s="1">
        <v>464.69</v>
      </c>
      <c r="J2596" s="1">
        <v>4</v>
      </c>
      <c r="K2596" s="1">
        <v>1858.76</v>
      </c>
      <c r="L2596" s="1">
        <v>0</v>
      </c>
      <c r="M2596" s="1">
        <v>0</v>
      </c>
      <c r="N2596" s="1">
        <v>1858.76</v>
      </c>
      <c r="O2596" s="1" t="s">
        <v>80</v>
      </c>
      <c r="P2596" s="1" t="s">
        <v>3670</v>
      </c>
      <c r="Q2596" s="1">
        <v>1</v>
      </c>
      <c r="R2596" s="1">
        <f>Retail_Sales_Analyis[[#This Row],[Final_Price]]-Retail_Sales_Analyis[[#This Row],[Total_Price]]</f>
        <v>0</v>
      </c>
      <c r="S25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7" spans="1:19" x14ac:dyDescent="0.25">
      <c r="A2597" s="1" t="s">
        <v>3671</v>
      </c>
      <c r="B2597" s="2">
        <v>45407</v>
      </c>
      <c r="C2597" s="1" t="s">
        <v>54</v>
      </c>
      <c r="D2597" s="1" t="s">
        <v>67</v>
      </c>
      <c r="E2597" s="1" t="s">
        <v>186</v>
      </c>
      <c r="F2597" s="1" t="s">
        <v>30</v>
      </c>
      <c r="G2597" s="1" t="s">
        <v>169</v>
      </c>
      <c r="H2597" s="1" t="s">
        <v>366</v>
      </c>
      <c r="I2597" s="1">
        <v>387.82</v>
      </c>
      <c r="J2597" s="1">
        <v>3</v>
      </c>
      <c r="K2597" s="1">
        <v>1163.46</v>
      </c>
      <c r="L2597" s="1">
        <v>15</v>
      </c>
      <c r="M2597" s="1">
        <v>174.52</v>
      </c>
      <c r="N2597" s="1">
        <v>988.94</v>
      </c>
      <c r="O2597" s="1" t="s">
        <v>46</v>
      </c>
      <c r="P2597" s="1" t="s">
        <v>2815</v>
      </c>
      <c r="Q2597" s="1">
        <v>2</v>
      </c>
      <c r="R2597" s="1">
        <f>Retail_Sales_Analyis[[#This Row],[Final_Price]]-Retail_Sales_Analyis[[#This Row],[Total_Price]]</f>
        <v>-174.51999999999998</v>
      </c>
      <c r="S25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598" spans="1:19" x14ac:dyDescent="0.25">
      <c r="A2598" s="1" t="s">
        <v>3672</v>
      </c>
      <c r="B2598" s="2">
        <v>45618</v>
      </c>
      <c r="C2598" s="1" t="s">
        <v>18</v>
      </c>
      <c r="D2598" s="1" t="s">
        <v>144</v>
      </c>
      <c r="E2598" s="1" t="s">
        <v>83</v>
      </c>
      <c r="F2598" s="1" t="s">
        <v>37</v>
      </c>
      <c r="G2598" s="1" t="s">
        <v>38</v>
      </c>
      <c r="H2598" s="1" t="s">
        <v>108</v>
      </c>
      <c r="I2598" s="1">
        <v>251.62</v>
      </c>
      <c r="J2598" s="1">
        <v>1</v>
      </c>
      <c r="K2598" s="1">
        <v>251.62</v>
      </c>
      <c r="L2598" s="1">
        <v>0</v>
      </c>
      <c r="M2598" s="1">
        <v>0</v>
      </c>
      <c r="N2598" s="1">
        <v>251.62</v>
      </c>
      <c r="O2598" s="1" t="s">
        <v>33</v>
      </c>
      <c r="P2598" s="1" t="s">
        <v>564</v>
      </c>
      <c r="Q2598" s="1">
        <v>4</v>
      </c>
      <c r="R2598" s="1">
        <f>Retail_Sales_Analyis[[#This Row],[Final_Price]]-Retail_Sales_Analyis[[#This Row],[Total_Price]]</f>
        <v>0</v>
      </c>
      <c r="S25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599" spans="1:19" x14ac:dyDescent="0.25">
      <c r="A2599" s="1" t="s">
        <v>3673</v>
      </c>
      <c r="B2599" s="2">
        <v>45411</v>
      </c>
      <c r="C2599" s="1" t="s">
        <v>54</v>
      </c>
      <c r="D2599" s="1" t="s">
        <v>43</v>
      </c>
      <c r="E2599" s="1" t="s">
        <v>121</v>
      </c>
      <c r="F2599" s="1" t="s">
        <v>30</v>
      </c>
      <c r="G2599" s="1" t="s">
        <v>22</v>
      </c>
      <c r="H2599" s="1" t="s">
        <v>133</v>
      </c>
      <c r="I2599" s="1">
        <v>742.28</v>
      </c>
      <c r="J2599" s="1">
        <v>10</v>
      </c>
      <c r="K2599" s="1">
        <v>7422.8</v>
      </c>
      <c r="L2599" s="1">
        <v>15</v>
      </c>
      <c r="M2599" s="1">
        <v>1113.42</v>
      </c>
      <c r="N2599" s="1">
        <v>6309.38</v>
      </c>
      <c r="O2599" s="1" t="s">
        <v>33</v>
      </c>
      <c r="P2599" s="1" t="s">
        <v>524</v>
      </c>
      <c r="Q2599" s="1">
        <v>1</v>
      </c>
      <c r="R2599" s="1">
        <f>Retail_Sales_Analyis[[#This Row],[Final_Price]]-Retail_Sales_Analyis[[#This Row],[Total_Price]]</f>
        <v>-1113.42</v>
      </c>
      <c r="S25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00" spans="1:19" x14ac:dyDescent="0.25">
      <c r="A2600" s="1" t="s">
        <v>3674</v>
      </c>
      <c r="B2600" s="2">
        <v>45318</v>
      </c>
      <c r="C2600" s="1" t="s">
        <v>36</v>
      </c>
      <c r="D2600" s="1" t="s">
        <v>19</v>
      </c>
      <c r="E2600" s="1" t="s">
        <v>94</v>
      </c>
      <c r="F2600" s="1" t="s">
        <v>37</v>
      </c>
      <c r="G2600" s="1" t="s">
        <v>22</v>
      </c>
      <c r="H2600" s="1" t="s">
        <v>277</v>
      </c>
      <c r="I2600" s="1">
        <v>817.5</v>
      </c>
      <c r="J2600" s="1">
        <v>7</v>
      </c>
      <c r="K2600" s="1">
        <v>5722.5</v>
      </c>
      <c r="L2600" s="1">
        <v>20</v>
      </c>
      <c r="M2600" s="1">
        <v>1144.5</v>
      </c>
      <c r="N2600" s="1">
        <v>4578</v>
      </c>
      <c r="O2600" s="1" t="s">
        <v>33</v>
      </c>
      <c r="P2600" s="1" t="s">
        <v>1353</v>
      </c>
      <c r="Q2600" s="1">
        <v>4</v>
      </c>
      <c r="R2600" s="1">
        <f>Retail_Sales_Analyis[[#This Row],[Final_Price]]-Retail_Sales_Analyis[[#This Row],[Total_Price]]</f>
        <v>-1144.5</v>
      </c>
      <c r="S26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01" spans="1:19" x14ac:dyDescent="0.25">
      <c r="A2601" s="1" t="s">
        <v>3675</v>
      </c>
      <c r="B2601" s="2">
        <v>45343</v>
      </c>
      <c r="C2601" s="1" t="s">
        <v>27</v>
      </c>
      <c r="D2601" s="1" t="s">
        <v>55</v>
      </c>
      <c r="E2601" s="1" t="s">
        <v>337</v>
      </c>
      <c r="F2601" s="1" t="s">
        <v>84</v>
      </c>
      <c r="G2601" s="1" t="s">
        <v>22</v>
      </c>
      <c r="H2601" s="1" t="s">
        <v>187</v>
      </c>
      <c r="I2601" s="1">
        <v>883.76</v>
      </c>
      <c r="J2601" s="1">
        <v>4</v>
      </c>
      <c r="K2601" s="1">
        <v>3535.04</v>
      </c>
      <c r="L2601" s="1">
        <v>0</v>
      </c>
      <c r="M2601" s="1">
        <v>0</v>
      </c>
      <c r="N2601" s="1">
        <v>3535.04</v>
      </c>
      <c r="O2601" s="1" t="s">
        <v>46</v>
      </c>
      <c r="P2601" s="1" t="s">
        <v>848</v>
      </c>
      <c r="Q2601" s="1">
        <v>1</v>
      </c>
      <c r="R2601" s="1">
        <f>Retail_Sales_Analyis[[#This Row],[Final_Price]]-Retail_Sales_Analyis[[#This Row],[Total_Price]]</f>
        <v>0</v>
      </c>
      <c r="S26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02" spans="1:19" x14ac:dyDescent="0.25">
      <c r="A2602" s="1" t="s">
        <v>3676</v>
      </c>
      <c r="B2602" s="2">
        <v>45503</v>
      </c>
      <c r="C2602" s="1" t="s">
        <v>195</v>
      </c>
      <c r="D2602" s="1" t="s">
        <v>28</v>
      </c>
      <c r="E2602" s="1" t="s">
        <v>186</v>
      </c>
      <c r="F2602" s="1" t="s">
        <v>69</v>
      </c>
      <c r="G2602" s="1" t="s">
        <v>78</v>
      </c>
      <c r="H2602" s="1" t="s">
        <v>146</v>
      </c>
      <c r="I2602" s="1">
        <v>222.66</v>
      </c>
      <c r="J2602" s="1">
        <v>5</v>
      </c>
      <c r="K2602" s="1">
        <v>1113.3</v>
      </c>
      <c r="L2602" s="1">
        <v>0</v>
      </c>
      <c r="M2602" s="1">
        <v>0</v>
      </c>
      <c r="N2602" s="1">
        <v>1113.3</v>
      </c>
      <c r="O2602" s="1" t="s">
        <v>33</v>
      </c>
      <c r="P2602" s="1" t="s">
        <v>2330</v>
      </c>
      <c r="Q2602" s="1">
        <v>3</v>
      </c>
      <c r="R2602" s="1">
        <f>Retail_Sales_Analyis[[#This Row],[Final_Price]]-Retail_Sales_Analyis[[#This Row],[Total_Price]]</f>
        <v>0</v>
      </c>
      <c r="S26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03" spans="1:19" x14ac:dyDescent="0.25">
      <c r="A2603" s="1" t="s">
        <v>3677</v>
      </c>
      <c r="B2603" s="2">
        <v>45461</v>
      </c>
      <c r="C2603" s="1" t="s">
        <v>173</v>
      </c>
      <c r="D2603" s="1" t="s">
        <v>28</v>
      </c>
      <c r="E2603" s="1" t="s">
        <v>29</v>
      </c>
      <c r="F2603" s="1" t="s">
        <v>84</v>
      </c>
      <c r="G2603" s="1" t="s">
        <v>57</v>
      </c>
      <c r="H2603" s="1" t="s">
        <v>101</v>
      </c>
      <c r="I2603" s="1">
        <v>556.12</v>
      </c>
      <c r="J2603" s="1">
        <v>2</v>
      </c>
      <c r="K2603" s="1">
        <v>1112.24</v>
      </c>
      <c r="L2603" s="1">
        <v>10</v>
      </c>
      <c r="M2603" s="1">
        <v>111.22</v>
      </c>
      <c r="N2603" s="1">
        <v>1001.02</v>
      </c>
      <c r="O2603" s="1" t="s">
        <v>24</v>
      </c>
      <c r="P2603" s="1" t="s">
        <v>3434</v>
      </c>
      <c r="Q2603" s="1">
        <v>3</v>
      </c>
      <c r="R2603" s="1">
        <f>Retail_Sales_Analyis[[#This Row],[Final_Price]]-Retail_Sales_Analyis[[#This Row],[Total_Price]]</f>
        <v>-111.22000000000003</v>
      </c>
      <c r="S26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04" spans="1:19" x14ac:dyDescent="0.25">
      <c r="A2604" s="1" t="s">
        <v>3678</v>
      </c>
      <c r="B2604" s="2">
        <v>45533</v>
      </c>
      <c r="C2604" s="1" t="s">
        <v>93</v>
      </c>
      <c r="D2604" s="1" t="s">
        <v>67</v>
      </c>
      <c r="E2604" s="1" t="s">
        <v>111</v>
      </c>
      <c r="F2604" s="1" t="s">
        <v>37</v>
      </c>
      <c r="G2604" s="1" t="s">
        <v>112</v>
      </c>
      <c r="H2604" s="1" t="s">
        <v>288</v>
      </c>
      <c r="I2604" s="1">
        <v>531.88</v>
      </c>
      <c r="J2604" s="1">
        <v>5</v>
      </c>
      <c r="K2604" s="1">
        <v>2659.4</v>
      </c>
      <c r="L2604" s="1">
        <v>5</v>
      </c>
      <c r="M2604" s="1">
        <v>132.97</v>
      </c>
      <c r="N2604" s="1">
        <v>2526.4299999999998</v>
      </c>
      <c r="O2604" s="1" t="s">
        <v>64</v>
      </c>
      <c r="P2604" s="1" t="s">
        <v>2277</v>
      </c>
      <c r="Q2604" s="1">
        <v>4</v>
      </c>
      <c r="R2604" s="1">
        <f>Retail_Sales_Analyis[[#This Row],[Final_Price]]-Retail_Sales_Analyis[[#This Row],[Total_Price]]</f>
        <v>-132.97000000000025</v>
      </c>
      <c r="S26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05" spans="1:19" x14ac:dyDescent="0.25">
      <c r="A2605" s="1" t="s">
        <v>3679</v>
      </c>
      <c r="B2605" s="2">
        <v>45343</v>
      </c>
      <c r="C2605" s="1" t="s">
        <v>27</v>
      </c>
      <c r="D2605" s="1" t="s">
        <v>55</v>
      </c>
      <c r="E2605" s="1" t="s">
        <v>192</v>
      </c>
      <c r="F2605" s="1" t="s">
        <v>69</v>
      </c>
      <c r="G2605" s="1" t="s">
        <v>31</v>
      </c>
      <c r="H2605" s="1" t="s">
        <v>45</v>
      </c>
      <c r="I2605" s="1">
        <v>101.43</v>
      </c>
      <c r="J2605" s="1">
        <v>6</v>
      </c>
      <c r="K2605" s="1">
        <v>608.58000000000004</v>
      </c>
      <c r="L2605" s="1">
        <v>0</v>
      </c>
      <c r="M2605" s="1">
        <v>0</v>
      </c>
      <c r="N2605" s="1">
        <v>608.58000000000004</v>
      </c>
      <c r="O2605" s="1" t="s">
        <v>24</v>
      </c>
      <c r="P2605" s="1" t="s">
        <v>3680</v>
      </c>
      <c r="Q2605" s="1">
        <v>1</v>
      </c>
      <c r="R2605" s="1">
        <f>Retail_Sales_Analyis[[#This Row],[Final_Price]]-Retail_Sales_Analyis[[#This Row],[Total_Price]]</f>
        <v>0</v>
      </c>
      <c r="S26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06" spans="1:19" x14ac:dyDescent="0.25">
      <c r="A2606" s="1" t="s">
        <v>3681</v>
      </c>
      <c r="B2606" s="2">
        <v>45640</v>
      </c>
      <c r="C2606" s="1" t="s">
        <v>73</v>
      </c>
      <c r="D2606" s="1" t="s">
        <v>19</v>
      </c>
      <c r="E2606" s="1" t="s">
        <v>411</v>
      </c>
      <c r="F2606" s="1" t="s">
        <v>84</v>
      </c>
      <c r="G2606" s="1" t="s">
        <v>85</v>
      </c>
      <c r="H2606" s="1" t="s">
        <v>86</v>
      </c>
      <c r="I2606" s="1">
        <v>1035.6500000000001</v>
      </c>
      <c r="J2606" s="1">
        <v>9</v>
      </c>
      <c r="K2606" s="1">
        <v>9320.85</v>
      </c>
      <c r="L2606" s="1">
        <v>0</v>
      </c>
      <c r="M2606" s="1">
        <v>0</v>
      </c>
      <c r="N2606" s="1">
        <v>9320.85</v>
      </c>
      <c r="O2606" s="1" t="s">
        <v>64</v>
      </c>
      <c r="P2606" s="1" t="s">
        <v>313</v>
      </c>
      <c r="Q2606" s="1">
        <v>4</v>
      </c>
      <c r="R2606" s="1">
        <f>Retail_Sales_Analyis[[#This Row],[Final_Price]]-Retail_Sales_Analyis[[#This Row],[Total_Price]]</f>
        <v>0</v>
      </c>
      <c r="S26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07" spans="1:19" x14ac:dyDescent="0.25">
      <c r="A2607" s="1" t="s">
        <v>3682</v>
      </c>
      <c r="B2607" s="2">
        <v>45362</v>
      </c>
      <c r="C2607" s="1" t="s">
        <v>61</v>
      </c>
      <c r="D2607" s="1" t="s">
        <v>43</v>
      </c>
      <c r="E2607" s="1" t="s">
        <v>145</v>
      </c>
      <c r="F2607" s="1" t="s">
        <v>21</v>
      </c>
      <c r="G2607" s="1" t="s">
        <v>57</v>
      </c>
      <c r="H2607" s="1" t="s">
        <v>158</v>
      </c>
      <c r="I2607" s="1">
        <v>2565.15</v>
      </c>
      <c r="J2607" s="1">
        <v>6</v>
      </c>
      <c r="K2607" s="1">
        <v>15390.9</v>
      </c>
      <c r="L2607" s="1">
        <v>10</v>
      </c>
      <c r="M2607" s="1">
        <v>1539.09</v>
      </c>
      <c r="N2607" s="1">
        <v>13851.81</v>
      </c>
      <c r="O2607" s="1" t="s">
        <v>33</v>
      </c>
      <c r="P2607" s="1" t="s">
        <v>1735</v>
      </c>
      <c r="Q2607" s="1">
        <v>5</v>
      </c>
      <c r="R2607" s="1">
        <f>Retail_Sales_Analyis[[#This Row],[Final_Price]]-Retail_Sales_Analyis[[#This Row],[Total_Price]]</f>
        <v>-1539.0900000000001</v>
      </c>
      <c r="S26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08" spans="1:19" x14ac:dyDescent="0.25">
      <c r="A2608" s="1" t="s">
        <v>3683</v>
      </c>
      <c r="B2608" s="2">
        <v>45294</v>
      </c>
      <c r="C2608" s="1" t="s">
        <v>36</v>
      </c>
      <c r="D2608" s="1" t="s">
        <v>55</v>
      </c>
      <c r="E2608" s="1" t="s">
        <v>89</v>
      </c>
      <c r="F2608" s="1" t="s">
        <v>21</v>
      </c>
      <c r="G2608" s="1" t="s">
        <v>38</v>
      </c>
      <c r="H2608" s="1" t="s">
        <v>70</v>
      </c>
      <c r="I2608" s="1">
        <v>450.28</v>
      </c>
      <c r="J2608" s="1">
        <v>4</v>
      </c>
      <c r="K2608" s="1">
        <v>1801.12</v>
      </c>
      <c r="L2608" s="1">
        <v>0</v>
      </c>
      <c r="M2608" s="1">
        <v>0</v>
      </c>
      <c r="N2608" s="1">
        <v>1801.12</v>
      </c>
      <c r="O2608" s="1" t="s">
        <v>33</v>
      </c>
      <c r="P2608" s="1" t="s">
        <v>886</v>
      </c>
      <c r="Q2608" s="1">
        <v>1</v>
      </c>
      <c r="R2608" s="1">
        <f>Retail_Sales_Analyis[[#This Row],[Final_Price]]-Retail_Sales_Analyis[[#This Row],[Total_Price]]</f>
        <v>0</v>
      </c>
      <c r="S26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09" spans="1:19" x14ac:dyDescent="0.25">
      <c r="A2609" s="1" t="s">
        <v>3684</v>
      </c>
      <c r="B2609" s="2">
        <v>45573</v>
      </c>
      <c r="C2609" s="1" t="s">
        <v>76</v>
      </c>
      <c r="D2609" s="1" t="s">
        <v>28</v>
      </c>
      <c r="E2609" s="1" t="s">
        <v>29</v>
      </c>
      <c r="F2609" s="1" t="s">
        <v>84</v>
      </c>
      <c r="G2609" s="1" t="s">
        <v>38</v>
      </c>
      <c r="H2609" s="1" t="s">
        <v>70</v>
      </c>
      <c r="I2609" s="1">
        <v>382.04</v>
      </c>
      <c r="J2609" s="1">
        <v>10</v>
      </c>
      <c r="K2609" s="1">
        <v>3820.4</v>
      </c>
      <c r="L2609" s="1">
        <v>0</v>
      </c>
      <c r="M2609" s="1">
        <v>0</v>
      </c>
      <c r="N2609" s="1">
        <v>3820.4</v>
      </c>
      <c r="O2609" s="1" t="s">
        <v>46</v>
      </c>
      <c r="P2609" s="1" t="s">
        <v>754</v>
      </c>
      <c r="Q2609" s="1">
        <v>4</v>
      </c>
      <c r="R2609" s="1">
        <f>Retail_Sales_Analyis[[#This Row],[Final_Price]]-Retail_Sales_Analyis[[#This Row],[Total_Price]]</f>
        <v>0</v>
      </c>
      <c r="S26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10" spans="1:19" x14ac:dyDescent="0.25">
      <c r="A2610" s="1" t="s">
        <v>3685</v>
      </c>
      <c r="B2610" s="2">
        <v>45372</v>
      </c>
      <c r="C2610" s="1" t="s">
        <v>61</v>
      </c>
      <c r="D2610" s="1" t="s">
        <v>67</v>
      </c>
      <c r="E2610" s="1" t="s">
        <v>145</v>
      </c>
      <c r="F2610" s="1" t="s">
        <v>37</v>
      </c>
      <c r="G2610" s="1" t="s">
        <v>22</v>
      </c>
      <c r="H2610" s="1" t="s">
        <v>51</v>
      </c>
      <c r="I2610" s="1">
        <v>882.45</v>
      </c>
      <c r="J2610" s="1">
        <v>4</v>
      </c>
      <c r="K2610" s="1">
        <v>3529.8</v>
      </c>
      <c r="L2610" s="1">
        <v>20</v>
      </c>
      <c r="M2610" s="1">
        <v>705.96</v>
      </c>
      <c r="N2610" s="1">
        <v>2823.84</v>
      </c>
      <c r="O2610" s="1" t="s">
        <v>64</v>
      </c>
      <c r="P2610" s="1" t="s">
        <v>1273</v>
      </c>
      <c r="Q2610" s="1">
        <v>1</v>
      </c>
      <c r="R2610" s="1">
        <f>Retail_Sales_Analyis[[#This Row],[Final_Price]]-Retail_Sales_Analyis[[#This Row],[Total_Price]]</f>
        <v>-705.96</v>
      </c>
      <c r="S26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11" spans="1:19" x14ac:dyDescent="0.25">
      <c r="A2611" s="1" t="s">
        <v>3686</v>
      </c>
      <c r="B2611" s="2">
        <v>45500</v>
      </c>
      <c r="C2611" s="1" t="s">
        <v>195</v>
      </c>
      <c r="D2611" s="1" t="s">
        <v>19</v>
      </c>
      <c r="E2611" s="1" t="s">
        <v>77</v>
      </c>
      <c r="F2611" s="1" t="s">
        <v>84</v>
      </c>
      <c r="G2611" s="1" t="s">
        <v>31</v>
      </c>
      <c r="H2611" s="1" t="s">
        <v>250</v>
      </c>
      <c r="I2611" s="1">
        <v>417.78</v>
      </c>
      <c r="J2611" s="1">
        <v>7</v>
      </c>
      <c r="K2611" s="1">
        <v>2924.46</v>
      </c>
      <c r="L2611" s="1">
        <v>5</v>
      </c>
      <c r="M2611" s="1">
        <v>146.22</v>
      </c>
      <c r="N2611" s="1">
        <v>2778.24</v>
      </c>
      <c r="O2611" s="1" t="s">
        <v>46</v>
      </c>
      <c r="P2611" s="1" t="s">
        <v>1315</v>
      </c>
      <c r="Q2611" s="1">
        <v>2</v>
      </c>
      <c r="R2611" s="1">
        <f>Retail_Sales_Analyis[[#This Row],[Final_Price]]-Retail_Sales_Analyis[[#This Row],[Total_Price]]</f>
        <v>-146.22000000000025</v>
      </c>
      <c r="S26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12" spans="1:19" x14ac:dyDescent="0.25">
      <c r="A2612" s="1" t="s">
        <v>3687</v>
      </c>
      <c r="B2612" s="2">
        <v>45626</v>
      </c>
      <c r="C2612" s="1" t="s">
        <v>18</v>
      </c>
      <c r="D2612" s="1" t="s">
        <v>19</v>
      </c>
      <c r="E2612" s="1" t="s">
        <v>204</v>
      </c>
      <c r="F2612" s="1" t="s">
        <v>69</v>
      </c>
      <c r="G2612" s="1" t="s">
        <v>38</v>
      </c>
      <c r="H2612" s="1" t="s">
        <v>108</v>
      </c>
      <c r="I2612" s="1">
        <v>477.11</v>
      </c>
      <c r="J2612" s="1">
        <v>5</v>
      </c>
      <c r="K2612" s="1">
        <v>2385.5500000000002</v>
      </c>
      <c r="L2612" s="1">
        <v>20</v>
      </c>
      <c r="M2612" s="1">
        <v>477.11</v>
      </c>
      <c r="N2612" s="1">
        <v>1908.44</v>
      </c>
      <c r="O2612" s="1" t="s">
        <v>80</v>
      </c>
      <c r="P2612" s="1" t="s">
        <v>2800</v>
      </c>
      <c r="Q2612" s="1">
        <v>2</v>
      </c>
      <c r="R2612" s="1">
        <f>Retail_Sales_Analyis[[#This Row],[Final_Price]]-Retail_Sales_Analyis[[#This Row],[Total_Price]]</f>
        <v>-477.11000000000013</v>
      </c>
      <c r="S26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13" spans="1:19" x14ac:dyDescent="0.25">
      <c r="A2613" s="1" t="s">
        <v>3688</v>
      </c>
      <c r="B2613" s="2">
        <v>45535</v>
      </c>
      <c r="C2613" s="1" t="s">
        <v>93</v>
      </c>
      <c r="D2613" s="1" t="s">
        <v>19</v>
      </c>
      <c r="E2613" s="1" t="s">
        <v>141</v>
      </c>
      <c r="F2613" s="1" t="s">
        <v>69</v>
      </c>
      <c r="G2613" s="1" t="s">
        <v>85</v>
      </c>
      <c r="H2613" s="1" t="s">
        <v>180</v>
      </c>
      <c r="I2613" s="1">
        <v>1010.45</v>
      </c>
      <c r="J2613" s="1">
        <v>1</v>
      </c>
      <c r="K2613" s="1">
        <v>1010.45</v>
      </c>
      <c r="L2613" s="1">
        <v>15</v>
      </c>
      <c r="M2613" s="1">
        <v>151.57</v>
      </c>
      <c r="N2613" s="1">
        <v>858.88</v>
      </c>
      <c r="O2613" s="1" t="s">
        <v>64</v>
      </c>
      <c r="P2613" s="1" t="s">
        <v>3689</v>
      </c>
      <c r="Q2613" s="1">
        <v>1</v>
      </c>
      <c r="R2613" s="1">
        <f>Retail_Sales_Analyis[[#This Row],[Final_Price]]-Retail_Sales_Analyis[[#This Row],[Total_Price]]</f>
        <v>-151.57000000000005</v>
      </c>
      <c r="S26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14" spans="1:19" x14ac:dyDescent="0.25">
      <c r="A2614" s="1" t="s">
        <v>3690</v>
      </c>
      <c r="B2614" s="2">
        <v>45536</v>
      </c>
      <c r="C2614" s="1" t="s">
        <v>116</v>
      </c>
      <c r="D2614" s="1" t="s">
        <v>49</v>
      </c>
      <c r="E2614" s="1" t="s">
        <v>239</v>
      </c>
      <c r="F2614" s="1" t="s">
        <v>84</v>
      </c>
      <c r="G2614" s="1" t="s">
        <v>112</v>
      </c>
      <c r="H2614" s="1" t="s">
        <v>223</v>
      </c>
      <c r="I2614" s="1">
        <v>956.29</v>
      </c>
      <c r="J2614" s="1">
        <v>7</v>
      </c>
      <c r="K2614" s="1">
        <v>6694.03</v>
      </c>
      <c r="L2614" s="1">
        <v>20</v>
      </c>
      <c r="M2614" s="1">
        <v>1338.81</v>
      </c>
      <c r="N2614" s="1">
        <v>5355.22</v>
      </c>
      <c r="O2614" s="1" t="s">
        <v>24</v>
      </c>
      <c r="P2614" s="1" t="s">
        <v>161</v>
      </c>
      <c r="Q2614" s="1">
        <v>3</v>
      </c>
      <c r="R2614" s="1">
        <f>Retail_Sales_Analyis[[#This Row],[Final_Price]]-Retail_Sales_Analyis[[#This Row],[Total_Price]]</f>
        <v>-1338.8099999999995</v>
      </c>
      <c r="S26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15" spans="1:19" x14ac:dyDescent="0.25">
      <c r="A2615" s="1" t="s">
        <v>3691</v>
      </c>
      <c r="B2615" s="2">
        <v>45625</v>
      </c>
      <c r="C2615" s="1" t="s">
        <v>18</v>
      </c>
      <c r="D2615" s="1" t="s">
        <v>144</v>
      </c>
      <c r="E2615" s="1" t="s">
        <v>20</v>
      </c>
      <c r="F2615" s="1" t="s">
        <v>21</v>
      </c>
      <c r="G2615" s="1" t="s">
        <v>78</v>
      </c>
      <c r="H2615" s="1" t="s">
        <v>323</v>
      </c>
      <c r="I2615" s="1">
        <v>243.81</v>
      </c>
      <c r="J2615" s="1">
        <v>3</v>
      </c>
      <c r="K2615" s="1">
        <v>731.43</v>
      </c>
      <c r="L2615" s="1">
        <v>5</v>
      </c>
      <c r="M2615" s="1">
        <v>36.57</v>
      </c>
      <c r="N2615" s="1">
        <v>694.86</v>
      </c>
      <c r="O2615" s="1" t="s">
        <v>24</v>
      </c>
      <c r="P2615" s="1" t="s">
        <v>2610</v>
      </c>
      <c r="Q2615" s="1">
        <v>4</v>
      </c>
      <c r="R2615" s="1">
        <f>Retail_Sales_Analyis[[#This Row],[Final_Price]]-Retail_Sales_Analyis[[#This Row],[Total_Price]]</f>
        <v>-36.569999999999936</v>
      </c>
      <c r="S261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16" spans="1:19" x14ac:dyDescent="0.25">
      <c r="A2616" s="1" t="s">
        <v>3692</v>
      </c>
      <c r="B2616" s="2">
        <v>45394</v>
      </c>
      <c r="C2616" s="1" t="s">
        <v>54</v>
      </c>
      <c r="D2616" s="1" t="s">
        <v>144</v>
      </c>
      <c r="E2616" s="1" t="s">
        <v>89</v>
      </c>
      <c r="F2616" s="1" t="s">
        <v>21</v>
      </c>
      <c r="G2616" s="1" t="s">
        <v>112</v>
      </c>
      <c r="H2616" s="1" t="s">
        <v>113</v>
      </c>
      <c r="I2616" s="1">
        <v>1982.53</v>
      </c>
      <c r="J2616" s="1">
        <v>6</v>
      </c>
      <c r="K2616" s="1">
        <v>11895.18</v>
      </c>
      <c r="L2616" s="1">
        <v>5</v>
      </c>
      <c r="M2616" s="1">
        <v>594.76</v>
      </c>
      <c r="N2616" s="1">
        <v>11300.42</v>
      </c>
      <c r="O2616" s="1" t="s">
        <v>64</v>
      </c>
      <c r="P2616" s="1" t="s">
        <v>2204</v>
      </c>
      <c r="Q2616" s="1">
        <v>4</v>
      </c>
      <c r="R2616" s="1">
        <f>Retail_Sales_Analyis[[#This Row],[Final_Price]]-Retail_Sales_Analyis[[#This Row],[Total_Price]]</f>
        <v>-594.76000000000022</v>
      </c>
      <c r="S26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17" spans="1:19" x14ac:dyDescent="0.25">
      <c r="A2617" s="1" t="s">
        <v>3693</v>
      </c>
      <c r="B2617" s="2">
        <v>45439</v>
      </c>
      <c r="C2617" s="1" t="s">
        <v>42</v>
      </c>
      <c r="D2617" s="1" t="s">
        <v>43</v>
      </c>
      <c r="E2617" s="1" t="s">
        <v>111</v>
      </c>
      <c r="F2617" s="1" t="s">
        <v>84</v>
      </c>
      <c r="G2617" s="1" t="s">
        <v>112</v>
      </c>
      <c r="H2617" s="1" t="s">
        <v>223</v>
      </c>
      <c r="I2617" s="1">
        <v>1860.61</v>
      </c>
      <c r="J2617" s="1">
        <v>1</v>
      </c>
      <c r="K2617" s="1">
        <v>1860.61</v>
      </c>
      <c r="L2617" s="1">
        <v>15</v>
      </c>
      <c r="M2617" s="1">
        <v>279.08999999999997</v>
      </c>
      <c r="N2617" s="1">
        <v>1581.52</v>
      </c>
      <c r="O2617" s="1" t="s">
        <v>24</v>
      </c>
      <c r="P2617" s="1" t="s">
        <v>570</v>
      </c>
      <c r="Q2617" s="1">
        <v>5</v>
      </c>
      <c r="R2617" s="1">
        <f>Retail_Sales_Analyis[[#This Row],[Final_Price]]-Retail_Sales_Analyis[[#This Row],[Total_Price]]</f>
        <v>-279.08999999999992</v>
      </c>
      <c r="S26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18" spans="1:19" x14ac:dyDescent="0.25">
      <c r="A2618" s="1" t="s">
        <v>3694</v>
      </c>
      <c r="B2618" s="2">
        <v>45456</v>
      </c>
      <c r="C2618" s="1" t="s">
        <v>173</v>
      </c>
      <c r="D2618" s="1" t="s">
        <v>67</v>
      </c>
      <c r="E2618" s="1" t="s">
        <v>141</v>
      </c>
      <c r="F2618" s="1" t="s">
        <v>37</v>
      </c>
      <c r="G2618" s="1" t="s">
        <v>57</v>
      </c>
      <c r="H2618" s="1" t="s">
        <v>152</v>
      </c>
      <c r="I2618" s="1">
        <v>1748.52</v>
      </c>
      <c r="J2618" s="1">
        <v>9</v>
      </c>
      <c r="K2618" s="1">
        <v>15736.68</v>
      </c>
      <c r="L2618" s="1">
        <v>0</v>
      </c>
      <c r="M2618" s="1">
        <v>0</v>
      </c>
      <c r="N2618" s="1">
        <v>15736.68</v>
      </c>
      <c r="O2618" s="1" t="s">
        <v>24</v>
      </c>
      <c r="P2618" s="1" t="s">
        <v>2863</v>
      </c>
      <c r="Q2618" s="1">
        <v>3</v>
      </c>
      <c r="R2618" s="1">
        <f>Retail_Sales_Analyis[[#This Row],[Final_Price]]-Retail_Sales_Analyis[[#This Row],[Total_Price]]</f>
        <v>0</v>
      </c>
      <c r="S26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19" spans="1:19" x14ac:dyDescent="0.25">
      <c r="A2619" s="1" t="s">
        <v>3695</v>
      </c>
      <c r="B2619" s="2">
        <v>45438</v>
      </c>
      <c r="C2619" s="1" t="s">
        <v>42</v>
      </c>
      <c r="D2619" s="1" t="s">
        <v>49</v>
      </c>
      <c r="E2619" s="1" t="s">
        <v>89</v>
      </c>
      <c r="F2619" s="1" t="s">
        <v>21</v>
      </c>
      <c r="G2619" s="1" t="s">
        <v>57</v>
      </c>
      <c r="H2619" s="1" t="s">
        <v>158</v>
      </c>
      <c r="I2619" s="1">
        <v>2157.2600000000002</v>
      </c>
      <c r="J2619" s="1">
        <v>5</v>
      </c>
      <c r="K2619" s="1">
        <v>10786.3</v>
      </c>
      <c r="L2619" s="1">
        <v>0</v>
      </c>
      <c r="M2619" s="1">
        <v>0</v>
      </c>
      <c r="N2619" s="1">
        <v>10786.3</v>
      </c>
      <c r="O2619" s="1" t="s">
        <v>46</v>
      </c>
      <c r="P2619" s="1" t="s">
        <v>2330</v>
      </c>
      <c r="Q2619" s="1">
        <v>5</v>
      </c>
      <c r="R2619" s="1">
        <f>Retail_Sales_Analyis[[#This Row],[Final_Price]]-Retail_Sales_Analyis[[#This Row],[Total_Price]]</f>
        <v>0</v>
      </c>
      <c r="S26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0" spans="1:19" x14ac:dyDescent="0.25">
      <c r="A2620" s="1" t="s">
        <v>3696</v>
      </c>
      <c r="B2620" s="2">
        <v>45622</v>
      </c>
      <c r="C2620" s="1" t="s">
        <v>18</v>
      </c>
      <c r="D2620" s="1" t="s">
        <v>28</v>
      </c>
      <c r="E2620" s="1" t="s">
        <v>261</v>
      </c>
      <c r="F2620" s="1" t="s">
        <v>69</v>
      </c>
      <c r="G2620" s="1" t="s">
        <v>112</v>
      </c>
      <c r="H2620" s="1" t="s">
        <v>183</v>
      </c>
      <c r="I2620" s="1">
        <v>1609.39</v>
      </c>
      <c r="J2620" s="1">
        <v>1</v>
      </c>
      <c r="K2620" s="1">
        <v>1609.39</v>
      </c>
      <c r="L2620" s="1">
        <v>0</v>
      </c>
      <c r="M2620" s="1">
        <v>0</v>
      </c>
      <c r="N2620" s="1">
        <v>1609.39</v>
      </c>
      <c r="O2620" s="1" t="s">
        <v>64</v>
      </c>
      <c r="P2620" s="1" t="s">
        <v>1500</v>
      </c>
      <c r="Q2620" s="1">
        <v>4</v>
      </c>
      <c r="R2620" s="1">
        <f>Retail_Sales_Analyis[[#This Row],[Final_Price]]-Retail_Sales_Analyis[[#This Row],[Total_Price]]</f>
        <v>0</v>
      </c>
      <c r="S26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1" spans="1:19" x14ac:dyDescent="0.25">
      <c r="A2621" s="1" t="s">
        <v>3697</v>
      </c>
      <c r="B2621" s="2">
        <v>45322</v>
      </c>
      <c r="C2621" s="1" t="s">
        <v>36</v>
      </c>
      <c r="D2621" s="1" t="s">
        <v>55</v>
      </c>
      <c r="E2621" s="1" t="s">
        <v>239</v>
      </c>
      <c r="F2621" s="1" t="s">
        <v>21</v>
      </c>
      <c r="G2621" s="1" t="s">
        <v>57</v>
      </c>
      <c r="H2621" s="1" t="s">
        <v>58</v>
      </c>
      <c r="I2621" s="1">
        <v>1302.94</v>
      </c>
      <c r="J2621" s="1">
        <v>9</v>
      </c>
      <c r="K2621" s="1">
        <v>11726.46</v>
      </c>
      <c r="L2621" s="1">
        <v>15</v>
      </c>
      <c r="M2621" s="1">
        <v>1758.97</v>
      </c>
      <c r="N2621" s="1">
        <v>9967.49</v>
      </c>
      <c r="O2621" s="1" t="s">
        <v>24</v>
      </c>
      <c r="P2621" s="1" t="s">
        <v>2274</v>
      </c>
      <c r="Q2621" s="1">
        <v>5</v>
      </c>
      <c r="R2621" s="1">
        <f>Retail_Sales_Analyis[[#This Row],[Final_Price]]-Retail_Sales_Analyis[[#This Row],[Total_Price]]</f>
        <v>-1758.9699999999993</v>
      </c>
      <c r="S26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22" spans="1:19" x14ac:dyDescent="0.25">
      <c r="A2622" s="1" t="s">
        <v>3698</v>
      </c>
      <c r="B2622" s="2">
        <v>45337</v>
      </c>
      <c r="C2622" s="1" t="s">
        <v>27</v>
      </c>
      <c r="D2622" s="1" t="s">
        <v>67</v>
      </c>
      <c r="E2622" s="1" t="s">
        <v>77</v>
      </c>
      <c r="F2622" s="1" t="s">
        <v>69</v>
      </c>
      <c r="G2622" s="1" t="s">
        <v>22</v>
      </c>
      <c r="H2622" s="1" t="s">
        <v>187</v>
      </c>
      <c r="I2622" s="1">
        <v>253.42</v>
      </c>
      <c r="J2622" s="1">
        <v>10</v>
      </c>
      <c r="K2622" s="1">
        <v>2534.1999999999998</v>
      </c>
      <c r="L2622" s="1">
        <v>0</v>
      </c>
      <c r="M2622" s="1">
        <v>0</v>
      </c>
      <c r="N2622" s="1">
        <v>2534.1999999999998</v>
      </c>
      <c r="O2622" s="1" t="s">
        <v>33</v>
      </c>
      <c r="P2622" s="1" t="s">
        <v>582</v>
      </c>
      <c r="Q2622" s="1">
        <v>3</v>
      </c>
      <c r="R2622" s="1">
        <f>Retail_Sales_Analyis[[#This Row],[Final_Price]]-Retail_Sales_Analyis[[#This Row],[Total_Price]]</f>
        <v>0</v>
      </c>
      <c r="S26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3" spans="1:19" x14ac:dyDescent="0.25">
      <c r="A2623" s="1" t="s">
        <v>3699</v>
      </c>
      <c r="B2623" s="2">
        <v>45625</v>
      </c>
      <c r="C2623" s="1" t="s">
        <v>18</v>
      </c>
      <c r="D2623" s="1" t="s">
        <v>144</v>
      </c>
      <c r="E2623" s="1" t="s">
        <v>411</v>
      </c>
      <c r="F2623" s="1" t="s">
        <v>84</v>
      </c>
      <c r="G2623" s="1" t="s">
        <v>112</v>
      </c>
      <c r="H2623" s="1" t="s">
        <v>118</v>
      </c>
      <c r="I2623" s="1">
        <v>1867.04</v>
      </c>
      <c r="J2623" s="1">
        <v>4</v>
      </c>
      <c r="K2623" s="1">
        <v>7468.16</v>
      </c>
      <c r="L2623" s="1">
        <v>0</v>
      </c>
      <c r="M2623" s="1">
        <v>0</v>
      </c>
      <c r="N2623" s="1">
        <v>7468.16</v>
      </c>
      <c r="O2623" s="1" t="s">
        <v>24</v>
      </c>
      <c r="P2623" s="1" t="s">
        <v>2872</v>
      </c>
      <c r="Q2623" s="1">
        <v>1</v>
      </c>
      <c r="R2623" s="1">
        <f>Retail_Sales_Analyis[[#This Row],[Final_Price]]-Retail_Sales_Analyis[[#This Row],[Total_Price]]</f>
        <v>0</v>
      </c>
      <c r="S26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4" spans="1:19" x14ac:dyDescent="0.25">
      <c r="A2624" s="1" t="s">
        <v>3700</v>
      </c>
      <c r="B2624" s="2">
        <v>45585</v>
      </c>
      <c r="C2624" s="1" t="s">
        <v>76</v>
      </c>
      <c r="D2624" s="1" t="s">
        <v>49</v>
      </c>
      <c r="E2624" s="1" t="s">
        <v>89</v>
      </c>
      <c r="F2624" s="1" t="s">
        <v>69</v>
      </c>
      <c r="G2624" s="1" t="s">
        <v>57</v>
      </c>
      <c r="H2624" s="1" t="s">
        <v>101</v>
      </c>
      <c r="I2624" s="1">
        <v>223.43</v>
      </c>
      <c r="J2624" s="1">
        <v>10</v>
      </c>
      <c r="K2624" s="1">
        <v>2234.3000000000002</v>
      </c>
      <c r="L2624" s="1">
        <v>5</v>
      </c>
      <c r="M2624" s="1">
        <v>111.72</v>
      </c>
      <c r="N2624" s="1">
        <v>2122.58</v>
      </c>
      <c r="O2624" s="1" t="s">
        <v>33</v>
      </c>
      <c r="P2624" s="1" t="s">
        <v>701</v>
      </c>
      <c r="Q2624" s="1">
        <v>2</v>
      </c>
      <c r="R2624" s="1">
        <f>Retail_Sales_Analyis[[#This Row],[Final_Price]]-Retail_Sales_Analyis[[#This Row],[Total_Price]]</f>
        <v>-111.72000000000025</v>
      </c>
      <c r="S262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25" spans="1:19" x14ac:dyDescent="0.25">
      <c r="A2625" s="1" t="s">
        <v>3701</v>
      </c>
      <c r="B2625" s="2">
        <v>45410</v>
      </c>
      <c r="C2625" s="1" t="s">
        <v>54</v>
      </c>
      <c r="D2625" s="1" t="s">
        <v>49</v>
      </c>
      <c r="E2625" s="1" t="s">
        <v>104</v>
      </c>
      <c r="F2625" s="1" t="s">
        <v>69</v>
      </c>
      <c r="G2625" s="1" t="s">
        <v>38</v>
      </c>
      <c r="H2625" s="1" t="s">
        <v>214</v>
      </c>
      <c r="I2625" s="1">
        <v>166.27</v>
      </c>
      <c r="J2625" s="1">
        <v>10</v>
      </c>
      <c r="K2625" s="1">
        <v>1662.7</v>
      </c>
      <c r="L2625" s="1">
        <v>0</v>
      </c>
      <c r="M2625" s="1">
        <v>0</v>
      </c>
      <c r="N2625" s="1">
        <v>1662.7</v>
      </c>
      <c r="O2625" s="1" t="s">
        <v>46</v>
      </c>
      <c r="P2625" s="1" t="s">
        <v>280</v>
      </c>
      <c r="Q2625" s="1">
        <v>2</v>
      </c>
      <c r="R2625" s="1">
        <f>Retail_Sales_Analyis[[#This Row],[Final_Price]]-Retail_Sales_Analyis[[#This Row],[Total_Price]]</f>
        <v>0</v>
      </c>
      <c r="S26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6" spans="1:19" x14ac:dyDescent="0.25">
      <c r="A2626" s="1" t="s">
        <v>3702</v>
      </c>
      <c r="B2626" s="2">
        <v>45565</v>
      </c>
      <c r="C2626" s="1" t="s">
        <v>116</v>
      </c>
      <c r="D2626" s="1" t="s">
        <v>43</v>
      </c>
      <c r="E2626" s="1" t="s">
        <v>207</v>
      </c>
      <c r="F2626" s="1" t="s">
        <v>69</v>
      </c>
      <c r="G2626" s="1" t="s">
        <v>57</v>
      </c>
      <c r="H2626" s="1" t="s">
        <v>58</v>
      </c>
      <c r="I2626" s="1">
        <v>2996.35</v>
      </c>
      <c r="J2626" s="1">
        <v>6</v>
      </c>
      <c r="K2626" s="1">
        <v>17978.099999999999</v>
      </c>
      <c r="L2626" s="1">
        <v>15</v>
      </c>
      <c r="M2626" s="1">
        <v>2696.71</v>
      </c>
      <c r="N2626" s="1">
        <v>15281.39</v>
      </c>
      <c r="O2626" s="1" t="s">
        <v>24</v>
      </c>
      <c r="P2626" s="1" t="s">
        <v>3703</v>
      </c>
      <c r="Q2626" s="1">
        <v>1</v>
      </c>
      <c r="R2626" s="1">
        <f>Retail_Sales_Analyis[[#This Row],[Final_Price]]-Retail_Sales_Analyis[[#This Row],[Total_Price]]</f>
        <v>-2696.7099999999991</v>
      </c>
      <c r="S26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27" spans="1:19" x14ac:dyDescent="0.25">
      <c r="A2627" s="1" t="s">
        <v>3704</v>
      </c>
      <c r="B2627" s="2">
        <v>45311</v>
      </c>
      <c r="C2627" s="1" t="s">
        <v>36</v>
      </c>
      <c r="D2627" s="1" t="s">
        <v>19</v>
      </c>
      <c r="E2627" s="1" t="s">
        <v>141</v>
      </c>
      <c r="F2627" s="1" t="s">
        <v>21</v>
      </c>
      <c r="G2627" s="1" t="s">
        <v>31</v>
      </c>
      <c r="H2627" s="1" t="s">
        <v>329</v>
      </c>
      <c r="I2627" s="1">
        <v>279.08999999999997</v>
      </c>
      <c r="J2627" s="1">
        <v>8</v>
      </c>
      <c r="K2627" s="1">
        <v>2232.7199999999998</v>
      </c>
      <c r="L2627" s="1">
        <v>5</v>
      </c>
      <c r="M2627" s="1">
        <v>111.64</v>
      </c>
      <c r="N2627" s="1">
        <v>2121.08</v>
      </c>
      <c r="O2627" s="1" t="s">
        <v>64</v>
      </c>
      <c r="P2627" s="1" t="s">
        <v>255</v>
      </c>
      <c r="Q2627" s="1">
        <v>5</v>
      </c>
      <c r="R2627" s="1">
        <f>Retail_Sales_Analyis[[#This Row],[Final_Price]]-Retail_Sales_Analyis[[#This Row],[Total_Price]]</f>
        <v>-111.63999999999987</v>
      </c>
      <c r="S26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28" spans="1:19" x14ac:dyDescent="0.25">
      <c r="A2628" s="1" t="s">
        <v>3705</v>
      </c>
      <c r="B2628" s="2">
        <v>45381</v>
      </c>
      <c r="C2628" s="1" t="s">
        <v>61</v>
      </c>
      <c r="D2628" s="1" t="s">
        <v>19</v>
      </c>
      <c r="E2628" s="1" t="s">
        <v>77</v>
      </c>
      <c r="F2628" s="1" t="s">
        <v>21</v>
      </c>
      <c r="G2628" s="1" t="s">
        <v>57</v>
      </c>
      <c r="H2628" s="1" t="s">
        <v>58</v>
      </c>
      <c r="I2628" s="1">
        <v>1725.29</v>
      </c>
      <c r="J2628" s="1">
        <v>6</v>
      </c>
      <c r="K2628" s="1">
        <v>10351.74</v>
      </c>
      <c r="L2628" s="1">
        <v>0</v>
      </c>
      <c r="M2628" s="1">
        <v>0</v>
      </c>
      <c r="N2628" s="1">
        <v>10351.74</v>
      </c>
      <c r="O2628" s="1" t="s">
        <v>24</v>
      </c>
      <c r="P2628" s="1" t="s">
        <v>40</v>
      </c>
      <c r="Q2628" s="1">
        <v>4</v>
      </c>
      <c r="R2628" s="1">
        <f>Retail_Sales_Analyis[[#This Row],[Final_Price]]-Retail_Sales_Analyis[[#This Row],[Total_Price]]</f>
        <v>0</v>
      </c>
      <c r="S26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29" spans="1:19" x14ac:dyDescent="0.25">
      <c r="A2629" s="1" t="s">
        <v>3706</v>
      </c>
      <c r="B2629" s="2">
        <v>45505</v>
      </c>
      <c r="C2629" s="1" t="s">
        <v>93</v>
      </c>
      <c r="D2629" s="1" t="s">
        <v>67</v>
      </c>
      <c r="E2629" s="1" t="s">
        <v>312</v>
      </c>
      <c r="F2629" s="1" t="s">
        <v>84</v>
      </c>
      <c r="G2629" s="1" t="s">
        <v>22</v>
      </c>
      <c r="H2629" s="1" t="s">
        <v>23</v>
      </c>
      <c r="I2629" s="1">
        <v>673.7</v>
      </c>
      <c r="J2629" s="1">
        <v>3</v>
      </c>
      <c r="K2629" s="1">
        <v>2021.1</v>
      </c>
      <c r="L2629" s="1">
        <v>5</v>
      </c>
      <c r="M2629" s="1">
        <v>101.06</v>
      </c>
      <c r="N2629" s="1">
        <v>1920.04</v>
      </c>
      <c r="O2629" s="1" t="s">
        <v>33</v>
      </c>
      <c r="P2629" s="1" t="s">
        <v>2359</v>
      </c>
      <c r="Q2629" s="1">
        <v>4</v>
      </c>
      <c r="R2629" s="1">
        <f>Retail_Sales_Analyis[[#This Row],[Final_Price]]-Retail_Sales_Analyis[[#This Row],[Total_Price]]</f>
        <v>-101.05999999999995</v>
      </c>
      <c r="S26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30" spans="1:19" x14ac:dyDescent="0.25">
      <c r="A2630" s="1" t="s">
        <v>3707</v>
      </c>
      <c r="B2630" s="2">
        <v>45382</v>
      </c>
      <c r="C2630" s="1" t="s">
        <v>61</v>
      </c>
      <c r="D2630" s="1" t="s">
        <v>49</v>
      </c>
      <c r="E2630" s="1" t="s">
        <v>207</v>
      </c>
      <c r="F2630" s="1" t="s">
        <v>30</v>
      </c>
      <c r="G2630" s="1" t="s">
        <v>112</v>
      </c>
      <c r="H2630" s="1" t="s">
        <v>183</v>
      </c>
      <c r="I2630" s="1">
        <v>1548.86</v>
      </c>
      <c r="J2630" s="1">
        <v>4</v>
      </c>
      <c r="K2630" s="1">
        <v>6195.44</v>
      </c>
      <c r="L2630" s="1">
        <v>5</v>
      </c>
      <c r="M2630" s="1">
        <v>309.77</v>
      </c>
      <c r="N2630" s="1">
        <v>5885.67</v>
      </c>
      <c r="O2630" s="1" t="s">
        <v>33</v>
      </c>
      <c r="P2630" s="1" t="s">
        <v>3536</v>
      </c>
      <c r="Q2630" s="1">
        <v>1</v>
      </c>
      <c r="R2630" s="1">
        <f>Retail_Sales_Analyis[[#This Row],[Final_Price]]-Retail_Sales_Analyis[[#This Row],[Total_Price]]</f>
        <v>-309.76999999999953</v>
      </c>
      <c r="S263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31" spans="1:19" x14ac:dyDescent="0.25">
      <c r="A2631" s="1" t="s">
        <v>3708</v>
      </c>
      <c r="B2631" s="2">
        <v>45310</v>
      </c>
      <c r="C2631" s="1" t="s">
        <v>36</v>
      </c>
      <c r="D2631" s="1" t="s">
        <v>144</v>
      </c>
      <c r="E2631" s="1" t="s">
        <v>157</v>
      </c>
      <c r="F2631" s="1" t="s">
        <v>69</v>
      </c>
      <c r="G2631" s="1" t="s">
        <v>85</v>
      </c>
      <c r="H2631" s="1" t="s">
        <v>90</v>
      </c>
      <c r="I2631" s="1">
        <v>4667.1099999999997</v>
      </c>
      <c r="J2631" s="1">
        <v>10</v>
      </c>
      <c r="K2631" s="1">
        <v>46671.1</v>
      </c>
      <c r="L2631" s="1">
        <v>15</v>
      </c>
      <c r="M2631" s="1">
        <v>7000.66</v>
      </c>
      <c r="N2631" s="1">
        <v>39670.44</v>
      </c>
      <c r="O2631" s="1" t="s">
        <v>80</v>
      </c>
      <c r="P2631" s="1" t="s">
        <v>2876</v>
      </c>
      <c r="Q2631" s="1">
        <v>5</v>
      </c>
      <c r="R2631" s="1">
        <f>Retail_Sales_Analyis[[#This Row],[Final_Price]]-Retail_Sales_Analyis[[#This Row],[Total_Price]]</f>
        <v>-7000.6599999999962</v>
      </c>
      <c r="S26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32" spans="1:19" x14ac:dyDescent="0.25">
      <c r="A2632" s="1" t="s">
        <v>3709</v>
      </c>
      <c r="B2632" s="2">
        <v>45495</v>
      </c>
      <c r="C2632" s="1" t="s">
        <v>195</v>
      </c>
      <c r="D2632" s="1" t="s">
        <v>43</v>
      </c>
      <c r="E2632" s="1" t="s">
        <v>50</v>
      </c>
      <c r="F2632" s="1" t="s">
        <v>69</v>
      </c>
      <c r="G2632" s="1" t="s">
        <v>57</v>
      </c>
      <c r="H2632" s="1" t="s">
        <v>158</v>
      </c>
      <c r="I2632" s="1">
        <v>1783.68</v>
      </c>
      <c r="J2632" s="1">
        <v>2</v>
      </c>
      <c r="K2632" s="1">
        <v>3567.36</v>
      </c>
      <c r="L2632" s="1">
        <v>0</v>
      </c>
      <c r="M2632" s="1">
        <v>0</v>
      </c>
      <c r="N2632" s="1">
        <v>3567.36</v>
      </c>
      <c r="O2632" s="1" t="s">
        <v>46</v>
      </c>
      <c r="P2632" s="1" t="s">
        <v>1311</v>
      </c>
      <c r="Q2632" s="1">
        <v>3</v>
      </c>
      <c r="R2632" s="1">
        <f>Retail_Sales_Analyis[[#This Row],[Final_Price]]-Retail_Sales_Analyis[[#This Row],[Total_Price]]</f>
        <v>0</v>
      </c>
      <c r="S26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33" spans="1:19" x14ac:dyDescent="0.25">
      <c r="A2633" s="1" t="s">
        <v>3710</v>
      </c>
      <c r="B2633" s="2">
        <v>45545</v>
      </c>
      <c r="C2633" s="1" t="s">
        <v>116</v>
      </c>
      <c r="D2633" s="1" t="s">
        <v>28</v>
      </c>
      <c r="E2633" s="1" t="s">
        <v>94</v>
      </c>
      <c r="F2633" s="1" t="s">
        <v>37</v>
      </c>
      <c r="G2633" s="1" t="s">
        <v>31</v>
      </c>
      <c r="H2633" s="1" t="s">
        <v>250</v>
      </c>
      <c r="I2633" s="1">
        <v>245.23</v>
      </c>
      <c r="J2633" s="1">
        <v>10</v>
      </c>
      <c r="K2633" s="1">
        <v>2452.3000000000002</v>
      </c>
      <c r="L2633" s="1">
        <v>20</v>
      </c>
      <c r="M2633" s="1">
        <v>490.46</v>
      </c>
      <c r="N2633" s="1">
        <v>1961.84</v>
      </c>
      <c r="O2633" s="1" t="s">
        <v>33</v>
      </c>
      <c r="P2633" s="1" t="s">
        <v>538</v>
      </c>
      <c r="Q2633" s="1">
        <v>4</v>
      </c>
      <c r="R2633" s="1">
        <f>Retail_Sales_Analyis[[#This Row],[Final_Price]]-Retail_Sales_Analyis[[#This Row],[Total_Price]]</f>
        <v>-490.46000000000026</v>
      </c>
      <c r="S26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34" spans="1:19" x14ac:dyDescent="0.25">
      <c r="A2634" s="1" t="s">
        <v>3711</v>
      </c>
      <c r="B2634" s="2">
        <v>45387</v>
      </c>
      <c r="C2634" s="1" t="s">
        <v>54</v>
      </c>
      <c r="D2634" s="1" t="s">
        <v>144</v>
      </c>
      <c r="E2634" s="1" t="s">
        <v>192</v>
      </c>
      <c r="F2634" s="1" t="s">
        <v>30</v>
      </c>
      <c r="G2634" s="1" t="s">
        <v>57</v>
      </c>
      <c r="H2634" s="1" t="s">
        <v>122</v>
      </c>
      <c r="I2634" s="1">
        <v>1234.2</v>
      </c>
      <c r="J2634" s="1">
        <v>9</v>
      </c>
      <c r="K2634" s="1">
        <v>11107.8</v>
      </c>
      <c r="L2634" s="1">
        <v>0</v>
      </c>
      <c r="M2634" s="1">
        <v>0</v>
      </c>
      <c r="N2634" s="1">
        <v>11107.8</v>
      </c>
      <c r="O2634" s="1" t="s">
        <v>46</v>
      </c>
      <c r="P2634" s="1" t="s">
        <v>2152</v>
      </c>
      <c r="Q2634" s="1">
        <v>1</v>
      </c>
      <c r="R2634" s="1">
        <f>Retail_Sales_Analyis[[#This Row],[Final_Price]]-Retail_Sales_Analyis[[#This Row],[Total_Price]]</f>
        <v>0</v>
      </c>
      <c r="S26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35" spans="1:19" x14ac:dyDescent="0.25">
      <c r="A2635" s="1" t="s">
        <v>3712</v>
      </c>
      <c r="B2635" s="2">
        <v>45440</v>
      </c>
      <c r="C2635" s="1" t="s">
        <v>42</v>
      </c>
      <c r="D2635" s="1" t="s">
        <v>28</v>
      </c>
      <c r="E2635" s="1" t="s">
        <v>132</v>
      </c>
      <c r="F2635" s="1" t="s">
        <v>21</v>
      </c>
      <c r="G2635" s="1" t="s">
        <v>31</v>
      </c>
      <c r="H2635" s="1" t="s">
        <v>329</v>
      </c>
      <c r="I2635" s="1">
        <v>451.37</v>
      </c>
      <c r="J2635" s="1">
        <v>7</v>
      </c>
      <c r="K2635" s="1">
        <v>3159.59</v>
      </c>
      <c r="L2635" s="1">
        <v>0</v>
      </c>
      <c r="M2635" s="1">
        <v>0</v>
      </c>
      <c r="N2635" s="1">
        <v>3159.59</v>
      </c>
      <c r="O2635" s="1" t="s">
        <v>33</v>
      </c>
      <c r="P2635" s="1" t="s">
        <v>313</v>
      </c>
      <c r="Q2635" s="1">
        <v>5</v>
      </c>
      <c r="R2635" s="1">
        <f>Retail_Sales_Analyis[[#This Row],[Final_Price]]-Retail_Sales_Analyis[[#This Row],[Total_Price]]</f>
        <v>0</v>
      </c>
      <c r="S26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36" spans="1:19" x14ac:dyDescent="0.25">
      <c r="A2636" s="1" t="s">
        <v>3713</v>
      </c>
      <c r="B2636" s="2">
        <v>45311</v>
      </c>
      <c r="C2636" s="1" t="s">
        <v>36</v>
      </c>
      <c r="D2636" s="1" t="s">
        <v>19</v>
      </c>
      <c r="E2636" s="1" t="s">
        <v>239</v>
      </c>
      <c r="F2636" s="1" t="s">
        <v>84</v>
      </c>
      <c r="G2636" s="1" t="s">
        <v>169</v>
      </c>
      <c r="H2636" s="1" t="s">
        <v>366</v>
      </c>
      <c r="I2636" s="1">
        <v>1008.28</v>
      </c>
      <c r="J2636" s="1">
        <v>6</v>
      </c>
      <c r="K2636" s="1">
        <v>6049.68</v>
      </c>
      <c r="L2636" s="1">
        <v>20</v>
      </c>
      <c r="M2636" s="1">
        <v>1209.94</v>
      </c>
      <c r="N2636" s="1">
        <v>4839.74</v>
      </c>
      <c r="O2636" s="1" t="s">
        <v>33</v>
      </c>
      <c r="P2636" s="1" t="s">
        <v>1011</v>
      </c>
      <c r="Q2636" s="1">
        <v>3</v>
      </c>
      <c r="R2636" s="1">
        <f>Retail_Sales_Analyis[[#This Row],[Final_Price]]-Retail_Sales_Analyis[[#This Row],[Total_Price]]</f>
        <v>-1209.9400000000005</v>
      </c>
      <c r="S26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37" spans="1:19" x14ac:dyDescent="0.25">
      <c r="A2637" s="1" t="s">
        <v>3714</v>
      </c>
      <c r="B2637" s="2">
        <v>45296</v>
      </c>
      <c r="C2637" s="1" t="s">
        <v>36</v>
      </c>
      <c r="D2637" s="1" t="s">
        <v>144</v>
      </c>
      <c r="E2637" s="1" t="s">
        <v>111</v>
      </c>
      <c r="F2637" s="1" t="s">
        <v>30</v>
      </c>
      <c r="G2637" s="1" t="s">
        <v>31</v>
      </c>
      <c r="H2637" s="1" t="s">
        <v>329</v>
      </c>
      <c r="I2637" s="1">
        <v>341.73</v>
      </c>
      <c r="J2637" s="1">
        <v>5</v>
      </c>
      <c r="K2637" s="1">
        <v>1708.65</v>
      </c>
      <c r="L2637" s="1">
        <v>10</v>
      </c>
      <c r="M2637" s="1">
        <v>170.87</v>
      </c>
      <c r="N2637" s="1">
        <v>1537.78</v>
      </c>
      <c r="O2637" s="1" t="s">
        <v>33</v>
      </c>
      <c r="P2637" s="1" t="s">
        <v>137</v>
      </c>
      <c r="Q2637" s="1">
        <v>1</v>
      </c>
      <c r="R2637" s="1">
        <f>Retail_Sales_Analyis[[#This Row],[Final_Price]]-Retail_Sales_Analyis[[#This Row],[Total_Price]]</f>
        <v>-170.87000000000012</v>
      </c>
      <c r="S26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38" spans="1:19" x14ac:dyDescent="0.25">
      <c r="A2638" s="1" t="s">
        <v>3715</v>
      </c>
      <c r="B2638" s="2">
        <v>45444</v>
      </c>
      <c r="C2638" s="1" t="s">
        <v>173</v>
      </c>
      <c r="D2638" s="1" t="s">
        <v>19</v>
      </c>
      <c r="E2638" s="1" t="s">
        <v>97</v>
      </c>
      <c r="F2638" s="1" t="s">
        <v>21</v>
      </c>
      <c r="G2638" s="1" t="s">
        <v>112</v>
      </c>
      <c r="H2638" s="1" t="s">
        <v>223</v>
      </c>
      <c r="I2638" s="1">
        <v>1577.6</v>
      </c>
      <c r="J2638" s="1">
        <v>3</v>
      </c>
      <c r="K2638" s="1">
        <v>4732.8</v>
      </c>
      <c r="L2638" s="1">
        <v>0</v>
      </c>
      <c r="M2638" s="1">
        <v>0</v>
      </c>
      <c r="N2638" s="1">
        <v>4732.8</v>
      </c>
      <c r="O2638" s="1" t="s">
        <v>46</v>
      </c>
      <c r="P2638" s="1" t="s">
        <v>349</v>
      </c>
      <c r="Q2638" s="1">
        <v>5</v>
      </c>
      <c r="R2638" s="1">
        <f>Retail_Sales_Analyis[[#This Row],[Final_Price]]-Retail_Sales_Analyis[[#This Row],[Total_Price]]</f>
        <v>0</v>
      </c>
      <c r="S26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39" spans="1:19" x14ac:dyDescent="0.25">
      <c r="A2639" s="1" t="s">
        <v>3716</v>
      </c>
      <c r="B2639" s="2">
        <v>45582</v>
      </c>
      <c r="C2639" s="1" t="s">
        <v>76</v>
      </c>
      <c r="D2639" s="1" t="s">
        <v>67</v>
      </c>
      <c r="E2639" s="1" t="s">
        <v>328</v>
      </c>
      <c r="F2639" s="1" t="s">
        <v>21</v>
      </c>
      <c r="G2639" s="1" t="s">
        <v>31</v>
      </c>
      <c r="H2639" s="1" t="s">
        <v>45</v>
      </c>
      <c r="I2639" s="1">
        <v>425.87</v>
      </c>
      <c r="J2639" s="1">
        <v>8</v>
      </c>
      <c r="K2639" s="1">
        <v>3406.96</v>
      </c>
      <c r="L2639" s="1">
        <v>0</v>
      </c>
      <c r="M2639" s="1">
        <v>0</v>
      </c>
      <c r="N2639" s="1">
        <v>3406.96</v>
      </c>
      <c r="O2639" s="1" t="s">
        <v>33</v>
      </c>
      <c r="P2639" s="1" t="s">
        <v>578</v>
      </c>
      <c r="Q2639" s="1">
        <v>1</v>
      </c>
      <c r="R2639" s="1">
        <f>Retail_Sales_Analyis[[#This Row],[Final_Price]]-Retail_Sales_Analyis[[#This Row],[Total_Price]]</f>
        <v>0</v>
      </c>
      <c r="S26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0" spans="1:19" x14ac:dyDescent="0.25">
      <c r="A2640" s="1" t="s">
        <v>3717</v>
      </c>
      <c r="B2640" s="2">
        <v>45600</v>
      </c>
      <c r="C2640" s="1" t="s">
        <v>18</v>
      </c>
      <c r="D2640" s="1" t="s">
        <v>43</v>
      </c>
      <c r="E2640" s="1" t="s">
        <v>62</v>
      </c>
      <c r="F2640" s="1" t="s">
        <v>37</v>
      </c>
      <c r="G2640" s="1" t="s">
        <v>112</v>
      </c>
      <c r="H2640" s="1" t="s">
        <v>113</v>
      </c>
      <c r="I2640" s="1">
        <v>1384.48</v>
      </c>
      <c r="J2640" s="1">
        <v>1</v>
      </c>
      <c r="K2640" s="1">
        <v>1384.48</v>
      </c>
      <c r="L2640" s="1">
        <v>0</v>
      </c>
      <c r="M2640" s="1">
        <v>0</v>
      </c>
      <c r="N2640" s="1">
        <v>1384.48</v>
      </c>
      <c r="O2640" s="1" t="s">
        <v>24</v>
      </c>
      <c r="P2640" s="1" t="s">
        <v>3718</v>
      </c>
      <c r="Q2640" s="1">
        <v>2</v>
      </c>
      <c r="R2640" s="1">
        <f>Retail_Sales_Analyis[[#This Row],[Final_Price]]-Retail_Sales_Analyis[[#This Row],[Total_Price]]</f>
        <v>0</v>
      </c>
      <c r="S26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1" spans="1:19" x14ac:dyDescent="0.25">
      <c r="A2641" s="1" t="s">
        <v>3719</v>
      </c>
      <c r="B2641" s="2">
        <v>45346</v>
      </c>
      <c r="C2641" s="1" t="s">
        <v>27</v>
      </c>
      <c r="D2641" s="1" t="s">
        <v>19</v>
      </c>
      <c r="E2641" s="1" t="s">
        <v>104</v>
      </c>
      <c r="F2641" s="1" t="s">
        <v>84</v>
      </c>
      <c r="G2641" s="1" t="s">
        <v>22</v>
      </c>
      <c r="H2641" s="1" t="s">
        <v>133</v>
      </c>
      <c r="I2641" s="1">
        <v>594.73</v>
      </c>
      <c r="J2641" s="1">
        <v>3</v>
      </c>
      <c r="K2641" s="1">
        <v>1784.19</v>
      </c>
      <c r="L2641" s="1">
        <v>10</v>
      </c>
      <c r="M2641" s="1">
        <v>178.42</v>
      </c>
      <c r="N2641" s="1">
        <v>1605.77</v>
      </c>
      <c r="O2641" s="1" t="s">
        <v>24</v>
      </c>
      <c r="P2641" s="1" t="s">
        <v>2748</v>
      </c>
      <c r="Q2641" s="1">
        <v>4</v>
      </c>
      <c r="R2641" s="1">
        <f>Retail_Sales_Analyis[[#This Row],[Final_Price]]-Retail_Sales_Analyis[[#This Row],[Total_Price]]</f>
        <v>-178.42000000000007</v>
      </c>
      <c r="S26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42" spans="1:19" x14ac:dyDescent="0.25">
      <c r="A2642" s="1" t="s">
        <v>3720</v>
      </c>
      <c r="B2642" s="2">
        <v>45463</v>
      </c>
      <c r="C2642" s="1" t="s">
        <v>173</v>
      </c>
      <c r="D2642" s="1" t="s">
        <v>67</v>
      </c>
      <c r="E2642" s="1" t="s">
        <v>322</v>
      </c>
      <c r="F2642" s="1" t="s">
        <v>84</v>
      </c>
      <c r="G2642" s="1" t="s">
        <v>85</v>
      </c>
      <c r="H2642" s="1" t="s">
        <v>98</v>
      </c>
      <c r="I2642" s="1">
        <v>1648.2</v>
      </c>
      <c r="J2642" s="1">
        <v>4</v>
      </c>
      <c r="K2642" s="1">
        <v>6592.8</v>
      </c>
      <c r="L2642" s="1">
        <v>5</v>
      </c>
      <c r="M2642" s="1">
        <v>329.64</v>
      </c>
      <c r="N2642" s="1">
        <v>6263.16</v>
      </c>
      <c r="O2642" s="1" t="s">
        <v>80</v>
      </c>
      <c r="P2642" s="1" t="s">
        <v>2035</v>
      </c>
      <c r="Q2642" s="1">
        <v>2</v>
      </c>
      <c r="R2642" s="1">
        <f>Retail_Sales_Analyis[[#This Row],[Final_Price]]-Retail_Sales_Analyis[[#This Row],[Total_Price]]</f>
        <v>-329.64000000000033</v>
      </c>
      <c r="S26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43" spans="1:19" x14ac:dyDescent="0.25">
      <c r="A2643" s="1" t="s">
        <v>3721</v>
      </c>
      <c r="B2643" s="2">
        <v>45437</v>
      </c>
      <c r="C2643" s="1" t="s">
        <v>42</v>
      </c>
      <c r="D2643" s="1" t="s">
        <v>19</v>
      </c>
      <c r="E2643" s="1" t="s">
        <v>337</v>
      </c>
      <c r="F2643" s="1" t="s">
        <v>21</v>
      </c>
      <c r="G2643" s="1" t="s">
        <v>22</v>
      </c>
      <c r="H2643" s="1" t="s">
        <v>23</v>
      </c>
      <c r="I2643" s="1">
        <v>909.15</v>
      </c>
      <c r="J2643" s="1">
        <v>1</v>
      </c>
      <c r="K2643" s="1">
        <v>909.15</v>
      </c>
      <c r="L2643" s="1">
        <v>20</v>
      </c>
      <c r="M2643" s="1">
        <v>181.83</v>
      </c>
      <c r="N2643" s="1">
        <v>727.32</v>
      </c>
      <c r="O2643" s="1" t="s">
        <v>33</v>
      </c>
      <c r="P2643" s="1" t="s">
        <v>2204</v>
      </c>
      <c r="Q2643" s="1">
        <v>2</v>
      </c>
      <c r="R2643" s="1">
        <f>Retail_Sales_Analyis[[#This Row],[Final_Price]]-Retail_Sales_Analyis[[#This Row],[Total_Price]]</f>
        <v>-181.82999999999993</v>
      </c>
      <c r="S26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44" spans="1:19" x14ac:dyDescent="0.25">
      <c r="A2644" s="1" t="s">
        <v>3722</v>
      </c>
      <c r="B2644" s="2">
        <v>45524</v>
      </c>
      <c r="C2644" s="1" t="s">
        <v>93</v>
      </c>
      <c r="D2644" s="1" t="s">
        <v>28</v>
      </c>
      <c r="E2644" s="1" t="s">
        <v>312</v>
      </c>
      <c r="F2644" s="1" t="s">
        <v>30</v>
      </c>
      <c r="G2644" s="1" t="s">
        <v>38</v>
      </c>
      <c r="H2644" s="1" t="s">
        <v>214</v>
      </c>
      <c r="I2644" s="1">
        <v>733.29</v>
      </c>
      <c r="J2644" s="1">
        <v>7</v>
      </c>
      <c r="K2644" s="1">
        <v>5133.03</v>
      </c>
      <c r="L2644" s="1">
        <v>0</v>
      </c>
      <c r="M2644" s="1">
        <v>0</v>
      </c>
      <c r="N2644" s="1">
        <v>5133.03</v>
      </c>
      <c r="O2644" s="1" t="s">
        <v>46</v>
      </c>
      <c r="P2644" s="1" t="s">
        <v>3723</v>
      </c>
      <c r="Q2644" s="1">
        <v>5</v>
      </c>
      <c r="R2644" s="1">
        <f>Retail_Sales_Analyis[[#This Row],[Final_Price]]-Retail_Sales_Analyis[[#This Row],[Total_Price]]</f>
        <v>0</v>
      </c>
      <c r="S26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5" spans="1:19" x14ac:dyDescent="0.25">
      <c r="A2645" s="1" t="s">
        <v>3724</v>
      </c>
      <c r="B2645" s="2">
        <v>45620</v>
      </c>
      <c r="C2645" s="1" t="s">
        <v>18</v>
      </c>
      <c r="D2645" s="1" t="s">
        <v>49</v>
      </c>
      <c r="E2645" s="1" t="s">
        <v>351</v>
      </c>
      <c r="F2645" s="1" t="s">
        <v>69</v>
      </c>
      <c r="G2645" s="1" t="s">
        <v>31</v>
      </c>
      <c r="H2645" s="1" t="s">
        <v>63</v>
      </c>
      <c r="I2645" s="1">
        <v>497.36</v>
      </c>
      <c r="J2645" s="1">
        <v>6</v>
      </c>
      <c r="K2645" s="1">
        <v>2984.16</v>
      </c>
      <c r="L2645" s="1">
        <v>5</v>
      </c>
      <c r="M2645" s="1">
        <v>149.21</v>
      </c>
      <c r="N2645" s="1">
        <v>2834.95</v>
      </c>
      <c r="O2645" s="1" t="s">
        <v>24</v>
      </c>
      <c r="P2645" s="1" t="s">
        <v>1428</v>
      </c>
      <c r="Q2645" s="1">
        <v>3</v>
      </c>
      <c r="R2645" s="1">
        <f>Retail_Sales_Analyis[[#This Row],[Final_Price]]-Retail_Sales_Analyis[[#This Row],[Total_Price]]</f>
        <v>-149.21000000000004</v>
      </c>
      <c r="S264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46" spans="1:19" x14ac:dyDescent="0.25">
      <c r="A2646" s="1" t="s">
        <v>3725</v>
      </c>
      <c r="B2646" s="2">
        <v>45570</v>
      </c>
      <c r="C2646" s="1" t="s">
        <v>76</v>
      </c>
      <c r="D2646" s="1" t="s">
        <v>19</v>
      </c>
      <c r="E2646" s="1" t="s">
        <v>141</v>
      </c>
      <c r="F2646" s="1" t="s">
        <v>69</v>
      </c>
      <c r="G2646" s="1" t="s">
        <v>78</v>
      </c>
      <c r="H2646" s="1" t="s">
        <v>136</v>
      </c>
      <c r="I2646" s="1">
        <v>455.23</v>
      </c>
      <c r="J2646" s="1">
        <v>8</v>
      </c>
      <c r="K2646" s="1">
        <v>3641.84</v>
      </c>
      <c r="L2646" s="1">
        <v>0</v>
      </c>
      <c r="M2646" s="1">
        <v>0</v>
      </c>
      <c r="N2646" s="1">
        <v>3641.84</v>
      </c>
      <c r="O2646" s="1" t="s">
        <v>24</v>
      </c>
      <c r="P2646" s="1" t="s">
        <v>1701</v>
      </c>
      <c r="Q2646" s="1">
        <v>4</v>
      </c>
      <c r="R2646" s="1">
        <f>Retail_Sales_Analyis[[#This Row],[Final_Price]]-Retail_Sales_Analyis[[#This Row],[Total_Price]]</f>
        <v>0</v>
      </c>
      <c r="S26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7" spans="1:19" x14ac:dyDescent="0.25">
      <c r="A2647" s="1" t="s">
        <v>3726</v>
      </c>
      <c r="B2647" s="2">
        <v>45560</v>
      </c>
      <c r="C2647" s="1" t="s">
        <v>116</v>
      </c>
      <c r="D2647" s="1" t="s">
        <v>55</v>
      </c>
      <c r="E2647" s="1" t="s">
        <v>62</v>
      </c>
      <c r="F2647" s="1" t="s">
        <v>37</v>
      </c>
      <c r="G2647" s="1" t="s">
        <v>57</v>
      </c>
      <c r="H2647" s="1" t="s">
        <v>158</v>
      </c>
      <c r="I2647" s="1">
        <v>2008.64</v>
      </c>
      <c r="J2647" s="1">
        <v>5</v>
      </c>
      <c r="K2647" s="1">
        <v>10043.200000000001</v>
      </c>
      <c r="L2647" s="1">
        <v>0</v>
      </c>
      <c r="M2647" s="1">
        <v>0</v>
      </c>
      <c r="N2647" s="1">
        <v>10043.200000000001</v>
      </c>
      <c r="O2647" s="1" t="s">
        <v>64</v>
      </c>
      <c r="P2647" s="1" t="s">
        <v>3419</v>
      </c>
      <c r="Q2647" s="1">
        <v>3</v>
      </c>
      <c r="R2647" s="1">
        <f>Retail_Sales_Analyis[[#This Row],[Final_Price]]-Retail_Sales_Analyis[[#This Row],[Total_Price]]</f>
        <v>0</v>
      </c>
      <c r="S26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48" spans="1:19" x14ac:dyDescent="0.25">
      <c r="A2648" s="1" t="s">
        <v>3727</v>
      </c>
      <c r="B2648" s="2">
        <v>45544</v>
      </c>
      <c r="C2648" s="1" t="s">
        <v>116</v>
      </c>
      <c r="D2648" s="1" t="s">
        <v>43</v>
      </c>
      <c r="E2648" s="1" t="s">
        <v>213</v>
      </c>
      <c r="F2648" s="1" t="s">
        <v>21</v>
      </c>
      <c r="G2648" s="1" t="s">
        <v>22</v>
      </c>
      <c r="H2648" s="1" t="s">
        <v>51</v>
      </c>
      <c r="I2648" s="1">
        <v>917.06</v>
      </c>
      <c r="J2648" s="1">
        <v>9</v>
      </c>
      <c r="K2648" s="1">
        <v>8253.5400000000009</v>
      </c>
      <c r="L2648" s="1">
        <v>15</v>
      </c>
      <c r="M2648" s="1">
        <v>1238.03</v>
      </c>
      <c r="N2648" s="1">
        <v>7015.51</v>
      </c>
      <c r="O2648" s="1" t="s">
        <v>33</v>
      </c>
      <c r="P2648" s="1" t="s">
        <v>2755</v>
      </c>
      <c r="Q2648" s="1">
        <v>3</v>
      </c>
      <c r="R2648" s="1">
        <f>Retail_Sales_Analyis[[#This Row],[Final_Price]]-Retail_Sales_Analyis[[#This Row],[Total_Price]]</f>
        <v>-1238.0300000000007</v>
      </c>
      <c r="S26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49" spans="1:19" x14ac:dyDescent="0.25">
      <c r="A2649" s="1" t="s">
        <v>3728</v>
      </c>
      <c r="B2649" s="2">
        <v>45360</v>
      </c>
      <c r="C2649" s="1" t="s">
        <v>61</v>
      </c>
      <c r="D2649" s="1" t="s">
        <v>19</v>
      </c>
      <c r="E2649" s="1" t="s">
        <v>20</v>
      </c>
      <c r="F2649" s="1" t="s">
        <v>84</v>
      </c>
      <c r="G2649" s="1" t="s">
        <v>38</v>
      </c>
      <c r="H2649" s="1" t="s">
        <v>70</v>
      </c>
      <c r="I2649" s="1">
        <v>238.81</v>
      </c>
      <c r="J2649" s="1">
        <v>5</v>
      </c>
      <c r="K2649" s="1">
        <v>1194.05</v>
      </c>
      <c r="L2649" s="1">
        <v>10</v>
      </c>
      <c r="M2649" s="1">
        <v>119.41</v>
      </c>
      <c r="N2649" s="1">
        <v>1074.6400000000001</v>
      </c>
      <c r="O2649" s="1" t="s">
        <v>64</v>
      </c>
      <c r="P2649" s="1" t="s">
        <v>1210</v>
      </c>
      <c r="Q2649" s="1">
        <v>3</v>
      </c>
      <c r="R2649" s="1">
        <f>Retail_Sales_Analyis[[#This Row],[Final_Price]]-Retail_Sales_Analyis[[#This Row],[Total_Price]]</f>
        <v>-119.40999999999985</v>
      </c>
      <c r="S26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50" spans="1:19" x14ac:dyDescent="0.25">
      <c r="A2650" s="1" t="s">
        <v>3729</v>
      </c>
      <c r="B2650" s="2">
        <v>45550</v>
      </c>
      <c r="C2650" s="1" t="s">
        <v>116</v>
      </c>
      <c r="D2650" s="1" t="s">
        <v>49</v>
      </c>
      <c r="E2650" s="1" t="s">
        <v>351</v>
      </c>
      <c r="F2650" s="1" t="s">
        <v>84</v>
      </c>
      <c r="G2650" s="1" t="s">
        <v>22</v>
      </c>
      <c r="H2650" s="1" t="s">
        <v>23</v>
      </c>
      <c r="I2650" s="1">
        <v>883.74</v>
      </c>
      <c r="J2650" s="1">
        <v>8</v>
      </c>
      <c r="K2650" s="1">
        <v>7069.92</v>
      </c>
      <c r="L2650" s="1">
        <v>0</v>
      </c>
      <c r="M2650" s="1">
        <v>0</v>
      </c>
      <c r="N2650" s="1">
        <v>7069.92</v>
      </c>
      <c r="O2650" s="1" t="s">
        <v>33</v>
      </c>
      <c r="P2650" s="1" t="s">
        <v>1019</v>
      </c>
      <c r="Q2650" s="1">
        <v>4</v>
      </c>
      <c r="R2650" s="1">
        <f>Retail_Sales_Analyis[[#This Row],[Final_Price]]-Retail_Sales_Analyis[[#This Row],[Total_Price]]</f>
        <v>0</v>
      </c>
      <c r="S26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51" spans="1:19" x14ac:dyDescent="0.25">
      <c r="A2651" s="1" t="s">
        <v>3730</v>
      </c>
      <c r="B2651" s="2">
        <v>45531</v>
      </c>
      <c r="C2651" s="1" t="s">
        <v>93</v>
      </c>
      <c r="D2651" s="1" t="s">
        <v>28</v>
      </c>
      <c r="E2651" s="1" t="s">
        <v>83</v>
      </c>
      <c r="F2651" s="1" t="s">
        <v>37</v>
      </c>
      <c r="G2651" s="1" t="s">
        <v>57</v>
      </c>
      <c r="H2651" s="1" t="s">
        <v>101</v>
      </c>
      <c r="I2651" s="1">
        <v>282.04000000000002</v>
      </c>
      <c r="J2651" s="1">
        <v>8</v>
      </c>
      <c r="K2651" s="1">
        <v>2256.3200000000002</v>
      </c>
      <c r="L2651" s="1">
        <v>5</v>
      </c>
      <c r="M2651" s="1">
        <v>112.82</v>
      </c>
      <c r="N2651" s="1">
        <v>2143.5</v>
      </c>
      <c r="O2651" s="1" t="s">
        <v>46</v>
      </c>
      <c r="P2651" s="1" t="s">
        <v>754</v>
      </c>
      <c r="Q2651" s="1">
        <v>5</v>
      </c>
      <c r="R2651" s="1">
        <f>Retail_Sales_Analyis[[#This Row],[Final_Price]]-Retail_Sales_Analyis[[#This Row],[Total_Price]]</f>
        <v>-112.82000000000016</v>
      </c>
      <c r="S26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52" spans="1:19" x14ac:dyDescent="0.25">
      <c r="A2652" s="1" t="s">
        <v>3731</v>
      </c>
      <c r="B2652" s="2">
        <v>45431</v>
      </c>
      <c r="C2652" s="1" t="s">
        <v>42</v>
      </c>
      <c r="D2652" s="1" t="s">
        <v>49</v>
      </c>
      <c r="E2652" s="1" t="s">
        <v>145</v>
      </c>
      <c r="F2652" s="1" t="s">
        <v>30</v>
      </c>
      <c r="G2652" s="1" t="s">
        <v>38</v>
      </c>
      <c r="H2652" s="1" t="s">
        <v>214</v>
      </c>
      <c r="I2652" s="1">
        <v>211.35</v>
      </c>
      <c r="J2652" s="1">
        <v>7</v>
      </c>
      <c r="K2652" s="1">
        <v>1479.45</v>
      </c>
      <c r="L2652" s="1">
        <v>20</v>
      </c>
      <c r="M2652" s="1">
        <v>295.89</v>
      </c>
      <c r="N2652" s="1">
        <v>1183.56</v>
      </c>
      <c r="O2652" s="1" t="s">
        <v>80</v>
      </c>
      <c r="P2652" s="1" t="s">
        <v>725</v>
      </c>
      <c r="Q2652" s="1">
        <v>5</v>
      </c>
      <c r="R2652" s="1">
        <f>Retail_Sales_Analyis[[#This Row],[Final_Price]]-Retail_Sales_Analyis[[#This Row],[Total_Price]]</f>
        <v>-295.8900000000001</v>
      </c>
      <c r="S265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53" spans="1:19" x14ac:dyDescent="0.25">
      <c r="A2653" s="1" t="s">
        <v>3732</v>
      </c>
      <c r="B2653" s="2">
        <v>45390</v>
      </c>
      <c r="C2653" s="1" t="s">
        <v>54</v>
      </c>
      <c r="D2653" s="1" t="s">
        <v>43</v>
      </c>
      <c r="E2653" s="1" t="s">
        <v>411</v>
      </c>
      <c r="F2653" s="1" t="s">
        <v>37</v>
      </c>
      <c r="G2653" s="1" t="s">
        <v>57</v>
      </c>
      <c r="H2653" s="1" t="s">
        <v>58</v>
      </c>
      <c r="I2653" s="1">
        <v>2991.09</v>
      </c>
      <c r="J2653" s="1">
        <v>6</v>
      </c>
      <c r="K2653" s="1">
        <v>17946.54</v>
      </c>
      <c r="L2653" s="1">
        <v>20</v>
      </c>
      <c r="M2653" s="1">
        <v>3589.31</v>
      </c>
      <c r="N2653" s="1">
        <v>14357.23</v>
      </c>
      <c r="O2653" s="1" t="s">
        <v>80</v>
      </c>
      <c r="P2653" s="1" t="s">
        <v>1358</v>
      </c>
      <c r="Q2653" s="1">
        <v>1</v>
      </c>
      <c r="R2653" s="1">
        <f>Retail_Sales_Analyis[[#This Row],[Final_Price]]-Retail_Sales_Analyis[[#This Row],[Total_Price]]</f>
        <v>-3589.3100000000013</v>
      </c>
      <c r="S26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54" spans="1:19" x14ac:dyDescent="0.25">
      <c r="A2654" s="1" t="s">
        <v>3733</v>
      </c>
      <c r="B2654" s="2">
        <v>45349</v>
      </c>
      <c r="C2654" s="1" t="s">
        <v>27</v>
      </c>
      <c r="D2654" s="1" t="s">
        <v>28</v>
      </c>
      <c r="E2654" s="1" t="s">
        <v>129</v>
      </c>
      <c r="F2654" s="1" t="s">
        <v>84</v>
      </c>
      <c r="G2654" s="1" t="s">
        <v>38</v>
      </c>
      <c r="H2654" s="1" t="s">
        <v>422</v>
      </c>
      <c r="I2654" s="1">
        <v>659.8</v>
      </c>
      <c r="J2654" s="1">
        <v>6</v>
      </c>
      <c r="K2654" s="1">
        <v>3958.8</v>
      </c>
      <c r="L2654" s="1">
        <v>15</v>
      </c>
      <c r="M2654" s="1">
        <v>593.82000000000005</v>
      </c>
      <c r="N2654" s="1">
        <v>3364.98</v>
      </c>
      <c r="O2654" s="1" t="s">
        <v>24</v>
      </c>
      <c r="P2654" s="1" t="s">
        <v>1570</v>
      </c>
      <c r="Q2654" s="1">
        <v>5</v>
      </c>
      <c r="R2654" s="1">
        <f>Retail_Sales_Analyis[[#This Row],[Final_Price]]-Retail_Sales_Analyis[[#This Row],[Total_Price]]</f>
        <v>-593.82000000000016</v>
      </c>
      <c r="S26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55" spans="1:19" x14ac:dyDescent="0.25">
      <c r="A2655" s="1" t="s">
        <v>3734</v>
      </c>
      <c r="B2655" s="2">
        <v>45461</v>
      </c>
      <c r="C2655" s="1" t="s">
        <v>173</v>
      </c>
      <c r="D2655" s="1" t="s">
        <v>28</v>
      </c>
      <c r="E2655" s="1" t="s">
        <v>199</v>
      </c>
      <c r="F2655" s="1" t="s">
        <v>21</v>
      </c>
      <c r="G2655" s="1" t="s">
        <v>22</v>
      </c>
      <c r="H2655" s="1" t="s">
        <v>51</v>
      </c>
      <c r="I2655" s="1">
        <v>332.15</v>
      </c>
      <c r="J2655" s="1">
        <v>1</v>
      </c>
      <c r="K2655" s="1">
        <v>332.15</v>
      </c>
      <c r="L2655" s="1">
        <v>0</v>
      </c>
      <c r="M2655" s="1">
        <v>0</v>
      </c>
      <c r="N2655" s="1">
        <v>332.15</v>
      </c>
      <c r="O2655" s="1" t="s">
        <v>33</v>
      </c>
      <c r="P2655" s="1" t="s">
        <v>1931</v>
      </c>
      <c r="Q2655" s="1">
        <v>2</v>
      </c>
      <c r="R2655" s="1">
        <f>Retail_Sales_Analyis[[#This Row],[Final_Price]]-Retail_Sales_Analyis[[#This Row],[Total_Price]]</f>
        <v>0</v>
      </c>
      <c r="S26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56" spans="1:19" x14ac:dyDescent="0.25">
      <c r="A2656" s="1" t="s">
        <v>3735</v>
      </c>
      <c r="B2656" s="2">
        <v>45375</v>
      </c>
      <c r="C2656" s="1" t="s">
        <v>61</v>
      </c>
      <c r="D2656" s="1" t="s">
        <v>49</v>
      </c>
      <c r="E2656" s="1" t="s">
        <v>107</v>
      </c>
      <c r="F2656" s="1" t="s">
        <v>84</v>
      </c>
      <c r="G2656" s="1" t="s">
        <v>57</v>
      </c>
      <c r="H2656" s="1" t="s">
        <v>122</v>
      </c>
      <c r="I2656" s="1">
        <v>327.9</v>
      </c>
      <c r="J2656" s="1">
        <v>8</v>
      </c>
      <c r="K2656" s="1">
        <v>2623.2</v>
      </c>
      <c r="L2656" s="1">
        <v>5</v>
      </c>
      <c r="M2656" s="1">
        <v>131.16</v>
      </c>
      <c r="N2656" s="1">
        <v>2492.04</v>
      </c>
      <c r="O2656" s="1" t="s">
        <v>64</v>
      </c>
      <c r="P2656" s="1" t="s">
        <v>1159</v>
      </c>
      <c r="Q2656" s="1">
        <v>4</v>
      </c>
      <c r="R2656" s="1">
        <f>Retail_Sales_Analyis[[#This Row],[Final_Price]]-Retail_Sales_Analyis[[#This Row],[Total_Price]]</f>
        <v>-131.15999999999985</v>
      </c>
      <c r="S26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57" spans="1:19" x14ac:dyDescent="0.25">
      <c r="A2657" s="1" t="s">
        <v>3736</v>
      </c>
      <c r="B2657" s="2">
        <v>45526</v>
      </c>
      <c r="C2657" s="1" t="s">
        <v>93</v>
      </c>
      <c r="D2657" s="1" t="s">
        <v>67</v>
      </c>
      <c r="E2657" s="1" t="s">
        <v>192</v>
      </c>
      <c r="F2657" s="1" t="s">
        <v>69</v>
      </c>
      <c r="G2657" s="1" t="s">
        <v>38</v>
      </c>
      <c r="H2657" s="1" t="s">
        <v>422</v>
      </c>
      <c r="I2657" s="1">
        <v>566.87</v>
      </c>
      <c r="J2657" s="1">
        <v>1</v>
      </c>
      <c r="K2657" s="1">
        <v>566.87</v>
      </c>
      <c r="L2657" s="1">
        <v>0</v>
      </c>
      <c r="M2657" s="1">
        <v>0</v>
      </c>
      <c r="N2657" s="1">
        <v>566.87</v>
      </c>
      <c r="O2657" s="1" t="s">
        <v>80</v>
      </c>
      <c r="P2657" s="1" t="s">
        <v>1488</v>
      </c>
      <c r="Q2657" s="1">
        <v>1</v>
      </c>
      <c r="R2657" s="1">
        <f>Retail_Sales_Analyis[[#This Row],[Final_Price]]-Retail_Sales_Analyis[[#This Row],[Total_Price]]</f>
        <v>0</v>
      </c>
      <c r="S26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58" spans="1:19" x14ac:dyDescent="0.25">
      <c r="A2658" s="1" t="s">
        <v>3737</v>
      </c>
      <c r="B2658" s="2">
        <v>45623</v>
      </c>
      <c r="C2658" s="1" t="s">
        <v>18</v>
      </c>
      <c r="D2658" s="1" t="s">
        <v>55</v>
      </c>
      <c r="E2658" s="1" t="s">
        <v>168</v>
      </c>
      <c r="F2658" s="1" t="s">
        <v>37</v>
      </c>
      <c r="G2658" s="1" t="s">
        <v>78</v>
      </c>
      <c r="H2658" s="1" t="s">
        <v>126</v>
      </c>
      <c r="I2658" s="1">
        <v>596.76</v>
      </c>
      <c r="J2658" s="1">
        <v>2</v>
      </c>
      <c r="K2658" s="1">
        <v>1193.52</v>
      </c>
      <c r="L2658" s="1">
        <v>0</v>
      </c>
      <c r="M2658" s="1">
        <v>0</v>
      </c>
      <c r="N2658" s="1">
        <v>1193.52</v>
      </c>
      <c r="O2658" s="1" t="s">
        <v>24</v>
      </c>
      <c r="P2658" s="1" t="s">
        <v>725</v>
      </c>
      <c r="Q2658" s="1">
        <v>2</v>
      </c>
      <c r="R2658" s="1">
        <f>Retail_Sales_Analyis[[#This Row],[Final_Price]]-Retail_Sales_Analyis[[#This Row],[Total_Price]]</f>
        <v>0</v>
      </c>
      <c r="S26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59" spans="1:19" x14ac:dyDescent="0.25">
      <c r="A2659" s="1" t="s">
        <v>3738</v>
      </c>
      <c r="B2659" s="2">
        <v>45423</v>
      </c>
      <c r="C2659" s="1" t="s">
        <v>42</v>
      </c>
      <c r="D2659" s="1" t="s">
        <v>19</v>
      </c>
      <c r="E2659" s="1" t="s">
        <v>62</v>
      </c>
      <c r="F2659" s="1" t="s">
        <v>21</v>
      </c>
      <c r="G2659" s="1" t="s">
        <v>78</v>
      </c>
      <c r="H2659" s="1" t="s">
        <v>79</v>
      </c>
      <c r="I2659" s="1">
        <v>446.07</v>
      </c>
      <c r="J2659" s="1">
        <v>9</v>
      </c>
      <c r="K2659" s="1">
        <v>4014.63</v>
      </c>
      <c r="L2659" s="1">
        <v>0</v>
      </c>
      <c r="M2659" s="1">
        <v>0</v>
      </c>
      <c r="N2659" s="1">
        <v>4014.63</v>
      </c>
      <c r="O2659" s="1" t="s">
        <v>46</v>
      </c>
      <c r="P2659" s="1" t="s">
        <v>815</v>
      </c>
      <c r="Q2659" s="1">
        <v>2</v>
      </c>
      <c r="R2659" s="1">
        <f>Retail_Sales_Analyis[[#This Row],[Final_Price]]-Retail_Sales_Analyis[[#This Row],[Total_Price]]</f>
        <v>0</v>
      </c>
      <c r="S26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60" spans="1:19" x14ac:dyDescent="0.25">
      <c r="A2660" s="1" t="s">
        <v>3739</v>
      </c>
      <c r="B2660" s="2">
        <v>45387</v>
      </c>
      <c r="C2660" s="1" t="s">
        <v>54</v>
      </c>
      <c r="D2660" s="1" t="s">
        <v>144</v>
      </c>
      <c r="E2660" s="1" t="s">
        <v>174</v>
      </c>
      <c r="F2660" s="1" t="s">
        <v>69</v>
      </c>
      <c r="G2660" s="1" t="s">
        <v>169</v>
      </c>
      <c r="H2660" s="1" t="s">
        <v>366</v>
      </c>
      <c r="I2660" s="1">
        <v>1390.63</v>
      </c>
      <c r="J2660" s="1">
        <v>10</v>
      </c>
      <c r="K2660" s="1">
        <v>13906.3</v>
      </c>
      <c r="L2660" s="1">
        <v>0</v>
      </c>
      <c r="M2660" s="1">
        <v>0</v>
      </c>
      <c r="N2660" s="1">
        <v>13906.3</v>
      </c>
      <c r="O2660" s="1" t="s">
        <v>64</v>
      </c>
      <c r="P2660" s="1" t="s">
        <v>2258</v>
      </c>
      <c r="Q2660" s="1">
        <v>2</v>
      </c>
      <c r="R2660" s="1">
        <f>Retail_Sales_Analyis[[#This Row],[Final_Price]]-Retail_Sales_Analyis[[#This Row],[Total_Price]]</f>
        <v>0</v>
      </c>
      <c r="S26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61" spans="1:19" x14ac:dyDescent="0.25">
      <c r="A2661" s="1" t="s">
        <v>3740</v>
      </c>
      <c r="B2661" s="2">
        <v>45299</v>
      </c>
      <c r="C2661" s="1" t="s">
        <v>36</v>
      </c>
      <c r="D2661" s="1" t="s">
        <v>43</v>
      </c>
      <c r="E2661" s="1" t="s">
        <v>104</v>
      </c>
      <c r="F2661" s="1" t="s">
        <v>30</v>
      </c>
      <c r="G2661" s="1" t="s">
        <v>78</v>
      </c>
      <c r="H2661" s="1" t="s">
        <v>146</v>
      </c>
      <c r="I2661" s="1">
        <v>185.4</v>
      </c>
      <c r="J2661" s="1">
        <v>2</v>
      </c>
      <c r="K2661" s="1">
        <v>370.8</v>
      </c>
      <c r="L2661" s="1">
        <v>0</v>
      </c>
      <c r="M2661" s="1">
        <v>0</v>
      </c>
      <c r="N2661" s="1">
        <v>370.8</v>
      </c>
      <c r="O2661" s="1" t="s">
        <v>64</v>
      </c>
      <c r="P2661" s="1" t="s">
        <v>1460</v>
      </c>
      <c r="Q2661" s="1">
        <v>2</v>
      </c>
      <c r="R2661" s="1">
        <f>Retail_Sales_Analyis[[#This Row],[Final_Price]]-Retail_Sales_Analyis[[#This Row],[Total_Price]]</f>
        <v>0</v>
      </c>
      <c r="S26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62" spans="1:19" x14ac:dyDescent="0.25">
      <c r="A2662" s="1" t="s">
        <v>3741</v>
      </c>
      <c r="B2662" s="2">
        <v>45464</v>
      </c>
      <c r="C2662" s="1" t="s">
        <v>173</v>
      </c>
      <c r="D2662" s="1" t="s">
        <v>144</v>
      </c>
      <c r="E2662" s="1" t="s">
        <v>56</v>
      </c>
      <c r="F2662" s="1" t="s">
        <v>30</v>
      </c>
      <c r="G2662" s="1" t="s">
        <v>112</v>
      </c>
      <c r="H2662" s="1" t="s">
        <v>118</v>
      </c>
      <c r="I2662" s="1">
        <v>1990.64</v>
      </c>
      <c r="J2662" s="1">
        <v>3</v>
      </c>
      <c r="K2662" s="1">
        <v>5971.92</v>
      </c>
      <c r="L2662" s="1">
        <v>5</v>
      </c>
      <c r="M2662" s="1">
        <v>298.60000000000002</v>
      </c>
      <c r="N2662" s="1">
        <v>5673.32</v>
      </c>
      <c r="O2662" s="1" t="s">
        <v>46</v>
      </c>
      <c r="P2662" s="1" t="s">
        <v>2942</v>
      </c>
      <c r="Q2662" s="1">
        <v>2</v>
      </c>
      <c r="R2662" s="1">
        <f>Retail_Sales_Analyis[[#This Row],[Final_Price]]-Retail_Sales_Analyis[[#This Row],[Total_Price]]</f>
        <v>-298.60000000000036</v>
      </c>
      <c r="S26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63" spans="1:19" x14ac:dyDescent="0.25">
      <c r="A2663" s="1" t="s">
        <v>3742</v>
      </c>
      <c r="B2663" s="2">
        <v>45443</v>
      </c>
      <c r="C2663" s="1" t="s">
        <v>42</v>
      </c>
      <c r="D2663" s="1" t="s">
        <v>144</v>
      </c>
      <c r="E2663" s="1" t="s">
        <v>307</v>
      </c>
      <c r="F2663" s="1" t="s">
        <v>69</v>
      </c>
      <c r="G2663" s="1" t="s">
        <v>22</v>
      </c>
      <c r="H2663" s="1" t="s">
        <v>51</v>
      </c>
      <c r="I2663" s="1">
        <v>924.89</v>
      </c>
      <c r="J2663" s="1">
        <v>6</v>
      </c>
      <c r="K2663" s="1">
        <v>5549.34</v>
      </c>
      <c r="L2663" s="1">
        <v>0</v>
      </c>
      <c r="M2663" s="1">
        <v>0</v>
      </c>
      <c r="N2663" s="1">
        <v>5549.34</v>
      </c>
      <c r="O2663" s="1" t="s">
        <v>24</v>
      </c>
      <c r="P2663" s="1" t="s">
        <v>2844</v>
      </c>
      <c r="Q2663" s="1">
        <v>5</v>
      </c>
      <c r="R2663" s="1">
        <f>Retail_Sales_Analyis[[#This Row],[Final_Price]]-Retail_Sales_Analyis[[#This Row],[Total_Price]]</f>
        <v>0</v>
      </c>
      <c r="S26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64" spans="1:19" x14ac:dyDescent="0.25">
      <c r="A2664" s="1" t="s">
        <v>3743</v>
      </c>
      <c r="B2664" s="2">
        <v>45582</v>
      </c>
      <c r="C2664" s="1" t="s">
        <v>76</v>
      </c>
      <c r="D2664" s="1" t="s">
        <v>67</v>
      </c>
      <c r="E2664" s="1" t="s">
        <v>239</v>
      </c>
      <c r="F2664" s="1" t="s">
        <v>30</v>
      </c>
      <c r="G2664" s="1" t="s">
        <v>57</v>
      </c>
      <c r="H2664" s="1" t="s">
        <v>122</v>
      </c>
      <c r="I2664" s="1">
        <v>2201.75</v>
      </c>
      <c r="J2664" s="1">
        <v>6</v>
      </c>
      <c r="K2664" s="1">
        <v>13210.5</v>
      </c>
      <c r="L2664" s="1">
        <v>0</v>
      </c>
      <c r="M2664" s="1">
        <v>0</v>
      </c>
      <c r="N2664" s="1">
        <v>13210.5</v>
      </c>
      <c r="O2664" s="1" t="s">
        <v>46</v>
      </c>
      <c r="P2664" s="1" t="s">
        <v>99</v>
      </c>
      <c r="Q2664" s="1">
        <v>3</v>
      </c>
      <c r="R2664" s="1">
        <f>Retail_Sales_Analyis[[#This Row],[Final_Price]]-Retail_Sales_Analyis[[#This Row],[Total_Price]]</f>
        <v>0</v>
      </c>
      <c r="S26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65" spans="1:19" x14ac:dyDescent="0.25">
      <c r="A2665" s="1" t="s">
        <v>3744</v>
      </c>
      <c r="B2665" s="2">
        <v>45637</v>
      </c>
      <c r="C2665" s="1" t="s">
        <v>73</v>
      </c>
      <c r="D2665" s="1" t="s">
        <v>55</v>
      </c>
      <c r="E2665" s="1" t="s">
        <v>542</v>
      </c>
      <c r="F2665" s="1" t="s">
        <v>37</v>
      </c>
      <c r="G2665" s="1" t="s">
        <v>22</v>
      </c>
      <c r="H2665" s="1" t="s">
        <v>133</v>
      </c>
      <c r="I2665" s="1">
        <v>838.55</v>
      </c>
      <c r="J2665" s="1">
        <v>2</v>
      </c>
      <c r="K2665" s="1">
        <v>1677.1</v>
      </c>
      <c r="L2665" s="1">
        <v>10</v>
      </c>
      <c r="M2665" s="1">
        <v>167.71</v>
      </c>
      <c r="N2665" s="1">
        <v>1509.39</v>
      </c>
      <c r="O2665" s="1" t="s">
        <v>64</v>
      </c>
      <c r="P2665" s="1" t="s">
        <v>1466</v>
      </c>
      <c r="Q2665" s="1">
        <v>3</v>
      </c>
      <c r="R2665" s="1">
        <f>Retail_Sales_Analyis[[#This Row],[Final_Price]]-Retail_Sales_Analyis[[#This Row],[Total_Price]]</f>
        <v>-167.70999999999981</v>
      </c>
      <c r="S26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66" spans="1:19" x14ac:dyDescent="0.25">
      <c r="A2666" s="1" t="s">
        <v>3745</v>
      </c>
      <c r="B2666" s="2">
        <v>45390</v>
      </c>
      <c r="C2666" s="1" t="s">
        <v>54</v>
      </c>
      <c r="D2666" s="1" t="s">
        <v>43</v>
      </c>
      <c r="E2666" s="1" t="s">
        <v>168</v>
      </c>
      <c r="F2666" s="1" t="s">
        <v>37</v>
      </c>
      <c r="G2666" s="1" t="s">
        <v>38</v>
      </c>
      <c r="H2666" s="1" t="s">
        <v>422</v>
      </c>
      <c r="I2666" s="1">
        <v>680.16</v>
      </c>
      <c r="J2666" s="1">
        <v>6</v>
      </c>
      <c r="K2666" s="1">
        <v>4080.96</v>
      </c>
      <c r="L2666" s="1">
        <v>20</v>
      </c>
      <c r="M2666" s="1">
        <v>816.19</v>
      </c>
      <c r="N2666" s="1">
        <v>3264.77</v>
      </c>
      <c r="O2666" s="1" t="s">
        <v>64</v>
      </c>
      <c r="P2666" s="1" t="s">
        <v>837</v>
      </c>
      <c r="Q2666" s="1">
        <v>4</v>
      </c>
      <c r="R2666" s="1">
        <f>Retail_Sales_Analyis[[#This Row],[Final_Price]]-Retail_Sales_Analyis[[#This Row],[Total_Price]]</f>
        <v>-816.19</v>
      </c>
      <c r="S26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67" spans="1:19" x14ac:dyDescent="0.25">
      <c r="A2667" s="1" t="s">
        <v>3746</v>
      </c>
      <c r="B2667" s="2">
        <v>45381</v>
      </c>
      <c r="C2667" s="1" t="s">
        <v>61</v>
      </c>
      <c r="D2667" s="1" t="s">
        <v>19</v>
      </c>
      <c r="E2667" s="1" t="s">
        <v>56</v>
      </c>
      <c r="F2667" s="1" t="s">
        <v>21</v>
      </c>
      <c r="G2667" s="1" t="s">
        <v>22</v>
      </c>
      <c r="H2667" s="1" t="s">
        <v>23</v>
      </c>
      <c r="I2667" s="1">
        <v>579.13</v>
      </c>
      <c r="J2667" s="1">
        <v>9</v>
      </c>
      <c r="K2667" s="1">
        <v>5212.17</v>
      </c>
      <c r="L2667" s="1">
        <v>20</v>
      </c>
      <c r="M2667" s="1">
        <v>1042.43</v>
      </c>
      <c r="N2667" s="1">
        <v>4169.74</v>
      </c>
      <c r="O2667" s="1" t="s">
        <v>24</v>
      </c>
      <c r="P2667" s="1" t="s">
        <v>671</v>
      </c>
      <c r="Q2667" s="1">
        <v>4</v>
      </c>
      <c r="R2667" s="1">
        <f>Retail_Sales_Analyis[[#This Row],[Final_Price]]-Retail_Sales_Analyis[[#This Row],[Total_Price]]</f>
        <v>-1042.4300000000003</v>
      </c>
      <c r="S26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68" spans="1:19" x14ac:dyDescent="0.25">
      <c r="A2668" s="1" t="s">
        <v>3747</v>
      </c>
      <c r="B2668" s="2">
        <v>45604</v>
      </c>
      <c r="C2668" s="1" t="s">
        <v>18</v>
      </c>
      <c r="D2668" s="1" t="s">
        <v>144</v>
      </c>
      <c r="E2668" s="1" t="s">
        <v>83</v>
      </c>
      <c r="F2668" s="1" t="s">
        <v>30</v>
      </c>
      <c r="G2668" s="1" t="s">
        <v>31</v>
      </c>
      <c r="H2668" s="1" t="s">
        <v>63</v>
      </c>
      <c r="I2668" s="1">
        <v>223.37</v>
      </c>
      <c r="J2668" s="1">
        <v>3</v>
      </c>
      <c r="K2668" s="1">
        <v>670.11</v>
      </c>
      <c r="L2668" s="1">
        <v>20</v>
      </c>
      <c r="M2668" s="1">
        <v>134.02000000000001</v>
      </c>
      <c r="N2668" s="1">
        <v>536.09</v>
      </c>
      <c r="O2668" s="1" t="s">
        <v>24</v>
      </c>
      <c r="P2668" s="1" t="s">
        <v>821</v>
      </c>
      <c r="Q2668" s="1">
        <v>3</v>
      </c>
      <c r="R2668" s="1">
        <f>Retail_Sales_Analyis[[#This Row],[Final_Price]]-Retail_Sales_Analyis[[#This Row],[Total_Price]]</f>
        <v>-134.01999999999998</v>
      </c>
      <c r="S266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69" spans="1:19" x14ac:dyDescent="0.25">
      <c r="A2669" s="1" t="s">
        <v>3748</v>
      </c>
      <c r="B2669" s="2">
        <v>45619</v>
      </c>
      <c r="C2669" s="1" t="s">
        <v>18</v>
      </c>
      <c r="D2669" s="1" t="s">
        <v>19</v>
      </c>
      <c r="E2669" s="1" t="s">
        <v>337</v>
      </c>
      <c r="F2669" s="1" t="s">
        <v>84</v>
      </c>
      <c r="G2669" s="1" t="s">
        <v>22</v>
      </c>
      <c r="H2669" s="1" t="s">
        <v>23</v>
      </c>
      <c r="I2669" s="1">
        <v>808.84</v>
      </c>
      <c r="J2669" s="1">
        <v>5</v>
      </c>
      <c r="K2669" s="1">
        <v>4044.2</v>
      </c>
      <c r="L2669" s="1">
        <v>0</v>
      </c>
      <c r="M2669" s="1">
        <v>0</v>
      </c>
      <c r="N2669" s="1">
        <v>4044.2</v>
      </c>
      <c r="O2669" s="1" t="s">
        <v>64</v>
      </c>
      <c r="P2669" s="1" t="s">
        <v>1132</v>
      </c>
      <c r="Q2669" s="1">
        <v>4</v>
      </c>
      <c r="R2669" s="1">
        <f>Retail_Sales_Analyis[[#This Row],[Final_Price]]-Retail_Sales_Analyis[[#This Row],[Total_Price]]</f>
        <v>0</v>
      </c>
      <c r="S26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70" spans="1:19" x14ac:dyDescent="0.25">
      <c r="A2670" s="1" t="s">
        <v>3749</v>
      </c>
      <c r="B2670" s="2">
        <v>45499</v>
      </c>
      <c r="C2670" s="1" t="s">
        <v>195</v>
      </c>
      <c r="D2670" s="1" t="s">
        <v>144</v>
      </c>
      <c r="E2670" s="1" t="s">
        <v>132</v>
      </c>
      <c r="F2670" s="1" t="s">
        <v>84</v>
      </c>
      <c r="G2670" s="1" t="s">
        <v>169</v>
      </c>
      <c r="H2670" s="1" t="s">
        <v>170</v>
      </c>
      <c r="I2670" s="1">
        <v>1470.85</v>
      </c>
      <c r="J2670" s="1">
        <v>8</v>
      </c>
      <c r="K2670" s="1">
        <v>11766.8</v>
      </c>
      <c r="L2670" s="1">
        <v>5</v>
      </c>
      <c r="M2670" s="1">
        <v>588.34</v>
      </c>
      <c r="N2670" s="1">
        <v>11178.46</v>
      </c>
      <c r="O2670" s="1" t="s">
        <v>64</v>
      </c>
      <c r="P2670" s="1" t="s">
        <v>2570</v>
      </c>
      <c r="Q2670" s="1">
        <v>1</v>
      </c>
      <c r="R2670" s="1">
        <f>Retail_Sales_Analyis[[#This Row],[Final_Price]]-Retail_Sales_Analyis[[#This Row],[Total_Price]]</f>
        <v>-588.34000000000015</v>
      </c>
      <c r="S267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71" spans="1:19" x14ac:dyDescent="0.25">
      <c r="A2671" s="1" t="s">
        <v>3750</v>
      </c>
      <c r="B2671" s="2">
        <v>45510</v>
      </c>
      <c r="C2671" s="1" t="s">
        <v>93</v>
      </c>
      <c r="D2671" s="1" t="s">
        <v>28</v>
      </c>
      <c r="E2671" s="1" t="s">
        <v>337</v>
      </c>
      <c r="F2671" s="1" t="s">
        <v>21</v>
      </c>
      <c r="G2671" s="1" t="s">
        <v>112</v>
      </c>
      <c r="H2671" s="1" t="s">
        <v>288</v>
      </c>
      <c r="I2671" s="1">
        <v>1356.53</v>
      </c>
      <c r="J2671" s="1">
        <v>2</v>
      </c>
      <c r="K2671" s="1">
        <v>2713.06</v>
      </c>
      <c r="L2671" s="1">
        <v>10</v>
      </c>
      <c r="M2671" s="1">
        <v>271.31</v>
      </c>
      <c r="N2671" s="1">
        <v>2441.75</v>
      </c>
      <c r="O2671" s="1" t="s">
        <v>33</v>
      </c>
      <c r="P2671" s="1" t="s">
        <v>837</v>
      </c>
      <c r="Q2671" s="1">
        <v>2</v>
      </c>
      <c r="R2671" s="1">
        <f>Retail_Sales_Analyis[[#This Row],[Final_Price]]-Retail_Sales_Analyis[[#This Row],[Total_Price]]</f>
        <v>-271.30999999999995</v>
      </c>
      <c r="S26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72" spans="1:19" x14ac:dyDescent="0.25">
      <c r="A2672" s="1" t="s">
        <v>3751</v>
      </c>
      <c r="B2672" s="2">
        <v>45555</v>
      </c>
      <c r="C2672" s="1" t="s">
        <v>116</v>
      </c>
      <c r="D2672" s="1" t="s">
        <v>144</v>
      </c>
      <c r="E2672" s="1" t="s">
        <v>342</v>
      </c>
      <c r="F2672" s="1" t="s">
        <v>30</v>
      </c>
      <c r="G2672" s="1" t="s">
        <v>78</v>
      </c>
      <c r="H2672" s="1" t="s">
        <v>79</v>
      </c>
      <c r="I2672" s="1">
        <v>346.12</v>
      </c>
      <c r="J2672" s="1">
        <v>8</v>
      </c>
      <c r="K2672" s="1">
        <v>2768.96</v>
      </c>
      <c r="L2672" s="1">
        <v>0</v>
      </c>
      <c r="M2672" s="1">
        <v>0</v>
      </c>
      <c r="N2672" s="1">
        <v>2768.96</v>
      </c>
      <c r="O2672" s="1" t="s">
        <v>46</v>
      </c>
      <c r="P2672" s="1" t="s">
        <v>391</v>
      </c>
      <c r="Q2672" s="1">
        <v>3</v>
      </c>
      <c r="R2672" s="1">
        <f>Retail_Sales_Analyis[[#This Row],[Final_Price]]-Retail_Sales_Analyis[[#This Row],[Total_Price]]</f>
        <v>0</v>
      </c>
      <c r="S26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73" spans="1:19" x14ac:dyDescent="0.25">
      <c r="A2673" s="1" t="s">
        <v>3752</v>
      </c>
      <c r="B2673" s="2">
        <v>45459</v>
      </c>
      <c r="C2673" s="1" t="s">
        <v>173</v>
      </c>
      <c r="D2673" s="1" t="s">
        <v>49</v>
      </c>
      <c r="E2673" s="1" t="s">
        <v>129</v>
      </c>
      <c r="F2673" s="1" t="s">
        <v>21</v>
      </c>
      <c r="G2673" s="1" t="s">
        <v>85</v>
      </c>
      <c r="H2673" s="1" t="s">
        <v>98</v>
      </c>
      <c r="I2673" s="1">
        <v>4657.5200000000004</v>
      </c>
      <c r="J2673" s="1">
        <v>7</v>
      </c>
      <c r="K2673" s="1">
        <v>32602.639999999999</v>
      </c>
      <c r="L2673" s="1">
        <v>5</v>
      </c>
      <c r="M2673" s="1">
        <v>1630.13</v>
      </c>
      <c r="N2673" s="1">
        <v>30972.51</v>
      </c>
      <c r="O2673" s="1" t="s">
        <v>64</v>
      </c>
      <c r="P2673" s="1" t="s">
        <v>3419</v>
      </c>
      <c r="Q2673" s="1">
        <v>1</v>
      </c>
      <c r="R2673" s="1">
        <f>Retail_Sales_Analyis[[#This Row],[Final_Price]]-Retail_Sales_Analyis[[#This Row],[Total_Price]]</f>
        <v>-1630.130000000001</v>
      </c>
      <c r="S26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674" spans="1:19" x14ac:dyDescent="0.25">
      <c r="A2674" s="1" t="s">
        <v>3753</v>
      </c>
      <c r="B2674" s="2">
        <v>45336</v>
      </c>
      <c r="C2674" s="1" t="s">
        <v>27</v>
      </c>
      <c r="D2674" s="1" t="s">
        <v>55</v>
      </c>
      <c r="E2674" s="1" t="s">
        <v>411</v>
      </c>
      <c r="F2674" s="1" t="s">
        <v>37</v>
      </c>
      <c r="G2674" s="1" t="s">
        <v>57</v>
      </c>
      <c r="H2674" s="1" t="s">
        <v>122</v>
      </c>
      <c r="I2674" s="1">
        <v>2775.32</v>
      </c>
      <c r="J2674" s="1">
        <v>9</v>
      </c>
      <c r="K2674" s="1">
        <v>24977.88</v>
      </c>
      <c r="L2674" s="1">
        <v>0</v>
      </c>
      <c r="M2674" s="1">
        <v>0</v>
      </c>
      <c r="N2674" s="1">
        <v>24977.88</v>
      </c>
      <c r="O2674" s="1" t="s">
        <v>46</v>
      </c>
      <c r="P2674" s="1" t="s">
        <v>397</v>
      </c>
      <c r="Q2674" s="1">
        <v>5</v>
      </c>
      <c r="R2674" s="1">
        <f>Retail_Sales_Analyis[[#This Row],[Final_Price]]-Retail_Sales_Analyis[[#This Row],[Total_Price]]</f>
        <v>0</v>
      </c>
      <c r="S26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75" spans="1:19" x14ac:dyDescent="0.25">
      <c r="A2675" s="1" t="s">
        <v>3754</v>
      </c>
      <c r="B2675" s="2">
        <v>45497</v>
      </c>
      <c r="C2675" s="1" t="s">
        <v>195</v>
      </c>
      <c r="D2675" s="1" t="s">
        <v>55</v>
      </c>
      <c r="E2675" s="1" t="s">
        <v>351</v>
      </c>
      <c r="F2675" s="1" t="s">
        <v>30</v>
      </c>
      <c r="G2675" s="1" t="s">
        <v>38</v>
      </c>
      <c r="H2675" s="1" t="s">
        <v>214</v>
      </c>
      <c r="I2675" s="1">
        <v>140.03</v>
      </c>
      <c r="J2675" s="1">
        <v>6</v>
      </c>
      <c r="K2675" s="1">
        <v>840.18</v>
      </c>
      <c r="L2675" s="1">
        <v>10</v>
      </c>
      <c r="M2675" s="1">
        <v>84.02</v>
      </c>
      <c r="N2675" s="1">
        <v>756.16</v>
      </c>
      <c r="O2675" s="1" t="s">
        <v>64</v>
      </c>
      <c r="P2675" s="1" t="s">
        <v>2718</v>
      </c>
      <c r="Q2675" s="1">
        <v>4</v>
      </c>
      <c r="R2675" s="1">
        <f>Retail_Sales_Analyis[[#This Row],[Final_Price]]-Retail_Sales_Analyis[[#This Row],[Total_Price]]</f>
        <v>-84.019999999999982</v>
      </c>
      <c r="S26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76" spans="1:19" x14ac:dyDescent="0.25">
      <c r="A2676" s="1" t="s">
        <v>3755</v>
      </c>
      <c r="B2676" s="2">
        <v>45634</v>
      </c>
      <c r="C2676" s="1" t="s">
        <v>73</v>
      </c>
      <c r="D2676" s="1" t="s">
        <v>49</v>
      </c>
      <c r="E2676" s="1" t="s">
        <v>68</v>
      </c>
      <c r="F2676" s="1" t="s">
        <v>69</v>
      </c>
      <c r="G2676" s="1" t="s">
        <v>85</v>
      </c>
      <c r="H2676" s="1" t="s">
        <v>90</v>
      </c>
      <c r="I2676" s="1">
        <v>1702.82</v>
      </c>
      <c r="J2676" s="1">
        <v>4</v>
      </c>
      <c r="K2676" s="1">
        <v>6811.28</v>
      </c>
      <c r="L2676" s="1">
        <v>0</v>
      </c>
      <c r="M2676" s="1">
        <v>0</v>
      </c>
      <c r="N2676" s="1">
        <v>6811.28</v>
      </c>
      <c r="O2676" s="1" t="s">
        <v>64</v>
      </c>
      <c r="P2676" s="1" t="s">
        <v>2613</v>
      </c>
      <c r="Q2676" s="1">
        <v>3</v>
      </c>
      <c r="R2676" s="1">
        <f>Retail_Sales_Analyis[[#This Row],[Final_Price]]-Retail_Sales_Analyis[[#This Row],[Total_Price]]</f>
        <v>0</v>
      </c>
      <c r="S26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77" spans="1:19" x14ac:dyDescent="0.25">
      <c r="A2677" s="1" t="s">
        <v>3756</v>
      </c>
      <c r="B2677" s="2">
        <v>45340</v>
      </c>
      <c r="C2677" s="1" t="s">
        <v>27</v>
      </c>
      <c r="D2677" s="1" t="s">
        <v>49</v>
      </c>
      <c r="E2677" s="1" t="s">
        <v>322</v>
      </c>
      <c r="F2677" s="1" t="s">
        <v>30</v>
      </c>
      <c r="G2677" s="1" t="s">
        <v>78</v>
      </c>
      <c r="H2677" s="1" t="s">
        <v>136</v>
      </c>
      <c r="I2677" s="1">
        <v>320.37</v>
      </c>
      <c r="J2677" s="1">
        <v>3</v>
      </c>
      <c r="K2677" s="1">
        <v>961.11</v>
      </c>
      <c r="L2677" s="1">
        <v>10</v>
      </c>
      <c r="M2677" s="1">
        <v>96.11</v>
      </c>
      <c r="N2677" s="1">
        <v>865</v>
      </c>
      <c r="O2677" s="1" t="s">
        <v>80</v>
      </c>
      <c r="P2677" s="1" t="s">
        <v>1957</v>
      </c>
      <c r="Q2677" s="1">
        <v>1</v>
      </c>
      <c r="R2677" s="1">
        <f>Retail_Sales_Analyis[[#This Row],[Final_Price]]-Retail_Sales_Analyis[[#This Row],[Total_Price]]</f>
        <v>-96.110000000000014</v>
      </c>
      <c r="S26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78" spans="1:19" x14ac:dyDescent="0.25">
      <c r="A2678" s="1" t="s">
        <v>3757</v>
      </c>
      <c r="B2678" s="2">
        <v>45386</v>
      </c>
      <c r="C2678" s="1" t="s">
        <v>54</v>
      </c>
      <c r="D2678" s="1" t="s">
        <v>67</v>
      </c>
      <c r="E2678" s="1" t="s">
        <v>20</v>
      </c>
      <c r="F2678" s="1" t="s">
        <v>30</v>
      </c>
      <c r="G2678" s="1" t="s">
        <v>112</v>
      </c>
      <c r="H2678" s="1" t="s">
        <v>118</v>
      </c>
      <c r="I2678" s="1">
        <v>1443.07</v>
      </c>
      <c r="J2678" s="1">
        <v>4</v>
      </c>
      <c r="K2678" s="1">
        <v>5772.28</v>
      </c>
      <c r="L2678" s="1">
        <v>0</v>
      </c>
      <c r="M2678" s="1">
        <v>0</v>
      </c>
      <c r="N2678" s="1">
        <v>5772.28</v>
      </c>
      <c r="O2678" s="1" t="s">
        <v>80</v>
      </c>
      <c r="P2678" s="1" t="s">
        <v>1491</v>
      </c>
      <c r="Q2678" s="1">
        <v>2</v>
      </c>
      <c r="R2678" s="1">
        <f>Retail_Sales_Analyis[[#This Row],[Final_Price]]-Retail_Sales_Analyis[[#This Row],[Total_Price]]</f>
        <v>0</v>
      </c>
      <c r="S26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79" spans="1:19" x14ac:dyDescent="0.25">
      <c r="A2679" s="1" t="s">
        <v>3758</v>
      </c>
      <c r="B2679" s="2">
        <v>45363</v>
      </c>
      <c r="C2679" s="1" t="s">
        <v>61</v>
      </c>
      <c r="D2679" s="1" t="s">
        <v>28</v>
      </c>
      <c r="E2679" s="1" t="s">
        <v>83</v>
      </c>
      <c r="F2679" s="1" t="s">
        <v>69</v>
      </c>
      <c r="G2679" s="1" t="s">
        <v>22</v>
      </c>
      <c r="H2679" s="1" t="s">
        <v>187</v>
      </c>
      <c r="I2679" s="1">
        <v>498.01</v>
      </c>
      <c r="J2679" s="1">
        <v>2</v>
      </c>
      <c r="K2679" s="1">
        <v>996.02</v>
      </c>
      <c r="L2679" s="1">
        <v>0</v>
      </c>
      <c r="M2679" s="1">
        <v>0</v>
      </c>
      <c r="N2679" s="1">
        <v>996.02</v>
      </c>
      <c r="O2679" s="1" t="s">
        <v>64</v>
      </c>
      <c r="P2679" s="1" t="s">
        <v>1257</v>
      </c>
      <c r="Q2679" s="1">
        <v>5</v>
      </c>
      <c r="R2679" s="1">
        <f>Retail_Sales_Analyis[[#This Row],[Final_Price]]-Retail_Sales_Analyis[[#This Row],[Total_Price]]</f>
        <v>0</v>
      </c>
      <c r="S26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0" spans="1:19" x14ac:dyDescent="0.25">
      <c r="A2680" s="1" t="s">
        <v>3759</v>
      </c>
      <c r="B2680" s="2">
        <v>45536</v>
      </c>
      <c r="C2680" s="1" t="s">
        <v>116</v>
      </c>
      <c r="D2680" s="1" t="s">
        <v>49</v>
      </c>
      <c r="E2680" s="1" t="s">
        <v>285</v>
      </c>
      <c r="F2680" s="1" t="s">
        <v>69</v>
      </c>
      <c r="G2680" s="1" t="s">
        <v>169</v>
      </c>
      <c r="H2680" s="1" t="s">
        <v>175</v>
      </c>
      <c r="I2680" s="1">
        <v>318.95999999999998</v>
      </c>
      <c r="J2680" s="1">
        <v>3</v>
      </c>
      <c r="K2680" s="1">
        <v>956.88</v>
      </c>
      <c r="L2680" s="1">
        <v>15</v>
      </c>
      <c r="M2680" s="1">
        <v>143.53</v>
      </c>
      <c r="N2680" s="1">
        <v>813.35</v>
      </c>
      <c r="O2680" s="1" t="s">
        <v>80</v>
      </c>
      <c r="P2680" s="1" t="s">
        <v>1675</v>
      </c>
      <c r="Q2680" s="1">
        <v>1</v>
      </c>
      <c r="R2680" s="1">
        <f>Retail_Sales_Analyis[[#This Row],[Final_Price]]-Retail_Sales_Analyis[[#This Row],[Total_Price]]</f>
        <v>-143.52999999999997</v>
      </c>
      <c r="S26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81" spans="1:19" x14ac:dyDescent="0.25">
      <c r="A2681" s="1" t="s">
        <v>3760</v>
      </c>
      <c r="B2681" s="2">
        <v>45457</v>
      </c>
      <c r="C2681" s="1" t="s">
        <v>173</v>
      </c>
      <c r="D2681" s="1" t="s">
        <v>144</v>
      </c>
      <c r="E2681" s="1" t="s">
        <v>145</v>
      </c>
      <c r="F2681" s="1" t="s">
        <v>21</v>
      </c>
      <c r="G2681" s="1" t="s">
        <v>85</v>
      </c>
      <c r="H2681" s="1" t="s">
        <v>86</v>
      </c>
      <c r="I2681" s="1">
        <v>4613</v>
      </c>
      <c r="J2681" s="1">
        <v>6</v>
      </c>
      <c r="K2681" s="1">
        <v>27678</v>
      </c>
      <c r="L2681" s="1">
        <v>20</v>
      </c>
      <c r="M2681" s="1">
        <v>5535.6</v>
      </c>
      <c r="N2681" s="1">
        <v>22142.400000000001</v>
      </c>
      <c r="O2681" s="1" t="s">
        <v>24</v>
      </c>
      <c r="P2681" s="1" t="s">
        <v>2195</v>
      </c>
      <c r="Q2681" s="1">
        <v>4</v>
      </c>
      <c r="R2681" s="1">
        <f>Retail_Sales_Analyis[[#This Row],[Final_Price]]-Retail_Sales_Analyis[[#This Row],[Total_Price]]</f>
        <v>-5535.5999999999985</v>
      </c>
      <c r="S26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82" spans="1:19" x14ac:dyDescent="0.25">
      <c r="A2682" s="1" t="s">
        <v>3761</v>
      </c>
      <c r="B2682" s="2">
        <v>45419</v>
      </c>
      <c r="C2682" s="1" t="s">
        <v>42</v>
      </c>
      <c r="D2682" s="1" t="s">
        <v>28</v>
      </c>
      <c r="E2682" s="1" t="s">
        <v>44</v>
      </c>
      <c r="F2682" s="1" t="s">
        <v>21</v>
      </c>
      <c r="G2682" s="1" t="s">
        <v>169</v>
      </c>
      <c r="H2682" s="1" t="s">
        <v>348</v>
      </c>
      <c r="I2682" s="1">
        <v>469.51</v>
      </c>
      <c r="J2682" s="1">
        <v>10</v>
      </c>
      <c r="K2682" s="1">
        <v>4695.1000000000004</v>
      </c>
      <c r="L2682" s="1">
        <v>0</v>
      </c>
      <c r="M2682" s="1">
        <v>0</v>
      </c>
      <c r="N2682" s="1">
        <v>4695.1000000000004</v>
      </c>
      <c r="O2682" s="1" t="s">
        <v>24</v>
      </c>
      <c r="P2682" s="1" t="s">
        <v>752</v>
      </c>
      <c r="Q2682" s="1">
        <v>5</v>
      </c>
      <c r="R2682" s="1">
        <f>Retail_Sales_Analyis[[#This Row],[Final_Price]]-Retail_Sales_Analyis[[#This Row],[Total_Price]]</f>
        <v>0</v>
      </c>
      <c r="S26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3" spans="1:19" x14ac:dyDescent="0.25">
      <c r="A2683" s="1" t="s">
        <v>3762</v>
      </c>
      <c r="B2683" s="2">
        <v>45295</v>
      </c>
      <c r="C2683" s="1" t="s">
        <v>36</v>
      </c>
      <c r="D2683" s="1" t="s">
        <v>67</v>
      </c>
      <c r="E2683" s="1" t="s">
        <v>192</v>
      </c>
      <c r="F2683" s="1" t="s">
        <v>30</v>
      </c>
      <c r="G2683" s="1" t="s">
        <v>85</v>
      </c>
      <c r="H2683" s="1" t="s">
        <v>98</v>
      </c>
      <c r="I2683" s="1">
        <v>1391.8</v>
      </c>
      <c r="J2683" s="1">
        <v>9</v>
      </c>
      <c r="K2683" s="1">
        <v>12526.2</v>
      </c>
      <c r="L2683" s="1">
        <v>0</v>
      </c>
      <c r="M2683" s="1">
        <v>0</v>
      </c>
      <c r="N2683" s="1">
        <v>12526.2</v>
      </c>
      <c r="O2683" s="1" t="s">
        <v>33</v>
      </c>
      <c r="P2683" s="1" t="s">
        <v>3439</v>
      </c>
      <c r="Q2683" s="1">
        <v>5</v>
      </c>
      <c r="R2683" s="1">
        <f>Retail_Sales_Analyis[[#This Row],[Final_Price]]-Retail_Sales_Analyis[[#This Row],[Total_Price]]</f>
        <v>0</v>
      </c>
      <c r="S26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4" spans="1:19" x14ac:dyDescent="0.25">
      <c r="A2684" s="1" t="s">
        <v>3763</v>
      </c>
      <c r="B2684" s="2">
        <v>45425</v>
      </c>
      <c r="C2684" s="1" t="s">
        <v>42</v>
      </c>
      <c r="D2684" s="1" t="s">
        <v>43</v>
      </c>
      <c r="E2684" s="1" t="s">
        <v>68</v>
      </c>
      <c r="F2684" s="1" t="s">
        <v>84</v>
      </c>
      <c r="G2684" s="1" t="s">
        <v>57</v>
      </c>
      <c r="H2684" s="1" t="s">
        <v>58</v>
      </c>
      <c r="I2684" s="1">
        <v>1418.42</v>
      </c>
      <c r="J2684" s="1">
        <v>8</v>
      </c>
      <c r="K2684" s="1">
        <v>11347.36</v>
      </c>
      <c r="L2684" s="1">
        <v>0</v>
      </c>
      <c r="M2684" s="1">
        <v>0</v>
      </c>
      <c r="N2684" s="1">
        <v>11347.36</v>
      </c>
      <c r="O2684" s="1" t="s">
        <v>24</v>
      </c>
      <c r="P2684" s="1" t="s">
        <v>1251</v>
      </c>
      <c r="Q2684" s="1">
        <v>3</v>
      </c>
      <c r="R2684" s="1">
        <f>Retail_Sales_Analyis[[#This Row],[Final_Price]]-Retail_Sales_Analyis[[#This Row],[Total_Price]]</f>
        <v>0</v>
      </c>
      <c r="S26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5" spans="1:19" x14ac:dyDescent="0.25">
      <c r="A2685" s="1" t="s">
        <v>3764</v>
      </c>
      <c r="B2685" s="2">
        <v>45488</v>
      </c>
      <c r="C2685" s="1" t="s">
        <v>195</v>
      </c>
      <c r="D2685" s="1" t="s">
        <v>43</v>
      </c>
      <c r="E2685" s="1" t="s">
        <v>204</v>
      </c>
      <c r="F2685" s="1" t="s">
        <v>37</v>
      </c>
      <c r="G2685" s="1" t="s">
        <v>31</v>
      </c>
      <c r="H2685" s="1" t="s">
        <v>32</v>
      </c>
      <c r="I2685" s="1">
        <v>50.44</v>
      </c>
      <c r="J2685" s="1">
        <v>5</v>
      </c>
      <c r="K2685" s="1">
        <v>252.2</v>
      </c>
      <c r="L2685" s="1">
        <v>0</v>
      </c>
      <c r="M2685" s="1">
        <v>0</v>
      </c>
      <c r="N2685" s="1">
        <v>252.2</v>
      </c>
      <c r="O2685" s="1" t="s">
        <v>80</v>
      </c>
      <c r="P2685" s="1" t="s">
        <v>1840</v>
      </c>
      <c r="Q2685" s="1">
        <v>5</v>
      </c>
      <c r="R2685" s="1">
        <f>Retail_Sales_Analyis[[#This Row],[Final_Price]]-Retail_Sales_Analyis[[#This Row],[Total_Price]]</f>
        <v>0</v>
      </c>
      <c r="S26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6" spans="1:19" x14ac:dyDescent="0.25">
      <c r="A2686" s="1" t="s">
        <v>3765</v>
      </c>
      <c r="B2686" s="2">
        <v>45412</v>
      </c>
      <c r="C2686" s="1" t="s">
        <v>54</v>
      </c>
      <c r="D2686" s="1" t="s">
        <v>28</v>
      </c>
      <c r="E2686" s="1" t="s">
        <v>157</v>
      </c>
      <c r="F2686" s="1" t="s">
        <v>21</v>
      </c>
      <c r="G2686" s="1" t="s">
        <v>57</v>
      </c>
      <c r="H2686" s="1" t="s">
        <v>152</v>
      </c>
      <c r="I2686" s="1">
        <v>912.03</v>
      </c>
      <c r="J2686" s="1">
        <v>6</v>
      </c>
      <c r="K2686" s="1">
        <v>5472.18</v>
      </c>
      <c r="L2686" s="1">
        <v>0</v>
      </c>
      <c r="M2686" s="1">
        <v>0</v>
      </c>
      <c r="N2686" s="1">
        <v>5472.18</v>
      </c>
      <c r="O2686" s="1" t="s">
        <v>24</v>
      </c>
      <c r="P2686" s="1" t="s">
        <v>1030</v>
      </c>
      <c r="Q2686" s="1">
        <v>2</v>
      </c>
      <c r="R2686" s="1">
        <f>Retail_Sales_Analyis[[#This Row],[Final_Price]]-Retail_Sales_Analyis[[#This Row],[Total_Price]]</f>
        <v>0</v>
      </c>
      <c r="S26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87" spans="1:19" x14ac:dyDescent="0.25">
      <c r="A2687" s="1" t="s">
        <v>3766</v>
      </c>
      <c r="B2687" s="2">
        <v>45520</v>
      </c>
      <c r="C2687" s="1" t="s">
        <v>93</v>
      </c>
      <c r="D2687" s="1" t="s">
        <v>144</v>
      </c>
      <c r="E2687" s="1" t="s">
        <v>145</v>
      </c>
      <c r="F2687" s="1" t="s">
        <v>30</v>
      </c>
      <c r="G2687" s="1" t="s">
        <v>22</v>
      </c>
      <c r="H2687" s="1" t="s">
        <v>187</v>
      </c>
      <c r="I2687" s="1">
        <v>395.23</v>
      </c>
      <c r="J2687" s="1">
        <v>8</v>
      </c>
      <c r="K2687" s="1">
        <v>3161.84</v>
      </c>
      <c r="L2687" s="1">
        <v>10</v>
      </c>
      <c r="M2687" s="1">
        <v>316.18</v>
      </c>
      <c r="N2687" s="1">
        <v>2845.66</v>
      </c>
      <c r="O2687" s="1" t="s">
        <v>80</v>
      </c>
      <c r="P2687" s="1" t="s">
        <v>2104</v>
      </c>
      <c r="Q2687" s="1">
        <v>1</v>
      </c>
      <c r="R2687" s="1">
        <f>Retail_Sales_Analyis[[#This Row],[Final_Price]]-Retail_Sales_Analyis[[#This Row],[Total_Price]]</f>
        <v>-316.18000000000029</v>
      </c>
      <c r="S26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88" spans="1:19" x14ac:dyDescent="0.25">
      <c r="A2688" s="1" t="s">
        <v>3767</v>
      </c>
      <c r="B2688" s="2">
        <v>45428</v>
      </c>
      <c r="C2688" s="1" t="s">
        <v>42</v>
      </c>
      <c r="D2688" s="1" t="s">
        <v>67</v>
      </c>
      <c r="E2688" s="1" t="s">
        <v>174</v>
      </c>
      <c r="F2688" s="1" t="s">
        <v>69</v>
      </c>
      <c r="G2688" s="1" t="s">
        <v>78</v>
      </c>
      <c r="H2688" s="1" t="s">
        <v>79</v>
      </c>
      <c r="I2688" s="1">
        <v>226.55</v>
      </c>
      <c r="J2688" s="1">
        <v>6</v>
      </c>
      <c r="K2688" s="1">
        <v>1359.3</v>
      </c>
      <c r="L2688" s="1">
        <v>10</v>
      </c>
      <c r="M2688" s="1">
        <v>135.93</v>
      </c>
      <c r="N2688" s="1">
        <v>1223.3699999999999</v>
      </c>
      <c r="O2688" s="1" t="s">
        <v>33</v>
      </c>
      <c r="P2688" s="1" t="s">
        <v>3768</v>
      </c>
      <c r="Q2688" s="1">
        <v>4</v>
      </c>
      <c r="R2688" s="1">
        <f>Retail_Sales_Analyis[[#This Row],[Final_Price]]-Retail_Sales_Analyis[[#This Row],[Total_Price]]</f>
        <v>-135.93000000000006</v>
      </c>
      <c r="S26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89" spans="1:19" x14ac:dyDescent="0.25">
      <c r="A2689" s="1" t="s">
        <v>3769</v>
      </c>
      <c r="B2689" s="2">
        <v>45460</v>
      </c>
      <c r="C2689" s="1" t="s">
        <v>173</v>
      </c>
      <c r="D2689" s="1" t="s">
        <v>43</v>
      </c>
      <c r="E2689" s="1" t="s">
        <v>261</v>
      </c>
      <c r="F2689" s="1" t="s">
        <v>69</v>
      </c>
      <c r="G2689" s="1" t="s">
        <v>57</v>
      </c>
      <c r="H2689" s="1" t="s">
        <v>152</v>
      </c>
      <c r="I2689" s="1">
        <v>962.16</v>
      </c>
      <c r="J2689" s="1">
        <v>10</v>
      </c>
      <c r="K2689" s="1">
        <v>9621.6</v>
      </c>
      <c r="L2689" s="1">
        <v>20</v>
      </c>
      <c r="M2689" s="1">
        <v>1924.32</v>
      </c>
      <c r="N2689" s="1">
        <v>7697.28</v>
      </c>
      <c r="O2689" s="1" t="s">
        <v>64</v>
      </c>
      <c r="P2689" s="1" t="s">
        <v>3770</v>
      </c>
      <c r="Q2689" s="1">
        <v>3</v>
      </c>
      <c r="R2689" s="1">
        <f>Retail_Sales_Analyis[[#This Row],[Final_Price]]-Retail_Sales_Analyis[[#This Row],[Total_Price]]</f>
        <v>-1924.3200000000006</v>
      </c>
      <c r="S26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90" spans="1:19" x14ac:dyDescent="0.25">
      <c r="A2690" s="1" t="s">
        <v>3771</v>
      </c>
      <c r="B2690" s="2">
        <v>45446</v>
      </c>
      <c r="C2690" s="1" t="s">
        <v>173</v>
      </c>
      <c r="D2690" s="1" t="s">
        <v>43</v>
      </c>
      <c r="E2690" s="1" t="s">
        <v>302</v>
      </c>
      <c r="F2690" s="1" t="s">
        <v>84</v>
      </c>
      <c r="G2690" s="1" t="s">
        <v>78</v>
      </c>
      <c r="H2690" s="1" t="s">
        <v>323</v>
      </c>
      <c r="I2690" s="1">
        <v>431.45</v>
      </c>
      <c r="J2690" s="1">
        <v>9</v>
      </c>
      <c r="K2690" s="1">
        <v>3883.05</v>
      </c>
      <c r="L2690" s="1">
        <v>15</v>
      </c>
      <c r="M2690" s="1">
        <v>582.46</v>
      </c>
      <c r="N2690" s="1">
        <v>3300.59</v>
      </c>
      <c r="O2690" s="1" t="s">
        <v>64</v>
      </c>
      <c r="P2690" s="1" t="s">
        <v>25</v>
      </c>
      <c r="Q2690" s="1">
        <v>2</v>
      </c>
      <c r="R2690" s="1">
        <f>Retail_Sales_Analyis[[#This Row],[Final_Price]]-Retail_Sales_Analyis[[#This Row],[Total_Price]]</f>
        <v>-582.46</v>
      </c>
      <c r="S26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91" spans="1:19" x14ac:dyDescent="0.25">
      <c r="A2691" s="1" t="s">
        <v>3772</v>
      </c>
      <c r="B2691" s="2">
        <v>45590</v>
      </c>
      <c r="C2691" s="1" t="s">
        <v>76</v>
      </c>
      <c r="D2691" s="1" t="s">
        <v>144</v>
      </c>
      <c r="E2691" s="1" t="s">
        <v>312</v>
      </c>
      <c r="F2691" s="1" t="s">
        <v>21</v>
      </c>
      <c r="G2691" s="1" t="s">
        <v>169</v>
      </c>
      <c r="H2691" s="1" t="s">
        <v>208</v>
      </c>
      <c r="I2691" s="1">
        <v>390.62</v>
      </c>
      <c r="J2691" s="1">
        <v>4</v>
      </c>
      <c r="K2691" s="1">
        <v>1562.48</v>
      </c>
      <c r="L2691" s="1">
        <v>20</v>
      </c>
      <c r="M2691" s="1">
        <v>312.5</v>
      </c>
      <c r="N2691" s="1">
        <v>1249.98</v>
      </c>
      <c r="O2691" s="1" t="s">
        <v>80</v>
      </c>
      <c r="P2691" s="1" t="s">
        <v>1728</v>
      </c>
      <c r="Q2691" s="1">
        <v>2</v>
      </c>
      <c r="R2691" s="1">
        <f>Retail_Sales_Analyis[[#This Row],[Final_Price]]-Retail_Sales_Analyis[[#This Row],[Total_Price]]</f>
        <v>-312.5</v>
      </c>
      <c r="S26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92" spans="1:19" x14ac:dyDescent="0.25">
      <c r="A2692" s="1" t="s">
        <v>3773</v>
      </c>
      <c r="B2692" s="2">
        <v>45585</v>
      </c>
      <c r="C2692" s="1" t="s">
        <v>76</v>
      </c>
      <c r="D2692" s="1" t="s">
        <v>49</v>
      </c>
      <c r="E2692" s="1" t="s">
        <v>542</v>
      </c>
      <c r="F2692" s="1" t="s">
        <v>84</v>
      </c>
      <c r="G2692" s="1" t="s">
        <v>112</v>
      </c>
      <c r="H2692" s="1" t="s">
        <v>118</v>
      </c>
      <c r="I2692" s="1">
        <v>650.19000000000005</v>
      </c>
      <c r="J2692" s="1">
        <v>4</v>
      </c>
      <c r="K2692" s="1">
        <v>2600.7600000000002</v>
      </c>
      <c r="L2692" s="1">
        <v>0</v>
      </c>
      <c r="M2692" s="1">
        <v>0</v>
      </c>
      <c r="N2692" s="1">
        <v>2600.7600000000002</v>
      </c>
      <c r="O2692" s="1" t="s">
        <v>33</v>
      </c>
      <c r="P2692" s="1" t="s">
        <v>2076</v>
      </c>
      <c r="Q2692" s="1">
        <v>1</v>
      </c>
      <c r="R2692" s="1">
        <f>Retail_Sales_Analyis[[#This Row],[Final_Price]]-Retail_Sales_Analyis[[#This Row],[Total_Price]]</f>
        <v>0</v>
      </c>
      <c r="S26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93" spans="1:19" x14ac:dyDescent="0.25">
      <c r="A2693" s="1" t="s">
        <v>3774</v>
      </c>
      <c r="B2693" s="2">
        <v>45297</v>
      </c>
      <c r="C2693" s="1" t="s">
        <v>36</v>
      </c>
      <c r="D2693" s="1" t="s">
        <v>19</v>
      </c>
      <c r="E2693" s="1" t="s">
        <v>307</v>
      </c>
      <c r="F2693" s="1" t="s">
        <v>21</v>
      </c>
      <c r="G2693" s="1" t="s">
        <v>85</v>
      </c>
      <c r="H2693" s="1" t="s">
        <v>98</v>
      </c>
      <c r="I2693" s="1">
        <v>1011.69</v>
      </c>
      <c r="J2693" s="1">
        <v>4</v>
      </c>
      <c r="K2693" s="1">
        <v>4046.76</v>
      </c>
      <c r="L2693" s="1">
        <v>10</v>
      </c>
      <c r="M2693" s="1">
        <v>404.68</v>
      </c>
      <c r="N2693" s="1">
        <v>3642.08</v>
      </c>
      <c r="O2693" s="1" t="s">
        <v>80</v>
      </c>
      <c r="P2693" s="1" t="s">
        <v>2863</v>
      </c>
      <c r="Q2693" s="1">
        <v>2</v>
      </c>
      <c r="R2693" s="1">
        <f>Retail_Sales_Analyis[[#This Row],[Final_Price]]-Retail_Sales_Analyis[[#This Row],[Total_Price]]</f>
        <v>-404.68000000000029</v>
      </c>
      <c r="S26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94" spans="1:19" x14ac:dyDescent="0.25">
      <c r="A2694" s="1" t="s">
        <v>3775</v>
      </c>
      <c r="B2694" s="2">
        <v>45425</v>
      </c>
      <c r="C2694" s="1" t="s">
        <v>42</v>
      </c>
      <c r="D2694" s="1" t="s">
        <v>43</v>
      </c>
      <c r="E2694" s="1" t="s">
        <v>322</v>
      </c>
      <c r="F2694" s="1" t="s">
        <v>69</v>
      </c>
      <c r="G2694" s="1" t="s">
        <v>112</v>
      </c>
      <c r="H2694" s="1" t="s">
        <v>183</v>
      </c>
      <c r="I2694" s="1">
        <v>1610.35</v>
      </c>
      <c r="J2694" s="1">
        <v>2</v>
      </c>
      <c r="K2694" s="1">
        <v>3220.7</v>
      </c>
      <c r="L2694" s="1">
        <v>20</v>
      </c>
      <c r="M2694" s="1">
        <v>644.14</v>
      </c>
      <c r="N2694" s="1">
        <v>2576.56</v>
      </c>
      <c r="O2694" s="1" t="s">
        <v>33</v>
      </c>
      <c r="P2694" s="1" t="s">
        <v>431</v>
      </c>
      <c r="Q2694" s="1">
        <v>5</v>
      </c>
      <c r="R2694" s="1">
        <f>Retail_Sales_Analyis[[#This Row],[Final_Price]]-Retail_Sales_Analyis[[#This Row],[Total_Price]]</f>
        <v>-644.13999999999987</v>
      </c>
      <c r="S26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695" spans="1:19" x14ac:dyDescent="0.25">
      <c r="A2695" s="1" t="s">
        <v>3776</v>
      </c>
      <c r="B2695" s="2">
        <v>45626</v>
      </c>
      <c r="C2695" s="1" t="s">
        <v>18</v>
      </c>
      <c r="D2695" s="1" t="s">
        <v>19</v>
      </c>
      <c r="E2695" s="1" t="s">
        <v>29</v>
      </c>
      <c r="F2695" s="1" t="s">
        <v>69</v>
      </c>
      <c r="G2695" s="1" t="s">
        <v>22</v>
      </c>
      <c r="H2695" s="1" t="s">
        <v>133</v>
      </c>
      <c r="I2695" s="1">
        <v>390.05</v>
      </c>
      <c r="J2695" s="1">
        <v>10</v>
      </c>
      <c r="K2695" s="1">
        <v>3900.5</v>
      </c>
      <c r="L2695" s="1">
        <v>15</v>
      </c>
      <c r="M2695" s="1">
        <v>585.07000000000005</v>
      </c>
      <c r="N2695" s="1">
        <v>3315.43</v>
      </c>
      <c r="O2695" s="1" t="s">
        <v>24</v>
      </c>
      <c r="P2695" s="1" t="s">
        <v>1579</v>
      </c>
      <c r="Q2695" s="1">
        <v>4</v>
      </c>
      <c r="R2695" s="1">
        <f>Retail_Sales_Analyis[[#This Row],[Final_Price]]-Retail_Sales_Analyis[[#This Row],[Total_Price]]</f>
        <v>-585.07000000000016</v>
      </c>
      <c r="S26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96" spans="1:19" x14ac:dyDescent="0.25">
      <c r="A2696" s="1" t="s">
        <v>3777</v>
      </c>
      <c r="B2696" s="2">
        <v>45476</v>
      </c>
      <c r="C2696" s="1" t="s">
        <v>195</v>
      </c>
      <c r="D2696" s="1" t="s">
        <v>55</v>
      </c>
      <c r="E2696" s="1" t="s">
        <v>302</v>
      </c>
      <c r="F2696" s="1" t="s">
        <v>69</v>
      </c>
      <c r="G2696" s="1" t="s">
        <v>112</v>
      </c>
      <c r="H2696" s="1" t="s">
        <v>288</v>
      </c>
      <c r="I2696" s="1">
        <v>1623.63</v>
      </c>
      <c r="J2696" s="1">
        <v>10</v>
      </c>
      <c r="K2696" s="1">
        <v>16236.3</v>
      </c>
      <c r="L2696" s="1">
        <v>15</v>
      </c>
      <c r="M2696" s="1">
        <v>2435.44</v>
      </c>
      <c r="N2696" s="1">
        <v>13800.86</v>
      </c>
      <c r="O2696" s="1" t="s">
        <v>46</v>
      </c>
      <c r="P2696" s="1" t="s">
        <v>310</v>
      </c>
      <c r="Q2696" s="1">
        <v>4</v>
      </c>
      <c r="R2696" s="1">
        <f>Retail_Sales_Analyis[[#This Row],[Final_Price]]-Retail_Sales_Analyis[[#This Row],[Total_Price]]</f>
        <v>-2435.4399999999987</v>
      </c>
      <c r="S26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697" spans="1:19" x14ac:dyDescent="0.25">
      <c r="A2697" s="1" t="s">
        <v>3778</v>
      </c>
      <c r="B2697" s="2">
        <v>45646</v>
      </c>
      <c r="C2697" s="1" t="s">
        <v>73</v>
      </c>
      <c r="D2697" s="1" t="s">
        <v>144</v>
      </c>
      <c r="E2697" s="1" t="s">
        <v>77</v>
      </c>
      <c r="F2697" s="1" t="s">
        <v>37</v>
      </c>
      <c r="G2697" s="1" t="s">
        <v>112</v>
      </c>
      <c r="H2697" s="1" t="s">
        <v>223</v>
      </c>
      <c r="I2697" s="1">
        <v>534.70000000000005</v>
      </c>
      <c r="J2697" s="1">
        <v>3</v>
      </c>
      <c r="K2697" s="1">
        <v>1604.1</v>
      </c>
      <c r="L2697" s="1">
        <v>0</v>
      </c>
      <c r="M2697" s="1">
        <v>0</v>
      </c>
      <c r="N2697" s="1">
        <v>1604.1</v>
      </c>
      <c r="O2697" s="1" t="s">
        <v>46</v>
      </c>
      <c r="P2697" s="1" t="s">
        <v>892</v>
      </c>
      <c r="Q2697" s="1">
        <v>1</v>
      </c>
      <c r="R2697" s="1">
        <f>Retail_Sales_Analyis[[#This Row],[Final_Price]]-Retail_Sales_Analyis[[#This Row],[Total_Price]]</f>
        <v>0</v>
      </c>
      <c r="S26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98" spans="1:19" x14ac:dyDescent="0.25">
      <c r="A2698" s="1" t="s">
        <v>3779</v>
      </c>
      <c r="B2698" s="2">
        <v>45412</v>
      </c>
      <c r="C2698" s="1" t="s">
        <v>54</v>
      </c>
      <c r="D2698" s="1" t="s">
        <v>28</v>
      </c>
      <c r="E2698" s="1" t="s">
        <v>307</v>
      </c>
      <c r="F2698" s="1" t="s">
        <v>37</v>
      </c>
      <c r="G2698" s="1" t="s">
        <v>31</v>
      </c>
      <c r="H2698" s="1" t="s">
        <v>329</v>
      </c>
      <c r="I2698" s="1">
        <v>255.54</v>
      </c>
      <c r="J2698" s="1">
        <v>7</v>
      </c>
      <c r="K2698" s="1">
        <v>1788.78</v>
      </c>
      <c r="L2698" s="1">
        <v>0</v>
      </c>
      <c r="M2698" s="1">
        <v>0</v>
      </c>
      <c r="N2698" s="1">
        <v>1788.78</v>
      </c>
      <c r="O2698" s="1" t="s">
        <v>46</v>
      </c>
      <c r="P2698" s="1" t="s">
        <v>2226</v>
      </c>
      <c r="Q2698" s="1">
        <v>5</v>
      </c>
      <c r="R2698" s="1">
        <f>Retail_Sales_Analyis[[#This Row],[Final_Price]]-Retail_Sales_Analyis[[#This Row],[Total_Price]]</f>
        <v>0</v>
      </c>
      <c r="S26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699" spans="1:19" x14ac:dyDescent="0.25">
      <c r="A2699" s="1" t="s">
        <v>3780</v>
      </c>
      <c r="B2699" s="2">
        <v>45323</v>
      </c>
      <c r="C2699" s="1" t="s">
        <v>27</v>
      </c>
      <c r="D2699" s="1" t="s">
        <v>67</v>
      </c>
      <c r="E2699" s="1" t="s">
        <v>239</v>
      </c>
      <c r="F2699" s="1" t="s">
        <v>37</v>
      </c>
      <c r="G2699" s="1" t="s">
        <v>78</v>
      </c>
      <c r="H2699" s="1" t="s">
        <v>79</v>
      </c>
      <c r="I2699" s="1">
        <v>231.14</v>
      </c>
      <c r="J2699" s="1">
        <v>8</v>
      </c>
      <c r="K2699" s="1">
        <v>1849.12</v>
      </c>
      <c r="L2699" s="1">
        <v>0</v>
      </c>
      <c r="M2699" s="1">
        <v>0</v>
      </c>
      <c r="N2699" s="1">
        <v>1849.12</v>
      </c>
      <c r="O2699" s="1" t="s">
        <v>80</v>
      </c>
      <c r="P2699" s="1" t="s">
        <v>228</v>
      </c>
      <c r="Q2699" s="1">
        <v>3</v>
      </c>
      <c r="R2699" s="1">
        <f>Retail_Sales_Analyis[[#This Row],[Final_Price]]-Retail_Sales_Analyis[[#This Row],[Total_Price]]</f>
        <v>0</v>
      </c>
      <c r="S26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0" spans="1:19" x14ac:dyDescent="0.25">
      <c r="A2700" s="1" t="s">
        <v>3781</v>
      </c>
      <c r="B2700" s="2">
        <v>45633</v>
      </c>
      <c r="C2700" s="1" t="s">
        <v>73</v>
      </c>
      <c r="D2700" s="1" t="s">
        <v>19</v>
      </c>
      <c r="E2700" s="1" t="s">
        <v>261</v>
      </c>
      <c r="F2700" s="1" t="s">
        <v>84</v>
      </c>
      <c r="G2700" s="1" t="s">
        <v>169</v>
      </c>
      <c r="H2700" s="1" t="s">
        <v>170</v>
      </c>
      <c r="I2700" s="1">
        <v>617.79999999999995</v>
      </c>
      <c r="J2700" s="1">
        <v>5</v>
      </c>
      <c r="K2700" s="1">
        <v>3089</v>
      </c>
      <c r="L2700" s="1">
        <v>0</v>
      </c>
      <c r="M2700" s="1">
        <v>0</v>
      </c>
      <c r="N2700" s="1">
        <v>3089</v>
      </c>
      <c r="O2700" s="1" t="s">
        <v>46</v>
      </c>
      <c r="P2700" s="1" t="s">
        <v>2301</v>
      </c>
      <c r="Q2700" s="1">
        <v>3</v>
      </c>
      <c r="R2700" s="1">
        <f>Retail_Sales_Analyis[[#This Row],[Final_Price]]-Retail_Sales_Analyis[[#This Row],[Total_Price]]</f>
        <v>0</v>
      </c>
      <c r="S27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1" spans="1:19" x14ac:dyDescent="0.25">
      <c r="A2701" s="1" t="s">
        <v>3782</v>
      </c>
      <c r="B2701" s="2">
        <v>45352</v>
      </c>
      <c r="C2701" s="1" t="s">
        <v>61</v>
      </c>
      <c r="D2701" s="1" t="s">
        <v>144</v>
      </c>
      <c r="E2701" s="1" t="s">
        <v>129</v>
      </c>
      <c r="F2701" s="1" t="s">
        <v>69</v>
      </c>
      <c r="G2701" s="1" t="s">
        <v>85</v>
      </c>
      <c r="H2701" s="1" t="s">
        <v>90</v>
      </c>
      <c r="I2701" s="1">
        <v>2581.71</v>
      </c>
      <c r="J2701" s="1">
        <v>6</v>
      </c>
      <c r="K2701" s="1">
        <v>15490.26</v>
      </c>
      <c r="L2701" s="1">
        <v>5</v>
      </c>
      <c r="M2701" s="1">
        <v>774.51</v>
      </c>
      <c r="N2701" s="1">
        <v>14715.75</v>
      </c>
      <c r="O2701" s="1" t="s">
        <v>24</v>
      </c>
      <c r="P2701" s="1" t="s">
        <v>3511</v>
      </c>
      <c r="Q2701" s="1">
        <v>5</v>
      </c>
      <c r="R2701" s="1">
        <f>Retail_Sales_Analyis[[#This Row],[Final_Price]]-Retail_Sales_Analyis[[#This Row],[Total_Price]]</f>
        <v>-774.51000000000022</v>
      </c>
      <c r="S27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02" spans="1:19" x14ac:dyDescent="0.25">
      <c r="A2702" s="1" t="s">
        <v>3783</v>
      </c>
      <c r="B2702" s="2">
        <v>45530</v>
      </c>
      <c r="C2702" s="1" t="s">
        <v>93</v>
      </c>
      <c r="D2702" s="1" t="s">
        <v>43</v>
      </c>
      <c r="E2702" s="1" t="s">
        <v>213</v>
      </c>
      <c r="F2702" s="1" t="s">
        <v>69</v>
      </c>
      <c r="G2702" s="1" t="s">
        <v>31</v>
      </c>
      <c r="H2702" s="1" t="s">
        <v>329</v>
      </c>
      <c r="I2702" s="1">
        <v>156.35</v>
      </c>
      <c r="J2702" s="1">
        <v>8</v>
      </c>
      <c r="K2702" s="1">
        <v>1250.8</v>
      </c>
      <c r="L2702" s="1">
        <v>15</v>
      </c>
      <c r="M2702" s="1">
        <v>187.62</v>
      </c>
      <c r="N2702" s="1">
        <v>1063.18</v>
      </c>
      <c r="O2702" s="1" t="s">
        <v>24</v>
      </c>
      <c r="P2702" s="1" t="s">
        <v>969</v>
      </c>
      <c r="Q2702" s="1">
        <v>5</v>
      </c>
      <c r="R2702" s="1">
        <f>Retail_Sales_Analyis[[#This Row],[Final_Price]]-Retail_Sales_Analyis[[#This Row],[Total_Price]]</f>
        <v>-187.61999999999989</v>
      </c>
      <c r="S27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03" spans="1:19" x14ac:dyDescent="0.25">
      <c r="A2703" s="1" t="s">
        <v>3784</v>
      </c>
      <c r="B2703" s="2">
        <v>45449</v>
      </c>
      <c r="C2703" s="1" t="s">
        <v>173</v>
      </c>
      <c r="D2703" s="1" t="s">
        <v>67</v>
      </c>
      <c r="E2703" s="1" t="s">
        <v>117</v>
      </c>
      <c r="F2703" s="1" t="s">
        <v>69</v>
      </c>
      <c r="G2703" s="1" t="s">
        <v>85</v>
      </c>
      <c r="H2703" s="1" t="s">
        <v>86</v>
      </c>
      <c r="I2703" s="1">
        <v>1962.07</v>
      </c>
      <c r="J2703" s="1">
        <v>6</v>
      </c>
      <c r="K2703" s="1">
        <v>11772.42</v>
      </c>
      <c r="L2703" s="1">
        <v>5</v>
      </c>
      <c r="M2703" s="1">
        <v>588.62</v>
      </c>
      <c r="N2703" s="1">
        <v>11183.8</v>
      </c>
      <c r="O2703" s="1" t="s">
        <v>24</v>
      </c>
      <c r="P2703" s="1" t="s">
        <v>734</v>
      </c>
      <c r="Q2703" s="1">
        <v>2</v>
      </c>
      <c r="R2703" s="1">
        <f>Retail_Sales_Analyis[[#This Row],[Final_Price]]-Retail_Sales_Analyis[[#This Row],[Total_Price]]</f>
        <v>-588.6200000000008</v>
      </c>
      <c r="S27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04" spans="1:19" x14ac:dyDescent="0.25">
      <c r="A2704" s="1" t="s">
        <v>3785</v>
      </c>
      <c r="B2704" s="2">
        <v>45373</v>
      </c>
      <c r="C2704" s="1" t="s">
        <v>61</v>
      </c>
      <c r="D2704" s="1" t="s">
        <v>144</v>
      </c>
      <c r="E2704" s="1" t="s">
        <v>145</v>
      </c>
      <c r="F2704" s="1" t="s">
        <v>69</v>
      </c>
      <c r="G2704" s="1" t="s">
        <v>22</v>
      </c>
      <c r="H2704" s="1" t="s">
        <v>51</v>
      </c>
      <c r="I2704" s="1">
        <v>635.12</v>
      </c>
      <c r="J2704" s="1">
        <v>1</v>
      </c>
      <c r="K2704" s="1">
        <v>635.12</v>
      </c>
      <c r="L2704" s="1">
        <v>0</v>
      </c>
      <c r="M2704" s="1">
        <v>0</v>
      </c>
      <c r="N2704" s="1">
        <v>635.12</v>
      </c>
      <c r="O2704" s="1" t="s">
        <v>46</v>
      </c>
      <c r="P2704" s="1" t="s">
        <v>253</v>
      </c>
      <c r="Q2704" s="1">
        <v>4</v>
      </c>
      <c r="R2704" s="1">
        <f>Retail_Sales_Analyis[[#This Row],[Final_Price]]-Retail_Sales_Analyis[[#This Row],[Total_Price]]</f>
        <v>0</v>
      </c>
      <c r="S27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5" spans="1:19" x14ac:dyDescent="0.25">
      <c r="A2705" s="1" t="s">
        <v>3786</v>
      </c>
      <c r="B2705" s="2">
        <v>45499</v>
      </c>
      <c r="C2705" s="1" t="s">
        <v>195</v>
      </c>
      <c r="D2705" s="1" t="s">
        <v>144</v>
      </c>
      <c r="E2705" s="1" t="s">
        <v>236</v>
      </c>
      <c r="F2705" s="1" t="s">
        <v>21</v>
      </c>
      <c r="G2705" s="1" t="s">
        <v>57</v>
      </c>
      <c r="H2705" s="1" t="s">
        <v>122</v>
      </c>
      <c r="I2705" s="1">
        <v>2568.9899999999998</v>
      </c>
      <c r="J2705" s="1">
        <v>9</v>
      </c>
      <c r="K2705" s="1">
        <v>23120.91</v>
      </c>
      <c r="L2705" s="1">
        <v>5</v>
      </c>
      <c r="M2705" s="1">
        <v>1156.05</v>
      </c>
      <c r="N2705" s="1">
        <v>21964.86</v>
      </c>
      <c r="O2705" s="1" t="s">
        <v>46</v>
      </c>
      <c r="P2705" s="1" t="s">
        <v>3787</v>
      </c>
      <c r="Q2705" s="1">
        <v>1</v>
      </c>
      <c r="R2705" s="1">
        <f>Retail_Sales_Analyis[[#This Row],[Final_Price]]-Retail_Sales_Analyis[[#This Row],[Total_Price]]</f>
        <v>-1156.0499999999993</v>
      </c>
      <c r="S270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06" spans="1:19" x14ac:dyDescent="0.25">
      <c r="A2706" s="1" t="s">
        <v>3788</v>
      </c>
      <c r="B2706" s="2">
        <v>45643</v>
      </c>
      <c r="C2706" s="1" t="s">
        <v>73</v>
      </c>
      <c r="D2706" s="1" t="s">
        <v>28</v>
      </c>
      <c r="E2706" s="1" t="s">
        <v>129</v>
      </c>
      <c r="F2706" s="1" t="s">
        <v>69</v>
      </c>
      <c r="G2706" s="1" t="s">
        <v>38</v>
      </c>
      <c r="H2706" s="1" t="s">
        <v>108</v>
      </c>
      <c r="I2706" s="1">
        <v>772.99</v>
      </c>
      <c r="J2706" s="1">
        <v>5</v>
      </c>
      <c r="K2706" s="1">
        <v>3864.95</v>
      </c>
      <c r="L2706" s="1">
        <v>0</v>
      </c>
      <c r="M2706" s="1">
        <v>0</v>
      </c>
      <c r="N2706" s="1">
        <v>3864.95</v>
      </c>
      <c r="O2706" s="1" t="s">
        <v>33</v>
      </c>
      <c r="P2706" s="1" t="s">
        <v>580</v>
      </c>
      <c r="Q2706" s="1">
        <v>4</v>
      </c>
      <c r="R2706" s="1">
        <f>Retail_Sales_Analyis[[#This Row],[Final_Price]]-Retail_Sales_Analyis[[#This Row],[Total_Price]]</f>
        <v>0</v>
      </c>
      <c r="S27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7" spans="1:19" x14ac:dyDescent="0.25">
      <c r="A2707" s="1" t="s">
        <v>3789</v>
      </c>
      <c r="B2707" s="2">
        <v>45549</v>
      </c>
      <c r="C2707" s="1" t="s">
        <v>116</v>
      </c>
      <c r="D2707" s="1" t="s">
        <v>19</v>
      </c>
      <c r="E2707" s="1" t="s">
        <v>77</v>
      </c>
      <c r="F2707" s="1" t="s">
        <v>37</v>
      </c>
      <c r="G2707" s="1" t="s">
        <v>57</v>
      </c>
      <c r="H2707" s="1" t="s">
        <v>101</v>
      </c>
      <c r="I2707" s="1">
        <v>202.38</v>
      </c>
      <c r="J2707" s="1">
        <v>2</v>
      </c>
      <c r="K2707" s="1">
        <v>404.76</v>
      </c>
      <c r="L2707" s="1">
        <v>0</v>
      </c>
      <c r="M2707" s="1">
        <v>0</v>
      </c>
      <c r="N2707" s="1">
        <v>404.76</v>
      </c>
      <c r="O2707" s="1" t="s">
        <v>33</v>
      </c>
      <c r="P2707" s="1" t="s">
        <v>2041</v>
      </c>
      <c r="Q2707" s="1">
        <v>4</v>
      </c>
      <c r="R2707" s="1">
        <f>Retail_Sales_Analyis[[#This Row],[Final_Price]]-Retail_Sales_Analyis[[#This Row],[Total_Price]]</f>
        <v>0</v>
      </c>
      <c r="S27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8" spans="1:19" x14ac:dyDescent="0.25">
      <c r="A2708" s="1" t="s">
        <v>3790</v>
      </c>
      <c r="B2708" s="2">
        <v>45652</v>
      </c>
      <c r="C2708" s="1" t="s">
        <v>73</v>
      </c>
      <c r="D2708" s="1" t="s">
        <v>67</v>
      </c>
      <c r="E2708" s="1" t="s">
        <v>213</v>
      </c>
      <c r="F2708" s="1" t="s">
        <v>21</v>
      </c>
      <c r="G2708" s="1" t="s">
        <v>38</v>
      </c>
      <c r="H2708" s="1" t="s">
        <v>214</v>
      </c>
      <c r="I2708" s="1">
        <v>538.35</v>
      </c>
      <c r="J2708" s="1">
        <v>2</v>
      </c>
      <c r="K2708" s="1">
        <v>1076.7</v>
      </c>
      <c r="L2708" s="1">
        <v>0</v>
      </c>
      <c r="M2708" s="1">
        <v>0</v>
      </c>
      <c r="N2708" s="1">
        <v>1076.7</v>
      </c>
      <c r="O2708" s="1" t="s">
        <v>64</v>
      </c>
      <c r="P2708" s="1" t="s">
        <v>653</v>
      </c>
      <c r="Q2708" s="1">
        <v>3</v>
      </c>
      <c r="R2708" s="1">
        <f>Retail_Sales_Analyis[[#This Row],[Final_Price]]-Retail_Sales_Analyis[[#This Row],[Total_Price]]</f>
        <v>0</v>
      </c>
      <c r="S27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09" spans="1:19" x14ac:dyDescent="0.25">
      <c r="A2709" s="1" t="s">
        <v>3791</v>
      </c>
      <c r="B2709" s="2">
        <v>45451</v>
      </c>
      <c r="C2709" s="1" t="s">
        <v>173</v>
      </c>
      <c r="D2709" s="1" t="s">
        <v>19</v>
      </c>
      <c r="E2709" s="1" t="s">
        <v>337</v>
      </c>
      <c r="F2709" s="1" t="s">
        <v>30</v>
      </c>
      <c r="G2709" s="1" t="s">
        <v>22</v>
      </c>
      <c r="H2709" s="1" t="s">
        <v>187</v>
      </c>
      <c r="I2709" s="1">
        <v>789.7</v>
      </c>
      <c r="J2709" s="1">
        <v>4</v>
      </c>
      <c r="K2709" s="1">
        <v>3158.8</v>
      </c>
      <c r="L2709" s="1">
        <v>5</v>
      </c>
      <c r="M2709" s="1">
        <v>157.94</v>
      </c>
      <c r="N2709" s="1">
        <v>3000.86</v>
      </c>
      <c r="O2709" s="1" t="s">
        <v>46</v>
      </c>
      <c r="P2709" s="1" t="s">
        <v>1565</v>
      </c>
      <c r="Q2709" s="1">
        <v>4</v>
      </c>
      <c r="R2709" s="1">
        <f>Retail_Sales_Analyis[[#This Row],[Final_Price]]-Retail_Sales_Analyis[[#This Row],[Total_Price]]</f>
        <v>-157.94000000000005</v>
      </c>
      <c r="S27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10" spans="1:19" x14ac:dyDescent="0.25">
      <c r="A2710" s="1" t="s">
        <v>3792</v>
      </c>
      <c r="B2710" s="2">
        <v>45645</v>
      </c>
      <c r="C2710" s="1" t="s">
        <v>73</v>
      </c>
      <c r="D2710" s="1" t="s">
        <v>67</v>
      </c>
      <c r="E2710" s="1" t="s">
        <v>83</v>
      </c>
      <c r="F2710" s="1" t="s">
        <v>37</v>
      </c>
      <c r="G2710" s="1" t="s">
        <v>78</v>
      </c>
      <c r="H2710" s="1" t="s">
        <v>136</v>
      </c>
      <c r="I2710" s="1">
        <v>392.39</v>
      </c>
      <c r="J2710" s="1">
        <v>10</v>
      </c>
      <c r="K2710" s="1">
        <v>3923.9</v>
      </c>
      <c r="L2710" s="1">
        <v>5</v>
      </c>
      <c r="M2710" s="1">
        <v>196.2</v>
      </c>
      <c r="N2710" s="1">
        <v>3727.7</v>
      </c>
      <c r="O2710" s="1" t="s">
        <v>80</v>
      </c>
      <c r="P2710" s="1" t="s">
        <v>1215</v>
      </c>
      <c r="Q2710" s="1">
        <v>5</v>
      </c>
      <c r="R2710" s="1">
        <f>Retail_Sales_Analyis[[#This Row],[Final_Price]]-Retail_Sales_Analyis[[#This Row],[Total_Price]]</f>
        <v>-196.20000000000027</v>
      </c>
      <c r="S27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11" spans="1:19" x14ac:dyDescent="0.25">
      <c r="A2711" s="1" t="s">
        <v>3793</v>
      </c>
      <c r="B2711" s="2">
        <v>45352</v>
      </c>
      <c r="C2711" s="1" t="s">
        <v>61</v>
      </c>
      <c r="D2711" s="1" t="s">
        <v>144</v>
      </c>
      <c r="E2711" s="1" t="s">
        <v>141</v>
      </c>
      <c r="F2711" s="1" t="s">
        <v>21</v>
      </c>
      <c r="G2711" s="1" t="s">
        <v>22</v>
      </c>
      <c r="H2711" s="1" t="s">
        <v>187</v>
      </c>
      <c r="I2711" s="1">
        <v>646.99</v>
      </c>
      <c r="J2711" s="1">
        <v>4</v>
      </c>
      <c r="K2711" s="1">
        <v>2587.96</v>
      </c>
      <c r="L2711" s="1">
        <v>0</v>
      </c>
      <c r="M2711" s="1">
        <v>0</v>
      </c>
      <c r="N2711" s="1">
        <v>2587.96</v>
      </c>
      <c r="O2711" s="1" t="s">
        <v>24</v>
      </c>
      <c r="P2711" s="1" t="s">
        <v>2214</v>
      </c>
      <c r="Q2711" s="1">
        <v>3</v>
      </c>
      <c r="R2711" s="1">
        <f>Retail_Sales_Analyis[[#This Row],[Final_Price]]-Retail_Sales_Analyis[[#This Row],[Total_Price]]</f>
        <v>0</v>
      </c>
      <c r="S27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12" spans="1:19" x14ac:dyDescent="0.25">
      <c r="A2712" s="1" t="s">
        <v>3794</v>
      </c>
      <c r="B2712" s="2">
        <v>45619</v>
      </c>
      <c r="C2712" s="1" t="s">
        <v>18</v>
      </c>
      <c r="D2712" s="1" t="s">
        <v>19</v>
      </c>
      <c r="E2712" s="1" t="s">
        <v>129</v>
      </c>
      <c r="F2712" s="1" t="s">
        <v>21</v>
      </c>
      <c r="G2712" s="1" t="s">
        <v>57</v>
      </c>
      <c r="H2712" s="1" t="s">
        <v>58</v>
      </c>
      <c r="I2712" s="1">
        <v>2241.02</v>
      </c>
      <c r="J2712" s="1">
        <v>2</v>
      </c>
      <c r="K2712" s="1">
        <v>4482.04</v>
      </c>
      <c r="L2712" s="1">
        <v>20</v>
      </c>
      <c r="M2712" s="1">
        <v>896.41</v>
      </c>
      <c r="N2712" s="1">
        <v>3585.63</v>
      </c>
      <c r="O2712" s="1" t="s">
        <v>46</v>
      </c>
      <c r="P2712" s="1" t="s">
        <v>1851</v>
      </c>
      <c r="Q2712" s="1">
        <v>5</v>
      </c>
      <c r="R2712" s="1">
        <f>Retail_Sales_Analyis[[#This Row],[Final_Price]]-Retail_Sales_Analyis[[#This Row],[Total_Price]]</f>
        <v>-896.40999999999985</v>
      </c>
      <c r="S27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13" spans="1:19" x14ac:dyDescent="0.25">
      <c r="A2713" s="1" t="s">
        <v>3795</v>
      </c>
      <c r="B2713" s="2">
        <v>45443</v>
      </c>
      <c r="C2713" s="1" t="s">
        <v>42</v>
      </c>
      <c r="D2713" s="1" t="s">
        <v>144</v>
      </c>
      <c r="E2713" s="1" t="s">
        <v>125</v>
      </c>
      <c r="F2713" s="1" t="s">
        <v>30</v>
      </c>
      <c r="G2713" s="1" t="s">
        <v>169</v>
      </c>
      <c r="H2713" s="1" t="s">
        <v>366</v>
      </c>
      <c r="I2713" s="1">
        <v>879.07</v>
      </c>
      <c r="J2713" s="1">
        <v>1</v>
      </c>
      <c r="K2713" s="1">
        <v>879.07</v>
      </c>
      <c r="L2713" s="1">
        <v>5</v>
      </c>
      <c r="M2713" s="1">
        <v>43.95</v>
      </c>
      <c r="N2713" s="1">
        <v>835.12</v>
      </c>
      <c r="O2713" s="1" t="s">
        <v>46</v>
      </c>
      <c r="P2713" s="1" t="s">
        <v>3718</v>
      </c>
      <c r="Q2713" s="1">
        <v>5</v>
      </c>
      <c r="R2713" s="1">
        <f>Retail_Sales_Analyis[[#This Row],[Final_Price]]-Retail_Sales_Analyis[[#This Row],[Total_Price]]</f>
        <v>-43.950000000000045</v>
      </c>
      <c r="S27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14" spans="1:19" x14ac:dyDescent="0.25">
      <c r="A2714" s="1" t="s">
        <v>3796</v>
      </c>
      <c r="B2714" s="2">
        <v>45480</v>
      </c>
      <c r="C2714" s="1" t="s">
        <v>195</v>
      </c>
      <c r="D2714" s="1" t="s">
        <v>49</v>
      </c>
      <c r="E2714" s="1" t="s">
        <v>141</v>
      </c>
      <c r="F2714" s="1" t="s">
        <v>69</v>
      </c>
      <c r="G2714" s="1" t="s">
        <v>112</v>
      </c>
      <c r="H2714" s="1" t="s">
        <v>118</v>
      </c>
      <c r="I2714" s="1">
        <v>574.82000000000005</v>
      </c>
      <c r="J2714" s="1">
        <v>3</v>
      </c>
      <c r="K2714" s="1">
        <v>1724.46</v>
      </c>
      <c r="L2714" s="1">
        <v>10</v>
      </c>
      <c r="M2714" s="1">
        <v>172.45</v>
      </c>
      <c r="N2714" s="1">
        <v>1552.01</v>
      </c>
      <c r="O2714" s="1" t="s">
        <v>24</v>
      </c>
      <c r="P2714" s="1" t="s">
        <v>1149</v>
      </c>
      <c r="Q2714" s="1">
        <v>1</v>
      </c>
      <c r="R2714" s="1">
        <f>Retail_Sales_Analyis[[#This Row],[Final_Price]]-Retail_Sales_Analyis[[#This Row],[Total_Price]]</f>
        <v>-172.45000000000005</v>
      </c>
      <c r="S27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15" spans="1:19" x14ac:dyDescent="0.25">
      <c r="A2715" s="1" t="s">
        <v>3797</v>
      </c>
      <c r="B2715" s="2">
        <v>45606</v>
      </c>
      <c r="C2715" s="1" t="s">
        <v>18</v>
      </c>
      <c r="D2715" s="1" t="s">
        <v>49</v>
      </c>
      <c r="E2715" s="1" t="s">
        <v>337</v>
      </c>
      <c r="F2715" s="1" t="s">
        <v>37</v>
      </c>
      <c r="G2715" s="1" t="s">
        <v>85</v>
      </c>
      <c r="H2715" s="1" t="s">
        <v>90</v>
      </c>
      <c r="I2715" s="1">
        <v>1627.51</v>
      </c>
      <c r="J2715" s="1">
        <v>8</v>
      </c>
      <c r="K2715" s="1">
        <v>13020.08</v>
      </c>
      <c r="L2715" s="1">
        <v>0</v>
      </c>
      <c r="M2715" s="1">
        <v>0</v>
      </c>
      <c r="N2715" s="1">
        <v>13020.08</v>
      </c>
      <c r="O2715" s="1" t="s">
        <v>80</v>
      </c>
      <c r="P2715" s="1" t="s">
        <v>2934</v>
      </c>
      <c r="Q2715" s="1">
        <v>2</v>
      </c>
      <c r="R2715" s="1">
        <f>Retail_Sales_Analyis[[#This Row],[Final_Price]]-Retail_Sales_Analyis[[#This Row],[Total_Price]]</f>
        <v>0</v>
      </c>
      <c r="S27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16" spans="1:19" x14ac:dyDescent="0.25">
      <c r="A2716" s="1" t="s">
        <v>3798</v>
      </c>
      <c r="B2716" s="2">
        <v>45405</v>
      </c>
      <c r="C2716" s="1" t="s">
        <v>54</v>
      </c>
      <c r="D2716" s="1" t="s">
        <v>28</v>
      </c>
      <c r="E2716" s="1" t="s">
        <v>62</v>
      </c>
      <c r="F2716" s="1" t="s">
        <v>69</v>
      </c>
      <c r="G2716" s="1" t="s">
        <v>169</v>
      </c>
      <c r="H2716" s="1" t="s">
        <v>348</v>
      </c>
      <c r="I2716" s="1">
        <v>1135.83</v>
      </c>
      <c r="J2716" s="1">
        <v>7</v>
      </c>
      <c r="K2716" s="1">
        <v>7950.81</v>
      </c>
      <c r="L2716" s="1">
        <v>15</v>
      </c>
      <c r="M2716" s="1">
        <v>1192.6199999999999</v>
      </c>
      <c r="N2716" s="1">
        <v>6758.19</v>
      </c>
      <c r="O2716" s="1" t="s">
        <v>24</v>
      </c>
      <c r="P2716" s="1" t="s">
        <v>3033</v>
      </c>
      <c r="Q2716" s="1">
        <v>4</v>
      </c>
      <c r="R2716" s="1">
        <f>Retail_Sales_Analyis[[#This Row],[Final_Price]]-Retail_Sales_Analyis[[#This Row],[Total_Price]]</f>
        <v>-1192.6200000000008</v>
      </c>
      <c r="S27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17" spans="1:19" x14ac:dyDescent="0.25">
      <c r="A2717" s="1" t="s">
        <v>3799</v>
      </c>
      <c r="B2717" s="2">
        <v>45404</v>
      </c>
      <c r="C2717" s="1" t="s">
        <v>54</v>
      </c>
      <c r="D2717" s="1" t="s">
        <v>43</v>
      </c>
      <c r="E2717" s="1" t="s">
        <v>50</v>
      </c>
      <c r="F2717" s="1" t="s">
        <v>84</v>
      </c>
      <c r="G2717" s="1" t="s">
        <v>38</v>
      </c>
      <c r="H2717" s="1" t="s">
        <v>70</v>
      </c>
      <c r="I2717" s="1">
        <v>433.95</v>
      </c>
      <c r="J2717" s="1">
        <v>5</v>
      </c>
      <c r="K2717" s="1">
        <v>2169.75</v>
      </c>
      <c r="L2717" s="1">
        <v>10</v>
      </c>
      <c r="M2717" s="1">
        <v>216.98</v>
      </c>
      <c r="N2717" s="1">
        <v>1952.77</v>
      </c>
      <c r="O2717" s="1" t="s">
        <v>80</v>
      </c>
      <c r="P2717" s="1" t="s">
        <v>1248</v>
      </c>
      <c r="Q2717" s="1">
        <v>4</v>
      </c>
      <c r="R2717" s="1">
        <f>Retail_Sales_Analyis[[#This Row],[Final_Price]]-Retail_Sales_Analyis[[#This Row],[Total_Price]]</f>
        <v>-216.98000000000002</v>
      </c>
      <c r="S27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18" spans="1:19" x14ac:dyDescent="0.25">
      <c r="A2718" s="1" t="s">
        <v>3800</v>
      </c>
      <c r="B2718" s="2">
        <v>45360</v>
      </c>
      <c r="C2718" s="1" t="s">
        <v>61</v>
      </c>
      <c r="D2718" s="1" t="s">
        <v>19</v>
      </c>
      <c r="E2718" s="1" t="s">
        <v>322</v>
      </c>
      <c r="F2718" s="1" t="s">
        <v>30</v>
      </c>
      <c r="G2718" s="1" t="s">
        <v>78</v>
      </c>
      <c r="H2718" s="1" t="s">
        <v>146</v>
      </c>
      <c r="I2718" s="1">
        <v>568.44000000000005</v>
      </c>
      <c r="J2718" s="1">
        <v>3</v>
      </c>
      <c r="K2718" s="1">
        <v>1705.32</v>
      </c>
      <c r="L2718" s="1">
        <v>0</v>
      </c>
      <c r="M2718" s="1">
        <v>0</v>
      </c>
      <c r="N2718" s="1">
        <v>1705.32</v>
      </c>
      <c r="O2718" s="1" t="s">
        <v>33</v>
      </c>
      <c r="P2718" s="1" t="s">
        <v>447</v>
      </c>
      <c r="Q2718" s="1">
        <v>1</v>
      </c>
      <c r="R2718" s="1">
        <f>Retail_Sales_Analyis[[#This Row],[Final_Price]]-Retail_Sales_Analyis[[#This Row],[Total_Price]]</f>
        <v>0</v>
      </c>
      <c r="S27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19" spans="1:19" x14ac:dyDescent="0.25">
      <c r="A2719" s="1" t="s">
        <v>3801</v>
      </c>
      <c r="B2719" s="2">
        <v>45536</v>
      </c>
      <c r="C2719" s="1" t="s">
        <v>116</v>
      </c>
      <c r="D2719" s="1" t="s">
        <v>49</v>
      </c>
      <c r="E2719" s="1" t="s">
        <v>50</v>
      </c>
      <c r="F2719" s="1" t="s">
        <v>84</v>
      </c>
      <c r="G2719" s="1" t="s">
        <v>22</v>
      </c>
      <c r="H2719" s="1" t="s">
        <v>277</v>
      </c>
      <c r="I2719" s="1">
        <v>990.28</v>
      </c>
      <c r="J2719" s="1">
        <v>6</v>
      </c>
      <c r="K2719" s="1">
        <v>5941.68</v>
      </c>
      <c r="L2719" s="1">
        <v>10</v>
      </c>
      <c r="M2719" s="1">
        <v>594.16999999999996</v>
      </c>
      <c r="N2719" s="1">
        <v>5347.51</v>
      </c>
      <c r="O2719" s="1" t="s">
        <v>24</v>
      </c>
      <c r="P2719" s="1" t="s">
        <v>215</v>
      </c>
      <c r="Q2719" s="1">
        <v>5</v>
      </c>
      <c r="R2719" s="1">
        <f>Retail_Sales_Analyis[[#This Row],[Final_Price]]-Retail_Sales_Analyis[[#This Row],[Total_Price]]</f>
        <v>-594.17000000000007</v>
      </c>
      <c r="S27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20" spans="1:19" x14ac:dyDescent="0.25">
      <c r="A2720" s="1" t="s">
        <v>3802</v>
      </c>
      <c r="B2720" s="2">
        <v>45370</v>
      </c>
      <c r="C2720" s="1" t="s">
        <v>61</v>
      </c>
      <c r="D2720" s="1" t="s">
        <v>28</v>
      </c>
      <c r="E2720" s="1" t="s">
        <v>29</v>
      </c>
      <c r="F2720" s="1" t="s">
        <v>37</v>
      </c>
      <c r="G2720" s="1" t="s">
        <v>169</v>
      </c>
      <c r="H2720" s="1" t="s">
        <v>208</v>
      </c>
      <c r="I2720" s="1">
        <v>819.2</v>
      </c>
      <c r="J2720" s="1">
        <v>8</v>
      </c>
      <c r="K2720" s="1">
        <v>6553.6</v>
      </c>
      <c r="L2720" s="1">
        <v>0</v>
      </c>
      <c r="M2720" s="1">
        <v>0</v>
      </c>
      <c r="N2720" s="1">
        <v>6553.6</v>
      </c>
      <c r="O2720" s="1" t="s">
        <v>46</v>
      </c>
      <c r="P2720" s="1" t="s">
        <v>980</v>
      </c>
      <c r="Q2720" s="1">
        <v>4</v>
      </c>
      <c r="R2720" s="1">
        <f>Retail_Sales_Analyis[[#This Row],[Final_Price]]-Retail_Sales_Analyis[[#This Row],[Total_Price]]</f>
        <v>0</v>
      </c>
      <c r="S27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1" spans="1:19" x14ac:dyDescent="0.25">
      <c r="A2721" s="1" t="s">
        <v>3803</v>
      </c>
      <c r="B2721" s="2">
        <v>45524</v>
      </c>
      <c r="C2721" s="1" t="s">
        <v>93</v>
      </c>
      <c r="D2721" s="1" t="s">
        <v>28</v>
      </c>
      <c r="E2721" s="1" t="s">
        <v>129</v>
      </c>
      <c r="F2721" s="1" t="s">
        <v>69</v>
      </c>
      <c r="G2721" s="1" t="s">
        <v>57</v>
      </c>
      <c r="H2721" s="1" t="s">
        <v>152</v>
      </c>
      <c r="I2721" s="1">
        <v>670.86</v>
      </c>
      <c r="J2721" s="1">
        <v>8</v>
      </c>
      <c r="K2721" s="1">
        <v>5366.88</v>
      </c>
      <c r="L2721" s="1">
        <v>0</v>
      </c>
      <c r="M2721" s="1">
        <v>0</v>
      </c>
      <c r="N2721" s="1">
        <v>5366.88</v>
      </c>
      <c r="O2721" s="1" t="s">
        <v>46</v>
      </c>
      <c r="P2721" s="1" t="s">
        <v>47</v>
      </c>
      <c r="Q2721" s="1">
        <v>4</v>
      </c>
      <c r="R2721" s="1">
        <f>Retail_Sales_Analyis[[#This Row],[Final_Price]]-Retail_Sales_Analyis[[#This Row],[Total_Price]]</f>
        <v>0</v>
      </c>
      <c r="S27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2" spans="1:19" x14ac:dyDescent="0.25">
      <c r="A2722" s="1" t="s">
        <v>3804</v>
      </c>
      <c r="B2722" s="2">
        <v>45602</v>
      </c>
      <c r="C2722" s="1" t="s">
        <v>18</v>
      </c>
      <c r="D2722" s="1" t="s">
        <v>55</v>
      </c>
      <c r="E2722" s="1" t="s">
        <v>213</v>
      </c>
      <c r="F2722" s="1" t="s">
        <v>37</v>
      </c>
      <c r="G2722" s="1" t="s">
        <v>22</v>
      </c>
      <c r="H2722" s="1" t="s">
        <v>187</v>
      </c>
      <c r="I2722" s="1">
        <v>444.07</v>
      </c>
      <c r="J2722" s="1">
        <v>7</v>
      </c>
      <c r="K2722" s="1">
        <v>3108.49</v>
      </c>
      <c r="L2722" s="1">
        <v>0</v>
      </c>
      <c r="M2722" s="1">
        <v>0</v>
      </c>
      <c r="N2722" s="1">
        <v>3108.49</v>
      </c>
      <c r="O2722" s="1" t="s">
        <v>33</v>
      </c>
      <c r="P2722" s="1" t="s">
        <v>1500</v>
      </c>
      <c r="Q2722" s="1">
        <v>5</v>
      </c>
      <c r="R2722" s="1">
        <f>Retail_Sales_Analyis[[#This Row],[Final_Price]]-Retail_Sales_Analyis[[#This Row],[Total_Price]]</f>
        <v>0</v>
      </c>
      <c r="S27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3" spans="1:19" x14ac:dyDescent="0.25">
      <c r="A2723" s="1" t="s">
        <v>3805</v>
      </c>
      <c r="B2723" s="2">
        <v>45483</v>
      </c>
      <c r="C2723" s="1" t="s">
        <v>195</v>
      </c>
      <c r="D2723" s="1" t="s">
        <v>55</v>
      </c>
      <c r="E2723" s="1" t="s">
        <v>111</v>
      </c>
      <c r="F2723" s="1" t="s">
        <v>69</v>
      </c>
      <c r="G2723" s="1" t="s">
        <v>57</v>
      </c>
      <c r="H2723" s="1" t="s">
        <v>122</v>
      </c>
      <c r="I2723" s="1">
        <v>2588.25</v>
      </c>
      <c r="J2723" s="1">
        <v>10</v>
      </c>
      <c r="K2723" s="1">
        <v>25882.5</v>
      </c>
      <c r="L2723" s="1">
        <v>15</v>
      </c>
      <c r="M2723" s="1">
        <v>3882.38</v>
      </c>
      <c r="N2723" s="1">
        <v>22000.12</v>
      </c>
      <c r="O2723" s="1" t="s">
        <v>80</v>
      </c>
      <c r="P2723" s="1" t="s">
        <v>147</v>
      </c>
      <c r="Q2723" s="1">
        <v>5</v>
      </c>
      <c r="R2723" s="1">
        <f>Retail_Sales_Analyis[[#This Row],[Final_Price]]-Retail_Sales_Analyis[[#This Row],[Total_Price]]</f>
        <v>-3882.380000000001</v>
      </c>
      <c r="S27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24" spans="1:19" x14ac:dyDescent="0.25">
      <c r="A2724" s="1" t="s">
        <v>3806</v>
      </c>
      <c r="B2724" s="2">
        <v>45504</v>
      </c>
      <c r="C2724" s="1" t="s">
        <v>195</v>
      </c>
      <c r="D2724" s="1" t="s">
        <v>55</v>
      </c>
      <c r="E2724" s="1" t="s">
        <v>192</v>
      </c>
      <c r="F2724" s="1" t="s">
        <v>69</v>
      </c>
      <c r="G2724" s="1" t="s">
        <v>85</v>
      </c>
      <c r="H2724" s="1" t="s">
        <v>297</v>
      </c>
      <c r="I2724" s="1">
        <v>1455.31</v>
      </c>
      <c r="J2724" s="1">
        <v>4</v>
      </c>
      <c r="K2724" s="1">
        <v>5821.24</v>
      </c>
      <c r="L2724" s="1">
        <v>15</v>
      </c>
      <c r="M2724" s="1">
        <v>873.19</v>
      </c>
      <c r="N2724" s="1">
        <v>4948.05</v>
      </c>
      <c r="O2724" s="1" t="s">
        <v>24</v>
      </c>
      <c r="P2724" s="1" t="s">
        <v>1438</v>
      </c>
      <c r="Q2724" s="1">
        <v>4</v>
      </c>
      <c r="R2724" s="1">
        <f>Retail_Sales_Analyis[[#This Row],[Final_Price]]-Retail_Sales_Analyis[[#This Row],[Total_Price]]</f>
        <v>-873.1899999999996</v>
      </c>
      <c r="S27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25" spans="1:19" x14ac:dyDescent="0.25">
      <c r="A2725" s="1" t="s">
        <v>3807</v>
      </c>
      <c r="B2725" s="2">
        <v>45651</v>
      </c>
      <c r="C2725" s="1" t="s">
        <v>73</v>
      </c>
      <c r="D2725" s="1" t="s">
        <v>55</v>
      </c>
      <c r="E2725" s="1" t="s">
        <v>168</v>
      </c>
      <c r="F2725" s="1" t="s">
        <v>21</v>
      </c>
      <c r="G2725" s="1" t="s">
        <v>78</v>
      </c>
      <c r="H2725" s="1" t="s">
        <v>146</v>
      </c>
      <c r="I2725" s="1">
        <v>507.91</v>
      </c>
      <c r="J2725" s="1">
        <v>3</v>
      </c>
      <c r="K2725" s="1">
        <v>1523.73</v>
      </c>
      <c r="L2725" s="1">
        <v>0</v>
      </c>
      <c r="M2725" s="1">
        <v>0</v>
      </c>
      <c r="N2725" s="1">
        <v>1523.73</v>
      </c>
      <c r="O2725" s="1" t="s">
        <v>33</v>
      </c>
      <c r="P2725" s="1" t="s">
        <v>330</v>
      </c>
      <c r="Q2725" s="1">
        <v>2</v>
      </c>
      <c r="R2725" s="1">
        <f>Retail_Sales_Analyis[[#This Row],[Final_Price]]-Retail_Sales_Analyis[[#This Row],[Total_Price]]</f>
        <v>0</v>
      </c>
      <c r="S27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6" spans="1:19" x14ac:dyDescent="0.25">
      <c r="A2726" s="1" t="s">
        <v>3808</v>
      </c>
      <c r="B2726" s="2">
        <v>45573</v>
      </c>
      <c r="C2726" s="1" t="s">
        <v>76</v>
      </c>
      <c r="D2726" s="1" t="s">
        <v>28</v>
      </c>
      <c r="E2726" s="1" t="s">
        <v>199</v>
      </c>
      <c r="F2726" s="1" t="s">
        <v>84</v>
      </c>
      <c r="G2726" s="1" t="s">
        <v>169</v>
      </c>
      <c r="H2726" s="1" t="s">
        <v>366</v>
      </c>
      <c r="I2726" s="1">
        <v>392.26</v>
      </c>
      <c r="J2726" s="1">
        <v>10</v>
      </c>
      <c r="K2726" s="1">
        <v>3922.6</v>
      </c>
      <c r="L2726" s="1">
        <v>20</v>
      </c>
      <c r="M2726" s="1">
        <v>784.52</v>
      </c>
      <c r="N2726" s="1">
        <v>3138.08</v>
      </c>
      <c r="O2726" s="1" t="s">
        <v>80</v>
      </c>
      <c r="P2726" s="1" t="s">
        <v>1707</v>
      </c>
      <c r="Q2726" s="1">
        <v>3</v>
      </c>
      <c r="R2726" s="1">
        <f>Retail_Sales_Analyis[[#This Row],[Final_Price]]-Retail_Sales_Analyis[[#This Row],[Total_Price]]</f>
        <v>-784.52</v>
      </c>
      <c r="S27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27" spans="1:19" x14ac:dyDescent="0.25">
      <c r="A2727" s="1" t="s">
        <v>3809</v>
      </c>
      <c r="B2727" s="2">
        <v>45533</v>
      </c>
      <c r="C2727" s="1" t="s">
        <v>93</v>
      </c>
      <c r="D2727" s="1" t="s">
        <v>67</v>
      </c>
      <c r="E2727" s="1" t="s">
        <v>89</v>
      </c>
      <c r="F2727" s="1" t="s">
        <v>30</v>
      </c>
      <c r="G2727" s="1" t="s">
        <v>112</v>
      </c>
      <c r="H2727" s="1" t="s">
        <v>118</v>
      </c>
      <c r="I2727" s="1">
        <v>1533.87</v>
      </c>
      <c r="J2727" s="1">
        <v>1</v>
      </c>
      <c r="K2727" s="1">
        <v>1533.87</v>
      </c>
      <c r="L2727" s="1">
        <v>0</v>
      </c>
      <c r="M2727" s="1">
        <v>0</v>
      </c>
      <c r="N2727" s="1">
        <v>1533.87</v>
      </c>
      <c r="O2727" s="1" t="s">
        <v>33</v>
      </c>
      <c r="P2727" s="1" t="s">
        <v>1238</v>
      </c>
      <c r="Q2727" s="1">
        <v>2</v>
      </c>
      <c r="R2727" s="1">
        <f>Retail_Sales_Analyis[[#This Row],[Final_Price]]-Retail_Sales_Analyis[[#This Row],[Total_Price]]</f>
        <v>0</v>
      </c>
      <c r="S27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28" spans="1:19" x14ac:dyDescent="0.25">
      <c r="A2728" s="1" t="s">
        <v>3810</v>
      </c>
      <c r="B2728" s="2">
        <v>45567</v>
      </c>
      <c r="C2728" s="1" t="s">
        <v>76</v>
      </c>
      <c r="D2728" s="1" t="s">
        <v>55</v>
      </c>
      <c r="E2728" s="1" t="s">
        <v>168</v>
      </c>
      <c r="F2728" s="1" t="s">
        <v>69</v>
      </c>
      <c r="G2728" s="1" t="s">
        <v>38</v>
      </c>
      <c r="H2728" s="1" t="s">
        <v>422</v>
      </c>
      <c r="I2728" s="1">
        <v>461.12</v>
      </c>
      <c r="J2728" s="1">
        <v>6</v>
      </c>
      <c r="K2728" s="1">
        <v>2766.72</v>
      </c>
      <c r="L2728" s="1">
        <v>10</v>
      </c>
      <c r="M2728" s="1">
        <v>276.67</v>
      </c>
      <c r="N2728" s="1">
        <v>2490.0500000000002</v>
      </c>
      <c r="O2728" s="1" t="s">
        <v>64</v>
      </c>
      <c r="P2728" s="1" t="s">
        <v>3528</v>
      </c>
      <c r="Q2728" s="1">
        <v>3</v>
      </c>
      <c r="R2728" s="1">
        <f>Retail_Sales_Analyis[[#This Row],[Final_Price]]-Retail_Sales_Analyis[[#This Row],[Total_Price]]</f>
        <v>-276.66999999999962</v>
      </c>
      <c r="S27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29" spans="1:19" x14ac:dyDescent="0.25">
      <c r="A2729" s="1" t="s">
        <v>3811</v>
      </c>
      <c r="B2729" s="2">
        <v>45632</v>
      </c>
      <c r="C2729" s="1" t="s">
        <v>73</v>
      </c>
      <c r="D2729" s="1" t="s">
        <v>144</v>
      </c>
      <c r="E2729" s="1" t="s">
        <v>83</v>
      </c>
      <c r="F2729" s="1" t="s">
        <v>30</v>
      </c>
      <c r="G2729" s="1" t="s">
        <v>57</v>
      </c>
      <c r="H2729" s="1" t="s">
        <v>122</v>
      </c>
      <c r="I2729" s="1">
        <v>2767.79</v>
      </c>
      <c r="J2729" s="1">
        <v>9</v>
      </c>
      <c r="K2729" s="1">
        <v>24910.11</v>
      </c>
      <c r="L2729" s="1">
        <v>20</v>
      </c>
      <c r="M2729" s="1">
        <v>4982.0200000000004</v>
      </c>
      <c r="N2729" s="1">
        <v>19928.09</v>
      </c>
      <c r="O2729" s="1" t="s">
        <v>24</v>
      </c>
      <c r="P2729" s="1" t="s">
        <v>1637</v>
      </c>
      <c r="Q2729" s="1">
        <v>2</v>
      </c>
      <c r="R2729" s="1">
        <f>Retail_Sales_Analyis[[#This Row],[Final_Price]]-Retail_Sales_Analyis[[#This Row],[Total_Price]]</f>
        <v>-4982.0200000000004</v>
      </c>
      <c r="S27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30" spans="1:19" x14ac:dyDescent="0.25">
      <c r="A2730" s="1" t="s">
        <v>3812</v>
      </c>
      <c r="B2730" s="2">
        <v>45403</v>
      </c>
      <c r="C2730" s="1" t="s">
        <v>54</v>
      </c>
      <c r="D2730" s="1" t="s">
        <v>49</v>
      </c>
      <c r="E2730" s="1" t="s">
        <v>312</v>
      </c>
      <c r="F2730" s="1" t="s">
        <v>30</v>
      </c>
      <c r="G2730" s="1" t="s">
        <v>57</v>
      </c>
      <c r="H2730" s="1" t="s">
        <v>122</v>
      </c>
      <c r="I2730" s="1">
        <v>1969.93</v>
      </c>
      <c r="J2730" s="1">
        <v>3</v>
      </c>
      <c r="K2730" s="1">
        <v>5909.79</v>
      </c>
      <c r="L2730" s="1">
        <v>0</v>
      </c>
      <c r="M2730" s="1">
        <v>0</v>
      </c>
      <c r="N2730" s="1">
        <v>5909.79</v>
      </c>
      <c r="O2730" s="1" t="s">
        <v>46</v>
      </c>
      <c r="P2730" s="1" t="s">
        <v>1080</v>
      </c>
      <c r="Q2730" s="1">
        <v>1</v>
      </c>
      <c r="R2730" s="1">
        <f>Retail_Sales_Analyis[[#This Row],[Final_Price]]-Retail_Sales_Analyis[[#This Row],[Total_Price]]</f>
        <v>0</v>
      </c>
      <c r="S27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31" spans="1:19" x14ac:dyDescent="0.25">
      <c r="A2731" s="1" t="s">
        <v>3813</v>
      </c>
      <c r="B2731" s="2">
        <v>45418</v>
      </c>
      <c r="C2731" s="1" t="s">
        <v>42</v>
      </c>
      <c r="D2731" s="1" t="s">
        <v>43</v>
      </c>
      <c r="E2731" s="1" t="s">
        <v>261</v>
      </c>
      <c r="F2731" s="1" t="s">
        <v>21</v>
      </c>
      <c r="G2731" s="1" t="s">
        <v>85</v>
      </c>
      <c r="H2731" s="1" t="s">
        <v>180</v>
      </c>
      <c r="I2731" s="1">
        <v>3230.61</v>
      </c>
      <c r="J2731" s="1">
        <v>2</v>
      </c>
      <c r="K2731" s="1">
        <v>6461.22</v>
      </c>
      <c r="L2731" s="1">
        <v>15</v>
      </c>
      <c r="M2731" s="1">
        <v>969.18</v>
      </c>
      <c r="N2731" s="1">
        <v>5492.04</v>
      </c>
      <c r="O2731" s="1" t="s">
        <v>46</v>
      </c>
      <c r="P2731" s="1" t="s">
        <v>2210</v>
      </c>
      <c r="Q2731" s="1">
        <v>4</v>
      </c>
      <c r="R2731" s="1">
        <f>Retail_Sales_Analyis[[#This Row],[Final_Price]]-Retail_Sales_Analyis[[#This Row],[Total_Price]]</f>
        <v>-969.18000000000029</v>
      </c>
      <c r="S27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32" spans="1:19" x14ac:dyDescent="0.25">
      <c r="A2732" s="1" t="s">
        <v>3814</v>
      </c>
      <c r="B2732" s="2">
        <v>45640</v>
      </c>
      <c r="C2732" s="1" t="s">
        <v>73</v>
      </c>
      <c r="D2732" s="1" t="s">
        <v>19</v>
      </c>
      <c r="E2732" s="1" t="s">
        <v>168</v>
      </c>
      <c r="F2732" s="1" t="s">
        <v>84</v>
      </c>
      <c r="G2732" s="1" t="s">
        <v>169</v>
      </c>
      <c r="H2732" s="1" t="s">
        <v>366</v>
      </c>
      <c r="I2732" s="1">
        <v>1148</v>
      </c>
      <c r="J2732" s="1">
        <v>7</v>
      </c>
      <c r="K2732" s="1">
        <v>8036</v>
      </c>
      <c r="L2732" s="1">
        <v>20</v>
      </c>
      <c r="M2732" s="1">
        <v>1607.2</v>
      </c>
      <c r="N2732" s="1">
        <v>6428.8</v>
      </c>
      <c r="O2732" s="1" t="s">
        <v>24</v>
      </c>
      <c r="P2732" s="1" t="s">
        <v>765</v>
      </c>
      <c r="Q2732" s="1">
        <v>1</v>
      </c>
      <c r="R2732" s="1">
        <f>Retail_Sales_Analyis[[#This Row],[Final_Price]]-Retail_Sales_Analyis[[#This Row],[Total_Price]]</f>
        <v>-1607.1999999999998</v>
      </c>
      <c r="S27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33" spans="1:19" x14ac:dyDescent="0.25">
      <c r="A2733" s="1" t="s">
        <v>3815</v>
      </c>
      <c r="B2733" s="2">
        <v>45597</v>
      </c>
      <c r="C2733" s="1" t="s">
        <v>18</v>
      </c>
      <c r="D2733" s="1" t="s">
        <v>144</v>
      </c>
      <c r="E2733" s="1" t="s">
        <v>204</v>
      </c>
      <c r="F2733" s="1" t="s">
        <v>84</v>
      </c>
      <c r="G2733" s="1" t="s">
        <v>57</v>
      </c>
      <c r="H2733" s="1" t="s">
        <v>122</v>
      </c>
      <c r="I2733" s="1">
        <v>1875.06</v>
      </c>
      <c r="J2733" s="1">
        <v>6</v>
      </c>
      <c r="K2733" s="1">
        <v>11250.36</v>
      </c>
      <c r="L2733" s="1">
        <v>0</v>
      </c>
      <c r="M2733" s="1">
        <v>0</v>
      </c>
      <c r="N2733" s="1">
        <v>11250.36</v>
      </c>
      <c r="O2733" s="1" t="s">
        <v>24</v>
      </c>
      <c r="P2733" s="1" t="s">
        <v>2143</v>
      </c>
      <c r="Q2733" s="1">
        <v>2</v>
      </c>
      <c r="R2733" s="1">
        <f>Retail_Sales_Analyis[[#This Row],[Final_Price]]-Retail_Sales_Analyis[[#This Row],[Total_Price]]</f>
        <v>0</v>
      </c>
      <c r="S27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34" spans="1:19" x14ac:dyDescent="0.25">
      <c r="A2734" s="1" t="s">
        <v>3816</v>
      </c>
      <c r="B2734" s="2">
        <v>45333</v>
      </c>
      <c r="C2734" s="1" t="s">
        <v>27</v>
      </c>
      <c r="D2734" s="1" t="s">
        <v>49</v>
      </c>
      <c r="E2734" s="1" t="s">
        <v>29</v>
      </c>
      <c r="F2734" s="1" t="s">
        <v>37</v>
      </c>
      <c r="G2734" s="1" t="s">
        <v>78</v>
      </c>
      <c r="H2734" s="1" t="s">
        <v>146</v>
      </c>
      <c r="I2734" s="1">
        <v>192.22</v>
      </c>
      <c r="J2734" s="1">
        <v>7</v>
      </c>
      <c r="K2734" s="1">
        <v>1345.54</v>
      </c>
      <c r="L2734" s="1">
        <v>0</v>
      </c>
      <c r="M2734" s="1">
        <v>0</v>
      </c>
      <c r="N2734" s="1">
        <v>1345.54</v>
      </c>
      <c r="O2734" s="1" t="s">
        <v>24</v>
      </c>
      <c r="P2734" s="1" t="s">
        <v>1054</v>
      </c>
      <c r="Q2734" s="1">
        <v>5</v>
      </c>
      <c r="R2734" s="1">
        <f>Retail_Sales_Analyis[[#This Row],[Final_Price]]-Retail_Sales_Analyis[[#This Row],[Total_Price]]</f>
        <v>0</v>
      </c>
      <c r="S27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35" spans="1:19" x14ac:dyDescent="0.25">
      <c r="A2735" s="1" t="s">
        <v>3817</v>
      </c>
      <c r="B2735" s="2">
        <v>45561</v>
      </c>
      <c r="C2735" s="1" t="s">
        <v>116</v>
      </c>
      <c r="D2735" s="1" t="s">
        <v>67</v>
      </c>
      <c r="E2735" s="1" t="s">
        <v>20</v>
      </c>
      <c r="F2735" s="1" t="s">
        <v>84</v>
      </c>
      <c r="G2735" s="1" t="s">
        <v>31</v>
      </c>
      <c r="H2735" s="1" t="s">
        <v>45</v>
      </c>
      <c r="I2735" s="1">
        <v>229.97</v>
      </c>
      <c r="J2735" s="1">
        <v>6</v>
      </c>
      <c r="K2735" s="1">
        <v>1379.82</v>
      </c>
      <c r="L2735" s="1">
        <v>20</v>
      </c>
      <c r="M2735" s="1">
        <v>275.95999999999998</v>
      </c>
      <c r="N2735" s="1">
        <v>1103.8599999999999</v>
      </c>
      <c r="O2735" s="1" t="s">
        <v>80</v>
      </c>
      <c r="P2735" s="1" t="s">
        <v>3511</v>
      </c>
      <c r="Q2735" s="1">
        <v>1</v>
      </c>
      <c r="R2735" s="1">
        <f>Retail_Sales_Analyis[[#This Row],[Final_Price]]-Retail_Sales_Analyis[[#This Row],[Total_Price]]</f>
        <v>-275.96000000000004</v>
      </c>
      <c r="S27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36" spans="1:19" x14ac:dyDescent="0.25">
      <c r="A2736" s="1" t="s">
        <v>3818</v>
      </c>
      <c r="B2736" s="2">
        <v>45520</v>
      </c>
      <c r="C2736" s="1" t="s">
        <v>93</v>
      </c>
      <c r="D2736" s="1" t="s">
        <v>144</v>
      </c>
      <c r="E2736" s="1" t="s">
        <v>328</v>
      </c>
      <c r="F2736" s="1" t="s">
        <v>30</v>
      </c>
      <c r="G2736" s="1" t="s">
        <v>38</v>
      </c>
      <c r="H2736" s="1" t="s">
        <v>422</v>
      </c>
      <c r="I2736" s="1">
        <v>717.35</v>
      </c>
      <c r="J2736" s="1">
        <v>10</v>
      </c>
      <c r="K2736" s="1">
        <v>7173.5</v>
      </c>
      <c r="L2736" s="1">
        <v>10</v>
      </c>
      <c r="M2736" s="1">
        <v>717.35</v>
      </c>
      <c r="N2736" s="1">
        <v>6456.15</v>
      </c>
      <c r="O2736" s="1" t="s">
        <v>33</v>
      </c>
      <c r="P2736" s="1" t="s">
        <v>387</v>
      </c>
      <c r="Q2736" s="1">
        <v>2</v>
      </c>
      <c r="R2736" s="1">
        <f>Retail_Sales_Analyis[[#This Row],[Final_Price]]-Retail_Sales_Analyis[[#This Row],[Total_Price]]</f>
        <v>-717.35000000000036</v>
      </c>
      <c r="S27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37" spans="1:19" x14ac:dyDescent="0.25">
      <c r="A2737" s="1" t="s">
        <v>3819</v>
      </c>
      <c r="B2737" s="2">
        <v>45562</v>
      </c>
      <c r="C2737" s="1" t="s">
        <v>116</v>
      </c>
      <c r="D2737" s="1" t="s">
        <v>144</v>
      </c>
      <c r="E2737" s="1" t="s">
        <v>56</v>
      </c>
      <c r="F2737" s="1" t="s">
        <v>69</v>
      </c>
      <c r="G2737" s="1" t="s">
        <v>112</v>
      </c>
      <c r="H2737" s="1" t="s">
        <v>183</v>
      </c>
      <c r="I2737" s="1">
        <v>1977.91</v>
      </c>
      <c r="J2737" s="1">
        <v>10</v>
      </c>
      <c r="K2737" s="1">
        <v>19779.099999999999</v>
      </c>
      <c r="L2737" s="1">
        <v>10</v>
      </c>
      <c r="M2737" s="1">
        <v>1977.91</v>
      </c>
      <c r="N2737" s="1">
        <v>17801.189999999999</v>
      </c>
      <c r="O2737" s="1" t="s">
        <v>64</v>
      </c>
      <c r="P2737" s="1" t="s">
        <v>3820</v>
      </c>
      <c r="Q2737" s="1">
        <v>1</v>
      </c>
      <c r="R2737" s="1">
        <f>Retail_Sales_Analyis[[#This Row],[Final_Price]]-Retail_Sales_Analyis[[#This Row],[Total_Price]]</f>
        <v>-1977.9099999999999</v>
      </c>
      <c r="S27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38" spans="1:19" x14ac:dyDescent="0.25">
      <c r="A2738" s="1" t="s">
        <v>3821</v>
      </c>
      <c r="B2738" s="2">
        <v>45652</v>
      </c>
      <c r="C2738" s="1" t="s">
        <v>73</v>
      </c>
      <c r="D2738" s="1" t="s">
        <v>67</v>
      </c>
      <c r="E2738" s="1" t="s">
        <v>192</v>
      </c>
      <c r="F2738" s="1" t="s">
        <v>37</v>
      </c>
      <c r="G2738" s="1" t="s">
        <v>57</v>
      </c>
      <c r="H2738" s="1" t="s">
        <v>158</v>
      </c>
      <c r="I2738" s="1">
        <v>2022.38</v>
      </c>
      <c r="J2738" s="1">
        <v>2</v>
      </c>
      <c r="K2738" s="1">
        <v>4044.76</v>
      </c>
      <c r="L2738" s="1">
        <v>5</v>
      </c>
      <c r="M2738" s="1">
        <v>202.24</v>
      </c>
      <c r="N2738" s="1">
        <v>3842.52</v>
      </c>
      <c r="O2738" s="1" t="s">
        <v>33</v>
      </c>
      <c r="P2738" s="1" t="s">
        <v>1855</v>
      </c>
      <c r="Q2738" s="1">
        <v>5</v>
      </c>
      <c r="R2738" s="1">
        <f>Retail_Sales_Analyis[[#This Row],[Final_Price]]-Retail_Sales_Analyis[[#This Row],[Total_Price]]</f>
        <v>-202.24000000000024</v>
      </c>
      <c r="S27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39" spans="1:19" x14ac:dyDescent="0.25">
      <c r="A2739" s="1" t="s">
        <v>3822</v>
      </c>
      <c r="B2739" s="2">
        <v>45477</v>
      </c>
      <c r="C2739" s="1" t="s">
        <v>195</v>
      </c>
      <c r="D2739" s="1" t="s">
        <v>67</v>
      </c>
      <c r="E2739" s="1" t="s">
        <v>337</v>
      </c>
      <c r="F2739" s="1" t="s">
        <v>69</v>
      </c>
      <c r="G2739" s="1" t="s">
        <v>57</v>
      </c>
      <c r="H2739" s="1" t="s">
        <v>101</v>
      </c>
      <c r="I2739" s="1">
        <v>2896.38</v>
      </c>
      <c r="J2739" s="1">
        <v>8</v>
      </c>
      <c r="K2739" s="1">
        <v>23171.040000000001</v>
      </c>
      <c r="L2739" s="1">
        <v>0</v>
      </c>
      <c r="M2739" s="1">
        <v>0</v>
      </c>
      <c r="N2739" s="1">
        <v>23171.040000000001</v>
      </c>
      <c r="O2739" s="1" t="s">
        <v>33</v>
      </c>
      <c r="P2739" s="1" t="s">
        <v>1589</v>
      </c>
      <c r="Q2739" s="1">
        <v>4</v>
      </c>
      <c r="R2739" s="1">
        <f>Retail_Sales_Analyis[[#This Row],[Final_Price]]-Retail_Sales_Analyis[[#This Row],[Total_Price]]</f>
        <v>0</v>
      </c>
      <c r="S27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0" spans="1:19" x14ac:dyDescent="0.25">
      <c r="A2740" s="1" t="s">
        <v>3823</v>
      </c>
      <c r="B2740" s="2">
        <v>45331</v>
      </c>
      <c r="C2740" s="1" t="s">
        <v>27</v>
      </c>
      <c r="D2740" s="1" t="s">
        <v>144</v>
      </c>
      <c r="E2740" s="1" t="s">
        <v>97</v>
      </c>
      <c r="F2740" s="1" t="s">
        <v>21</v>
      </c>
      <c r="G2740" s="1" t="s">
        <v>85</v>
      </c>
      <c r="H2740" s="1" t="s">
        <v>297</v>
      </c>
      <c r="I2740" s="1">
        <v>2915.29</v>
      </c>
      <c r="J2740" s="1">
        <v>4</v>
      </c>
      <c r="K2740" s="1">
        <v>11661.16</v>
      </c>
      <c r="L2740" s="1">
        <v>15</v>
      </c>
      <c r="M2740" s="1">
        <v>1749.17</v>
      </c>
      <c r="N2740" s="1">
        <v>9911.99</v>
      </c>
      <c r="O2740" s="1" t="s">
        <v>46</v>
      </c>
      <c r="P2740" s="1" t="s">
        <v>455</v>
      </c>
      <c r="Q2740" s="1">
        <v>1</v>
      </c>
      <c r="R2740" s="1">
        <f>Retail_Sales_Analyis[[#This Row],[Final_Price]]-Retail_Sales_Analyis[[#This Row],[Total_Price]]</f>
        <v>-1749.17</v>
      </c>
      <c r="S27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41" spans="1:19" x14ac:dyDescent="0.25">
      <c r="A2741" s="1" t="s">
        <v>3824</v>
      </c>
      <c r="B2741" s="2">
        <v>45580</v>
      </c>
      <c r="C2741" s="1" t="s">
        <v>76</v>
      </c>
      <c r="D2741" s="1" t="s">
        <v>28</v>
      </c>
      <c r="E2741" s="1" t="s">
        <v>204</v>
      </c>
      <c r="F2741" s="1" t="s">
        <v>21</v>
      </c>
      <c r="G2741" s="1" t="s">
        <v>85</v>
      </c>
      <c r="H2741" s="1" t="s">
        <v>98</v>
      </c>
      <c r="I2741" s="1">
        <v>3585.36</v>
      </c>
      <c r="J2741" s="1">
        <v>5</v>
      </c>
      <c r="K2741" s="1">
        <v>17926.8</v>
      </c>
      <c r="L2741" s="1">
        <v>0</v>
      </c>
      <c r="M2741" s="1">
        <v>0</v>
      </c>
      <c r="N2741" s="1">
        <v>17926.8</v>
      </c>
      <c r="O2741" s="1" t="s">
        <v>80</v>
      </c>
      <c r="P2741" s="1" t="s">
        <v>2663</v>
      </c>
      <c r="Q2741" s="1">
        <v>5</v>
      </c>
      <c r="R2741" s="1">
        <f>Retail_Sales_Analyis[[#This Row],[Final_Price]]-Retail_Sales_Analyis[[#This Row],[Total_Price]]</f>
        <v>0</v>
      </c>
      <c r="S27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2" spans="1:19" x14ac:dyDescent="0.25">
      <c r="A2742" s="1" t="s">
        <v>3825</v>
      </c>
      <c r="B2742" s="2">
        <v>45349</v>
      </c>
      <c r="C2742" s="1" t="s">
        <v>27</v>
      </c>
      <c r="D2742" s="1" t="s">
        <v>28</v>
      </c>
      <c r="E2742" s="1" t="s">
        <v>166</v>
      </c>
      <c r="F2742" s="1" t="s">
        <v>30</v>
      </c>
      <c r="G2742" s="1" t="s">
        <v>112</v>
      </c>
      <c r="H2742" s="1" t="s">
        <v>288</v>
      </c>
      <c r="I2742" s="1">
        <v>1510.56</v>
      </c>
      <c r="J2742" s="1">
        <v>4</v>
      </c>
      <c r="K2742" s="1">
        <v>6042.24</v>
      </c>
      <c r="L2742" s="1">
        <v>0</v>
      </c>
      <c r="M2742" s="1">
        <v>0</v>
      </c>
      <c r="N2742" s="1">
        <v>6042.24</v>
      </c>
      <c r="O2742" s="1" t="s">
        <v>64</v>
      </c>
      <c r="P2742" s="1" t="s">
        <v>993</v>
      </c>
      <c r="Q2742" s="1">
        <v>4</v>
      </c>
      <c r="R2742" s="1">
        <f>Retail_Sales_Analyis[[#This Row],[Final_Price]]-Retail_Sales_Analyis[[#This Row],[Total_Price]]</f>
        <v>0</v>
      </c>
      <c r="S27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3" spans="1:19" x14ac:dyDescent="0.25">
      <c r="A2743" s="1" t="s">
        <v>3826</v>
      </c>
      <c r="B2743" s="2">
        <v>45323</v>
      </c>
      <c r="C2743" s="1" t="s">
        <v>27</v>
      </c>
      <c r="D2743" s="1" t="s">
        <v>67</v>
      </c>
      <c r="E2743" s="1" t="s">
        <v>199</v>
      </c>
      <c r="F2743" s="1" t="s">
        <v>21</v>
      </c>
      <c r="G2743" s="1" t="s">
        <v>112</v>
      </c>
      <c r="H2743" s="1" t="s">
        <v>223</v>
      </c>
      <c r="I2743" s="1">
        <v>1837.34</v>
      </c>
      <c r="J2743" s="1">
        <v>2</v>
      </c>
      <c r="K2743" s="1">
        <v>3674.68</v>
      </c>
      <c r="L2743" s="1">
        <v>15</v>
      </c>
      <c r="M2743" s="1">
        <v>551.20000000000005</v>
      </c>
      <c r="N2743" s="1">
        <v>3123.48</v>
      </c>
      <c r="O2743" s="1" t="s">
        <v>46</v>
      </c>
      <c r="P2743" s="1" t="s">
        <v>155</v>
      </c>
      <c r="Q2743" s="1">
        <v>3</v>
      </c>
      <c r="R2743" s="1">
        <f>Retail_Sales_Analyis[[#This Row],[Final_Price]]-Retail_Sales_Analyis[[#This Row],[Total_Price]]</f>
        <v>-551.19999999999982</v>
      </c>
      <c r="S27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44" spans="1:19" x14ac:dyDescent="0.25">
      <c r="A2744" s="1" t="s">
        <v>3827</v>
      </c>
      <c r="B2744" s="2">
        <v>45572</v>
      </c>
      <c r="C2744" s="1" t="s">
        <v>76</v>
      </c>
      <c r="D2744" s="1" t="s">
        <v>43</v>
      </c>
      <c r="E2744" s="1" t="s">
        <v>174</v>
      </c>
      <c r="F2744" s="1" t="s">
        <v>30</v>
      </c>
      <c r="G2744" s="1" t="s">
        <v>38</v>
      </c>
      <c r="H2744" s="1" t="s">
        <v>214</v>
      </c>
      <c r="I2744" s="1">
        <v>568.58000000000004</v>
      </c>
      <c r="J2744" s="1">
        <v>1</v>
      </c>
      <c r="K2744" s="1">
        <v>568.58000000000004</v>
      </c>
      <c r="L2744" s="1">
        <v>0</v>
      </c>
      <c r="M2744" s="1">
        <v>0</v>
      </c>
      <c r="N2744" s="1">
        <v>568.58000000000004</v>
      </c>
      <c r="O2744" s="1" t="s">
        <v>46</v>
      </c>
      <c r="P2744" s="1" t="s">
        <v>2823</v>
      </c>
      <c r="Q2744" s="1">
        <v>2</v>
      </c>
      <c r="R2744" s="1">
        <f>Retail_Sales_Analyis[[#This Row],[Final_Price]]-Retail_Sales_Analyis[[#This Row],[Total_Price]]</f>
        <v>0</v>
      </c>
      <c r="S27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5" spans="1:19" x14ac:dyDescent="0.25">
      <c r="A2745" s="1" t="s">
        <v>3828</v>
      </c>
      <c r="B2745" s="2">
        <v>45550</v>
      </c>
      <c r="C2745" s="1" t="s">
        <v>116</v>
      </c>
      <c r="D2745" s="1" t="s">
        <v>49</v>
      </c>
      <c r="E2745" s="1" t="s">
        <v>104</v>
      </c>
      <c r="F2745" s="1" t="s">
        <v>37</v>
      </c>
      <c r="G2745" s="1" t="s">
        <v>38</v>
      </c>
      <c r="H2745" s="1" t="s">
        <v>108</v>
      </c>
      <c r="I2745" s="1">
        <v>387.95</v>
      </c>
      <c r="J2745" s="1">
        <v>2</v>
      </c>
      <c r="K2745" s="1">
        <v>775.9</v>
      </c>
      <c r="L2745" s="1">
        <v>0</v>
      </c>
      <c r="M2745" s="1">
        <v>0</v>
      </c>
      <c r="N2745" s="1">
        <v>775.9</v>
      </c>
      <c r="O2745" s="1" t="s">
        <v>80</v>
      </c>
      <c r="P2745" s="1" t="s">
        <v>3829</v>
      </c>
      <c r="Q2745" s="1">
        <v>4</v>
      </c>
      <c r="R2745" s="1">
        <f>Retail_Sales_Analyis[[#This Row],[Final_Price]]-Retail_Sales_Analyis[[#This Row],[Total_Price]]</f>
        <v>0</v>
      </c>
      <c r="S27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6" spans="1:19" x14ac:dyDescent="0.25">
      <c r="A2746" s="1" t="s">
        <v>3830</v>
      </c>
      <c r="B2746" s="2">
        <v>45395</v>
      </c>
      <c r="C2746" s="1" t="s">
        <v>54</v>
      </c>
      <c r="D2746" s="1" t="s">
        <v>19</v>
      </c>
      <c r="E2746" s="1" t="s">
        <v>44</v>
      </c>
      <c r="F2746" s="1" t="s">
        <v>30</v>
      </c>
      <c r="G2746" s="1" t="s">
        <v>22</v>
      </c>
      <c r="H2746" s="1" t="s">
        <v>277</v>
      </c>
      <c r="I2746" s="1">
        <v>206.45</v>
      </c>
      <c r="J2746" s="1">
        <v>10</v>
      </c>
      <c r="K2746" s="1">
        <v>2064.5</v>
      </c>
      <c r="L2746" s="1">
        <v>0</v>
      </c>
      <c r="M2746" s="1">
        <v>0</v>
      </c>
      <c r="N2746" s="1">
        <v>2064.5</v>
      </c>
      <c r="O2746" s="1" t="s">
        <v>24</v>
      </c>
      <c r="P2746" s="1" t="s">
        <v>1282</v>
      </c>
      <c r="Q2746" s="1">
        <v>3</v>
      </c>
      <c r="R2746" s="1">
        <f>Retail_Sales_Analyis[[#This Row],[Final_Price]]-Retail_Sales_Analyis[[#This Row],[Total_Price]]</f>
        <v>0</v>
      </c>
      <c r="S27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7" spans="1:19" x14ac:dyDescent="0.25">
      <c r="A2747" s="1" t="s">
        <v>3831</v>
      </c>
      <c r="B2747" s="2">
        <v>45585</v>
      </c>
      <c r="C2747" s="1" t="s">
        <v>76</v>
      </c>
      <c r="D2747" s="1" t="s">
        <v>49</v>
      </c>
      <c r="E2747" s="1" t="s">
        <v>166</v>
      </c>
      <c r="F2747" s="1" t="s">
        <v>37</v>
      </c>
      <c r="G2747" s="1" t="s">
        <v>169</v>
      </c>
      <c r="H2747" s="1" t="s">
        <v>366</v>
      </c>
      <c r="I2747" s="1">
        <v>860.95</v>
      </c>
      <c r="J2747" s="1">
        <v>6</v>
      </c>
      <c r="K2747" s="1">
        <v>5165.7</v>
      </c>
      <c r="L2747" s="1">
        <v>0</v>
      </c>
      <c r="M2747" s="1">
        <v>0</v>
      </c>
      <c r="N2747" s="1">
        <v>5165.7</v>
      </c>
      <c r="O2747" s="1" t="s">
        <v>64</v>
      </c>
      <c r="P2747" s="1" t="s">
        <v>2041</v>
      </c>
      <c r="Q2747" s="1">
        <v>3</v>
      </c>
      <c r="R2747" s="1">
        <f>Retail_Sales_Analyis[[#This Row],[Final_Price]]-Retail_Sales_Analyis[[#This Row],[Total_Price]]</f>
        <v>0</v>
      </c>
      <c r="S27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48" spans="1:19" x14ac:dyDescent="0.25">
      <c r="A2748" s="1" t="s">
        <v>3832</v>
      </c>
      <c r="B2748" s="2">
        <v>45566</v>
      </c>
      <c r="C2748" s="1" t="s">
        <v>76</v>
      </c>
      <c r="D2748" s="1" t="s">
        <v>28</v>
      </c>
      <c r="E2748" s="1" t="s">
        <v>337</v>
      </c>
      <c r="F2748" s="1" t="s">
        <v>21</v>
      </c>
      <c r="G2748" s="1" t="s">
        <v>112</v>
      </c>
      <c r="H2748" s="1" t="s">
        <v>183</v>
      </c>
      <c r="I2748" s="1">
        <v>1863.95</v>
      </c>
      <c r="J2748" s="1">
        <v>3</v>
      </c>
      <c r="K2748" s="1">
        <v>5591.85</v>
      </c>
      <c r="L2748" s="1">
        <v>5</v>
      </c>
      <c r="M2748" s="1">
        <v>279.58999999999997</v>
      </c>
      <c r="N2748" s="1">
        <v>5312.26</v>
      </c>
      <c r="O2748" s="1" t="s">
        <v>24</v>
      </c>
      <c r="P2748" s="1" t="s">
        <v>193</v>
      </c>
      <c r="Q2748" s="1">
        <v>1</v>
      </c>
      <c r="R2748" s="1">
        <f>Retail_Sales_Analyis[[#This Row],[Final_Price]]-Retail_Sales_Analyis[[#This Row],[Total_Price]]</f>
        <v>-279.59000000000015</v>
      </c>
      <c r="S27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49" spans="1:19" x14ac:dyDescent="0.25">
      <c r="A2749" s="1" t="s">
        <v>3833</v>
      </c>
      <c r="B2749" s="2">
        <v>45368</v>
      </c>
      <c r="C2749" s="1" t="s">
        <v>61</v>
      </c>
      <c r="D2749" s="1" t="s">
        <v>49</v>
      </c>
      <c r="E2749" s="1" t="s">
        <v>129</v>
      </c>
      <c r="F2749" s="1" t="s">
        <v>37</v>
      </c>
      <c r="G2749" s="1" t="s">
        <v>22</v>
      </c>
      <c r="H2749" s="1" t="s">
        <v>277</v>
      </c>
      <c r="I2749" s="1">
        <v>693.2</v>
      </c>
      <c r="J2749" s="1">
        <v>3</v>
      </c>
      <c r="K2749" s="1">
        <v>2079.6</v>
      </c>
      <c r="L2749" s="1">
        <v>15</v>
      </c>
      <c r="M2749" s="1">
        <v>311.94</v>
      </c>
      <c r="N2749" s="1">
        <v>1767.66</v>
      </c>
      <c r="O2749" s="1" t="s">
        <v>80</v>
      </c>
      <c r="P2749" s="1" t="s">
        <v>1125</v>
      </c>
      <c r="Q2749" s="1">
        <v>5</v>
      </c>
      <c r="R2749" s="1">
        <f>Retail_Sales_Analyis[[#This Row],[Final_Price]]-Retail_Sales_Analyis[[#This Row],[Total_Price]]</f>
        <v>-311.93999999999983</v>
      </c>
      <c r="S27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0" spans="1:19" x14ac:dyDescent="0.25">
      <c r="A2750" s="1" t="s">
        <v>3834</v>
      </c>
      <c r="B2750" s="2">
        <v>45376</v>
      </c>
      <c r="C2750" s="1" t="s">
        <v>61</v>
      </c>
      <c r="D2750" s="1" t="s">
        <v>43</v>
      </c>
      <c r="E2750" s="1" t="s">
        <v>89</v>
      </c>
      <c r="F2750" s="1" t="s">
        <v>21</v>
      </c>
      <c r="G2750" s="1" t="s">
        <v>85</v>
      </c>
      <c r="H2750" s="1" t="s">
        <v>98</v>
      </c>
      <c r="I2750" s="1">
        <v>2921.14</v>
      </c>
      <c r="J2750" s="1">
        <v>7</v>
      </c>
      <c r="K2750" s="1">
        <v>20447.98</v>
      </c>
      <c r="L2750" s="1">
        <v>5</v>
      </c>
      <c r="M2750" s="1">
        <v>1022.4</v>
      </c>
      <c r="N2750" s="1">
        <v>19425.580000000002</v>
      </c>
      <c r="O2750" s="1" t="s">
        <v>80</v>
      </c>
      <c r="P2750" s="1" t="s">
        <v>2821</v>
      </c>
      <c r="Q2750" s="1">
        <v>4</v>
      </c>
      <c r="R2750" s="1">
        <f>Retail_Sales_Analyis[[#This Row],[Final_Price]]-Retail_Sales_Analyis[[#This Row],[Total_Price]]</f>
        <v>-1022.3999999999978</v>
      </c>
      <c r="S27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51" spans="1:19" x14ac:dyDescent="0.25">
      <c r="A2751" s="1" t="s">
        <v>3835</v>
      </c>
      <c r="B2751" s="2">
        <v>45459</v>
      </c>
      <c r="C2751" s="1" t="s">
        <v>173</v>
      </c>
      <c r="D2751" s="1" t="s">
        <v>49</v>
      </c>
      <c r="E2751" s="1" t="s">
        <v>196</v>
      </c>
      <c r="F2751" s="1" t="s">
        <v>30</v>
      </c>
      <c r="G2751" s="1" t="s">
        <v>85</v>
      </c>
      <c r="H2751" s="1" t="s">
        <v>90</v>
      </c>
      <c r="I2751" s="1">
        <v>2387.9</v>
      </c>
      <c r="J2751" s="1">
        <v>4</v>
      </c>
      <c r="K2751" s="1">
        <v>9551.6</v>
      </c>
      <c r="L2751" s="1">
        <v>10</v>
      </c>
      <c r="M2751" s="1">
        <v>955.16</v>
      </c>
      <c r="N2751" s="1">
        <v>8596.44</v>
      </c>
      <c r="O2751" s="1" t="s">
        <v>33</v>
      </c>
      <c r="P2751" s="1" t="s">
        <v>248</v>
      </c>
      <c r="Q2751" s="1">
        <v>1</v>
      </c>
      <c r="R2751" s="1">
        <f>Retail_Sales_Analyis[[#This Row],[Final_Price]]-Retail_Sales_Analyis[[#This Row],[Total_Price]]</f>
        <v>-955.15999999999985</v>
      </c>
      <c r="S27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2" spans="1:19" x14ac:dyDescent="0.25">
      <c r="A2752" s="1" t="s">
        <v>3836</v>
      </c>
      <c r="B2752" s="2">
        <v>45558</v>
      </c>
      <c r="C2752" s="1" t="s">
        <v>116</v>
      </c>
      <c r="D2752" s="1" t="s">
        <v>43</v>
      </c>
      <c r="E2752" s="1" t="s">
        <v>125</v>
      </c>
      <c r="F2752" s="1" t="s">
        <v>30</v>
      </c>
      <c r="G2752" s="1" t="s">
        <v>169</v>
      </c>
      <c r="H2752" s="1" t="s">
        <v>170</v>
      </c>
      <c r="I2752" s="1">
        <v>1238.92</v>
      </c>
      <c r="J2752" s="1">
        <v>4</v>
      </c>
      <c r="K2752" s="1">
        <v>4955.68</v>
      </c>
      <c r="L2752" s="1">
        <v>10</v>
      </c>
      <c r="M2752" s="1">
        <v>495.57</v>
      </c>
      <c r="N2752" s="1">
        <v>4460.1099999999997</v>
      </c>
      <c r="O2752" s="1" t="s">
        <v>24</v>
      </c>
      <c r="P2752" s="1" t="s">
        <v>1887</v>
      </c>
      <c r="Q2752" s="1">
        <v>5</v>
      </c>
      <c r="R2752" s="1">
        <f>Retail_Sales_Analyis[[#This Row],[Final_Price]]-Retail_Sales_Analyis[[#This Row],[Total_Price]]</f>
        <v>-495.57000000000062</v>
      </c>
      <c r="S27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3" spans="1:19" x14ac:dyDescent="0.25">
      <c r="A2753" s="1" t="s">
        <v>3837</v>
      </c>
      <c r="B2753" s="2">
        <v>45518</v>
      </c>
      <c r="C2753" s="1" t="s">
        <v>93</v>
      </c>
      <c r="D2753" s="1" t="s">
        <v>55</v>
      </c>
      <c r="E2753" s="1" t="s">
        <v>117</v>
      </c>
      <c r="F2753" s="1" t="s">
        <v>21</v>
      </c>
      <c r="G2753" s="1" t="s">
        <v>38</v>
      </c>
      <c r="H2753" s="1" t="s">
        <v>214</v>
      </c>
      <c r="I2753" s="1">
        <v>305.83999999999997</v>
      </c>
      <c r="J2753" s="1">
        <v>7</v>
      </c>
      <c r="K2753" s="1">
        <v>2140.88</v>
      </c>
      <c r="L2753" s="1">
        <v>5</v>
      </c>
      <c r="M2753" s="1">
        <v>107.04</v>
      </c>
      <c r="N2753" s="1">
        <v>2033.84</v>
      </c>
      <c r="O2753" s="1" t="s">
        <v>64</v>
      </c>
      <c r="P2753" s="1" t="s">
        <v>1221</v>
      </c>
      <c r="Q2753" s="1">
        <v>5</v>
      </c>
      <c r="R2753" s="1">
        <f>Retail_Sales_Analyis[[#This Row],[Final_Price]]-Retail_Sales_Analyis[[#This Row],[Total_Price]]</f>
        <v>-107.04000000000019</v>
      </c>
      <c r="S27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54" spans="1:19" x14ac:dyDescent="0.25">
      <c r="A2754" s="1" t="s">
        <v>3838</v>
      </c>
      <c r="B2754" s="2">
        <v>45351</v>
      </c>
      <c r="C2754" s="1" t="s">
        <v>27</v>
      </c>
      <c r="D2754" s="1" t="s">
        <v>67</v>
      </c>
      <c r="E2754" s="1" t="s">
        <v>89</v>
      </c>
      <c r="F2754" s="1" t="s">
        <v>21</v>
      </c>
      <c r="G2754" s="1" t="s">
        <v>22</v>
      </c>
      <c r="H2754" s="1" t="s">
        <v>23</v>
      </c>
      <c r="I2754" s="1">
        <v>361.26</v>
      </c>
      <c r="J2754" s="1">
        <v>5</v>
      </c>
      <c r="K2754" s="1">
        <v>1806.3</v>
      </c>
      <c r="L2754" s="1">
        <v>15</v>
      </c>
      <c r="M2754" s="1">
        <v>270.94</v>
      </c>
      <c r="N2754" s="1">
        <v>1535.36</v>
      </c>
      <c r="O2754" s="1" t="s">
        <v>80</v>
      </c>
      <c r="P2754" s="1" t="s">
        <v>1242</v>
      </c>
      <c r="Q2754" s="1">
        <v>5</v>
      </c>
      <c r="R2754" s="1">
        <f>Retail_Sales_Analyis[[#This Row],[Final_Price]]-Retail_Sales_Analyis[[#This Row],[Total_Price]]</f>
        <v>-270.94000000000005</v>
      </c>
      <c r="S27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5" spans="1:19" x14ac:dyDescent="0.25">
      <c r="A2755" s="1" t="s">
        <v>3839</v>
      </c>
      <c r="B2755" s="2">
        <v>45640</v>
      </c>
      <c r="C2755" s="1" t="s">
        <v>73</v>
      </c>
      <c r="D2755" s="1" t="s">
        <v>19</v>
      </c>
      <c r="E2755" s="1" t="s">
        <v>302</v>
      </c>
      <c r="F2755" s="1" t="s">
        <v>84</v>
      </c>
      <c r="G2755" s="1" t="s">
        <v>57</v>
      </c>
      <c r="H2755" s="1" t="s">
        <v>158</v>
      </c>
      <c r="I2755" s="1">
        <v>784.32</v>
      </c>
      <c r="J2755" s="1">
        <v>6</v>
      </c>
      <c r="K2755" s="1">
        <v>4705.92</v>
      </c>
      <c r="L2755" s="1">
        <v>0</v>
      </c>
      <c r="M2755" s="1">
        <v>0</v>
      </c>
      <c r="N2755" s="1">
        <v>4705.92</v>
      </c>
      <c r="O2755" s="1" t="s">
        <v>80</v>
      </c>
      <c r="P2755" s="1" t="s">
        <v>2098</v>
      </c>
      <c r="Q2755" s="1">
        <v>4</v>
      </c>
      <c r="R2755" s="1">
        <f>Retail_Sales_Analyis[[#This Row],[Final_Price]]-Retail_Sales_Analyis[[#This Row],[Total_Price]]</f>
        <v>0</v>
      </c>
      <c r="S27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56" spans="1:19" x14ac:dyDescent="0.25">
      <c r="A2756" s="1" t="s">
        <v>3840</v>
      </c>
      <c r="B2756" s="2">
        <v>45397</v>
      </c>
      <c r="C2756" s="1" t="s">
        <v>54</v>
      </c>
      <c r="D2756" s="1" t="s">
        <v>43</v>
      </c>
      <c r="E2756" s="1" t="s">
        <v>94</v>
      </c>
      <c r="F2756" s="1" t="s">
        <v>21</v>
      </c>
      <c r="G2756" s="1" t="s">
        <v>112</v>
      </c>
      <c r="H2756" s="1" t="s">
        <v>183</v>
      </c>
      <c r="I2756" s="1">
        <v>1151.99</v>
      </c>
      <c r="J2756" s="1">
        <v>6</v>
      </c>
      <c r="K2756" s="1">
        <v>6911.94</v>
      </c>
      <c r="L2756" s="1">
        <v>20</v>
      </c>
      <c r="M2756" s="1">
        <v>1382.39</v>
      </c>
      <c r="N2756" s="1">
        <v>5529.55</v>
      </c>
      <c r="O2756" s="1" t="s">
        <v>46</v>
      </c>
      <c r="P2756" s="1" t="s">
        <v>205</v>
      </c>
      <c r="Q2756" s="1">
        <v>2</v>
      </c>
      <c r="R2756" s="1">
        <f>Retail_Sales_Analyis[[#This Row],[Final_Price]]-Retail_Sales_Analyis[[#This Row],[Total_Price]]</f>
        <v>-1382.3899999999994</v>
      </c>
      <c r="S27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57" spans="1:19" x14ac:dyDescent="0.25">
      <c r="A2757" s="1" t="s">
        <v>3841</v>
      </c>
      <c r="B2757" s="2">
        <v>45590</v>
      </c>
      <c r="C2757" s="1" t="s">
        <v>76</v>
      </c>
      <c r="D2757" s="1" t="s">
        <v>144</v>
      </c>
      <c r="E2757" s="1" t="s">
        <v>337</v>
      </c>
      <c r="F2757" s="1" t="s">
        <v>69</v>
      </c>
      <c r="G2757" s="1" t="s">
        <v>85</v>
      </c>
      <c r="H2757" s="1" t="s">
        <v>86</v>
      </c>
      <c r="I2757" s="1">
        <v>4775.1099999999997</v>
      </c>
      <c r="J2757" s="1">
        <v>3</v>
      </c>
      <c r="K2757" s="1">
        <v>14325.33</v>
      </c>
      <c r="L2757" s="1">
        <v>10</v>
      </c>
      <c r="M2757" s="1">
        <v>1432.53</v>
      </c>
      <c r="N2757" s="1">
        <v>12892.8</v>
      </c>
      <c r="O2757" s="1" t="s">
        <v>46</v>
      </c>
      <c r="P2757" s="1" t="s">
        <v>1570</v>
      </c>
      <c r="Q2757" s="1">
        <v>3</v>
      </c>
      <c r="R2757" s="1">
        <f>Retail_Sales_Analyis[[#This Row],[Final_Price]]-Retail_Sales_Analyis[[#This Row],[Total_Price]]</f>
        <v>-1432.5300000000007</v>
      </c>
      <c r="S27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8" spans="1:19" x14ac:dyDescent="0.25">
      <c r="A2758" s="1" t="s">
        <v>3842</v>
      </c>
      <c r="B2758" s="2">
        <v>45542</v>
      </c>
      <c r="C2758" s="1" t="s">
        <v>116</v>
      </c>
      <c r="D2758" s="1" t="s">
        <v>19</v>
      </c>
      <c r="E2758" s="1" t="s">
        <v>174</v>
      </c>
      <c r="F2758" s="1" t="s">
        <v>84</v>
      </c>
      <c r="G2758" s="1" t="s">
        <v>57</v>
      </c>
      <c r="H2758" s="1" t="s">
        <v>158</v>
      </c>
      <c r="I2758" s="1">
        <v>2499.34</v>
      </c>
      <c r="J2758" s="1">
        <v>1</v>
      </c>
      <c r="K2758" s="1">
        <v>2499.34</v>
      </c>
      <c r="L2758" s="1">
        <v>10</v>
      </c>
      <c r="M2758" s="1">
        <v>249.93</v>
      </c>
      <c r="N2758" s="1">
        <v>2249.41</v>
      </c>
      <c r="O2758" s="1" t="s">
        <v>46</v>
      </c>
      <c r="P2758" s="1" t="s">
        <v>2959</v>
      </c>
      <c r="Q2758" s="1">
        <v>2</v>
      </c>
      <c r="R2758" s="1">
        <f>Retail_Sales_Analyis[[#This Row],[Final_Price]]-Retail_Sales_Analyis[[#This Row],[Total_Price]]</f>
        <v>-249.93000000000029</v>
      </c>
      <c r="S27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59" spans="1:19" x14ac:dyDescent="0.25">
      <c r="A2759" s="1" t="s">
        <v>3843</v>
      </c>
      <c r="B2759" s="2">
        <v>45338</v>
      </c>
      <c r="C2759" s="1" t="s">
        <v>27</v>
      </c>
      <c r="D2759" s="1" t="s">
        <v>144</v>
      </c>
      <c r="E2759" s="1" t="s">
        <v>196</v>
      </c>
      <c r="F2759" s="1" t="s">
        <v>69</v>
      </c>
      <c r="G2759" s="1" t="s">
        <v>78</v>
      </c>
      <c r="H2759" s="1" t="s">
        <v>126</v>
      </c>
      <c r="I2759" s="1">
        <v>272.39</v>
      </c>
      <c r="J2759" s="1">
        <v>8</v>
      </c>
      <c r="K2759" s="1">
        <v>2179.12</v>
      </c>
      <c r="L2759" s="1">
        <v>20</v>
      </c>
      <c r="M2759" s="1">
        <v>435.82</v>
      </c>
      <c r="N2759" s="1">
        <v>1743.3</v>
      </c>
      <c r="O2759" s="1" t="s">
        <v>24</v>
      </c>
      <c r="P2759" s="1" t="s">
        <v>1039</v>
      </c>
      <c r="Q2759" s="1">
        <v>2</v>
      </c>
      <c r="R2759" s="1">
        <f>Retail_Sales_Analyis[[#This Row],[Final_Price]]-Retail_Sales_Analyis[[#This Row],[Total_Price]]</f>
        <v>-435.81999999999994</v>
      </c>
      <c r="S27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60" spans="1:19" x14ac:dyDescent="0.25">
      <c r="A2760" s="1" t="s">
        <v>3844</v>
      </c>
      <c r="B2760" s="2">
        <v>45553</v>
      </c>
      <c r="C2760" s="1" t="s">
        <v>116</v>
      </c>
      <c r="D2760" s="1" t="s">
        <v>55</v>
      </c>
      <c r="E2760" s="1" t="s">
        <v>207</v>
      </c>
      <c r="F2760" s="1" t="s">
        <v>30</v>
      </c>
      <c r="G2760" s="1" t="s">
        <v>22</v>
      </c>
      <c r="H2760" s="1" t="s">
        <v>277</v>
      </c>
      <c r="I2760" s="1">
        <v>461.41</v>
      </c>
      <c r="J2760" s="1">
        <v>6</v>
      </c>
      <c r="K2760" s="1">
        <v>2768.46</v>
      </c>
      <c r="L2760" s="1">
        <v>10</v>
      </c>
      <c r="M2760" s="1">
        <v>276.85000000000002</v>
      </c>
      <c r="N2760" s="1">
        <v>2491.61</v>
      </c>
      <c r="O2760" s="1" t="s">
        <v>24</v>
      </c>
      <c r="P2760" s="1" t="s">
        <v>1104</v>
      </c>
      <c r="Q2760" s="1">
        <v>4</v>
      </c>
      <c r="R2760" s="1">
        <f>Retail_Sales_Analyis[[#This Row],[Final_Price]]-Retail_Sales_Analyis[[#This Row],[Total_Price]]</f>
        <v>-276.84999999999991</v>
      </c>
      <c r="S27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61" spans="1:19" x14ac:dyDescent="0.25">
      <c r="A2761" s="1" t="s">
        <v>3845</v>
      </c>
      <c r="B2761" s="2">
        <v>45520</v>
      </c>
      <c r="C2761" s="1" t="s">
        <v>93</v>
      </c>
      <c r="D2761" s="1" t="s">
        <v>144</v>
      </c>
      <c r="E2761" s="1" t="s">
        <v>342</v>
      </c>
      <c r="F2761" s="1" t="s">
        <v>84</v>
      </c>
      <c r="G2761" s="1" t="s">
        <v>38</v>
      </c>
      <c r="H2761" s="1" t="s">
        <v>108</v>
      </c>
      <c r="I2761" s="1">
        <v>187.22</v>
      </c>
      <c r="J2761" s="1">
        <v>9</v>
      </c>
      <c r="K2761" s="1">
        <v>1684.98</v>
      </c>
      <c r="L2761" s="1">
        <v>10</v>
      </c>
      <c r="M2761" s="1">
        <v>168.5</v>
      </c>
      <c r="N2761" s="1">
        <v>1516.48</v>
      </c>
      <c r="O2761" s="1" t="s">
        <v>64</v>
      </c>
      <c r="P2761" s="1" t="s">
        <v>1843</v>
      </c>
      <c r="Q2761" s="1">
        <v>1</v>
      </c>
      <c r="R2761" s="1">
        <f>Retail_Sales_Analyis[[#This Row],[Final_Price]]-Retail_Sales_Analyis[[#This Row],[Total_Price]]</f>
        <v>-168.5</v>
      </c>
      <c r="S27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62" spans="1:19" x14ac:dyDescent="0.25">
      <c r="A2762" s="1" t="s">
        <v>3846</v>
      </c>
      <c r="B2762" s="2">
        <v>45320</v>
      </c>
      <c r="C2762" s="1" t="s">
        <v>36</v>
      </c>
      <c r="D2762" s="1" t="s">
        <v>43</v>
      </c>
      <c r="E2762" s="1" t="s">
        <v>94</v>
      </c>
      <c r="F2762" s="1" t="s">
        <v>84</v>
      </c>
      <c r="G2762" s="1" t="s">
        <v>78</v>
      </c>
      <c r="H2762" s="1" t="s">
        <v>323</v>
      </c>
      <c r="I2762" s="1">
        <v>211.37</v>
      </c>
      <c r="J2762" s="1">
        <v>9</v>
      </c>
      <c r="K2762" s="1">
        <v>1902.33</v>
      </c>
      <c r="L2762" s="1">
        <v>5</v>
      </c>
      <c r="M2762" s="1">
        <v>95.12</v>
      </c>
      <c r="N2762" s="1">
        <v>1807.21</v>
      </c>
      <c r="O2762" s="1" t="s">
        <v>64</v>
      </c>
      <c r="P2762" s="1" t="s">
        <v>1435</v>
      </c>
      <c r="Q2762" s="1">
        <v>3</v>
      </c>
      <c r="R2762" s="1">
        <f>Retail_Sales_Analyis[[#This Row],[Final_Price]]-Retail_Sales_Analyis[[#This Row],[Total_Price]]</f>
        <v>-95.119999999999891</v>
      </c>
      <c r="S27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63" spans="1:19" x14ac:dyDescent="0.25">
      <c r="A2763" s="1" t="s">
        <v>3847</v>
      </c>
      <c r="B2763" s="2">
        <v>45524</v>
      </c>
      <c r="C2763" s="1" t="s">
        <v>93</v>
      </c>
      <c r="D2763" s="1" t="s">
        <v>28</v>
      </c>
      <c r="E2763" s="1" t="s">
        <v>141</v>
      </c>
      <c r="F2763" s="1" t="s">
        <v>84</v>
      </c>
      <c r="G2763" s="1" t="s">
        <v>22</v>
      </c>
      <c r="H2763" s="1" t="s">
        <v>51</v>
      </c>
      <c r="I2763" s="1">
        <v>613.08000000000004</v>
      </c>
      <c r="J2763" s="1">
        <v>7</v>
      </c>
      <c r="K2763" s="1">
        <v>4291.5600000000004</v>
      </c>
      <c r="L2763" s="1">
        <v>5</v>
      </c>
      <c r="M2763" s="1">
        <v>214.58</v>
      </c>
      <c r="N2763" s="1">
        <v>4076.98</v>
      </c>
      <c r="O2763" s="1" t="s">
        <v>33</v>
      </c>
      <c r="P2763" s="1" t="s">
        <v>2924</v>
      </c>
      <c r="Q2763" s="1">
        <v>5</v>
      </c>
      <c r="R2763" s="1">
        <f>Retail_Sales_Analyis[[#This Row],[Final_Price]]-Retail_Sales_Analyis[[#This Row],[Total_Price]]</f>
        <v>-214.58000000000038</v>
      </c>
      <c r="S27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64" spans="1:19" x14ac:dyDescent="0.25">
      <c r="A2764" s="1" t="s">
        <v>3848</v>
      </c>
      <c r="B2764" s="2">
        <v>45359</v>
      </c>
      <c r="C2764" s="1" t="s">
        <v>61</v>
      </c>
      <c r="D2764" s="1" t="s">
        <v>144</v>
      </c>
      <c r="E2764" s="1" t="s">
        <v>132</v>
      </c>
      <c r="F2764" s="1" t="s">
        <v>37</v>
      </c>
      <c r="G2764" s="1" t="s">
        <v>38</v>
      </c>
      <c r="H2764" s="1" t="s">
        <v>108</v>
      </c>
      <c r="I2764" s="1">
        <v>111.48</v>
      </c>
      <c r="J2764" s="1">
        <v>2</v>
      </c>
      <c r="K2764" s="1">
        <v>222.96</v>
      </c>
      <c r="L2764" s="1">
        <v>5</v>
      </c>
      <c r="M2764" s="1">
        <v>11.15</v>
      </c>
      <c r="N2764" s="1">
        <v>211.81</v>
      </c>
      <c r="O2764" s="1" t="s">
        <v>24</v>
      </c>
      <c r="P2764" s="1" t="s">
        <v>1568</v>
      </c>
      <c r="Q2764" s="1">
        <v>4</v>
      </c>
      <c r="R2764" s="1">
        <f>Retail_Sales_Analyis[[#This Row],[Final_Price]]-Retail_Sales_Analyis[[#This Row],[Total_Price]]</f>
        <v>-11.150000000000006</v>
      </c>
      <c r="S27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65" spans="1:19" x14ac:dyDescent="0.25">
      <c r="A2765" s="1" t="s">
        <v>3849</v>
      </c>
      <c r="B2765" s="2">
        <v>45554</v>
      </c>
      <c r="C2765" s="1" t="s">
        <v>116</v>
      </c>
      <c r="D2765" s="1" t="s">
        <v>67</v>
      </c>
      <c r="E2765" s="1" t="s">
        <v>139</v>
      </c>
      <c r="F2765" s="1" t="s">
        <v>30</v>
      </c>
      <c r="G2765" s="1" t="s">
        <v>38</v>
      </c>
      <c r="H2765" s="1" t="s">
        <v>70</v>
      </c>
      <c r="I2765" s="1">
        <v>408.22</v>
      </c>
      <c r="J2765" s="1">
        <v>2</v>
      </c>
      <c r="K2765" s="1">
        <v>816.44</v>
      </c>
      <c r="L2765" s="1">
        <v>0</v>
      </c>
      <c r="M2765" s="1">
        <v>0</v>
      </c>
      <c r="N2765" s="1">
        <v>816.44</v>
      </c>
      <c r="O2765" s="1" t="s">
        <v>24</v>
      </c>
      <c r="P2765" s="1" t="s">
        <v>2639</v>
      </c>
      <c r="Q2765" s="1">
        <v>2</v>
      </c>
      <c r="R2765" s="1">
        <f>Retail_Sales_Analyis[[#This Row],[Final_Price]]-Retail_Sales_Analyis[[#This Row],[Total_Price]]</f>
        <v>0</v>
      </c>
      <c r="S27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66" spans="1:19" x14ac:dyDescent="0.25">
      <c r="A2766" s="1" t="s">
        <v>3850</v>
      </c>
      <c r="B2766" s="2">
        <v>45504</v>
      </c>
      <c r="C2766" s="1" t="s">
        <v>195</v>
      </c>
      <c r="D2766" s="1" t="s">
        <v>55</v>
      </c>
      <c r="E2766" s="1" t="s">
        <v>302</v>
      </c>
      <c r="F2766" s="1" t="s">
        <v>30</v>
      </c>
      <c r="G2766" s="1" t="s">
        <v>31</v>
      </c>
      <c r="H2766" s="1" t="s">
        <v>329</v>
      </c>
      <c r="I2766" s="1">
        <v>201.53</v>
      </c>
      <c r="J2766" s="1">
        <v>8</v>
      </c>
      <c r="K2766" s="1">
        <v>1612.24</v>
      </c>
      <c r="L2766" s="1">
        <v>20</v>
      </c>
      <c r="M2766" s="1">
        <v>322.45</v>
      </c>
      <c r="N2766" s="1">
        <v>1289.79</v>
      </c>
      <c r="O2766" s="1" t="s">
        <v>46</v>
      </c>
      <c r="P2766" s="1" t="s">
        <v>389</v>
      </c>
      <c r="Q2766" s="1">
        <v>4</v>
      </c>
      <c r="R2766" s="1">
        <f>Retail_Sales_Analyis[[#This Row],[Final_Price]]-Retail_Sales_Analyis[[#This Row],[Total_Price]]</f>
        <v>-322.45000000000005</v>
      </c>
      <c r="S27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67" spans="1:19" x14ac:dyDescent="0.25">
      <c r="A2767" s="1" t="s">
        <v>3851</v>
      </c>
      <c r="B2767" s="2">
        <v>45525</v>
      </c>
      <c r="C2767" s="1" t="s">
        <v>93</v>
      </c>
      <c r="D2767" s="1" t="s">
        <v>55</v>
      </c>
      <c r="E2767" s="1" t="s">
        <v>121</v>
      </c>
      <c r="F2767" s="1" t="s">
        <v>69</v>
      </c>
      <c r="G2767" s="1" t="s">
        <v>78</v>
      </c>
      <c r="H2767" s="1" t="s">
        <v>79</v>
      </c>
      <c r="I2767" s="1">
        <v>394.27</v>
      </c>
      <c r="J2767" s="1">
        <v>9</v>
      </c>
      <c r="K2767" s="1">
        <v>3548.43</v>
      </c>
      <c r="L2767" s="1">
        <v>5</v>
      </c>
      <c r="M2767" s="1">
        <v>177.42</v>
      </c>
      <c r="N2767" s="1">
        <v>3371.01</v>
      </c>
      <c r="O2767" s="1" t="s">
        <v>24</v>
      </c>
      <c r="P2767" s="1" t="s">
        <v>215</v>
      </c>
      <c r="Q2767" s="1">
        <v>1</v>
      </c>
      <c r="R2767" s="1">
        <f>Retail_Sales_Analyis[[#This Row],[Final_Price]]-Retail_Sales_Analyis[[#This Row],[Total_Price]]</f>
        <v>-177.41999999999962</v>
      </c>
      <c r="S27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68" spans="1:19" x14ac:dyDescent="0.25">
      <c r="A2768" s="1" t="s">
        <v>3852</v>
      </c>
      <c r="B2768" s="2">
        <v>45580</v>
      </c>
      <c r="C2768" s="1" t="s">
        <v>76</v>
      </c>
      <c r="D2768" s="1" t="s">
        <v>28</v>
      </c>
      <c r="E2768" s="1" t="s">
        <v>307</v>
      </c>
      <c r="F2768" s="1" t="s">
        <v>84</v>
      </c>
      <c r="G2768" s="1" t="s">
        <v>38</v>
      </c>
      <c r="H2768" s="1" t="s">
        <v>422</v>
      </c>
      <c r="I2768" s="1">
        <v>494.08</v>
      </c>
      <c r="J2768" s="1">
        <v>3</v>
      </c>
      <c r="K2768" s="1">
        <v>1482.24</v>
      </c>
      <c r="L2768" s="1">
        <v>0</v>
      </c>
      <c r="M2768" s="1">
        <v>0</v>
      </c>
      <c r="N2768" s="1">
        <v>1482.24</v>
      </c>
      <c r="O2768" s="1" t="s">
        <v>46</v>
      </c>
      <c r="P2768" s="1" t="s">
        <v>647</v>
      </c>
      <c r="Q2768" s="1">
        <v>2</v>
      </c>
      <c r="R2768" s="1">
        <f>Retail_Sales_Analyis[[#This Row],[Final_Price]]-Retail_Sales_Analyis[[#This Row],[Total_Price]]</f>
        <v>0</v>
      </c>
      <c r="S27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69" spans="1:19" x14ac:dyDescent="0.25">
      <c r="A2769" s="1" t="s">
        <v>3853</v>
      </c>
      <c r="B2769" s="2">
        <v>45321</v>
      </c>
      <c r="C2769" s="1" t="s">
        <v>36</v>
      </c>
      <c r="D2769" s="1" t="s">
        <v>28</v>
      </c>
      <c r="E2769" s="1" t="s">
        <v>20</v>
      </c>
      <c r="F2769" s="1" t="s">
        <v>30</v>
      </c>
      <c r="G2769" s="1" t="s">
        <v>22</v>
      </c>
      <c r="H2769" s="1" t="s">
        <v>187</v>
      </c>
      <c r="I2769" s="1">
        <v>613.70000000000005</v>
      </c>
      <c r="J2769" s="1">
        <v>1</v>
      </c>
      <c r="K2769" s="1">
        <v>613.70000000000005</v>
      </c>
      <c r="L2769" s="1">
        <v>0</v>
      </c>
      <c r="M2769" s="1">
        <v>0</v>
      </c>
      <c r="N2769" s="1">
        <v>613.70000000000005</v>
      </c>
      <c r="O2769" s="1" t="s">
        <v>46</v>
      </c>
      <c r="P2769" s="1" t="s">
        <v>2788</v>
      </c>
      <c r="Q2769" s="1">
        <v>1</v>
      </c>
      <c r="R2769" s="1">
        <f>Retail_Sales_Analyis[[#This Row],[Final_Price]]-Retail_Sales_Analyis[[#This Row],[Total_Price]]</f>
        <v>0</v>
      </c>
      <c r="S27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70" spans="1:19" x14ac:dyDescent="0.25">
      <c r="A2770" s="1" t="s">
        <v>3854</v>
      </c>
      <c r="B2770" s="2">
        <v>45578</v>
      </c>
      <c r="C2770" s="1" t="s">
        <v>76</v>
      </c>
      <c r="D2770" s="1" t="s">
        <v>49</v>
      </c>
      <c r="E2770" s="1" t="s">
        <v>62</v>
      </c>
      <c r="F2770" s="1" t="s">
        <v>30</v>
      </c>
      <c r="G2770" s="1" t="s">
        <v>22</v>
      </c>
      <c r="H2770" s="1" t="s">
        <v>51</v>
      </c>
      <c r="I2770" s="1">
        <v>885.5</v>
      </c>
      <c r="J2770" s="1">
        <v>10</v>
      </c>
      <c r="K2770" s="1">
        <v>8855</v>
      </c>
      <c r="L2770" s="1">
        <v>20</v>
      </c>
      <c r="M2770" s="1">
        <v>1771</v>
      </c>
      <c r="N2770" s="1">
        <v>7084</v>
      </c>
      <c r="O2770" s="1" t="s">
        <v>64</v>
      </c>
      <c r="P2770" s="1" t="s">
        <v>1345</v>
      </c>
      <c r="Q2770" s="1">
        <v>4</v>
      </c>
      <c r="R2770" s="1">
        <f>Retail_Sales_Analyis[[#This Row],[Final_Price]]-Retail_Sales_Analyis[[#This Row],[Total_Price]]</f>
        <v>-1771</v>
      </c>
      <c r="S27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71" spans="1:19" x14ac:dyDescent="0.25">
      <c r="A2771" s="1" t="s">
        <v>3855</v>
      </c>
      <c r="B2771" s="2">
        <v>45528</v>
      </c>
      <c r="C2771" s="1" t="s">
        <v>93</v>
      </c>
      <c r="D2771" s="1" t="s">
        <v>19</v>
      </c>
      <c r="E2771" s="1" t="s">
        <v>168</v>
      </c>
      <c r="F2771" s="1" t="s">
        <v>84</v>
      </c>
      <c r="G2771" s="1" t="s">
        <v>85</v>
      </c>
      <c r="H2771" s="1" t="s">
        <v>180</v>
      </c>
      <c r="I2771" s="1">
        <v>4604.96</v>
      </c>
      <c r="J2771" s="1">
        <v>9</v>
      </c>
      <c r="K2771" s="1">
        <v>41444.639999999999</v>
      </c>
      <c r="L2771" s="1">
        <v>5</v>
      </c>
      <c r="M2771" s="1">
        <v>2072.23</v>
      </c>
      <c r="N2771" s="1">
        <v>39372.410000000003</v>
      </c>
      <c r="O2771" s="1" t="s">
        <v>24</v>
      </c>
      <c r="P2771" s="1" t="s">
        <v>2228</v>
      </c>
      <c r="Q2771" s="1">
        <v>4</v>
      </c>
      <c r="R2771" s="1">
        <f>Retail_Sales_Analyis[[#This Row],[Final_Price]]-Retail_Sales_Analyis[[#This Row],[Total_Price]]</f>
        <v>-2072.2299999999959</v>
      </c>
      <c r="S27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72" spans="1:19" x14ac:dyDescent="0.25">
      <c r="A2772" s="1" t="s">
        <v>3856</v>
      </c>
      <c r="B2772" s="2">
        <v>45636</v>
      </c>
      <c r="C2772" s="1" t="s">
        <v>73</v>
      </c>
      <c r="D2772" s="1" t="s">
        <v>28</v>
      </c>
      <c r="E2772" s="1" t="s">
        <v>62</v>
      </c>
      <c r="F2772" s="1" t="s">
        <v>37</v>
      </c>
      <c r="G2772" s="1" t="s">
        <v>85</v>
      </c>
      <c r="H2772" s="1" t="s">
        <v>180</v>
      </c>
      <c r="I2772" s="1">
        <v>4206.1499999999996</v>
      </c>
      <c r="J2772" s="1">
        <v>2</v>
      </c>
      <c r="K2772" s="1">
        <v>8412.2999999999993</v>
      </c>
      <c r="L2772" s="1">
        <v>0</v>
      </c>
      <c r="M2772" s="1">
        <v>0</v>
      </c>
      <c r="N2772" s="1">
        <v>8412.2999999999993</v>
      </c>
      <c r="O2772" s="1" t="s">
        <v>24</v>
      </c>
      <c r="P2772" s="1" t="s">
        <v>308</v>
      </c>
      <c r="Q2772" s="1">
        <v>2</v>
      </c>
      <c r="R2772" s="1">
        <f>Retail_Sales_Analyis[[#This Row],[Final_Price]]-Retail_Sales_Analyis[[#This Row],[Total_Price]]</f>
        <v>0</v>
      </c>
      <c r="S27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73" spans="1:19" x14ac:dyDescent="0.25">
      <c r="A2773" s="1" t="s">
        <v>3857</v>
      </c>
      <c r="B2773" s="2">
        <v>45449</v>
      </c>
      <c r="C2773" s="1" t="s">
        <v>173</v>
      </c>
      <c r="D2773" s="1" t="s">
        <v>67</v>
      </c>
      <c r="E2773" s="1" t="s">
        <v>351</v>
      </c>
      <c r="F2773" s="1" t="s">
        <v>84</v>
      </c>
      <c r="G2773" s="1" t="s">
        <v>57</v>
      </c>
      <c r="H2773" s="1" t="s">
        <v>122</v>
      </c>
      <c r="I2773" s="1">
        <v>1106.43</v>
      </c>
      <c r="J2773" s="1">
        <v>8</v>
      </c>
      <c r="K2773" s="1">
        <v>8851.44</v>
      </c>
      <c r="L2773" s="1">
        <v>5</v>
      </c>
      <c r="M2773" s="1">
        <v>442.57</v>
      </c>
      <c r="N2773" s="1">
        <v>8408.8700000000008</v>
      </c>
      <c r="O2773" s="1" t="s">
        <v>64</v>
      </c>
      <c r="P2773" s="1" t="s">
        <v>1807</v>
      </c>
      <c r="Q2773" s="1">
        <v>4</v>
      </c>
      <c r="R2773" s="1">
        <f>Retail_Sales_Analyis[[#This Row],[Final_Price]]-Retail_Sales_Analyis[[#This Row],[Total_Price]]</f>
        <v>-442.56999999999971</v>
      </c>
      <c r="S27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74" spans="1:19" x14ac:dyDescent="0.25">
      <c r="A2774" s="1" t="s">
        <v>3858</v>
      </c>
      <c r="B2774" s="2">
        <v>45303</v>
      </c>
      <c r="C2774" s="1" t="s">
        <v>36</v>
      </c>
      <c r="D2774" s="1" t="s">
        <v>144</v>
      </c>
      <c r="E2774" s="1" t="s">
        <v>29</v>
      </c>
      <c r="F2774" s="1" t="s">
        <v>69</v>
      </c>
      <c r="G2774" s="1" t="s">
        <v>169</v>
      </c>
      <c r="H2774" s="1" t="s">
        <v>348</v>
      </c>
      <c r="I2774" s="1">
        <v>1212.71</v>
      </c>
      <c r="J2774" s="1">
        <v>4</v>
      </c>
      <c r="K2774" s="1">
        <v>4850.84</v>
      </c>
      <c r="L2774" s="1">
        <v>10</v>
      </c>
      <c r="M2774" s="1">
        <v>485.08</v>
      </c>
      <c r="N2774" s="1">
        <v>4365.76</v>
      </c>
      <c r="O2774" s="1" t="s">
        <v>46</v>
      </c>
      <c r="P2774" s="1" t="s">
        <v>807</v>
      </c>
      <c r="Q2774" s="1">
        <v>5</v>
      </c>
      <c r="R2774" s="1">
        <f>Retail_Sales_Analyis[[#This Row],[Final_Price]]-Retail_Sales_Analyis[[#This Row],[Total_Price]]</f>
        <v>-485.07999999999993</v>
      </c>
      <c r="S27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75" spans="1:19" x14ac:dyDescent="0.25">
      <c r="A2775" s="1" t="s">
        <v>3859</v>
      </c>
      <c r="B2775" s="2">
        <v>45494</v>
      </c>
      <c r="C2775" s="1" t="s">
        <v>195</v>
      </c>
      <c r="D2775" s="1" t="s">
        <v>49</v>
      </c>
      <c r="E2775" s="1" t="s">
        <v>204</v>
      </c>
      <c r="F2775" s="1" t="s">
        <v>37</v>
      </c>
      <c r="G2775" s="1" t="s">
        <v>112</v>
      </c>
      <c r="H2775" s="1" t="s">
        <v>288</v>
      </c>
      <c r="I2775" s="1">
        <v>793.79</v>
      </c>
      <c r="J2775" s="1">
        <v>9</v>
      </c>
      <c r="K2775" s="1">
        <v>7144.11</v>
      </c>
      <c r="L2775" s="1">
        <v>0</v>
      </c>
      <c r="M2775" s="1">
        <v>0</v>
      </c>
      <c r="N2775" s="1">
        <v>7144.11</v>
      </c>
      <c r="O2775" s="1" t="s">
        <v>64</v>
      </c>
      <c r="P2775" s="1" t="s">
        <v>695</v>
      </c>
      <c r="Q2775" s="1">
        <v>1</v>
      </c>
      <c r="R2775" s="1">
        <f>Retail_Sales_Analyis[[#This Row],[Final_Price]]-Retail_Sales_Analyis[[#This Row],[Total_Price]]</f>
        <v>0</v>
      </c>
      <c r="S27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76" spans="1:19" x14ac:dyDescent="0.25">
      <c r="A2776" s="1" t="s">
        <v>3860</v>
      </c>
      <c r="B2776" s="2">
        <v>45422</v>
      </c>
      <c r="C2776" s="1" t="s">
        <v>42</v>
      </c>
      <c r="D2776" s="1" t="s">
        <v>144</v>
      </c>
      <c r="E2776" s="1" t="s">
        <v>239</v>
      </c>
      <c r="F2776" s="1" t="s">
        <v>84</v>
      </c>
      <c r="G2776" s="1" t="s">
        <v>169</v>
      </c>
      <c r="H2776" s="1" t="s">
        <v>366</v>
      </c>
      <c r="I2776" s="1">
        <v>827.13</v>
      </c>
      <c r="J2776" s="1">
        <v>10</v>
      </c>
      <c r="K2776" s="1">
        <v>8271.2999999999993</v>
      </c>
      <c r="L2776" s="1">
        <v>5</v>
      </c>
      <c r="M2776" s="1">
        <v>413.56</v>
      </c>
      <c r="N2776" s="1">
        <v>7857.74</v>
      </c>
      <c r="O2776" s="1" t="s">
        <v>80</v>
      </c>
      <c r="P2776" s="1" t="s">
        <v>685</v>
      </c>
      <c r="Q2776" s="1">
        <v>3</v>
      </c>
      <c r="R2776" s="1">
        <f>Retail_Sales_Analyis[[#This Row],[Final_Price]]-Retail_Sales_Analyis[[#This Row],[Total_Price]]</f>
        <v>-413.55999999999949</v>
      </c>
      <c r="S27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77" spans="1:19" x14ac:dyDescent="0.25">
      <c r="A2777" s="1" t="s">
        <v>3861</v>
      </c>
      <c r="B2777" s="2">
        <v>45293</v>
      </c>
      <c r="C2777" s="1" t="s">
        <v>36</v>
      </c>
      <c r="D2777" s="1" t="s">
        <v>28</v>
      </c>
      <c r="E2777" s="1" t="s">
        <v>97</v>
      </c>
      <c r="F2777" s="1" t="s">
        <v>69</v>
      </c>
      <c r="G2777" s="1" t="s">
        <v>57</v>
      </c>
      <c r="H2777" s="1" t="s">
        <v>152</v>
      </c>
      <c r="I2777" s="1">
        <v>2325.46</v>
      </c>
      <c r="J2777" s="1">
        <v>9</v>
      </c>
      <c r="K2777" s="1">
        <v>20929.14</v>
      </c>
      <c r="L2777" s="1">
        <v>20</v>
      </c>
      <c r="M2777" s="1">
        <v>4185.83</v>
      </c>
      <c r="N2777" s="1">
        <v>16743.310000000001</v>
      </c>
      <c r="O2777" s="1" t="s">
        <v>46</v>
      </c>
      <c r="P2777" s="1" t="s">
        <v>40</v>
      </c>
      <c r="Q2777" s="1">
        <v>2</v>
      </c>
      <c r="R2777" s="1">
        <f>Retail_Sales_Analyis[[#This Row],[Final_Price]]-Retail_Sales_Analyis[[#This Row],[Total_Price]]</f>
        <v>-4185.8299999999981</v>
      </c>
      <c r="S277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78" spans="1:19" x14ac:dyDescent="0.25">
      <c r="A2778" s="1" t="s">
        <v>3862</v>
      </c>
      <c r="B2778" s="2">
        <v>45403</v>
      </c>
      <c r="C2778" s="1" t="s">
        <v>54</v>
      </c>
      <c r="D2778" s="1" t="s">
        <v>49</v>
      </c>
      <c r="E2778" s="1" t="s">
        <v>166</v>
      </c>
      <c r="F2778" s="1" t="s">
        <v>69</v>
      </c>
      <c r="G2778" s="1" t="s">
        <v>78</v>
      </c>
      <c r="H2778" s="1" t="s">
        <v>126</v>
      </c>
      <c r="I2778" s="1">
        <v>319.22000000000003</v>
      </c>
      <c r="J2778" s="1">
        <v>8</v>
      </c>
      <c r="K2778" s="1">
        <v>2553.7600000000002</v>
      </c>
      <c r="L2778" s="1">
        <v>0</v>
      </c>
      <c r="M2778" s="1">
        <v>0</v>
      </c>
      <c r="N2778" s="1">
        <v>2553.7600000000002</v>
      </c>
      <c r="O2778" s="1" t="s">
        <v>64</v>
      </c>
      <c r="P2778" s="1" t="s">
        <v>1452</v>
      </c>
      <c r="Q2778" s="1">
        <v>4</v>
      </c>
      <c r="R2778" s="1">
        <f>Retail_Sales_Analyis[[#This Row],[Final_Price]]-Retail_Sales_Analyis[[#This Row],[Total_Price]]</f>
        <v>0</v>
      </c>
      <c r="S27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79" spans="1:19" x14ac:dyDescent="0.25">
      <c r="A2779" s="1" t="s">
        <v>3863</v>
      </c>
      <c r="B2779" s="2">
        <v>45588</v>
      </c>
      <c r="C2779" s="1" t="s">
        <v>76</v>
      </c>
      <c r="D2779" s="1" t="s">
        <v>55</v>
      </c>
      <c r="E2779" s="1" t="s">
        <v>145</v>
      </c>
      <c r="F2779" s="1" t="s">
        <v>84</v>
      </c>
      <c r="G2779" s="1" t="s">
        <v>112</v>
      </c>
      <c r="H2779" s="1" t="s">
        <v>113</v>
      </c>
      <c r="I2779" s="1">
        <v>1621.04</v>
      </c>
      <c r="J2779" s="1">
        <v>4</v>
      </c>
      <c r="K2779" s="1">
        <v>6484.16</v>
      </c>
      <c r="L2779" s="1">
        <v>0</v>
      </c>
      <c r="M2779" s="1">
        <v>0</v>
      </c>
      <c r="N2779" s="1">
        <v>6484.16</v>
      </c>
      <c r="O2779" s="1" t="s">
        <v>46</v>
      </c>
      <c r="P2779" s="1" t="s">
        <v>549</v>
      </c>
      <c r="Q2779" s="1">
        <v>3</v>
      </c>
      <c r="R2779" s="1">
        <f>Retail_Sales_Analyis[[#This Row],[Final_Price]]-Retail_Sales_Analyis[[#This Row],[Total_Price]]</f>
        <v>0</v>
      </c>
      <c r="S27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80" spans="1:19" x14ac:dyDescent="0.25">
      <c r="A2780" s="1" t="s">
        <v>3864</v>
      </c>
      <c r="B2780" s="2">
        <v>45329</v>
      </c>
      <c r="C2780" s="1" t="s">
        <v>27</v>
      </c>
      <c r="D2780" s="1" t="s">
        <v>55</v>
      </c>
      <c r="E2780" s="1" t="s">
        <v>542</v>
      </c>
      <c r="F2780" s="1" t="s">
        <v>84</v>
      </c>
      <c r="G2780" s="1" t="s">
        <v>22</v>
      </c>
      <c r="H2780" s="1" t="s">
        <v>187</v>
      </c>
      <c r="I2780" s="1">
        <v>824.71</v>
      </c>
      <c r="J2780" s="1">
        <v>7</v>
      </c>
      <c r="K2780" s="1">
        <v>5772.97</v>
      </c>
      <c r="L2780" s="1">
        <v>15</v>
      </c>
      <c r="M2780" s="1">
        <v>865.95</v>
      </c>
      <c r="N2780" s="1">
        <v>4907.0200000000004</v>
      </c>
      <c r="O2780" s="1" t="s">
        <v>64</v>
      </c>
      <c r="P2780" s="1" t="s">
        <v>1728</v>
      </c>
      <c r="Q2780" s="1">
        <v>2</v>
      </c>
      <c r="R2780" s="1">
        <f>Retail_Sales_Analyis[[#This Row],[Final_Price]]-Retail_Sales_Analyis[[#This Row],[Total_Price]]</f>
        <v>-865.94999999999982</v>
      </c>
      <c r="S27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81" spans="1:19" x14ac:dyDescent="0.25">
      <c r="A2781" s="1" t="s">
        <v>3865</v>
      </c>
      <c r="B2781" s="2">
        <v>45315</v>
      </c>
      <c r="C2781" s="1" t="s">
        <v>36</v>
      </c>
      <c r="D2781" s="1" t="s">
        <v>55</v>
      </c>
      <c r="E2781" s="1" t="s">
        <v>83</v>
      </c>
      <c r="F2781" s="1" t="s">
        <v>37</v>
      </c>
      <c r="G2781" s="1" t="s">
        <v>85</v>
      </c>
      <c r="H2781" s="1" t="s">
        <v>98</v>
      </c>
      <c r="I2781" s="1">
        <v>1889.4</v>
      </c>
      <c r="J2781" s="1">
        <v>8</v>
      </c>
      <c r="K2781" s="1">
        <v>15115.2</v>
      </c>
      <c r="L2781" s="1">
        <v>15</v>
      </c>
      <c r="M2781" s="1">
        <v>2267.2800000000002</v>
      </c>
      <c r="N2781" s="1">
        <v>12847.92</v>
      </c>
      <c r="O2781" s="1" t="s">
        <v>33</v>
      </c>
      <c r="P2781" s="1" t="s">
        <v>240</v>
      </c>
      <c r="Q2781" s="1">
        <v>1</v>
      </c>
      <c r="R2781" s="1">
        <f>Retail_Sales_Analyis[[#This Row],[Final_Price]]-Retail_Sales_Analyis[[#This Row],[Total_Price]]</f>
        <v>-2267.2800000000007</v>
      </c>
      <c r="S27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82" spans="1:19" x14ac:dyDescent="0.25">
      <c r="A2782" s="1" t="s">
        <v>3866</v>
      </c>
      <c r="B2782" s="2">
        <v>45508</v>
      </c>
      <c r="C2782" s="1" t="s">
        <v>93</v>
      </c>
      <c r="D2782" s="1" t="s">
        <v>49</v>
      </c>
      <c r="E2782" s="1" t="s">
        <v>56</v>
      </c>
      <c r="F2782" s="1" t="s">
        <v>69</v>
      </c>
      <c r="G2782" s="1" t="s">
        <v>57</v>
      </c>
      <c r="H2782" s="1" t="s">
        <v>152</v>
      </c>
      <c r="I2782" s="1">
        <v>2680.54</v>
      </c>
      <c r="J2782" s="1">
        <v>5</v>
      </c>
      <c r="K2782" s="1">
        <v>13402.7</v>
      </c>
      <c r="L2782" s="1">
        <v>0</v>
      </c>
      <c r="M2782" s="1">
        <v>0</v>
      </c>
      <c r="N2782" s="1">
        <v>13402.7</v>
      </c>
      <c r="O2782" s="1" t="s">
        <v>46</v>
      </c>
      <c r="P2782" s="1" t="s">
        <v>2863</v>
      </c>
      <c r="Q2782" s="1">
        <v>4</v>
      </c>
      <c r="R2782" s="1">
        <f>Retail_Sales_Analyis[[#This Row],[Final_Price]]-Retail_Sales_Analyis[[#This Row],[Total_Price]]</f>
        <v>0</v>
      </c>
      <c r="S27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83" spans="1:19" x14ac:dyDescent="0.25">
      <c r="A2783" s="1" t="s">
        <v>3867</v>
      </c>
      <c r="B2783" s="2">
        <v>45468</v>
      </c>
      <c r="C2783" s="1" t="s">
        <v>173</v>
      </c>
      <c r="D2783" s="1" t="s">
        <v>28</v>
      </c>
      <c r="E2783" s="1" t="s">
        <v>168</v>
      </c>
      <c r="F2783" s="1" t="s">
        <v>37</v>
      </c>
      <c r="G2783" s="1" t="s">
        <v>22</v>
      </c>
      <c r="H2783" s="1" t="s">
        <v>23</v>
      </c>
      <c r="I2783" s="1">
        <v>510.5</v>
      </c>
      <c r="J2783" s="1">
        <v>7</v>
      </c>
      <c r="K2783" s="1">
        <v>3573.5</v>
      </c>
      <c r="L2783" s="1">
        <v>5</v>
      </c>
      <c r="M2783" s="1">
        <v>178.68</v>
      </c>
      <c r="N2783" s="1">
        <v>3394.82</v>
      </c>
      <c r="O2783" s="1" t="s">
        <v>80</v>
      </c>
      <c r="P2783" s="1" t="s">
        <v>2195</v>
      </c>
      <c r="Q2783" s="1">
        <v>3</v>
      </c>
      <c r="R2783" s="1">
        <f>Retail_Sales_Analyis[[#This Row],[Final_Price]]-Retail_Sales_Analyis[[#This Row],[Total_Price]]</f>
        <v>-178.67999999999984</v>
      </c>
      <c r="S27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84" spans="1:19" x14ac:dyDescent="0.25">
      <c r="A2784" s="1" t="s">
        <v>3868</v>
      </c>
      <c r="B2784" s="2">
        <v>45650</v>
      </c>
      <c r="C2784" s="1" t="s">
        <v>73</v>
      </c>
      <c r="D2784" s="1" t="s">
        <v>28</v>
      </c>
      <c r="E2784" s="1" t="s">
        <v>199</v>
      </c>
      <c r="F2784" s="1" t="s">
        <v>30</v>
      </c>
      <c r="G2784" s="1" t="s">
        <v>31</v>
      </c>
      <c r="H2784" s="1" t="s">
        <v>32</v>
      </c>
      <c r="I2784" s="1">
        <v>169.23</v>
      </c>
      <c r="J2784" s="1">
        <v>8</v>
      </c>
      <c r="K2784" s="1">
        <v>1353.84</v>
      </c>
      <c r="L2784" s="1">
        <v>20</v>
      </c>
      <c r="M2784" s="1">
        <v>270.77</v>
      </c>
      <c r="N2784" s="1">
        <v>1083.07</v>
      </c>
      <c r="O2784" s="1" t="s">
        <v>46</v>
      </c>
      <c r="P2784" s="1" t="s">
        <v>2581</v>
      </c>
      <c r="Q2784" s="1">
        <v>5</v>
      </c>
      <c r="R2784" s="1">
        <f>Retail_Sales_Analyis[[#This Row],[Final_Price]]-Retail_Sales_Analyis[[#This Row],[Total_Price]]</f>
        <v>-270.77</v>
      </c>
      <c r="S27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85" spans="1:19" x14ac:dyDescent="0.25">
      <c r="A2785" s="1" t="s">
        <v>3869</v>
      </c>
      <c r="B2785" s="2">
        <v>45324</v>
      </c>
      <c r="C2785" s="1" t="s">
        <v>27</v>
      </c>
      <c r="D2785" s="1" t="s">
        <v>144</v>
      </c>
      <c r="E2785" s="1" t="s">
        <v>186</v>
      </c>
      <c r="F2785" s="1" t="s">
        <v>69</v>
      </c>
      <c r="G2785" s="1" t="s">
        <v>57</v>
      </c>
      <c r="H2785" s="1" t="s">
        <v>158</v>
      </c>
      <c r="I2785" s="1">
        <v>2550.0700000000002</v>
      </c>
      <c r="J2785" s="1">
        <v>6</v>
      </c>
      <c r="K2785" s="1">
        <v>15300.42</v>
      </c>
      <c r="L2785" s="1">
        <v>0</v>
      </c>
      <c r="M2785" s="1">
        <v>0</v>
      </c>
      <c r="N2785" s="1">
        <v>15300.42</v>
      </c>
      <c r="O2785" s="1" t="s">
        <v>80</v>
      </c>
      <c r="P2785" s="1" t="s">
        <v>1238</v>
      </c>
      <c r="Q2785" s="1">
        <v>3</v>
      </c>
      <c r="R2785" s="1">
        <f>Retail_Sales_Analyis[[#This Row],[Final_Price]]-Retail_Sales_Analyis[[#This Row],[Total_Price]]</f>
        <v>0</v>
      </c>
      <c r="S27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86" spans="1:19" x14ac:dyDescent="0.25">
      <c r="A2786" s="1" t="s">
        <v>3870</v>
      </c>
      <c r="B2786" s="2">
        <v>45569</v>
      </c>
      <c r="C2786" s="1" t="s">
        <v>76</v>
      </c>
      <c r="D2786" s="1" t="s">
        <v>144</v>
      </c>
      <c r="E2786" s="1" t="s">
        <v>121</v>
      </c>
      <c r="F2786" s="1" t="s">
        <v>69</v>
      </c>
      <c r="G2786" s="1" t="s">
        <v>31</v>
      </c>
      <c r="H2786" s="1" t="s">
        <v>63</v>
      </c>
      <c r="I2786" s="1">
        <v>445.18</v>
      </c>
      <c r="J2786" s="1">
        <v>1</v>
      </c>
      <c r="K2786" s="1">
        <v>445.18</v>
      </c>
      <c r="L2786" s="1">
        <v>20</v>
      </c>
      <c r="M2786" s="1">
        <v>89.04</v>
      </c>
      <c r="N2786" s="1">
        <v>356.14</v>
      </c>
      <c r="O2786" s="1" t="s">
        <v>64</v>
      </c>
      <c r="P2786" s="1" t="s">
        <v>732</v>
      </c>
      <c r="Q2786" s="1">
        <v>4</v>
      </c>
      <c r="R2786" s="1">
        <f>Retail_Sales_Analyis[[#This Row],[Final_Price]]-Retail_Sales_Analyis[[#This Row],[Total_Price]]</f>
        <v>-89.04000000000002</v>
      </c>
      <c r="S27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87" spans="1:19" x14ac:dyDescent="0.25">
      <c r="A2787" s="1" t="s">
        <v>3871</v>
      </c>
      <c r="B2787" s="2">
        <v>45322</v>
      </c>
      <c r="C2787" s="1" t="s">
        <v>36</v>
      </c>
      <c r="D2787" s="1" t="s">
        <v>55</v>
      </c>
      <c r="E2787" s="1" t="s">
        <v>56</v>
      </c>
      <c r="F2787" s="1" t="s">
        <v>30</v>
      </c>
      <c r="G2787" s="1" t="s">
        <v>31</v>
      </c>
      <c r="H2787" s="1" t="s">
        <v>63</v>
      </c>
      <c r="I2787" s="1">
        <v>61.26</v>
      </c>
      <c r="J2787" s="1">
        <v>3</v>
      </c>
      <c r="K2787" s="1">
        <v>183.78</v>
      </c>
      <c r="L2787" s="1">
        <v>0</v>
      </c>
      <c r="M2787" s="1">
        <v>0</v>
      </c>
      <c r="N2787" s="1">
        <v>183.78</v>
      </c>
      <c r="O2787" s="1" t="s">
        <v>33</v>
      </c>
      <c r="P2787" s="1" t="s">
        <v>625</v>
      </c>
      <c r="Q2787" s="1">
        <v>4</v>
      </c>
      <c r="R2787" s="1">
        <f>Retail_Sales_Analyis[[#This Row],[Final_Price]]-Retail_Sales_Analyis[[#This Row],[Total_Price]]</f>
        <v>0</v>
      </c>
      <c r="S27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88" spans="1:19" x14ac:dyDescent="0.25">
      <c r="A2788" s="1" t="s">
        <v>3872</v>
      </c>
      <c r="B2788" s="2">
        <v>45327</v>
      </c>
      <c r="C2788" s="1" t="s">
        <v>27</v>
      </c>
      <c r="D2788" s="1" t="s">
        <v>43</v>
      </c>
      <c r="E2788" s="1" t="s">
        <v>166</v>
      </c>
      <c r="F2788" s="1" t="s">
        <v>69</v>
      </c>
      <c r="G2788" s="1" t="s">
        <v>38</v>
      </c>
      <c r="H2788" s="1" t="s">
        <v>70</v>
      </c>
      <c r="I2788" s="1">
        <v>411.61</v>
      </c>
      <c r="J2788" s="1">
        <v>4</v>
      </c>
      <c r="K2788" s="1">
        <v>1646.44</v>
      </c>
      <c r="L2788" s="1">
        <v>0</v>
      </c>
      <c r="M2788" s="1">
        <v>0</v>
      </c>
      <c r="N2788" s="1">
        <v>1646.44</v>
      </c>
      <c r="O2788" s="1" t="s">
        <v>24</v>
      </c>
      <c r="P2788" s="1" t="s">
        <v>352</v>
      </c>
      <c r="Q2788" s="1">
        <v>1</v>
      </c>
      <c r="R2788" s="1">
        <f>Retail_Sales_Analyis[[#This Row],[Final_Price]]-Retail_Sales_Analyis[[#This Row],[Total_Price]]</f>
        <v>0</v>
      </c>
      <c r="S27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89" spans="1:19" x14ac:dyDescent="0.25">
      <c r="A2789" s="1" t="s">
        <v>3873</v>
      </c>
      <c r="B2789" s="2">
        <v>45533</v>
      </c>
      <c r="C2789" s="1" t="s">
        <v>93</v>
      </c>
      <c r="D2789" s="1" t="s">
        <v>67</v>
      </c>
      <c r="E2789" s="1" t="s">
        <v>196</v>
      </c>
      <c r="F2789" s="1" t="s">
        <v>30</v>
      </c>
      <c r="G2789" s="1" t="s">
        <v>57</v>
      </c>
      <c r="H2789" s="1" t="s">
        <v>101</v>
      </c>
      <c r="I2789" s="1">
        <v>366.31</v>
      </c>
      <c r="J2789" s="1">
        <v>10</v>
      </c>
      <c r="K2789" s="1">
        <v>3663.1</v>
      </c>
      <c r="L2789" s="1">
        <v>0</v>
      </c>
      <c r="M2789" s="1">
        <v>0</v>
      </c>
      <c r="N2789" s="1">
        <v>3663.1</v>
      </c>
      <c r="O2789" s="1" t="s">
        <v>24</v>
      </c>
      <c r="P2789" s="1" t="s">
        <v>1963</v>
      </c>
      <c r="Q2789" s="1">
        <v>1</v>
      </c>
      <c r="R2789" s="1">
        <f>Retail_Sales_Analyis[[#This Row],[Final_Price]]-Retail_Sales_Analyis[[#This Row],[Total_Price]]</f>
        <v>0</v>
      </c>
      <c r="S27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90" spans="1:19" x14ac:dyDescent="0.25">
      <c r="A2790" s="1" t="s">
        <v>3874</v>
      </c>
      <c r="B2790" s="2">
        <v>45308</v>
      </c>
      <c r="C2790" s="1" t="s">
        <v>36</v>
      </c>
      <c r="D2790" s="1" t="s">
        <v>55</v>
      </c>
      <c r="E2790" s="1" t="s">
        <v>29</v>
      </c>
      <c r="F2790" s="1" t="s">
        <v>30</v>
      </c>
      <c r="G2790" s="1" t="s">
        <v>112</v>
      </c>
      <c r="H2790" s="1" t="s">
        <v>288</v>
      </c>
      <c r="I2790" s="1">
        <v>1058.9000000000001</v>
      </c>
      <c r="J2790" s="1">
        <v>6</v>
      </c>
      <c r="K2790" s="1">
        <v>6353.4</v>
      </c>
      <c r="L2790" s="1">
        <v>15</v>
      </c>
      <c r="M2790" s="1">
        <v>953.01</v>
      </c>
      <c r="N2790" s="1">
        <v>5400.39</v>
      </c>
      <c r="O2790" s="1" t="s">
        <v>80</v>
      </c>
      <c r="P2790" s="1" t="s">
        <v>1783</v>
      </c>
      <c r="Q2790" s="1">
        <v>2</v>
      </c>
      <c r="R2790" s="1">
        <f>Retail_Sales_Analyis[[#This Row],[Final_Price]]-Retail_Sales_Analyis[[#This Row],[Total_Price]]</f>
        <v>-953.00999999999931</v>
      </c>
      <c r="S27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1" spans="1:19" x14ac:dyDescent="0.25">
      <c r="A2791" s="1" t="s">
        <v>3875</v>
      </c>
      <c r="B2791" s="2">
        <v>45438</v>
      </c>
      <c r="C2791" s="1" t="s">
        <v>42</v>
      </c>
      <c r="D2791" s="1" t="s">
        <v>49</v>
      </c>
      <c r="E2791" s="1" t="s">
        <v>29</v>
      </c>
      <c r="F2791" s="1" t="s">
        <v>30</v>
      </c>
      <c r="G2791" s="1" t="s">
        <v>38</v>
      </c>
      <c r="H2791" s="1" t="s">
        <v>422</v>
      </c>
      <c r="I2791" s="1">
        <v>270.92</v>
      </c>
      <c r="J2791" s="1">
        <v>6</v>
      </c>
      <c r="K2791" s="1">
        <v>1625.52</v>
      </c>
      <c r="L2791" s="1">
        <v>15</v>
      </c>
      <c r="M2791" s="1">
        <v>243.83</v>
      </c>
      <c r="N2791" s="1">
        <v>1381.69</v>
      </c>
      <c r="O2791" s="1" t="s">
        <v>33</v>
      </c>
      <c r="P2791" s="1" t="s">
        <v>3876</v>
      </c>
      <c r="Q2791" s="1">
        <v>3</v>
      </c>
      <c r="R2791" s="1">
        <f>Retail_Sales_Analyis[[#This Row],[Final_Price]]-Retail_Sales_Analyis[[#This Row],[Total_Price]]</f>
        <v>-243.82999999999993</v>
      </c>
      <c r="S27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2" spans="1:19" x14ac:dyDescent="0.25">
      <c r="A2792" s="1" t="s">
        <v>3877</v>
      </c>
      <c r="B2792" s="2">
        <v>45501</v>
      </c>
      <c r="C2792" s="1" t="s">
        <v>195</v>
      </c>
      <c r="D2792" s="1" t="s">
        <v>49</v>
      </c>
      <c r="E2792" s="1" t="s">
        <v>328</v>
      </c>
      <c r="F2792" s="1" t="s">
        <v>37</v>
      </c>
      <c r="G2792" s="1" t="s">
        <v>85</v>
      </c>
      <c r="H2792" s="1" t="s">
        <v>98</v>
      </c>
      <c r="I2792" s="1">
        <v>4459.68</v>
      </c>
      <c r="J2792" s="1">
        <v>3</v>
      </c>
      <c r="K2792" s="1">
        <v>13379.04</v>
      </c>
      <c r="L2792" s="1">
        <v>5</v>
      </c>
      <c r="M2792" s="1">
        <v>668.95</v>
      </c>
      <c r="N2792" s="1">
        <v>12710.09</v>
      </c>
      <c r="O2792" s="1" t="s">
        <v>33</v>
      </c>
      <c r="P2792" s="1" t="s">
        <v>308</v>
      </c>
      <c r="Q2792" s="1">
        <v>1</v>
      </c>
      <c r="R2792" s="1">
        <f>Retail_Sales_Analyis[[#This Row],[Final_Price]]-Retail_Sales_Analyis[[#This Row],[Total_Price]]</f>
        <v>-668.95000000000073</v>
      </c>
      <c r="S27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793" spans="1:19" x14ac:dyDescent="0.25">
      <c r="A2793" s="1" t="s">
        <v>3878</v>
      </c>
      <c r="B2793" s="2">
        <v>45384</v>
      </c>
      <c r="C2793" s="1" t="s">
        <v>54</v>
      </c>
      <c r="D2793" s="1" t="s">
        <v>28</v>
      </c>
      <c r="E2793" s="1" t="s">
        <v>111</v>
      </c>
      <c r="F2793" s="1" t="s">
        <v>21</v>
      </c>
      <c r="G2793" s="1" t="s">
        <v>112</v>
      </c>
      <c r="H2793" s="1" t="s">
        <v>118</v>
      </c>
      <c r="I2793" s="1">
        <v>1199.6199999999999</v>
      </c>
      <c r="J2793" s="1">
        <v>10</v>
      </c>
      <c r="K2793" s="1">
        <v>11996.2</v>
      </c>
      <c r="L2793" s="1">
        <v>15</v>
      </c>
      <c r="M2793" s="1">
        <v>1799.43</v>
      </c>
      <c r="N2793" s="1">
        <v>10196.77</v>
      </c>
      <c r="O2793" s="1" t="s">
        <v>24</v>
      </c>
      <c r="P2793" s="1" t="s">
        <v>2856</v>
      </c>
      <c r="Q2793" s="1">
        <v>1</v>
      </c>
      <c r="R2793" s="1">
        <f>Retail_Sales_Analyis[[#This Row],[Final_Price]]-Retail_Sales_Analyis[[#This Row],[Total_Price]]</f>
        <v>-1799.4300000000003</v>
      </c>
      <c r="S27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4" spans="1:19" x14ac:dyDescent="0.25">
      <c r="A2794" s="1" t="s">
        <v>3879</v>
      </c>
      <c r="B2794" s="2">
        <v>45361</v>
      </c>
      <c r="C2794" s="1" t="s">
        <v>61</v>
      </c>
      <c r="D2794" s="1" t="s">
        <v>49</v>
      </c>
      <c r="E2794" s="1" t="s">
        <v>239</v>
      </c>
      <c r="F2794" s="1" t="s">
        <v>84</v>
      </c>
      <c r="G2794" s="1" t="s">
        <v>38</v>
      </c>
      <c r="H2794" s="1" t="s">
        <v>70</v>
      </c>
      <c r="I2794" s="1">
        <v>792.72</v>
      </c>
      <c r="J2794" s="1">
        <v>6</v>
      </c>
      <c r="K2794" s="1">
        <v>4756.32</v>
      </c>
      <c r="L2794" s="1">
        <v>20</v>
      </c>
      <c r="M2794" s="1">
        <v>951.26</v>
      </c>
      <c r="N2794" s="1">
        <v>3805.06</v>
      </c>
      <c r="O2794" s="1" t="s">
        <v>33</v>
      </c>
      <c r="P2794" s="1" t="s">
        <v>305</v>
      </c>
      <c r="Q2794" s="1">
        <v>1</v>
      </c>
      <c r="R2794" s="1">
        <f>Retail_Sales_Analyis[[#This Row],[Final_Price]]-Retail_Sales_Analyis[[#This Row],[Total_Price]]</f>
        <v>-951.25999999999976</v>
      </c>
      <c r="S27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795" spans="1:19" x14ac:dyDescent="0.25">
      <c r="A2795" s="1" t="s">
        <v>3880</v>
      </c>
      <c r="B2795" s="2">
        <v>45620</v>
      </c>
      <c r="C2795" s="1" t="s">
        <v>18</v>
      </c>
      <c r="D2795" s="1" t="s">
        <v>49</v>
      </c>
      <c r="E2795" s="1" t="s">
        <v>213</v>
      </c>
      <c r="F2795" s="1" t="s">
        <v>21</v>
      </c>
      <c r="G2795" s="1" t="s">
        <v>22</v>
      </c>
      <c r="H2795" s="1" t="s">
        <v>277</v>
      </c>
      <c r="I2795" s="1">
        <v>994.89</v>
      </c>
      <c r="J2795" s="1">
        <v>2</v>
      </c>
      <c r="K2795" s="1">
        <v>1989.78</v>
      </c>
      <c r="L2795" s="1">
        <v>10</v>
      </c>
      <c r="M2795" s="1">
        <v>198.98</v>
      </c>
      <c r="N2795" s="1">
        <v>1790.8</v>
      </c>
      <c r="O2795" s="1" t="s">
        <v>24</v>
      </c>
      <c r="P2795" s="1" t="s">
        <v>3881</v>
      </c>
      <c r="Q2795" s="1">
        <v>3</v>
      </c>
      <c r="R2795" s="1">
        <f>Retail_Sales_Analyis[[#This Row],[Final_Price]]-Retail_Sales_Analyis[[#This Row],[Total_Price]]</f>
        <v>-198.98000000000002</v>
      </c>
      <c r="S27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6" spans="1:19" x14ac:dyDescent="0.25">
      <c r="A2796" s="1" t="s">
        <v>3882</v>
      </c>
      <c r="B2796" s="2">
        <v>45622</v>
      </c>
      <c r="C2796" s="1" t="s">
        <v>18</v>
      </c>
      <c r="D2796" s="1" t="s">
        <v>28</v>
      </c>
      <c r="E2796" s="1" t="s">
        <v>312</v>
      </c>
      <c r="F2796" s="1" t="s">
        <v>69</v>
      </c>
      <c r="G2796" s="1" t="s">
        <v>31</v>
      </c>
      <c r="H2796" s="1" t="s">
        <v>63</v>
      </c>
      <c r="I2796" s="1">
        <v>230.81</v>
      </c>
      <c r="J2796" s="1">
        <v>2</v>
      </c>
      <c r="K2796" s="1">
        <v>461.62</v>
      </c>
      <c r="L2796" s="1">
        <v>0</v>
      </c>
      <c r="M2796" s="1">
        <v>0</v>
      </c>
      <c r="N2796" s="1">
        <v>461.62</v>
      </c>
      <c r="O2796" s="1" t="s">
        <v>46</v>
      </c>
      <c r="P2796" s="1" t="s">
        <v>837</v>
      </c>
      <c r="Q2796" s="1">
        <v>4</v>
      </c>
      <c r="R2796" s="1">
        <f>Retail_Sales_Analyis[[#This Row],[Final_Price]]-Retail_Sales_Analyis[[#This Row],[Total_Price]]</f>
        <v>0</v>
      </c>
      <c r="S27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797" spans="1:19" x14ac:dyDescent="0.25">
      <c r="A2797" s="1" t="s">
        <v>3883</v>
      </c>
      <c r="B2797" s="2">
        <v>45507</v>
      </c>
      <c r="C2797" s="1" t="s">
        <v>93</v>
      </c>
      <c r="D2797" s="1" t="s">
        <v>19</v>
      </c>
      <c r="E2797" s="1" t="s">
        <v>199</v>
      </c>
      <c r="F2797" s="1" t="s">
        <v>69</v>
      </c>
      <c r="G2797" s="1" t="s">
        <v>169</v>
      </c>
      <c r="H2797" s="1" t="s">
        <v>170</v>
      </c>
      <c r="I2797" s="1">
        <v>1071.4000000000001</v>
      </c>
      <c r="J2797" s="1">
        <v>7</v>
      </c>
      <c r="K2797" s="1">
        <v>7499.8</v>
      </c>
      <c r="L2797" s="1">
        <v>10</v>
      </c>
      <c r="M2797" s="1">
        <v>749.98</v>
      </c>
      <c r="N2797" s="1">
        <v>6749.82</v>
      </c>
      <c r="O2797" s="1" t="s">
        <v>33</v>
      </c>
      <c r="P2797" s="1" t="s">
        <v>1637</v>
      </c>
      <c r="Q2797" s="1">
        <v>1</v>
      </c>
      <c r="R2797" s="1">
        <f>Retail_Sales_Analyis[[#This Row],[Final_Price]]-Retail_Sales_Analyis[[#This Row],[Total_Price]]</f>
        <v>-749.98000000000047</v>
      </c>
      <c r="S27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8" spans="1:19" x14ac:dyDescent="0.25">
      <c r="A2798" s="1" t="s">
        <v>3884</v>
      </c>
      <c r="B2798" s="2">
        <v>45483</v>
      </c>
      <c r="C2798" s="1" t="s">
        <v>195</v>
      </c>
      <c r="D2798" s="1" t="s">
        <v>55</v>
      </c>
      <c r="E2798" s="1" t="s">
        <v>337</v>
      </c>
      <c r="F2798" s="1" t="s">
        <v>30</v>
      </c>
      <c r="G2798" s="1" t="s">
        <v>22</v>
      </c>
      <c r="H2798" s="1" t="s">
        <v>51</v>
      </c>
      <c r="I2798" s="1">
        <v>736.97</v>
      </c>
      <c r="J2798" s="1">
        <v>7</v>
      </c>
      <c r="K2798" s="1">
        <v>5158.79</v>
      </c>
      <c r="L2798" s="1">
        <v>10</v>
      </c>
      <c r="M2798" s="1">
        <v>515.88</v>
      </c>
      <c r="N2798" s="1">
        <v>4642.91</v>
      </c>
      <c r="O2798" s="1" t="s">
        <v>64</v>
      </c>
      <c r="P2798" s="1" t="s">
        <v>1738</v>
      </c>
      <c r="Q2798" s="1">
        <v>5</v>
      </c>
      <c r="R2798" s="1">
        <f>Retail_Sales_Analyis[[#This Row],[Final_Price]]-Retail_Sales_Analyis[[#This Row],[Total_Price]]</f>
        <v>-515.88000000000011</v>
      </c>
      <c r="S27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799" spans="1:19" x14ac:dyDescent="0.25">
      <c r="A2799" s="1" t="s">
        <v>3885</v>
      </c>
      <c r="B2799" s="2">
        <v>45487</v>
      </c>
      <c r="C2799" s="1" t="s">
        <v>195</v>
      </c>
      <c r="D2799" s="1" t="s">
        <v>49</v>
      </c>
      <c r="E2799" s="1" t="s">
        <v>139</v>
      </c>
      <c r="F2799" s="1" t="s">
        <v>84</v>
      </c>
      <c r="G2799" s="1" t="s">
        <v>85</v>
      </c>
      <c r="H2799" s="1" t="s">
        <v>180</v>
      </c>
      <c r="I2799" s="1">
        <v>2616.46</v>
      </c>
      <c r="J2799" s="1">
        <v>10</v>
      </c>
      <c r="K2799" s="1">
        <v>26164.6</v>
      </c>
      <c r="L2799" s="1">
        <v>10</v>
      </c>
      <c r="M2799" s="1">
        <v>2616.46</v>
      </c>
      <c r="N2799" s="1">
        <v>23548.14</v>
      </c>
      <c r="O2799" s="1" t="s">
        <v>46</v>
      </c>
      <c r="P2799" s="1" t="s">
        <v>2543</v>
      </c>
      <c r="Q2799" s="1">
        <v>1</v>
      </c>
      <c r="R2799" s="1">
        <f>Retail_Sales_Analyis[[#This Row],[Final_Price]]-Retail_Sales_Analyis[[#This Row],[Total_Price]]</f>
        <v>-2616.4599999999991</v>
      </c>
      <c r="S27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00" spans="1:19" x14ac:dyDescent="0.25">
      <c r="A2800" s="1" t="s">
        <v>3886</v>
      </c>
      <c r="B2800" s="2">
        <v>45521</v>
      </c>
      <c r="C2800" s="1" t="s">
        <v>93</v>
      </c>
      <c r="D2800" s="1" t="s">
        <v>19</v>
      </c>
      <c r="E2800" s="1" t="s">
        <v>97</v>
      </c>
      <c r="F2800" s="1" t="s">
        <v>21</v>
      </c>
      <c r="G2800" s="1" t="s">
        <v>38</v>
      </c>
      <c r="H2800" s="1" t="s">
        <v>214</v>
      </c>
      <c r="I2800" s="1">
        <v>590.97</v>
      </c>
      <c r="J2800" s="1">
        <v>4</v>
      </c>
      <c r="K2800" s="1">
        <v>2363.88</v>
      </c>
      <c r="L2800" s="1">
        <v>0</v>
      </c>
      <c r="M2800" s="1">
        <v>0</v>
      </c>
      <c r="N2800" s="1">
        <v>2363.88</v>
      </c>
      <c r="O2800" s="1" t="s">
        <v>64</v>
      </c>
      <c r="P2800" s="1" t="s">
        <v>2060</v>
      </c>
      <c r="Q2800" s="1">
        <v>5</v>
      </c>
      <c r="R2800" s="1">
        <f>Retail_Sales_Analyis[[#This Row],[Final_Price]]-Retail_Sales_Analyis[[#This Row],[Total_Price]]</f>
        <v>0</v>
      </c>
      <c r="S28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01" spans="1:19" x14ac:dyDescent="0.25">
      <c r="A2801" s="1" t="s">
        <v>3887</v>
      </c>
      <c r="B2801" s="2">
        <v>45485</v>
      </c>
      <c r="C2801" s="1" t="s">
        <v>195</v>
      </c>
      <c r="D2801" s="1" t="s">
        <v>144</v>
      </c>
      <c r="E2801" s="1" t="s">
        <v>50</v>
      </c>
      <c r="F2801" s="1" t="s">
        <v>84</v>
      </c>
      <c r="G2801" s="1" t="s">
        <v>22</v>
      </c>
      <c r="H2801" s="1" t="s">
        <v>277</v>
      </c>
      <c r="I2801" s="1">
        <v>884.29</v>
      </c>
      <c r="J2801" s="1">
        <v>6</v>
      </c>
      <c r="K2801" s="1">
        <v>5305.74</v>
      </c>
      <c r="L2801" s="1">
        <v>0</v>
      </c>
      <c r="M2801" s="1">
        <v>0</v>
      </c>
      <c r="N2801" s="1">
        <v>5305.74</v>
      </c>
      <c r="O2801" s="1" t="s">
        <v>33</v>
      </c>
      <c r="P2801" s="1" t="s">
        <v>356</v>
      </c>
      <c r="Q2801" s="1">
        <v>2</v>
      </c>
      <c r="R2801" s="1">
        <f>Retail_Sales_Analyis[[#This Row],[Final_Price]]-Retail_Sales_Analyis[[#This Row],[Total_Price]]</f>
        <v>0</v>
      </c>
      <c r="S28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02" spans="1:19" x14ac:dyDescent="0.25">
      <c r="A2802" s="1" t="s">
        <v>3888</v>
      </c>
      <c r="B2802" s="2">
        <v>45484</v>
      </c>
      <c r="C2802" s="1" t="s">
        <v>195</v>
      </c>
      <c r="D2802" s="1" t="s">
        <v>67</v>
      </c>
      <c r="E2802" s="1" t="s">
        <v>239</v>
      </c>
      <c r="F2802" s="1" t="s">
        <v>84</v>
      </c>
      <c r="G2802" s="1" t="s">
        <v>85</v>
      </c>
      <c r="H2802" s="1" t="s">
        <v>98</v>
      </c>
      <c r="I2802" s="1">
        <v>1268.3399999999999</v>
      </c>
      <c r="J2802" s="1">
        <v>1</v>
      </c>
      <c r="K2802" s="1">
        <v>1268.3399999999999</v>
      </c>
      <c r="L2802" s="1">
        <v>0</v>
      </c>
      <c r="M2802" s="1">
        <v>0</v>
      </c>
      <c r="N2802" s="1">
        <v>1268.3399999999999</v>
      </c>
      <c r="O2802" s="1" t="s">
        <v>24</v>
      </c>
      <c r="P2802" s="1" t="s">
        <v>1565</v>
      </c>
      <c r="Q2802" s="1">
        <v>2</v>
      </c>
      <c r="R2802" s="1">
        <f>Retail_Sales_Analyis[[#This Row],[Final_Price]]-Retail_Sales_Analyis[[#This Row],[Total_Price]]</f>
        <v>0</v>
      </c>
      <c r="S28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03" spans="1:19" x14ac:dyDescent="0.25">
      <c r="A2803" s="1" t="s">
        <v>3889</v>
      </c>
      <c r="B2803" s="2">
        <v>45333</v>
      </c>
      <c r="C2803" s="1" t="s">
        <v>27</v>
      </c>
      <c r="D2803" s="1" t="s">
        <v>49</v>
      </c>
      <c r="E2803" s="1" t="s">
        <v>163</v>
      </c>
      <c r="F2803" s="1" t="s">
        <v>84</v>
      </c>
      <c r="G2803" s="1" t="s">
        <v>22</v>
      </c>
      <c r="H2803" s="1" t="s">
        <v>133</v>
      </c>
      <c r="I2803" s="1">
        <v>446.66</v>
      </c>
      <c r="J2803" s="1">
        <v>5</v>
      </c>
      <c r="K2803" s="1">
        <v>2233.3000000000002</v>
      </c>
      <c r="L2803" s="1">
        <v>5</v>
      </c>
      <c r="M2803" s="1">
        <v>111.67</v>
      </c>
      <c r="N2803" s="1">
        <v>2121.63</v>
      </c>
      <c r="O2803" s="1" t="s">
        <v>64</v>
      </c>
      <c r="P2803" s="1" t="s">
        <v>2373</v>
      </c>
      <c r="Q2803" s="1">
        <v>2</v>
      </c>
      <c r="R2803" s="1">
        <f>Retail_Sales_Analyis[[#This Row],[Final_Price]]-Retail_Sales_Analyis[[#This Row],[Total_Price]]</f>
        <v>-111.67000000000007</v>
      </c>
      <c r="S280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04" spans="1:19" x14ac:dyDescent="0.25">
      <c r="A2804" s="1" t="s">
        <v>3890</v>
      </c>
      <c r="B2804" s="2">
        <v>45641</v>
      </c>
      <c r="C2804" s="1" t="s">
        <v>73</v>
      </c>
      <c r="D2804" s="1" t="s">
        <v>49</v>
      </c>
      <c r="E2804" s="1" t="s">
        <v>56</v>
      </c>
      <c r="F2804" s="1" t="s">
        <v>30</v>
      </c>
      <c r="G2804" s="1" t="s">
        <v>169</v>
      </c>
      <c r="H2804" s="1" t="s">
        <v>175</v>
      </c>
      <c r="I2804" s="1">
        <v>844.54</v>
      </c>
      <c r="J2804" s="1">
        <v>9</v>
      </c>
      <c r="K2804" s="1">
        <v>7600.86</v>
      </c>
      <c r="L2804" s="1">
        <v>0</v>
      </c>
      <c r="M2804" s="1">
        <v>0</v>
      </c>
      <c r="N2804" s="1">
        <v>7600.86</v>
      </c>
      <c r="O2804" s="1" t="s">
        <v>64</v>
      </c>
      <c r="P2804" s="1" t="s">
        <v>1269</v>
      </c>
      <c r="Q2804" s="1">
        <v>3</v>
      </c>
      <c r="R2804" s="1">
        <f>Retail_Sales_Analyis[[#This Row],[Final_Price]]-Retail_Sales_Analyis[[#This Row],[Total_Price]]</f>
        <v>0</v>
      </c>
      <c r="S28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05" spans="1:19" x14ac:dyDescent="0.25">
      <c r="A2805" s="1" t="s">
        <v>3891</v>
      </c>
      <c r="B2805" s="2">
        <v>45630</v>
      </c>
      <c r="C2805" s="1" t="s">
        <v>73</v>
      </c>
      <c r="D2805" s="1" t="s">
        <v>55</v>
      </c>
      <c r="E2805" s="1" t="s">
        <v>542</v>
      </c>
      <c r="F2805" s="1" t="s">
        <v>37</v>
      </c>
      <c r="G2805" s="1" t="s">
        <v>38</v>
      </c>
      <c r="H2805" s="1" t="s">
        <v>214</v>
      </c>
      <c r="I2805" s="1">
        <v>101.86</v>
      </c>
      <c r="J2805" s="1">
        <v>6</v>
      </c>
      <c r="K2805" s="1">
        <v>611.16</v>
      </c>
      <c r="L2805" s="1">
        <v>10</v>
      </c>
      <c r="M2805" s="1">
        <v>61.12</v>
      </c>
      <c r="N2805" s="1">
        <v>550.04</v>
      </c>
      <c r="O2805" s="1" t="s">
        <v>46</v>
      </c>
      <c r="P2805" s="1" t="s">
        <v>2520</v>
      </c>
      <c r="Q2805" s="1">
        <v>3</v>
      </c>
      <c r="R2805" s="1">
        <f>Retail_Sales_Analyis[[#This Row],[Final_Price]]-Retail_Sales_Analyis[[#This Row],[Total_Price]]</f>
        <v>-61.120000000000005</v>
      </c>
      <c r="S28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06" spans="1:19" x14ac:dyDescent="0.25">
      <c r="A2806" s="1" t="s">
        <v>3892</v>
      </c>
      <c r="B2806" s="2">
        <v>45568</v>
      </c>
      <c r="C2806" s="1" t="s">
        <v>76</v>
      </c>
      <c r="D2806" s="1" t="s">
        <v>67</v>
      </c>
      <c r="E2806" s="1" t="s">
        <v>239</v>
      </c>
      <c r="F2806" s="1" t="s">
        <v>84</v>
      </c>
      <c r="G2806" s="1" t="s">
        <v>85</v>
      </c>
      <c r="H2806" s="1" t="s">
        <v>98</v>
      </c>
      <c r="I2806" s="1">
        <v>4132.3599999999997</v>
      </c>
      <c r="J2806" s="1">
        <v>8</v>
      </c>
      <c r="K2806" s="1">
        <v>33058.879999999997</v>
      </c>
      <c r="L2806" s="1">
        <v>15</v>
      </c>
      <c r="M2806" s="1">
        <v>4958.83</v>
      </c>
      <c r="N2806" s="1">
        <v>28100.05</v>
      </c>
      <c r="O2806" s="1" t="s">
        <v>64</v>
      </c>
      <c r="P2806" s="1" t="s">
        <v>3323</v>
      </c>
      <c r="Q2806" s="1">
        <v>3</v>
      </c>
      <c r="R2806" s="1">
        <f>Retail_Sales_Analyis[[#This Row],[Final_Price]]-Retail_Sales_Analyis[[#This Row],[Total_Price]]</f>
        <v>-4958.8299999999981</v>
      </c>
      <c r="S28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07" spans="1:19" x14ac:dyDescent="0.25">
      <c r="A2807" s="1" t="s">
        <v>3893</v>
      </c>
      <c r="B2807" s="2">
        <v>45360</v>
      </c>
      <c r="C2807" s="1" t="s">
        <v>61</v>
      </c>
      <c r="D2807" s="1" t="s">
        <v>19</v>
      </c>
      <c r="E2807" s="1" t="s">
        <v>145</v>
      </c>
      <c r="F2807" s="1" t="s">
        <v>37</v>
      </c>
      <c r="G2807" s="1" t="s">
        <v>22</v>
      </c>
      <c r="H2807" s="1" t="s">
        <v>51</v>
      </c>
      <c r="I2807" s="1">
        <v>448.08</v>
      </c>
      <c r="J2807" s="1">
        <v>8</v>
      </c>
      <c r="K2807" s="1">
        <v>3584.64</v>
      </c>
      <c r="L2807" s="1">
        <v>5</v>
      </c>
      <c r="M2807" s="1">
        <v>179.23</v>
      </c>
      <c r="N2807" s="1">
        <v>3405.41</v>
      </c>
      <c r="O2807" s="1" t="s">
        <v>46</v>
      </c>
      <c r="P2807" s="1" t="s">
        <v>362</v>
      </c>
      <c r="Q2807" s="1">
        <v>1</v>
      </c>
      <c r="R2807" s="1">
        <f>Retail_Sales_Analyis[[#This Row],[Final_Price]]-Retail_Sales_Analyis[[#This Row],[Total_Price]]</f>
        <v>-179.23000000000002</v>
      </c>
      <c r="S28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08" spans="1:19" x14ac:dyDescent="0.25">
      <c r="A2808" s="1" t="s">
        <v>3894</v>
      </c>
      <c r="B2808" s="2">
        <v>45626</v>
      </c>
      <c r="C2808" s="1" t="s">
        <v>18</v>
      </c>
      <c r="D2808" s="1" t="s">
        <v>19</v>
      </c>
      <c r="E2808" s="1" t="s">
        <v>213</v>
      </c>
      <c r="F2808" s="1" t="s">
        <v>30</v>
      </c>
      <c r="G2808" s="1" t="s">
        <v>57</v>
      </c>
      <c r="H2808" s="1" t="s">
        <v>158</v>
      </c>
      <c r="I2808" s="1">
        <v>413.79</v>
      </c>
      <c r="J2808" s="1">
        <v>4</v>
      </c>
      <c r="K2808" s="1">
        <v>1655.16</v>
      </c>
      <c r="L2808" s="1">
        <v>0</v>
      </c>
      <c r="M2808" s="1">
        <v>0</v>
      </c>
      <c r="N2808" s="1">
        <v>1655.16</v>
      </c>
      <c r="O2808" s="1" t="s">
        <v>64</v>
      </c>
      <c r="P2808" s="1" t="s">
        <v>1391</v>
      </c>
      <c r="Q2808" s="1">
        <v>3</v>
      </c>
      <c r="R2808" s="1">
        <f>Retail_Sales_Analyis[[#This Row],[Final_Price]]-Retail_Sales_Analyis[[#This Row],[Total_Price]]</f>
        <v>0</v>
      </c>
      <c r="S28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09" spans="1:19" x14ac:dyDescent="0.25">
      <c r="A2809" s="1" t="s">
        <v>3895</v>
      </c>
      <c r="B2809" s="2">
        <v>45470</v>
      </c>
      <c r="C2809" s="1" t="s">
        <v>173</v>
      </c>
      <c r="D2809" s="1" t="s">
        <v>67</v>
      </c>
      <c r="E2809" s="1" t="s">
        <v>145</v>
      </c>
      <c r="F2809" s="1" t="s">
        <v>84</v>
      </c>
      <c r="G2809" s="1" t="s">
        <v>38</v>
      </c>
      <c r="H2809" s="1" t="s">
        <v>108</v>
      </c>
      <c r="I2809" s="1">
        <v>640.71</v>
      </c>
      <c r="J2809" s="1">
        <v>9</v>
      </c>
      <c r="K2809" s="1">
        <v>5766.39</v>
      </c>
      <c r="L2809" s="1">
        <v>20</v>
      </c>
      <c r="M2809" s="1">
        <v>1153.28</v>
      </c>
      <c r="N2809" s="1">
        <v>4613.1099999999997</v>
      </c>
      <c r="O2809" s="1" t="s">
        <v>24</v>
      </c>
      <c r="P2809" s="1" t="s">
        <v>3896</v>
      </c>
      <c r="Q2809" s="1">
        <v>3</v>
      </c>
      <c r="R2809" s="1">
        <f>Retail_Sales_Analyis[[#This Row],[Final_Price]]-Retail_Sales_Analyis[[#This Row],[Total_Price]]</f>
        <v>-1153.2800000000007</v>
      </c>
      <c r="S28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10" spans="1:19" x14ac:dyDescent="0.25">
      <c r="A2810" s="1" t="s">
        <v>3897</v>
      </c>
      <c r="B2810" s="2">
        <v>45352</v>
      </c>
      <c r="C2810" s="1" t="s">
        <v>61</v>
      </c>
      <c r="D2810" s="1" t="s">
        <v>144</v>
      </c>
      <c r="E2810" s="1" t="s">
        <v>62</v>
      </c>
      <c r="F2810" s="1" t="s">
        <v>84</v>
      </c>
      <c r="G2810" s="1" t="s">
        <v>78</v>
      </c>
      <c r="H2810" s="1" t="s">
        <v>146</v>
      </c>
      <c r="I2810" s="1">
        <v>462.19</v>
      </c>
      <c r="J2810" s="1">
        <v>8</v>
      </c>
      <c r="K2810" s="1">
        <v>3697.52</v>
      </c>
      <c r="L2810" s="1">
        <v>10</v>
      </c>
      <c r="M2810" s="1">
        <v>369.75</v>
      </c>
      <c r="N2810" s="1">
        <v>3327.77</v>
      </c>
      <c r="O2810" s="1" t="s">
        <v>80</v>
      </c>
      <c r="P2810" s="1" t="s">
        <v>1039</v>
      </c>
      <c r="Q2810" s="1">
        <v>3</v>
      </c>
      <c r="R2810" s="1">
        <f>Retail_Sales_Analyis[[#This Row],[Final_Price]]-Retail_Sales_Analyis[[#This Row],[Total_Price]]</f>
        <v>-369.75</v>
      </c>
      <c r="S28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11" spans="1:19" x14ac:dyDescent="0.25">
      <c r="A2811" s="1" t="s">
        <v>3898</v>
      </c>
      <c r="B2811" s="2">
        <v>45383</v>
      </c>
      <c r="C2811" s="1" t="s">
        <v>54</v>
      </c>
      <c r="D2811" s="1" t="s">
        <v>43</v>
      </c>
      <c r="E2811" s="1" t="s">
        <v>62</v>
      </c>
      <c r="F2811" s="1" t="s">
        <v>30</v>
      </c>
      <c r="G2811" s="1" t="s">
        <v>112</v>
      </c>
      <c r="H2811" s="1" t="s">
        <v>183</v>
      </c>
      <c r="I2811" s="1">
        <v>1283.77</v>
      </c>
      <c r="J2811" s="1">
        <v>2</v>
      </c>
      <c r="K2811" s="1">
        <v>2567.54</v>
      </c>
      <c r="L2811" s="1">
        <v>0</v>
      </c>
      <c r="M2811" s="1">
        <v>0</v>
      </c>
      <c r="N2811" s="1">
        <v>2567.54</v>
      </c>
      <c r="O2811" s="1" t="s">
        <v>80</v>
      </c>
      <c r="P2811" s="1" t="s">
        <v>2480</v>
      </c>
      <c r="Q2811" s="1">
        <v>4</v>
      </c>
      <c r="R2811" s="1">
        <f>Retail_Sales_Analyis[[#This Row],[Final_Price]]-Retail_Sales_Analyis[[#This Row],[Total_Price]]</f>
        <v>0</v>
      </c>
      <c r="S28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2" spans="1:19" x14ac:dyDescent="0.25">
      <c r="A2812" s="1" t="s">
        <v>3899</v>
      </c>
      <c r="B2812" s="2">
        <v>45567</v>
      </c>
      <c r="C2812" s="1" t="s">
        <v>76</v>
      </c>
      <c r="D2812" s="1" t="s">
        <v>55</v>
      </c>
      <c r="E2812" s="1" t="s">
        <v>145</v>
      </c>
      <c r="F2812" s="1" t="s">
        <v>37</v>
      </c>
      <c r="G2812" s="1" t="s">
        <v>169</v>
      </c>
      <c r="H2812" s="1" t="s">
        <v>348</v>
      </c>
      <c r="I2812" s="1">
        <v>852.86</v>
      </c>
      <c r="J2812" s="1">
        <v>10</v>
      </c>
      <c r="K2812" s="1">
        <v>8528.6</v>
      </c>
      <c r="L2812" s="1">
        <v>0</v>
      </c>
      <c r="M2812" s="1">
        <v>0</v>
      </c>
      <c r="N2812" s="1">
        <v>8528.6</v>
      </c>
      <c r="O2812" s="1" t="s">
        <v>64</v>
      </c>
      <c r="P2812" s="1" t="s">
        <v>2228</v>
      </c>
      <c r="Q2812" s="1">
        <v>5</v>
      </c>
      <c r="R2812" s="1">
        <f>Retail_Sales_Analyis[[#This Row],[Final_Price]]-Retail_Sales_Analyis[[#This Row],[Total_Price]]</f>
        <v>0</v>
      </c>
      <c r="S28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3" spans="1:19" x14ac:dyDescent="0.25">
      <c r="A2813" s="1" t="s">
        <v>3900</v>
      </c>
      <c r="B2813" s="2">
        <v>45493</v>
      </c>
      <c r="C2813" s="1" t="s">
        <v>195</v>
      </c>
      <c r="D2813" s="1" t="s">
        <v>19</v>
      </c>
      <c r="E2813" s="1" t="s">
        <v>204</v>
      </c>
      <c r="F2813" s="1" t="s">
        <v>37</v>
      </c>
      <c r="G2813" s="1" t="s">
        <v>57</v>
      </c>
      <c r="H2813" s="1" t="s">
        <v>158</v>
      </c>
      <c r="I2813" s="1">
        <v>1690.98</v>
      </c>
      <c r="J2813" s="1">
        <v>10</v>
      </c>
      <c r="K2813" s="1">
        <v>16909.8</v>
      </c>
      <c r="L2813" s="1">
        <v>0</v>
      </c>
      <c r="M2813" s="1">
        <v>0</v>
      </c>
      <c r="N2813" s="1">
        <v>16909.8</v>
      </c>
      <c r="O2813" s="1" t="s">
        <v>80</v>
      </c>
      <c r="P2813" s="1" t="s">
        <v>1391</v>
      </c>
      <c r="Q2813" s="1">
        <v>1</v>
      </c>
      <c r="R2813" s="1">
        <f>Retail_Sales_Analyis[[#This Row],[Final_Price]]-Retail_Sales_Analyis[[#This Row],[Total_Price]]</f>
        <v>0</v>
      </c>
      <c r="S28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4" spans="1:19" x14ac:dyDescent="0.25">
      <c r="A2814" s="1" t="s">
        <v>3901</v>
      </c>
      <c r="B2814" s="2">
        <v>45562</v>
      </c>
      <c r="C2814" s="1" t="s">
        <v>116</v>
      </c>
      <c r="D2814" s="1" t="s">
        <v>144</v>
      </c>
      <c r="E2814" s="1" t="s">
        <v>129</v>
      </c>
      <c r="F2814" s="1" t="s">
        <v>30</v>
      </c>
      <c r="G2814" s="1" t="s">
        <v>169</v>
      </c>
      <c r="H2814" s="1" t="s">
        <v>175</v>
      </c>
      <c r="I2814" s="1">
        <v>1339.38</v>
      </c>
      <c r="J2814" s="1">
        <v>4</v>
      </c>
      <c r="K2814" s="1">
        <v>5357.52</v>
      </c>
      <c r="L2814" s="1">
        <v>0</v>
      </c>
      <c r="M2814" s="1">
        <v>0</v>
      </c>
      <c r="N2814" s="1">
        <v>5357.52</v>
      </c>
      <c r="O2814" s="1" t="s">
        <v>64</v>
      </c>
      <c r="P2814" s="1" t="s">
        <v>387</v>
      </c>
      <c r="Q2814" s="1">
        <v>5</v>
      </c>
      <c r="R2814" s="1">
        <f>Retail_Sales_Analyis[[#This Row],[Final_Price]]-Retail_Sales_Analyis[[#This Row],[Total_Price]]</f>
        <v>0</v>
      </c>
      <c r="S28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5" spans="1:19" x14ac:dyDescent="0.25">
      <c r="A2815" s="1" t="s">
        <v>3902</v>
      </c>
      <c r="B2815" s="2">
        <v>45357</v>
      </c>
      <c r="C2815" s="1" t="s">
        <v>61</v>
      </c>
      <c r="D2815" s="1" t="s">
        <v>55</v>
      </c>
      <c r="E2815" s="1" t="s">
        <v>174</v>
      </c>
      <c r="F2815" s="1" t="s">
        <v>37</v>
      </c>
      <c r="G2815" s="1" t="s">
        <v>85</v>
      </c>
      <c r="H2815" s="1" t="s">
        <v>297</v>
      </c>
      <c r="I2815" s="1">
        <v>3756.55</v>
      </c>
      <c r="J2815" s="1">
        <v>6</v>
      </c>
      <c r="K2815" s="1">
        <v>22539.3</v>
      </c>
      <c r="L2815" s="1">
        <v>10</v>
      </c>
      <c r="M2815" s="1">
        <v>2253.9299999999998</v>
      </c>
      <c r="N2815" s="1">
        <v>20285.37</v>
      </c>
      <c r="O2815" s="1" t="s">
        <v>33</v>
      </c>
      <c r="P2815" s="1" t="s">
        <v>1627</v>
      </c>
      <c r="Q2815" s="1">
        <v>2</v>
      </c>
      <c r="R2815" s="1">
        <f>Retail_Sales_Analyis[[#This Row],[Final_Price]]-Retail_Sales_Analyis[[#This Row],[Total_Price]]</f>
        <v>-2253.9300000000003</v>
      </c>
      <c r="S28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16" spans="1:19" x14ac:dyDescent="0.25">
      <c r="A2816" s="1" t="s">
        <v>3903</v>
      </c>
      <c r="B2816" s="2">
        <v>45406</v>
      </c>
      <c r="C2816" s="1" t="s">
        <v>54</v>
      </c>
      <c r="D2816" s="1" t="s">
        <v>55</v>
      </c>
      <c r="E2816" s="1" t="s">
        <v>94</v>
      </c>
      <c r="F2816" s="1" t="s">
        <v>37</v>
      </c>
      <c r="G2816" s="1" t="s">
        <v>169</v>
      </c>
      <c r="H2816" s="1" t="s">
        <v>366</v>
      </c>
      <c r="I2816" s="1">
        <v>375.98</v>
      </c>
      <c r="J2816" s="1">
        <v>6</v>
      </c>
      <c r="K2816" s="1">
        <v>2255.88</v>
      </c>
      <c r="L2816" s="1">
        <v>0</v>
      </c>
      <c r="M2816" s="1">
        <v>0</v>
      </c>
      <c r="N2816" s="1">
        <v>2255.88</v>
      </c>
      <c r="O2816" s="1" t="s">
        <v>33</v>
      </c>
      <c r="P2816" s="1" t="s">
        <v>1280</v>
      </c>
      <c r="Q2816" s="1">
        <v>2</v>
      </c>
      <c r="R2816" s="1">
        <f>Retail_Sales_Analyis[[#This Row],[Final_Price]]-Retail_Sales_Analyis[[#This Row],[Total_Price]]</f>
        <v>0</v>
      </c>
      <c r="S28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7" spans="1:19" x14ac:dyDescent="0.25">
      <c r="A2817" s="1" t="s">
        <v>3904</v>
      </c>
      <c r="B2817" s="2">
        <v>45293</v>
      </c>
      <c r="C2817" s="1" t="s">
        <v>36</v>
      </c>
      <c r="D2817" s="1" t="s">
        <v>28</v>
      </c>
      <c r="E2817" s="1" t="s">
        <v>307</v>
      </c>
      <c r="F2817" s="1" t="s">
        <v>21</v>
      </c>
      <c r="G2817" s="1" t="s">
        <v>38</v>
      </c>
      <c r="H2817" s="1" t="s">
        <v>108</v>
      </c>
      <c r="I2817" s="1">
        <v>161.68</v>
      </c>
      <c r="J2817" s="1">
        <v>4</v>
      </c>
      <c r="K2817" s="1">
        <v>646.72</v>
      </c>
      <c r="L2817" s="1">
        <v>0</v>
      </c>
      <c r="M2817" s="1">
        <v>0</v>
      </c>
      <c r="N2817" s="1">
        <v>646.72</v>
      </c>
      <c r="O2817" s="1" t="s">
        <v>46</v>
      </c>
      <c r="P2817" s="1" t="s">
        <v>3554</v>
      </c>
      <c r="Q2817" s="1">
        <v>3</v>
      </c>
      <c r="R2817" s="1">
        <f>Retail_Sales_Analyis[[#This Row],[Final_Price]]-Retail_Sales_Analyis[[#This Row],[Total_Price]]</f>
        <v>0</v>
      </c>
      <c r="S28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8" spans="1:19" x14ac:dyDescent="0.25">
      <c r="A2818" s="1" t="s">
        <v>3905</v>
      </c>
      <c r="B2818" s="2">
        <v>45303</v>
      </c>
      <c r="C2818" s="1" t="s">
        <v>36</v>
      </c>
      <c r="D2818" s="1" t="s">
        <v>144</v>
      </c>
      <c r="E2818" s="1" t="s">
        <v>94</v>
      </c>
      <c r="F2818" s="1" t="s">
        <v>37</v>
      </c>
      <c r="G2818" s="1" t="s">
        <v>112</v>
      </c>
      <c r="H2818" s="1" t="s">
        <v>223</v>
      </c>
      <c r="I2818" s="1">
        <v>981.09</v>
      </c>
      <c r="J2818" s="1">
        <v>1</v>
      </c>
      <c r="K2818" s="1">
        <v>981.09</v>
      </c>
      <c r="L2818" s="1">
        <v>0</v>
      </c>
      <c r="M2818" s="1">
        <v>0</v>
      </c>
      <c r="N2818" s="1">
        <v>981.09</v>
      </c>
      <c r="O2818" s="1" t="s">
        <v>24</v>
      </c>
      <c r="P2818" s="1" t="s">
        <v>3906</v>
      </c>
      <c r="Q2818" s="1">
        <v>3</v>
      </c>
      <c r="R2818" s="1">
        <f>Retail_Sales_Analyis[[#This Row],[Final_Price]]-Retail_Sales_Analyis[[#This Row],[Total_Price]]</f>
        <v>0</v>
      </c>
      <c r="S28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19" spans="1:19" x14ac:dyDescent="0.25">
      <c r="A2819" s="1" t="s">
        <v>3907</v>
      </c>
      <c r="B2819" s="2">
        <v>45444</v>
      </c>
      <c r="C2819" s="1" t="s">
        <v>173</v>
      </c>
      <c r="D2819" s="1" t="s">
        <v>19</v>
      </c>
      <c r="E2819" s="1" t="s">
        <v>307</v>
      </c>
      <c r="F2819" s="1" t="s">
        <v>84</v>
      </c>
      <c r="G2819" s="1" t="s">
        <v>31</v>
      </c>
      <c r="H2819" s="1" t="s">
        <v>45</v>
      </c>
      <c r="I2819" s="1">
        <v>89.58</v>
      </c>
      <c r="J2819" s="1">
        <v>2</v>
      </c>
      <c r="K2819" s="1">
        <v>179.16</v>
      </c>
      <c r="L2819" s="1">
        <v>0</v>
      </c>
      <c r="M2819" s="1">
        <v>0</v>
      </c>
      <c r="N2819" s="1">
        <v>179.16</v>
      </c>
      <c r="O2819" s="1" t="s">
        <v>80</v>
      </c>
      <c r="P2819" s="1" t="s">
        <v>538</v>
      </c>
      <c r="Q2819" s="1">
        <v>4</v>
      </c>
      <c r="R2819" s="1">
        <f>Retail_Sales_Analyis[[#This Row],[Final_Price]]-Retail_Sales_Analyis[[#This Row],[Total_Price]]</f>
        <v>0</v>
      </c>
      <c r="S28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0" spans="1:19" x14ac:dyDescent="0.25">
      <c r="A2820" s="1" t="s">
        <v>3908</v>
      </c>
      <c r="B2820" s="2">
        <v>45529</v>
      </c>
      <c r="C2820" s="1" t="s">
        <v>93</v>
      </c>
      <c r="D2820" s="1" t="s">
        <v>49</v>
      </c>
      <c r="E2820" s="1" t="s">
        <v>117</v>
      </c>
      <c r="F2820" s="1" t="s">
        <v>30</v>
      </c>
      <c r="G2820" s="1" t="s">
        <v>38</v>
      </c>
      <c r="H2820" s="1" t="s">
        <v>422</v>
      </c>
      <c r="I2820" s="1">
        <v>323.83999999999997</v>
      </c>
      <c r="J2820" s="1">
        <v>7</v>
      </c>
      <c r="K2820" s="1">
        <v>2266.88</v>
      </c>
      <c r="L2820" s="1">
        <v>15</v>
      </c>
      <c r="M2820" s="1">
        <v>340.03</v>
      </c>
      <c r="N2820" s="1">
        <v>1926.85</v>
      </c>
      <c r="O2820" s="1" t="s">
        <v>33</v>
      </c>
      <c r="P2820" s="1" t="s">
        <v>3909</v>
      </c>
      <c r="Q2820" s="1">
        <v>2</v>
      </c>
      <c r="R2820" s="1">
        <f>Retail_Sales_Analyis[[#This Row],[Final_Price]]-Retail_Sales_Analyis[[#This Row],[Total_Price]]</f>
        <v>-340.0300000000002</v>
      </c>
      <c r="S28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21" spans="1:19" x14ac:dyDescent="0.25">
      <c r="A2821" s="1" t="s">
        <v>3910</v>
      </c>
      <c r="B2821" s="2">
        <v>45636</v>
      </c>
      <c r="C2821" s="1" t="s">
        <v>73</v>
      </c>
      <c r="D2821" s="1" t="s">
        <v>28</v>
      </c>
      <c r="E2821" s="1" t="s">
        <v>107</v>
      </c>
      <c r="F2821" s="1" t="s">
        <v>69</v>
      </c>
      <c r="G2821" s="1" t="s">
        <v>38</v>
      </c>
      <c r="H2821" s="1" t="s">
        <v>39</v>
      </c>
      <c r="I2821" s="1">
        <v>648.16</v>
      </c>
      <c r="J2821" s="1">
        <v>3</v>
      </c>
      <c r="K2821" s="1">
        <v>1944.48</v>
      </c>
      <c r="L2821" s="1">
        <v>10</v>
      </c>
      <c r="M2821" s="1">
        <v>194.45</v>
      </c>
      <c r="N2821" s="1">
        <v>1750.03</v>
      </c>
      <c r="O2821" s="1" t="s">
        <v>80</v>
      </c>
      <c r="P2821" s="1" t="s">
        <v>480</v>
      </c>
      <c r="Q2821" s="1">
        <v>1</v>
      </c>
      <c r="R2821" s="1">
        <f>Retail_Sales_Analyis[[#This Row],[Final_Price]]-Retail_Sales_Analyis[[#This Row],[Total_Price]]</f>
        <v>-194.45000000000005</v>
      </c>
      <c r="S28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22" spans="1:19" x14ac:dyDescent="0.25">
      <c r="A2822" s="1" t="s">
        <v>3911</v>
      </c>
      <c r="B2822" s="2">
        <v>45570</v>
      </c>
      <c r="C2822" s="1" t="s">
        <v>76</v>
      </c>
      <c r="D2822" s="1" t="s">
        <v>19</v>
      </c>
      <c r="E2822" s="1" t="s">
        <v>204</v>
      </c>
      <c r="F2822" s="1" t="s">
        <v>37</v>
      </c>
      <c r="G2822" s="1" t="s">
        <v>38</v>
      </c>
      <c r="H2822" s="1" t="s">
        <v>422</v>
      </c>
      <c r="I2822" s="1">
        <v>206.89</v>
      </c>
      <c r="J2822" s="1">
        <v>7</v>
      </c>
      <c r="K2822" s="1">
        <v>1448.23</v>
      </c>
      <c r="L2822" s="1">
        <v>0</v>
      </c>
      <c r="M2822" s="1">
        <v>0</v>
      </c>
      <c r="N2822" s="1">
        <v>1448.23</v>
      </c>
      <c r="O2822" s="1" t="s">
        <v>24</v>
      </c>
      <c r="P2822" s="1" t="s">
        <v>940</v>
      </c>
      <c r="Q2822" s="1">
        <v>5</v>
      </c>
      <c r="R2822" s="1">
        <f>Retail_Sales_Analyis[[#This Row],[Final_Price]]-Retail_Sales_Analyis[[#This Row],[Total_Price]]</f>
        <v>0</v>
      </c>
      <c r="S28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3" spans="1:19" x14ac:dyDescent="0.25">
      <c r="A2823" s="1" t="s">
        <v>3912</v>
      </c>
      <c r="B2823" s="2">
        <v>45509</v>
      </c>
      <c r="C2823" s="1" t="s">
        <v>93</v>
      </c>
      <c r="D2823" s="1" t="s">
        <v>43</v>
      </c>
      <c r="E2823" s="1" t="s">
        <v>239</v>
      </c>
      <c r="F2823" s="1" t="s">
        <v>37</v>
      </c>
      <c r="G2823" s="1" t="s">
        <v>22</v>
      </c>
      <c r="H2823" s="1" t="s">
        <v>133</v>
      </c>
      <c r="I2823" s="1">
        <v>934.17</v>
      </c>
      <c r="J2823" s="1">
        <v>7</v>
      </c>
      <c r="K2823" s="1">
        <v>6539.19</v>
      </c>
      <c r="L2823" s="1">
        <v>15</v>
      </c>
      <c r="M2823" s="1">
        <v>980.88</v>
      </c>
      <c r="N2823" s="1">
        <v>5558.31</v>
      </c>
      <c r="O2823" s="1" t="s">
        <v>33</v>
      </c>
      <c r="P2823" s="1" t="s">
        <v>2731</v>
      </c>
      <c r="Q2823" s="1">
        <v>5</v>
      </c>
      <c r="R2823" s="1">
        <f>Retail_Sales_Analyis[[#This Row],[Final_Price]]-Retail_Sales_Analyis[[#This Row],[Total_Price]]</f>
        <v>-980.8799999999992</v>
      </c>
      <c r="S28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24" spans="1:19" x14ac:dyDescent="0.25">
      <c r="A2824" s="1" t="s">
        <v>3913</v>
      </c>
      <c r="B2824" s="2">
        <v>45564</v>
      </c>
      <c r="C2824" s="1" t="s">
        <v>116</v>
      </c>
      <c r="D2824" s="1" t="s">
        <v>49</v>
      </c>
      <c r="E2824" s="1" t="s">
        <v>141</v>
      </c>
      <c r="F2824" s="1" t="s">
        <v>21</v>
      </c>
      <c r="G2824" s="1" t="s">
        <v>85</v>
      </c>
      <c r="H2824" s="1" t="s">
        <v>98</v>
      </c>
      <c r="I2824" s="1">
        <v>3656.62</v>
      </c>
      <c r="J2824" s="1">
        <v>3</v>
      </c>
      <c r="K2824" s="1">
        <v>10969.86</v>
      </c>
      <c r="L2824" s="1">
        <v>20</v>
      </c>
      <c r="M2824" s="1">
        <v>2193.9699999999998</v>
      </c>
      <c r="N2824" s="1">
        <v>8775.89</v>
      </c>
      <c r="O2824" s="1" t="s">
        <v>24</v>
      </c>
      <c r="P2824" s="1" t="s">
        <v>2236</v>
      </c>
      <c r="Q2824" s="1">
        <v>4</v>
      </c>
      <c r="R2824" s="1">
        <f>Retail_Sales_Analyis[[#This Row],[Final_Price]]-Retail_Sales_Analyis[[#This Row],[Total_Price]]</f>
        <v>-2193.9700000000012</v>
      </c>
      <c r="S282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25" spans="1:19" x14ac:dyDescent="0.25">
      <c r="A2825" s="1" t="s">
        <v>3914</v>
      </c>
      <c r="B2825" s="2">
        <v>45486</v>
      </c>
      <c r="C2825" s="1" t="s">
        <v>195</v>
      </c>
      <c r="D2825" s="1" t="s">
        <v>19</v>
      </c>
      <c r="E2825" s="1" t="s">
        <v>20</v>
      </c>
      <c r="F2825" s="1" t="s">
        <v>69</v>
      </c>
      <c r="G2825" s="1" t="s">
        <v>85</v>
      </c>
      <c r="H2825" s="1" t="s">
        <v>98</v>
      </c>
      <c r="I2825" s="1">
        <v>3748.06</v>
      </c>
      <c r="J2825" s="1">
        <v>8</v>
      </c>
      <c r="K2825" s="1">
        <v>29984.48</v>
      </c>
      <c r="L2825" s="1">
        <v>0</v>
      </c>
      <c r="M2825" s="1">
        <v>0</v>
      </c>
      <c r="N2825" s="1">
        <v>29984.48</v>
      </c>
      <c r="O2825" s="1" t="s">
        <v>33</v>
      </c>
      <c r="P2825" s="1" t="s">
        <v>518</v>
      </c>
      <c r="Q2825" s="1">
        <v>2</v>
      </c>
      <c r="R2825" s="1">
        <f>Retail_Sales_Analyis[[#This Row],[Final_Price]]-Retail_Sales_Analyis[[#This Row],[Total_Price]]</f>
        <v>0</v>
      </c>
      <c r="S28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6" spans="1:19" x14ac:dyDescent="0.25">
      <c r="A2826" s="1" t="s">
        <v>3915</v>
      </c>
      <c r="B2826" s="2">
        <v>45409</v>
      </c>
      <c r="C2826" s="1" t="s">
        <v>54</v>
      </c>
      <c r="D2826" s="1" t="s">
        <v>19</v>
      </c>
      <c r="E2826" s="1" t="s">
        <v>196</v>
      </c>
      <c r="F2826" s="1" t="s">
        <v>37</v>
      </c>
      <c r="G2826" s="1" t="s">
        <v>22</v>
      </c>
      <c r="H2826" s="1" t="s">
        <v>23</v>
      </c>
      <c r="I2826" s="1">
        <v>224.38</v>
      </c>
      <c r="J2826" s="1">
        <v>4</v>
      </c>
      <c r="K2826" s="1">
        <v>897.52</v>
      </c>
      <c r="L2826" s="1">
        <v>15</v>
      </c>
      <c r="M2826" s="1">
        <v>134.63</v>
      </c>
      <c r="N2826" s="1">
        <v>762.89</v>
      </c>
      <c r="O2826" s="1" t="s">
        <v>46</v>
      </c>
      <c r="P2826" s="1" t="s">
        <v>433</v>
      </c>
      <c r="Q2826" s="1">
        <v>4</v>
      </c>
      <c r="R2826" s="1">
        <f>Retail_Sales_Analyis[[#This Row],[Final_Price]]-Retail_Sales_Analyis[[#This Row],[Total_Price]]</f>
        <v>-134.63</v>
      </c>
      <c r="S28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27" spans="1:19" x14ac:dyDescent="0.25">
      <c r="A2827" s="1" t="s">
        <v>3916</v>
      </c>
      <c r="B2827" s="2">
        <v>45418</v>
      </c>
      <c r="C2827" s="1" t="s">
        <v>42</v>
      </c>
      <c r="D2827" s="1" t="s">
        <v>43</v>
      </c>
      <c r="E2827" s="1" t="s">
        <v>68</v>
      </c>
      <c r="F2827" s="1" t="s">
        <v>21</v>
      </c>
      <c r="G2827" s="1" t="s">
        <v>112</v>
      </c>
      <c r="H2827" s="1" t="s">
        <v>223</v>
      </c>
      <c r="I2827" s="1">
        <v>1017.89</v>
      </c>
      <c r="J2827" s="1">
        <v>4</v>
      </c>
      <c r="K2827" s="1">
        <v>4071.56</v>
      </c>
      <c r="L2827" s="1">
        <v>0</v>
      </c>
      <c r="M2827" s="1">
        <v>0</v>
      </c>
      <c r="N2827" s="1">
        <v>4071.56</v>
      </c>
      <c r="O2827" s="1" t="s">
        <v>46</v>
      </c>
      <c r="P2827" s="1" t="s">
        <v>1301</v>
      </c>
      <c r="Q2827" s="1">
        <v>4</v>
      </c>
      <c r="R2827" s="1">
        <f>Retail_Sales_Analyis[[#This Row],[Final_Price]]-Retail_Sales_Analyis[[#This Row],[Total_Price]]</f>
        <v>0</v>
      </c>
      <c r="S28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8" spans="1:19" x14ac:dyDescent="0.25">
      <c r="A2828" s="1" t="s">
        <v>3917</v>
      </c>
      <c r="B2828" s="2">
        <v>45527</v>
      </c>
      <c r="C2828" s="1" t="s">
        <v>93</v>
      </c>
      <c r="D2828" s="1" t="s">
        <v>144</v>
      </c>
      <c r="E2828" s="1" t="s">
        <v>20</v>
      </c>
      <c r="F2828" s="1" t="s">
        <v>69</v>
      </c>
      <c r="G2828" s="1" t="s">
        <v>31</v>
      </c>
      <c r="H2828" s="1" t="s">
        <v>329</v>
      </c>
      <c r="I2828" s="1">
        <v>366.56</v>
      </c>
      <c r="J2828" s="1">
        <v>3</v>
      </c>
      <c r="K2828" s="1">
        <v>1099.68</v>
      </c>
      <c r="L2828" s="1">
        <v>0</v>
      </c>
      <c r="M2828" s="1">
        <v>0</v>
      </c>
      <c r="N2828" s="1">
        <v>1099.68</v>
      </c>
      <c r="O2828" s="1" t="s">
        <v>24</v>
      </c>
      <c r="P2828" s="1" t="s">
        <v>1067</v>
      </c>
      <c r="Q2828" s="1">
        <v>1</v>
      </c>
      <c r="R2828" s="1">
        <f>Retail_Sales_Analyis[[#This Row],[Final_Price]]-Retail_Sales_Analyis[[#This Row],[Total_Price]]</f>
        <v>0</v>
      </c>
      <c r="S28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29" spans="1:19" x14ac:dyDescent="0.25">
      <c r="A2829" s="1" t="s">
        <v>3918</v>
      </c>
      <c r="B2829" s="2">
        <v>45469</v>
      </c>
      <c r="C2829" s="1" t="s">
        <v>173</v>
      </c>
      <c r="D2829" s="1" t="s">
        <v>55</v>
      </c>
      <c r="E2829" s="1" t="s">
        <v>186</v>
      </c>
      <c r="F2829" s="1" t="s">
        <v>84</v>
      </c>
      <c r="G2829" s="1" t="s">
        <v>38</v>
      </c>
      <c r="H2829" s="1" t="s">
        <v>70</v>
      </c>
      <c r="I2829" s="1">
        <v>337.72</v>
      </c>
      <c r="J2829" s="1">
        <v>8</v>
      </c>
      <c r="K2829" s="1">
        <v>2701.76</v>
      </c>
      <c r="L2829" s="1">
        <v>15</v>
      </c>
      <c r="M2829" s="1">
        <v>405.26</v>
      </c>
      <c r="N2829" s="1">
        <v>2296.5</v>
      </c>
      <c r="O2829" s="1" t="s">
        <v>64</v>
      </c>
      <c r="P2829" s="1" t="s">
        <v>367</v>
      </c>
      <c r="Q2829" s="1">
        <v>3</v>
      </c>
      <c r="R2829" s="1">
        <f>Retail_Sales_Analyis[[#This Row],[Final_Price]]-Retail_Sales_Analyis[[#This Row],[Total_Price]]</f>
        <v>-405.26000000000022</v>
      </c>
      <c r="S28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30" spans="1:19" x14ac:dyDescent="0.25">
      <c r="A2830" s="1" t="s">
        <v>3919</v>
      </c>
      <c r="B2830" s="2">
        <v>45371</v>
      </c>
      <c r="C2830" s="1" t="s">
        <v>61</v>
      </c>
      <c r="D2830" s="1" t="s">
        <v>55</v>
      </c>
      <c r="E2830" s="1" t="s">
        <v>97</v>
      </c>
      <c r="F2830" s="1" t="s">
        <v>37</v>
      </c>
      <c r="G2830" s="1" t="s">
        <v>169</v>
      </c>
      <c r="H2830" s="1" t="s">
        <v>366</v>
      </c>
      <c r="I2830" s="1">
        <v>1032.07</v>
      </c>
      <c r="J2830" s="1">
        <v>2</v>
      </c>
      <c r="K2830" s="1">
        <v>2064.14</v>
      </c>
      <c r="L2830" s="1">
        <v>0</v>
      </c>
      <c r="M2830" s="1">
        <v>0</v>
      </c>
      <c r="N2830" s="1">
        <v>2064.14</v>
      </c>
      <c r="O2830" s="1" t="s">
        <v>46</v>
      </c>
      <c r="P2830" s="1" t="s">
        <v>2116</v>
      </c>
      <c r="Q2830" s="1">
        <v>2</v>
      </c>
      <c r="R2830" s="1">
        <f>Retail_Sales_Analyis[[#This Row],[Final_Price]]-Retail_Sales_Analyis[[#This Row],[Total_Price]]</f>
        <v>0</v>
      </c>
      <c r="S28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31" spans="1:19" x14ac:dyDescent="0.25">
      <c r="A2831" s="1" t="s">
        <v>3920</v>
      </c>
      <c r="B2831" s="2">
        <v>45433</v>
      </c>
      <c r="C2831" s="1" t="s">
        <v>42</v>
      </c>
      <c r="D2831" s="1" t="s">
        <v>28</v>
      </c>
      <c r="E2831" s="1" t="s">
        <v>342</v>
      </c>
      <c r="F2831" s="1" t="s">
        <v>30</v>
      </c>
      <c r="G2831" s="1" t="s">
        <v>112</v>
      </c>
      <c r="H2831" s="1" t="s">
        <v>113</v>
      </c>
      <c r="I2831" s="1">
        <v>1870.29</v>
      </c>
      <c r="J2831" s="1">
        <v>9</v>
      </c>
      <c r="K2831" s="1">
        <v>16832.61</v>
      </c>
      <c r="L2831" s="1">
        <v>5</v>
      </c>
      <c r="M2831" s="1">
        <v>841.63</v>
      </c>
      <c r="N2831" s="1">
        <v>15990.98</v>
      </c>
      <c r="O2831" s="1" t="s">
        <v>24</v>
      </c>
      <c r="P2831" s="1" t="s">
        <v>1292</v>
      </c>
      <c r="Q2831" s="1">
        <v>4</v>
      </c>
      <c r="R2831" s="1">
        <f>Retail_Sales_Analyis[[#This Row],[Final_Price]]-Retail_Sales_Analyis[[#This Row],[Total_Price]]</f>
        <v>-841.63000000000102</v>
      </c>
      <c r="S28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32" spans="1:19" x14ac:dyDescent="0.25">
      <c r="A2832" s="1" t="s">
        <v>3921</v>
      </c>
      <c r="B2832" s="2">
        <v>45388</v>
      </c>
      <c r="C2832" s="1" t="s">
        <v>54</v>
      </c>
      <c r="D2832" s="1" t="s">
        <v>19</v>
      </c>
      <c r="E2832" s="1" t="s">
        <v>411</v>
      </c>
      <c r="F2832" s="1" t="s">
        <v>30</v>
      </c>
      <c r="G2832" s="1" t="s">
        <v>112</v>
      </c>
      <c r="H2832" s="1" t="s">
        <v>113</v>
      </c>
      <c r="I2832" s="1">
        <v>1686.94</v>
      </c>
      <c r="J2832" s="1">
        <v>3</v>
      </c>
      <c r="K2832" s="1">
        <v>5060.82</v>
      </c>
      <c r="L2832" s="1">
        <v>0</v>
      </c>
      <c r="M2832" s="1">
        <v>0</v>
      </c>
      <c r="N2832" s="1">
        <v>5060.82</v>
      </c>
      <c r="O2832" s="1" t="s">
        <v>24</v>
      </c>
      <c r="P2832" s="1" t="s">
        <v>2074</v>
      </c>
      <c r="Q2832" s="1">
        <v>4</v>
      </c>
      <c r="R2832" s="1">
        <f>Retail_Sales_Analyis[[#This Row],[Final_Price]]-Retail_Sales_Analyis[[#This Row],[Total_Price]]</f>
        <v>0</v>
      </c>
      <c r="S28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33" spans="1:19" x14ac:dyDescent="0.25">
      <c r="A2833" s="1" t="s">
        <v>3922</v>
      </c>
      <c r="B2833" s="2">
        <v>45349</v>
      </c>
      <c r="C2833" s="1" t="s">
        <v>27</v>
      </c>
      <c r="D2833" s="1" t="s">
        <v>28</v>
      </c>
      <c r="E2833" s="1" t="s">
        <v>342</v>
      </c>
      <c r="F2833" s="1" t="s">
        <v>84</v>
      </c>
      <c r="G2833" s="1" t="s">
        <v>31</v>
      </c>
      <c r="H2833" s="1" t="s">
        <v>63</v>
      </c>
      <c r="I2833" s="1">
        <v>253.02</v>
      </c>
      <c r="J2833" s="1">
        <v>7</v>
      </c>
      <c r="K2833" s="1">
        <v>1771.14</v>
      </c>
      <c r="L2833" s="1">
        <v>15</v>
      </c>
      <c r="M2833" s="1">
        <v>265.67</v>
      </c>
      <c r="N2833" s="1">
        <v>1505.47</v>
      </c>
      <c r="O2833" s="1" t="s">
        <v>80</v>
      </c>
      <c r="P2833" s="1" t="s">
        <v>940</v>
      </c>
      <c r="Q2833" s="1">
        <v>3</v>
      </c>
      <c r="R2833" s="1">
        <f>Retail_Sales_Analyis[[#This Row],[Final_Price]]-Retail_Sales_Analyis[[#This Row],[Total_Price]]</f>
        <v>-265.67000000000007</v>
      </c>
      <c r="S28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34" spans="1:19" x14ac:dyDescent="0.25">
      <c r="A2834" s="1" t="s">
        <v>3923</v>
      </c>
      <c r="B2834" s="2">
        <v>45308</v>
      </c>
      <c r="C2834" s="1" t="s">
        <v>36</v>
      </c>
      <c r="D2834" s="1" t="s">
        <v>55</v>
      </c>
      <c r="E2834" s="1" t="s">
        <v>207</v>
      </c>
      <c r="F2834" s="1" t="s">
        <v>30</v>
      </c>
      <c r="G2834" s="1" t="s">
        <v>38</v>
      </c>
      <c r="H2834" s="1" t="s">
        <v>39</v>
      </c>
      <c r="I2834" s="1">
        <v>544.20000000000005</v>
      </c>
      <c r="J2834" s="1">
        <v>10</v>
      </c>
      <c r="K2834" s="1">
        <v>5442</v>
      </c>
      <c r="L2834" s="1">
        <v>10</v>
      </c>
      <c r="M2834" s="1">
        <v>544.20000000000005</v>
      </c>
      <c r="N2834" s="1">
        <v>4897.8</v>
      </c>
      <c r="O2834" s="1" t="s">
        <v>46</v>
      </c>
      <c r="P2834" s="1" t="s">
        <v>3299</v>
      </c>
      <c r="Q2834" s="1">
        <v>4</v>
      </c>
      <c r="R2834" s="1">
        <f>Retail_Sales_Analyis[[#This Row],[Final_Price]]-Retail_Sales_Analyis[[#This Row],[Total_Price]]</f>
        <v>-544.19999999999982</v>
      </c>
      <c r="S28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35" spans="1:19" x14ac:dyDescent="0.25">
      <c r="A2835" s="1" t="s">
        <v>3924</v>
      </c>
      <c r="B2835" s="2">
        <v>45630</v>
      </c>
      <c r="C2835" s="1" t="s">
        <v>73</v>
      </c>
      <c r="D2835" s="1" t="s">
        <v>55</v>
      </c>
      <c r="E2835" s="1" t="s">
        <v>68</v>
      </c>
      <c r="F2835" s="1" t="s">
        <v>21</v>
      </c>
      <c r="G2835" s="1" t="s">
        <v>112</v>
      </c>
      <c r="H2835" s="1" t="s">
        <v>223</v>
      </c>
      <c r="I2835" s="1">
        <v>1850.87</v>
      </c>
      <c r="J2835" s="1">
        <v>6</v>
      </c>
      <c r="K2835" s="1">
        <v>11105.22</v>
      </c>
      <c r="L2835" s="1">
        <v>15</v>
      </c>
      <c r="M2835" s="1">
        <v>1665.78</v>
      </c>
      <c r="N2835" s="1">
        <v>9439.44</v>
      </c>
      <c r="O2835" s="1" t="s">
        <v>46</v>
      </c>
      <c r="P2835" s="1" t="s">
        <v>621</v>
      </c>
      <c r="Q2835" s="1">
        <v>4</v>
      </c>
      <c r="R2835" s="1">
        <f>Retail_Sales_Analyis[[#This Row],[Final_Price]]-Retail_Sales_Analyis[[#This Row],[Total_Price]]</f>
        <v>-1665.7799999999988</v>
      </c>
      <c r="S28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36" spans="1:19" x14ac:dyDescent="0.25">
      <c r="A2836" s="1" t="s">
        <v>3925</v>
      </c>
      <c r="B2836" s="2">
        <v>45506</v>
      </c>
      <c r="C2836" s="1" t="s">
        <v>93</v>
      </c>
      <c r="D2836" s="1" t="s">
        <v>144</v>
      </c>
      <c r="E2836" s="1" t="s">
        <v>302</v>
      </c>
      <c r="F2836" s="1" t="s">
        <v>84</v>
      </c>
      <c r="G2836" s="1" t="s">
        <v>31</v>
      </c>
      <c r="H2836" s="1" t="s">
        <v>45</v>
      </c>
      <c r="I2836" s="1">
        <v>278.89999999999998</v>
      </c>
      <c r="J2836" s="1">
        <v>9</v>
      </c>
      <c r="K2836" s="1">
        <v>2510.1</v>
      </c>
      <c r="L2836" s="1">
        <v>5</v>
      </c>
      <c r="M2836" s="1">
        <v>125.5</v>
      </c>
      <c r="N2836" s="1">
        <v>2384.6</v>
      </c>
      <c r="O2836" s="1" t="s">
        <v>33</v>
      </c>
      <c r="P2836" s="1" t="s">
        <v>242</v>
      </c>
      <c r="Q2836" s="1">
        <v>3</v>
      </c>
      <c r="R2836" s="1">
        <f>Retail_Sales_Analyis[[#This Row],[Final_Price]]-Retail_Sales_Analyis[[#This Row],[Total_Price]]</f>
        <v>-125.5</v>
      </c>
      <c r="S283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37" spans="1:19" x14ac:dyDescent="0.25">
      <c r="A2837" s="1" t="s">
        <v>3926</v>
      </c>
      <c r="B2837" s="2">
        <v>45606</v>
      </c>
      <c r="C2837" s="1" t="s">
        <v>18</v>
      </c>
      <c r="D2837" s="1" t="s">
        <v>49</v>
      </c>
      <c r="E2837" s="1" t="s">
        <v>132</v>
      </c>
      <c r="F2837" s="1" t="s">
        <v>37</v>
      </c>
      <c r="G2837" s="1" t="s">
        <v>57</v>
      </c>
      <c r="H2837" s="1" t="s">
        <v>152</v>
      </c>
      <c r="I2837" s="1">
        <v>776.81</v>
      </c>
      <c r="J2837" s="1">
        <v>1</v>
      </c>
      <c r="K2837" s="1">
        <v>776.81</v>
      </c>
      <c r="L2837" s="1">
        <v>5</v>
      </c>
      <c r="M2837" s="1">
        <v>38.840000000000003</v>
      </c>
      <c r="N2837" s="1">
        <v>737.97</v>
      </c>
      <c r="O2837" s="1" t="s">
        <v>64</v>
      </c>
      <c r="P2837" s="1" t="s">
        <v>815</v>
      </c>
      <c r="Q2837" s="1">
        <v>2</v>
      </c>
      <c r="R2837" s="1">
        <f>Retail_Sales_Analyis[[#This Row],[Final_Price]]-Retail_Sales_Analyis[[#This Row],[Total_Price]]</f>
        <v>-38.839999999999918</v>
      </c>
      <c r="S28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38" spans="1:19" x14ac:dyDescent="0.25">
      <c r="A2838" s="1" t="s">
        <v>3927</v>
      </c>
      <c r="B2838" s="2">
        <v>45300</v>
      </c>
      <c r="C2838" s="1" t="s">
        <v>36</v>
      </c>
      <c r="D2838" s="1" t="s">
        <v>28</v>
      </c>
      <c r="E2838" s="1" t="s">
        <v>199</v>
      </c>
      <c r="F2838" s="1" t="s">
        <v>69</v>
      </c>
      <c r="G2838" s="1" t="s">
        <v>169</v>
      </c>
      <c r="H2838" s="1" t="s">
        <v>208</v>
      </c>
      <c r="I2838" s="1">
        <v>1259.24</v>
      </c>
      <c r="J2838" s="1">
        <v>4</v>
      </c>
      <c r="K2838" s="1">
        <v>5036.96</v>
      </c>
      <c r="L2838" s="1">
        <v>10</v>
      </c>
      <c r="M2838" s="1">
        <v>503.7</v>
      </c>
      <c r="N2838" s="1">
        <v>4533.26</v>
      </c>
      <c r="O2838" s="1" t="s">
        <v>33</v>
      </c>
      <c r="P2838" s="1" t="s">
        <v>2359</v>
      </c>
      <c r="Q2838" s="1">
        <v>1</v>
      </c>
      <c r="R2838" s="1">
        <f>Retail_Sales_Analyis[[#This Row],[Final_Price]]-Retail_Sales_Analyis[[#This Row],[Total_Price]]</f>
        <v>-503.69999999999982</v>
      </c>
      <c r="S28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39" spans="1:19" x14ac:dyDescent="0.25">
      <c r="A2839" s="1" t="s">
        <v>3928</v>
      </c>
      <c r="B2839" s="2">
        <v>45415</v>
      </c>
      <c r="C2839" s="1" t="s">
        <v>42</v>
      </c>
      <c r="D2839" s="1" t="s">
        <v>144</v>
      </c>
      <c r="E2839" s="1" t="s">
        <v>157</v>
      </c>
      <c r="F2839" s="1" t="s">
        <v>21</v>
      </c>
      <c r="G2839" s="1" t="s">
        <v>38</v>
      </c>
      <c r="H2839" s="1" t="s">
        <v>108</v>
      </c>
      <c r="I2839" s="1">
        <v>731.79</v>
      </c>
      <c r="J2839" s="1">
        <v>2</v>
      </c>
      <c r="K2839" s="1">
        <v>1463.58</v>
      </c>
      <c r="L2839" s="1">
        <v>20</v>
      </c>
      <c r="M2839" s="1">
        <v>292.72000000000003</v>
      </c>
      <c r="N2839" s="1">
        <v>1170.8599999999999</v>
      </c>
      <c r="O2839" s="1" t="s">
        <v>80</v>
      </c>
      <c r="P2839" s="1" t="s">
        <v>2195</v>
      </c>
      <c r="Q2839" s="1">
        <v>5</v>
      </c>
      <c r="R2839" s="1">
        <f>Retail_Sales_Analyis[[#This Row],[Final_Price]]-Retail_Sales_Analyis[[#This Row],[Total_Price]]</f>
        <v>-292.72000000000003</v>
      </c>
      <c r="S28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40" spans="1:19" x14ac:dyDescent="0.25">
      <c r="A2840" s="1" t="s">
        <v>3929</v>
      </c>
      <c r="B2840" s="2">
        <v>45397</v>
      </c>
      <c r="C2840" s="1" t="s">
        <v>54</v>
      </c>
      <c r="D2840" s="1" t="s">
        <v>43</v>
      </c>
      <c r="E2840" s="1" t="s">
        <v>174</v>
      </c>
      <c r="F2840" s="1" t="s">
        <v>30</v>
      </c>
      <c r="G2840" s="1" t="s">
        <v>112</v>
      </c>
      <c r="H2840" s="1" t="s">
        <v>113</v>
      </c>
      <c r="I2840" s="1">
        <v>993.91</v>
      </c>
      <c r="J2840" s="1">
        <v>5</v>
      </c>
      <c r="K2840" s="1">
        <v>4969.55</v>
      </c>
      <c r="L2840" s="1">
        <v>20</v>
      </c>
      <c r="M2840" s="1">
        <v>993.91</v>
      </c>
      <c r="N2840" s="1">
        <v>3975.64</v>
      </c>
      <c r="O2840" s="1" t="s">
        <v>80</v>
      </c>
      <c r="P2840" s="1" t="s">
        <v>2610</v>
      </c>
      <c r="Q2840" s="1">
        <v>5</v>
      </c>
      <c r="R2840" s="1">
        <f>Retail_Sales_Analyis[[#This Row],[Final_Price]]-Retail_Sales_Analyis[[#This Row],[Total_Price]]</f>
        <v>-993.91000000000031</v>
      </c>
      <c r="S28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41" spans="1:19" x14ac:dyDescent="0.25">
      <c r="A2841" s="1" t="s">
        <v>3930</v>
      </c>
      <c r="B2841" s="2">
        <v>45326</v>
      </c>
      <c r="C2841" s="1" t="s">
        <v>27</v>
      </c>
      <c r="D2841" s="1" t="s">
        <v>49</v>
      </c>
      <c r="E2841" s="1" t="s">
        <v>132</v>
      </c>
      <c r="F2841" s="1" t="s">
        <v>37</v>
      </c>
      <c r="G2841" s="1" t="s">
        <v>57</v>
      </c>
      <c r="H2841" s="1" t="s">
        <v>122</v>
      </c>
      <c r="I2841" s="1">
        <v>671.77</v>
      </c>
      <c r="J2841" s="1">
        <v>10</v>
      </c>
      <c r="K2841" s="1">
        <v>6717.7</v>
      </c>
      <c r="L2841" s="1">
        <v>0</v>
      </c>
      <c r="M2841" s="1">
        <v>0</v>
      </c>
      <c r="N2841" s="1">
        <v>6717.7</v>
      </c>
      <c r="O2841" s="1" t="s">
        <v>46</v>
      </c>
      <c r="P2841" s="1" t="s">
        <v>509</v>
      </c>
      <c r="Q2841" s="1">
        <v>1</v>
      </c>
      <c r="R2841" s="1">
        <f>Retail_Sales_Analyis[[#This Row],[Final_Price]]-Retail_Sales_Analyis[[#This Row],[Total_Price]]</f>
        <v>0</v>
      </c>
      <c r="S28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42" spans="1:19" x14ac:dyDescent="0.25">
      <c r="A2842" s="1" t="s">
        <v>3931</v>
      </c>
      <c r="B2842" s="2">
        <v>45343</v>
      </c>
      <c r="C2842" s="1" t="s">
        <v>27</v>
      </c>
      <c r="D2842" s="1" t="s">
        <v>55</v>
      </c>
      <c r="E2842" s="1" t="s">
        <v>68</v>
      </c>
      <c r="F2842" s="1" t="s">
        <v>84</v>
      </c>
      <c r="G2842" s="1" t="s">
        <v>31</v>
      </c>
      <c r="H2842" s="1" t="s">
        <v>45</v>
      </c>
      <c r="I2842" s="1">
        <v>378.98</v>
      </c>
      <c r="J2842" s="1">
        <v>6</v>
      </c>
      <c r="K2842" s="1">
        <v>2273.88</v>
      </c>
      <c r="L2842" s="1">
        <v>0</v>
      </c>
      <c r="M2842" s="1">
        <v>0</v>
      </c>
      <c r="N2842" s="1">
        <v>2273.88</v>
      </c>
      <c r="O2842" s="1" t="s">
        <v>46</v>
      </c>
      <c r="P2842" s="1" t="s">
        <v>873</v>
      </c>
      <c r="Q2842" s="1">
        <v>4</v>
      </c>
      <c r="R2842" s="1">
        <f>Retail_Sales_Analyis[[#This Row],[Final_Price]]-Retail_Sales_Analyis[[#This Row],[Total_Price]]</f>
        <v>0</v>
      </c>
      <c r="S28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43" spans="1:19" x14ac:dyDescent="0.25">
      <c r="A2843" s="1" t="s">
        <v>3932</v>
      </c>
      <c r="B2843" s="2">
        <v>45596</v>
      </c>
      <c r="C2843" s="1" t="s">
        <v>76</v>
      </c>
      <c r="D2843" s="1" t="s">
        <v>67</v>
      </c>
      <c r="E2843" s="1" t="s">
        <v>196</v>
      </c>
      <c r="F2843" s="1" t="s">
        <v>30</v>
      </c>
      <c r="G2843" s="1" t="s">
        <v>78</v>
      </c>
      <c r="H2843" s="1" t="s">
        <v>79</v>
      </c>
      <c r="I2843" s="1">
        <v>580.79</v>
      </c>
      <c r="J2843" s="1">
        <v>7</v>
      </c>
      <c r="K2843" s="1">
        <v>4065.53</v>
      </c>
      <c r="L2843" s="1">
        <v>5</v>
      </c>
      <c r="M2843" s="1">
        <v>203.28</v>
      </c>
      <c r="N2843" s="1">
        <v>3862.25</v>
      </c>
      <c r="O2843" s="1" t="s">
        <v>64</v>
      </c>
      <c r="P2843" s="1" t="s">
        <v>1006</v>
      </c>
      <c r="Q2843" s="1">
        <v>1</v>
      </c>
      <c r="R2843" s="1">
        <f>Retail_Sales_Analyis[[#This Row],[Final_Price]]-Retail_Sales_Analyis[[#This Row],[Total_Price]]</f>
        <v>-203.2800000000002</v>
      </c>
      <c r="S28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44" spans="1:19" x14ac:dyDescent="0.25">
      <c r="A2844" s="1" t="s">
        <v>3933</v>
      </c>
      <c r="B2844" s="2">
        <v>45309</v>
      </c>
      <c r="C2844" s="1" t="s">
        <v>36</v>
      </c>
      <c r="D2844" s="1" t="s">
        <v>67</v>
      </c>
      <c r="E2844" s="1" t="s">
        <v>151</v>
      </c>
      <c r="F2844" s="1" t="s">
        <v>84</v>
      </c>
      <c r="G2844" s="1" t="s">
        <v>57</v>
      </c>
      <c r="H2844" s="1" t="s">
        <v>101</v>
      </c>
      <c r="I2844" s="1">
        <v>2041.02</v>
      </c>
      <c r="J2844" s="1">
        <v>7</v>
      </c>
      <c r="K2844" s="1">
        <v>14287.14</v>
      </c>
      <c r="L2844" s="1">
        <v>5</v>
      </c>
      <c r="M2844" s="1">
        <v>714.36</v>
      </c>
      <c r="N2844" s="1">
        <v>13572.78</v>
      </c>
      <c r="O2844" s="1" t="s">
        <v>24</v>
      </c>
      <c r="P2844" s="1" t="s">
        <v>2392</v>
      </c>
      <c r="Q2844" s="1">
        <v>5</v>
      </c>
      <c r="R2844" s="1">
        <f>Retail_Sales_Analyis[[#This Row],[Final_Price]]-Retail_Sales_Analyis[[#This Row],[Total_Price]]</f>
        <v>-714.35999999999876</v>
      </c>
      <c r="S28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45" spans="1:19" x14ac:dyDescent="0.25">
      <c r="A2845" s="1" t="s">
        <v>3934</v>
      </c>
      <c r="B2845" s="2">
        <v>45520</v>
      </c>
      <c r="C2845" s="1" t="s">
        <v>93</v>
      </c>
      <c r="D2845" s="1" t="s">
        <v>144</v>
      </c>
      <c r="E2845" s="1" t="s">
        <v>168</v>
      </c>
      <c r="F2845" s="1" t="s">
        <v>21</v>
      </c>
      <c r="G2845" s="1" t="s">
        <v>22</v>
      </c>
      <c r="H2845" s="1" t="s">
        <v>187</v>
      </c>
      <c r="I2845" s="1">
        <v>798.57</v>
      </c>
      <c r="J2845" s="1">
        <v>7</v>
      </c>
      <c r="K2845" s="1">
        <v>5589.99</v>
      </c>
      <c r="L2845" s="1">
        <v>20</v>
      </c>
      <c r="M2845" s="1">
        <v>1118</v>
      </c>
      <c r="N2845" s="1">
        <v>4471.99</v>
      </c>
      <c r="O2845" s="1" t="s">
        <v>46</v>
      </c>
      <c r="P2845" s="1" t="s">
        <v>641</v>
      </c>
      <c r="Q2845" s="1">
        <v>4</v>
      </c>
      <c r="R2845" s="1">
        <f>Retail_Sales_Analyis[[#This Row],[Final_Price]]-Retail_Sales_Analyis[[#This Row],[Total_Price]]</f>
        <v>-1118</v>
      </c>
      <c r="S28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46" spans="1:19" x14ac:dyDescent="0.25">
      <c r="A2846" s="1" t="s">
        <v>3935</v>
      </c>
      <c r="B2846" s="2">
        <v>45598</v>
      </c>
      <c r="C2846" s="1" t="s">
        <v>18</v>
      </c>
      <c r="D2846" s="1" t="s">
        <v>19</v>
      </c>
      <c r="E2846" s="1" t="s">
        <v>139</v>
      </c>
      <c r="F2846" s="1" t="s">
        <v>21</v>
      </c>
      <c r="G2846" s="1" t="s">
        <v>85</v>
      </c>
      <c r="H2846" s="1" t="s">
        <v>180</v>
      </c>
      <c r="I2846" s="1">
        <v>4097.1899999999996</v>
      </c>
      <c r="J2846" s="1">
        <v>9</v>
      </c>
      <c r="K2846" s="1">
        <v>36874.71</v>
      </c>
      <c r="L2846" s="1">
        <v>15</v>
      </c>
      <c r="M2846" s="1">
        <v>5531.21</v>
      </c>
      <c r="N2846" s="1">
        <v>31343.5</v>
      </c>
      <c r="O2846" s="1" t="s">
        <v>64</v>
      </c>
      <c r="P2846" s="1" t="s">
        <v>798</v>
      </c>
      <c r="Q2846" s="1">
        <v>2</v>
      </c>
      <c r="R2846" s="1">
        <f>Retail_Sales_Analyis[[#This Row],[Final_Price]]-Retail_Sales_Analyis[[#This Row],[Total_Price]]</f>
        <v>-5531.2099999999991</v>
      </c>
      <c r="S28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47" spans="1:19" x14ac:dyDescent="0.25">
      <c r="A2847" s="1" t="s">
        <v>3936</v>
      </c>
      <c r="B2847" s="2">
        <v>45636</v>
      </c>
      <c r="C2847" s="1" t="s">
        <v>73</v>
      </c>
      <c r="D2847" s="1" t="s">
        <v>28</v>
      </c>
      <c r="E2847" s="1" t="s">
        <v>342</v>
      </c>
      <c r="F2847" s="1" t="s">
        <v>69</v>
      </c>
      <c r="G2847" s="1" t="s">
        <v>112</v>
      </c>
      <c r="H2847" s="1" t="s">
        <v>223</v>
      </c>
      <c r="I2847" s="1">
        <v>1290.4100000000001</v>
      </c>
      <c r="J2847" s="1">
        <v>3</v>
      </c>
      <c r="K2847" s="1">
        <v>3871.23</v>
      </c>
      <c r="L2847" s="1">
        <v>0</v>
      </c>
      <c r="M2847" s="1">
        <v>0</v>
      </c>
      <c r="N2847" s="1">
        <v>3871.23</v>
      </c>
      <c r="O2847" s="1" t="s">
        <v>46</v>
      </c>
      <c r="P2847" s="1" t="s">
        <v>504</v>
      </c>
      <c r="Q2847" s="1">
        <v>2</v>
      </c>
      <c r="R2847" s="1">
        <f>Retail_Sales_Analyis[[#This Row],[Final_Price]]-Retail_Sales_Analyis[[#This Row],[Total_Price]]</f>
        <v>0</v>
      </c>
      <c r="S28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48" spans="1:19" x14ac:dyDescent="0.25">
      <c r="A2848" s="1" t="s">
        <v>3937</v>
      </c>
      <c r="B2848" s="2">
        <v>45652</v>
      </c>
      <c r="C2848" s="1" t="s">
        <v>73</v>
      </c>
      <c r="D2848" s="1" t="s">
        <v>67</v>
      </c>
      <c r="E2848" s="1" t="s">
        <v>261</v>
      </c>
      <c r="F2848" s="1" t="s">
        <v>69</v>
      </c>
      <c r="G2848" s="1" t="s">
        <v>78</v>
      </c>
      <c r="H2848" s="1" t="s">
        <v>136</v>
      </c>
      <c r="I2848" s="1">
        <v>390.83</v>
      </c>
      <c r="J2848" s="1">
        <v>5</v>
      </c>
      <c r="K2848" s="1">
        <v>1954.15</v>
      </c>
      <c r="L2848" s="1">
        <v>15</v>
      </c>
      <c r="M2848" s="1">
        <v>293.12</v>
      </c>
      <c r="N2848" s="1">
        <v>1661.03</v>
      </c>
      <c r="O2848" s="1" t="s">
        <v>33</v>
      </c>
      <c r="P2848" s="1" t="s">
        <v>2572</v>
      </c>
      <c r="Q2848" s="1">
        <v>4</v>
      </c>
      <c r="R2848" s="1">
        <f>Retail_Sales_Analyis[[#This Row],[Final_Price]]-Retail_Sales_Analyis[[#This Row],[Total_Price]]</f>
        <v>-293.12000000000012</v>
      </c>
      <c r="S28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49" spans="1:19" x14ac:dyDescent="0.25">
      <c r="A2849" s="1" t="s">
        <v>3938</v>
      </c>
      <c r="B2849" s="2">
        <v>45316</v>
      </c>
      <c r="C2849" s="1" t="s">
        <v>36</v>
      </c>
      <c r="D2849" s="1" t="s">
        <v>67</v>
      </c>
      <c r="E2849" s="1" t="s">
        <v>83</v>
      </c>
      <c r="F2849" s="1" t="s">
        <v>30</v>
      </c>
      <c r="G2849" s="1" t="s">
        <v>112</v>
      </c>
      <c r="H2849" s="1" t="s">
        <v>183</v>
      </c>
      <c r="I2849" s="1">
        <v>1923.64</v>
      </c>
      <c r="J2849" s="1">
        <v>5</v>
      </c>
      <c r="K2849" s="1">
        <v>9618.2000000000007</v>
      </c>
      <c r="L2849" s="1">
        <v>0</v>
      </c>
      <c r="M2849" s="1">
        <v>0</v>
      </c>
      <c r="N2849" s="1">
        <v>9618.2000000000007</v>
      </c>
      <c r="O2849" s="1" t="s">
        <v>80</v>
      </c>
      <c r="P2849" s="1" t="s">
        <v>403</v>
      </c>
      <c r="Q2849" s="1">
        <v>2</v>
      </c>
      <c r="R2849" s="1">
        <f>Retail_Sales_Analyis[[#This Row],[Final_Price]]-Retail_Sales_Analyis[[#This Row],[Total_Price]]</f>
        <v>0</v>
      </c>
      <c r="S28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50" spans="1:19" x14ac:dyDescent="0.25">
      <c r="A2850" s="1" t="s">
        <v>3939</v>
      </c>
      <c r="B2850" s="2">
        <v>45417</v>
      </c>
      <c r="C2850" s="1" t="s">
        <v>42</v>
      </c>
      <c r="D2850" s="1" t="s">
        <v>49</v>
      </c>
      <c r="E2850" s="1" t="s">
        <v>239</v>
      </c>
      <c r="F2850" s="1" t="s">
        <v>21</v>
      </c>
      <c r="G2850" s="1" t="s">
        <v>38</v>
      </c>
      <c r="H2850" s="1" t="s">
        <v>70</v>
      </c>
      <c r="I2850" s="1">
        <v>327.82</v>
      </c>
      <c r="J2850" s="1">
        <v>10</v>
      </c>
      <c r="K2850" s="1">
        <v>3278.2</v>
      </c>
      <c r="L2850" s="1">
        <v>5</v>
      </c>
      <c r="M2850" s="1">
        <v>163.91</v>
      </c>
      <c r="N2850" s="1">
        <v>3114.29</v>
      </c>
      <c r="O2850" s="1" t="s">
        <v>46</v>
      </c>
      <c r="P2850" s="1" t="s">
        <v>915</v>
      </c>
      <c r="Q2850" s="1">
        <v>2</v>
      </c>
      <c r="R2850" s="1">
        <f>Retail_Sales_Analyis[[#This Row],[Final_Price]]-Retail_Sales_Analyis[[#This Row],[Total_Price]]</f>
        <v>-163.90999999999985</v>
      </c>
      <c r="S28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51" spans="1:19" x14ac:dyDescent="0.25">
      <c r="A2851" s="1" t="s">
        <v>3940</v>
      </c>
      <c r="B2851" s="2">
        <v>45314</v>
      </c>
      <c r="C2851" s="1" t="s">
        <v>36</v>
      </c>
      <c r="D2851" s="1" t="s">
        <v>28</v>
      </c>
      <c r="E2851" s="1" t="s">
        <v>328</v>
      </c>
      <c r="F2851" s="1" t="s">
        <v>21</v>
      </c>
      <c r="G2851" s="1" t="s">
        <v>57</v>
      </c>
      <c r="H2851" s="1" t="s">
        <v>152</v>
      </c>
      <c r="I2851" s="1">
        <v>2825.36</v>
      </c>
      <c r="J2851" s="1">
        <v>6</v>
      </c>
      <c r="K2851" s="1">
        <v>16952.16</v>
      </c>
      <c r="L2851" s="1">
        <v>0</v>
      </c>
      <c r="M2851" s="1">
        <v>0</v>
      </c>
      <c r="N2851" s="1">
        <v>16952.16</v>
      </c>
      <c r="O2851" s="1" t="s">
        <v>46</v>
      </c>
      <c r="P2851" s="1" t="s">
        <v>837</v>
      </c>
      <c r="Q2851" s="1">
        <v>5</v>
      </c>
      <c r="R2851" s="1">
        <f>Retail_Sales_Analyis[[#This Row],[Final_Price]]-Retail_Sales_Analyis[[#This Row],[Total_Price]]</f>
        <v>0</v>
      </c>
      <c r="S28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52" spans="1:19" x14ac:dyDescent="0.25">
      <c r="A2852" s="1" t="s">
        <v>3941</v>
      </c>
      <c r="B2852" s="2">
        <v>45497</v>
      </c>
      <c r="C2852" s="1" t="s">
        <v>195</v>
      </c>
      <c r="D2852" s="1" t="s">
        <v>55</v>
      </c>
      <c r="E2852" s="1" t="s">
        <v>97</v>
      </c>
      <c r="F2852" s="1" t="s">
        <v>30</v>
      </c>
      <c r="G2852" s="1" t="s">
        <v>31</v>
      </c>
      <c r="H2852" s="1" t="s">
        <v>63</v>
      </c>
      <c r="I2852" s="1">
        <v>291.85000000000002</v>
      </c>
      <c r="J2852" s="1">
        <v>8</v>
      </c>
      <c r="K2852" s="1">
        <v>2334.8000000000002</v>
      </c>
      <c r="L2852" s="1">
        <v>0</v>
      </c>
      <c r="M2852" s="1">
        <v>0</v>
      </c>
      <c r="N2852" s="1">
        <v>2334.8000000000002</v>
      </c>
      <c r="O2852" s="1" t="s">
        <v>24</v>
      </c>
      <c r="P2852" s="1" t="s">
        <v>2081</v>
      </c>
      <c r="Q2852" s="1">
        <v>1</v>
      </c>
      <c r="R2852" s="1">
        <f>Retail_Sales_Analyis[[#This Row],[Final_Price]]-Retail_Sales_Analyis[[#This Row],[Total_Price]]</f>
        <v>0</v>
      </c>
      <c r="S28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53" spans="1:19" x14ac:dyDescent="0.25">
      <c r="A2853" s="1" t="s">
        <v>3942</v>
      </c>
      <c r="B2853" s="2">
        <v>45516</v>
      </c>
      <c r="C2853" s="1" t="s">
        <v>93</v>
      </c>
      <c r="D2853" s="1" t="s">
        <v>43</v>
      </c>
      <c r="E2853" s="1" t="s">
        <v>50</v>
      </c>
      <c r="F2853" s="1" t="s">
        <v>84</v>
      </c>
      <c r="G2853" s="1" t="s">
        <v>22</v>
      </c>
      <c r="H2853" s="1" t="s">
        <v>23</v>
      </c>
      <c r="I2853" s="1">
        <v>542.83000000000004</v>
      </c>
      <c r="J2853" s="1">
        <v>6</v>
      </c>
      <c r="K2853" s="1">
        <v>3256.98</v>
      </c>
      <c r="L2853" s="1">
        <v>20</v>
      </c>
      <c r="M2853" s="1">
        <v>651.4</v>
      </c>
      <c r="N2853" s="1">
        <v>2605.58</v>
      </c>
      <c r="O2853" s="1" t="s">
        <v>24</v>
      </c>
      <c r="P2853" s="1" t="s">
        <v>2303</v>
      </c>
      <c r="Q2853" s="1">
        <v>1</v>
      </c>
      <c r="R2853" s="1">
        <f>Retail_Sales_Analyis[[#This Row],[Final_Price]]-Retail_Sales_Analyis[[#This Row],[Total_Price]]</f>
        <v>-651.40000000000009</v>
      </c>
      <c r="S28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54" spans="1:19" x14ac:dyDescent="0.25">
      <c r="A2854" s="1" t="s">
        <v>3943</v>
      </c>
      <c r="B2854" s="2">
        <v>45411</v>
      </c>
      <c r="C2854" s="1" t="s">
        <v>54</v>
      </c>
      <c r="D2854" s="1" t="s">
        <v>43</v>
      </c>
      <c r="E2854" s="1" t="s">
        <v>166</v>
      </c>
      <c r="F2854" s="1" t="s">
        <v>37</v>
      </c>
      <c r="G2854" s="1" t="s">
        <v>22</v>
      </c>
      <c r="H2854" s="1" t="s">
        <v>277</v>
      </c>
      <c r="I2854" s="1">
        <v>467.72</v>
      </c>
      <c r="J2854" s="1">
        <v>5</v>
      </c>
      <c r="K2854" s="1">
        <v>2338.6</v>
      </c>
      <c r="L2854" s="1">
        <v>10</v>
      </c>
      <c r="M2854" s="1">
        <v>233.86</v>
      </c>
      <c r="N2854" s="1">
        <v>2104.7399999999998</v>
      </c>
      <c r="O2854" s="1" t="s">
        <v>33</v>
      </c>
      <c r="P2854" s="1" t="s">
        <v>1100</v>
      </c>
      <c r="Q2854" s="1">
        <v>3</v>
      </c>
      <c r="R2854" s="1">
        <f>Retail_Sales_Analyis[[#This Row],[Final_Price]]-Retail_Sales_Analyis[[#This Row],[Total_Price]]</f>
        <v>-233.86000000000013</v>
      </c>
      <c r="S28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55" spans="1:19" x14ac:dyDescent="0.25">
      <c r="A2855" s="1" t="s">
        <v>3944</v>
      </c>
      <c r="B2855" s="2">
        <v>45568</v>
      </c>
      <c r="C2855" s="1" t="s">
        <v>76</v>
      </c>
      <c r="D2855" s="1" t="s">
        <v>67</v>
      </c>
      <c r="E2855" s="1" t="s">
        <v>139</v>
      </c>
      <c r="F2855" s="1" t="s">
        <v>84</v>
      </c>
      <c r="G2855" s="1" t="s">
        <v>78</v>
      </c>
      <c r="H2855" s="1" t="s">
        <v>136</v>
      </c>
      <c r="I2855" s="1">
        <v>289.81</v>
      </c>
      <c r="J2855" s="1">
        <v>2</v>
      </c>
      <c r="K2855" s="1">
        <v>579.62</v>
      </c>
      <c r="L2855" s="1">
        <v>10</v>
      </c>
      <c r="M2855" s="1">
        <v>57.96</v>
      </c>
      <c r="N2855" s="1">
        <v>521.66</v>
      </c>
      <c r="O2855" s="1" t="s">
        <v>33</v>
      </c>
      <c r="P2855" s="1" t="s">
        <v>3703</v>
      </c>
      <c r="Q2855" s="1">
        <v>4</v>
      </c>
      <c r="R2855" s="1">
        <f>Retail_Sales_Analyis[[#This Row],[Final_Price]]-Retail_Sales_Analyis[[#This Row],[Total_Price]]</f>
        <v>-57.960000000000036</v>
      </c>
      <c r="S28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56" spans="1:19" x14ac:dyDescent="0.25">
      <c r="A2856" s="1" t="s">
        <v>3945</v>
      </c>
      <c r="B2856" s="2">
        <v>45403</v>
      </c>
      <c r="C2856" s="1" t="s">
        <v>54</v>
      </c>
      <c r="D2856" s="1" t="s">
        <v>49</v>
      </c>
      <c r="E2856" s="1" t="s">
        <v>117</v>
      </c>
      <c r="F2856" s="1" t="s">
        <v>84</v>
      </c>
      <c r="G2856" s="1" t="s">
        <v>57</v>
      </c>
      <c r="H2856" s="1" t="s">
        <v>152</v>
      </c>
      <c r="I2856" s="1">
        <v>2757.84</v>
      </c>
      <c r="J2856" s="1">
        <v>1</v>
      </c>
      <c r="K2856" s="1">
        <v>2757.84</v>
      </c>
      <c r="L2856" s="1">
        <v>10</v>
      </c>
      <c r="M2856" s="1">
        <v>275.77999999999997</v>
      </c>
      <c r="N2856" s="1">
        <v>2482.06</v>
      </c>
      <c r="O2856" s="1" t="s">
        <v>64</v>
      </c>
      <c r="P2856" s="1" t="s">
        <v>1845</v>
      </c>
      <c r="Q2856" s="1">
        <v>3</v>
      </c>
      <c r="R2856" s="1">
        <f>Retail_Sales_Analyis[[#This Row],[Final_Price]]-Retail_Sales_Analyis[[#This Row],[Total_Price]]</f>
        <v>-275.7800000000002</v>
      </c>
      <c r="S28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57" spans="1:19" x14ac:dyDescent="0.25">
      <c r="A2857" s="1" t="s">
        <v>3946</v>
      </c>
      <c r="B2857" s="2">
        <v>45320</v>
      </c>
      <c r="C2857" s="1" t="s">
        <v>36</v>
      </c>
      <c r="D2857" s="1" t="s">
        <v>43</v>
      </c>
      <c r="E2857" s="1" t="s">
        <v>239</v>
      </c>
      <c r="F2857" s="1" t="s">
        <v>30</v>
      </c>
      <c r="G2857" s="1" t="s">
        <v>85</v>
      </c>
      <c r="H2857" s="1" t="s">
        <v>297</v>
      </c>
      <c r="I2857" s="1">
        <v>4340.28</v>
      </c>
      <c r="J2857" s="1">
        <v>7</v>
      </c>
      <c r="K2857" s="1">
        <v>30381.96</v>
      </c>
      <c r="L2857" s="1">
        <v>20</v>
      </c>
      <c r="M2857" s="1">
        <v>6076.39</v>
      </c>
      <c r="N2857" s="1">
        <v>24305.57</v>
      </c>
      <c r="O2857" s="1" t="s">
        <v>64</v>
      </c>
      <c r="P2857" s="1" t="s">
        <v>1460</v>
      </c>
      <c r="Q2857" s="1">
        <v>1</v>
      </c>
      <c r="R2857" s="1">
        <f>Retail_Sales_Analyis[[#This Row],[Final_Price]]-Retail_Sales_Analyis[[#This Row],[Total_Price]]</f>
        <v>-6076.3899999999994</v>
      </c>
      <c r="S28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58" spans="1:19" x14ac:dyDescent="0.25">
      <c r="A2858" s="1" t="s">
        <v>3947</v>
      </c>
      <c r="B2858" s="2">
        <v>45363</v>
      </c>
      <c r="C2858" s="1" t="s">
        <v>61</v>
      </c>
      <c r="D2858" s="1" t="s">
        <v>28</v>
      </c>
      <c r="E2858" s="1" t="s">
        <v>199</v>
      </c>
      <c r="F2858" s="1" t="s">
        <v>84</v>
      </c>
      <c r="G2858" s="1" t="s">
        <v>31</v>
      </c>
      <c r="H2858" s="1" t="s">
        <v>250</v>
      </c>
      <c r="I2858" s="1">
        <v>127.65</v>
      </c>
      <c r="J2858" s="1">
        <v>5</v>
      </c>
      <c r="K2858" s="1">
        <v>638.25</v>
      </c>
      <c r="L2858" s="1">
        <v>0</v>
      </c>
      <c r="M2858" s="1">
        <v>0</v>
      </c>
      <c r="N2858" s="1">
        <v>638.25</v>
      </c>
      <c r="O2858" s="1" t="s">
        <v>64</v>
      </c>
      <c r="P2858" s="1" t="s">
        <v>1111</v>
      </c>
      <c r="Q2858" s="1">
        <v>5</v>
      </c>
      <c r="R2858" s="1">
        <f>Retail_Sales_Analyis[[#This Row],[Final_Price]]-Retail_Sales_Analyis[[#This Row],[Total_Price]]</f>
        <v>0</v>
      </c>
      <c r="S28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59" spans="1:19" x14ac:dyDescent="0.25">
      <c r="A2859" s="1" t="s">
        <v>3948</v>
      </c>
      <c r="B2859" s="2">
        <v>45549</v>
      </c>
      <c r="C2859" s="1" t="s">
        <v>116</v>
      </c>
      <c r="D2859" s="1" t="s">
        <v>19</v>
      </c>
      <c r="E2859" s="1" t="s">
        <v>261</v>
      </c>
      <c r="F2859" s="1" t="s">
        <v>84</v>
      </c>
      <c r="G2859" s="1" t="s">
        <v>57</v>
      </c>
      <c r="H2859" s="1" t="s">
        <v>158</v>
      </c>
      <c r="I2859" s="1">
        <v>2362.42</v>
      </c>
      <c r="J2859" s="1">
        <v>10</v>
      </c>
      <c r="K2859" s="1">
        <v>23624.2</v>
      </c>
      <c r="L2859" s="1">
        <v>0</v>
      </c>
      <c r="M2859" s="1">
        <v>0</v>
      </c>
      <c r="N2859" s="1">
        <v>23624.2</v>
      </c>
      <c r="O2859" s="1" t="s">
        <v>33</v>
      </c>
      <c r="P2859" s="1" t="s">
        <v>959</v>
      </c>
      <c r="Q2859" s="1">
        <v>4</v>
      </c>
      <c r="R2859" s="1">
        <f>Retail_Sales_Analyis[[#This Row],[Final_Price]]-Retail_Sales_Analyis[[#This Row],[Total_Price]]</f>
        <v>0</v>
      </c>
      <c r="S28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0" spans="1:19" x14ac:dyDescent="0.25">
      <c r="A2860" s="1" t="s">
        <v>3949</v>
      </c>
      <c r="B2860" s="2">
        <v>45440</v>
      </c>
      <c r="C2860" s="1" t="s">
        <v>42</v>
      </c>
      <c r="D2860" s="1" t="s">
        <v>28</v>
      </c>
      <c r="E2860" s="1" t="s">
        <v>199</v>
      </c>
      <c r="F2860" s="1" t="s">
        <v>37</v>
      </c>
      <c r="G2860" s="1" t="s">
        <v>38</v>
      </c>
      <c r="H2860" s="1" t="s">
        <v>108</v>
      </c>
      <c r="I2860" s="1">
        <v>558.42999999999995</v>
      </c>
      <c r="J2860" s="1">
        <v>1</v>
      </c>
      <c r="K2860" s="1">
        <v>558.42999999999995</v>
      </c>
      <c r="L2860" s="1">
        <v>0</v>
      </c>
      <c r="M2860" s="1">
        <v>0</v>
      </c>
      <c r="N2860" s="1">
        <v>558.42999999999995</v>
      </c>
      <c r="O2860" s="1" t="s">
        <v>80</v>
      </c>
      <c r="P2860" s="1" t="s">
        <v>1418</v>
      </c>
      <c r="Q2860" s="1">
        <v>1</v>
      </c>
      <c r="R2860" s="1">
        <f>Retail_Sales_Analyis[[#This Row],[Final_Price]]-Retail_Sales_Analyis[[#This Row],[Total_Price]]</f>
        <v>0</v>
      </c>
      <c r="S28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1" spans="1:19" x14ac:dyDescent="0.25">
      <c r="A2861" s="1" t="s">
        <v>3950</v>
      </c>
      <c r="B2861" s="2">
        <v>45411</v>
      </c>
      <c r="C2861" s="1" t="s">
        <v>54</v>
      </c>
      <c r="D2861" s="1" t="s">
        <v>43</v>
      </c>
      <c r="E2861" s="1" t="s">
        <v>125</v>
      </c>
      <c r="F2861" s="1" t="s">
        <v>69</v>
      </c>
      <c r="G2861" s="1" t="s">
        <v>57</v>
      </c>
      <c r="H2861" s="1" t="s">
        <v>101</v>
      </c>
      <c r="I2861" s="1">
        <v>2747.97</v>
      </c>
      <c r="J2861" s="1">
        <v>9</v>
      </c>
      <c r="K2861" s="1">
        <v>24731.73</v>
      </c>
      <c r="L2861" s="1">
        <v>0</v>
      </c>
      <c r="M2861" s="1">
        <v>0</v>
      </c>
      <c r="N2861" s="1">
        <v>24731.73</v>
      </c>
      <c r="O2861" s="1" t="s">
        <v>24</v>
      </c>
      <c r="P2861" s="1" t="s">
        <v>427</v>
      </c>
      <c r="Q2861" s="1">
        <v>3</v>
      </c>
      <c r="R2861" s="1">
        <f>Retail_Sales_Analyis[[#This Row],[Final_Price]]-Retail_Sales_Analyis[[#This Row],[Total_Price]]</f>
        <v>0</v>
      </c>
      <c r="S28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2" spans="1:19" x14ac:dyDescent="0.25">
      <c r="A2862" s="1" t="s">
        <v>3951</v>
      </c>
      <c r="B2862" s="2">
        <v>45586</v>
      </c>
      <c r="C2862" s="1" t="s">
        <v>76</v>
      </c>
      <c r="D2862" s="1" t="s">
        <v>43</v>
      </c>
      <c r="E2862" s="1" t="s">
        <v>542</v>
      </c>
      <c r="F2862" s="1" t="s">
        <v>30</v>
      </c>
      <c r="G2862" s="1" t="s">
        <v>57</v>
      </c>
      <c r="H2862" s="1" t="s">
        <v>158</v>
      </c>
      <c r="I2862" s="1">
        <v>2424.77</v>
      </c>
      <c r="J2862" s="1">
        <v>9</v>
      </c>
      <c r="K2862" s="1">
        <v>21822.93</v>
      </c>
      <c r="L2862" s="1">
        <v>5</v>
      </c>
      <c r="M2862" s="1">
        <v>1091.1500000000001</v>
      </c>
      <c r="N2862" s="1">
        <v>20731.78</v>
      </c>
      <c r="O2862" s="1" t="s">
        <v>33</v>
      </c>
      <c r="P2862" s="1" t="s">
        <v>429</v>
      </c>
      <c r="Q2862" s="1">
        <v>4</v>
      </c>
      <c r="R2862" s="1">
        <f>Retail_Sales_Analyis[[#This Row],[Final_Price]]-Retail_Sales_Analyis[[#This Row],[Total_Price]]</f>
        <v>-1091.1500000000015</v>
      </c>
      <c r="S28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63" spans="1:19" x14ac:dyDescent="0.25">
      <c r="A2863" s="1" t="s">
        <v>3952</v>
      </c>
      <c r="B2863" s="2">
        <v>45455</v>
      </c>
      <c r="C2863" s="1" t="s">
        <v>173</v>
      </c>
      <c r="D2863" s="1" t="s">
        <v>55</v>
      </c>
      <c r="E2863" s="1" t="s">
        <v>107</v>
      </c>
      <c r="F2863" s="1" t="s">
        <v>69</v>
      </c>
      <c r="G2863" s="1" t="s">
        <v>38</v>
      </c>
      <c r="H2863" s="1" t="s">
        <v>422</v>
      </c>
      <c r="I2863" s="1">
        <v>391.78</v>
      </c>
      <c r="J2863" s="1">
        <v>1</v>
      </c>
      <c r="K2863" s="1">
        <v>391.78</v>
      </c>
      <c r="L2863" s="1">
        <v>0</v>
      </c>
      <c r="M2863" s="1">
        <v>0</v>
      </c>
      <c r="N2863" s="1">
        <v>391.78</v>
      </c>
      <c r="O2863" s="1" t="s">
        <v>64</v>
      </c>
      <c r="P2863" s="1" t="s">
        <v>673</v>
      </c>
      <c r="Q2863" s="1">
        <v>5</v>
      </c>
      <c r="R2863" s="1">
        <f>Retail_Sales_Analyis[[#This Row],[Final_Price]]-Retail_Sales_Analyis[[#This Row],[Total_Price]]</f>
        <v>0</v>
      </c>
      <c r="S28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4" spans="1:19" x14ac:dyDescent="0.25">
      <c r="A2864" s="1" t="s">
        <v>3953</v>
      </c>
      <c r="B2864" s="2">
        <v>45587</v>
      </c>
      <c r="C2864" s="1" t="s">
        <v>76</v>
      </c>
      <c r="D2864" s="1" t="s">
        <v>28</v>
      </c>
      <c r="E2864" s="1" t="s">
        <v>68</v>
      </c>
      <c r="F2864" s="1" t="s">
        <v>37</v>
      </c>
      <c r="G2864" s="1" t="s">
        <v>22</v>
      </c>
      <c r="H2864" s="1" t="s">
        <v>51</v>
      </c>
      <c r="I2864" s="1">
        <v>884.63</v>
      </c>
      <c r="J2864" s="1">
        <v>7</v>
      </c>
      <c r="K2864" s="1">
        <v>6192.41</v>
      </c>
      <c r="L2864" s="1">
        <v>15</v>
      </c>
      <c r="M2864" s="1">
        <v>928.86</v>
      </c>
      <c r="N2864" s="1">
        <v>5263.55</v>
      </c>
      <c r="O2864" s="1" t="s">
        <v>64</v>
      </c>
      <c r="P2864" s="1" t="s">
        <v>3349</v>
      </c>
      <c r="Q2864" s="1">
        <v>4</v>
      </c>
      <c r="R2864" s="1">
        <f>Retail_Sales_Analyis[[#This Row],[Final_Price]]-Retail_Sales_Analyis[[#This Row],[Total_Price]]</f>
        <v>-928.85999999999967</v>
      </c>
      <c r="S28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65" spans="1:19" x14ac:dyDescent="0.25">
      <c r="A2865" s="1" t="s">
        <v>3954</v>
      </c>
      <c r="B2865" s="2">
        <v>45598</v>
      </c>
      <c r="C2865" s="1" t="s">
        <v>18</v>
      </c>
      <c r="D2865" s="1" t="s">
        <v>19</v>
      </c>
      <c r="E2865" s="1" t="s">
        <v>542</v>
      </c>
      <c r="F2865" s="1" t="s">
        <v>84</v>
      </c>
      <c r="G2865" s="1" t="s">
        <v>78</v>
      </c>
      <c r="H2865" s="1" t="s">
        <v>146</v>
      </c>
      <c r="I2865" s="1">
        <v>327.79</v>
      </c>
      <c r="J2865" s="1">
        <v>5</v>
      </c>
      <c r="K2865" s="1">
        <v>1638.95</v>
      </c>
      <c r="L2865" s="1">
        <v>10</v>
      </c>
      <c r="M2865" s="1">
        <v>163.9</v>
      </c>
      <c r="N2865" s="1">
        <v>1475.05</v>
      </c>
      <c r="O2865" s="1" t="s">
        <v>80</v>
      </c>
      <c r="P2865" s="1" t="s">
        <v>318</v>
      </c>
      <c r="Q2865" s="1">
        <v>1</v>
      </c>
      <c r="R2865" s="1">
        <f>Retail_Sales_Analyis[[#This Row],[Final_Price]]-Retail_Sales_Analyis[[#This Row],[Total_Price]]</f>
        <v>-163.90000000000009</v>
      </c>
      <c r="S28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66" spans="1:19" x14ac:dyDescent="0.25">
      <c r="A2866" s="1" t="s">
        <v>3955</v>
      </c>
      <c r="B2866" s="2">
        <v>45636</v>
      </c>
      <c r="C2866" s="1" t="s">
        <v>73</v>
      </c>
      <c r="D2866" s="1" t="s">
        <v>28</v>
      </c>
      <c r="E2866" s="1" t="s">
        <v>213</v>
      </c>
      <c r="F2866" s="1" t="s">
        <v>30</v>
      </c>
      <c r="G2866" s="1" t="s">
        <v>85</v>
      </c>
      <c r="H2866" s="1" t="s">
        <v>90</v>
      </c>
      <c r="I2866" s="1">
        <v>4284.05</v>
      </c>
      <c r="J2866" s="1">
        <v>6</v>
      </c>
      <c r="K2866" s="1">
        <v>25704.3</v>
      </c>
      <c r="L2866" s="1">
        <v>5</v>
      </c>
      <c r="M2866" s="1">
        <v>1285.22</v>
      </c>
      <c r="N2866" s="1">
        <v>24419.08</v>
      </c>
      <c r="O2866" s="1" t="s">
        <v>33</v>
      </c>
      <c r="P2866" s="1" t="s">
        <v>340</v>
      </c>
      <c r="Q2866" s="1">
        <v>2</v>
      </c>
      <c r="R2866" s="1">
        <f>Retail_Sales_Analyis[[#This Row],[Final_Price]]-Retail_Sales_Analyis[[#This Row],[Total_Price]]</f>
        <v>-1285.2199999999975</v>
      </c>
      <c r="S28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67" spans="1:19" x14ac:dyDescent="0.25">
      <c r="A2867" s="1" t="s">
        <v>3956</v>
      </c>
      <c r="B2867" s="2">
        <v>45456</v>
      </c>
      <c r="C2867" s="1" t="s">
        <v>173</v>
      </c>
      <c r="D2867" s="1" t="s">
        <v>67</v>
      </c>
      <c r="E2867" s="1" t="s">
        <v>29</v>
      </c>
      <c r="F2867" s="1" t="s">
        <v>37</v>
      </c>
      <c r="G2867" s="1" t="s">
        <v>112</v>
      </c>
      <c r="H2867" s="1" t="s">
        <v>113</v>
      </c>
      <c r="I2867" s="1">
        <v>1971.67</v>
      </c>
      <c r="J2867" s="1">
        <v>6</v>
      </c>
      <c r="K2867" s="1">
        <v>11830.02</v>
      </c>
      <c r="L2867" s="1">
        <v>0</v>
      </c>
      <c r="M2867" s="1">
        <v>0</v>
      </c>
      <c r="N2867" s="1">
        <v>11830.02</v>
      </c>
      <c r="O2867" s="1" t="s">
        <v>64</v>
      </c>
      <c r="P2867" s="1" t="s">
        <v>2447</v>
      </c>
      <c r="Q2867" s="1">
        <v>5</v>
      </c>
      <c r="R2867" s="1">
        <f>Retail_Sales_Analyis[[#This Row],[Final_Price]]-Retail_Sales_Analyis[[#This Row],[Total_Price]]</f>
        <v>0</v>
      </c>
      <c r="S28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68" spans="1:19" x14ac:dyDescent="0.25">
      <c r="A2868" s="1" t="s">
        <v>3957</v>
      </c>
      <c r="B2868" s="2">
        <v>45413</v>
      </c>
      <c r="C2868" s="1" t="s">
        <v>42</v>
      </c>
      <c r="D2868" s="1" t="s">
        <v>55</v>
      </c>
      <c r="E2868" s="1" t="s">
        <v>236</v>
      </c>
      <c r="F2868" s="1" t="s">
        <v>69</v>
      </c>
      <c r="G2868" s="1" t="s">
        <v>31</v>
      </c>
      <c r="H2868" s="1" t="s">
        <v>32</v>
      </c>
      <c r="I2868" s="1">
        <v>203.08</v>
      </c>
      <c r="J2868" s="1">
        <v>6</v>
      </c>
      <c r="K2868" s="1">
        <v>1218.48</v>
      </c>
      <c r="L2868" s="1">
        <v>10</v>
      </c>
      <c r="M2868" s="1">
        <v>121.85</v>
      </c>
      <c r="N2868" s="1">
        <v>1096.6300000000001</v>
      </c>
      <c r="O2868" s="1" t="s">
        <v>64</v>
      </c>
      <c r="P2868" s="1" t="s">
        <v>2389</v>
      </c>
      <c r="Q2868" s="1">
        <v>1</v>
      </c>
      <c r="R2868" s="1">
        <f>Retail_Sales_Analyis[[#This Row],[Final_Price]]-Retail_Sales_Analyis[[#This Row],[Total_Price]]</f>
        <v>-121.84999999999991</v>
      </c>
      <c r="S28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69" spans="1:19" x14ac:dyDescent="0.25">
      <c r="A2869" s="1" t="s">
        <v>3958</v>
      </c>
      <c r="B2869" s="2">
        <v>45446</v>
      </c>
      <c r="C2869" s="1" t="s">
        <v>173</v>
      </c>
      <c r="D2869" s="1" t="s">
        <v>43</v>
      </c>
      <c r="E2869" s="1" t="s">
        <v>20</v>
      </c>
      <c r="F2869" s="1" t="s">
        <v>84</v>
      </c>
      <c r="G2869" s="1" t="s">
        <v>22</v>
      </c>
      <c r="H2869" s="1" t="s">
        <v>277</v>
      </c>
      <c r="I2869" s="1">
        <v>374.04</v>
      </c>
      <c r="J2869" s="1">
        <v>10</v>
      </c>
      <c r="K2869" s="1">
        <v>3740.4</v>
      </c>
      <c r="L2869" s="1">
        <v>0</v>
      </c>
      <c r="M2869" s="1">
        <v>0</v>
      </c>
      <c r="N2869" s="1">
        <v>3740.4</v>
      </c>
      <c r="O2869" s="1" t="s">
        <v>33</v>
      </c>
      <c r="P2869" s="1" t="s">
        <v>3959</v>
      </c>
      <c r="Q2869" s="1">
        <v>4</v>
      </c>
      <c r="R2869" s="1">
        <f>Retail_Sales_Analyis[[#This Row],[Final_Price]]-Retail_Sales_Analyis[[#This Row],[Total_Price]]</f>
        <v>0</v>
      </c>
      <c r="S28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70" spans="1:19" x14ac:dyDescent="0.25">
      <c r="A2870" s="1" t="s">
        <v>3960</v>
      </c>
      <c r="B2870" s="2">
        <v>45365</v>
      </c>
      <c r="C2870" s="1" t="s">
        <v>61</v>
      </c>
      <c r="D2870" s="1" t="s">
        <v>67</v>
      </c>
      <c r="E2870" s="1" t="s">
        <v>62</v>
      </c>
      <c r="F2870" s="1" t="s">
        <v>37</v>
      </c>
      <c r="G2870" s="1" t="s">
        <v>38</v>
      </c>
      <c r="H2870" s="1" t="s">
        <v>108</v>
      </c>
      <c r="I2870" s="1">
        <v>101.77</v>
      </c>
      <c r="J2870" s="1">
        <v>9</v>
      </c>
      <c r="K2870" s="1">
        <v>915.93</v>
      </c>
      <c r="L2870" s="1">
        <v>10</v>
      </c>
      <c r="M2870" s="1">
        <v>91.59</v>
      </c>
      <c r="N2870" s="1">
        <v>824.34</v>
      </c>
      <c r="O2870" s="1" t="s">
        <v>24</v>
      </c>
      <c r="P2870" s="1" t="s">
        <v>2755</v>
      </c>
      <c r="Q2870" s="1">
        <v>4</v>
      </c>
      <c r="R2870" s="1">
        <f>Retail_Sales_Analyis[[#This Row],[Final_Price]]-Retail_Sales_Analyis[[#This Row],[Total_Price]]</f>
        <v>-91.589999999999918</v>
      </c>
      <c r="S28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71" spans="1:19" x14ac:dyDescent="0.25">
      <c r="A2871" s="1" t="s">
        <v>3961</v>
      </c>
      <c r="B2871" s="2">
        <v>45630</v>
      </c>
      <c r="C2871" s="1" t="s">
        <v>73</v>
      </c>
      <c r="D2871" s="1" t="s">
        <v>55</v>
      </c>
      <c r="E2871" s="1" t="s">
        <v>192</v>
      </c>
      <c r="F2871" s="1" t="s">
        <v>21</v>
      </c>
      <c r="G2871" s="1" t="s">
        <v>169</v>
      </c>
      <c r="H2871" s="1" t="s">
        <v>170</v>
      </c>
      <c r="I2871" s="1">
        <v>905.85</v>
      </c>
      <c r="J2871" s="1">
        <v>8</v>
      </c>
      <c r="K2871" s="1">
        <v>7246.8</v>
      </c>
      <c r="L2871" s="1">
        <v>5</v>
      </c>
      <c r="M2871" s="1">
        <v>362.34</v>
      </c>
      <c r="N2871" s="1">
        <v>6884.46</v>
      </c>
      <c r="O2871" s="1" t="s">
        <v>46</v>
      </c>
      <c r="P2871" s="1" t="s">
        <v>2763</v>
      </c>
      <c r="Q2871" s="1">
        <v>3</v>
      </c>
      <c r="R2871" s="1">
        <f>Retail_Sales_Analyis[[#This Row],[Final_Price]]-Retail_Sales_Analyis[[#This Row],[Total_Price]]</f>
        <v>-362.34000000000015</v>
      </c>
      <c r="S28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72" spans="1:19" x14ac:dyDescent="0.25">
      <c r="A2872" s="1" t="s">
        <v>3962</v>
      </c>
      <c r="B2872" s="2">
        <v>45558</v>
      </c>
      <c r="C2872" s="1" t="s">
        <v>116</v>
      </c>
      <c r="D2872" s="1" t="s">
        <v>43</v>
      </c>
      <c r="E2872" s="1" t="s">
        <v>145</v>
      </c>
      <c r="F2872" s="1" t="s">
        <v>37</v>
      </c>
      <c r="G2872" s="1" t="s">
        <v>38</v>
      </c>
      <c r="H2872" s="1" t="s">
        <v>422</v>
      </c>
      <c r="I2872" s="1">
        <v>167.18</v>
      </c>
      <c r="J2872" s="1">
        <v>5</v>
      </c>
      <c r="K2872" s="1">
        <v>835.9</v>
      </c>
      <c r="L2872" s="1">
        <v>10</v>
      </c>
      <c r="M2872" s="1">
        <v>83.59</v>
      </c>
      <c r="N2872" s="1">
        <v>752.31</v>
      </c>
      <c r="O2872" s="1" t="s">
        <v>64</v>
      </c>
      <c r="P2872" s="1" t="s">
        <v>839</v>
      </c>
      <c r="Q2872" s="1">
        <v>3</v>
      </c>
      <c r="R2872" s="1">
        <f>Retail_Sales_Analyis[[#This Row],[Final_Price]]-Retail_Sales_Analyis[[#This Row],[Total_Price]]</f>
        <v>-83.590000000000032</v>
      </c>
      <c r="S28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73" spans="1:19" x14ac:dyDescent="0.25">
      <c r="A2873" s="1" t="s">
        <v>3963</v>
      </c>
      <c r="B2873" s="2">
        <v>45405</v>
      </c>
      <c r="C2873" s="1" t="s">
        <v>54</v>
      </c>
      <c r="D2873" s="1" t="s">
        <v>28</v>
      </c>
      <c r="E2873" s="1" t="s">
        <v>77</v>
      </c>
      <c r="F2873" s="1" t="s">
        <v>30</v>
      </c>
      <c r="G2873" s="1" t="s">
        <v>38</v>
      </c>
      <c r="H2873" s="1" t="s">
        <v>70</v>
      </c>
      <c r="I2873" s="1">
        <v>479.05</v>
      </c>
      <c r="J2873" s="1">
        <v>9</v>
      </c>
      <c r="K2873" s="1">
        <v>4311.45</v>
      </c>
      <c r="L2873" s="1">
        <v>20</v>
      </c>
      <c r="M2873" s="1">
        <v>862.29</v>
      </c>
      <c r="N2873" s="1">
        <v>3449.16</v>
      </c>
      <c r="O2873" s="1" t="s">
        <v>64</v>
      </c>
      <c r="P2873" s="1" t="s">
        <v>215</v>
      </c>
      <c r="Q2873" s="1">
        <v>5</v>
      </c>
      <c r="R2873" s="1">
        <f>Retail_Sales_Analyis[[#This Row],[Final_Price]]-Retail_Sales_Analyis[[#This Row],[Total_Price]]</f>
        <v>-862.29</v>
      </c>
      <c r="S28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74" spans="1:19" x14ac:dyDescent="0.25">
      <c r="A2874" s="1" t="s">
        <v>3964</v>
      </c>
      <c r="B2874" s="2">
        <v>45503</v>
      </c>
      <c r="C2874" s="1" t="s">
        <v>195</v>
      </c>
      <c r="D2874" s="1" t="s">
        <v>28</v>
      </c>
      <c r="E2874" s="1" t="s">
        <v>132</v>
      </c>
      <c r="F2874" s="1" t="s">
        <v>37</v>
      </c>
      <c r="G2874" s="1" t="s">
        <v>31</v>
      </c>
      <c r="H2874" s="1" t="s">
        <v>63</v>
      </c>
      <c r="I2874" s="1">
        <v>247.99</v>
      </c>
      <c r="J2874" s="1">
        <v>7</v>
      </c>
      <c r="K2874" s="1">
        <v>1735.93</v>
      </c>
      <c r="L2874" s="1">
        <v>0</v>
      </c>
      <c r="M2874" s="1">
        <v>0</v>
      </c>
      <c r="N2874" s="1">
        <v>1735.93</v>
      </c>
      <c r="O2874" s="1" t="s">
        <v>33</v>
      </c>
      <c r="P2874" s="1" t="s">
        <v>2629</v>
      </c>
      <c r="Q2874" s="1">
        <v>3</v>
      </c>
      <c r="R2874" s="1">
        <f>Retail_Sales_Analyis[[#This Row],[Final_Price]]-Retail_Sales_Analyis[[#This Row],[Total_Price]]</f>
        <v>0</v>
      </c>
      <c r="S28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75" spans="1:19" x14ac:dyDescent="0.25">
      <c r="A2875" s="1" t="s">
        <v>3965</v>
      </c>
      <c r="B2875" s="2">
        <v>45445</v>
      </c>
      <c r="C2875" s="1" t="s">
        <v>173</v>
      </c>
      <c r="D2875" s="1" t="s">
        <v>49</v>
      </c>
      <c r="E2875" s="1" t="s">
        <v>125</v>
      </c>
      <c r="F2875" s="1" t="s">
        <v>69</v>
      </c>
      <c r="G2875" s="1" t="s">
        <v>112</v>
      </c>
      <c r="H2875" s="1" t="s">
        <v>118</v>
      </c>
      <c r="I2875" s="1">
        <v>989.22</v>
      </c>
      <c r="J2875" s="1">
        <v>10</v>
      </c>
      <c r="K2875" s="1">
        <v>9892.2000000000007</v>
      </c>
      <c r="L2875" s="1">
        <v>0</v>
      </c>
      <c r="M2875" s="1">
        <v>0</v>
      </c>
      <c r="N2875" s="1">
        <v>9892.2000000000007</v>
      </c>
      <c r="O2875" s="1" t="s">
        <v>64</v>
      </c>
      <c r="P2875" s="1" t="s">
        <v>2934</v>
      </c>
      <c r="Q2875" s="1">
        <v>3</v>
      </c>
      <c r="R2875" s="1">
        <f>Retail_Sales_Analyis[[#This Row],[Final_Price]]-Retail_Sales_Analyis[[#This Row],[Total_Price]]</f>
        <v>0</v>
      </c>
      <c r="S28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76" spans="1:19" x14ac:dyDescent="0.25">
      <c r="A2876" s="1" t="s">
        <v>3966</v>
      </c>
      <c r="B2876" s="2">
        <v>45432</v>
      </c>
      <c r="C2876" s="1" t="s">
        <v>42</v>
      </c>
      <c r="D2876" s="1" t="s">
        <v>43</v>
      </c>
      <c r="E2876" s="1" t="s">
        <v>107</v>
      </c>
      <c r="F2876" s="1" t="s">
        <v>37</v>
      </c>
      <c r="G2876" s="1" t="s">
        <v>31</v>
      </c>
      <c r="H2876" s="1" t="s">
        <v>32</v>
      </c>
      <c r="I2876" s="1">
        <v>95.83</v>
      </c>
      <c r="J2876" s="1">
        <v>7</v>
      </c>
      <c r="K2876" s="1">
        <v>670.81</v>
      </c>
      <c r="L2876" s="1">
        <v>20</v>
      </c>
      <c r="M2876" s="1">
        <v>134.16</v>
      </c>
      <c r="N2876" s="1">
        <v>536.65</v>
      </c>
      <c r="O2876" s="1" t="s">
        <v>80</v>
      </c>
      <c r="P2876" s="1" t="s">
        <v>65</v>
      </c>
      <c r="Q2876" s="1">
        <v>2</v>
      </c>
      <c r="R2876" s="1">
        <f>Retail_Sales_Analyis[[#This Row],[Final_Price]]-Retail_Sales_Analyis[[#This Row],[Total_Price]]</f>
        <v>-134.15999999999997</v>
      </c>
      <c r="S287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77" spans="1:19" x14ac:dyDescent="0.25">
      <c r="A2877" s="1" t="s">
        <v>3967</v>
      </c>
      <c r="B2877" s="2">
        <v>45323</v>
      </c>
      <c r="C2877" s="1" t="s">
        <v>27</v>
      </c>
      <c r="D2877" s="1" t="s">
        <v>67</v>
      </c>
      <c r="E2877" s="1" t="s">
        <v>351</v>
      </c>
      <c r="F2877" s="1" t="s">
        <v>37</v>
      </c>
      <c r="G2877" s="1" t="s">
        <v>38</v>
      </c>
      <c r="H2877" s="1" t="s">
        <v>70</v>
      </c>
      <c r="I2877" s="1">
        <v>701.02</v>
      </c>
      <c r="J2877" s="1">
        <v>1</v>
      </c>
      <c r="K2877" s="1">
        <v>701.02</v>
      </c>
      <c r="L2877" s="1">
        <v>5</v>
      </c>
      <c r="M2877" s="1">
        <v>35.049999999999997</v>
      </c>
      <c r="N2877" s="1">
        <v>665.97</v>
      </c>
      <c r="O2877" s="1" t="s">
        <v>33</v>
      </c>
      <c r="P2877" s="1" t="s">
        <v>3968</v>
      </c>
      <c r="Q2877" s="1">
        <v>2</v>
      </c>
      <c r="R2877" s="1">
        <f>Retail_Sales_Analyis[[#This Row],[Final_Price]]-Retail_Sales_Analyis[[#This Row],[Total_Price]]</f>
        <v>-35.049999999999955</v>
      </c>
      <c r="S28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78" spans="1:19" x14ac:dyDescent="0.25">
      <c r="A2878" s="1" t="s">
        <v>3969</v>
      </c>
      <c r="B2878" s="2">
        <v>45577</v>
      </c>
      <c r="C2878" s="1" t="s">
        <v>76</v>
      </c>
      <c r="D2878" s="1" t="s">
        <v>19</v>
      </c>
      <c r="E2878" s="1" t="s">
        <v>322</v>
      </c>
      <c r="F2878" s="1" t="s">
        <v>37</v>
      </c>
      <c r="G2878" s="1" t="s">
        <v>57</v>
      </c>
      <c r="H2878" s="1" t="s">
        <v>158</v>
      </c>
      <c r="I2878" s="1">
        <v>1862.48</v>
      </c>
      <c r="J2878" s="1">
        <v>8</v>
      </c>
      <c r="K2878" s="1">
        <v>14899.84</v>
      </c>
      <c r="L2878" s="1">
        <v>0</v>
      </c>
      <c r="M2878" s="1">
        <v>0</v>
      </c>
      <c r="N2878" s="1">
        <v>14899.84</v>
      </c>
      <c r="O2878" s="1" t="s">
        <v>24</v>
      </c>
      <c r="P2878" s="1" t="s">
        <v>2324</v>
      </c>
      <c r="Q2878" s="1">
        <v>1</v>
      </c>
      <c r="R2878" s="1">
        <f>Retail_Sales_Analyis[[#This Row],[Final_Price]]-Retail_Sales_Analyis[[#This Row],[Total_Price]]</f>
        <v>0</v>
      </c>
      <c r="S28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79" spans="1:19" x14ac:dyDescent="0.25">
      <c r="A2879" s="1" t="s">
        <v>3970</v>
      </c>
      <c r="B2879" s="2">
        <v>45594</v>
      </c>
      <c r="C2879" s="1" t="s">
        <v>76</v>
      </c>
      <c r="D2879" s="1" t="s">
        <v>28</v>
      </c>
      <c r="E2879" s="1" t="s">
        <v>151</v>
      </c>
      <c r="F2879" s="1" t="s">
        <v>21</v>
      </c>
      <c r="G2879" s="1" t="s">
        <v>78</v>
      </c>
      <c r="H2879" s="1" t="s">
        <v>323</v>
      </c>
      <c r="I2879" s="1">
        <v>358.05</v>
      </c>
      <c r="J2879" s="1">
        <v>4</v>
      </c>
      <c r="K2879" s="1">
        <v>1432.2</v>
      </c>
      <c r="L2879" s="1">
        <v>20</v>
      </c>
      <c r="M2879" s="1">
        <v>286.44</v>
      </c>
      <c r="N2879" s="1">
        <v>1145.76</v>
      </c>
      <c r="O2879" s="1" t="s">
        <v>46</v>
      </c>
      <c r="P2879" s="1" t="s">
        <v>1474</v>
      </c>
      <c r="Q2879" s="1">
        <v>5</v>
      </c>
      <c r="R2879" s="1">
        <f>Retail_Sales_Analyis[[#This Row],[Final_Price]]-Retail_Sales_Analyis[[#This Row],[Total_Price]]</f>
        <v>-286.44000000000005</v>
      </c>
      <c r="S28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80" spans="1:19" x14ac:dyDescent="0.25">
      <c r="A2880" s="1" t="s">
        <v>3971</v>
      </c>
      <c r="B2880" s="2">
        <v>45381</v>
      </c>
      <c r="C2880" s="1" t="s">
        <v>61</v>
      </c>
      <c r="D2880" s="1" t="s">
        <v>19</v>
      </c>
      <c r="E2880" s="1" t="s">
        <v>307</v>
      </c>
      <c r="F2880" s="1" t="s">
        <v>69</v>
      </c>
      <c r="G2880" s="1" t="s">
        <v>169</v>
      </c>
      <c r="H2880" s="1" t="s">
        <v>175</v>
      </c>
      <c r="I2880" s="1">
        <v>1133.08</v>
      </c>
      <c r="J2880" s="1">
        <v>8</v>
      </c>
      <c r="K2880" s="1">
        <v>9064.64</v>
      </c>
      <c r="L2880" s="1">
        <v>0</v>
      </c>
      <c r="M2880" s="1">
        <v>0</v>
      </c>
      <c r="N2880" s="1">
        <v>9064.64</v>
      </c>
      <c r="O2880" s="1" t="s">
        <v>64</v>
      </c>
      <c r="P2880" s="1" t="s">
        <v>920</v>
      </c>
      <c r="Q2880" s="1">
        <v>3</v>
      </c>
      <c r="R2880" s="1">
        <f>Retail_Sales_Analyis[[#This Row],[Final_Price]]-Retail_Sales_Analyis[[#This Row],[Total_Price]]</f>
        <v>0</v>
      </c>
      <c r="S28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1" spans="1:19" x14ac:dyDescent="0.25">
      <c r="A2881" s="1" t="s">
        <v>3972</v>
      </c>
      <c r="B2881" s="2">
        <v>45612</v>
      </c>
      <c r="C2881" s="1" t="s">
        <v>18</v>
      </c>
      <c r="D2881" s="1" t="s">
        <v>19</v>
      </c>
      <c r="E2881" s="1" t="s">
        <v>351</v>
      </c>
      <c r="F2881" s="1" t="s">
        <v>37</v>
      </c>
      <c r="G2881" s="1" t="s">
        <v>78</v>
      </c>
      <c r="H2881" s="1" t="s">
        <v>136</v>
      </c>
      <c r="I2881" s="1">
        <v>264.55</v>
      </c>
      <c r="J2881" s="1">
        <v>4</v>
      </c>
      <c r="K2881" s="1">
        <v>1058.2</v>
      </c>
      <c r="L2881" s="1">
        <v>0</v>
      </c>
      <c r="M2881" s="1">
        <v>0</v>
      </c>
      <c r="N2881" s="1">
        <v>1058.2</v>
      </c>
      <c r="O2881" s="1" t="s">
        <v>46</v>
      </c>
      <c r="P2881" s="1" t="s">
        <v>1680</v>
      </c>
      <c r="Q2881" s="1">
        <v>4</v>
      </c>
      <c r="R2881" s="1">
        <f>Retail_Sales_Analyis[[#This Row],[Final_Price]]-Retail_Sales_Analyis[[#This Row],[Total_Price]]</f>
        <v>0</v>
      </c>
      <c r="S28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2" spans="1:19" x14ac:dyDescent="0.25">
      <c r="A2882" s="1" t="s">
        <v>3973</v>
      </c>
      <c r="B2882" s="2">
        <v>45639</v>
      </c>
      <c r="C2882" s="1" t="s">
        <v>73</v>
      </c>
      <c r="D2882" s="1" t="s">
        <v>144</v>
      </c>
      <c r="E2882" s="1" t="s">
        <v>29</v>
      </c>
      <c r="F2882" s="1" t="s">
        <v>21</v>
      </c>
      <c r="G2882" s="1" t="s">
        <v>78</v>
      </c>
      <c r="H2882" s="1" t="s">
        <v>323</v>
      </c>
      <c r="I2882" s="1">
        <v>360.42</v>
      </c>
      <c r="J2882" s="1">
        <v>10</v>
      </c>
      <c r="K2882" s="1">
        <v>3604.2</v>
      </c>
      <c r="L2882" s="1">
        <v>15</v>
      </c>
      <c r="M2882" s="1">
        <v>540.63</v>
      </c>
      <c r="N2882" s="1">
        <v>3063.57</v>
      </c>
      <c r="O2882" s="1" t="s">
        <v>46</v>
      </c>
      <c r="P2882" s="1" t="s">
        <v>2934</v>
      </c>
      <c r="Q2882" s="1">
        <v>2</v>
      </c>
      <c r="R2882" s="1">
        <f>Retail_Sales_Analyis[[#This Row],[Final_Price]]-Retail_Sales_Analyis[[#This Row],[Total_Price]]</f>
        <v>-540.62999999999965</v>
      </c>
      <c r="S28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83" spans="1:19" x14ac:dyDescent="0.25">
      <c r="A2883" s="1" t="s">
        <v>3974</v>
      </c>
      <c r="B2883" s="2">
        <v>45510</v>
      </c>
      <c r="C2883" s="1" t="s">
        <v>93</v>
      </c>
      <c r="D2883" s="1" t="s">
        <v>28</v>
      </c>
      <c r="E2883" s="1" t="s">
        <v>44</v>
      </c>
      <c r="F2883" s="1" t="s">
        <v>84</v>
      </c>
      <c r="G2883" s="1" t="s">
        <v>78</v>
      </c>
      <c r="H2883" s="1" t="s">
        <v>323</v>
      </c>
      <c r="I2883" s="1">
        <v>307.27999999999997</v>
      </c>
      <c r="J2883" s="1">
        <v>1</v>
      </c>
      <c r="K2883" s="1">
        <v>307.27999999999997</v>
      </c>
      <c r="L2883" s="1">
        <v>20</v>
      </c>
      <c r="M2883" s="1">
        <v>61.46</v>
      </c>
      <c r="N2883" s="1">
        <v>245.82</v>
      </c>
      <c r="O2883" s="1" t="s">
        <v>80</v>
      </c>
      <c r="P2883" s="1" t="s">
        <v>1722</v>
      </c>
      <c r="Q2883" s="1">
        <v>3</v>
      </c>
      <c r="R2883" s="1">
        <f>Retail_Sales_Analyis[[#This Row],[Final_Price]]-Retail_Sales_Analyis[[#This Row],[Total_Price]]</f>
        <v>-61.45999999999998</v>
      </c>
      <c r="S28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84" spans="1:19" x14ac:dyDescent="0.25">
      <c r="A2884" s="1" t="s">
        <v>3975</v>
      </c>
      <c r="B2884" s="2">
        <v>45576</v>
      </c>
      <c r="C2884" s="1" t="s">
        <v>76</v>
      </c>
      <c r="D2884" s="1" t="s">
        <v>144</v>
      </c>
      <c r="E2884" s="1" t="s">
        <v>342</v>
      </c>
      <c r="F2884" s="1" t="s">
        <v>21</v>
      </c>
      <c r="G2884" s="1" t="s">
        <v>31</v>
      </c>
      <c r="H2884" s="1" t="s">
        <v>63</v>
      </c>
      <c r="I2884" s="1">
        <v>467.58</v>
      </c>
      <c r="J2884" s="1">
        <v>2</v>
      </c>
      <c r="K2884" s="1">
        <v>935.16</v>
      </c>
      <c r="L2884" s="1">
        <v>15</v>
      </c>
      <c r="M2884" s="1">
        <v>140.27000000000001</v>
      </c>
      <c r="N2884" s="1">
        <v>794.89</v>
      </c>
      <c r="O2884" s="1" t="s">
        <v>33</v>
      </c>
      <c r="P2884" s="1" t="s">
        <v>633</v>
      </c>
      <c r="Q2884" s="1">
        <v>4</v>
      </c>
      <c r="R2884" s="1">
        <f>Retail_Sales_Analyis[[#This Row],[Final_Price]]-Retail_Sales_Analyis[[#This Row],[Total_Price]]</f>
        <v>-140.26999999999998</v>
      </c>
      <c r="S28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85" spans="1:19" x14ac:dyDescent="0.25">
      <c r="A2885" s="1" t="s">
        <v>3976</v>
      </c>
      <c r="B2885" s="2">
        <v>45545</v>
      </c>
      <c r="C2885" s="1" t="s">
        <v>116</v>
      </c>
      <c r="D2885" s="1" t="s">
        <v>28</v>
      </c>
      <c r="E2885" s="1" t="s">
        <v>117</v>
      </c>
      <c r="F2885" s="1" t="s">
        <v>30</v>
      </c>
      <c r="G2885" s="1" t="s">
        <v>38</v>
      </c>
      <c r="H2885" s="1" t="s">
        <v>39</v>
      </c>
      <c r="I2885" s="1">
        <v>643.69000000000005</v>
      </c>
      <c r="J2885" s="1">
        <v>7</v>
      </c>
      <c r="K2885" s="1">
        <v>4505.83</v>
      </c>
      <c r="L2885" s="1">
        <v>0</v>
      </c>
      <c r="M2885" s="1">
        <v>0</v>
      </c>
      <c r="N2885" s="1">
        <v>4505.83</v>
      </c>
      <c r="O2885" s="1" t="s">
        <v>64</v>
      </c>
      <c r="P2885" s="1" t="s">
        <v>2055</v>
      </c>
      <c r="Q2885" s="1">
        <v>2</v>
      </c>
      <c r="R2885" s="1">
        <f>Retail_Sales_Analyis[[#This Row],[Final_Price]]-Retail_Sales_Analyis[[#This Row],[Total_Price]]</f>
        <v>0</v>
      </c>
      <c r="S28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6" spans="1:19" x14ac:dyDescent="0.25">
      <c r="A2886" s="1" t="s">
        <v>3977</v>
      </c>
      <c r="B2886" s="2">
        <v>45316</v>
      </c>
      <c r="C2886" s="1" t="s">
        <v>36</v>
      </c>
      <c r="D2886" s="1" t="s">
        <v>67</v>
      </c>
      <c r="E2886" s="1" t="s">
        <v>312</v>
      </c>
      <c r="F2886" s="1" t="s">
        <v>37</v>
      </c>
      <c r="G2886" s="1" t="s">
        <v>112</v>
      </c>
      <c r="H2886" s="1" t="s">
        <v>118</v>
      </c>
      <c r="I2886" s="1">
        <v>527.36</v>
      </c>
      <c r="J2886" s="1">
        <v>2</v>
      </c>
      <c r="K2886" s="1">
        <v>1054.72</v>
      </c>
      <c r="L2886" s="1">
        <v>0</v>
      </c>
      <c r="M2886" s="1">
        <v>0</v>
      </c>
      <c r="N2886" s="1">
        <v>1054.72</v>
      </c>
      <c r="O2886" s="1" t="s">
        <v>33</v>
      </c>
      <c r="P2886" s="1" t="s">
        <v>2098</v>
      </c>
      <c r="Q2886" s="1">
        <v>5</v>
      </c>
      <c r="R2886" s="1">
        <f>Retail_Sales_Analyis[[#This Row],[Final_Price]]-Retail_Sales_Analyis[[#This Row],[Total_Price]]</f>
        <v>0</v>
      </c>
      <c r="S28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7" spans="1:19" x14ac:dyDescent="0.25">
      <c r="A2887" s="1" t="s">
        <v>3978</v>
      </c>
      <c r="B2887" s="2">
        <v>45468</v>
      </c>
      <c r="C2887" s="1" t="s">
        <v>173</v>
      </c>
      <c r="D2887" s="1" t="s">
        <v>28</v>
      </c>
      <c r="E2887" s="1" t="s">
        <v>411</v>
      </c>
      <c r="F2887" s="1" t="s">
        <v>30</v>
      </c>
      <c r="G2887" s="1" t="s">
        <v>31</v>
      </c>
      <c r="H2887" s="1" t="s">
        <v>45</v>
      </c>
      <c r="I2887" s="1">
        <v>270.11</v>
      </c>
      <c r="J2887" s="1">
        <v>4</v>
      </c>
      <c r="K2887" s="1">
        <v>1080.44</v>
      </c>
      <c r="L2887" s="1">
        <v>0</v>
      </c>
      <c r="M2887" s="1">
        <v>0</v>
      </c>
      <c r="N2887" s="1">
        <v>1080.44</v>
      </c>
      <c r="O2887" s="1" t="s">
        <v>24</v>
      </c>
      <c r="P2887" s="1" t="s">
        <v>313</v>
      </c>
      <c r="Q2887" s="1">
        <v>5</v>
      </c>
      <c r="R2887" s="1">
        <f>Retail_Sales_Analyis[[#This Row],[Final_Price]]-Retail_Sales_Analyis[[#This Row],[Total_Price]]</f>
        <v>0</v>
      </c>
      <c r="S28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88" spans="1:19" x14ac:dyDescent="0.25">
      <c r="A2888" s="1" t="s">
        <v>3979</v>
      </c>
      <c r="B2888" s="2">
        <v>45621</v>
      </c>
      <c r="C2888" s="1" t="s">
        <v>18</v>
      </c>
      <c r="D2888" s="1" t="s">
        <v>43</v>
      </c>
      <c r="E2888" s="1" t="s">
        <v>97</v>
      </c>
      <c r="F2888" s="1" t="s">
        <v>69</v>
      </c>
      <c r="G2888" s="1" t="s">
        <v>78</v>
      </c>
      <c r="H2888" s="1" t="s">
        <v>79</v>
      </c>
      <c r="I2888" s="1">
        <v>383.19</v>
      </c>
      <c r="J2888" s="1">
        <v>4</v>
      </c>
      <c r="K2888" s="1">
        <v>1532.76</v>
      </c>
      <c r="L2888" s="1">
        <v>5</v>
      </c>
      <c r="M2888" s="1">
        <v>76.64</v>
      </c>
      <c r="N2888" s="1">
        <v>1456.12</v>
      </c>
      <c r="O2888" s="1" t="s">
        <v>46</v>
      </c>
      <c r="P2888" s="1" t="s">
        <v>1707</v>
      </c>
      <c r="Q2888" s="1">
        <v>3</v>
      </c>
      <c r="R2888" s="1">
        <f>Retail_Sales_Analyis[[#This Row],[Final_Price]]-Retail_Sales_Analyis[[#This Row],[Total_Price]]</f>
        <v>-76.6400000000001</v>
      </c>
      <c r="S288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89" spans="1:19" x14ac:dyDescent="0.25">
      <c r="A2889" s="1" t="s">
        <v>3980</v>
      </c>
      <c r="B2889" s="2">
        <v>45635</v>
      </c>
      <c r="C2889" s="1" t="s">
        <v>73</v>
      </c>
      <c r="D2889" s="1" t="s">
        <v>43</v>
      </c>
      <c r="E2889" s="1" t="s">
        <v>337</v>
      </c>
      <c r="F2889" s="1" t="s">
        <v>37</v>
      </c>
      <c r="G2889" s="1" t="s">
        <v>169</v>
      </c>
      <c r="H2889" s="1" t="s">
        <v>348</v>
      </c>
      <c r="I2889" s="1">
        <v>330.48</v>
      </c>
      <c r="J2889" s="1">
        <v>10</v>
      </c>
      <c r="K2889" s="1">
        <v>3304.8</v>
      </c>
      <c r="L2889" s="1">
        <v>20</v>
      </c>
      <c r="M2889" s="1">
        <v>660.96</v>
      </c>
      <c r="N2889" s="1">
        <v>2643.84</v>
      </c>
      <c r="O2889" s="1" t="s">
        <v>33</v>
      </c>
      <c r="P2889" s="1" t="s">
        <v>867</v>
      </c>
      <c r="Q2889" s="1">
        <v>1</v>
      </c>
      <c r="R2889" s="1">
        <f>Retail_Sales_Analyis[[#This Row],[Final_Price]]-Retail_Sales_Analyis[[#This Row],[Total_Price]]</f>
        <v>-660.96</v>
      </c>
      <c r="S28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90" spans="1:19" x14ac:dyDescent="0.25">
      <c r="A2890" s="1" t="s">
        <v>3981</v>
      </c>
      <c r="B2890" s="2">
        <v>45487</v>
      </c>
      <c r="C2890" s="1" t="s">
        <v>195</v>
      </c>
      <c r="D2890" s="1" t="s">
        <v>49</v>
      </c>
      <c r="E2890" s="1" t="s">
        <v>117</v>
      </c>
      <c r="F2890" s="1" t="s">
        <v>37</v>
      </c>
      <c r="G2890" s="1" t="s">
        <v>78</v>
      </c>
      <c r="H2890" s="1" t="s">
        <v>126</v>
      </c>
      <c r="I2890" s="1">
        <v>455.01</v>
      </c>
      <c r="J2890" s="1">
        <v>1</v>
      </c>
      <c r="K2890" s="1">
        <v>455.01</v>
      </c>
      <c r="L2890" s="1">
        <v>20</v>
      </c>
      <c r="M2890" s="1">
        <v>91</v>
      </c>
      <c r="N2890" s="1">
        <v>364.01</v>
      </c>
      <c r="O2890" s="1" t="s">
        <v>24</v>
      </c>
      <c r="P2890" s="1" t="s">
        <v>303</v>
      </c>
      <c r="Q2890" s="1">
        <v>4</v>
      </c>
      <c r="R2890" s="1">
        <f>Retail_Sales_Analyis[[#This Row],[Final_Price]]-Retail_Sales_Analyis[[#This Row],[Total_Price]]</f>
        <v>-91</v>
      </c>
      <c r="S289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91" spans="1:19" x14ac:dyDescent="0.25">
      <c r="A2891" s="1" t="s">
        <v>3982</v>
      </c>
      <c r="B2891" s="2">
        <v>45560</v>
      </c>
      <c r="C2891" s="1" t="s">
        <v>116</v>
      </c>
      <c r="D2891" s="1" t="s">
        <v>55</v>
      </c>
      <c r="E2891" s="1" t="s">
        <v>141</v>
      </c>
      <c r="F2891" s="1" t="s">
        <v>69</v>
      </c>
      <c r="G2891" s="1" t="s">
        <v>22</v>
      </c>
      <c r="H2891" s="1" t="s">
        <v>51</v>
      </c>
      <c r="I2891" s="1">
        <v>658.22</v>
      </c>
      <c r="J2891" s="1">
        <v>5</v>
      </c>
      <c r="K2891" s="1">
        <v>3291.1</v>
      </c>
      <c r="L2891" s="1">
        <v>10</v>
      </c>
      <c r="M2891" s="1">
        <v>329.11</v>
      </c>
      <c r="N2891" s="1">
        <v>2961.99</v>
      </c>
      <c r="O2891" s="1" t="s">
        <v>24</v>
      </c>
      <c r="P2891" s="1" t="s">
        <v>935</v>
      </c>
      <c r="Q2891" s="1">
        <v>4</v>
      </c>
      <c r="R2891" s="1">
        <f>Retail_Sales_Analyis[[#This Row],[Final_Price]]-Retail_Sales_Analyis[[#This Row],[Total_Price]]</f>
        <v>-329.11000000000013</v>
      </c>
      <c r="S28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92" spans="1:19" x14ac:dyDescent="0.25">
      <c r="A2892" s="1" t="s">
        <v>3983</v>
      </c>
      <c r="B2892" s="2">
        <v>45455</v>
      </c>
      <c r="C2892" s="1" t="s">
        <v>173</v>
      </c>
      <c r="D2892" s="1" t="s">
        <v>55</v>
      </c>
      <c r="E2892" s="1" t="s">
        <v>117</v>
      </c>
      <c r="F2892" s="1" t="s">
        <v>30</v>
      </c>
      <c r="G2892" s="1" t="s">
        <v>85</v>
      </c>
      <c r="H2892" s="1" t="s">
        <v>90</v>
      </c>
      <c r="I2892" s="1">
        <v>2250.4</v>
      </c>
      <c r="J2892" s="1">
        <v>2</v>
      </c>
      <c r="K2892" s="1">
        <v>4500.8</v>
      </c>
      <c r="L2892" s="1">
        <v>5</v>
      </c>
      <c r="M2892" s="1">
        <v>225.04</v>
      </c>
      <c r="N2892" s="1">
        <v>4275.76</v>
      </c>
      <c r="O2892" s="1" t="s">
        <v>64</v>
      </c>
      <c r="P2892" s="1" t="s">
        <v>224</v>
      </c>
      <c r="Q2892" s="1">
        <v>1</v>
      </c>
      <c r="R2892" s="1">
        <f>Retail_Sales_Analyis[[#This Row],[Final_Price]]-Retail_Sales_Analyis[[#This Row],[Total_Price]]</f>
        <v>-225.03999999999996</v>
      </c>
      <c r="S28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93" spans="1:19" x14ac:dyDescent="0.25">
      <c r="A2893" s="1" t="s">
        <v>3984</v>
      </c>
      <c r="B2893" s="2">
        <v>45648</v>
      </c>
      <c r="C2893" s="1" t="s">
        <v>73</v>
      </c>
      <c r="D2893" s="1" t="s">
        <v>49</v>
      </c>
      <c r="E2893" s="1" t="s">
        <v>285</v>
      </c>
      <c r="F2893" s="1" t="s">
        <v>21</v>
      </c>
      <c r="G2893" s="1" t="s">
        <v>57</v>
      </c>
      <c r="H2893" s="1" t="s">
        <v>122</v>
      </c>
      <c r="I2893" s="1">
        <v>2357.8200000000002</v>
      </c>
      <c r="J2893" s="1">
        <v>10</v>
      </c>
      <c r="K2893" s="1">
        <v>23578.2</v>
      </c>
      <c r="L2893" s="1">
        <v>5</v>
      </c>
      <c r="M2893" s="1">
        <v>1178.9100000000001</v>
      </c>
      <c r="N2893" s="1">
        <v>22399.29</v>
      </c>
      <c r="O2893" s="1" t="s">
        <v>33</v>
      </c>
      <c r="P2893" s="1" t="s">
        <v>3985</v>
      </c>
      <c r="Q2893" s="1">
        <v>4</v>
      </c>
      <c r="R2893" s="1">
        <f>Retail_Sales_Analyis[[#This Row],[Final_Price]]-Retail_Sales_Analyis[[#This Row],[Total_Price]]</f>
        <v>-1178.9099999999999</v>
      </c>
      <c r="S28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94" spans="1:19" x14ac:dyDescent="0.25">
      <c r="A2894" s="1" t="s">
        <v>3986</v>
      </c>
      <c r="B2894" s="2">
        <v>45505</v>
      </c>
      <c r="C2894" s="1" t="s">
        <v>93</v>
      </c>
      <c r="D2894" s="1" t="s">
        <v>67</v>
      </c>
      <c r="E2894" s="1" t="s">
        <v>89</v>
      </c>
      <c r="F2894" s="1" t="s">
        <v>69</v>
      </c>
      <c r="G2894" s="1" t="s">
        <v>57</v>
      </c>
      <c r="H2894" s="1" t="s">
        <v>58</v>
      </c>
      <c r="I2894" s="1">
        <v>1563.06</v>
      </c>
      <c r="J2894" s="1">
        <v>4</v>
      </c>
      <c r="K2894" s="1">
        <v>6252.24</v>
      </c>
      <c r="L2894" s="1">
        <v>0</v>
      </c>
      <c r="M2894" s="1">
        <v>0</v>
      </c>
      <c r="N2894" s="1">
        <v>6252.24</v>
      </c>
      <c r="O2894" s="1" t="s">
        <v>46</v>
      </c>
      <c r="P2894" s="1" t="s">
        <v>1345</v>
      </c>
      <c r="Q2894" s="1">
        <v>5</v>
      </c>
      <c r="R2894" s="1">
        <f>Retail_Sales_Analyis[[#This Row],[Final_Price]]-Retail_Sales_Analyis[[#This Row],[Total_Price]]</f>
        <v>0</v>
      </c>
      <c r="S28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95" spans="1:19" x14ac:dyDescent="0.25">
      <c r="A2895" s="1" t="s">
        <v>3987</v>
      </c>
      <c r="B2895" s="2">
        <v>45501</v>
      </c>
      <c r="C2895" s="1" t="s">
        <v>195</v>
      </c>
      <c r="D2895" s="1" t="s">
        <v>49</v>
      </c>
      <c r="E2895" s="1" t="s">
        <v>199</v>
      </c>
      <c r="F2895" s="1" t="s">
        <v>37</v>
      </c>
      <c r="G2895" s="1" t="s">
        <v>31</v>
      </c>
      <c r="H2895" s="1" t="s">
        <v>329</v>
      </c>
      <c r="I2895" s="1">
        <v>254.5</v>
      </c>
      <c r="J2895" s="1">
        <v>3</v>
      </c>
      <c r="K2895" s="1">
        <v>763.5</v>
      </c>
      <c r="L2895" s="1">
        <v>10</v>
      </c>
      <c r="M2895" s="1">
        <v>76.349999999999994</v>
      </c>
      <c r="N2895" s="1">
        <v>687.15</v>
      </c>
      <c r="O2895" s="1" t="s">
        <v>80</v>
      </c>
      <c r="P2895" s="1" t="s">
        <v>1000</v>
      </c>
      <c r="Q2895" s="1">
        <v>2</v>
      </c>
      <c r="R2895" s="1">
        <f>Retail_Sales_Analyis[[#This Row],[Final_Price]]-Retail_Sales_Analyis[[#This Row],[Total_Price]]</f>
        <v>-76.350000000000023</v>
      </c>
      <c r="S28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896" spans="1:19" x14ac:dyDescent="0.25">
      <c r="A2896" s="1" t="s">
        <v>3988</v>
      </c>
      <c r="B2896" s="2">
        <v>45368</v>
      </c>
      <c r="C2896" s="1" t="s">
        <v>61</v>
      </c>
      <c r="D2896" s="1" t="s">
        <v>49</v>
      </c>
      <c r="E2896" s="1" t="s">
        <v>157</v>
      </c>
      <c r="F2896" s="1" t="s">
        <v>37</v>
      </c>
      <c r="G2896" s="1" t="s">
        <v>57</v>
      </c>
      <c r="H2896" s="1" t="s">
        <v>101</v>
      </c>
      <c r="I2896" s="1">
        <v>2442.37</v>
      </c>
      <c r="J2896" s="1">
        <v>2</v>
      </c>
      <c r="K2896" s="1">
        <v>4884.74</v>
      </c>
      <c r="L2896" s="1">
        <v>20</v>
      </c>
      <c r="M2896" s="1">
        <v>976.95</v>
      </c>
      <c r="N2896" s="1">
        <v>3907.79</v>
      </c>
      <c r="O2896" s="1" t="s">
        <v>64</v>
      </c>
      <c r="P2896" s="1" t="s">
        <v>3989</v>
      </c>
      <c r="Q2896" s="1">
        <v>5</v>
      </c>
      <c r="R2896" s="1">
        <f>Retail_Sales_Analyis[[#This Row],[Final_Price]]-Retail_Sales_Analyis[[#This Row],[Total_Price]]</f>
        <v>-976.94999999999982</v>
      </c>
      <c r="S28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897" spans="1:19" x14ac:dyDescent="0.25">
      <c r="A2897" s="1" t="s">
        <v>3990</v>
      </c>
      <c r="B2897" s="2">
        <v>45445</v>
      </c>
      <c r="C2897" s="1" t="s">
        <v>173</v>
      </c>
      <c r="D2897" s="1" t="s">
        <v>49</v>
      </c>
      <c r="E2897" s="1" t="s">
        <v>50</v>
      </c>
      <c r="F2897" s="1" t="s">
        <v>21</v>
      </c>
      <c r="G2897" s="1" t="s">
        <v>57</v>
      </c>
      <c r="H2897" s="1" t="s">
        <v>152</v>
      </c>
      <c r="I2897" s="1">
        <v>1890.08</v>
      </c>
      <c r="J2897" s="1">
        <v>5</v>
      </c>
      <c r="K2897" s="1">
        <v>9450.4</v>
      </c>
      <c r="L2897" s="1">
        <v>0</v>
      </c>
      <c r="M2897" s="1">
        <v>0</v>
      </c>
      <c r="N2897" s="1">
        <v>9450.4</v>
      </c>
      <c r="O2897" s="1" t="s">
        <v>33</v>
      </c>
      <c r="P2897" s="1" t="s">
        <v>1059</v>
      </c>
      <c r="Q2897" s="1">
        <v>3</v>
      </c>
      <c r="R2897" s="1">
        <f>Retail_Sales_Analyis[[#This Row],[Final_Price]]-Retail_Sales_Analyis[[#This Row],[Total_Price]]</f>
        <v>0</v>
      </c>
      <c r="S28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898" spans="1:19" x14ac:dyDescent="0.25">
      <c r="A2898" s="1" t="s">
        <v>3991</v>
      </c>
      <c r="B2898" s="2">
        <v>45484</v>
      </c>
      <c r="C2898" s="1" t="s">
        <v>195</v>
      </c>
      <c r="D2898" s="1" t="s">
        <v>67</v>
      </c>
      <c r="E2898" s="1" t="s">
        <v>168</v>
      </c>
      <c r="F2898" s="1" t="s">
        <v>30</v>
      </c>
      <c r="G2898" s="1" t="s">
        <v>22</v>
      </c>
      <c r="H2898" s="1" t="s">
        <v>23</v>
      </c>
      <c r="I2898" s="1">
        <v>450.92</v>
      </c>
      <c r="J2898" s="1">
        <v>10</v>
      </c>
      <c r="K2898" s="1">
        <v>4509.2</v>
      </c>
      <c r="L2898" s="1">
        <v>5</v>
      </c>
      <c r="M2898" s="1">
        <v>225.46</v>
      </c>
      <c r="N2898" s="1">
        <v>4283.74</v>
      </c>
      <c r="O2898" s="1" t="s">
        <v>33</v>
      </c>
      <c r="P2898" s="1" t="s">
        <v>938</v>
      </c>
      <c r="Q2898" s="1">
        <v>1</v>
      </c>
      <c r="R2898" s="1">
        <f>Retail_Sales_Analyis[[#This Row],[Final_Price]]-Retail_Sales_Analyis[[#This Row],[Total_Price]]</f>
        <v>-225.46000000000004</v>
      </c>
      <c r="S28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899" spans="1:19" x14ac:dyDescent="0.25">
      <c r="A2899" s="1" t="s">
        <v>3992</v>
      </c>
      <c r="B2899" s="2">
        <v>45386</v>
      </c>
      <c r="C2899" s="1" t="s">
        <v>54</v>
      </c>
      <c r="D2899" s="1" t="s">
        <v>67</v>
      </c>
      <c r="E2899" s="1" t="s">
        <v>285</v>
      </c>
      <c r="F2899" s="1" t="s">
        <v>21</v>
      </c>
      <c r="G2899" s="1" t="s">
        <v>112</v>
      </c>
      <c r="H2899" s="1" t="s">
        <v>113</v>
      </c>
      <c r="I2899" s="1">
        <v>1555.39</v>
      </c>
      <c r="J2899" s="1">
        <v>1</v>
      </c>
      <c r="K2899" s="1">
        <v>1555.39</v>
      </c>
      <c r="L2899" s="1">
        <v>15</v>
      </c>
      <c r="M2899" s="1">
        <v>233.31</v>
      </c>
      <c r="N2899" s="1">
        <v>1322.08</v>
      </c>
      <c r="O2899" s="1" t="s">
        <v>24</v>
      </c>
      <c r="P2899" s="1" t="s">
        <v>2216</v>
      </c>
      <c r="Q2899" s="1">
        <v>4</v>
      </c>
      <c r="R2899" s="1">
        <f>Retail_Sales_Analyis[[#This Row],[Final_Price]]-Retail_Sales_Analyis[[#This Row],[Total_Price]]</f>
        <v>-233.31000000000017</v>
      </c>
      <c r="S28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00" spans="1:19" x14ac:dyDescent="0.25">
      <c r="A2900" s="1" t="s">
        <v>3993</v>
      </c>
      <c r="B2900" s="2">
        <v>45567</v>
      </c>
      <c r="C2900" s="1" t="s">
        <v>76</v>
      </c>
      <c r="D2900" s="1" t="s">
        <v>55</v>
      </c>
      <c r="E2900" s="1" t="s">
        <v>337</v>
      </c>
      <c r="F2900" s="1" t="s">
        <v>84</v>
      </c>
      <c r="G2900" s="1" t="s">
        <v>78</v>
      </c>
      <c r="H2900" s="1" t="s">
        <v>136</v>
      </c>
      <c r="I2900" s="1">
        <v>529.57000000000005</v>
      </c>
      <c r="J2900" s="1">
        <v>9</v>
      </c>
      <c r="K2900" s="1">
        <v>4766.13</v>
      </c>
      <c r="L2900" s="1">
        <v>20</v>
      </c>
      <c r="M2900" s="1">
        <v>953.23</v>
      </c>
      <c r="N2900" s="1">
        <v>3812.9</v>
      </c>
      <c r="O2900" s="1" t="s">
        <v>64</v>
      </c>
      <c r="P2900" s="1" t="s">
        <v>3269</v>
      </c>
      <c r="Q2900" s="1">
        <v>4</v>
      </c>
      <c r="R2900" s="1">
        <f>Retail_Sales_Analyis[[#This Row],[Final_Price]]-Retail_Sales_Analyis[[#This Row],[Total_Price]]</f>
        <v>-953.23</v>
      </c>
      <c r="S29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01" spans="1:19" x14ac:dyDescent="0.25">
      <c r="A2901" s="1" t="s">
        <v>3994</v>
      </c>
      <c r="B2901" s="2">
        <v>45534</v>
      </c>
      <c r="C2901" s="1" t="s">
        <v>93</v>
      </c>
      <c r="D2901" s="1" t="s">
        <v>144</v>
      </c>
      <c r="E2901" s="1" t="s">
        <v>151</v>
      </c>
      <c r="F2901" s="1" t="s">
        <v>37</v>
      </c>
      <c r="G2901" s="1" t="s">
        <v>78</v>
      </c>
      <c r="H2901" s="1" t="s">
        <v>146</v>
      </c>
      <c r="I2901" s="1">
        <v>576.86</v>
      </c>
      <c r="J2901" s="1">
        <v>7</v>
      </c>
      <c r="K2901" s="1">
        <v>4038.02</v>
      </c>
      <c r="L2901" s="1">
        <v>0</v>
      </c>
      <c r="M2901" s="1">
        <v>0</v>
      </c>
      <c r="N2901" s="1">
        <v>4038.02</v>
      </c>
      <c r="O2901" s="1" t="s">
        <v>33</v>
      </c>
      <c r="P2901" s="1" t="s">
        <v>1611</v>
      </c>
      <c r="Q2901" s="1">
        <v>5</v>
      </c>
      <c r="R2901" s="1">
        <f>Retail_Sales_Analyis[[#This Row],[Final_Price]]-Retail_Sales_Analyis[[#This Row],[Total_Price]]</f>
        <v>0</v>
      </c>
      <c r="S29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2" spans="1:19" x14ac:dyDescent="0.25">
      <c r="A2902" s="1" t="s">
        <v>3995</v>
      </c>
      <c r="B2902" s="2">
        <v>45415</v>
      </c>
      <c r="C2902" s="1" t="s">
        <v>42</v>
      </c>
      <c r="D2902" s="1" t="s">
        <v>144</v>
      </c>
      <c r="E2902" s="1" t="s">
        <v>186</v>
      </c>
      <c r="F2902" s="1" t="s">
        <v>21</v>
      </c>
      <c r="G2902" s="1" t="s">
        <v>22</v>
      </c>
      <c r="H2902" s="1" t="s">
        <v>51</v>
      </c>
      <c r="I2902" s="1">
        <v>951.18</v>
      </c>
      <c r="J2902" s="1">
        <v>2</v>
      </c>
      <c r="K2902" s="1">
        <v>1902.36</v>
      </c>
      <c r="L2902" s="1">
        <v>0</v>
      </c>
      <c r="M2902" s="1">
        <v>0</v>
      </c>
      <c r="N2902" s="1">
        <v>1902.36</v>
      </c>
      <c r="O2902" s="1" t="s">
        <v>64</v>
      </c>
      <c r="P2902" s="1" t="s">
        <v>291</v>
      </c>
      <c r="Q2902" s="1">
        <v>2</v>
      </c>
      <c r="R2902" s="1">
        <f>Retail_Sales_Analyis[[#This Row],[Final_Price]]-Retail_Sales_Analyis[[#This Row],[Total_Price]]</f>
        <v>0</v>
      </c>
      <c r="S29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3" spans="1:19" x14ac:dyDescent="0.25">
      <c r="A2903" s="1" t="s">
        <v>3996</v>
      </c>
      <c r="B2903" s="2">
        <v>45407</v>
      </c>
      <c r="C2903" s="1" t="s">
        <v>54</v>
      </c>
      <c r="D2903" s="1" t="s">
        <v>67</v>
      </c>
      <c r="E2903" s="1" t="s">
        <v>542</v>
      </c>
      <c r="F2903" s="1" t="s">
        <v>84</v>
      </c>
      <c r="G2903" s="1" t="s">
        <v>38</v>
      </c>
      <c r="H2903" s="1" t="s">
        <v>214</v>
      </c>
      <c r="I2903" s="1">
        <v>325.58999999999997</v>
      </c>
      <c r="J2903" s="1">
        <v>3</v>
      </c>
      <c r="K2903" s="1">
        <v>976.77</v>
      </c>
      <c r="L2903" s="1">
        <v>20</v>
      </c>
      <c r="M2903" s="1">
        <v>195.35</v>
      </c>
      <c r="N2903" s="1">
        <v>781.42</v>
      </c>
      <c r="O2903" s="1" t="s">
        <v>33</v>
      </c>
      <c r="P2903" s="1" t="s">
        <v>1078</v>
      </c>
      <c r="Q2903" s="1">
        <v>1</v>
      </c>
      <c r="R2903" s="1">
        <f>Retail_Sales_Analyis[[#This Row],[Final_Price]]-Retail_Sales_Analyis[[#This Row],[Total_Price]]</f>
        <v>-195.35000000000002</v>
      </c>
      <c r="S29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04" spans="1:19" x14ac:dyDescent="0.25">
      <c r="A2904" s="1" t="s">
        <v>3997</v>
      </c>
      <c r="B2904" s="2">
        <v>45445</v>
      </c>
      <c r="C2904" s="1" t="s">
        <v>173</v>
      </c>
      <c r="D2904" s="1" t="s">
        <v>49</v>
      </c>
      <c r="E2904" s="1" t="s">
        <v>151</v>
      </c>
      <c r="F2904" s="1" t="s">
        <v>30</v>
      </c>
      <c r="G2904" s="1" t="s">
        <v>85</v>
      </c>
      <c r="H2904" s="1" t="s">
        <v>180</v>
      </c>
      <c r="I2904" s="1">
        <v>4240.05</v>
      </c>
      <c r="J2904" s="1">
        <v>5</v>
      </c>
      <c r="K2904" s="1">
        <v>21200.25</v>
      </c>
      <c r="L2904" s="1">
        <v>5</v>
      </c>
      <c r="M2904" s="1">
        <v>1060.01</v>
      </c>
      <c r="N2904" s="1">
        <v>20140.240000000002</v>
      </c>
      <c r="O2904" s="1" t="s">
        <v>46</v>
      </c>
      <c r="P2904" s="1" t="s">
        <v>1129</v>
      </c>
      <c r="Q2904" s="1">
        <v>4</v>
      </c>
      <c r="R2904" s="1">
        <f>Retail_Sales_Analyis[[#This Row],[Final_Price]]-Retail_Sales_Analyis[[#This Row],[Total_Price]]</f>
        <v>-1060.0099999999984</v>
      </c>
      <c r="S29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05" spans="1:19" x14ac:dyDescent="0.25">
      <c r="A2905" s="1" t="s">
        <v>3998</v>
      </c>
      <c r="B2905" s="2">
        <v>45654</v>
      </c>
      <c r="C2905" s="1" t="s">
        <v>73</v>
      </c>
      <c r="D2905" s="1" t="s">
        <v>19</v>
      </c>
      <c r="E2905" s="1" t="s">
        <v>322</v>
      </c>
      <c r="F2905" s="1" t="s">
        <v>84</v>
      </c>
      <c r="G2905" s="1" t="s">
        <v>78</v>
      </c>
      <c r="H2905" s="1" t="s">
        <v>146</v>
      </c>
      <c r="I2905" s="1">
        <v>231.39</v>
      </c>
      <c r="J2905" s="1">
        <v>6</v>
      </c>
      <c r="K2905" s="1">
        <v>1388.34</v>
      </c>
      <c r="L2905" s="1">
        <v>0</v>
      </c>
      <c r="M2905" s="1">
        <v>0</v>
      </c>
      <c r="N2905" s="1">
        <v>1388.34</v>
      </c>
      <c r="O2905" s="1" t="s">
        <v>46</v>
      </c>
      <c r="P2905" s="1" t="s">
        <v>547</v>
      </c>
      <c r="Q2905" s="1">
        <v>1</v>
      </c>
      <c r="R2905" s="1">
        <f>Retail_Sales_Analyis[[#This Row],[Final_Price]]-Retail_Sales_Analyis[[#This Row],[Total_Price]]</f>
        <v>0</v>
      </c>
      <c r="S29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6" spans="1:19" x14ac:dyDescent="0.25">
      <c r="A2906" s="1" t="s">
        <v>3999</v>
      </c>
      <c r="B2906" s="2">
        <v>45365</v>
      </c>
      <c r="C2906" s="1" t="s">
        <v>61</v>
      </c>
      <c r="D2906" s="1" t="s">
        <v>67</v>
      </c>
      <c r="E2906" s="1" t="s">
        <v>285</v>
      </c>
      <c r="F2906" s="1" t="s">
        <v>30</v>
      </c>
      <c r="G2906" s="1" t="s">
        <v>78</v>
      </c>
      <c r="H2906" s="1" t="s">
        <v>79</v>
      </c>
      <c r="I2906" s="1">
        <v>246.22</v>
      </c>
      <c r="J2906" s="1">
        <v>8</v>
      </c>
      <c r="K2906" s="1">
        <v>1969.76</v>
      </c>
      <c r="L2906" s="1">
        <v>0</v>
      </c>
      <c r="M2906" s="1">
        <v>0</v>
      </c>
      <c r="N2906" s="1">
        <v>1969.76</v>
      </c>
      <c r="O2906" s="1" t="s">
        <v>80</v>
      </c>
      <c r="P2906" s="1" t="s">
        <v>1937</v>
      </c>
      <c r="Q2906" s="1">
        <v>1</v>
      </c>
      <c r="R2906" s="1">
        <f>Retail_Sales_Analyis[[#This Row],[Final_Price]]-Retail_Sales_Analyis[[#This Row],[Total_Price]]</f>
        <v>0</v>
      </c>
      <c r="S29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7" spans="1:19" x14ac:dyDescent="0.25">
      <c r="A2907" s="1" t="s">
        <v>4000</v>
      </c>
      <c r="B2907" s="2">
        <v>45529</v>
      </c>
      <c r="C2907" s="1" t="s">
        <v>93</v>
      </c>
      <c r="D2907" s="1" t="s">
        <v>49</v>
      </c>
      <c r="E2907" s="1" t="s">
        <v>312</v>
      </c>
      <c r="F2907" s="1" t="s">
        <v>69</v>
      </c>
      <c r="G2907" s="1" t="s">
        <v>112</v>
      </c>
      <c r="H2907" s="1" t="s">
        <v>113</v>
      </c>
      <c r="I2907" s="1">
        <v>1328.93</v>
      </c>
      <c r="J2907" s="1">
        <v>9</v>
      </c>
      <c r="K2907" s="1">
        <v>11960.37</v>
      </c>
      <c r="L2907" s="1">
        <v>0</v>
      </c>
      <c r="M2907" s="1">
        <v>0</v>
      </c>
      <c r="N2907" s="1">
        <v>11960.37</v>
      </c>
      <c r="O2907" s="1" t="s">
        <v>80</v>
      </c>
      <c r="P2907" s="1" t="s">
        <v>880</v>
      </c>
      <c r="Q2907" s="1">
        <v>2</v>
      </c>
      <c r="R2907" s="1">
        <f>Retail_Sales_Analyis[[#This Row],[Final_Price]]-Retail_Sales_Analyis[[#This Row],[Total_Price]]</f>
        <v>0</v>
      </c>
      <c r="S29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08" spans="1:19" x14ac:dyDescent="0.25">
      <c r="A2908" s="1" t="s">
        <v>4001</v>
      </c>
      <c r="B2908" s="2">
        <v>45321</v>
      </c>
      <c r="C2908" s="1" t="s">
        <v>36</v>
      </c>
      <c r="D2908" s="1" t="s">
        <v>28</v>
      </c>
      <c r="E2908" s="1" t="s">
        <v>151</v>
      </c>
      <c r="F2908" s="1" t="s">
        <v>69</v>
      </c>
      <c r="G2908" s="1" t="s">
        <v>38</v>
      </c>
      <c r="H2908" s="1" t="s">
        <v>39</v>
      </c>
      <c r="I2908" s="1">
        <v>475.94</v>
      </c>
      <c r="J2908" s="1">
        <v>5</v>
      </c>
      <c r="K2908" s="1">
        <v>2379.6999999999998</v>
      </c>
      <c r="L2908" s="1">
        <v>20</v>
      </c>
      <c r="M2908" s="1">
        <v>475.94</v>
      </c>
      <c r="N2908" s="1">
        <v>1903.76</v>
      </c>
      <c r="O2908" s="1" t="s">
        <v>33</v>
      </c>
      <c r="P2908" s="1" t="s">
        <v>109</v>
      </c>
      <c r="Q2908" s="1">
        <v>1</v>
      </c>
      <c r="R2908" s="1">
        <f>Retail_Sales_Analyis[[#This Row],[Final_Price]]-Retail_Sales_Analyis[[#This Row],[Total_Price]]</f>
        <v>-475.93999999999983</v>
      </c>
      <c r="S29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09" spans="1:19" x14ac:dyDescent="0.25">
      <c r="A2909" s="1" t="s">
        <v>4002</v>
      </c>
      <c r="B2909" s="2">
        <v>45579</v>
      </c>
      <c r="C2909" s="1" t="s">
        <v>76</v>
      </c>
      <c r="D2909" s="1" t="s">
        <v>43</v>
      </c>
      <c r="E2909" s="1" t="s">
        <v>186</v>
      </c>
      <c r="F2909" s="1" t="s">
        <v>21</v>
      </c>
      <c r="G2909" s="1" t="s">
        <v>85</v>
      </c>
      <c r="H2909" s="1" t="s">
        <v>98</v>
      </c>
      <c r="I2909" s="1">
        <v>1111.6099999999999</v>
      </c>
      <c r="J2909" s="1">
        <v>2</v>
      </c>
      <c r="K2909" s="1">
        <v>2223.2199999999998</v>
      </c>
      <c r="L2909" s="1">
        <v>0</v>
      </c>
      <c r="M2909" s="1">
        <v>0</v>
      </c>
      <c r="N2909" s="1">
        <v>2223.2199999999998</v>
      </c>
      <c r="O2909" s="1" t="s">
        <v>80</v>
      </c>
      <c r="P2909" s="1" t="s">
        <v>487</v>
      </c>
      <c r="Q2909" s="1">
        <v>2</v>
      </c>
      <c r="R2909" s="1">
        <f>Retail_Sales_Analyis[[#This Row],[Final_Price]]-Retail_Sales_Analyis[[#This Row],[Total_Price]]</f>
        <v>0</v>
      </c>
      <c r="S29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10" spans="1:19" x14ac:dyDescent="0.25">
      <c r="A2910" s="1" t="s">
        <v>4003</v>
      </c>
      <c r="B2910" s="2">
        <v>45503</v>
      </c>
      <c r="C2910" s="1" t="s">
        <v>195</v>
      </c>
      <c r="D2910" s="1" t="s">
        <v>28</v>
      </c>
      <c r="E2910" s="1" t="s">
        <v>141</v>
      </c>
      <c r="F2910" s="1" t="s">
        <v>21</v>
      </c>
      <c r="G2910" s="1" t="s">
        <v>38</v>
      </c>
      <c r="H2910" s="1" t="s">
        <v>39</v>
      </c>
      <c r="I2910" s="1">
        <v>729.58</v>
      </c>
      <c r="J2910" s="1">
        <v>2</v>
      </c>
      <c r="K2910" s="1">
        <v>1459.16</v>
      </c>
      <c r="L2910" s="1">
        <v>0</v>
      </c>
      <c r="M2910" s="1">
        <v>0</v>
      </c>
      <c r="N2910" s="1">
        <v>1459.16</v>
      </c>
      <c r="O2910" s="1" t="s">
        <v>33</v>
      </c>
      <c r="P2910" s="1" t="s">
        <v>1955</v>
      </c>
      <c r="Q2910" s="1">
        <v>2</v>
      </c>
      <c r="R2910" s="1">
        <f>Retail_Sales_Analyis[[#This Row],[Final_Price]]-Retail_Sales_Analyis[[#This Row],[Total_Price]]</f>
        <v>0</v>
      </c>
      <c r="S29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11" spans="1:19" x14ac:dyDescent="0.25">
      <c r="A2911" s="1" t="s">
        <v>4004</v>
      </c>
      <c r="B2911" s="2">
        <v>45505</v>
      </c>
      <c r="C2911" s="1" t="s">
        <v>93</v>
      </c>
      <c r="D2911" s="1" t="s">
        <v>67</v>
      </c>
      <c r="E2911" s="1" t="s">
        <v>56</v>
      </c>
      <c r="F2911" s="1" t="s">
        <v>69</v>
      </c>
      <c r="G2911" s="1" t="s">
        <v>22</v>
      </c>
      <c r="H2911" s="1" t="s">
        <v>133</v>
      </c>
      <c r="I2911" s="1">
        <v>356.48</v>
      </c>
      <c r="J2911" s="1">
        <v>9</v>
      </c>
      <c r="K2911" s="1">
        <v>3208.32</v>
      </c>
      <c r="L2911" s="1">
        <v>5</v>
      </c>
      <c r="M2911" s="1">
        <v>160.41999999999999</v>
      </c>
      <c r="N2911" s="1">
        <v>3047.9</v>
      </c>
      <c r="O2911" s="1" t="s">
        <v>33</v>
      </c>
      <c r="P2911" s="1" t="s">
        <v>2718</v>
      </c>
      <c r="Q2911" s="1">
        <v>3</v>
      </c>
      <c r="R2911" s="1">
        <f>Retail_Sales_Analyis[[#This Row],[Final_Price]]-Retail_Sales_Analyis[[#This Row],[Total_Price]]</f>
        <v>-160.42000000000007</v>
      </c>
      <c r="S29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12" spans="1:19" x14ac:dyDescent="0.25">
      <c r="A2912" s="1" t="s">
        <v>4005</v>
      </c>
      <c r="B2912" s="2">
        <v>45577</v>
      </c>
      <c r="C2912" s="1" t="s">
        <v>76</v>
      </c>
      <c r="D2912" s="1" t="s">
        <v>19</v>
      </c>
      <c r="E2912" s="1" t="s">
        <v>29</v>
      </c>
      <c r="F2912" s="1" t="s">
        <v>69</v>
      </c>
      <c r="G2912" s="1" t="s">
        <v>112</v>
      </c>
      <c r="H2912" s="1" t="s">
        <v>288</v>
      </c>
      <c r="I2912" s="1">
        <v>1492.1</v>
      </c>
      <c r="J2912" s="1">
        <v>8</v>
      </c>
      <c r="K2912" s="1">
        <v>11936.8</v>
      </c>
      <c r="L2912" s="1">
        <v>5</v>
      </c>
      <c r="M2912" s="1">
        <v>596.84</v>
      </c>
      <c r="N2912" s="1">
        <v>11339.96</v>
      </c>
      <c r="O2912" s="1" t="s">
        <v>24</v>
      </c>
      <c r="P2912" s="1" t="s">
        <v>1129</v>
      </c>
      <c r="Q2912" s="1">
        <v>5</v>
      </c>
      <c r="R2912" s="1">
        <f>Retail_Sales_Analyis[[#This Row],[Final_Price]]-Retail_Sales_Analyis[[#This Row],[Total_Price]]</f>
        <v>-596.84000000000015</v>
      </c>
      <c r="S29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13" spans="1:19" x14ac:dyDescent="0.25">
      <c r="A2913" s="1" t="s">
        <v>4006</v>
      </c>
      <c r="B2913" s="2">
        <v>45563</v>
      </c>
      <c r="C2913" s="1" t="s">
        <v>116</v>
      </c>
      <c r="D2913" s="1" t="s">
        <v>19</v>
      </c>
      <c r="E2913" s="1" t="s">
        <v>328</v>
      </c>
      <c r="F2913" s="1" t="s">
        <v>69</v>
      </c>
      <c r="G2913" s="1" t="s">
        <v>85</v>
      </c>
      <c r="H2913" s="1" t="s">
        <v>90</v>
      </c>
      <c r="I2913" s="1">
        <v>2492.71</v>
      </c>
      <c r="J2913" s="1">
        <v>8</v>
      </c>
      <c r="K2913" s="1">
        <v>19941.68</v>
      </c>
      <c r="L2913" s="1">
        <v>5</v>
      </c>
      <c r="M2913" s="1">
        <v>997.08</v>
      </c>
      <c r="N2913" s="1">
        <v>18944.599999999999</v>
      </c>
      <c r="O2913" s="1" t="s">
        <v>33</v>
      </c>
      <c r="P2913" s="1" t="s">
        <v>1203</v>
      </c>
      <c r="Q2913" s="1">
        <v>1</v>
      </c>
      <c r="R2913" s="1">
        <f>Retail_Sales_Analyis[[#This Row],[Final_Price]]-Retail_Sales_Analyis[[#This Row],[Total_Price]]</f>
        <v>-997.08000000000175</v>
      </c>
      <c r="S29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14" spans="1:19" x14ac:dyDescent="0.25">
      <c r="A2914" s="1" t="s">
        <v>4007</v>
      </c>
      <c r="B2914" s="2">
        <v>45360</v>
      </c>
      <c r="C2914" s="1" t="s">
        <v>61</v>
      </c>
      <c r="D2914" s="1" t="s">
        <v>19</v>
      </c>
      <c r="E2914" s="1" t="s">
        <v>207</v>
      </c>
      <c r="F2914" s="1" t="s">
        <v>84</v>
      </c>
      <c r="G2914" s="1" t="s">
        <v>169</v>
      </c>
      <c r="H2914" s="1" t="s">
        <v>348</v>
      </c>
      <c r="I2914" s="1">
        <v>476.74</v>
      </c>
      <c r="J2914" s="1">
        <v>5</v>
      </c>
      <c r="K2914" s="1">
        <v>2383.6999999999998</v>
      </c>
      <c r="L2914" s="1">
        <v>10</v>
      </c>
      <c r="M2914" s="1">
        <v>238.37</v>
      </c>
      <c r="N2914" s="1">
        <v>2145.33</v>
      </c>
      <c r="O2914" s="1" t="s">
        <v>80</v>
      </c>
      <c r="P2914" s="1" t="s">
        <v>1892</v>
      </c>
      <c r="Q2914" s="1">
        <v>5</v>
      </c>
      <c r="R2914" s="1">
        <f>Retail_Sales_Analyis[[#This Row],[Final_Price]]-Retail_Sales_Analyis[[#This Row],[Total_Price]]</f>
        <v>-238.36999999999989</v>
      </c>
      <c r="S29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15" spans="1:19" x14ac:dyDescent="0.25">
      <c r="A2915" s="1" t="s">
        <v>4008</v>
      </c>
      <c r="B2915" s="2">
        <v>45490</v>
      </c>
      <c r="C2915" s="1" t="s">
        <v>195</v>
      </c>
      <c r="D2915" s="1" t="s">
        <v>55</v>
      </c>
      <c r="E2915" s="1" t="s">
        <v>104</v>
      </c>
      <c r="F2915" s="1" t="s">
        <v>21</v>
      </c>
      <c r="G2915" s="1" t="s">
        <v>38</v>
      </c>
      <c r="H2915" s="1" t="s">
        <v>39</v>
      </c>
      <c r="I2915" s="1">
        <v>450.7</v>
      </c>
      <c r="J2915" s="1">
        <v>10</v>
      </c>
      <c r="K2915" s="1">
        <v>4507</v>
      </c>
      <c r="L2915" s="1">
        <v>0</v>
      </c>
      <c r="M2915" s="1">
        <v>0</v>
      </c>
      <c r="N2915" s="1">
        <v>4507</v>
      </c>
      <c r="O2915" s="1" t="s">
        <v>24</v>
      </c>
      <c r="P2915" s="1" t="s">
        <v>1544</v>
      </c>
      <c r="Q2915" s="1">
        <v>2</v>
      </c>
      <c r="R2915" s="1">
        <f>Retail_Sales_Analyis[[#This Row],[Final_Price]]-Retail_Sales_Analyis[[#This Row],[Total_Price]]</f>
        <v>0</v>
      </c>
      <c r="S29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16" spans="1:19" x14ac:dyDescent="0.25">
      <c r="A2916" s="1" t="s">
        <v>4009</v>
      </c>
      <c r="B2916" s="2">
        <v>45416</v>
      </c>
      <c r="C2916" s="1" t="s">
        <v>42</v>
      </c>
      <c r="D2916" s="1" t="s">
        <v>19</v>
      </c>
      <c r="E2916" s="1" t="s">
        <v>351</v>
      </c>
      <c r="F2916" s="1" t="s">
        <v>37</v>
      </c>
      <c r="G2916" s="1" t="s">
        <v>38</v>
      </c>
      <c r="H2916" s="1" t="s">
        <v>422</v>
      </c>
      <c r="I2916" s="1">
        <v>657.09</v>
      </c>
      <c r="J2916" s="1">
        <v>5</v>
      </c>
      <c r="K2916" s="1">
        <v>3285.45</v>
      </c>
      <c r="L2916" s="1">
        <v>10</v>
      </c>
      <c r="M2916" s="1">
        <v>328.55</v>
      </c>
      <c r="N2916" s="1">
        <v>2956.9</v>
      </c>
      <c r="O2916" s="1" t="s">
        <v>33</v>
      </c>
      <c r="P2916" s="1" t="s">
        <v>3627</v>
      </c>
      <c r="Q2916" s="1">
        <v>4</v>
      </c>
      <c r="R2916" s="1">
        <f>Retail_Sales_Analyis[[#This Row],[Final_Price]]-Retail_Sales_Analyis[[#This Row],[Total_Price]]</f>
        <v>-328.54999999999973</v>
      </c>
      <c r="S29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17" spans="1:19" x14ac:dyDescent="0.25">
      <c r="A2917" s="1" t="s">
        <v>4010</v>
      </c>
      <c r="B2917" s="2">
        <v>45422</v>
      </c>
      <c r="C2917" s="1" t="s">
        <v>42</v>
      </c>
      <c r="D2917" s="1" t="s">
        <v>144</v>
      </c>
      <c r="E2917" s="1" t="s">
        <v>151</v>
      </c>
      <c r="F2917" s="1" t="s">
        <v>84</v>
      </c>
      <c r="G2917" s="1" t="s">
        <v>169</v>
      </c>
      <c r="H2917" s="1" t="s">
        <v>348</v>
      </c>
      <c r="I2917" s="1">
        <v>344.41</v>
      </c>
      <c r="J2917" s="1">
        <v>4</v>
      </c>
      <c r="K2917" s="1">
        <v>1377.64</v>
      </c>
      <c r="L2917" s="1">
        <v>10</v>
      </c>
      <c r="M2917" s="1">
        <v>137.76</v>
      </c>
      <c r="N2917" s="1">
        <v>1239.8800000000001</v>
      </c>
      <c r="O2917" s="1" t="s">
        <v>24</v>
      </c>
      <c r="P2917" s="1" t="s">
        <v>1395</v>
      </c>
      <c r="Q2917" s="1">
        <v>4</v>
      </c>
      <c r="R2917" s="1">
        <f>Retail_Sales_Analyis[[#This Row],[Final_Price]]-Retail_Sales_Analyis[[#This Row],[Total_Price]]</f>
        <v>-137.76</v>
      </c>
      <c r="S29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18" spans="1:19" x14ac:dyDescent="0.25">
      <c r="A2918" s="1" t="s">
        <v>4011</v>
      </c>
      <c r="B2918" s="2">
        <v>45396</v>
      </c>
      <c r="C2918" s="1" t="s">
        <v>54</v>
      </c>
      <c r="D2918" s="1" t="s">
        <v>49</v>
      </c>
      <c r="E2918" s="1" t="s">
        <v>312</v>
      </c>
      <c r="F2918" s="1" t="s">
        <v>37</v>
      </c>
      <c r="G2918" s="1" t="s">
        <v>31</v>
      </c>
      <c r="H2918" s="1" t="s">
        <v>329</v>
      </c>
      <c r="I2918" s="1">
        <v>153.26</v>
      </c>
      <c r="J2918" s="1">
        <v>3</v>
      </c>
      <c r="K2918" s="1">
        <v>459.78</v>
      </c>
      <c r="L2918" s="1">
        <v>0</v>
      </c>
      <c r="M2918" s="1">
        <v>0</v>
      </c>
      <c r="N2918" s="1">
        <v>459.78</v>
      </c>
      <c r="O2918" s="1" t="s">
        <v>24</v>
      </c>
      <c r="P2918" s="1" t="s">
        <v>757</v>
      </c>
      <c r="Q2918" s="1">
        <v>5</v>
      </c>
      <c r="R2918" s="1">
        <f>Retail_Sales_Analyis[[#This Row],[Final_Price]]-Retail_Sales_Analyis[[#This Row],[Total_Price]]</f>
        <v>0</v>
      </c>
      <c r="S29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19" spans="1:19" x14ac:dyDescent="0.25">
      <c r="A2919" s="1" t="s">
        <v>4012</v>
      </c>
      <c r="B2919" s="2">
        <v>45461</v>
      </c>
      <c r="C2919" s="1" t="s">
        <v>173</v>
      </c>
      <c r="D2919" s="1" t="s">
        <v>28</v>
      </c>
      <c r="E2919" s="1" t="s">
        <v>107</v>
      </c>
      <c r="F2919" s="1" t="s">
        <v>84</v>
      </c>
      <c r="G2919" s="1" t="s">
        <v>169</v>
      </c>
      <c r="H2919" s="1" t="s">
        <v>175</v>
      </c>
      <c r="I2919" s="1">
        <v>970.38</v>
      </c>
      <c r="J2919" s="1">
        <v>2</v>
      </c>
      <c r="K2919" s="1">
        <v>1940.76</v>
      </c>
      <c r="L2919" s="1">
        <v>0</v>
      </c>
      <c r="M2919" s="1">
        <v>0</v>
      </c>
      <c r="N2919" s="1">
        <v>1940.76</v>
      </c>
      <c r="O2919" s="1" t="s">
        <v>33</v>
      </c>
      <c r="P2919" s="1" t="s">
        <v>1407</v>
      </c>
      <c r="Q2919" s="1">
        <v>5</v>
      </c>
      <c r="R2919" s="1">
        <f>Retail_Sales_Analyis[[#This Row],[Final_Price]]-Retail_Sales_Analyis[[#This Row],[Total_Price]]</f>
        <v>0</v>
      </c>
      <c r="S29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0" spans="1:19" x14ac:dyDescent="0.25">
      <c r="A2920" s="1" t="s">
        <v>4013</v>
      </c>
      <c r="B2920" s="2">
        <v>45623</v>
      </c>
      <c r="C2920" s="1" t="s">
        <v>18</v>
      </c>
      <c r="D2920" s="1" t="s">
        <v>55</v>
      </c>
      <c r="E2920" s="1" t="s">
        <v>192</v>
      </c>
      <c r="F2920" s="1" t="s">
        <v>84</v>
      </c>
      <c r="G2920" s="1" t="s">
        <v>31</v>
      </c>
      <c r="H2920" s="1" t="s">
        <v>329</v>
      </c>
      <c r="I2920" s="1">
        <v>258.07</v>
      </c>
      <c r="J2920" s="1">
        <v>3</v>
      </c>
      <c r="K2920" s="1">
        <v>774.21</v>
      </c>
      <c r="L2920" s="1">
        <v>0</v>
      </c>
      <c r="M2920" s="1">
        <v>0</v>
      </c>
      <c r="N2920" s="1">
        <v>774.21</v>
      </c>
      <c r="O2920" s="1" t="s">
        <v>46</v>
      </c>
      <c r="P2920" s="1" t="s">
        <v>1491</v>
      </c>
      <c r="Q2920" s="1">
        <v>2</v>
      </c>
      <c r="R2920" s="1">
        <f>Retail_Sales_Analyis[[#This Row],[Final_Price]]-Retail_Sales_Analyis[[#This Row],[Total_Price]]</f>
        <v>0</v>
      </c>
      <c r="S29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1" spans="1:19" x14ac:dyDescent="0.25">
      <c r="A2921" s="1" t="s">
        <v>4014</v>
      </c>
      <c r="B2921" s="2">
        <v>45332</v>
      </c>
      <c r="C2921" s="1" t="s">
        <v>27</v>
      </c>
      <c r="D2921" s="1" t="s">
        <v>19</v>
      </c>
      <c r="E2921" s="1" t="s">
        <v>68</v>
      </c>
      <c r="F2921" s="1" t="s">
        <v>21</v>
      </c>
      <c r="G2921" s="1" t="s">
        <v>22</v>
      </c>
      <c r="H2921" s="1" t="s">
        <v>23</v>
      </c>
      <c r="I2921" s="1">
        <v>824.77</v>
      </c>
      <c r="J2921" s="1">
        <v>6</v>
      </c>
      <c r="K2921" s="1">
        <v>4948.62</v>
      </c>
      <c r="L2921" s="1">
        <v>0</v>
      </c>
      <c r="M2921" s="1">
        <v>0</v>
      </c>
      <c r="N2921" s="1">
        <v>4948.62</v>
      </c>
      <c r="O2921" s="1" t="s">
        <v>33</v>
      </c>
      <c r="P2921" s="1" t="s">
        <v>653</v>
      </c>
      <c r="Q2921" s="1">
        <v>1</v>
      </c>
      <c r="R2921" s="1">
        <f>Retail_Sales_Analyis[[#This Row],[Final_Price]]-Retail_Sales_Analyis[[#This Row],[Total_Price]]</f>
        <v>0</v>
      </c>
      <c r="S29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2" spans="1:19" x14ac:dyDescent="0.25">
      <c r="A2922" s="1" t="s">
        <v>4015</v>
      </c>
      <c r="B2922" s="2">
        <v>45522</v>
      </c>
      <c r="C2922" s="1" t="s">
        <v>93</v>
      </c>
      <c r="D2922" s="1" t="s">
        <v>49</v>
      </c>
      <c r="E2922" s="1" t="s">
        <v>307</v>
      </c>
      <c r="F2922" s="1" t="s">
        <v>30</v>
      </c>
      <c r="G2922" s="1" t="s">
        <v>22</v>
      </c>
      <c r="H2922" s="1" t="s">
        <v>187</v>
      </c>
      <c r="I2922" s="1">
        <v>787.98</v>
      </c>
      <c r="J2922" s="1">
        <v>1</v>
      </c>
      <c r="K2922" s="1">
        <v>787.98</v>
      </c>
      <c r="L2922" s="1">
        <v>10</v>
      </c>
      <c r="M2922" s="1">
        <v>78.8</v>
      </c>
      <c r="N2922" s="1">
        <v>709.18</v>
      </c>
      <c r="O2922" s="1" t="s">
        <v>80</v>
      </c>
      <c r="P2922" s="1" t="s">
        <v>1251</v>
      </c>
      <c r="Q2922" s="1">
        <v>4</v>
      </c>
      <c r="R2922" s="1">
        <f>Retail_Sales_Analyis[[#This Row],[Final_Price]]-Retail_Sales_Analyis[[#This Row],[Total_Price]]</f>
        <v>-78.800000000000068</v>
      </c>
      <c r="S29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23" spans="1:19" x14ac:dyDescent="0.25">
      <c r="A2923" s="1" t="s">
        <v>4016</v>
      </c>
      <c r="B2923" s="2">
        <v>45481</v>
      </c>
      <c r="C2923" s="1" t="s">
        <v>195</v>
      </c>
      <c r="D2923" s="1" t="s">
        <v>43</v>
      </c>
      <c r="E2923" s="1" t="s">
        <v>141</v>
      </c>
      <c r="F2923" s="1" t="s">
        <v>21</v>
      </c>
      <c r="G2923" s="1" t="s">
        <v>112</v>
      </c>
      <c r="H2923" s="1" t="s">
        <v>113</v>
      </c>
      <c r="I2923" s="1">
        <v>1797.26</v>
      </c>
      <c r="J2923" s="1">
        <v>10</v>
      </c>
      <c r="K2923" s="1">
        <v>17972.599999999999</v>
      </c>
      <c r="L2923" s="1">
        <v>0</v>
      </c>
      <c r="M2923" s="1">
        <v>0</v>
      </c>
      <c r="N2923" s="1">
        <v>17972.599999999999</v>
      </c>
      <c r="O2923" s="1" t="s">
        <v>64</v>
      </c>
      <c r="P2923" s="1" t="s">
        <v>720</v>
      </c>
      <c r="Q2923" s="1">
        <v>3</v>
      </c>
      <c r="R2923" s="1">
        <f>Retail_Sales_Analyis[[#This Row],[Final_Price]]-Retail_Sales_Analyis[[#This Row],[Total_Price]]</f>
        <v>0</v>
      </c>
      <c r="S29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4" spans="1:19" x14ac:dyDescent="0.25">
      <c r="A2924" s="1" t="s">
        <v>4017</v>
      </c>
      <c r="B2924" s="2">
        <v>45339</v>
      </c>
      <c r="C2924" s="1" t="s">
        <v>27</v>
      </c>
      <c r="D2924" s="1" t="s">
        <v>19</v>
      </c>
      <c r="E2924" s="1" t="s">
        <v>261</v>
      </c>
      <c r="F2924" s="1" t="s">
        <v>30</v>
      </c>
      <c r="G2924" s="1" t="s">
        <v>38</v>
      </c>
      <c r="H2924" s="1" t="s">
        <v>214</v>
      </c>
      <c r="I2924" s="1">
        <v>577.71</v>
      </c>
      <c r="J2924" s="1">
        <v>10</v>
      </c>
      <c r="K2924" s="1">
        <v>5777.1</v>
      </c>
      <c r="L2924" s="1">
        <v>15</v>
      </c>
      <c r="M2924" s="1">
        <v>866.57</v>
      </c>
      <c r="N2924" s="1">
        <v>4910.53</v>
      </c>
      <c r="O2924" s="1" t="s">
        <v>24</v>
      </c>
      <c r="P2924" s="1" t="s">
        <v>240</v>
      </c>
      <c r="Q2924" s="1">
        <v>1</v>
      </c>
      <c r="R2924" s="1">
        <f>Retail_Sales_Analyis[[#This Row],[Final_Price]]-Retail_Sales_Analyis[[#This Row],[Total_Price]]</f>
        <v>-866.57000000000062</v>
      </c>
      <c r="S29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25" spans="1:19" x14ac:dyDescent="0.25">
      <c r="A2925" s="1" t="s">
        <v>4018</v>
      </c>
      <c r="B2925" s="2">
        <v>45566</v>
      </c>
      <c r="C2925" s="1" t="s">
        <v>76</v>
      </c>
      <c r="D2925" s="1" t="s">
        <v>28</v>
      </c>
      <c r="E2925" s="1" t="s">
        <v>121</v>
      </c>
      <c r="F2925" s="1" t="s">
        <v>84</v>
      </c>
      <c r="G2925" s="1" t="s">
        <v>57</v>
      </c>
      <c r="H2925" s="1" t="s">
        <v>158</v>
      </c>
      <c r="I2925" s="1">
        <v>2583.59</v>
      </c>
      <c r="J2925" s="1">
        <v>8</v>
      </c>
      <c r="K2925" s="1">
        <v>20668.72</v>
      </c>
      <c r="L2925" s="1">
        <v>0</v>
      </c>
      <c r="M2925" s="1">
        <v>0</v>
      </c>
      <c r="N2925" s="1">
        <v>20668.72</v>
      </c>
      <c r="O2925" s="1" t="s">
        <v>46</v>
      </c>
      <c r="P2925" s="1" t="s">
        <v>3787</v>
      </c>
      <c r="Q2925" s="1">
        <v>3</v>
      </c>
      <c r="R2925" s="1">
        <f>Retail_Sales_Analyis[[#This Row],[Final_Price]]-Retail_Sales_Analyis[[#This Row],[Total_Price]]</f>
        <v>0</v>
      </c>
      <c r="S29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6" spans="1:19" x14ac:dyDescent="0.25">
      <c r="A2926" s="1" t="s">
        <v>4019</v>
      </c>
      <c r="B2926" s="2">
        <v>45389</v>
      </c>
      <c r="C2926" s="1" t="s">
        <v>54</v>
      </c>
      <c r="D2926" s="1" t="s">
        <v>49</v>
      </c>
      <c r="E2926" s="1" t="s">
        <v>111</v>
      </c>
      <c r="F2926" s="1" t="s">
        <v>37</v>
      </c>
      <c r="G2926" s="1" t="s">
        <v>78</v>
      </c>
      <c r="H2926" s="1" t="s">
        <v>79</v>
      </c>
      <c r="I2926" s="1">
        <v>161.69999999999999</v>
      </c>
      <c r="J2926" s="1">
        <v>3</v>
      </c>
      <c r="K2926" s="1">
        <v>485.1</v>
      </c>
      <c r="L2926" s="1">
        <v>15</v>
      </c>
      <c r="M2926" s="1">
        <v>72.77</v>
      </c>
      <c r="N2926" s="1">
        <v>412.33</v>
      </c>
      <c r="O2926" s="1" t="s">
        <v>24</v>
      </c>
      <c r="P2926" s="1" t="s">
        <v>3093</v>
      </c>
      <c r="Q2926" s="1">
        <v>3</v>
      </c>
      <c r="R2926" s="1">
        <f>Retail_Sales_Analyis[[#This Row],[Final_Price]]-Retail_Sales_Analyis[[#This Row],[Total_Price]]</f>
        <v>-72.770000000000039</v>
      </c>
      <c r="S29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27" spans="1:19" x14ac:dyDescent="0.25">
      <c r="A2927" s="1" t="s">
        <v>4020</v>
      </c>
      <c r="B2927" s="2">
        <v>45318</v>
      </c>
      <c r="C2927" s="1" t="s">
        <v>36</v>
      </c>
      <c r="D2927" s="1" t="s">
        <v>19</v>
      </c>
      <c r="E2927" s="1" t="s">
        <v>97</v>
      </c>
      <c r="F2927" s="1" t="s">
        <v>69</v>
      </c>
      <c r="G2927" s="1" t="s">
        <v>57</v>
      </c>
      <c r="H2927" s="1" t="s">
        <v>101</v>
      </c>
      <c r="I2927" s="1">
        <v>442.99</v>
      </c>
      <c r="J2927" s="1">
        <v>6</v>
      </c>
      <c r="K2927" s="1">
        <v>2657.94</v>
      </c>
      <c r="L2927" s="1">
        <v>0</v>
      </c>
      <c r="M2927" s="1">
        <v>0</v>
      </c>
      <c r="N2927" s="1">
        <v>2657.94</v>
      </c>
      <c r="O2927" s="1" t="s">
        <v>80</v>
      </c>
      <c r="P2927" s="1" t="s">
        <v>2133</v>
      </c>
      <c r="Q2927" s="1">
        <v>5</v>
      </c>
      <c r="R2927" s="1">
        <f>Retail_Sales_Analyis[[#This Row],[Final_Price]]-Retail_Sales_Analyis[[#This Row],[Total_Price]]</f>
        <v>0</v>
      </c>
      <c r="S29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28" spans="1:19" x14ac:dyDescent="0.25">
      <c r="A2928" s="1" t="s">
        <v>4021</v>
      </c>
      <c r="B2928" s="2">
        <v>45429</v>
      </c>
      <c r="C2928" s="1" t="s">
        <v>42</v>
      </c>
      <c r="D2928" s="1" t="s">
        <v>144</v>
      </c>
      <c r="E2928" s="1" t="s">
        <v>44</v>
      </c>
      <c r="F2928" s="1" t="s">
        <v>37</v>
      </c>
      <c r="G2928" s="1" t="s">
        <v>112</v>
      </c>
      <c r="H2928" s="1" t="s">
        <v>113</v>
      </c>
      <c r="I2928" s="1">
        <v>1008.31</v>
      </c>
      <c r="J2928" s="1">
        <v>10</v>
      </c>
      <c r="K2928" s="1">
        <v>10083.1</v>
      </c>
      <c r="L2928" s="1">
        <v>5</v>
      </c>
      <c r="M2928" s="1">
        <v>504.16</v>
      </c>
      <c r="N2928" s="1">
        <v>9578.94</v>
      </c>
      <c r="O2928" s="1" t="s">
        <v>24</v>
      </c>
      <c r="P2928" s="1" t="s">
        <v>2760</v>
      </c>
      <c r="Q2928" s="1">
        <v>4</v>
      </c>
      <c r="R2928" s="1">
        <f>Retail_Sales_Analyis[[#This Row],[Final_Price]]-Retail_Sales_Analyis[[#This Row],[Total_Price]]</f>
        <v>-504.15999999999985</v>
      </c>
      <c r="S29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29" spans="1:19" x14ac:dyDescent="0.25">
      <c r="A2929" s="1" t="s">
        <v>4022</v>
      </c>
      <c r="B2929" s="2">
        <v>45485</v>
      </c>
      <c r="C2929" s="1" t="s">
        <v>195</v>
      </c>
      <c r="D2929" s="1" t="s">
        <v>144</v>
      </c>
      <c r="E2929" s="1" t="s">
        <v>111</v>
      </c>
      <c r="F2929" s="1" t="s">
        <v>84</v>
      </c>
      <c r="G2929" s="1" t="s">
        <v>31</v>
      </c>
      <c r="H2929" s="1" t="s">
        <v>329</v>
      </c>
      <c r="I2929" s="1">
        <v>136.51</v>
      </c>
      <c r="J2929" s="1">
        <v>6</v>
      </c>
      <c r="K2929" s="1">
        <v>819.06</v>
      </c>
      <c r="L2929" s="1">
        <v>5</v>
      </c>
      <c r="M2929" s="1">
        <v>40.950000000000003</v>
      </c>
      <c r="N2929" s="1">
        <v>778.11</v>
      </c>
      <c r="O2929" s="1" t="s">
        <v>80</v>
      </c>
      <c r="P2929" s="1" t="s">
        <v>469</v>
      </c>
      <c r="Q2929" s="1">
        <v>4</v>
      </c>
      <c r="R2929" s="1">
        <f>Retail_Sales_Analyis[[#This Row],[Final_Price]]-Retail_Sales_Analyis[[#This Row],[Total_Price]]</f>
        <v>-40.949999999999932</v>
      </c>
      <c r="S29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30" spans="1:19" x14ac:dyDescent="0.25">
      <c r="A2930" s="1" t="s">
        <v>4023</v>
      </c>
      <c r="B2930" s="2">
        <v>45636</v>
      </c>
      <c r="C2930" s="1" t="s">
        <v>73</v>
      </c>
      <c r="D2930" s="1" t="s">
        <v>28</v>
      </c>
      <c r="E2930" s="1" t="s">
        <v>207</v>
      </c>
      <c r="F2930" s="1" t="s">
        <v>30</v>
      </c>
      <c r="G2930" s="1" t="s">
        <v>169</v>
      </c>
      <c r="H2930" s="1" t="s">
        <v>366</v>
      </c>
      <c r="I2930" s="1">
        <v>604.38</v>
      </c>
      <c r="J2930" s="1">
        <v>7</v>
      </c>
      <c r="K2930" s="1">
        <v>4230.66</v>
      </c>
      <c r="L2930" s="1">
        <v>0</v>
      </c>
      <c r="M2930" s="1">
        <v>0</v>
      </c>
      <c r="N2930" s="1">
        <v>4230.66</v>
      </c>
      <c r="O2930" s="1" t="s">
        <v>46</v>
      </c>
      <c r="P2930" s="1" t="s">
        <v>984</v>
      </c>
      <c r="Q2930" s="1">
        <v>1</v>
      </c>
      <c r="R2930" s="1">
        <f>Retail_Sales_Analyis[[#This Row],[Final_Price]]-Retail_Sales_Analyis[[#This Row],[Total_Price]]</f>
        <v>0</v>
      </c>
      <c r="S29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31" spans="1:19" x14ac:dyDescent="0.25">
      <c r="A2931" s="1" t="s">
        <v>4024</v>
      </c>
      <c r="B2931" s="2">
        <v>45601</v>
      </c>
      <c r="C2931" s="1" t="s">
        <v>18</v>
      </c>
      <c r="D2931" s="1" t="s">
        <v>28</v>
      </c>
      <c r="E2931" s="1" t="s">
        <v>163</v>
      </c>
      <c r="F2931" s="1" t="s">
        <v>30</v>
      </c>
      <c r="G2931" s="1" t="s">
        <v>57</v>
      </c>
      <c r="H2931" s="1" t="s">
        <v>122</v>
      </c>
      <c r="I2931" s="1">
        <v>1853.67</v>
      </c>
      <c r="J2931" s="1">
        <v>4</v>
      </c>
      <c r="K2931" s="1">
        <v>7414.68</v>
      </c>
      <c r="L2931" s="1">
        <v>0</v>
      </c>
      <c r="M2931" s="1">
        <v>0</v>
      </c>
      <c r="N2931" s="1">
        <v>7414.68</v>
      </c>
      <c r="O2931" s="1" t="s">
        <v>33</v>
      </c>
      <c r="P2931" s="1" t="s">
        <v>532</v>
      </c>
      <c r="Q2931" s="1">
        <v>4</v>
      </c>
      <c r="R2931" s="1">
        <f>Retail_Sales_Analyis[[#This Row],[Final_Price]]-Retail_Sales_Analyis[[#This Row],[Total_Price]]</f>
        <v>0</v>
      </c>
      <c r="S29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32" spans="1:19" x14ac:dyDescent="0.25">
      <c r="A2932" s="1" t="s">
        <v>4025</v>
      </c>
      <c r="B2932" s="2">
        <v>45600</v>
      </c>
      <c r="C2932" s="1" t="s">
        <v>18</v>
      </c>
      <c r="D2932" s="1" t="s">
        <v>43</v>
      </c>
      <c r="E2932" s="1" t="s">
        <v>121</v>
      </c>
      <c r="F2932" s="1" t="s">
        <v>30</v>
      </c>
      <c r="G2932" s="1" t="s">
        <v>31</v>
      </c>
      <c r="H2932" s="1" t="s">
        <v>32</v>
      </c>
      <c r="I2932" s="1">
        <v>255.88</v>
      </c>
      <c r="J2932" s="1">
        <v>7</v>
      </c>
      <c r="K2932" s="1">
        <v>1791.16</v>
      </c>
      <c r="L2932" s="1">
        <v>20</v>
      </c>
      <c r="M2932" s="1">
        <v>358.23</v>
      </c>
      <c r="N2932" s="1">
        <v>1432.93</v>
      </c>
      <c r="O2932" s="1" t="s">
        <v>24</v>
      </c>
      <c r="P2932" s="1" t="s">
        <v>1535</v>
      </c>
      <c r="Q2932" s="1">
        <v>1</v>
      </c>
      <c r="R2932" s="1">
        <f>Retail_Sales_Analyis[[#This Row],[Final_Price]]-Retail_Sales_Analyis[[#This Row],[Total_Price]]</f>
        <v>-358.23</v>
      </c>
      <c r="S29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33" spans="1:19" x14ac:dyDescent="0.25">
      <c r="A2933" s="1" t="s">
        <v>4026</v>
      </c>
      <c r="B2933" s="2">
        <v>45312</v>
      </c>
      <c r="C2933" s="1" t="s">
        <v>36</v>
      </c>
      <c r="D2933" s="1" t="s">
        <v>49</v>
      </c>
      <c r="E2933" s="1" t="s">
        <v>239</v>
      </c>
      <c r="F2933" s="1" t="s">
        <v>69</v>
      </c>
      <c r="G2933" s="1" t="s">
        <v>38</v>
      </c>
      <c r="H2933" s="1" t="s">
        <v>422</v>
      </c>
      <c r="I2933" s="1">
        <v>759.22</v>
      </c>
      <c r="J2933" s="1">
        <v>10</v>
      </c>
      <c r="K2933" s="1">
        <v>7592.2</v>
      </c>
      <c r="L2933" s="1">
        <v>20</v>
      </c>
      <c r="M2933" s="1">
        <v>1518.44</v>
      </c>
      <c r="N2933" s="1">
        <v>6073.76</v>
      </c>
      <c r="O2933" s="1" t="s">
        <v>33</v>
      </c>
      <c r="P2933" s="1" t="s">
        <v>1652</v>
      </c>
      <c r="Q2933" s="1">
        <v>2</v>
      </c>
      <c r="R2933" s="1">
        <f>Retail_Sales_Analyis[[#This Row],[Final_Price]]-Retail_Sales_Analyis[[#This Row],[Total_Price]]</f>
        <v>-1518.4399999999996</v>
      </c>
      <c r="S29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34" spans="1:19" x14ac:dyDescent="0.25">
      <c r="A2934" s="1" t="s">
        <v>4027</v>
      </c>
      <c r="B2934" s="2">
        <v>45329</v>
      </c>
      <c r="C2934" s="1" t="s">
        <v>27</v>
      </c>
      <c r="D2934" s="1" t="s">
        <v>55</v>
      </c>
      <c r="E2934" s="1" t="s">
        <v>117</v>
      </c>
      <c r="F2934" s="1" t="s">
        <v>69</v>
      </c>
      <c r="G2934" s="1" t="s">
        <v>57</v>
      </c>
      <c r="H2934" s="1" t="s">
        <v>152</v>
      </c>
      <c r="I2934" s="1">
        <v>837.41</v>
      </c>
      <c r="J2934" s="1">
        <v>3</v>
      </c>
      <c r="K2934" s="1">
        <v>2512.23</v>
      </c>
      <c r="L2934" s="1">
        <v>0</v>
      </c>
      <c r="M2934" s="1">
        <v>0</v>
      </c>
      <c r="N2934" s="1">
        <v>2512.23</v>
      </c>
      <c r="O2934" s="1" t="s">
        <v>80</v>
      </c>
      <c r="P2934" s="1" t="s">
        <v>1134</v>
      </c>
      <c r="Q2934" s="1">
        <v>4</v>
      </c>
      <c r="R2934" s="1">
        <f>Retail_Sales_Analyis[[#This Row],[Final_Price]]-Retail_Sales_Analyis[[#This Row],[Total_Price]]</f>
        <v>0</v>
      </c>
      <c r="S29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35" spans="1:19" x14ac:dyDescent="0.25">
      <c r="A2935" s="1" t="s">
        <v>4028</v>
      </c>
      <c r="B2935" s="2">
        <v>45388</v>
      </c>
      <c r="C2935" s="1" t="s">
        <v>54</v>
      </c>
      <c r="D2935" s="1" t="s">
        <v>19</v>
      </c>
      <c r="E2935" s="1" t="s">
        <v>141</v>
      </c>
      <c r="F2935" s="1" t="s">
        <v>30</v>
      </c>
      <c r="G2935" s="1" t="s">
        <v>31</v>
      </c>
      <c r="H2935" s="1" t="s">
        <v>63</v>
      </c>
      <c r="I2935" s="1">
        <v>497.55</v>
      </c>
      <c r="J2935" s="1">
        <v>6</v>
      </c>
      <c r="K2935" s="1">
        <v>2985.3</v>
      </c>
      <c r="L2935" s="1">
        <v>0</v>
      </c>
      <c r="M2935" s="1">
        <v>0</v>
      </c>
      <c r="N2935" s="1">
        <v>2985.3</v>
      </c>
      <c r="O2935" s="1" t="s">
        <v>24</v>
      </c>
      <c r="P2935" s="1" t="s">
        <v>286</v>
      </c>
      <c r="Q2935" s="1">
        <v>3</v>
      </c>
      <c r="R2935" s="1">
        <f>Retail_Sales_Analyis[[#This Row],[Final_Price]]-Retail_Sales_Analyis[[#This Row],[Total_Price]]</f>
        <v>0</v>
      </c>
      <c r="S29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36" spans="1:19" x14ac:dyDescent="0.25">
      <c r="A2936" s="1" t="s">
        <v>4029</v>
      </c>
      <c r="B2936" s="2">
        <v>45592</v>
      </c>
      <c r="C2936" s="1" t="s">
        <v>76</v>
      </c>
      <c r="D2936" s="1" t="s">
        <v>49</v>
      </c>
      <c r="E2936" s="1" t="s">
        <v>141</v>
      </c>
      <c r="F2936" s="1" t="s">
        <v>37</v>
      </c>
      <c r="G2936" s="1" t="s">
        <v>112</v>
      </c>
      <c r="H2936" s="1" t="s">
        <v>183</v>
      </c>
      <c r="I2936" s="1">
        <v>955.21</v>
      </c>
      <c r="J2936" s="1">
        <v>8</v>
      </c>
      <c r="K2936" s="1">
        <v>7641.68</v>
      </c>
      <c r="L2936" s="1">
        <v>15</v>
      </c>
      <c r="M2936" s="1">
        <v>1146.25</v>
      </c>
      <c r="N2936" s="1">
        <v>6495.43</v>
      </c>
      <c r="O2936" s="1" t="s">
        <v>64</v>
      </c>
      <c r="P2936" s="1" t="s">
        <v>2748</v>
      </c>
      <c r="Q2936" s="1">
        <v>1</v>
      </c>
      <c r="R2936" s="1">
        <f>Retail_Sales_Analyis[[#This Row],[Final_Price]]-Retail_Sales_Analyis[[#This Row],[Total_Price]]</f>
        <v>-1146.25</v>
      </c>
      <c r="S29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37" spans="1:19" x14ac:dyDescent="0.25">
      <c r="A2937" s="1" t="s">
        <v>4030</v>
      </c>
      <c r="B2937" s="2">
        <v>45635</v>
      </c>
      <c r="C2937" s="1" t="s">
        <v>73</v>
      </c>
      <c r="D2937" s="1" t="s">
        <v>43</v>
      </c>
      <c r="E2937" s="1" t="s">
        <v>56</v>
      </c>
      <c r="F2937" s="1" t="s">
        <v>84</v>
      </c>
      <c r="G2937" s="1" t="s">
        <v>22</v>
      </c>
      <c r="H2937" s="1" t="s">
        <v>133</v>
      </c>
      <c r="I2937" s="1">
        <v>885.16</v>
      </c>
      <c r="J2937" s="1">
        <v>5</v>
      </c>
      <c r="K2937" s="1">
        <v>4425.8</v>
      </c>
      <c r="L2937" s="1">
        <v>0</v>
      </c>
      <c r="M2937" s="1">
        <v>0</v>
      </c>
      <c r="N2937" s="1">
        <v>4425.8</v>
      </c>
      <c r="O2937" s="1" t="s">
        <v>33</v>
      </c>
      <c r="P2937" s="1" t="s">
        <v>1851</v>
      </c>
      <c r="Q2937" s="1">
        <v>1</v>
      </c>
      <c r="R2937" s="1">
        <f>Retail_Sales_Analyis[[#This Row],[Final_Price]]-Retail_Sales_Analyis[[#This Row],[Total_Price]]</f>
        <v>0</v>
      </c>
      <c r="S29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38" spans="1:19" x14ac:dyDescent="0.25">
      <c r="A2938" s="1" t="s">
        <v>4031</v>
      </c>
      <c r="B2938" s="2">
        <v>45578</v>
      </c>
      <c r="C2938" s="1" t="s">
        <v>76</v>
      </c>
      <c r="D2938" s="1" t="s">
        <v>49</v>
      </c>
      <c r="E2938" s="1" t="s">
        <v>322</v>
      </c>
      <c r="F2938" s="1" t="s">
        <v>37</v>
      </c>
      <c r="G2938" s="1" t="s">
        <v>78</v>
      </c>
      <c r="H2938" s="1" t="s">
        <v>126</v>
      </c>
      <c r="I2938" s="1">
        <v>473.15</v>
      </c>
      <c r="J2938" s="1">
        <v>5</v>
      </c>
      <c r="K2938" s="1">
        <v>2365.75</v>
      </c>
      <c r="L2938" s="1">
        <v>20</v>
      </c>
      <c r="M2938" s="1">
        <v>473.15</v>
      </c>
      <c r="N2938" s="1">
        <v>1892.6</v>
      </c>
      <c r="O2938" s="1" t="s">
        <v>33</v>
      </c>
      <c r="P2938" s="1" t="s">
        <v>886</v>
      </c>
      <c r="Q2938" s="1">
        <v>4</v>
      </c>
      <c r="R2938" s="1">
        <f>Retail_Sales_Analyis[[#This Row],[Final_Price]]-Retail_Sales_Analyis[[#This Row],[Total_Price]]</f>
        <v>-473.15000000000009</v>
      </c>
      <c r="S293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39" spans="1:19" x14ac:dyDescent="0.25">
      <c r="A2939" s="1" t="s">
        <v>4032</v>
      </c>
      <c r="B2939" s="2">
        <v>45403</v>
      </c>
      <c r="C2939" s="1" t="s">
        <v>54</v>
      </c>
      <c r="D2939" s="1" t="s">
        <v>49</v>
      </c>
      <c r="E2939" s="1" t="s">
        <v>312</v>
      </c>
      <c r="F2939" s="1" t="s">
        <v>30</v>
      </c>
      <c r="G2939" s="1" t="s">
        <v>112</v>
      </c>
      <c r="H2939" s="1" t="s">
        <v>288</v>
      </c>
      <c r="I2939" s="1">
        <v>1930.04</v>
      </c>
      <c r="J2939" s="1">
        <v>10</v>
      </c>
      <c r="K2939" s="1">
        <v>19300.400000000001</v>
      </c>
      <c r="L2939" s="1">
        <v>5</v>
      </c>
      <c r="M2939" s="1">
        <v>965.02</v>
      </c>
      <c r="N2939" s="1">
        <v>18335.38</v>
      </c>
      <c r="O2939" s="1" t="s">
        <v>33</v>
      </c>
      <c r="P2939" s="1" t="s">
        <v>1603</v>
      </c>
      <c r="Q2939" s="1">
        <v>3</v>
      </c>
      <c r="R2939" s="1">
        <f>Retail_Sales_Analyis[[#This Row],[Final_Price]]-Retail_Sales_Analyis[[#This Row],[Total_Price]]</f>
        <v>-965.02000000000044</v>
      </c>
      <c r="S29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40" spans="1:19" x14ac:dyDescent="0.25">
      <c r="A2940" s="1" t="s">
        <v>4033</v>
      </c>
      <c r="B2940" s="2">
        <v>45537</v>
      </c>
      <c r="C2940" s="1" t="s">
        <v>116</v>
      </c>
      <c r="D2940" s="1" t="s">
        <v>43</v>
      </c>
      <c r="E2940" s="1" t="s">
        <v>107</v>
      </c>
      <c r="F2940" s="1" t="s">
        <v>21</v>
      </c>
      <c r="G2940" s="1" t="s">
        <v>78</v>
      </c>
      <c r="H2940" s="1" t="s">
        <v>136</v>
      </c>
      <c r="I2940" s="1">
        <v>303.64</v>
      </c>
      <c r="J2940" s="1">
        <v>3</v>
      </c>
      <c r="K2940" s="1">
        <v>910.92</v>
      </c>
      <c r="L2940" s="1">
        <v>10</v>
      </c>
      <c r="M2940" s="1">
        <v>91.09</v>
      </c>
      <c r="N2940" s="1">
        <v>819.83</v>
      </c>
      <c r="O2940" s="1" t="s">
        <v>80</v>
      </c>
      <c r="P2940" s="1" t="s">
        <v>1544</v>
      </c>
      <c r="Q2940" s="1">
        <v>4</v>
      </c>
      <c r="R2940" s="1">
        <f>Retail_Sales_Analyis[[#This Row],[Final_Price]]-Retail_Sales_Analyis[[#This Row],[Total_Price]]</f>
        <v>-91.089999999999918</v>
      </c>
      <c r="S29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41" spans="1:19" x14ac:dyDescent="0.25">
      <c r="A2941" s="1" t="s">
        <v>4034</v>
      </c>
      <c r="B2941" s="2">
        <v>45398</v>
      </c>
      <c r="C2941" s="1" t="s">
        <v>54</v>
      </c>
      <c r="D2941" s="1" t="s">
        <v>28</v>
      </c>
      <c r="E2941" s="1" t="s">
        <v>132</v>
      </c>
      <c r="F2941" s="1" t="s">
        <v>37</v>
      </c>
      <c r="G2941" s="1" t="s">
        <v>57</v>
      </c>
      <c r="H2941" s="1" t="s">
        <v>158</v>
      </c>
      <c r="I2941" s="1">
        <v>1619.35</v>
      </c>
      <c r="J2941" s="1">
        <v>5</v>
      </c>
      <c r="K2941" s="1">
        <v>8096.75</v>
      </c>
      <c r="L2941" s="1">
        <v>15</v>
      </c>
      <c r="M2941" s="1">
        <v>1214.51</v>
      </c>
      <c r="N2941" s="1">
        <v>6882.24</v>
      </c>
      <c r="O2941" s="1" t="s">
        <v>24</v>
      </c>
      <c r="P2941" s="1" t="s">
        <v>4035</v>
      </c>
      <c r="Q2941" s="1">
        <v>2</v>
      </c>
      <c r="R2941" s="1">
        <f>Retail_Sales_Analyis[[#This Row],[Final_Price]]-Retail_Sales_Analyis[[#This Row],[Total_Price]]</f>
        <v>-1214.5100000000002</v>
      </c>
      <c r="S29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42" spans="1:19" x14ac:dyDescent="0.25">
      <c r="A2942" s="1" t="s">
        <v>4036</v>
      </c>
      <c r="B2942" s="2">
        <v>45462</v>
      </c>
      <c r="C2942" s="1" t="s">
        <v>173</v>
      </c>
      <c r="D2942" s="1" t="s">
        <v>55</v>
      </c>
      <c r="E2942" s="1" t="s">
        <v>302</v>
      </c>
      <c r="F2942" s="1" t="s">
        <v>69</v>
      </c>
      <c r="G2942" s="1" t="s">
        <v>38</v>
      </c>
      <c r="H2942" s="1" t="s">
        <v>108</v>
      </c>
      <c r="I2942" s="1">
        <v>469.9</v>
      </c>
      <c r="J2942" s="1">
        <v>6</v>
      </c>
      <c r="K2942" s="1">
        <v>2819.4</v>
      </c>
      <c r="L2942" s="1">
        <v>15</v>
      </c>
      <c r="M2942" s="1">
        <v>422.91</v>
      </c>
      <c r="N2942" s="1">
        <v>2396.4899999999998</v>
      </c>
      <c r="O2942" s="1" t="s">
        <v>33</v>
      </c>
      <c r="P2942" s="1" t="s">
        <v>2838</v>
      </c>
      <c r="Q2942" s="1">
        <v>1</v>
      </c>
      <c r="R2942" s="1">
        <f>Retail_Sales_Analyis[[#This Row],[Final_Price]]-Retail_Sales_Analyis[[#This Row],[Total_Price]]</f>
        <v>-422.91000000000031</v>
      </c>
      <c r="S29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43" spans="1:19" x14ac:dyDescent="0.25">
      <c r="A2943" s="1" t="s">
        <v>4037</v>
      </c>
      <c r="B2943" s="2">
        <v>45447</v>
      </c>
      <c r="C2943" s="1" t="s">
        <v>173</v>
      </c>
      <c r="D2943" s="1" t="s">
        <v>28</v>
      </c>
      <c r="E2943" s="1" t="s">
        <v>83</v>
      </c>
      <c r="F2943" s="1" t="s">
        <v>37</v>
      </c>
      <c r="G2943" s="1" t="s">
        <v>85</v>
      </c>
      <c r="H2943" s="1" t="s">
        <v>86</v>
      </c>
      <c r="I2943" s="1">
        <v>1270.72</v>
      </c>
      <c r="J2943" s="1">
        <v>9</v>
      </c>
      <c r="K2943" s="1">
        <v>11436.48</v>
      </c>
      <c r="L2943" s="1">
        <v>0</v>
      </c>
      <c r="M2943" s="1">
        <v>0</v>
      </c>
      <c r="N2943" s="1">
        <v>11436.48</v>
      </c>
      <c r="O2943" s="1" t="s">
        <v>33</v>
      </c>
      <c r="P2943" s="1" t="s">
        <v>2330</v>
      </c>
      <c r="Q2943" s="1">
        <v>5</v>
      </c>
      <c r="R2943" s="1">
        <f>Retail_Sales_Analyis[[#This Row],[Final_Price]]-Retail_Sales_Analyis[[#This Row],[Total_Price]]</f>
        <v>0</v>
      </c>
      <c r="S29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44" spans="1:19" x14ac:dyDescent="0.25">
      <c r="A2944" s="1" t="s">
        <v>4038</v>
      </c>
      <c r="B2944" s="2">
        <v>45299</v>
      </c>
      <c r="C2944" s="1" t="s">
        <v>36</v>
      </c>
      <c r="D2944" s="1" t="s">
        <v>43</v>
      </c>
      <c r="E2944" s="1" t="s">
        <v>342</v>
      </c>
      <c r="F2944" s="1" t="s">
        <v>21</v>
      </c>
      <c r="G2944" s="1" t="s">
        <v>31</v>
      </c>
      <c r="H2944" s="1" t="s">
        <v>32</v>
      </c>
      <c r="I2944" s="1">
        <v>450.67</v>
      </c>
      <c r="J2944" s="1">
        <v>8</v>
      </c>
      <c r="K2944" s="1">
        <v>3605.36</v>
      </c>
      <c r="L2944" s="1">
        <v>10</v>
      </c>
      <c r="M2944" s="1">
        <v>360.54</v>
      </c>
      <c r="N2944" s="1">
        <v>3244.82</v>
      </c>
      <c r="O2944" s="1" t="s">
        <v>46</v>
      </c>
      <c r="P2944" s="1" t="s">
        <v>3230</v>
      </c>
      <c r="Q2944" s="1">
        <v>4</v>
      </c>
      <c r="R2944" s="1">
        <f>Retail_Sales_Analyis[[#This Row],[Final_Price]]-Retail_Sales_Analyis[[#This Row],[Total_Price]]</f>
        <v>-360.53999999999996</v>
      </c>
      <c r="S29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45" spans="1:19" x14ac:dyDescent="0.25">
      <c r="A2945" s="1" t="s">
        <v>4039</v>
      </c>
      <c r="B2945" s="2">
        <v>45400</v>
      </c>
      <c r="C2945" s="1" t="s">
        <v>54</v>
      </c>
      <c r="D2945" s="1" t="s">
        <v>67</v>
      </c>
      <c r="E2945" s="1" t="s">
        <v>117</v>
      </c>
      <c r="F2945" s="1" t="s">
        <v>69</v>
      </c>
      <c r="G2945" s="1" t="s">
        <v>22</v>
      </c>
      <c r="H2945" s="1" t="s">
        <v>23</v>
      </c>
      <c r="I2945" s="1">
        <v>501</v>
      </c>
      <c r="J2945" s="1">
        <v>8</v>
      </c>
      <c r="K2945" s="1">
        <v>4008</v>
      </c>
      <c r="L2945" s="1">
        <v>5</v>
      </c>
      <c r="M2945" s="1">
        <v>200.4</v>
      </c>
      <c r="N2945" s="1">
        <v>3807.6</v>
      </c>
      <c r="O2945" s="1" t="s">
        <v>80</v>
      </c>
      <c r="P2945" s="1" t="s">
        <v>1080</v>
      </c>
      <c r="Q2945" s="1">
        <v>2</v>
      </c>
      <c r="R2945" s="1">
        <f>Retail_Sales_Analyis[[#This Row],[Final_Price]]-Retail_Sales_Analyis[[#This Row],[Total_Price]]</f>
        <v>-200.40000000000009</v>
      </c>
      <c r="S294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46" spans="1:19" x14ac:dyDescent="0.25">
      <c r="A2946" s="1" t="s">
        <v>4040</v>
      </c>
      <c r="B2946" s="2">
        <v>45389</v>
      </c>
      <c r="C2946" s="1" t="s">
        <v>54</v>
      </c>
      <c r="D2946" s="1" t="s">
        <v>49</v>
      </c>
      <c r="E2946" s="1" t="s">
        <v>163</v>
      </c>
      <c r="F2946" s="1" t="s">
        <v>84</v>
      </c>
      <c r="G2946" s="1" t="s">
        <v>169</v>
      </c>
      <c r="H2946" s="1" t="s">
        <v>208</v>
      </c>
      <c r="I2946" s="1">
        <v>1435.62</v>
      </c>
      <c r="J2946" s="1">
        <v>4</v>
      </c>
      <c r="K2946" s="1">
        <v>5742.48</v>
      </c>
      <c r="L2946" s="1">
        <v>0</v>
      </c>
      <c r="M2946" s="1">
        <v>0</v>
      </c>
      <c r="N2946" s="1">
        <v>5742.48</v>
      </c>
      <c r="O2946" s="1" t="s">
        <v>24</v>
      </c>
      <c r="P2946" s="1" t="s">
        <v>732</v>
      </c>
      <c r="Q2946" s="1">
        <v>2</v>
      </c>
      <c r="R2946" s="1">
        <f>Retail_Sales_Analyis[[#This Row],[Final_Price]]-Retail_Sales_Analyis[[#This Row],[Total_Price]]</f>
        <v>0</v>
      </c>
      <c r="S29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47" spans="1:19" x14ac:dyDescent="0.25">
      <c r="A2947" s="1" t="s">
        <v>4041</v>
      </c>
      <c r="B2947" s="2">
        <v>45352</v>
      </c>
      <c r="C2947" s="1" t="s">
        <v>61</v>
      </c>
      <c r="D2947" s="1" t="s">
        <v>144</v>
      </c>
      <c r="E2947" s="1" t="s">
        <v>94</v>
      </c>
      <c r="F2947" s="1" t="s">
        <v>21</v>
      </c>
      <c r="G2947" s="1" t="s">
        <v>85</v>
      </c>
      <c r="H2947" s="1" t="s">
        <v>98</v>
      </c>
      <c r="I2947" s="1">
        <v>3642.76</v>
      </c>
      <c r="J2947" s="1">
        <v>1</v>
      </c>
      <c r="K2947" s="1">
        <v>3642.76</v>
      </c>
      <c r="L2947" s="1">
        <v>5</v>
      </c>
      <c r="M2947" s="1">
        <v>182.14</v>
      </c>
      <c r="N2947" s="1">
        <v>3460.62</v>
      </c>
      <c r="O2947" s="1" t="s">
        <v>80</v>
      </c>
      <c r="P2947" s="1" t="s">
        <v>3095</v>
      </c>
      <c r="Q2947" s="1">
        <v>2</v>
      </c>
      <c r="R2947" s="1">
        <f>Retail_Sales_Analyis[[#This Row],[Final_Price]]-Retail_Sales_Analyis[[#This Row],[Total_Price]]</f>
        <v>-182.14000000000033</v>
      </c>
      <c r="S29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48" spans="1:19" x14ac:dyDescent="0.25">
      <c r="A2948" s="1" t="s">
        <v>4042</v>
      </c>
      <c r="B2948" s="2">
        <v>45537</v>
      </c>
      <c r="C2948" s="1" t="s">
        <v>116</v>
      </c>
      <c r="D2948" s="1" t="s">
        <v>43</v>
      </c>
      <c r="E2948" s="1" t="s">
        <v>50</v>
      </c>
      <c r="F2948" s="1" t="s">
        <v>84</v>
      </c>
      <c r="G2948" s="1" t="s">
        <v>57</v>
      </c>
      <c r="H2948" s="1" t="s">
        <v>101</v>
      </c>
      <c r="I2948" s="1">
        <v>2116.35</v>
      </c>
      <c r="J2948" s="1">
        <v>4</v>
      </c>
      <c r="K2948" s="1">
        <v>8465.4</v>
      </c>
      <c r="L2948" s="1">
        <v>0</v>
      </c>
      <c r="M2948" s="1">
        <v>0</v>
      </c>
      <c r="N2948" s="1">
        <v>8465.4</v>
      </c>
      <c r="O2948" s="1" t="s">
        <v>64</v>
      </c>
      <c r="P2948" s="1" t="s">
        <v>2241</v>
      </c>
      <c r="Q2948" s="1">
        <v>2</v>
      </c>
      <c r="R2948" s="1">
        <f>Retail_Sales_Analyis[[#This Row],[Final_Price]]-Retail_Sales_Analyis[[#This Row],[Total_Price]]</f>
        <v>0</v>
      </c>
      <c r="S29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49" spans="1:19" x14ac:dyDescent="0.25">
      <c r="A2949" s="1" t="s">
        <v>4043</v>
      </c>
      <c r="B2949" s="2">
        <v>45416</v>
      </c>
      <c r="C2949" s="1" t="s">
        <v>42</v>
      </c>
      <c r="D2949" s="1" t="s">
        <v>19</v>
      </c>
      <c r="E2949" s="1" t="s">
        <v>121</v>
      </c>
      <c r="F2949" s="1" t="s">
        <v>84</v>
      </c>
      <c r="G2949" s="1" t="s">
        <v>57</v>
      </c>
      <c r="H2949" s="1" t="s">
        <v>158</v>
      </c>
      <c r="I2949" s="1">
        <v>983.78</v>
      </c>
      <c r="J2949" s="1">
        <v>1</v>
      </c>
      <c r="K2949" s="1">
        <v>983.78</v>
      </c>
      <c r="L2949" s="1">
        <v>20</v>
      </c>
      <c r="M2949" s="1">
        <v>196.76</v>
      </c>
      <c r="N2949" s="1">
        <v>787.02</v>
      </c>
      <c r="O2949" s="1" t="s">
        <v>33</v>
      </c>
      <c r="P2949" s="1" t="s">
        <v>3610</v>
      </c>
      <c r="Q2949" s="1">
        <v>1</v>
      </c>
      <c r="R2949" s="1">
        <f>Retail_Sales_Analyis[[#This Row],[Final_Price]]-Retail_Sales_Analyis[[#This Row],[Total_Price]]</f>
        <v>-196.76</v>
      </c>
      <c r="S29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50" spans="1:19" x14ac:dyDescent="0.25">
      <c r="A2950" s="1" t="s">
        <v>4044</v>
      </c>
      <c r="B2950" s="2">
        <v>45648</v>
      </c>
      <c r="C2950" s="1" t="s">
        <v>73</v>
      </c>
      <c r="D2950" s="1" t="s">
        <v>49</v>
      </c>
      <c r="E2950" s="1" t="s">
        <v>20</v>
      </c>
      <c r="F2950" s="1" t="s">
        <v>21</v>
      </c>
      <c r="G2950" s="1" t="s">
        <v>38</v>
      </c>
      <c r="H2950" s="1" t="s">
        <v>214</v>
      </c>
      <c r="I2950" s="1">
        <v>576.04</v>
      </c>
      <c r="J2950" s="1">
        <v>1</v>
      </c>
      <c r="K2950" s="1">
        <v>576.04</v>
      </c>
      <c r="L2950" s="1">
        <v>5</v>
      </c>
      <c r="M2950" s="1">
        <v>28.8</v>
      </c>
      <c r="N2950" s="1">
        <v>547.24</v>
      </c>
      <c r="O2950" s="1" t="s">
        <v>80</v>
      </c>
      <c r="P2950" s="1" t="s">
        <v>898</v>
      </c>
      <c r="Q2950" s="1">
        <v>3</v>
      </c>
      <c r="R2950" s="1">
        <f>Retail_Sales_Analyis[[#This Row],[Final_Price]]-Retail_Sales_Analyis[[#This Row],[Total_Price]]</f>
        <v>-28.799999999999955</v>
      </c>
      <c r="S29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51" spans="1:19" x14ac:dyDescent="0.25">
      <c r="A2951" s="1" t="s">
        <v>4045</v>
      </c>
      <c r="B2951" s="2">
        <v>45601</v>
      </c>
      <c r="C2951" s="1" t="s">
        <v>18</v>
      </c>
      <c r="D2951" s="1" t="s">
        <v>28</v>
      </c>
      <c r="E2951" s="1" t="s">
        <v>351</v>
      </c>
      <c r="F2951" s="1" t="s">
        <v>37</v>
      </c>
      <c r="G2951" s="1" t="s">
        <v>78</v>
      </c>
      <c r="H2951" s="1" t="s">
        <v>136</v>
      </c>
      <c r="I2951" s="1">
        <v>391.96</v>
      </c>
      <c r="J2951" s="1">
        <v>7</v>
      </c>
      <c r="K2951" s="1">
        <v>2743.72</v>
      </c>
      <c r="L2951" s="1">
        <v>0</v>
      </c>
      <c r="M2951" s="1">
        <v>0</v>
      </c>
      <c r="N2951" s="1">
        <v>2743.72</v>
      </c>
      <c r="O2951" s="1" t="s">
        <v>64</v>
      </c>
      <c r="P2951" s="1" t="s">
        <v>3016</v>
      </c>
      <c r="Q2951" s="1">
        <v>5</v>
      </c>
      <c r="R2951" s="1">
        <f>Retail_Sales_Analyis[[#This Row],[Final_Price]]-Retail_Sales_Analyis[[#This Row],[Total_Price]]</f>
        <v>0</v>
      </c>
      <c r="S29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2" spans="1:19" x14ac:dyDescent="0.25">
      <c r="A2952" s="1" t="s">
        <v>4046</v>
      </c>
      <c r="B2952" s="2">
        <v>45652</v>
      </c>
      <c r="C2952" s="1" t="s">
        <v>73</v>
      </c>
      <c r="D2952" s="1" t="s">
        <v>67</v>
      </c>
      <c r="E2952" s="1" t="s">
        <v>151</v>
      </c>
      <c r="F2952" s="1" t="s">
        <v>84</v>
      </c>
      <c r="G2952" s="1" t="s">
        <v>78</v>
      </c>
      <c r="H2952" s="1" t="s">
        <v>146</v>
      </c>
      <c r="I2952" s="1">
        <v>367.08</v>
      </c>
      <c r="J2952" s="1">
        <v>1</v>
      </c>
      <c r="K2952" s="1">
        <v>367.08</v>
      </c>
      <c r="L2952" s="1">
        <v>0</v>
      </c>
      <c r="M2952" s="1">
        <v>0</v>
      </c>
      <c r="N2952" s="1">
        <v>367.08</v>
      </c>
      <c r="O2952" s="1" t="s">
        <v>33</v>
      </c>
      <c r="P2952" s="1" t="s">
        <v>2074</v>
      </c>
      <c r="Q2952" s="1">
        <v>3</v>
      </c>
      <c r="R2952" s="1">
        <f>Retail_Sales_Analyis[[#This Row],[Final_Price]]-Retail_Sales_Analyis[[#This Row],[Total_Price]]</f>
        <v>0</v>
      </c>
      <c r="S29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3" spans="1:19" x14ac:dyDescent="0.25">
      <c r="A2953" s="1" t="s">
        <v>4047</v>
      </c>
      <c r="B2953" s="2">
        <v>45396</v>
      </c>
      <c r="C2953" s="1" t="s">
        <v>54</v>
      </c>
      <c r="D2953" s="1" t="s">
        <v>49</v>
      </c>
      <c r="E2953" s="1" t="s">
        <v>132</v>
      </c>
      <c r="F2953" s="1" t="s">
        <v>84</v>
      </c>
      <c r="G2953" s="1" t="s">
        <v>78</v>
      </c>
      <c r="H2953" s="1" t="s">
        <v>323</v>
      </c>
      <c r="I2953" s="1">
        <v>389.27</v>
      </c>
      <c r="J2953" s="1">
        <v>6</v>
      </c>
      <c r="K2953" s="1">
        <v>2335.62</v>
      </c>
      <c r="L2953" s="1">
        <v>0</v>
      </c>
      <c r="M2953" s="1">
        <v>0</v>
      </c>
      <c r="N2953" s="1">
        <v>2335.62</v>
      </c>
      <c r="O2953" s="1" t="s">
        <v>24</v>
      </c>
      <c r="P2953" s="1" t="s">
        <v>262</v>
      </c>
      <c r="Q2953" s="1">
        <v>1</v>
      </c>
      <c r="R2953" s="1">
        <f>Retail_Sales_Analyis[[#This Row],[Final_Price]]-Retail_Sales_Analyis[[#This Row],[Total_Price]]</f>
        <v>0</v>
      </c>
      <c r="S29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4" spans="1:19" x14ac:dyDescent="0.25">
      <c r="A2954" s="1" t="s">
        <v>4048</v>
      </c>
      <c r="B2954" s="2">
        <v>45495</v>
      </c>
      <c r="C2954" s="1" t="s">
        <v>195</v>
      </c>
      <c r="D2954" s="1" t="s">
        <v>43</v>
      </c>
      <c r="E2954" s="1" t="s">
        <v>157</v>
      </c>
      <c r="F2954" s="1" t="s">
        <v>30</v>
      </c>
      <c r="G2954" s="1" t="s">
        <v>112</v>
      </c>
      <c r="H2954" s="1" t="s">
        <v>118</v>
      </c>
      <c r="I2954" s="1">
        <v>750.08</v>
      </c>
      <c r="J2954" s="1">
        <v>6</v>
      </c>
      <c r="K2954" s="1">
        <v>4500.4799999999996</v>
      </c>
      <c r="L2954" s="1">
        <v>0</v>
      </c>
      <c r="M2954" s="1">
        <v>0</v>
      </c>
      <c r="N2954" s="1">
        <v>4500.4799999999996</v>
      </c>
      <c r="O2954" s="1" t="s">
        <v>64</v>
      </c>
      <c r="P2954" s="1" t="s">
        <v>671</v>
      </c>
      <c r="Q2954" s="1">
        <v>5</v>
      </c>
      <c r="R2954" s="1">
        <f>Retail_Sales_Analyis[[#This Row],[Final_Price]]-Retail_Sales_Analyis[[#This Row],[Total_Price]]</f>
        <v>0</v>
      </c>
      <c r="S29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5" spans="1:19" x14ac:dyDescent="0.25">
      <c r="A2955" s="1" t="s">
        <v>4049</v>
      </c>
      <c r="B2955" s="2">
        <v>45414</v>
      </c>
      <c r="C2955" s="1" t="s">
        <v>42</v>
      </c>
      <c r="D2955" s="1" t="s">
        <v>67</v>
      </c>
      <c r="E2955" s="1" t="s">
        <v>337</v>
      </c>
      <c r="F2955" s="1" t="s">
        <v>69</v>
      </c>
      <c r="G2955" s="1" t="s">
        <v>31</v>
      </c>
      <c r="H2955" s="1" t="s">
        <v>32</v>
      </c>
      <c r="I2955" s="1">
        <v>392.06</v>
      </c>
      <c r="J2955" s="1">
        <v>5</v>
      </c>
      <c r="K2955" s="1">
        <v>1960.3</v>
      </c>
      <c r="L2955" s="1">
        <v>0</v>
      </c>
      <c r="M2955" s="1">
        <v>0</v>
      </c>
      <c r="N2955" s="1">
        <v>1960.3</v>
      </c>
      <c r="O2955" s="1" t="s">
        <v>46</v>
      </c>
      <c r="P2955" s="1" t="s">
        <v>467</v>
      </c>
      <c r="Q2955" s="1">
        <v>3</v>
      </c>
      <c r="R2955" s="1">
        <f>Retail_Sales_Analyis[[#This Row],[Final_Price]]-Retail_Sales_Analyis[[#This Row],[Total_Price]]</f>
        <v>0</v>
      </c>
      <c r="S29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6" spans="1:19" x14ac:dyDescent="0.25">
      <c r="A2956" s="1" t="s">
        <v>4050</v>
      </c>
      <c r="B2956" s="2">
        <v>45574</v>
      </c>
      <c r="C2956" s="1" t="s">
        <v>76</v>
      </c>
      <c r="D2956" s="1" t="s">
        <v>55</v>
      </c>
      <c r="E2956" s="1" t="s">
        <v>285</v>
      </c>
      <c r="F2956" s="1" t="s">
        <v>21</v>
      </c>
      <c r="G2956" s="1" t="s">
        <v>22</v>
      </c>
      <c r="H2956" s="1" t="s">
        <v>187</v>
      </c>
      <c r="I2956" s="1">
        <v>624.03</v>
      </c>
      <c r="J2956" s="1">
        <v>8</v>
      </c>
      <c r="K2956" s="1">
        <v>4992.24</v>
      </c>
      <c r="L2956" s="1">
        <v>10</v>
      </c>
      <c r="M2956" s="1">
        <v>499.22</v>
      </c>
      <c r="N2956" s="1">
        <v>4493.0200000000004</v>
      </c>
      <c r="O2956" s="1" t="s">
        <v>33</v>
      </c>
      <c r="P2956" s="1" t="s">
        <v>745</v>
      </c>
      <c r="Q2956" s="1">
        <v>1</v>
      </c>
      <c r="R2956" s="1">
        <f>Retail_Sales_Analyis[[#This Row],[Final_Price]]-Retail_Sales_Analyis[[#This Row],[Total_Price]]</f>
        <v>-499.21999999999935</v>
      </c>
      <c r="S29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57" spans="1:19" x14ac:dyDescent="0.25">
      <c r="A2957" s="1" t="s">
        <v>4051</v>
      </c>
      <c r="B2957" s="2">
        <v>45456</v>
      </c>
      <c r="C2957" s="1" t="s">
        <v>173</v>
      </c>
      <c r="D2957" s="1" t="s">
        <v>67</v>
      </c>
      <c r="E2957" s="1" t="s">
        <v>83</v>
      </c>
      <c r="F2957" s="1" t="s">
        <v>37</v>
      </c>
      <c r="G2957" s="1" t="s">
        <v>57</v>
      </c>
      <c r="H2957" s="1" t="s">
        <v>122</v>
      </c>
      <c r="I2957" s="1">
        <v>2862.68</v>
      </c>
      <c r="J2957" s="1">
        <v>3</v>
      </c>
      <c r="K2957" s="1">
        <v>8588.0400000000009</v>
      </c>
      <c r="L2957" s="1">
        <v>0</v>
      </c>
      <c r="M2957" s="1">
        <v>0</v>
      </c>
      <c r="N2957" s="1">
        <v>8588.0400000000009</v>
      </c>
      <c r="O2957" s="1" t="s">
        <v>64</v>
      </c>
      <c r="P2957" s="1" t="s">
        <v>993</v>
      </c>
      <c r="Q2957" s="1">
        <v>1</v>
      </c>
      <c r="R2957" s="1">
        <f>Retail_Sales_Analyis[[#This Row],[Final_Price]]-Retail_Sales_Analyis[[#This Row],[Total_Price]]</f>
        <v>0</v>
      </c>
      <c r="S29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58" spans="1:19" x14ac:dyDescent="0.25">
      <c r="A2958" s="1" t="s">
        <v>4052</v>
      </c>
      <c r="B2958" s="2">
        <v>45436</v>
      </c>
      <c r="C2958" s="1" t="s">
        <v>42</v>
      </c>
      <c r="D2958" s="1" t="s">
        <v>144</v>
      </c>
      <c r="E2958" s="1" t="s">
        <v>145</v>
      </c>
      <c r="F2958" s="1" t="s">
        <v>84</v>
      </c>
      <c r="G2958" s="1" t="s">
        <v>169</v>
      </c>
      <c r="H2958" s="1" t="s">
        <v>170</v>
      </c>
      <c r="I2958" s="1">
        <v>1462.61</v>
      </c>
      <c r="J2958" s="1">
        <v>6</v>
      </c>
      <c r="K2958" s="1">
        <v>8775.66</v>
      </c>
      <c r="L2958" s="1">
        <v>10</v>
      </c>
      <c r="M2958" s="1">
        <v>877.57</v>
      </c>
      <c r="N2958" s="1">
        <v>7898.09</v>
      </c>
      <c r="O2958" s="1" t="s">
        <v>33</v>
      </c>
      <c r="P2958" s="1" t="s">
        <v>1030</v>
      </c>
      <c r="Q2958" s="1">
        <v>4</v>
      </c>
      <c r="R2958" s="1">
        <f>Retail_Sales_Analyis[[#This Row],[Final_Price]]-Retail_Sales_Analyis[[#This Row],[Total_Price]]</f>
        <v>-877.56999999999971</v>
      </c>
      <c r="S29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59" spans="1:19" x14ac:dyDescent="0.25">
      <c r="A2959" s="1" t="s">
        <v>4053</v>
      </c>
      <c r="B2959" s="2">
        <v>45486</v>
      </c>
      <c r="C2959" s="1" t="s">
        <v>195</v>
      </c>
      <c r="D2959" s="1" t="s">
        <v>19</v>
      </c>
      <c r="E2959" s="1" t="s">
        <v>139</v>
      </c>
      <c r="F2959" s="1" t="s">
        <v>69</v>
      </c>
      <c r="G2959" s="1" t="s">
        <v>85</v>
      </c>
      <c r="H2959" s="1" t="s">
        <v>90</v>
      </c>
      <c r="I2959" s="1">
        <v>4244.4399999999996</v>
      </c>
      <c r="J2959" s="1">
        <v>10</v>
      </c>
      <c r="K2959" s="1">
        <v>42444.4</v>
      </c>
      <c r="L2959" s="1">
        <v>10</v>
      </c>
      <c r="M2959" s="1">
        <v>4244.4399999999996</v>
      </c>
      <c r="N2959" s="1">
        <v>38199.96</v>
      </c>
      <c r="O2959" s="1" t="s">
        <v>33</v>
      </c>
      <c r="P2959" s="1" t="s">
        <v>4054</v>
      </c>
      <c r="Q2959" s="1">
        <v>2</v>
      </c>
      <c r="R2959" s="1">
        <f>Retail_Sales_Analyis[[#This Row],[Final_Price]]-Retail_Sales_Analyis[[#This Row],[Total_Price]]</f>
        <v>-4244.4400000000023</v>
      </c>
      <c r="S29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60" spans="1:19" x14ac:dyDescent="0.25">
      <c r="A2960" s="1" t="s">
        <v>4055</v>
      </c>
      <c r="B2960" s="2">
        <v>45530</v>
      </c>
      <c r="C2960" s="1" t="s">
        <v>93</v>
      </c>
      <c r="D2960" s="1" t="s">
        <v>43</v>
      </c>
      <c r="E2960" s="1" t="s">
        <v>129</v>
      </c>
      <c r="F2960" s="1" t="s">
        <v>84</v>
      </c>
      <c r="G2960" s="1" t="s">
        <v>169</v>
      </c>
      <c r="H2960" s="1" t="s">
        <v>175</v>
      </c>
      <c r="I2960" s="1">
        <v>1261.73</v>
      </c>
      <c r="J2960" s="1">
        <v>5</v>
      </c>
      <c r="K2960" s="1">
        <v>6308.65</v>
      </c>
      <c r="L2960" s="1">
        <v>10</v>
      </c>
      <c r="M2960" s="1">
        <v>630.87</v>
      </c>
      <c r="N2960" s="1">
        <v>5677.78</v>
      </c>
      <c r="O2960" s="1" t="s">
        <v>46</v>
      </c>
      <c r="P2960" s="1" t="s">
        <v>1845</v>
      </c>
      <c r="Q2960" s="1">
        <v>4</v>
      </c>
      <c r="R2960" s="1">
        <f>Retail_Sales_Analyis[[#This Row],[Final_Price]]-Retail_Sales_Analyis[[#This Row],[Total_Price]]</f>
        <v>-630.86999999999989</v>
      </c>
      <c r="S29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61" spans="1:19" x14ac:dyDescent="0.25">
      <c r="A2961" s="1" t="s">
        <v>4056</v>
      </c>
      <c r="B2961" s="2">
        <v>45565</v>
      </c>
      <c r="C2961" s="1" t="s">
        <v>116</v>
      </c>
      <c r="D2961" s="1" t="s">
        <v>43</v>
      </c>
      <c r="E2961" s="1" t="s">
        <v>322</v>
      </c>
      <c r="F2961" s="1" t="s">
        <v>69</v>
      </c>
      <c r="G2961" s="1" t="s">
        <v>169</v>
      </c>
      <c r="H2961" s="1" t="s">
        <v>348</v>
      </c>
      <c r="I2961" s="1">
        <v>1398.86</v>
      </c>
      <c r="J2961" s="1">
        <v>10</v>
      </c>
      <c r="K2961" s="1">
        <v>13988.6</v>
      </c>
      <c r="L2961" s="1">
        <v>5</v>
      </c>
      <c r="M2961" s="1">
        <v>699.43</v>
      </c>
      <c r="N2961" s="1">
        <v>13289.17</v>
      </c>
      <c r="O2961" s="1" t="s">
        <v>46</v>
      </c>
      <c r="P2961" s="1" t="s">
        <v>1362</v>
      </c>
      <c r="Q2961" s="1">
        <v>3</v>
      </c>
      <c r="R2961" s="1">
        <f>Retail_Sales_Analyis[[#This Row],[Final_Price]]-Retail_Sales_Analyis[[#This Row],[Total_Price]]</f>
        <v>-699.43000000000029</v>
      </c>
      <c r="S29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62" spans="1:19" x14ac:dyDescent="0.25">
      <c r="A2962" s="1" t="s">
        <v>4057</v>
      </c>
      <c r="B2962" s="2">
        <v>45624</v>
      </c>
      <c r="C2962" s="1" t="s">
        <v>18</v>
      </c>
      <c r="D2962" s="1" t="s">
        <v>67</v>
      </c>
      <c r="E2962" s="1" t="s">
        <v>83</v>
      </c>
      <c r="F2962" s="1" t="s">
        <v>37</v>
      </c>
      <c r="G2962" s="1" t="s">
        <v>57</v>
      </c>
      <c r="H2962" s="1" t="s">
        <v>101</v>
      </c>
      <c r="I2962" s="1">
        <v>2328.6799999999998</v>
      </c>
      <c r="J2962" s="1">
        <v>9</v>
      </c>
      <c r="K2962" s="1">
        <v>20958.12</v>
      </c>
      <c r="L2962" s="1">
        <v>10</v>
      </c>
      <c r="M2962" s="1">
        <v>2095.81</v>
      </c>
      <c r="N2962" s="1">
        <v>18862.310000000001</v>
      </c>
      <c r="O2962" s="1" t="s">
        <v>80</v>
      </c>
      <c r="P2962" s="1" t="s">
        <v>1561</v>
      </c>
      <c r="Q2962" s="1">
        <v>1</v>
      </c>
      <c r="R2962" s="1">
        <f>Retail_Sales_Analyis[[#This Row],[Final_Price]]-Retail_Sales_Analyis[[#This Row],[Total_Price]]</f>
        <v>-2095.8099999999977</v>
      </c>
      <c r="S29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63" spans="1:19" x14ac:dyDescent="0.25">
      <c r="A2963" s="1" t="s">
        <v>4058</v>
      </c>
      <c r="B2963" s="2">
        <v>45475</v>
      </c>
      <c r="C2963" s="1" t="s">
        <v>195</v>
      </c>
      <c r="D2963" s="1" t="s">
        <v>28</v>
      </c>
      <c r="E2963" s="1" t="s">
        <v>62</v>
      </c>
      <c r="F2963" s="1" t="s">
        <v>37</v>
      </c>
      <c r="G2963" s="1" t="s">
        <v>78</v>
      </c>
      <c r="H2963" s="1" t="s">
        <v>79</v>
      </c>
      <c r="I2963" s="1">
        <v>465.71</v>
      </c>
      <c r="J2963" s="1">
        <v>3</v>
      </c>
      <c r="K2963" s="1">
        <v>1397.13</v>
      </c>
      <c r="L2963" s="1">
        <v>10</v>
      </c>
      <c r="M2963" s="1">
        <v>139.71</v>
      </c>
      <c r="N2963" s="1">
        <v>1257.42</v>
      </c>
      <c r="O2963" s="1" t="s">
        <v>33</v>
      </c>
      <c r="P2963" s="1" t="s">
        <v>4059</v>
      </c>
      <c r="Q2963" s="1">
        <v>3</v>
      </c>
      <c r="R2963" s="1">
        <f>Retail_Sales_Analyis[[#This Row],[Final_Price]]-Retail_Sales_Analyis[[#This Row],[Total_Price]]</f>
        <v>-139.71000000000004</v>
      </c>
      <c r="S29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64" spans="1:19" x14ac:dyDescent="0.25">
      <c r="A2964" s="1" t="s">
        <v>4060</v>
      </c>
      <c r="B2964" s="2">
        <v>45449</v>
      </c>
      <c r="C2964" s="1" t="s">
        <v>173</v>
      </c>
      <c r="D2964" s="1" t="s">
        <v>67</v>
      </c>
      <c r="E2964" s="1" t="s">
        <v>351</v>
      </c>
      <c r="F2964" s="1" t="s">
        <v>30</v>
      </c>
      <c r="G2964" s="1" t="s">
        <v>112</v>
      </c>
      <c r="H2964" s="1" t="s">
        <v>113</v>
      </c>
      <c r="I2964" s="1">
        <v>1521.66</v>
      </c>
      <c r="J2964" s="1">
        <v>1</v>
      </c>
      <c r="K2964" s="1">
        <v>1521.66</v>
      </c>
      <c r="L2964" s="1">
        <v>0</v>
      </c>
      <c r="M2964" s="1">
        <v>0</v>
      </c>
      <c r="N2964" s="1">
        <v>1521.66</v>
      </c>
      <c r="O2964" s="1" t="s">
        <v>33</v>
      </c>
      <c r="P2964" s="1" t="s">
        <v>2872</v>
      </c>
      <c r="Q2964" s="1">
        <v>3</v>
      </c>
      <c r="R2964" s="1">
        <f>Retail_Sales_Analyis[[#This Row],[Final_Price]]-Retail_Sales_Analyis[[#This Row],[Total_Price]]</f>
        <v>0</v>
      </c>
      <c r="S29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65" spans="1:19" x14ac:dyDescent="0.25">
      <c r="A2965" s="1" t="s">
        <v>4061</v>
      </c>
      <c r="B2965" s="2">
        <v>45425</v>
      </c>
      <c r="C2965" s="1" t="s">
        <v>42</v>
      </c>
      <c r="D2965" s="1" t="s">
        <v>43</v>
      </c>
      <c r="E2965" s="1" t="s">
        <v>104</v>
      </c>
      <c r="F2965" s="1" t="s">
        <v>37</v>
      </c>
      <c r="G2965" s="1" t="s">
        <v>38</v>
      </c>
      <c r="H2965" s="1" t="s">
        <v>39</v>
      </c>
      <c r="I2965" s="1">
        <v>378.84</v>
      </c>
      <c r="J2965" s="1">
        <v>9</v>
      </c>
      <c r="K2965" s="1">
        <v>3409.56</v>
      </c>
      <c r="L2965" s="1">
        <v>5</v>
      </c>
      <c r="M2965" s="1">
        <v>170.48</v>
      </c>
      <c r="N2965" s="1">
        <v>3239.08</v>
      </c>
      <c r="O2965" s="1" t="s">
        <v>80</v>
      </c>
      <c r="P2965" s="1" t="s">
        <v>1824</v>
      </c>
      <c r="Q2965" s="1">
        <v>2</v>
      </c>
      <c r="R2965" s="1">
        <f>Retail_Sales_Analyis[[#This Row],[Final_Price]]-Retail_Sales_Analyis[[#This Row],[Total_Price]]</f>
        <v>-170.48000000000002</v>
      </c>
      <c r="S29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66" spans="1:19" x14ac:dyDescent="0.25">
      <c r="A2966" s="1" t="s">
        <v>4062</v>
      </c>
      <c r="B2966" s="2">
        <v>45476</v>
      </c>
      <c r="C2966" s="1" t="s">
        <v>195</v>
      </c>
      <c r="D2966" s="1" t="s">
        <v>55</v>
      </c>
      <c r="E2966" s="1" t="s">
        <v>411</v>
      </c>
      <c r="F2966" s="1" t="s">
        <v>21</v>
      </c>
      <c r="G2966" s="1" t="s">
        <v>38</v>
      </c>
      <c r="H2966" s="1" t="s">
        <v>108</v>
      </c>
      <c r="I2966" s="1">
        <v>390.54</v>
      </c>
      <c r="J2966" s="1">
        <v>8</v>
      </c>
      <c r="K2966" s="1">
        <v>3124.32</v>
      </c>
      <c r="L2966" s="1">
        <v>0</v>
      </c>
      <c r="M2966" s="1">
        <v>0</v>
      </c>
      <c r="N2966" s="1">
        <v>3124.32</v>
      </c>
      <c r="O2966" s="1" t="s">
        <v>24</v>
      </c>
      <c r="P2966" s="1" t="s">
        <v>1881</v>
      </c>
      <c r="Q2966" s="1">
        <v>1</v>
      </c>
      <c r="R2966" s="1">
        <f>Retail_Sales_Analyis[[#This Row],[Final_Price]]-Retail_Sales_Analyis[[#This Row],[Total_Price]]</f>
        <v>0</v>
      </c>
      <c r="S29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67" spans="1:19" x14ac:dyDescent="0.25">
      <c r="A2967" s="1" t="s">
        <v>4063</v>
      </c>
      <c r="B2967" s="2">
        <v>45554</v>
      </c>
      <c r="C2967" s="1" t="s">
        <v>116</v>
      </c>
      <c r="D2967" s="1" t="s">
        <v>67</v>
      </c>
      <c r="E2967" s="1" t="s">
        <v>83</v>
      </c>
      <c r="F2967" s="1" t="s">
        <v>84</v>
      </c>
      <c r="G2967" s="1" t="s">
        <v>31</v>
      </c>
      <c r="H2967" s="1" t="s">
        <v>63</v>
      </c>
      <c r="I2967" s="1">
        <v>174.1</v>
      </c>
      <c r="J2967" s="1">
        <v>1</v>
      </c>
      <c r="K2967" s="1">
        <v>174.1</v>
      </c>
      <c r="L2967" s="1">
        <v>0</v>
      </c>
      <c r="M2967" s="1">
        <v>0</v>
      </c>
      <c r="N2967" s="1">
        <v>174.1</v>
      </c>
      <c r="O2967" s="1" t="s">
        <v>33</v>
      </c>
      <c r="P2967" s="1" t="s">
        <v>4064</v>
      </c>
      <c r="Q2967" s="1">
        <v>1</v>
      </c>
      <c r="R2967" s="1">
        <f>Retail_Sales_Analyis[[#This Row],[Final_Price]]-Retail_Sales_Analyis[[#This Row],[Total_Price]]</f>
        <v>0</v>
      </c>
      <c r="S29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68" spans="1:19" x14ac:dyDescent="0.25">
      <c r="A2968" s="1" t="s">
        <v>4065</v>
      </c>
      <c r="B2968" s="2">
        <v>45546</v>
      </c>
      <c r="C2968" s="1" t="s">
        <v>116</v>
      </c>
      <c r="D2968" s="1" t="s">
        <v>55</v>
      </c>
      <c r="E2968" s="1" t="s">
        <v>307</v>
      </c>
      <c r="F2968" s="1" t="s">
        <v>84</v>
      </c>
      <c r="G2968" s="1" t="s">
        <v>78</v>
      </c>
      <c r="H2968" s="1" t="s">
        <v>323</v>
      </c>
      <c r="I2968" s="1">
        <v>480.73</v>
      </c>
      <c r="J2968" s="1">
        <v>4</v>
      </c>
      <c r="K2968" s="1">
        <v>1922.92</v>
      </c>
      <c r="L2968" s="1">
        <v>0</v>
      </c>
      <c r="M2968" s="1">
        <v>0</v>
      </c>
      <c r="N2968" s="1">
        <v>1922.92</v>
      </c>
      <c r="O2968" s="1" t="s">
        <v>24</v>
      </c>
      <c r="P2968" s="1" t="s">
        <v>1242</v>
      </c>
      <c r="Q2968" s="1">
        <v>5</v>
      </c>
      <c r="R2968" s="1">
        <f>Retail_Sales_Analyis[[#This Row],[Final_Price]]-Retail_Sales_Analyis[[#This Row],[Total_Price]]</f>
        <v>0</v>
      </c>
      <c r="S29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69" spans="1:19" x14ac:dyDescent="0.25">
      <c r="A2969" s="1" t="s">
        <v>4066</v>
      </c>
      <c r="B2969" s="2">
        <v>45530</v>
      </c>
      <c r="C2969" s="1" t="s">
        <v>93</v>
      </c>
      <c r="D2969" s="1" t="s">
        <v>43</v>
      </c>
      <c r="E2969" s="1" t="s">
        <v>97</v>
      </c>
      <c r="F2969" s="1" t="s">
        <v>37</v>
      </c>
      <c r="G2969" s="1" t="s">
        <v>31</v>
      </c>
      <c r="H2969" s="1" t="s">
        <v>250</v>
      </c>
      <c r="I2969" s="1">
        <v>455.94</v>
      </c>
      <c r="J2969" s="1">
        <v>9</v>
      </c>
      <c r="K2969" s="1">
        <v>4103.46</v>
      </c>
      <c r="L2969" s="1">
        <v>0</v>
      </c>
      <c r="M2969" s="1">
        <v>0</v>
      </c>
      <c r="N2969" s="1">
        <v>4103.46</v>
      </c>
      <c r="O2969" s="1" t="s">
        <v>33</v>
      </c>
      <c r="P2969" s="1" t="s">
        <v>639</v>
      </c>
      <c r="Q2969" s="1">
        <v>5</v>
      </c>
      <c r="R2969" s="1">
        <f>Retail_Sales_Analyis[[#This Row],[Final_Price]]-Retail_Sales_Analyis[[#This Row],[Total_Price]]</f>
        <v>0</v>
      </c>
      <c r="S29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70" spans="1:19" x14ac:dyDescent="0.25">
      <c r="A2970" s="1" t="s">
        <v>4067</v>
      </c>
      <c r="B2970" s="2">
        <v>45342</v>
      </c>
      <c r="C2970" s="1" t="s">
        <v>27</v>
      </c>
      <c r="D2970" s="1" t="s">
        <v>28</v>
      </c>
      <c r="E2970" s="1" t="s">
        <v>125</v>
      </c>
      <c r="F2970" s="1" t="s">
        <v>21</v>
      </c>
      <c r="G2970" s="1" t="s">
        <v>112</v>
      </c>
      <c r="H2970" s="1" t="s">
        <v>223</v>
      </c>
      <c r="I2970" s="1">
        <v>1796.64</v>
      </c>
      <c r="J2970" s="1">
        <v>6</v>
      </c>
      <c r="K2970" s="1">
        <v>10779.84</v>
      </c>
      <c r="L2970" s="1">
        <v>5</v>
      </c>
      <c r="M2970" s="1">
        <v>538.99</v>
      </c>
      <c r="N2970" s="1">
        <v>10240.85</v>
      </c>
      <c r="O2970" s="1" t="s">
        <v>80</v>
      </c>
      <c r="P2970" s="1" t="s">
        <v>1267</v>
      </c>
      <c r="Q2970" s="1">
        <v>2</v>
      </c>
      <c r="R2970" s="1">
        <f>Retail_Sales_Analyis[[#This Row],[Final_Price]]-Retail_Sales_Analyis[[#This Row],[Total_Price]]</f>
        <v>-538.98999999999978</v>
      </c>
      <c r="S297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71" spans="1:19" x14ac:dyDescent="0.25">
      <c r="A2971" s="1" t="s">
        <v>4068</v>
      </c>
      <c r="B2971" s="2">
        <v>45532</v>
      </c>
      <c r="C2971" s="1" t="s">
        <v>93</v>
      </c>
      <c r="D2971" s="1" t="s">
        <v>55</v>
      </c>
      <c r="E2971" s="1" t="s">
        <v>50</v>
      </c>
      <c r="F2971" s="1" t="s">
        <v>69</v>
      </c>
      <c r="G2971" s="1" t="s">
        <v>31</v>
      </c>
      <c r="H2971" s="1" t="s">
        <v>329</v>
      </c>
      <c r="I2971" s="1">
        <v>170.55</v>
      </c>
      <c r="J2971" s="1">
        <v>9</v>
      </c>
      <c r="K2971" s="1">
        <v>1534.95</v>
      </c>
      <c r="L2971" s="1">
        <v>0</v>
      </c>
      <c r="M2971" s="1">
        <v>0</v>
      </c>
      <c r="N2971" s="1">
        <v>1534.95</v>
      </c>
      <c r="O2971" s="1" t="s">
        <v>80</v>
      </c>
      <c r="P2971" s="1" t="s">
        <v>2823</v>
      </c>
      <c r="Q2971" s="1">
        <v>1</v>
      </c>
      <c r="R2971" s="1">
        <f>Retail_Sales_Analyis[[#This Row],[Final_Price]]-Retail_Sales_Analyis[[#This Row],[Total_Price]]</f>
        <v>0</v>
      </c>
      <c r="S29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72" spans="1:19" x14ac:dyDescent="0.25">
      <c r="A2972" s="1" t="s">
        <v>4069</v>
      </c>
      <c r="B2972" s="2">
        <v>45455</v>
      </c>
      <c r="C2972" s="1" t="s">
        <v>173</v>
      </c>
      <c r="D2972" s="1" t="s">
        <v>55</v>
      </c>
      <c r="E2972" s="1" t="s">
        <v>89</v>
      </c>
      <c r="F2972" s="1" t="s">
        <v>69</v>
      </c>
      <c r="G2972" s="1" t="s">
        <v>169</v>
      </c>
      <c r="H2972" s="1" t="s">
        <v>175</v>
      </c>
      <c r="I2972" s="1">
        <v>353.14</v>
      </c>
      <c r="J2972" s="1">
        <v>2</v>
      </c>
      <c r="K2972" s="1">
        <v>706.28</v>
      </c>
      <c r="L2972" s="1">
        <v>10</v>
      </c>
      <c r="M2972" s="1">
        <v>70.63</v>
      </c>
      <c r="N2972" s="1">
        <v>635.65</v>
      </c>
      <c r="O2972" s="1" t="s">
        <v>33</v>
      </c>
      <c r="P2972" s="1" t="s">
        <v>2800</v>
      </c>
      <c r="Q2972" s="1">
        <v>4</v>
      </c>
      <c r="R2972" s="1">
        <f>Retail_Sales_Analyis[[#This Row],[Final_Price]]-Retail_Sales_Analyis[[#This Row],[Total_Price]]</f>
        <v>-70.63</v>
      </c>
      <c r="S29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73" spans="1:19" x14ac:dyDescent="0.25">
      <c r="A2973" s="1" t="s">
        <v>4070</v>
      </c>
      <c r="B2973" s="2">
        <v>45396</v>
      </c>
      <c r="C2973" s="1" t="s">
        <v>54</v>
      </c>
      <c r="D2973" s="1" t="s">
        <v>49</v>
      </c>
      <c r="E2973" s="1" t="s">
        <v>342</v>
      </c>
      <c r="F2973" s="1" t="s">
        <v>37</v>
      </c>
      <c r="G2973" s="1" t="s">
        <v>85</v>
      </c>
      <c r="H2973" s="1" t="s">
        <v>297</v>
      </c>
      <c r="I2973" s="1">
        <v>3469.7</v>
      </c>
      <c r="J2973" s="1">
        <v>6</v>
      </c>
      <c r="K2973" s="1">
        <v>20818.2</v>
      </c>
      <c r="L2973" s="1">
        <v>0</v>
      </c>
      <c r="M2973" s="1">
        <v>0</v>
      </c>
      <c r="N2973" s="1">
        <v>20818.2</v>
      </c>
      <c r="O2973" s="1" t="s">
        <v>80</v>
      </c>
      <c r="P2973" s="1" t="s">
        <v>2955</v>
      </c>
      <c r="Q2973" s="1">
        <v>2</v>
      </c>
      <c r="R2973" s="1">
        <f>Retail_Sales_Analyis[[#This Row],[Final_Price]]-Retail_Sales_Analyis[[#This Row],[Total_Price]]</f>
        <v>0</v>
      </c>
      <c r="S29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74" spans="1:19" x14ac:dyDescent="0.25">
      <c r="A2974" s="1" t="s">
        <v>4071</v>
      </c>
      <c r="B2974" s="2">
        <v>45481</v>
      </c>
      <c r="C2974" s="1" t="s">
        <v>195</v>
      </c>
      <c r="D2974" s="1" t="s">
        <v>43</v>
      </c>
      <c r="E2974" s="1" t="s">
        <v>97</v>
      </c>
      <c r="F2974" s="1" t="s">
        <v>21</v>
      </c>
      <c r="G2974" s="1" t="s">
        <v>85</v>
      </c>
      <c r="H2974" s="1" t="s">
        <v>90</v>
      </c>
      <c r="I2974" s="1">
        <v>3895.29</v>
      </c>
      <c r="J2974" s="1">
        <v>6</v>
      </c>
      <c r="K2974" s="1">
        <v>23371.74</v>
      </c>
      <c r="L2974" s="1">
        <v>0</v>
      </c>
      <c r="M2974" s="1">
        <v>0</v>
      </c>
      <c r="N2974" s="1">
        <v>23371.74</v>
      </c>
      <c r="O2974" s="1" t="s">
        <v>64</v>
      </c>
      <c r="P2974" s="1" t="s">
        <v>362</v>
      </c>
      <c r="Q2974" s="1">
        <v>2</v>
      </c>
      <c r="R2974" s="1">
        <f>Retail_Sales_Analyis[[#This Row],[Final_Price]]-Retail_Sales_Analyis[[#This Row],[Total_Price]]</f>
        <v>0</v>
      </c>
      <c r="S29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75" spans="1:19" x14ac:dyDescent="0.25">
      <c r="A2975" s="1" t="s">
        <v>4072</v>
      </c>
      <c r="B2975" s="2">
        <v>45452</v>
      </c>
      <c r="C2975" s="1" t="s">
        <v>173</v>
      </c>
      <c r="D2975" s="1" t="s">
        <v>49</v>
      </c>
      <c r="E2975" s="1" t="s">
        <v>132</v>
      </c>
      <c r="F2975" s="1" t="s">
        <v>30</v>
      </c>
      <c r="G2975" s="1" t="s">
        <v>31</v>
      </c>
      <c r="H2975" s="1" t="s">
        <v>329</v>
      </c>
      <c r="I2975" s="1">
        <v>424.1</v>
      </c>
      <c r="J2975" s="1">
        <v>10</v>
      </c>
      <c r="K2975" s="1">
        <v>4241</v>
      </c>
      <c r="L2975" s="1">
        <v>15</v>
      </c>
      <c r="M2975" s="1">
        <v>636.15</v>
      </c>
      <c r="N2975" s="1">
        <v>3604.85</v>
      </c>
      <c r="O2975" s="1" t="s">
        <v>64</v>
      </c>
      <c r="P2975" s="1" t="s">
        <v>25</v>
      </c>
      <c r="Q2975" s="1">
        <v>4</v>
      </c>
      <c r="R2975" s="1">
        <f>Retail_Sales_Analyis[[#This Row],[Final_Price]]-Retail_Sales_Analyis[[#This Row],[Total_Price]]</f>
        <v>-636.15000000000009</v>
      </c>
      <c r="S29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76" spans="1:19" x14ac:dyDescent="0.25">
      <c r="A2976" s="1" t="s">
        <v>4073</v>
      </c>
      <c r="B2976" s="2">
        <v>45503</v>
      </c>
      <c r="C2976" s="1" t="s">
        <v>195</v>
      </c>
      <c r="D2976" s="1" t="s">
        <v>28</v>
      </c>
      <c r="E2976" s="1" t="s">
        <v>322</v>
      </c>
      <c r="F2976" s="1" t="s">
        <v>37</v>
      </c>
      <c r="G2976" s="1" t="s">
        <v>85</v>
      </c>
      <c r="H2976" s="1" t="s">
        <v>90</v>
      </c>
      <c r="I2976" s="1">
        <v>4637.96</v>
      </c>
      <c r="J2976" s="1">
        <v>6</v>
      </c>
      <c r="K2976" s="1">
        <v>27827.759999999998</v>
      </c>
      <c r="L2976" s="1">
        <v>10</v>
      </c>
      <c r="M2976" s="1">
        <v>2782.78</v>
      </c>
      <c r="N2976" s="1">
        <v>25044.98</v>
      </c>
      <c r="O2976" s="1" t="s">
        <v>46</v>
      </c>
      <c r="P2976" s="1" t="s">
        <v>839</v>
      </c>
      <c r="Q2976" s="1">
        <v>3</v>
      </c>
      <c r="R2976" s="1">
        <f>Retail_Sales_Analyis[[#This Row],[Final_Price]]-Retail_Sales_Analyis[[#This Row],[Total_Price]]</f>
        <v>-2782.7799999999988</v>
      </c>
      <c r="S29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77" spans="1:19" x14ac:dyDescent="0.25">
      <c r="A2977" s="1" t="s">
        <v>4074</v>
      </c>
      <c r="B2977" s="2">
        <v>45315</v>
      </c>
      <c r="C2977" s="1" t="s">
        <v>36</v>
      </c>
      <c r="D2977" s="1" t="s">
        <v>55</v>
      </c>
      <c r="E2977" s="1" t="s">
        <v>337</v>
      </c>
      <c r="F2977" s="1" t="s">
        <v>69</v>
      </c>
      <c r="G2977" s="1" t="s">
        <v>57</v>
      </c>
      <c r="H2977" s="1" t="s">
        <v>122</v>
      </c>
      <c r="I2977" s="1">
        <v>2008.59</v>
      </c>
      <c r="J2977" s="1">
        <v>2</v>
      </c>
      <c r="K2977" s="1">
        <v>4017.18</v>
      </c>
      <c r="L2977" s="1">
        <v>0</v>
      </c>
      <c r="M2977" s="1">
        <v>0</v>
      </c>
      <c r="N2977" s="1">
        <v>4017.18</v>
      </c>
      <c r="O2977" s="1" t="s">
        <v>80</v>
      </c>
      <c r="P2977" s="1" t="s">
        <v>2277</v>
      </c>
      <c r="Q2977" s="1">
        <v>2</v>
      </c>
      <c r="R2977" s="1">
        <f>Retail_Sales_Analyis[[#This Row],[Final_Price]]-Retail_Sales_Analyis[[#This Row],[Total_Price]]</f>
        <v>0</v>
      </c>
      <c r="S29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78" spans="1:19" x14ac:dyDescent="0.25">
      <c r="A2978" s="1" t="s">
        <v>4075</v>
      </c>
      <c r="B2978" s="2">
        <v>45580</v>
      </c>
      <c r="C2978" s="1" t="s">
        <v>76</v>
      </c>
      <c r="D2978" s="1" t="s">
        <v>28</v>
      </c>
      <c r="E2978" s="1" t="s">
        <v>351</v>
      </c>
      <c r="F2978" s="1" t="s">
        <v>84</v>
      </c>
      <c r="G2978" s="1" t="s">
        <v>31</v>
      </c>
      <c r="H2978" s="1" t="s">
        <v>63</v>
      </c>
      <c r="I2978" s="1">
        <v>363.2</v>
      </c>
      <c r="J2978" s="1">
        <v>2</v>
      </c>
      <c r="K2978" s="1">
        <v>726.4</v>
      </c>
      <c r="L2978" s="1">
        <v>20</v>
      </c>
      <c r="M2978" s="1">
        <v>145.28</v>
      </c>
      <c r="N2978" s="1">
        <v>581.12</v>
      </c>
      <c r="O2978" s="1" t="s">
        <v>46</v>
      </c>
      <c r="P2978" s="1" t="s">
        <v>2663</v>
      </c>
      <c r="Q2978" s="1">
        <v>2</v>
      </c>
      <c r="R2978" s="1">
        <f>Retail_Sales_Analyis[[#This Row],[Final_Price]]-Retail_Sales_Analyis[[#This Row],[Total_Price]]</f>
        <v>-145.27999999999997</v>
      </c>
      <c r="S29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79" spans="1:19" x14ac:dyDescent="0.25">
      <c r="A2979" s="1" t="s">
        <v>4076</v>
      </c>
      <c r="B2979" s="2">
        <v>45405</v>
      </c>
      <c r="C2979" s="1" t="s">
        <v>54</v>
      </c>
      <c r="D2979" s="1" t="s">
        <v>28</v>
      </c>
      <c r="E2979" s="1" t="s">
        <v>89</v>
      </c>
      <c r="F2979" s="1" t="s">
        <v>37</v>
      </c>
      <c r="G2979" s="1" t="s">
        <v>31</v>
      </c>
      <c r="H2979" s="1" t="s">
        <v>250</v>
      </c>
      <c r="I2979" s="1">
        <v>312.27</v>
      </c>
      <c r="J2979" s="1">
        <v>3</v>
      </c>
      <c r="K2979" s="1">
        <v>936.81</v>
      </c>
      <c r="L2979" s="1">
        <v>5</v>
      </c>
      <c r="M2979" s="1">
        <v>46.84</v>
      </c>
      <c r="N2979" s="1">
        <v>889.97</v>
      </c>
      <c r="O2979" s="1" t="s">
        <v>64</v>
      </c>
      <c r="P2979" s="1" t="s">
        <v>4077</v>
      </c>
      <c r="Q2979" s="1">
        <v>3</v>
      </c>
      <c r="R2979" s="1">
        <f>Retail_Sales_Analyis[[#This Row],[Final_Price]]-Retail_Sales_Analyis[[#This Row],[Total_Price]]</f>
        <v>-46.839999999999918</v>
      </c>
      <c r="S297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80" spans="1:19" x14ac:dyDescent="0.25">
      <c r="A2980" s="1" t="s">
        <v>4078</v>
      </c>
      <c r="B2980" s="2">
        <v>45366</v>
      </c>
      <c r="C2980" s="1" t="s">
        <v>61</v>
      </c>
      <c r="D2980" s="1" t="s">
        <v>144</v>
      </c>
      <c r="E2980" s="1" t="s">
        <v>29</v>
      </c>
      <c r="F2980" s="1" t="s">
        <v>69</v>
      </c>
      <c r="G2980" s="1" t="s">
        <v>57</v>
      </c>
      <c r="H2980" s="1" t="s">
        <v>152</v>
      </c>
      <c r="I2980" s="1">
        <v>697.89</v>
      </c>
      <c r="J2980" s="1">
        <v>10</v>
      </c>
      <c r="K2980" s="1">
        <v>6978.9</v>
      </c>
      <c r="L2980" s="1">
        <v>20</v>
      </c>
      <c r="M2980" s="1">
        <v>1395.78</v>
      </c>
      <c r="N2980" s="1">
        <v>5583.12</v>
      </c>
      <c r="O2980" s="1" t="s">
        <v>33</v>
      </c>
      <c r="P2980" s="1" t="s">
        <v>3680</v>
      </c>
      <c r="Q2980" s="1">
        <v>4</v>
      </c>
      <c r="R2980" s="1">
        <f>Retail_Sales_Analyis[[#This Row],[Final_Price]]-Retail_Sales_Analyis[[#This Row],[Total_Price]]</f>
        <v>-1395.7799999999997</v>
      </c>
      <c r="S29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81" spans="1:19" x14ac:dyDescent="0.25">
      <c r="A2981" s="1" t="s">
        <v>4079</v>
      </c>
      <c r="B2981" s="2">
        <v>45300</v>
      </c>
      <c r="C2981" s="1" t="s">
        <v>36</v>
      </c>
      <c r="D2981" s="1" t="s">
        <v>28</v>
      </c>
      <c r="E2981" s="1" t="s">
        <v>186</v>
      </c>
      <c r="F2981" s="1" t="s">
        <v>30</v>
      </c>
      <c r="G2981" s="1" t="s">
        <v>31</v>
      </c>
      <c r="H2981" s="1" t="s">
        <v>32</v>
      </c>
      <c r="I2981" s="1">
        <v>127.33</v>
      </c>
      <c r="J2981" s="1">
        <v>5</v>
      </c>
      <c r="K2981" s="1">
        <v>636.65</v>
      </c>
      <c r="L2981" s="1">
        <v>0</v>
      </c>
      <c r="M2981" s="1">
        <v>0</v>
      </c>
      <c r="N2981" s="1">
        <v>636.65</v>
      </c>
      <c r="O2981" s="1" t="s">
        <v>64</v>
      </c>
      <c r="P2981" s="1" t="s">
        <v>807</v>
      </c>
      <c r="Q2981" s="1">
        <v>3</v>
      </c>
      <c r="R2981" s="1">
        <f>Retail_Sales_Analyis[[#This Row],[Final_Price]]-Retail_Sales_Analyis[[#This Row],[Total_Price]]</f>
        <v>0</v>
      </c>
      <c r="S29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82" spans="1:19" x14ac:dyDescent="0.25">
      <c r="A2982" s="1" t="s">
        <v>4080</v>
      </c>
      <c r="B2982" s="2">
        <v>45425</v>
      </c>
      <c r="C2982" s="1" t="s">
        <v>42</v>
      </c>
      <c r="D2982" s="1" t="s">
        <v>43</v>
      </c>
      <c r="E2982" s="1" t="s">
        <v>121</v>
      </c>
      <c r="F2982" s="1" t="s">
        <v>30</v>
      </c>
      <c r="G2982" s="1" t="s">
        <v>38</v>
      </c>
      <c r="H2982" s="1" t="s">
        <v>70</v>
      </c>
      <c r="I2982" s="1">
        <v>727.72</v>
      </c>
      <c r="J2982" s="1">
        <v>9</v>
      </c>
      <c r="K2982" s="1">
        <v>6549.48</v>
      </c>
      <c r="L2982" s="1">
        <v>5</v>
      </c>
      <c r="M2982" s="1">
        <v>327.47000000000003</v>
      </c>
      <c r="N2982" s="1">
        <v>6222.01</v>
      </c>
      <c r="O2982" s="1" t="s">
        <v>64</v>
      </c>
      <c r="P2982" s="1" t="s">
        <v>1454</v>
      </c>
      <c r="Q2982" s="1">
        <v>5</v>
      </c>
      <c r="R2982" s="1">
        <f>Retail_Sales_Analyis[[#This Row],[Final_Price]]-Retail_Sales_Analyis[[#This Row],[Total_Price]]</f>
        <v>-327.46999999999935</v>
      </c>
      <c r="S29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83" spans="1:19" x14ac:dyDescent="0.25">
      <c r="A2983" s="1" t="s">
        <v>4081</v>
      </c>
      <c r="B2983" s="2">
        <v>45575</v>
      </c>
      <c r="C2983" s="1" t="s">
        <v>76</v>
      </c>
      <c r="D2983" s="1" t="s">
        <v>67</v>
      </c>
      <c r="E2983" s="1" t="s">
        <v>236</v>
      </c>
      <c r="F2983" s="1" t="s">
        <v>84</v>
      </c>
      <c r="G2983" s="1" t="s">
        <v>169</v>
      </c>
      <c r="H2983" s="1" t="s">
        <v>175</v>
      </c>
      <c r="I2983" s="1">
        <v>1384.8</v>
      </c>
      <c r="J2983" s="1">
        <v>5</v>
      </c>
      <c r="K2983" s="1">
        <v>6924</v>
      </c>
      <c r="L2983" s="1">
        <v>0</v>
      </c>
      <c r="M2983" s="1">
        <v>0</v>
      </c>
      <c r="N2983" s="1">
        <v>6924</v>
      </c>
      <c r="O2983" s="1" t="s">
        <v>80</v>
      </c>
      <c r="P2983" s="1" t="s">
        <v>3323</v>
      </c>
      <c r="Q2983" s="1">
        <v>1</v>
      </c>
      <c r="R2983" s="1">
        <f>Retail_Sales_Analyis[[#This Row],[Final_Price]]-Retail_Sales_Analyis[[#This Row],[Total_Price]]</f>
        <v>0</v>
      </c>
      <c r="S29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84" spans="1:19" x14ac:dyDescent="0.25">
      <c r="A2984" s="1" t="s">
        <v>4082</v>
      </c>
      <c r="B2984" s="2">
        <v>45591</v>
      </c>
      <c r="C2984" s="1" t="s">
        <v>76</v>
      </c>
      <c r="D2984" s="1" t="s">
        <v>19</v>
      </c>
      <c r="E2984" s="1" t="s">
        <v>68</v>
      </c>
      <c r="F2984" s="1" t="s">
        <v>30</v>
      </c>
      <c r="G2984" s="1" t="s">
        <v>112</v>
      </c>
      <c r="H2984" s="1" t="s">
        <v>113</v>
      </c>
      <c r="I2984" s="1">
        <v>905.32</v>
      </c>
      <c r="J2984" s="1">
        <v>9</v>
      </c>
      <c r="K2984" s="1">
        <v>8147.88</v>
      </c>
      <c r="L2984" s="1">
        <v>15</v>
      </c>
      <c r="M2984" s="1">
        <v>1222.18</v>
      </c>
      <c r="N2984" s="1">
        <v>6925.7</v>
      </c>
      <c r="O2984" s="1" t="s">
        <v>24</v>
      </c>
      <c r="P2984" s="1" t="s">
        <v>1900</v>
      </c>
      <c r="Q2984" s="1">
        <v>3</v>
      </c>
      <c r="R2984" s="1">
        <f>Retail_Sales_Analyis[[#This Row],[Final_Price]]-Retail_Sales_Analyis[[#This Row],[Total_Price]]</f>
        <v>-1222.1800000000003</v>
      </c>
      <c r="S29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85" spans="1:19" x14ac:dyDescent="0.25">
      <c r="A2985" s="1" t="s">
        <v>4083</v>
      </c>
      <c r="B2985" s="2">
        <v>45588</v>
      </c>
      <c r="C2985" s="1" t="s">
        <v>76</v>
      </c>
      <c r="D2985" s="1" t="s">
        <v>55</v>
      </c>
      <c r="E2985" s="1" t="s">
        <v>89</v>
      </c>
      <c r="F2985" s="1" t="s">
        <v>37</v>
      </c>
      <c r="G2985" s="1" t="s">
        <v>22</v>
      </c>
      <c r="H2985" s="1" t="s">
        <v>133</v>
      </c>
      <c r="I2985" s="1">
        <v>701.19</v>
      </c>
      <c r="J2985" s="1">
        <v>1</v>
      </c>
      <c r="K2985" s="1">
        <v>701.19</v>
      </c>
      <c r="L2985" s="1">
        <v>10</v>
      </c>
      <c r="M2985" s="1">
        <v>70.12</v>
      </c>
      <c r="N2985" s="1">
        <v>631.07000000000005</v>
      </c>
      <c r="O2985" s="1" t="s">
        <v>46</v>
      </c>
      <c r="P2985" s="1" t="s">
        <v>732</v>
      </c>
      <c r="Q2985" s="1">
        <v>1</v>
      </c>
      <c r="R2985" s="1">
        <f>Retail_Sales_Analyis[[#This Row],[Final_Price]]-Retail_Sales_Analyis[[#This Row],[Total_Price]]</f>
        <v>-70.12</v>
      </c>
      <c r="S29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86" spans="1:19" x14ac:dyDescent="0.25">
      <c r="A2986" s="1" t="s">
        <v>4084</v>
      </c>
      <c r="B2986" s="2">
        <v>45505</v>
      </c>
      <c r="C2986" s="1" t="s">
        <v>93</v>
      </c>
      <c r="D2986" s="1" t="s">
        <v>67</v>
      </c>
      <c r="E2986" s="1" t="s">
        <v>207</v>
      </c>
      <c r="F2986" s="1" t="s">
        <v>69</v>
      </c>
      <c r="G2986" s="1" t="s">
        <v>78</v>
      </c>
      <c r="H2986" s="1" t="s">
        <v>136</v>
      </c>
      <c r="I2986" s="1">
        <v>252.62</v>
      </c>
      <c r="J2986" s="1">
        <v>7</v>
      </c>
      <c r="K2986" s="1">
        <v>1768.34</v>
      </c>
      <c r="L2986" s="1">
        <v>0</v>
      </c>
      <c r="M2986" s="1">
        <v>0</v>
      </c>
      <c r="N2986" s="1">
        <v>1768.34</v>
      </c>
      <c r="O2986" s="1" t="s">
        <v>46</v>
      </c>
      <c r="P2986" s="1" t="s">
        <v>506</v>
      </c>
      <c r="Q2986" s="1">
        <v>2</v>
      </c>
      <c r="R2986" s="1">
        <f>Retail_Sales_Analyis[[#This Row],[Final_Price]]-Retail_Sales_Analyis[[#This Row],[Total_Price]]</f>
        <v>0</v>
      </c>
      <c r="S29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87" spans="1:19" x14ac:dyDescent="0.25">
      <c r="A2987" s="1" t="s">
        <v>4085</v>
      </c>
      <c r="B2987" s="2">
        <v>45443</v>
      </c>
      <c r="C2987" s="1" t="s">
        <v>42</v>
      </c>
      <c r="D2987" s="1" t="s">
        <v>144</v>
      </c>
      <c r="E2987" s="1" t="s">
        <v>261</v>
      </c>
      <c r="F2987" s="1" t="s">
        <v>84</v>
      </c>
      <c r="G2987" s="1" t="s">
        <v>85</v>
      </c>
      <c r="H2987" s="1" t="s">
        <v>98</v>
      </c>
      <c r="I2987" s="1">
        <v>2463.87</v>
      </c>
      <c r="J2987" s="1">
        <v>10</v>
      </c>
      <c r="K2987" s="1">
        <v>24638.7</v>
      </c>
      <c r="L2987" s="1">
        <v>0</v>
      </c>
      <c r="M2987" s="1">
        <v>0</v>
      </c>
      <c r="N2987" s="1">
        <v>24638.7</v>
      </c>
      <c r="O2987" s="1" t="s">
        <v>24</v>
      </c>
      <c r="P2987" s="1" t="s">
        <v>1399</v>
      </c>
      <c r="Q2987" s="1">
        <v>2</v>
      </c>
      <c r="R2987" s="1">
        <f>Retail_Sales_Analyis[[#This Row],[Final_Price]]-Retail_Sales_Analyis[[#This Row],[Total_Price]]</f>
        <v>0</v>
      </c>
      <c r="S29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88" spans="1:19" x14ac:dyDescent="0.25">
      <c r="A2988" s="1" t="s">
        <v>4086</v>
      </c>
      <c r="B2988" s="2">
        <v>45370</v>
      </c>
      <c r="C2988" s="1" t="s">
        <v>61</v>
      </c>
      <c r="D2988" s="1" t="s">
        <v>28</v>
      </c>
      <c r="E2988" s="1" t="s">
        <v>285</v>
      </c>
      <c r="F2988" s="1" t="s">
        <v>30</v>
      </c>
      <c r="G2988" s="1" t="s">
        <v>112</v>
      </c>
      <c r="H2988" s="1" t="s">
        <v>183</v>
      </c>
      <c r="I2988" s="1">
        <v>1640.71</v>
      </c>
      <c r="J2988" s="1">
        <v>5</v>
      </c>
      <c r="K2988" s="1">
        <v>8203.5499999999993</v>
      </c>
      <c r="L2988" s="1">
        <v>20</v>
      </c>
      <c r="M2988" s="1">
        <v>1640.71</v>
      </c>
      <c r="N2988" s="1">
        <v>6562.84</v>
      </c>
      <c r="O2988" s="1" t="s">
        <v>24</v>
      </c>
      <c r="P2988" s="1" t="s">
        <v>1787</v>
      </c>
      <c r="Q2988" s="1">
        <v>1</v>
      </c>
      <c r="R2988" s="1">
        <f>Retail_Sales_Analyis[[#This Row],[Final_Price]]-Retail_Sales_Analyis[[#This Row],[Total_Price]]</f>
        <v>-1640.7099999999991</v>
      </c>
      <c r="S29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89" spans="1:19" x14ac:dyDescent="0.25">
      <c r="A2989" s="1" t="s">
        <v>4087</v>
      </c>
      <c r="B2989" s="2">
        <v>45392</v>
      </c>
      <c r="C2989" s="1" t="s">
        <v>54</v>
      </c>
      <c r="D2989" s="1" t="s">
        <v>55</v>
      </c>
      <c r="E2989" s="1" t="s">
        <v>129</v>
      </c>
      <c r="F2989" s="1" t="s">
        <v>69</v>
      </c>
      <c r="G2989" s="1" t="s">
        <v>31</v>
      </c>
      <c r="H2989" s="1" t="s">
        <v>250</v>
      </c>
      <c r="I2989" s="1">
        <v>98.93</v>
      </c>
      <c r="J2989" s="1">
        <v>2</v>
      </c>
      <c r="K2989" s="1">
        <v>197.86</v>
      </c>
      <c r="L2989" s="1">
        <v>20</v>
      </c>
      <c r="M2989" s="1">
        <v>39.57</v>
      </c>
      <c r="N2989" s="1">
        <v>158.29</v>
      </c>
      <c r="O2989" s="1" t="s">
        <v>33</v>
      </c>
      <c r="P2989" s="1" t="s">
        <v>1178</v>
      </c>
      <c r="Q2989" s="1">
        <v>2</v>
      </c>
      <c r="R2989" s="1">
        <f>Retail_Sales_Analyis[[#This Row],[Final_Price]]-Retail_Sales_Analyis[[#This Row],[Total_Price]]</f>
        <v>-39.570000000000022</v>
      </c>
      <c r="S29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2990" spans="1:19" x14ac:dyDescent="0.25">
      <c r="A2990" s="1" t="s">
        <v>4088</v>
      </c>
      <c r="B2990" s="2">
        <v>45460</v>
      </c>
      <c r="C2990" s="1" t="s">
        <v>173</v>
      </c>
      <c r="D2990" s="1" t="s">
        <v>43</v>
      </c>
      <c r="E2990" s="1" t="s">
        <v>157</v>
      </c>
      <c r="F2990" s="1" t="s">
        <v>37</v>
      </c>
      <c r="G2990" s="1" t="s">
        <v>169</v>
      </c>
      <c r="H2990" s="1" t="s">
        <v>175</v>
      </c>
      <c r="I2990" s="1">
        <v>889.61</v>
      </c>
      <c r="J2990" s="1">
        <v>6</v>
      </c>
      <c r="K2990" s="1">
        <v>5337.66</v>
      </c>
      <c r="L2990" s="1">
        <v>5</v>
      </c>
      <c r="M2990" s="1">
        <v>266.88</v>
      </c>
      <c r="N2990" s="1">
        <v>5070.78</v>
      </c>
      <c r="O2990" s="1" t="s">
        <v>80</v>
      </c>
      <c r="P2990" s="1" t="s">
        <v>805</v>
      </c>
      <c r="Q2990" s="1">
        <v>1</v>
      </c>
      <c r="R2990" s="1">
        <f>Retail_Sales_Analyis[[#This Row],[Final_Price]]-Retail_Sales_Analyis[[#This Row],[Total_Price]]</f>
        <v>-266.88000000000011</v>
      </c>
      <c r="S29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2991" spans="1:19" x14ac:dyDescent="0.25">
      <c r="A2991" s="1" t="s">
        <v>4089</v>
      </c>
      <c r="B2991" s="2">
        <v>45409</v>
      </c>
      <c r="C2991" s="1" t="s">
        <v>54</v>
      </c>
      <c r="D2991" s="1" t="s">
        <v>19</v>
      </c>
      <c r="E2991" s="1" t="s">
        <v>139</v>
      </c>
      <c r="F2991" s="1" t="s">
        <v>30</v>
      </c>
      <c r="G2991" s="1" t="s">
        <v>38</v>
      </c>
      <c r="H2991" s="1" t="s">
        <v>214</v>
      </c>
      <c r="I2991" s="1">
        <v>742.88</v>
      </c>
      <c r="J2991" s="1">
        <v>4</v>
      </c>
      <c r="K2991" s="1">
        <v>2971.52</v>
      </c>
      <c r="L2991" s="1">
        <v>0</v>
      </c>
      <c r="M2991" s="1">
        <v>0</v>
      </c>
      <c r="N2991" s="1">
        <v>2971.52</v>
      </c>
      <c r="O2991" s="1" t="s">
        <v>46</v>
      </c>
      <c r="P2991" s="1" t="s">
        <v>240</v>
      </c>
      <c r="Q2991" s="1">
        <v>5</v>
      </c>
      <c r="R2991" s="1">
        <f>Retail_Sales_Analyis[[#This Row],[Final_Price]]-Retail_Sales_Analyis[[#This Row],[Total_Price]]</f>
        <v>0</v>
      </c>
      <c r="S29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92" spans="1:19" x14ac:dyDescent="0.25">
      <c r="A2992" s="1" t="s">
        <v>4090</v>
      </c>
      <c r="B2992" s="2">
        <v>45486</v>
      </c>
      <c r="C2992" s="1" t="s">
        <v>195</v>
      </c>
      <c r="D2992" s="1" t="s">
        <v>19</v>
      </c>
      <c r="E2992" s="1" t="s">
        <v>50</v>
      </c>
      <c r="F2992" s="1" t="s">
        <v>69</v>
      </c>
      <c r="G2992" s="1" t="s">
        <v>38</v>
      </c>
      <c r="H2992" s="1" t="s">
        <v>214</v>
      </c>
      <c r="I2992" s="1">
        <v>210.54</v>
      </c>
      <c r="J2992" s="1">
        <v>9</v>
      </c>
      <c r="K2992" s="1">
        <v>1894.86</v>
      </c>
      <c r="L2992" s="1">
        <v>15</v>
      </c>
      <c r="M2992" s="1">
        <v>284.23</v>
      </c>
      <c r="N2992" s="1">
        <v>1610.63</v>
      </c>
      <c r="O2992" s="1" t="s">
        <v>64</v>
      </c>
      <c r="P2992" s="1" t="s">
        <v>2041</v>
      </c>
      <c r="Q2992" s="1">
        <v>3</v>
      </c>
      <c r="R2992" s="1">
        <f>Retail_Sales_Analyis[[#This Row],[Final_Price]]-Retail_Sales_Analyis[[#This Row],[Total_Price]]</f>
        <v>-284.22999999999979</v>
      </c>
      <c r="S29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93" spans="1:19" x14ac:dyDescent="0.25">
      <c r="A2993" s="1" t="s">
        <v>4091</v>
      </c>
      <c r="B2993" s="2">
        <v>45583</v>
      </c>
      <c r="C2993" s="1" t="s">
        <v>76</v>
      </c>
      <c r="D2993" s="1" t="s">
        <v>144</v>
      </c>
      <c r="E2993" s="1" t="s">
        <v>337</v>
      </c>
      <c r="F2993" s="1" t="s">
        <v>21</v>
      </c>
      <c r="G2993" s="1" t="s">
        <v>22</v>
      </c>
      <c r="H2993" s="1" t="s">
        <v>51</v>
      </c>
      <c r="I2993" s="1">
        <v>830.01</v>
      </c>
      <c r="J2993" s="1">
        <v>2</v>
      </c>
      <c r="K2993" s="1">
        <v>1660.02</v>
      </c>
      <c r="L2993" s="1">
        <v>0</v>
      </c>
      <c r="M2993" s="1">
        <v>0</v>
      </c>
      <c r="N2993" s="1">
        <v>1660.02</v>
      </c>
      <c r="O2993" s="1" t="s">
        <v>64</v>
      </c>
      <c r="P2993" s="1" t="s">
        <v>794</v>
      </c>
      <c r="Q2993" s="1">
        <v>5</v>
      </c>
      <c r="R2993" s="1">
        <f>Retail_Sales_Analyis[[#This Row],[Final_Price]]-Retail_Sales_Analyis[[#This Row],[Total_Price]]</f>
        <v>0</v>
      </c>
      <c r="S29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94" spans="1:19" x14ac:dyDescent="0.25">
      <c r="A2994" s="1" t="s">
        <v>4092</v>
      </c>
      <c r="B2994" s="2">
        <v>45417</v>
      </c>
      <c r="C2994" s="1" t="s">
        <v>42</v>
      </c>
      <c r="D2994" s="1" t="s">
        <v>49</v>
      </c>
      <c r="E2994" s="1" t="s">
        <v>166</v>
      </c>
      <c r="F2994" s="1" t="s">
        <v>37</v>
      </c>
      <c r="G2994" s="1" t="s">
        <v>22</v>
      </c>
      <c r="H2994" s="1" t="s">
        <v>23</v>
      </c>
      <c r="I2994" s="1">
        <v>793.4</v>
      </c>
      <c r="J2994" s="1">
        <v>8</v>
      </c>
      <c r="K2994" s="1">
        <v>6347.2</v>
      </c>
      <c r="L2994" s="1">
        <v>15</v>
      </c>
      <c r="M2994" s="1">
        <v>952.08</v>
      </c>
      <c r="N2994" s="1">
        <v>5395.12</v>
      </c>
      <c r="O2994" s="1" t="s">
        <v>64</v>
      </c>
      <c r="P2994" s="1" t="s">
        <v>745</v>
      </c>
      <c r="Q2994" s="1">
        <v>4</v>
      </c>
      <c r="R2994" s="1">
        <f>Retail_Sales_Analyis[[#This Row],[Final_Price]]-Retail_Sales_Analyis[[#This Row],[Total_Price]]</f>
        <v>-952.07999999999993</v>
      </c>
      <c r="S29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95" spans="1:19" x14ac:dyDescent="0.25">
      <c r="A2995" s="1" t="s">
        <v>4093</v>
      </c>
      <c r="B2995" s="2">
        <v>45547</v>
      </c>
      <c r="C2995" s="1" t="s">
        <v>116</v>
      </c>
      <c r="D2995" s="1" t="s">
        <v>67</v>
      </c>
      <c r="E2995" s="1" t="s">
        <v>302</v>
      </c>
      <c r="F2995" s="1" t="s">
        <v>30</v>
      </c>
      <c r="G2995" s="1" t="s">
        <v>57</v>
      </c>
      <c r="H2995" s="1" t="s">
        <v>101</v>
      </c>
      <c r="I2995" s="1">
        <v>1894.32</v>
      </c>
      <c r="J2995" s="1">
        <v>1</v>
      </c>
      <c r="K2995" s="1">
        <v>1894.32</v>
      </c>
      <c r="L2995" s="1">
        <v>10</v>
      </c>
      <c r="M2995" s="1">
        <v>189.43</v>
      </c>
      <c r="N2995" s="1">
        <v>1704.89</v>
      </c>
      <c r="O2995" s="1" t="s">
        <v>24</v>
      </c>
      <c r="P2995" s="1" t="s">
        <v>522</v>
      </c>
      <c r="Q2995" s="1">
        <v>1</v>
      </c>
      <c r="R2995" s="1">
        <f>Retail_Sales_Analyis[[#This Row],[Final_Price]]-Retail_Sales_Analyis[[#This Row],[Total_Price]]</f>
        <v>-189.42999999999984</v>
      </c>
      <c r="S29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96" spans="1:19" x14ac:dyDescent="0.25">
      <c r="A2996" s="1" t="s">
        <v>4094</v>
      </c>
      <c r="B2996" s="2">
        <v>45573</v>
      </c>
      <c r="C2996" s="1" t="s">
        <v>76</v>
      </c>
      <c r="D2996" s="1" t="s">
        <v>28</v>
      </c>
      <c r="E2996" s="1" t="s">
        <v>213</v>
      </c>
      <c r="F2996" s="1" t="s">
        <v>69</v>
      </c>
      <c r="G2996" s="1" t="s">
        <v>31</v>
      </c>
      <c r="H2996" s="1" t="s">
        <v>32</v>
      </c>
      <c r="I2996" s="1">
        <v>80.400000000000006</v>
      </c>
      <c r="J2996" s="1">
        <v>5</v>
      </c>
      <c r="K2996" s="1">
        <v>402</v>
      </c>
      <c r="L2996" s="1">
        <v>0</v>
      </c>
      <c r="M2996" s="1">
        <v>0</v>
      </c>
      <c r="N2996" s="1">
        <v>402</v>
      </c>
      <c r="O2996" s="1" t="s">
        <v>64</v>
      </c>
      <c r="P2996" s="1" t="s">
        <v>1830</v>
      </c>
      <c r="Q2996" s="1">
        <v>4</v>
      </c>
      <c r="R2996" s="1">
        <f>Retail_Sales_Analyis[[#This Row],[Final_Price]]-Retail_Sales_Analyis[[#This Row],[Total_Price]]</f>
        <v>0</v>
      </c>
      <c r="S29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2997" spans="1:19" x14ac:dyDescent="0.25">
      <c r="A2997" s="1" t="s">
        <v>4095</v>
      </c>
      <c r="B2997" s="2">
        <v>45627</v>
      </c>
      <c r="C2997" s="1" t="s">
        <v>73</v>
      </c>
      <c r="D2997" s="1" t="s">
        <v>49</v>
      </c>
      <c r="E2997" s="1" t="s">
        <v>20</v>
      </c>
      <c r="F2997" s="1" t="s">
        <v>21</v>
      </c>
      <c r="G2997" s="1" t="s">
        <v>78</v>
      </c>
      <c r="H2997" s="1" t="s">
        <v>323</v>
      </c>
      <c r="I2997" s="1">
        <v>266.91000000000003</v>
      </c>
      <c r="J2997" s="1">
        <v>1</v>
      </c>
      <c r="K2997" s="1">
        <v>266.91000000000003</v>
      </c>
      <c r="L2997" s="1">
        <v>15</v>
      </c>
      <c r="M2997" s="1">
        <v>40.04</v>
      </c>
      <c r="N2997" s="1">
        <v>226.87</v>
      </c>
      <c r="O2997" s="1" t="s">
        <v>46</v>
      </c>
      <c r="P2997" s="1" t="s">
        <v>2152</v>
      </c>
      <c r="Q2997" s="1">
        <v>2</v>
      </c>
      <c r="R2997" s="1">
        <f>Retail_Sales_Analyis[[#This Row],[Final_Price]]-Retail_Sales_Analyis[[#This Row],[Total_Price]]</f>
        <v>-40.04000000000002</v>
      </c>
      <c r="S29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98" spans="1:19" x14ac:dyDescent="0.25">
      <c r="A2998" s="1" t="s">
        <v>4096</v>
      </c>
      <c r="B2998" s="2">
        <v>45642</v>
      </c>
      <c r="C2998" s="1" t="s">
        <v>73</v>
      </c>
      <c r="D2998" s="1" t="s">
        <v>43</v>
      </c>
      <c r="E2998" s="1" t="s">
        <v>312</v>
      </c>
      <c r="F2998" s="1" t="s">
        <v>30</v>
      </c>
      <c r="G2998" s="1" t="s">
        <v>22</v>
      </c>
      <c r="H2998" s="1" t="s">
        <v>187</v>
      </c>
      <c r="I2998" s="1">
        <v>594.16999999999996</v>
      </c>
      <c r="J2998" s="1">
        <v>3</v>
      </c>
      <c r="K2998" s="1">
        <v>1782.51</v>
      </c>
      <c r="L2998" s="1">
        <v>15</v>
      </c>
      <c r="M2998" s="1">
        <v>267.38</v>
      </c>
      <c r="N2998" s="1">
        <v>1515.13</v>
      </c>
      <c r="O2998" s="1" t="s">
        <v>24</v>
      </c>
      <c r="P2998" s="1" t="s">
        <v>2663</v>
      </c>
      <c r="Q2998" s="1">
        <v>4</v>
      </c>
      <c r="R2998" s="1">
        <f>Retail_Sales_Analyis[[#This Row],[Final_Price]]-Retail_Sales_Analyis[[#This Row],[Total_Price]]</f>
        <v>-267.37999999999988</v>
      </c>
      <c r="S29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2999" spans="1:19" x14ac:dyDescent="0.25">
      <c r="A2999" s="1" t="s">
        <v>4097</v>
      </c>
      <c r="B2999" s="2">
        <v>45464</v>
      </c>
      <c r="C2999" s="1" t="s">
        <v>173</v>
      </c>
      <c r="D2999" s="1" t="s">
        <v>144</v>
      </c>
      <c r="E2999" s="1" t="s">
        <v>207</v>
      </c>
      <c r="F2999" s="1" t="s">
        <v>84</v>
      </c>
      <c r="G2999" s="1" t="s">
        <v>38</v>
      </c>
      <c r="H2999" s="1" t="s">
        <v>70</v>
      </c>
      <c r="I2999" s="1">
        <v>257.24</v>
      </c>
      <c r="J2999" s="1">
        <v>4</v>
      </c>
      <c r="K2999" s="1">
        <v>1028.96</v>
      </c>
      <c r="L2999" s="1">
        <v>0</v>
      </c>
      <c r="M2999" s="1">
        <v>0</v>
      </c>
      <c r="N2999" s="1">
        <v>1028.96</v>
      </c>
      <c r="O2999" s="1" t="s">
        <v>64</v>
      </c>
      <c r="P2999" s="1" t="s">
        <v>1561</v>
      </c>
      <c r="Q2999" s="1">
        <v>5</v>
      </c>
      <c r="R2999" s="1">
        <f>Retail_Sales_Analyis[[#This Row],[Final_Price]]-Retail_Sales_Analyis[[#This Row],[Total_Price]]</f>
        <v>0</v>
      </c>
      <c r="S29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0" spans="1:19" x14ac:dyDescent="0.25">
      <c r="A3000" s="1" t="s">
        <v>4098</v>
      </c>
      <c r="B3000" s="2">
        <v>45423</v>
      </c>
      <c r="C3000" s="1" t="s">
        <v>42</v>
      </c>
      <c r="D3000" s="1" t="s">
        <v>19</v>
      </c>
      <c r="E3000" s="1" t="s">
        <v>129</v>
      </c>
      <c r="F3000" s="1" t="s">
        <v>84</v>
      </c>
      <c r="G3000" s="1" t="s">
        <v>38</v>
      </c>
      <c r="H3000" s="1" t="s">
        <v>422</v>
      </c>
      <c r="I3000" s="1">
        <v>697.57</v>
      </c>
      <c r="J3000" s="1">
        <v>10</v>
      </c>
      <c r="K3000" s="1">
        <v>6975.7</v>
      </c>
      <c r="L3000" s="1">
        <v>20</v>
      </c>
      <c r="M3000" s="1">
        <v>1395.14</v>
      </c>
      <c r="N3000" s="1">
        <v>5580.56</v>
      </c>
      <c r="O3000" s="1" t="s">
        <v>64</v>
      </c>
      <c r="P3000" s="1" t="s">
        <v>2648</v>
      </c>
      <c r="Q3000" s="1">
        <v>3</v>
      </c>
      <c r="R3000" s="1">
        <f>Retail_Sales_Analyis[[#This Row],[Final_Price]]-Retail_Sales_Analyis[[#This Row],[Total_Price]]</f>
        <v>-1395.1399999999994</v>
      </c>
      <c r="S30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01" spans="1:19" x14ac:dyDescent="0.25">
      <c r="A3001" s="1" t="s">
        <v>4099</v>
      </c>
      <c r="B3001" s="2">
        <v>45542</v>
      </c>
      <c r="C3001" s="1" t="s">
        <v>116</v>
      </c>
      <c r="D3001" s="1" t="s">
        <v>19</v>
      </c>
      <c r="E3001" s="1" t="s">
        <v>125</v>
      </c>
      <c r="F3001" s="1" t="s">
        <v>21</v>
      </c>
      <c r="G3001" s="1" t="s">
        <v>57</v>
      </c>
      <c r="H3001" s="1" t="s">
        <v>158</v>
      </c>
      <c r="I3001" s="1">
        <v>1478.69</v>
      </c>
      <c r="J3001" s="1">
        <v>4</v>
      </c>
      <c r="K3001" s="1">
        <v>5914.76</v>
      </c>
      <c r="L3001" s="1">
        <v>20</v>
      </c>
      <c r="M3001" s="1">
        <v>1182.95</v>
      </c>
      <c r="N3001" s="1">
        <v>4731.8100000000004</v>
      </c>
      <c r="O3001" s="1" t="s">
        <v>80</v>
      </c>
      <c r="P3001" s="1" t="s">
        <v>789</v>
      </c>
      <c r="Q3001" s="1">
        <v>1</v>
      </c>
      <c r="R3001" s="1">
        <f>Retail_Sales_Analyis[[#This Row],[Final_Price]]-Retail_Sales_Analyis[[#This Row],[Total_Price]]</f>
        <v>-1182.9499999999998</v>
      </c>
      <c r="S30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02" spans="1:19" x14ac:dyDescent="0.25">
      <c r="A3002" s="1" t="s">
        <v>4100</v>
      </c>
      <c r="B3002" s="2">
        <v>45620</v>
      </c>
      <c r="C3002" s="1" t="s">
        <v>18</v>
      </c>
      <c r="D3002" s="1" t="s">
        <v>49</v>
      </c>
      <c r="E3002" s="1" t="s">
        <v>129</v>
      </c>
      <c r="F3002" s="1" t="s">
        <v>21</v>
      </c>
      <c r="G3002" s="1" t="s">
        <v>31</v>
      </c>
      <c r="H3002" s="1" t="s">
        <v>250</v>
      </c>
      <c r="I3002" s="1">
        <v>174.76</v>
      </c>
      <c r="J3002" s="1">
        <v>4</v>
      </c>
      <c r="K3002" s="1">
        <v>699.04</v>
      </c>
      <c r="L3002" s="1">
        <v>15</v>
      </c>
      <c r="M3002" s="1">
        <v>104.86</v>
      </c>
      <c r="N3002" s="1">
        <v>594.17999999999995</v>
      </c>
      <c r="O3002" s="1" t="s">
        <v>64</v>
      </c>
      <c r="P3002" s="1" t="s">
        <v>439</v>
      </c>
      <c r="Q3002" s="1">
        <v>1</v>
      </c>
      <c r="R3002" s="1">
        <f>Retail_Sales_Analyis[[#This Row],[Final_Price]]-Retail_Sales_Analyis[[#This Row],[Total_Price]]</f>
        <v>-104.86000000000001</v>
      </c>
      <c r="S30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03" spans="1:19" x14ac:dyDescent="0.25">
      <c r="A3003" s="1" t="s">
        <v>4101</v>
      </c>
      <c r="B3003" s="2">
        <v>45543</v>
      </c>
      <c r="C3003" s="1" t="s">
        <v>116</v>
      </c>
      <c r="D3003" s="1" t="s">
        <v>49</v>
      </c>
      <c r="E3003" s="1" t="s">
        <v>337</v>
      </c>
      <c r="F3003" s="1" t="s">
        <v>84</v>
      </c>
      <c r="G3003" s="1" t="s">
        <v>38</v>
      </c>
      <c r="H3003" s="1" t="s">
        <v>39</v>
      </c>
      <c r="I3003" s="1">
        <v>691.59</v>
      </c>
      <c r="J3003" s="1">
        <v>3</v>
      </c>
      <c r="K3003" s="1">
        <v>2074.77</v>
      </c>
      <c r="L3003" s="1">
        <v>0</v>
      </c>
      <c r="M3003" s="1">
        <v>0</v>
      </c>
      <c r="N3003" s="1">
        <v>2074.77</v>
      </c>
      <c r="O3003" s="1" t="s">
        <v>33</v>
      </c>
      <c r="P3003" s="1" t="s">
        <v>995</v>
      </c>
      <c r="Q3003" s="1">
        <v>3</v>
      </c>
      <c r="R3003" s="1">
        <f>Retail_Sales_Analyis[[#This Row],[Final_Price]]-Retail_Sales_Analyis[[#This Row],[Total_Price]]</f>
        <v>0</v>
      </c>
      <c r="S30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4" spans="1:19" x14ac:dyDescent="0.25">
      <c r="A3004" s="1" t="s">
        <v>4102</v>
      </c>
      <c r="B3004" s="2">
        <v>45527</v>
      </c>
      <c r="C3004" s="1" t="s">
        <v>93</v>
      </c>
      <c r="D3004" s="1" t="s">
        <v>144</v>
      </c>
      <c r="E3004" s="1" t="s">
        <v>125</v>
      </c>
      <c r="F3004" s="1" t="s">
        <v>30</v>
      </c>
      <c r="G3004" s="1" t="s">
        <v>78</v>
      </c>
      <c r="H3004" s="1" t="s">
        <v>146</v>
      </c>
      <c r="I3004" s="1">
        <v>471.56</v>
      </c>
      <c r="J3004" s="1">
        <v>8</v>
      </c>
      <c r="K3004" s="1">
        <v>3772.48</v>
      </c>
      <c r="L3004" s="1">
        <v>0</v>
      </c>
      <c r="M3004" s="1">
        <v>0</v>
      </c>
      <c r="N3004" s="1">
        <v>3772.48</v>
      </c>
      <c r="O3004" s="1" t="s">
        <v>24</v>
      </c>
      <c r="P3004" s="1" t="s">
        <v>1104</v>
      </c>
      <c r="Q3004" s="1">
        <v>2</v>
      </c>
      <c r="R3004" s="1">
        <f>Retail_Sales_Analyis[[#This Row],[Final_Price]]-Retail_Sales_Analyis[[#This Row],[Total_Price]]</f>
        <v>0</v>
      </c>
      <c r="S30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5" spans="1:19" x14ac:dyDescent="0.25">
      <c r="A3005" s="1" t="s">
        <v>4103</v>
      </c>
      <c r="B3005" s="2">
        <v>45378</v>
      </c>
      <c r="C3005" s="1" t="s">
        <v>61</v>
      </c>
      <c r="D3005" s="1" t="s">
        <v>55</v>
      </c>
      <c r="E3005" s="1" t="s">
        <v>542</v>
      </c>
      <c r="F3005" s="1" t="s">
        <v>37</v>
      </c>
      <c r="G3005" s="1" t="s">
        <v>78</v>
      </c>
      <c r="H3005" s="1" t="s">
        <v>79</v>
      </c>
      <c r="I3005" s="1">
        <v>329.89</v>
      </c>
      <c r="J3005" s="1">
        <v>3</v>
      </c>
      <c r="K3005" s="1">
        <v>989.67</v>
      </c>
      <c r="L3005" s="1">
        <v>0</v>
      </c>
      <c r="M3005" s="1">
        <v>0</v>
      </c>
      <c r="N3005" s="1">
        <v>989.67</v>
      </c>
      <c r="O3005" s="1" t="s">
        <v>64</v>
      </c>
      <c r="P3005" s="1" t="s">
        <v>326</v>
      </c>
      <c r="Q3005" s="1">
        <v>3</v>
      </c>
      <c r="R3005" s="1">
        <f>Retail_Sales_Analyis[[#This Row],[Final_Price]]-Retail_Sales_Analyis[[#This Row],[Total_Price]]</f>
        <v>0</v>
      </c>
      <c r="S30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6" spans="1:19" x14ac:dyDescent="0.25">
      <c r="A3006" s="1" t="s">
        <v>4104</v>
      </c>
      <c r="B3006" s="2">
        <v>45472</v>
      </c>
      <c r="C3006" s="1" t="s">
        <v>173</v>
      </c>
      <c r="D3006" s="1" t="s">
        <v>19</v>
      </c>
      <c r="E3006" s="1" t="s">
        <v>132</v>
      </c>
      <c r="F3006" s="1" t="s">
        <v>30</v>
      </c>
      <c r="G3006" s="1" t="s">
        <v>169</v>
      </c>
      <c r="H3006" s="1" t="s">
        <v>175</v>
      </c>
      <c r="I3006" s="1">
        <v>1436.65</v>
      </c>
      <c r="J3006" s="1">
        <v>6</v>
      </c>
      <c r="K3006" s="1">
        <v>8619.9</v>
      </c>
      <c r="L3006" s="1">
        <v>10</v>
      </c>
      <c r="M3006" s="1">
        <v>861.99</v>
      </c>
      <c r="N3006" s="1">
        <v>7757.91</v>
      </c>
      <c r="O3006" s="1" t="s">
        <v>33</v>
      </c>
      <c r="P3006" s="1" t="s">
        <v>1125</v>
      </c>
      <c r="Q3006" s="1">
        <v>1</v>
      </c>
      <c r="R3006" s="1">
        <f>Retail_Sales_Analyis[[#This Row],[Final_Price]]-Retail_Sales_Analyis[[#This Row],[Total_Price]]</f>
        <v>-861.98999999999978</v>
      </c>
      <c r="S30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07" spans="1:19" x14ac:dyDescent="0.25">
      <c r="A3007" s="1" t="s">
        <v>4105</v>
      </c>
      <c r="B3007" s="2">
        <v>45378</v>
      </c>
      <c r="C3007" s="1" t="s">
        <v>61</v>
      </c>
      <c r="D3007" s="1" t="s">
        <v>55</v>
      </c>
      <c r="E3007" s="1" t="s">
        <v>192</v>
      </c>
      <c r="F3007" s="1" t="s">
        <v>37</v>
      </c>
      <c r="G3007" s="1" t="s">
        <v>112</v>
      </c>
      <c r="H3007" s="1" t="s">
        <v>118</v>
      </c>
      <c r="I3007" s="1">
        <v>727.83</v>
      </c>
      <c r="J3007" s="1">
        <v>5</v>
      </c>
      <c r="K3007" s="1">
        <v>3639.15</v>
      </c>
      <c r="L3007" s="1">
        <v>0</v>
      </c>
      <c r="M3007" s="1">
        <v>0</v>
      </c>
      <c r="N3007" s="1">
        <v>3639.15</v>
      </c>
      <c r="O3007" s="1" t="s">
        <v>33</v>
      </c>
      <c r="P3007" s="1" t="s">
        <v>641</v>
      </c>
      <c r="Q3007" s="1">
        <v>3</v>
      </c>
      <c r="R3007" s="1">
        <f>Retail_Sales_Analyis[[#This Row],[Final_Price]]-Retail_Sales_Analyis[[#This Row],[Total_Price]]</f>
        <v>0</v>
      </c>
      <c r="S30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8" spans="1:19" x14ac:dyDescent="0.25">
      <c r="A3008" s="1" t="s">
        <v>4106</v>
      </c>
      <c r="B3008" s="2">
        <v>45363</v>
      </c>
      <c r="C3008" s="1" t="s">
        <v>61</v>
      </c>
      <c r="D3008" s="1" t="s">
        <v>28</v>
      </c>
      <c r="E3008" s="1" t="s">
        <v>213</v>
      </c>
      <c r="F3008" s="1" t="s">
        <v>37</v>
      </c>
      <c r="G3008" s="1" t="s">
        <v>85</v>
      </c>
      <c r="H3008" s="1" t="s">
        <v>180</v>
      </c>
      <c r="I3008" s="1">
        <v>4252.05</v>
      </c>
      <c r="J3008" s="1">
        <v>2</v>
      </c>
      <c r="K3008" s="1">
        <v>8504.1</v>
      </c>
      <c r="L3008" s="1">
        <v>0</v>
      </c>
      <c r="M3008" s="1">
        <v>0</v>
      </c>
      <c r="N3008" s="1">
        <v>8504.1</v>
      </c>
      <c r="O3008" s="1" t="s">
        <v>46</v>
      </c>
      <c r="P3008" s="1" t="s">
        <v>2657</v>
      </c>
      <c r="Q3008" s="1">
        <v>2</v>
      </c>
      <c r="R3008" s="1">
        <f>Retail_Sales_Analyis[[#This Row],[Final_Price]]-Retail_Sales_Analyis[[#This Row],[Total_Price]]</f>
        <v>0</v>
      </c>
      <c r="S30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09" spans="1:19" x14ac:dyDescent="0.25">
      <c r="A3009" s="1" t="s">
        <v>4107</v>
      </c>
      <c r="B3009" s="2">
        <v>45571</v>
      </c>
      <c r="C3009" s="1" t="s">
        <v>76</v>
      </c>
      <c r="D3009" s="1" t="s">
        <v>49</v>
      </c>
      <c r="E3009" s="1" t="s">
        <v>337</v>
      </c>
      <c r="F3009" s="1" t="s">
        <v>30</v>
      </c>
      <c r="G3009" s="1" t="s">
        <v>31</v>
      </c>
      <c r="H3009" s="1" t="s">
        <v>45</v>
      </c>
      <c r="I3009" s="1">
        <v>83.92</v>
      </c>
      <c r="J3009" s="1">
        <v>2</v>
      </c>
      <c r="K3009" s="1">
        <v>167.84</v>
      </c>
      <c r="L3009" s="1">
        <v>20</v>
      </c>
      <c r="M3009" s="1">
        <v>33.57</v>
      </c>
      <c r="N3009" s="1">
        <v>134.27000000000001</v>
      </c>
      <c r="O3009" s="1" t="s">
        <v>64</v>
      </c>
      <c r="P3009" s="1" t="s">
        <v>1052</v>
      </c>
      <c r="Q3009" s="1">
        <v>3</v>
      </c>
      <c r="R3009" s="1">
        <f>Retail_Sales_Analyis[[#This Row],[Final_Price]]-Retail_Sales_Analyis[[#This Row],[Total_Price]]</f>
        <v>-33.569999999999993</v>
      </c>
      <c r="S30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10" spans="1:19" x14ac:dyDescent="0.25">
      <c r="A3010" s="1" t="s">
        <v>4108</v>
      </c>
      <c r="B3010" s="2">
        <v>45542</v>
      </c>
      <c r="C3010" s="1" t="s">
        <v>116</v>
      </c>
      <c r="D3010" s="1" t="s">
        <v>19</v>
      </c>
      <c r="E3010" s="1" t="s">
        <v>97</v>
      </c>
      <c r="F3010" s="1" t="s">
        <v>69</v>
      </c>
      <c r="G3010" s="1" t="s">
        <v>57</v>
      </c>
      <c r="H3010" s="1" t="s">
        <v>158</v>
      </c>
      <c r="I3010" s="1">
        <v>1911.47</v>
      </c>
      <c r="J3010" s="1">
        <v>5</v>
      </c>
      <c r="K3010" s="1">
        <v>9557.35</v>
      </c>
      <c r="L3010" s="1">
        <v>20</v>
      </c>
      <c r="M3010" s="1">
        <v>1911.47</v>
      </c>
      <c r="N3010" s="1">
        <v>7645.88</v>
      </c>
      <c r="O3010" s="1" t="s">
        <v>24</v>
      </c>
      <c r="P3010" s="1" t="s">
        <v>2898</v>
      </c>
      <c r="Q3010" s="1">
        <v>5</v>
      </c>
      <c r="R3010" s="1">
        <f>Retail_Sales_Analyis[[#This Row],[Final_Price]]-Retail_Sales_Analyis[[#This Row],[Total_Price]]</f>
        <v>-1911.4700000000003</v>
      </c>
      <c r="S30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11" spans="1:19" x14ac:dyDescent="0.25">
      <c r="A3011" s="1" t="s">
        <v>4109</v>
      </c>
      <c r="B3011" s="2">
        <v>45386</v>
      </c>
      <c r="C3011" s="1" t="s">
        <v>54</v>
      </c>
      <c r="D3011" s="1" t="s">
        <v>67</v>
      </c>
      <c r="E3011" s="1" t="s">
        <v>207</v>
      </c>
      <c r="F3011" s="1" t="s">
        <v>69</v>
      </c>
      <c r="G3011" s="1" t="s">
        <v>78</v>
      </c>
      <c r="H3011" s="1" t="s">
        <v>136</v>
      </c>
      <c r="I3011" s="1">
        <v>536.24</v>
      </c>
      <c r="J3011" s="1">
        <v>6</v>
      </c>
      <c r="K3011" s="1">
        <v>3217.44</v>
      </c>
      <c r="L3011" s="1">
        <v>0</v>
      </c>
      <c r="M3011" s="1">
        <v>0</v>
      </c>
      <c r="N3011" s="1">
        <v>3217.44</v>
      </c>
      <c r="O3011" s="1" t="s">
        <v>33</v>
      </c>
      <c r="P3011" s="1" t="s">
        <v>2342</v>
      </c>
      <c r="Q3011" s="1">
        <v>1</v>
      </c>
      <c r="R3011" s="1">
        <f>Retail_Sales_Analyis[[#This Row],[Final_Price]]-Retail_Sales_Analyis[[#This Row],[Total_Price]]</f>
        <v>0</v>
      </c>
      <c r="S30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12" spans="1:19" x14ac:dyDescent="0.25">
      <c r="A3012" s="1" t="s">
        <v>4110</v>
      </c>
      <c r="B3012" s="2">
        <v>45569</v>
      </c>
      <c r="C3012" s="1" t="s">
        <v>76</v>
      </c>
      <c r="D3012" s="1" t="s">
        <v>144</v>
      </c>
      <c r="E3012" s="1" t="s">
        <v>337</v>
      </c>
      <c r="F3012" s="1" t="s">
        <v>69</v>
      </c>
      <c r="G3012" s="1" t="s">
        <v>57</v>
      </c>
      <c r="H3012" s="1" t="s">
        <v>101</v>
      </c>
      <c r="I3012" s="1">
        <v>2884.62</v>
      </c>
      <c r="J3012" s="1">
        <v>3</v>
      </c>
      <c r="K3012" s="1">
        <v>8653.86</v>
      </c>
      <c r="L3012" s="1">
        <v>0</v>
      </c>
      <c r="M3012" s="1">
        <v>0</v>
      </c>
      <c r="N3012" s="1">
        <v>8653.86</v>
      </c>
      <c r="O3012" s="1" t="s">
        <v>33</v>
      </c>
      <c r="P3012" s="1" t="s">
        <v>875</v>
      </c>
      <c r="Q3012" s="1">
        <v>2</v>
      </c>
      <c r="R3012" s="1">
        <f>Retail_Sales_Analyis[[#This Row],[Final_Price]]-Retail_Sales_Analyis[[#This Row],[Total_Price]]</f>
        <v>0</v>
      </c>
      <c r="S30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13" spans="1:19" x14ac:dyDescent="0.25">
      <c r="A3013" s="1" t="s">
        <v>4111</v>
      </c>
      <c r="B3013" s="2">
        <v>45620</v>
      </c>
      <c r="C3013" s="1" t="s">
        <v>18</v>
      </c>
      <c r="D3013" s="1" t="s">
        <v>49</v>
      </c>
      <c r="E3013" s="1" t="s">
        <v>97</v>
      </c>
      <c r="F3013" s="1" t="s">
        <v>69</v>
      </c>
      <c r="G3013" s="1" t="s">
        <v>22</v>
      </c>
      <c r="H3013" s="1" t="s">
        <v>23</v>
      </c>
      <c r="I3013" s="1">
        <v>876.3</v>
      </c>
      <c r="J3013" s="1">
        <v>2</v>
      </c>
      <c r="K3013" s="1">
        <v>1752.6</v>
      </c>
      <c r="L3013" s="1">
        <v>15</v>
      </c>
      <c r="M3013" s="1">
        <v>262.89</v>
      </c>
      <c r="N3013" s="1">
        <v>1489.71</v>
      </c>
      <c r="O3013" s="1" t="s">
        <v>80</v>
      </c>
      <c r="P3013" s="1" t="s">
        <v>599</v>
      </c>
      <c r="Q3013" s="1">
        <v>3</v>
      </c>
      <c r="R3013" s="1">
        <f>Retail_Sales_Analyis[[#This Row],[Final_Price]]-Retail_Sales_Analyis[[#This Row],[Total_Price]]</f>
        <v>-262.88999999999987</v>
      </c>
      <c r="S30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14" spans="1:19" x14ac:dyDescent="0.25">
      <c r="A3014" s="1" t="s">
        <v>4112</v>
      </c>
      <c r="B3014" s="2">
        <v>45322</v>
      </c>
      <c r="C3014" s="1" t="s">
        <v>36</v>
      </c>
      <c r="D3014" s="1" t="s">
        <v>55</v>
      </c>
      <c r="E3014" s="1" t="s">
        <v>166</v>
      </c>
      <c r="F3014" s="1" t="s">
        <v>37</v>
      </c>
      <c r="G3014" s="1" t="s">
        <v>78</v>
      </c>
      <c r="H3014" s="1" t="s">
        <v>146</v>
      </c>
      <c r="I3014" s="1">
        <v>154.16999999999999</v>
      </c>
      <c r="J3014" s="1">
        <v>1</v>
      </c>
      <c r="K3014" s="1">
        <v>154.16999999999999</v>
      </c>
      <c r="L3014" s="1">
        <v>5</v>
      </c>
      <c r="M3014" s="1">
        <v>7.71</v>
      </c>
      <c r="N3014" s="1">
        <v>146.46</v>
      </c>
      <c r="O3014" s="1" t="s">
        <v>33</v>
      </c>
      <c r="P3014" s="1" t="s">
        <v>1603</v>
      </c>
      <c r="Q3014" s="1">
        <v>1</v>
      </c>
      <c r="R3014" s="1">
        <f>Retail_Sales_Analyis[[#This Row],[Final_Price]]-Retail_Sales_Analyis[[#This Row],[Total_Price]]</f>
        <v>-7.7099999999999795</v>
      </c>
      <c r="S30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15" spans="1:19" x14ac:dyDescent="0.25">
      <c r="A3015" s="1" t="s">
        <v>4113</v>
      </c>
      <c r="B3015" s="2">
        <v>45560</v>
      </c>
      <c r="C3015" s="1" t="s">
        <v>116</v>
      </c>
      <c r="D3015" s="1" t="s">
        <v>55</v>
      </c>
      <c r="E3015" s="1" t="s">
        <v>411</v>
      </c>
      <c r="F3015" s="1" t="s">
        <v>69</v>
      </c>
      <c r="G3015" s="1" t="s">
        <v>85</v>
      </c>
      <c r="H3015" s="1" t="s">
        <v>297</v>
      </c>
      <c r="I3015" s="1">
        <v>2257.5700000000002</v>
      </c>
      <c r="J3015" s="1">
        <v>9</v>
      </c>
      <c r="K3015" s="1">
        <v>20318.13</v>
      </c>
      <c r="L3015" s="1">
        <v>15</v>
      </c>
      <c r="M3015" s="1">
        <v>3047.72</v>
      </c>
      <c r="N3015" s="1">
        <v>17270.41</v>
      </c>
      <c r="O3015" s="1" t="s">
        <v>33</v>
      </c>
      <c r="P3015" s="1" t="s">
        <v>767</v>
      </c>
      <c r="Q3015" s="1">
        <v>5</v>
      </c>
      <c r="R3015" s="1">
        <f>Retail_Sales_Analyis[[#This Row],[Final_Price]]-Retail_Sales_Analyis[[#This Row],[Total_Price]]</f>
        <v>-3047.7200000000012</v>
      </c>
      <c r="S30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16" spans="1:19" x14ac:dyDescent="0.25">
      <c r="A3016" s="1" t="s">
        <v>4114</v>
      </c>
      <c r="B3016" s="2">
        <v>45309</v>
      </c>
      <c r="C3016" s="1" t="s">
        <v>36</v>
      </c>
      <c r="D3016" s="1" t="s">
        <v>67</v>
      </c>
      <c r="E3016" s="1" t="s">
        <v>337</v>
      </c>
      <c r="F3016" s="1" t="s">
        <v>84</v>
      </c>
      <c r="G3016" s="1" t="s">
        <v>31</v>
      </c>
      <c r="H3016" s="1" t="s">
        <v>32</v>
      </c>
      <c r="I3016" s="1">
        <v>444.77</v>
      </c>
      <c r="J3016" s="1">
        <v>5</v>
      </c>
      <c r="K3016" s="1">
        <v>2223.85</v>
      </c>
      <c r="L3016" s="1">
        <v>0</v>
      </c>
      <c r="M3016" s="1">
        <v>0</v>
      </c>
      <c r="N3016" s="1">
        <v>2223.85</v>
      </c>
      <c r="O3016" s="1" t="s">
        <v>64</v>
      </c>
      <c r="P3016" s="1" t="s">
        <v>745</v>
      </c>
      <c r="Q3016" s="1">
        <v>4</v>
      </c>
      <c r="R3016" s="1">
        <f>Retail_Sales_Analyis[[#This Row],[Final_Price]]-Retail_Sales_Analyis[[#This Row],[Total_Price]]</f>
        <v>0</v>
      </c>
      <c r="S30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17" spans="1:19" x14ac:dyDescent="0.25">
      <c r="A3017" s="1" t="s">
        <v>4115</v>
      </c>
      <c r="B3017" s="2">
        <v>45330</v>
      </c>
      <c r="C3017" s="1" t="s">
        <v>27</v>
      </c>
      <c r="D3017" s="1" t="s">
        <v>67</v>
      </c>
      <c r="E3017" s="1" t="s">
        <v>111</v>
      </c>
      <c r="F3017" s="1" t="s">
        <v>21</v>
      </c>
      <c r="G3017" s="1" t="s">
        <v>112</v>
      </c>
      <c r="H3017" s="1" t="s">
        <v>223</v>
      </c>
      <c r="I3017" s="1">
        <v>566.20000000000005</v>
      </c>
      <c r="J3017" s="1">
        <v>5</v>
      </c>
      <c r="K3017" s="1">
        <v>2831</v>
      </c>
      <c r="L3017" s="1">
        <v>20</v>
      </c>
      <c r="M3017" s="1">
        <v>566.20000000000005</v>
      </c>
      <c r="N3017" s="1">
        <v>2264.8000000000002</v>
      </c>
      <c r="O3017" s="1" t="s">
        <v>33</v>
      </c>
      <c r="P3017" s="1" t="s">
        <v>1579</v>
      </c>
      <c r="Q3017" s="1">
        <v>1</v>
      </c>
      <c r="R3017" s="1">
        <f>Retail_Sales_Analyis[[#This Row],[Final_Price]]-Retail_Sales_Analyis[[#This Row],[Total_Price]]</f>
        <v>-566.19999999999982</v>
      </c>
      <c r="S301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18" spans="1:19" x14ac:dyDescent="0.25">
      <c r="A3018" s="1" t="s">
        <v>4116</v>
      </c>
      <c r="B3018" s="2">
        <v>45634</v>
      </c>
      <c r="C3018" s="1" t="s">
        <v>73</v>
      </c>
      <c r="D3018" s="1" t="s">
        <v>49</v>
      </c>
      <c r="E3018" s="1" t="s">
        <v>141</v>
      </c>
      <c r="F3018" s="1" t="s">
        <v>84</v>
      </c>
      <c r="G3018" s="1" t="s">
        <v>85</v>
      </c>
      <c r="H3018" s="1" t="s">
        <v>86</v>
      </c>
      <c r="I3018" s="1">
        <v>4324.2299999999996</v>
      </c>
      <c r="J3018" s="1">
        <v>9</v>
      </c>
      <c r="K3018" s="1">
        <v>38918.07</v>
      </c>
      <c r="L3018" s="1">
        <v>10</v>
      </c>
      <c r="M3018" s="1">
        <v>3891.81</v>
      </c>
      <c r="N3018" s="1">
        <v>35026.26</v>
      </c>
      <c r="O3018" s="1" t="s">
        <v>80</v>
      </c>
      <c r="P3018" s="1" t="s">
        <v>911</v>
      </c>
      <c r="Q3018" s="1">
        <v>1</v>
      </c>
      <c r="R3018" s="1">
        <f>Retail_Sales_Analyis[[#This Row],[Final_Price]]-Retail_Sales_Analyis[[#This Row],[Total_Price]]</f>
        <v>-3891.8099999999977</v>
      </c>
      <c r="S30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19" spans="1:19" x14ac:dyDescent="0.25">
      <c r="A3019" s="1" t="s">
        <v>4117</v>
      </c>
      <c r="B3019" s="2">
        <v>45316</v>
      </c>
      <c r="C3019" s="1" t="s">
        <v>36</v>
      </c>
      <c r="D3019" s="1" t="s">
        <v>67</v>
      </c>
      <c r="E3019" s="1" t="s">
        <v>29</v>
      </c>
      <c r="F3019" s="1" t="s">
        <v>84</v>
      </c>
      <c r="G3019" s="1" t="s">
        <v>112</v>
      </c>
      <c r="H3019" s="1" t="s">
        <v>118</v>
      </c>
      <c r="I3019" s="1">
        <v>1698.87</v>
      </c>
      <c r="J3019" s="1">
        <v>7</v>
      </c>
      <c r="K3019" s="1">
        <v>11892.09</v>
      </c>
      <c r="L3019" s="1">
        <v>15</v>
      </c>
      <c r="M3019" s="1">
        <v>1783.81</v>
      </c>
      <c r="N3019" s="1">
        <v>10108.280000000001</v>
      </c>
      <c r="O3019" s="1" t="s">
        <v>24</v>
      </c>
      <c r="P3019" s="1" t="s">
        <v>349</v>
      </c>
      <c r="Q3019" s="1">
        <v>4</v>
      </c>
      <c r="R3019" s="1">
        <f>Retail_Sales_Analyis[[#This Row],[Final_Price]]-Retail_Sales_Analyis[[#This Row],[Total_Price]]</f>
        <v>-1783.8099999999995</v>
      </c>
      <c r="S30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20" spans="1:19" x14ac:dyDescent="0.25">
      <c r="A3020" s="1" t="s">
        <v>4118</v>
      </c>
      <c r="B3020" s="2">
        <v>45295</v>
      </c>
      <c r="C3020" s="1" t="s">
        <v>36</v>
      </c>
      <c r="D3020" s="1" t="s">
        <v>67</v>
      </c>
      <c r="E3020" s="1" t="s">
        <v>239</v>
      </c>
      <c r="F3020" s="1" t="s">
        <v>84</v>
      </c>
      <c r="G3020" s="1" t="s">
        <v>169</v>
      </c>
      <c r="H3020" s="1" t="s">
        <v>348</v>
      </c>
      <c r="I3020" s="1">
        <v>1460.26</v>
      </c>
      <c r="J3020" s="1">
        <v>8</v>
      </c>
      <c r="K3020" s="1">
        <v>11682.08</v>
      </c>
      <c r="L3020" s="1">
        <v>15</v>
      </c>
      <c r="M3020" s="1">
        <v>1752.31</v>
      </c>
      <c r="N3020" s="1">
        <v>9929.77</v>
      </c>
      <c r="O3020" s="1" t="s">
        <v>80</v>
      </c>
      <c r="P3020" s="1" t="s">
        <v>1339</v>
      </c>
      <c r="Q3020" s="1">
        <v>3</v>
      </c>
      <c r="R3020" s="1">
        <f>Retail_Sales_Analyis[[#This Row],[Final_Price]]-Retail_Sales_Analyis[[#This Row],[Total_Price]]</f>
        <v>-1752.3099999999995</v>
      </c>
      <c r="S30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21" spans="1:19" x14ac:dyDescent="0.25">
      <c r="A3021" s="1" t="s">
        <v>4119</v>
      </c>
      <c r="B3021" s="2">
        <v>45503</v>
      </c>
      <c r="C3021" s="1" t="s">
        <v>195</v>
      </c>
      <c r="D3021" s="1" t="s">
        <v>28</v>
      </c>
      <c r="E3021" s="1" t="s">
        <v>121</v>
      </c>
      <c r="F3021" s="1" t="s">
        <v>30</v>
      </c>
      <c r="G3021" s="1" t="s">
        <v>78</v>
      </c>
      <c r="H3021" s="1" t="s">
        <v>136</v>
      </c>
      <c r="I3021" s="1">
        <v>568.92999999999995</v>
      </c>
      <c r="J3021" s="1">
        <v>1</v>
      </c>
      <c r="K3021" s="1">
        <v>568.92999999999995</v>
      </c>
      <c r="L3021" s="1">
        <v>0</v>
      </c>
      <c r="M3021" s="1">
        <v>0</v>
      </c>
      <c r="N3021" s="1">
        <v>568.92999999999995</v>
      </c>
      <c r="O3021" s="1" t="s">
        <v>24</v>
      </c>
      <c r="P3021" s="1" t="s">
        <v>1166</v>
      </c>
      <c r="Q3021" s="1">
        <v>5</v>
      </c>
      <c r="R3021" s="1">
        <f>Retail_Sales_Analyis[[#This Row],[Final_Price]]-Retail_Sales_Analyis[[#This Row],[Total_Price]]</f>
        <v>0</v>
      </c>
      <c r="S30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22" spans="1:19" x14ac:dyDescent="0.25">
      <c r="A3022" s="1" t="s">
        <v>4120</v>
      </c>
      <c r="B3022" s="2">
        <v>45362</v>
      </c>
      <c r="C3022" s="1" t="s">
        <v>61</v>
      </c>
      <c r="D3022" s="1" t="s">
        <v>43</v>
      </c>
      <c r="E3022" s="1" t="s">
        <v>107</v>
      </c>
      <c r="F3022" s="1" t="s">
        <v>69</v>
      </c>
      <c r="G3022" s="1" t="s">
        <v>85</v>
      </c>
      <c r="H3022" s="1" t="s">
        <v>86</v>
      </c>
      <c r="I3022" s="1">
        <v>2914.53</v>
      </c>
      <c r="J3022" s="1">
        <v>9</v>
      </c>
      <c r="K3022" s="1">
        <v>26230.77</v>
      </c>
      <c r="L3022" s="1">
        <v>0</v>
      </c>
      <c r="M3022" s="1">
        <v>0</v>
      </c>
      <c r="N3022" s="1">
        <v>26230.77</v>
      </c>
      <c r="O3022" s="1" t="s">
        <v>24</v>
      </c>
      <c r="P3022" s="1" t="s">
        <v>1056</v>
      </c>
      <c r="Q3022" s="1">
        <v>4</v>
      </c>
      <c r="R3022" s="1">
        <f>Retail_Sales_Analyis[[#This Row],[Final_Price]]-Retail_Sales_Analyis[[#This Row],[Total_Price]]</f>
        <v>0</v>
      </c>
      <c r="S30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23" spans="1:19" x14ac:dyDescent="0.25">
      <c r="A3023" s="1" t="s">
        <v>4121</v>
      </c>
      <c r="B3023" s="2">
        <v>45614</v>
      </c>
      <c r="C3023" s="1" t="s">
        <v>18</v>
      </c>
      <c r="D3023" s="1" t="s">
        <v>43</v>
      </c>
      <c r="E3023" s="1" t="s">
        <v>56</v>
      </c>
      <c r="F3023" s="1" t="s">
        <v>21</v>
      </c>
      <c r="G3023" s="1" t="s">
        <v>112</v>
      </c>
      <c r="H3023" s="1" t="s">
        <v>183</v>
      </c>
      <c r="I3023" s="1">
        <v>668.39</v>
      </c>
      <c r="J3023" s="1">
        <v>5</v>
      </c>
      <c r="K3023" s="1">
        <v>3341.95</v>
      </c>
      <c r="L3023" s="1">
        <v>5</v>
      </c>
      <c r="M3023" s="1">
        <v>167.1</v>
      </c>
      <c r="N3023" s="1">
        <v>3174.85</v>
      </c>
      <c r="O3023" s="1" t="s">
        <v>64</v>
      </c>
      <c r="P3023" s="1" t="s">
        <v>750</v>
      </c>
      <c r="Q3023" s="1">
        <v>2</v>
      </c>
      <c r="R3023" s="1">
        <f>Retail_Sales_Analyis[[#This Row],[Final_Price]]-Retail_Sales_Analyis[[#This Row],[Total_Price]]</f>
        <v>-167.09999999999991</v>
      </c>
      <c r="S30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24" spans="1:19" x14ac:dyDescent="0.25">
      <c r="A3024" s="1" t="s">
        <v>4122</v>
      </c>
      <c r="B3024" s="2">
        <v>45410</v>
      </c>
      <c r="C3024" s="1" t="s">
        <v>54</v>
      </c>
      <c r="D3024" s="1" t="s">
        <v>49</v>
      </c>
      <c r="E3024" s="1" t="s">
        <v>125</v>
      </c>
      <c r="F3024" s="1" t="s">
        <v>37</v>
      </c>
      <c r="G3024" s="1" t="s">
        <v>22</v>
      </c>
      <c r="H3024" s="1" t="s">
        <v>277</v>
      </c>
      <c r="I3024" s="1">
        <v>214.19</v>
      </c>
      <c r="J3024" s="1">
        <v>9</v>
      </c>
      <c r="K3024" s="1">
        <v>1927.71</v>
      </c>
      <c r="L3024" s="1">
        <v>0</v>
      </c>
      <c r="M3024" s="1">
        <v>0</v>
      </c>
      <c r="N3024" s="1">
        <v>1927.71</v>
      </c>
      <c r="O3024" s="1" t="s">
        <v>24</v>
      </c>
      <c r="P3024" s="1" t="s">
        <v>1350</v>
      </c>
      <c r="Q3024" s="1">
        <v>5</v>
      </c>
      <c r="R3024" s="1">
        <f>Retail_Sales_Analyis[[#This Row],[Final_Price]]-Retail_Sales_Analyis[[#This Row],[Total_Price]]</f>
        <v>0</v>
      </c>
      <c r="S30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25" spans="1:19" x14ac:dyDescent="0.25">
      <c r="A3025" s="1" t="s">
        <v>4123</v>
      </c>
      <c r="B3025" s="2">
        <v>45326</v>
      </c>
      <c r="C3025" s="1" t="s">
        <v>27</v>
      </c>
      <c r="D3025" s="1" t="s">
        <v>49</v>
      </c>
      <c r="E3025" s="1" t="s">
        <v>328</v>
      </c>
      <c r="F3025" s="1" t="s">
        <v>84</v>
      </c>
      <c r="G3025" s="1" t="s">
        <v>22</v>
      </c>
      <c r="H3025" s="1" t="s">
        <v>187</v>
      </c>
      <c r="I3025" s="1">
        <v>554.76</v>
      </c>
      <c r="J3025" s="1">
        <v>9</v>
      </c>
      <c r="K3025" s="1">
        <v>4992.84</v>
      </c>
      <c r="L3025" s="1">
        <v>20</v>
      </c>
      <c r="M3025" s="1">
        <v>998.57</v>
      </c>
      <c r="N3025" s="1">
        <v>3994.27</v>
      </c>
      <c r="O3025" s="1" t="s">
        <v>80</v>
      </c>
      <c r="P3025" s="1" t="s">
        <v>957</v>
      </c>
      <c r="Q3025" s="1">
        <v>5</v>
      </c>
      <c r="R3025" s="1">
        <f>Retail_Sales_Analyis[[#This Row],[Final_Price]]-Retail_Sales_Analyis[[#This Row],[Total_Price]]</f>
        <v>-998.57000000000016</v>
      </c>
      <c r="S30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26" spans="1:19" x14ac:dyDescent="0.25">
      <c r="A3026" s="1" t="s">
        <v>4124</v>
      </c>
      <c r="B3026" s="2">
        <v>45654</v>
      </c>
      <c r="C3026" s="1" t="s">
        <v>73</v>
      </c>
      <c r="D3026" s="1" t="s">
        <v>19</v>
      </c>
      <c r="E3026" s="1" t="s">
        <v>261</v>
      </c>
      <c r="F3026" s="1" t="s">
        <v>69</v>
      </c>
      <c r="G3026" s="1" t="s">
        <v>169</v>
      </c>
      <c r="H3026" s="1" t="s">
        <v>175</v>
      </c>
      <c r="I3026" s="1">
        <v>716.02</v>
      </c>
      <c r="J3026" s="1">
        <v>5</v>
      </c>
      <c r="K3026" s="1">
        <v>3580.1</v>
      </c>
      <c r="L3026" s="1">
        <v>10</v>
      </c>
      <c r="M3026" s="1">
        <v>358.01</v>
      </c>
      <c r="N3026" s="1">
        <v>3222.09</v>
      </c>
      <c r="O3026" s="1" t="s">
        <v>80</v>
      </c>
      <c r="P3026" s="1" t="s">
        <v>4125</v>
      </c>
      <c r="Q3026" s="1">
        <v>2</v>
      </c>
      <c r="R3026" s="1">
        <f>Retail_Sales_Analyis[[#This Row],[Final_Price]]-Retail_Sales_Analyis[[#This Row],[Total_Price]]</f>
        <v>-358.00999999999976</v>
      </c>
      <c r="S30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27" spans="1:19" x14ac:dyDescent="0.25">
      <c r="A3027" s="1" t="s">
        <v>4126</v>
      </c>
      <c r="B3027" s="2">
        <v>45369</v>
      </c>
      <c r="C3027" s="1" t="s">
        <v>61</v>
      </c>
      <c r="D3027" s="1" t="s">
        <v>43</v>
      </c>
      <c r="E3027" s="1" t="s">
        <v>121</v>
      </c>
      <c r="F3027" s="1" t="s">
        <v>84</v>
      </c>
      <c r="G3027" s="1" t="s">
        <v>169</v>
      </c>
      <c r="H3027" s="1" t="s">
        <v>175</v>
      </c>
      <c r="I3027" s="1">
        <v>765.03</v>
      </c>
      <c r="J3027" s="1">
        <v>5</v>
      </c>
      <c r="K3027" s="1">
        <v>3825.15</v>
      </c>
      <c r="L3027" s="1">
        <v>10</v>
      </c>
      <c r="M3027" s="1">
        <v>382.52</v>
      </c>
      <c r="N3027" s="1">
        <v>3442.63</v>
      </c>
      <c r="O3027" s="1" t="s">
        <v>24</v>
      </c>
      <c r="P3027" s="1" t="s">
        <v>621</v>
      </c>
      <c r="Q3027" s="1">
        <v>4</v>
      </c>
      <c r="R3027" s="1">
        <f>Retail_Sales_Analyis[[#This Row],[Final_Price]]-Retail_Sales_Analyis[[#This Row],[Total_Price]]</f>
        <v>-382.52</v>
      </c>
      <c r="S30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28" spans="1:19" x14ac:dyDescent="0.25">
      <c r="A3028" s="1" t="s">
        <v>4127</v>
      </c>
      <c r="B3028" s="2">
        <v>45296</v>
      </c>
      <c r="C3028" s="1" t="s">
        <v>36</v>
      </c>
      <c r="D3028" s="1" t="s">
        <v>144</v>
      </c>
      <c r="E3028" s="1" t="s">
        <v>239</v>
      </c>
      <c r="F3028" s="1" t="s">
        <v>69</v>
      </c>
      <c r="G3028" s="1" t="s">
        <v>22</v>
      </c>
      <c r="H3028" s="1" t="s">
        <v>51</v>
      </c>
      <c r="I3028" s="1">
        <v>498.06</v>
      </c>
      <c r="J3028" s="1">
        <v>9</v>
      </c>
      <c r="K3028" s="1">
        <v>4482.54</v>
      </c>
      <c r="L3028" s="1">
        <v>0</v>
      </c>
      <c r="M3028" s="1">
        <v>0</v>
      </c>
      <c r="N3028" s="1">
        <v>4482.54</v>
      </c>
      <c r="O3028" s="1" t="s">
        <v>33</v>
      </c>
      <c r="P3028" s="1" t="s">
        <v>4128</v>
      </c>
      <c r="Q3028" s="1">
        <v>1</v>
      </c>
      <c r="R3028" s="1">
        <f>Retail_Sales_Analyis[[#This Row],[Final_Price]]-Retail_Sales_Analyis[[#This Row],[Total_Price]]</f>
        <v>0</v>
      </c>
      <c r="S30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29" spans="1:19" x14ac:dyDescent="0.25">
      <c r="A3029" s="1" t="s">
        <v>4129</v>
      </c>
      <c r="B3029" s="2">
        <v>45403</v>
      </c>
      <c r="C3029" s="1" t="s">
        <v>54</v>
      </c>
      <c r="D3029" s="1" t="s">
        <v>49</v>
      </c>
      <c r="E3029" s="1" t="s">
        <v>145</v>
      </c>
      <c r="F3029" s="1" t="s">
        <v>30</v>
      </c>
      <c r="G3029" s="1" t="s">
        <v>78</v>
      </c>
      <c r="H3029" s="1" t="s">
        <v>136</v>
      </c>
      <c r="I3029" s="1">
        <v>170.45</v>
      </c>
      <c r="J3029" s="1">
        <v>10</v>
      </c>
      <c r="K3029" s="1">
        <v>1704.5</v>
      </c>
      <c r="L3029" s="1">
        <v>20</v>
      </c>
      <c r="M3029" s="1">
        <v>340.9</v>
      </c>
      <c r="N3029" s="1">
        <v>1363.6</v>
      </c>
      <c r="O3029" s="1" t="s">
        <v>46</v>
      </c>
      <c r="P3029" s="1" t="s">
        <v>1491</v>
      </c>
      <c r="Q3029" s="1">
        <v>4</v>
      </c>
      <c r="R3029" s="1">
        <f>Retail_Sales_Analyis[[#This Row],[Final_Price]]-Retail_Sales_Analyis[[#This Row],[Total_Price]]</f>
        <v>-340.90000000000009</v>
      </c>
      <c r="S30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30" spans="1:19" x14ac:dyDescent="0.25">
      <c r="A3030" s="1" t="s">
        <v>4130</v>
      </c>
      <c r="B3030" s="2">
        <v>45550</v>
      </c>
      <c r="C3030" s="1" t="s">
        <v>116</v>
      </c>
      <c r="D3030" s="1" t="s">
        <v>49</v>
      </c>
      <c r="E3030" s="1" t="s">
        <v>337</v>
      </c>
      <c r="F3030" s="1" t="s">
        <v>37</v>
      </c>
      <c r="G3030" s="1" t="s">
        <v>169</v>
      </c>
      <c r="H3030" s="1" t="s">
        <v>170</v>
      </c>
      <c r="I3030" s="1">
        <v>358.58</v>
      </c>
      <c r="J3030" s="1">
        <v>8</v>
      </c>
      <c r="K3030" s="1">
        <v>2868.64</v>
      </c>
      <c r="L3030" s="1">
        <v>0</v>
      </c>
      <c r="M3030" s="1">
        <v>0</v>
      </c>
      <c r="N3030" s="1">
        <v>2868.64</v>
      </c>
      <c r="O3030" s="1" t="s">
        <v>80</v>
      </c>
      <c r="P3030" s="1" t="s">
        <v>200</v>
      </c>
      <c r="Q3030" s="1">
        <v>2</v>
      </c>
      <c r="R3030" s="1">
        <f>Retail_Sales_Analyis[[#This Row],[Final_Price]]-Retail_Sales_Analyis[[#This Row],[Total_Price]]</f>
        <v>0</v>
      </c>
      <c r="S30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31" spans="1:19" x14ac:dyDescent="0.25">
      <c r="A3031" s="1" t="s">
        <v>4131</v>
      </c>
      <c r="B3031" s="2">
        <v>45525</v>
      </c>
      <c r="C3031" s="1" t="s">
        <v>93</v>
      </c>
      <c r="D3031" s="1" t="s">
        <v>55</v>
      </c>
      <c r="E3031" s="1" t="s">
        <v>29</v>
      </c>
      <c r="F3031" s="1" t="s">
        <v>69</v>
      </c>
      <c r="G3031" s="1" t="s">
        <v>78</v>
      </c>
      <c r="H3031" s="1" t="s">
        <v>126</v>
      </c>
      <c r="I3031" s="1">
        <v>525.70000000000005</v>
      </c>
      <c r="J3031" s="1">
        <v>6</v>
      </c>
      <c r="K3031" s="1">
        <v>3154.2</v>
      </c>
      <c r="L3031" s="1">
        <v>5</v>
      </c>
      <c r="M3031" s="1">
        <v>157.71</v>
      </c>
      <c r="N3031" s="1">
        <v>2996.49</v>
      </c>
      <c r="O3031" s="1" t="s">
        <v>46</v>
      </c>
      <c r="P3031" s="1" t="s">
        <v>3434</v>
      </c>
      <c r="Q3031" s="1">
        <v>2</v>
      </c>
      <c r="R3031" s="1">
        <f>Retail_Sales_Analyis[[#This Row],[Final_Price]]-Retail_Sales_Analyis[[#This Row],[Total_Price]]</f>
        <v>-157.71000000000004</v>
      </c>
      <c r="S30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32" spans="1:19" x14ac:dyDescent="0.25">
      <c r="A3032" s="1" t="s">
        <v>4132</v>
      </c>
      <c r="B3032" s="2">
        <v>45483</v>
      </c>
      <c r="C3032" s="1" t="s">
        <v>195</v>
      </c>
      <c r="D3032" s="1" t="s">
        <v>55</v>
      </c>
      <c r="E3032" s="1" t="s">
        <v>121</v>
      </c>
      <c r="F3032" s="1" t="s">
        <v>69</v>
      </c>
      <c r="G3032" s="1" t="s">
        <v>31</v>
      </c>
      <c r="H3032" s="1" t="s">
        <v>32</v>
      </c>
      <c r="I3032" s="1">
        <v>407.57</v>
      </c>
      <c r="J3032" s="1">
        <v>1</v>
      </c>
      <c r="K3032" s="1">
        <v>407.57</v>
      </c>
      <c r="L3032" s="1">
        <v>15</v>
      </c>
      <c r="M3032" s="1">
        <v>61.14</v>
      </c>
      <c r="N3032" s="1">
        <v>346.43</v>
      </c>
      <c r="O3032" s="1" t="s">
        <v>64</v>
      </c>
      <c r="P3032" s="1" t="s">
        <v>1425</v>
      </c>
      <c r="Q3032" s="1">
        <v>1</v>
      </c>
      <c r="R3032" s="1">
        <f>Retail_Sales_Analyis[[#This Row],[Final_Price]]-Retail_Sales_Analyis[[#This Row],[Total_Price]]</f>
        <v>-61.139999999999986</v>
      </c>
      <c r="S30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33" spans="1:19" x14ac:dyDescent="0.25">
      <c r="A3033" s="1" t="s">
        <v>4133</v>
      </c>
      <c r="B3033" s="2">
        <v>45322</v>
      </c>
      <c r="C3033" s="1" t="s">
        <v>36</v>
      </c>
      <c r="D3033" s="1" t="s">
        <v>55</v>
      </c>
      <c r="E3033" s="1" t="s">
        <v>307</v>
      </c>
      <c r="F3033" s="1" t="s">
        <v>30</v>
      </c>
      <c r="G3033" s="1" t="s">
        <v>31</v>
      </c>
      <c r="H3033" s="1" t="s">
        <v>329</v>
      </c>
      <c r="I3033" s="1">
        <v>316.36</v>
      </c>
      <c r="J3033" s="1">
        <v>3</v>
      </c>
      <c r="K3033" s="1">
        <v>949.08</v>
      </c>
      <c r="L3033" s="1">
        <v>20</v>
      </c>
      <c r="M3033" s="1">
        <v>189.82</v>
      </c>
      <c r="N3033" s="1">
        <v>759.26</v>
      </c>
      <c r="O3033" s="1" t="s">
        <v>33</v>
      </c>
      <c r="P3033" s="1" t="s">
        <v>1355</v>
      </c>
      <c r="Q3033" s="1">
        <v>1</v>
      </c>
      <c r="R3033" s="1">
        <f>Retail_Sales_Analyis[[#This Row],[Final_Price]]-Retail_Sales_Analyis[[#This Row],[Total_Price]]</f>
        <v>-189.82000000000005</v>
      </c>
      <c r="S303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34" spans="1:19" x14ac:dyDescent="0.25">
      <c r="A3034" s="1" t="s">
        <v>4134</v>
      </c>
      <c r="B3034" s="2">
        <v>45608</v>
      </c>
      <c r="C3034" s="1" t="s">
        <v>18</v>
      </c>
      <c r="D3034" s="1" t="s">
        <v>28</v>
      </c>
      <c r="E3034" s="1" t="s">
        <v>68</v>
      </c>
      <c r="F3034" s="1" t="s">
        <v>30</v>
      </c>
      <c r="G3034" s="1" t="s">
        <v>31</v>
      </c>
      <c r="H3034" s="1" t="s">
        <v>250</v>
      </c>
      <c r="I3034" s="1">
        <v>55.68</v>
      </c>
      <c r="J3034" s="1">
        <v>2</v>
      </c>
      <c r="K3034" s="1">
        <v>111.36</v>
      </c>
      <c r="L3034" s="1">
        <v>0</v>
      </c>
      <c r="M3034" s="1">
        <v>0</v>
      </c>
      <c r="N3034" s="1">
        <v>111.36</v>
      </c>
      <c r="O3034" s="1" t="s">
        <v>46</v>
      </c>
      <c r="P3034" s="1" t="s">
        <v>289</v>
      </c>
      <c r="Q3034" s="1">
        <v>1</v>
      </c>
      <c r="R3034" s="1">
        <f>Retail_Sales_Analyis[[#This Row],[Final_Price]]-Retail_Sales_Analyis[[#This Row],[Total_Price]]</f>
        <v>0</v>
      </c>
      <c r="S30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35" spans="1:19" x14ac:dyDescent="0.25">
      <c r="A3035" s="1" t="s">
        <v>4135</v>
      </c>
      <c r="B3035" s="2">
        <v>45618</v>
      </c>
      <c r="C3035" s="1" t="s">
        <v>18</v>
      </c>
      <c r="D3035" s="1" t="s">
        <v>144</v>
      </c>
      <c r="E3035" s="1" t="s">
        <v>342</v>
      </c>
      <c r="F3035" s="1" t="s">
        <v>84</v>
      </c>
      <c r="G3035" s="1" t="s">
        <v>38</v>
      </c>
      <c r="H3035" s="1" t="s">
        <v>422</v>
      </c>
      <c r="I3035" s="1">
        <v>324.87</v>
      </c>
      <c r="J3035" s="1">
        <v>1</v>
      </c>
      <c r="K3035" s="1">
        <v>324.87</v>
      </c>
      <c r="L3035" s="1">
        <v>0</v>
      </c>
      <c r="M3035" s="1">
        <v>0</v>
      </c>
      <c r="N3035" s="1">
        <v>324.87</v>
      </c>
      <c r="O3035" s="1" t="s">
        <v>46</v>
      </c>
      <c r="P3035" s="1" t="s">
        <v>4136</v>
      </c>
      <c r="Q3035" s="1">
        <v>5</v>
      </c>
      <c r="R3035" s="1">
        <f>Retail_Sales_Analyis[[#This Row],[Final_Price]]-Retail_Sales_Analyis[[#This Row],[Total_Price]]</f>
        <v>0</v>
      </c>
      <c r="S30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36" spans="1:19" x14ac:dyDescent="0.25">
      <c r="A3036" s="1" t="s">
        <v>4137</v>
      </c>
      <c r="B3036" s="2">
        <v>45633</v>
      </c>
      <c r="C3036" s="1" t="s">
        <v>73</v>
      </c>
      <c r="D3036" s="1" t="s">
        <v>19</v>
      </c>
      <c r="E3036" s="1" t="s">
        <v>44</v>
      </c>
      <c r="F3036" s="1" t="s">
        <v>69</v>
      </c>
      <c r="G3036" s="1" t="s">
        <v>112</v>
      </c>
      <c r="H3036" s="1" t="s">
        <v>183</v>
      </c>
      <c r="I3036" s="1">
        <v>1379.22</v>
      </c>
      <c r="J3036" s="1">
        <v>9</v>
      </c>
      <c r="K3036" s="1">
        <v>12412.98</v>
      </c>
      <c r="L3036" s="1">
        <v>20</v>
      </c>
      <c r="M3036" s="1">
        <v>2482.6</v>
      </c>
      <c r="N3036" s="1">
        <v>9930.3799999999992</v>
      </c>
      <c r="O3036" s="1" t="s">
        <v>64</v>
      </c>
      <c r="P3036" s="1" t="s">
        <v>1410</v>
      </c>
      <c r="Q3036" s="1">
        <v>5</v>
      </c>
      <c r="R3036" s="1">
        <f>Retail_Sales_Analyis[[#This Row],[Final_Price]]-Retail_Sales_Analyis[[#This Row],[Total_Price]]</f>
        <v>-2482.6000000000004</v>
      </c>
      <c r="S30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37" spans="1:19" x14ac:dyDescent="0.25">
      <c r="A3037" s="1" t="s">
        <v>4138</v>
      </c>
      <c r="B3037" s="2">
        <v>45607</v>
      </c>
      <c r="C3037" s="1" t="s">
        <v>18</v>
      </c>
      <c r="D3037" s="1" t="s">
        <v>43</v>
      </c>
      <c r="E3037" s="1" t="s">
        <v>542</v>
      </c>
      <c r="F3037" s="1" t="s">
        <v>69</v>
      </c>
      <c r="G3037" s="1" t="s">
        <v>31</v>
      </c>
      <c r="H3037" s="1" t="s">
        <v>250</v>
      </c>
      <c r="I3037" s="1">
        <v>284.19</v>
      </c>
      <c r="J3037" s="1">
        <v>8</v>
      </c>
      <c r="K3037" s="1">
        <v>2273.52</v>
      </c>
      <c r="L3037" s="1">
        <v>0</v>
      </c>
      <c r="M3037" s="1">
        <v>0</v>
      </c>
      <c r="N3037" s="1">
        <v>2273.52</v>
      </c>
      <c r="O3037" s="1" t="s">
        <v>46</v>
      </c>
      <c r="P3037" s="1" t="s">
        <v>417</v>
      </c>
      <c r="Q3037" s="1">
        <v>4</v>
      </c>
      <c r="R3037" s="1">
        <f>Retail_Sales_Analyis[[#This Row],[Final_Price]]-Retail_Sales_Analyis[[#This Row],[Total_Price]]</f>
        <v>0</v>
      </c>
      <c r="S30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38" spans="1:19" x14ac:dyDescent="0.25">
      <c r="A3038" s="1" t="s">
        <v>4139</v>
      </c>
      <c r="B3038" s="2">
        <v>45539</v>
      </c>
      <c r="C3038" s="1" t="s">
        <v>116</v>
      </c>
      <c r="D3038" s="1" t="s">
        <v>55</v>
      </c>
      <c r="E3038" s="1" t="s">
        <v>77</v>
      </c>
      <c r="F3038" s="1" t="s">
        <v>37</v>
      </c>
      <c r="G3038" s="1" t="s">
        <v>112</v>
      </c>
      <c r="H3038" s="1" t="s">
        <v>113</v>
      </c>
      <c r="I3038" s="1">
        <v>1697.5</v>
      </c>
      <c r="J3038" s="1">
        <v>5</v>
      </c>
      <c r="K3038" s="1">
        <v>8487.5</v>
      </c>
      <c r="L3038" s="1">
        <v>0</v>
      </c>
      <c r="M3038" s="1">
        <v>0</v>
      </c>
      <c r="N3038" s="1">
        <v>8487.5</v>
      </c>
      <c r="O3038" s="1" t="s">
        <v>80</v>
      </c>
      <c r="P3038" s="1" t="s">
        <v>784</v>
      </c>
      <c r="Q3038" s="1">
        <v>2</v>
      </c>
      <c r="R3038" s="1">
        <f>Retail_Sales_Analyis[[#This Row],[Final_Price]]-Retail_Sales_Analyis[[#This Row],[Total_Price]]</f>
        <v>0</v>
      </c>
      <c r="S30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39" spans="1:19" x14ac:dyDescent="0.25">
      <c r="A3039" s="1" t="s">
        <v>4140</v>
      </c>
      <c r="B3039" s="2">
        <v>45629</v>
      </c>
      <c r="C3039" s="1" t="s">
        <v>73</v>
      </c>
      <c r="D3039" s="1" t="s">
        <v>28</v>
      </c>
      <c r="E3039" s="1" t="s">
        <v>351</v>
      </c>
      <c r="F3039" s="1" t="s">
        <v>84</v>
      </c>
      <c r="G3039" s="1" t="s">
        <v>112</v>
      </c>
      <c r="H3039" s="1" t="s">
        <v>183</v>
      </c>
      <c r="I3039" s="1">
        <v>619.20000000000005</v>
      </c>
      <c r="J3039" s="1">
        <v>4</v>
      </c>
      <c r="K3039" s="1">
        <v>2476.8000000000002</v>
      </c>
      <c r="L3039" s="1">
        <v>0</v>
      </c>
      <c r="M3039" s="1">
        <v>0</v>
      </c>
      <c r="N3039" s="1">
        <v>2476.8000000000002</v>
      </c>
      <c r="O3039" s="1" t="s">
        <v>64</v>
      </c>
      <c r="P3039" s="1" t="s">
        <v>2689</v>
      </c>
      <c r="Q3039" s="1">
        <v>5</v>
      </c>
      <c r="R3039" s="1">
        <f>Retail_Sales_Analyis[[#This Row],[Final_Price]]-Retail_Sales_Analyis[[#This Row],[Total_Price]]</f>
        <v>0</v>
      </c>
      <c r="S30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40" spans="1:19" x14ac:dyDescent="0.25">
      <c r="A3040" s="1" t="s">
        <v>4141</v>
      </c>
      <c r="B3040" s="2">
        <v>45541</v>
      </c>
      <c r="C3040" s="1" t="s">
        <v>116</v>
      </c>
      <c r="D3040" s="1" t="s">
        <v>144</v>
      </c>
      <c r="E3040" s="1" t="s">
        <v>196</v>
      </c>
      <c r="F3040" s="1" t="s">
        <v>69</v>
      </c>
      <c r="G3040" s="1" t="s">
        <v>57</v>
      </c>
      <c r="H3040" s="1" t="s">
        <v>152</v>
      </c>
      <c r="I3040" s="1">
        <v>1576.81</v>
      </c>
      <c r="J3040" s="1">
        <v>5</v>
      </c>
      <c r="K3040" s="1">
        <v>7884.05</v>
      </c>
      <c r="L3040" s="1">
        <v>0</v>
      </c>
      <c r="M3040" s="1">
        <v>0</v>
      </c>
      <c r="N3040" s="1">
        <v>7884.05</v>
      </c>
      <c r="O3040" s="1" t="s">
        <v>33</v>
      </c>
      <c r="P3040" s="1" t="s">
        <v>812</v>
      </c>
      <c r="Q3040" s="1">
        <v>5</v>
      </c>
      <c r="R3040" s="1">
        <f>Retail_Sales_Analyis[[#This Row],[Final_Price]]-Retail_Sales_Analyis[[#This Row],[Total_Price]]</f>
        <v>0</v>
      </c>
      <c r="S30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41" spans="1:19" x14ac:dyDescent="0.25">
      <c r="A3041" s="1" t="s">
        <v>4142</v>
      </c>
      <c r="B3041" s="2">
        <v>45300</v>
      </c>
      <c r="C3041" s="1" t="s">
        <v>36</v>
      </c>
      <c r="D3041" s="1" t="s">
        <v>28</v>
      </c>
      <c r="E3041" s="1" t="s">
        <v>168</v>
      </c>
      <c r="F3041" s="1" t="s">
        <v>21</v>
      </c>
      <c r="G3041" s="1" t="s">
        <v>38</v>
      </c>
      <c r="H3041" s="1" t="s">
        <v>108</v>
      </c>
      <c r="I3041" s="1">
        <v>628.22</v>
      </c>
      <c r="J3041" s="1">
        <v>3</v>
      </c>
      <c r="K3041" s="1">
        <v>1884.66</v>
      </c>
      <c r="L3041" s="1">
        <v>10</v>
      </c>
      <c r="M3041" s="1">
        <v>188.47</v>
      </c>
      <c r="N3041" s="1">
        <v>1696.19</v>
      </c>
      <c r="O3041" s="1" t="s">
        <v>80</v>
      </c>
      <c r="P3041" s="1" t="s">
        <v>472</v>
      </c>
      <c r="Q3041" s="1">
        <v>4</v>
      </c>
      <c r="R3041" s="1">
        <f>Retail_Sales_Analyis[[#This Row],[Final_Price]]-Retail_Sales_Analyis[[#This Row],[Total_Price]]</f>
        <v>-188.47000000000003</v>
      </c>
      <c r="S30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42" spans="1:19" x14ac:dyDescent="0.25">
      <c r="A3042" s="1" t="s">
        <v>4143</v>
      </c>
      <c r="B3042" s="2">
        <v>45295</v>
      </c>
      <c r="C3042" s="1" t="s">
        <v>36</v>
      </c>
      <c r="D3042" s="1" t="s">
        <v>67</v>
      </c>
      <c r="E3042" s="1" t="s">
        <v>107</v>
      </c>
      <c r="F3042" s="1" t="s">
        <v>69</v>
      </c>
      <c r="G3042" s="1" t="s">
        <v>169</v>
      </c>
      <c r="H3042" s="1" t="s">
        <v>170</v>
      </c>
      <c r="I3042" s="1">
        <v>1026.76</v>
      </c>
      <c r="J3042" s="1">
        <v>7</v>
      </c>
      <c r="K3042" s="1">
        <v>7187.32</v>
      </c>
      <c r="L3042" s="1">
        <v>0</v>
      </c>
      <c r="M3042" s="1">
        <v>0</v>
      </c>
      <c r="N3042" s="1">
        <v>7187.32</v>
      </c>
      <c r="O3042" s="1" t="s">
        <v>64</v>
      </c>
      <c r="P3042" s="1" t="s">
        <v>1811</v>
      </c>
      <c r="Q3042" s="1">
        <v>3</v>
      </c>
      <c r="R3042" s="1">
        <f>Retail_Sales_Analyis[[#This Row],[Final_Price]]-Retail_Sales_Analyis[[#This Row],[Total_Price]]</f>
        <v>0</v>
      </c>
      <c r="S30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43" spans="1:19" x14ac:dyDescent="0.25">
      <c r="A3043" s="1" t="s">
        <v>4144</v>
      </c>
      <c r="B3043" s="2">
        <v>45564</v>
      </c>
      <c r="C3043" s="1" t="s">
        <v>116</v>
      </c>
      <c r="D3043" s="1" t="s">
        <v>49</v>
      </c>
      <c r="E3043" s="1" t="s">
        <v>68</v>
      </c>
      <c r="F3043" s="1" t="s">
        <v>21</v>
      </c>
      <c r="G3043" s="1" t="s">
        <v>78</v>
      </c>
      <c r="H3043" s="1" t="s">
        <v>136</v>
      </c>
      <c r="I3043" s="1">
        <v>175.06</v>
      </c>
      <c r="J3043" s="1">
        <v>3</v>
      </c>
      <c r="K3043" s="1">
        <v>525.17999999999995</v>
      </c>
      <c r="L3043" s="1">
        <v>0</v>
      </c>
      <c r="M3043" s="1">
        <v>0</v>
      </c>
      <c r="N3043" s="1">
        <v>525.17999999999995</v>
      </c>
      <c r="O3043" s="1" t="s">
        <v>64</v>
      </c>
      <c r="P3043" s="1" t="s">
        <v>286</v>
      </c>
      <c r="Q3043" s="1">
        <v>1</v>
      </c>
      <c r="R3043" s="1">
        <f>Retail_Sales_Analyis[[#This Row],[Final_Price]]-Retail_Sales_Analyis[[#This Row],[Total_Price]]</f>
        <v>0</v>
      </c>
      <c r="S30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44" spans="1:19" x14ac:dyDescent="0.25">
      <c r="A3044" s="1" t="s">
        <v>4145</v>
      </c>
      <c r="B3044" s="2">
        <v>45574</v>
      </c>
      <c r="C3044" s="1" t="s">
        <v>76</v>
      </c>
      <c r="D3044" s="1" t="s">
        <v>55</v>
      </c>
      <c r="E3044" s="1" t="s">
        <v>307</v>
      </c>
      <c r="F3044" s="1" t="s">
        <v>37</v>
      </c>
      <c r="G3044" s="1" t="s">
        <v>38</v>
      </c>
      <c r="H3044" s="1" t="s">
        <v>39</v>
      </c>
      <c r="I3044" s="1">
        <v>360.6</v>
      </c>
      <c r="J3044" s="1">
        <v>8</v>
      </c>
      <c r="K3044" s="1">
        <v>2884.8</v>
      </c>
      <c r="L3044" s="1">
        <v>5</v>
      </c>
      <c r="M3044" s="1">
        <v>144.24</v>
      </c>
      <c r="N3044" s="1">
        <v>2740.56</v>
      </c>
      <c r="O3044" s="1" t="s">
        <v>24</v>
      </c>
      <c r="P3044" s="1" t="s">
        <v>1477</v>
      </c>
      <c r="Q3044" s="1">
        <v>2</v>
      </c>
      <c r="R3044" s="1">
        <f>Retail_Sales_Analyis[[#This Row],[Final_Price]]-Retail_Sales_Analyis[[#This Row],[Total_Price]]</f>
        <v>-144.24000000000024</v>
      </c>
      <c r="S30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45" spans="1:19" x14ac:dyDescent="0.25">
      <c r="A3045" s="1" t="s">
        <v>4146</v>
      </c>
      <c r="B3045" s="2">
        <v>45502</v>
      </c>
      <c r="C3045" s="1" t="s">
        <v>195</v>
      </c>
      <c r="D3045" s="1" t="s">
        <v>43</v>
      </c>
      <c r="E3045" s="1" t="s">
        <v>139</v>
      </c>
      <c r="F3045" s="1" t="s">
        <v>21</v>
      </c>
      <c r="G3045" s="1" t="s">
        <v>78</v>
      </c>
      <c r="H3045" s="1" t="s">
        <v>126</v>
      </c>
      <c r="I3045" s="1">
        <v>403.74</v>
      </c>
      <c r="J3045" s="1">
        <v>1</v>
      </c>
      <c r="K3045" s="1">
        <v>403.74</v>
      </c>
      <c r="L3045" s="1">
        <v>20</v>
      </c>
      <c r="M3045" s="1">
        <v>80.75</v>
      </c>
      <c r="N3045" s="1">
        <v>322.99</v>
      </c>
      <c r="O3045" s="1" t="s">
        <v>46</v>
      </c>
      <c r="P3045" s="1" t="s">
        <v>1524</v>
      </c>
      <c r="Q3045" s="1">
        <v>1</v>
      </c>
      <c r="R3045" s="1">
        <f>Retail_Sales_Analyis[[#This Row],[Final_Price]]-Retail_Sales_Analyis[[#This Row],[Total_Price]]</f>
        <v>-80.75</v>
      </c>
      <c r="S30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46" spans="1:19" x14ac:dyDescent="0.25">
      <c r="A3046" s="1" t="s">
        <v>4147</v>
      </c>
      <c r="B3046" s="2">
        <v>45298</v>
      </c>
      <c r="C3046" s="1" t="s">
        <v>36</v>
      </c>
      <c r="D3046" s="1" t="s">
        <v>49</v>
      </c>
      <c r="E3046" s="1" t="s">
        <v>322</v>
      </c>
      <c r="F3046" s="1" t="s">
        <v>21</v>
      </c>
      <c r="G3046" s="1" t="s">
        <v>112</v>
      </c>
      <c r="H3046" s="1" t="s">
        <v>118</v>
      </c>
      <c r="I3046" s="1">
        <v>604.16999999999996</v>
      </c>
      <c r="J3046" s="1">
        <v>7</v>
      </c>
      <c r="K3046" s="1">
        <v>4229.1899999999996</v>
      </c>
      <c r="L3046" s="1">
        <v>5</v>
      </c>
      <c r="M3046" s="1">
        <v>211.46</v>
      </c>
      <c r="N3046" s="1">
        <v>4017.73</v>
      </c>
      <c r="O3046" s="1" t="s">
        <v>24</v>
      </c>
      <c r="P3046" s="1" t="s">
        <v>3787</v>
      </c>
      <c r="Q3046" s="1">
        <v>5</v>
      </c>
      <c r="R3046" s="1">
        <f>Retail_Sales_Analyis[[#This Row],[Final_Price]]-Retail_Sales_Analyis[[#This Row],[Total_Price]]</f>
        <v>-211.45999999999958</v>
      </c>
      <c r="S30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47" spans="1:19" x14ac:dyDescent="0.25">
      <c r="A3047" s="1" t="s">
        <v>4148</v>
      </c>
      <c r="B3047" s="2">
        <v>45300</v>
      </c>
      <c r="C3047" s="1" t="s">
        <v>36</v>
      </c>
      <c r="D3047" s="1" t="s">
        <v>28</v>
      </c>
      <c r="E3047" s="1" t="s">
        <v>328</v>
      </c>
      <c r="F3047" s="1" t="s">
        <v>84</v>
      </c>
      <c r="G3047" s="1" t="s">
        <v>85</v>
      </c>
      <c r="H3047" s="1" t="s">
        <v>86</v>
      </c>
      <c r="I3047" s="1">
        <v>3108.82</v>
      </c>
      <c r="J3047" s="1">
        <v>5</v>
      </c>
      <c r="K3047" s="1">
        <v>15544.1</v>
      </c>
      <c r="L3047" s="1">
        <v>20</v>
      </c>
      <c r="M3047" s="1">
        <v>3108.82</v>
      </c>
      <c r="N3047" s="1">
        <v>12435.28</v>
      </c>
      <c r="O3047" s="1" t="s">
        <v>46</v>
      </c>
      <c r="P3047" s="1" t="s">
        <v>273</v>
      </c>
      <c r="Q3047" s="1">
        <v>4</v>
      </c>
      <c r="R3047" s="1">
        <f>Retail_Sales_Analyis[[#This Row],[Final_Price]]-Retail_Sales_Analyis[[#This Row],[Total_Price]]</f>
        <v>-3108.8199999999997</v>
      </c>
      <c r="S304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48" spans="1:19" x14ac:dyDescent="0.25">
      <c r="A3048" s="1" t="s">
        <v>4149</v>
      </c>
      <c r="B3048" s="2">
        <v>45563</v>
      </c>
      <c r="C3048" s="1" t="s">
        <v>116</v>
      </c>
      <c r="D3048" s="1" t="s">
        <v>19</v>
      </c>
      <c r="E3048" s="1" t="s">
        <v>50</v>
      </c>
      <c r="F3048" s="1" t="s">
        <v>30</v>
      </c>
      <c r="G3048" s="1" t="s">
        <v>22</v>
      </c>
      <c r="H3048" s="1" t="s">
        <v>23</v>
      </c>
      <c r="I3048" s="1">
        <v>533.03</v>
      </c>
      <c r="J3048" s="1">
        <v>6</v>
      </c>
      <c r="K3048" s="1">
        <v>3198.18</v>
      </c>
      <c r="L3048" s="1">
        <v>0</v>
      </c>
      <c r="M3048" s="1">
        <v>0</v>
      </c>
      <c r="N3048" s="1">
        <v>3198.18</v>
      </c>
      <c r="O3048" s="1" t="s">
        <v>33</v>
      </c>
      <c r="P3048" s="1" t="s">
        <v>65</v>
      </c>
      <c r="Q3048" s="1">
        <v>4</v>
      </c>
      <c r="R3048" s="1">
        <f>Retail_Sales_Analyis[[#This Row],[Final_Price]]-Retail_Sales_Analyis[[#This Row],[Total_Price]]</f>
        <v>0</v>
      </c>
      <c r="S30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49" spans="1:19" x14ac:dyDescent="0.25">
      <c r="A3049" s="1" t="s">
        <v>4150</v>
      </c>
      <c r="B3049" s="2">
        <v>45432</v>
      </c>
      <c r="C3049" s="1" t="s">
        <v>42</v>
      </c>
      <c r="D3049" s="1" t="s">
        <v>43</v>
      </c>
      <c r="E3049" s="1" t="s">
        <v>168</v>
      </c>
      <c r="F3049" s="1" t="s">
        <v>84</v>
      </c>
      <c r="G3049" s="1" t="s">
        <v>38</v>
      </c>
      <c r="H3049" s="1" t="s">
        <v>422</v>
      </c>
      <c r="I3049" s="1">
        <v>312.05</v>
      </c>
      <c r="J3049" s="1">
        <v>1</v>
      </c>
      <c r="K3049" s="1">
        <v>312.05</v>
      </c>
      <c r="L3049" s="1">
        <v>0</v>
      </c>
      <c r="M3049" s="1">
        <v>0</v>
      </c>
      <c r="N3049" s="1">
        <v>312.05</v>
      </c>
      <c r="O3049" s="1" t="s">
        <v>64</v>
      </c>
      <c r="P3049" s="1" t="s">
        <v>2942</v>
      </c>
      <c r="Q3049" s="1">
        <v>3</v>
      </c>
      <c r="R3049" s="1">
        <f>Retail_Sales_Analyis[[#This Row],[Final_Price]]-Retail_Sales_Analyis[[#This Row],[Total_Price]]</f>
        <v>0</v>
      </c>
      <c r="S30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0" spans="1:19" x14ac:dyDescent="0.25">
      <c r="A3050" s="1" t="s">
        <v>4151</v>
      </c>
      <c r="B3050" s="2">
        <v>45566</v>
      </c>
      <c r="C3050" s="1" t="s">
        <v>76</v>
      </c>
      <c r="D3050" s="1" t="s">
        <v>28</v>
      </c>
      <c r="E3050" s="1" t="s">
        <v>56</v>
      </c>
      <c r="F3050" s="1" t="s">
        <v>21</v>
      </c>
      <c r="G3050" s="1" t="s">
        <v>38</v>
      </c>
      <c r="H3050" s="1" t="s">
        <v>70</v>
      </c>
      <c r="I3050" s="1">
        <v>480.95</v>
      </c>
      <c r="J3050" s="1">
        <v>7</v>
      </c>
      <c r="K3050" s="1">
        <v>3366.65</v>
      </c>
      <c r="L3050" s="1">
        <v>0</v>
      </c>
      <c r="M3050" s="1">
        <v>0</v>
      </c>
      <c r="N3050" s="1">
        <v>3366.65</v>
      </c>
      <c r="O3050" s="1" t="s">
        <v>24</v>
      </c>
      <c r="P3050" s="1" t="s">
        <v>1572</v>
      </c>
      <c r="Q3050" s="1">
        <v>2</v>
      </c>
      <c r="R3050" s="1">
        <f>Retail_Sales_Analyis[[#This Row],[Final_Price]]-Retail_Sales_Analyis[[#This Row],[Total_Price]]</f>
        <v>0</v>
      </c>
      <c r="S30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1" spans="1:19" x14ac:dyDescent="0.25">
      <c r="A3051" s="1" t="s">
        <v>4152</v>
      </c>
      <c r="B3051" s="2">
        <v>45438</v>
      </c>
      <c r="C3051" s="1" t="s">
        <v>42</v>
      </c>
      <c r="D3051" s="1" t="s">
        <v>49</v>
      </c>
      <c r="E3051" s="1" t="s">
        <v>342</v>
      </c>
      <c r="F3051" s="1" t="s">
        <v>21</v>
      </c>
      <c r="G3051" s="1" t="s">
        <v>169</v>
      </c>
      <c r="H3051" s="1" t="s">
        <v>175</v>
      </c>
      <c r="I3051" s="1">
        <v>740.39</v>
      </c>
      <c r="J3051" s="1">
        <v>4</v>
      </c>
      <c r="K3051" s="1">
        <v>2961.56</v>
      </c>
      <c r="L3051" s="1">
        <v>0</v>
      </c>
      <c r="M3051" s="1">
        <v>0</v>
      </c>
      <c r="N3051" s="1">
        <v>2961.56</v>
      </c>
      <c r="O3051" s="1" t="s">
        <v>24</v>
      </c>
      <c r="P3051" s="1" t="s">
        <v>786</v>
      </c>
      <c r="Q3051" s="1">
        <v>5</v>
      </c>
      <c r="R3051" s="1">
        <f>Retail_Sales_Analyis[[#This Row],[Final_Price]]-Retail_Sales_Analyis[[#This Row],[Total_Price]]</f>
        <v>0</v>
      </c>
      <c r="S30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2" spans="1:19" x14ac:dyDescent="0.25">
      <c r="A3052" s="1" t="s">
        <v>4153</v>
      </c>
      <c r="B3052" s="2">
        <v>45300</v>
      </c>
      <c r="C3052" s="1" t="s">
        <v>36</v>
      </c>
      <c r="D3052" s="1" t="s">
        <v>28</v>
      </c>
      <c r="E3052" s="1" t="s">
        <v>174</v>
      </c>
      <c r="F3052" s="1" t="s">
        <v>21</v>
      </c>
      <c r="G3052" s="1" t="s">
        <v>22</v>
      </c>
      <c r="H3052" s="1" t="s">
        <v>187</v>
      </c>
      <c r="I3052" s="1">
        <v>849.74</v>
      </c>
      <c r="J3052" s="1">
        <v>5</v>
      </c>
      <c r="K3052" s="1">
        <v>4248.7</v>
      </c>
      <c r="L3052" s="1">
        <v>20</v>
      </c>
      <c r="M3052" s="1">
        <v>849.74</v>
      </c>
      <c r="N3052" s="1">
        <v>3398.96</v>
      </c>
      <c r="O3052" s="1" t="s">
        <v>24</v>
      </c>
      <c r="P3052" s="1" t="s">
        <v>2800</v>
      </c>
      <c r="Q3052" s="1">
        <v>5</v>
      </c>
      <c r="R3052" s="1">
        <f>Retail_Sales_Analyis[[#This Row],[Final_Price]]-Retail_Sales_Analyis[[#This Row],[Total_Price]]</f>
        <v>-849.73999999999978</v>
      </c>
      <c r="S305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53" spans="1:19" x14ac:dyDescent="0.25">
      <c r="A3053" s="1" t="s">
        <v>4154</v>
      </c>
      <c r="B3053" s="2">
        <v>45549</v>
      </c>
      <c r="C3053" s="1" t="s">
        <v>116</v>
      </c>
      <c r="D3053" s="1" t="s">
        <v>19</v>
      </c>
      <c r="E3053" s="1" t="s">
        <v>213</v>
      </c>
      <c r="F3053" s="1" t="s">
        <v>84</v>
      </c>
      <c r="G3053" s="1" t="s">
        <v>22</v>
      </c>
      <c r="H3053" s="1" t="s">
        <v>133</v>
      </c>
      <c r="I3053" s="1">
        <v>506.59</v>
      </c>
      <c r="J3053" s="1">
        <v>1</v>
      </c>
      <c r="K3053" s="1">
        <v>506.59</v>
      </c>
      <c r="L3053" s="1">
        <v>0</v>
      </c>
      <c r="M3053" s="1">
        <v>0</v>
      </c>
      <c r="N3053" s="1">
        <v>506.59</v>
      </c>
      <c r="O3053" s="1" t="s">
        <v>33</v>
      </c>
      <c r="P3053" s="1" t="s">
        <v>1597</v>
      </c>
      <c r="Q3053" s="1">
        <v>1</v>
      </c>
      <c r="R3053" s="1">
        <f>Retail_Sales_Analyis[[#This Row],[Final_Price]]-Retail_Sales_Analyis[[#This Row],[Total_Price]]</f>
        <v>0</v>
      </c>
      <c r="S30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4" spans="1:19" x14ac:dyDescent="0.25">
      <c r="A3054" s="1" t="s">
        <v>4155</v>
      </c>
      <c r="B3054" s="2">
        <v>45649</v>
      </c>
      <c r="C3054" s="1" t="s">
        <v>73</v>
      </c>
      <c r="D3054" s="1" t="s">
        <v>43</v>
      </c>
      <c r="E3054" s="1" t="s">
        <v>104</v>
      </c>
      <c r="F3054" s="1" t="s">
        <v>84</v>
      </c>
      <c r="G3054" s="1" t="s">
        <v>169</v>
      </c>
      <c r="H3054" s="1" t="s">
        <v>208</v>
      </c>
      <c r="I3054" s="1">
        <v>1277.5</v>
      </c>
      <c r="J3054" s="1">
        <v>10</v>
      </c>
      <c r="K3054" s="1">
        <v>12775</v>
      </c>
      <c r="L3054" s="1">
        <v>0</v>
      </c>
      <c r="M3054" s="1">
        <v>0</v>
      </c>
      <c r="N3054" s="1">
        <v>12775</v>
      </c>
      <c r="O3054" s="1" t="s">
        <v>46</v>
      </c>
      <c r="P3054" s="1" t="s">
        <v>530</v>
      </c>
      <c r="Q3054" s="1">
        <v>4</v>
      </c>
      <c r="R3054" s="1">
        <f>Retail_Sales_Analyis[[#This Row],[Final_Price]]-Retail_Sales_Analyis[[#This Row],[Total_Price]]</f>
        <v>0</v>
      </c>
      <c r="S30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5" spans="1:19" x14ac:dyDescent="0.25">
      <c r="A3055" s="1" t="s">
        <v>4156</v>
      </c>
      <c r="B3055" s="2">
        <v>45637</v>
      </c>
      <c r="C3055" s="1" t="s">
        <v>73</v>
      </c>
      <c r="D3055" s="1" t="s">
        <v>55</v>
      </c>
      <c r="E3055" s="1" t="s">
        <v>192</v>
      </c>
      <c r="F3055" s="1" t="s">
        <v>37</v>
      </c>
      <c r="G3055" s="1" t="s">
        <v>38</v>
      </c>
      <c r="H3055" s="1" t="s">
        <v>108</v>
      </c>
      <c r="I3055" s="1">
        <v>386.44</v>
      </c>
      <c r="J3055" s="1">
        <v>9</v>
      </c>
      <c r="K3055" s="1">
        <v>3477.96</v>
      </c>
      <c r="L3055" s="1">
        <v>15</v>
      </c>
      <c r="M3055" s="1">
        <v>521.69000000000005</v>
      </c>
      <c r="N3055" s="1">
        <v>2956.27</v>
      </c>
      <c r="O3055" s="1" t="s">
        <v>64</v>
      </c>
      <c r="P3055" s="1" t="s">
        <v>667</v>
      </c>
      <c r="Q3055" s="1">
        <v>3</v>
      </c>
      <c r="R3055" s="1">
        <f>Retail_Sales_Analyis[[#This Row],[Final_Price]]-Retail_Sales_Analyis[[#This Row],[Total_Price]]</f>
        <v>-521.69000000000005</v>
      </c>
      <c r="S30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56" spans="1:19" x14ac:dyDescent="0.25">
      <c r="A3056" s="1" t="s">
        <v>4157</v>
      </c>
      <c r="B3056" s="2">
        <v>45512</v>
      </c>
      <c r="C3056" s="1" t="s">
        <v>93</v>
      </c>
      <c r="D3056" s="1" t="s">
        <v>67</v>
      </c>
      <c r="E3056" s="1" t="s">
        <v>542</v>
      </c>
      <c r="F3056" s="1" t="s">
        <v>37</v>
      </c>
      <c r="G3056" s="1" t="s">
        <v>38</v>
      </c>
      <c r="H3056" s="1" t="s">
        <v>39</v>
      </c>
      <c r="I3056" s="1">
        <v>296.63</v>
      </c>
      <c r="J3056" s="1">
        <v>4</v>
      </c>
      <c r="K3056" s="1">
        <v>1186.52</v>
      </c>
      <c r="L3056" s="1">
        <v>20</v>
      </c>
      <c r="M3056" s="1">
        <v>237.3</v>
      </c>
      <c r="N3056" s="1">
        <v>949.22</v>
      </c>
      <c r="O3056" s="1" t="s">
        <v>24</v>
      </c>
      <c r="P3056" s="1" t="s">
        <v>3148</v>
      </c>
      <c r="Q3056" s="1">
        <v>5</v>
      </c>
      <c r="R3056" s="1">
        <f>Retail_Sales_Analyis[[#This Row],[Final_Price]]-Retail_Sales_Analyis[[#This Row],[Total_Price]]</f>
        <v>-237.29999999999995</v>
      </c>
      <c r="S30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57" spans="1:19" x14ac:dyDescent="0.25">
      <c r="A3057" s="1" t="s">
        <v>4158</v>
      </c>
      <c r="B3057" s="2">
        <v>45383</v>
      </c>
      <c r="C3057" s="1" t="s">
        <v>54</v>
      </c>
      <c r="D3057" s="1" t="s">
        <v>43</v>
      </c>
      <c r="E3057" s="1" t="s">
        <v>166</v>
      </c>
      <c r="F3057" s="1" t="s">
        <v>37</v>
      </c>
      <c r="G3057" s="1" t="s">
        <v>169</v>
      </c>
      <c r="H3057" s="1" t="s">
        <v>175</v>
      </c>
      <c r="I3057" s="1">
        <v>311.64999999999998</v>
      </c>
      <c r="J3057" s="1">
        <v>6</v>
      </c>
      <c r="K3057" s="1">
        <v>1869.9</v>
      </c>
      <c r="L3057" s="1">
        <v>0</v>
      </c>
      <c r="M3057" s="1">
        <v>0</v>
      </c>
      <c r="N3057" s="1">
        <v>1869.9</v>
      </c>
      <c r="O3057" s="1" t="s">
        <v>64</v>
      </c>
      <c r="P3057" s="1" t="s">
        <v>1517</v>
      </c>
      <c r="Q3057" s="1">
        <v>2</v>
      </c>
      <c r="R3057" s="1">
        <f>Retail_Sales_Analyis[[#This Row],[Final_Price]]-Retail_Sales_Analyis[[#This Row],[Total_Price]]</f>
        <v>0</v>
      </c>
      <c r="S30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58" spans="1:19" x14ac:dyDescent="0.25">
      <c r="A3058" s="1" t="s">
        <v>4159</v>
      </c>
      <c r="B3058" s="2">
        <v>45346</v>
      </c>
      <c r="C3058" s="1" t="s">
        <v>27</v>
      </c>
      <c r="D3058" s="1" t="s">
        <v>19</v>
      </c>
      <c r="E3058" s="1" t="s">
        <v>157</v>
      </c>
      <c r="F3058" s="1" t="s">
        <v>84</v>
      </c>
      <c r="G3058" s="1" t="s">
        <v>112</v>
      </c>
      <c r="H3058" s="1" t="s">
        <v>118</v>
      </c>
      <c r="I3058" s="1">
        <v>967.73</v>
      </c>
      <c r="J3058" s="1">
        <v>1</v>
      </c>
      <c r="K3058" s="1">
        <v>967.73</v>
      </c>
      <c r="L3058" s="1">
        <v>10</v>
      </c>
      <c r="M3058" s="1">
        <v>96.77</v>
      </c>
      <c r="N3058" s="1">
        <v>870.96</v>
      </c>
      <c r="O3058" s="1" t="s">
        <v>46</v>
      </c>
      <c r="P3058" s="1" t="s">
        <v>4136</v>
      </c>
      <c r="Q3058" s="1">
        <v>4</v>
      </c>
      <c r="R3058" s="1">
        <f>Retail_Sales_Analyis[[#This Row],[Final_Price]]-Retail_Sales_Analyis[[#This Row],[Total_Price]]</f>
        <v>-96.769999999999982</v>
      </c>
      <c r="S30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59" spans="1:19" x14ac:dyDescent="0.25">
      <c r="A3059" s="1" t="s">
        <v>4160</v>
      </c>
      <c r="B3059" s="2">
        <v>45341</v>
      </c>
      <c r="C3059" s="1" t="s">
        <v>27</v>
      </c>
      <c r="D3059" s="1" t="s">
        <v>43</v>
      </c>
      <c r="E3059" s="1" t="s">
        <v>104</v>
      </c>
      <c r="F3059" s="1" t="s">
        <v>84</v>
      </c>
      <c r="G3059" s="1" t="s">
        <v>38</v>
      </c>
      <c r="H3059" s="1" t="s">
        <v>39</v>
      </c>
      <c r="I3059" s="1">
        <v>664.67</v>
      </c>
      <c r="J3059" s="1">
        <v>7</v>
      </c>
      <c r="K3059" s="1">
        <v>4652.6899999999996</v>
      </c>
      <c r="L3059" s="1">
        <v>5</v>
      </c>
      <c r="M3059" s="1">
        <v>232.63</v>
      </c>
      <c r="N3059" s="1">
        <v>4420.0600000000004</v>
      </c>
      <c r="O3059" s="1" t="s">
        <v>24</v>
      </c>
      <c r="P3059" s="1" t="s">
        <v>1385</v>
      </c>
      <c r="Q3059" s="1">
        <v>3</v>
      </c>
      <c r="R3059" s="1">
        <f>Retail_Sales_Analyis[[#This Row],[Final_Price]]-Retail_Sales_Analyis[[#This Row],[Total_Price]]</f>
        <v>-232.6299999999992</v>
      </c>
      <c r="S30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60" spans="1:19" x14ac:dyDescent="0.25">
      <c r="A3060" s="1" t="s">
        <v>4161</v>
      </c>
      <c r="B3060" s="2">
        <v>45560</v>
      </c>
      <c r="C3060" s="1" t="s">
        <v>116</v>
      </c>
      <c r="D3060" s="1" t="s">
        <v>55</v>
      </c>
      <c r="E3060" s="1" t="s">
        <v>199</v>
      </c>
      <c r="F3060" s="1" t="s">
        <v>30</v>
      </c>
      <c r="G3060" s="1" t="s">
        <v>57</v>
      </c>
      <c r="H3060" s="1" t="s">
        <v>152</v>
      </c>
      <c r="I3060" s="1">
        <v>260.99</v>
      </c>
      <c r="J3060" s="1">
        <v>2</v>
      </c>
      <c r="K3060" s="1">
        <v>521.98</v>
      </c>
      <c r="L3060" s="1">
        <v>0</v>
      </c>
      <c r="M3060" s="1">
        <v>0</v>
      </c>
      <c r="N3060" s="1">
        <v>521.98</v>
      </c>
      <c r="O3060" s="1" t="s">
        <v>46</v>
      </c>
      <c r="P3060" s="1" t="s">
        <v>474</v>
      </c>
      <c r="Q3060" s="1">
        <v>4</v>
      </c>
      <c r="R3060" s="1">
        <f>Retail_Sales_Analyis[[#This Row],[Final_Price]]-Retail_Sales_Analyis[[#This Row],[Total_Price]]</f>
        <v>0</v>
      </c>
      <c r="S30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1" spans="1:19" x14ac:dyDescent="0.25">
      <c r="A3061" s="1" t="s">
        <v>4162</v>
      </c>
      <c r="B3061" s="2">
        <v>45368</v>
      </c>
      <c r="C3061" s="1" t="s">
        <v>61</v>
      </c>
      <c r="D3061" s="1" t="s">
        <v>49</v>
      </c>
      <c r="E3061" s="1" t="s">
        <v>56</v>
      </c>
      <c r="F3061" s="1" t="s">
        <v>30</v>
      </c>
      <c r="G3061" s="1" t="s">
        <v>85</v>
      </c>
      <c r="H3061" s="1" t="s">
        <v>98</v>
      </c>
      <c r="I3061" s="1">
        <v>2830.9</v>
      </c>
      <c r="J3061" s="1">
        <v>8</v>
      </c>
      <c r="K3061" s="1">
        <v>22647.200000000001</v>
      </c>
      <c r="L3061" s="1">
        <v>10</v>
      </c>
      <c r="M3061" s="1">
        <v>2264.7199999999998</v>
      </c>
      <c r="N3061" s="1">
        <v>20382.48</v>
      </c>
      <c r="O3061" s="1" t="s">
        <v>46</v>
      </c>
      <c r="P3061" s="1" t="s">
        <v>2110</v>
      </c>
      <c r="Q3061" s="1">
        <v>1</v>
      </c>
      <c r="R3061" s="1">
        <f>Retail_Sales_Analyis[[#This Row],[Final_Price]]-Retail_Sales_Analyis[[#This Row],[Total_Price]]</f>
        <v>-2264.7200000000012</v>
      </c>
      <c r="S30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62" spans="1:19" x14ac:dyDescent="0.25">
      <c r="A3062" s="1" t="s">
        <v>4163</v>
      </c>
      <c r="B3062" s="2">
        <v>45415</v>
      </c>
      <c r="C3062" s="1" t="s">
        <v>42</v>
      </c>
      <c r="D3062" s="1" t="s">
        <v>144</v>
      </c>
      <c r="E3062" s="1" t="s">
        <v>328</v>
      </c>
      <c r="F3062" s="1" t="s">
        <v>84</v>
      </c>
      <c r="G3062" s="1" t="s">
        <v>57</v>
      </c>
      <c r="H3062" s="1" t="s">
        <v>101</v>
      </c>
      <c r="I3062" s="1">
        <v>2601.98</v>
      </c>
      <c r="J3062" s="1">
        <v>8</v>
      </c>
      <c r="K3062" s="1">
        <v>20815.84</v>
      </c>
      <c r="L3062" s="1">
        <v>0</v>
      </c>
      <c r="M3062" s="1">
        <v>0</v>
      </c>
      <c r="N3062" s="1">
        <v>20815.84</v>
      </c>
      <c r="O3062" s="1" t="s">
        <v>46</v>
      </c>
      <c r="P3062" s="1" t="s">
        <v>1622</v>
      </c>
      <c r="Q3062" s="1">
        <v>5</v>
      </c>
      <c r="R3062" s="1">
        <f>Retail_Sales_Analyis[[#This Row],[Final_Price]]-Retail_Sales_Analyis[[#This Row],[Total_Price]]</f>
        <v>0</v>
      </c>
      <c r="S30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3" spans="1:19" x14ac:dyDescent="0.25">
      <c r="A3063" s="1" t="s">
        <v>4164</v>
      </c>
      <c r="B3063" s="2">
        <v>45390</v>
      </c>
      <c r="C3063" s="1" t="s">
        <v>54</v>
      </c>
      <c r="D3063" s="1" t="s">
        <v>43</v>
      </c>
      <c r="E3063" s="1" t="s">
        <v>97</v>
      </c>
      <c r="F3063" s="1" t="s">
        <v>21</v>
      </c>
      <c r="G3063" s="1" t="s">
        <v>31</v>
      </c>
      <c r="H3063" s="1" t="s">
        <v>329</v>
      </c>
      <c r="I3063" s="1">
        <v>321.92</v>
      </c>
      <c r="J3063" s="1">
        <v>4</v>
      </c>
      <c r="K3063" s="1">
        <v>1287.68</v>
      </c>
      <c r="L3063" s="1">
        <v>0</v>
      </c>
      <c r="M3063" s="1">
        <v>0</v>
      </c>
      <c r="N3063" s="1">
        <v>1287.68</v>
      </c>
      <c r="O3063" s="1" t="s">
        <v>80</v>
      </c>
      <c r="P3063" s="1" t="s">
        <v>1680</v>
      </c>
      <c r="Q3063" s="1">
        <v>1</v>
      </c>
      <c r="R3063" s="1">
        <f>Retail_Sales_Analyis[[#This Row],[Final_Price]]-Retail_Sales_Analyis[[#This Row],[Total_Price]]</f>
        <v>0</v>
      </c>
      <c r="S30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4" spans="1:19" x14ac:dyDescent="0.25">
      <c r="A3064" s="1" t="s">
        <v>4165</v>
      </c>
      <c r="B3064" s="2">
        <v>45609</v>
      </c>
      <c r="C3064" s="1" t="s">
        <v>18</v>
      </c>
      <c r="D3064" s="1" t="s">
        <v>55</v>
      </c>
      <c r="E3064" s="1" t="s">
        <v>121</v>
      </c>
      <c r="F3064" s="1" t="s">
        <v>37</v>
      </c>
      <c r="G3064" s="1" t="s">
        <v>38</v>
      </c>
      <c r="H3064" s="1" t="s">
        <v>39</v>
      </c>
      <c r="I3064" s="1">
        <v>230.08</v>
      </c>
      <c r="J3064" s="1">
        <v>7</v>
      </c>
      <c r="K3064" s="1">
        <v>1610.56</v>
      </c>
      <c r="L3064" s="1">
        <v>0</v>
      </c>
      <c r="M3064" s="1">
        <v>0</v>
      </c>
      <c r="N3064" s="1">
        <v>1610.56</v>
      </c>
      <c r="O3064" s="1" t="s">
        <v>24</v>
      </c>
      <c r="P3064" s="1" t="s">
        <v>1535</v>
      </c>
      <c r="Q3064" s="1">
        <v>1</v>
      </c>
      <c r="R3064" s="1">
        <f>Retail_Sales_Analyis[[#This Row],[Final_Price]]-Retail_Sales_Analyis[[#This Row],[Total_Price]]</f>
        <v>0</v>
      </c>
      <c r="S30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5" spans="1:19" x14ac:dyDescent="0.25">
      <c r="A3065" s="1" t="s">
        <v>4166</v>
      </c>
      <c r="B3065" s="2">
        <v>45561</v>
      </c>
      <c r="C3065" s="1" t="s">
        <v>116</v>
      </c>
      <c r="D3065" s="1" t="s">
        <v>67</v>
      </c>
      <c r="E3065" s="1" t="s">
        <v>168</v>
      </c>
      <c r="F3065" s="1" t="s">
        <v>84</v>
      </c>
      <c r="G3065" s="1" t="s">
        <v>85</v>
      </c>
      <c r="H3065" s="1" t="s">
        <v>86</v>
      </c>
      <c r="I3065" s="1">
        <v>4036.31</v>
      </c>
      <c r="J3065" s="1">
        <v>8</v>
      </c>
      <c r="K3065" s="1">
        <v>32290.48</v>
      </c>
      <c r="L3065" s="1">
        <v>0</v>
      </c>
      <c r="M3065" s="1">
        <v>0</v>
      </c>
      <c r="N3065" s="1">
        <v>32290.48</v>
      </c>
      <c r="O3065" s="1" t="s">
        <v>64</v>
      </c>
      <c r="P3065" s="1" t="s">
        <v>1345</v>
      </c>
      <c r="Q3065" s="1">
        <v>1</v>
      </c>
      <c r="R3065" s="1">
        <f>Retail_Sales_Analyis[[#This Row],[Final_Price]]-Retail_Sales_Analyis[[#This Row],[Total_Price]]</f>
        <v>0</v>
      </c>
      <c r="S30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6" spans="1:19" x14ac:dyDescent="0.25">
      <c r="A3066" s="1" t="s">
        <v>4167</v>
      </c>
      <c r="B3066" s="2">
        <v>45421</v>
      </c>
      <c r="C3066" s="1" t="s">
        <v>42</v>
      </c>
      <c r="D3066" s="1" t="s">
        <v>67</v>
      </c>
      <c r="E3066" s="1" t="s">
        <v>239</v>
      </c>
      <c r="F3066" s="1" t="s">
        <v>37</v>
      </c>
      <c r="G3066" s="1" t="s">
        <v>78</v>
      </c>
      <c r="H3066" s="1" t="s">
        <v>136</v>
      </c>
      <c r="I3066" s="1">
        <v>566.46</v>
      </c>
      <c r="J3066" s="1">
        <v>7</v>
      </c>
      <c r="K3066" s="1">
        <v>3965.22</v>
      </c>
      <c r="L3066" s="1">
        <v>0</v>
      </c>
      <c r="M3066" s="1">
        <v>0</v>
      </c>
      <c r="N3066" s="1">
        <v>3965.22</v>
      </c>
      <c r="O3066" s="1" t="s">
        <v>24</v>
      </c>
      <c r="P3066" s="1" t="s">
        <v>3206</v>
      </c>
      <c r="Q3066" s="1">
        <v>1</v>
      </c>
      <c r="R3066" s="1">
        <f>Retail_Sales_Analyis[[#This Row],[Final_Price]]-Retail_Sales_Analyis[[#This Row],[Total_Price]]</f>
        <v>0</v>
      </c>
      <c r="S30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7" spans="1:19" x14ac:dyDescent="0.25">
      <c r="A3067" s="1" t="s">
        <v>4168</v>
      </c>
      <c r="B3067" s="2">
        <v>45473</v>
      </c>
      <c r="C3067" s="1" t="s">
        <v>173</v>
      </c>
      <c r="D3067" s="1" t="s">
        <v>49</v>
      </c>
      <c r="E3067" s="1" t="s">
        <v>207</v>
      </c>
      <c r="F3067" s="1" t="s">
        <v>37</v>
      </c>
      <c r="G3067" s="1" t="s">
        <v>22</v>
      </c>
      <c r="H3067" s="1" t="s">
        <v>277</v>
      </c>
      <c r="I3067" s="1">
        <v>436.26</v>
      </c>
      <c r="J3067" s="1">
        <v>2</v>
      </c>
      <c r="K3067" s="1">
        <v>872.52</v>
      </c>
      <c r="L3067" s="1">
        <v>0</v>
      </c>
      <c r="M3067" s="1">
        <v>0</v>
      </c>
      <c r="N3067" s="1">
        <v>872.52</v>
      </c>
      <c r="O3067" s="1" t="s">
        <v>46</v>
      </c>
      <c r="P3067" s="1" t="s">
        <v>1565</v>
      </c>
      <c r="Q3067" s="1">
        <v>2</v>
      </c>
      <c r="R3067" s="1">
        <f>Retail_Sales_Analyis[[#This Row],[Final_Price]]-Retail_Sales_Analyis[[#This Row],[Total_Price]]</f>
        <v>0</v>
      </c>
      <c r="S30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8" spans="1:19" x14ac:dyDescent="0.25">
      <c r="A3068" s="1" t="s">
        <v>4169</v>
      </c>
      <c r="B3068" s="2">
        <v>45428</v>
      </c>
      <c r="C3068" s="1" t="s">
        <v>42</v>
      </c>
      <c r="D3068" s="1" t="s">
        <v>67</v>
      </c>
      <c r="E3068" s="1" t="s">
        <v>56</v>
      </c>
      <c r="F3068" s="1" t="s">
        <v>84</v>
      </c>
      <c r="G3068" s="1" t="s">
        <v>38</v>
      </c>
      <c r="H3068" s="1" t="s">
        <v>39</v>
      </c>
      <c r="I3068" s="1">
        <v>143</v>
      </c>
      <c r="J3068" s="1">
        <v>8</v>
      </c>
      <c r="K3068" s="1">
        <v>1144</v>
      </c>
      <c r="L3068" s="1">
        <v>0</v>
      </c>
      <c r="M3068" s="1">
        <v>0</v>
      </c>
      <c r="N3068" s="1">
        <v>1144</v>
      </c>
      <c r="O3068" s="1" t="s">
        <v>80</v>
      </c>
      <c r="P3068" s="1" t="s">
        <v>725</v>
      </c>
      <c r="Q3068" s="1">
        <v>4</v>
      </c>
      <c r="R3068" s="1">
        <f>Retail_Sales_Analyis[[#This Row],[Final_Price]]-Retail_Sales_Analyis[[#This Row],[Total_Price]]</f>
        <v>0</v>
      </c>
      <c r="S30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69" spans="1:19" x14ac:dyDescent="0.25">
      <c r="A3069" s="1" t="s">
        <v>4170</v>
      </c>
      <c r="B3069" s="2">
        <v>45495</v>
      </c>
      <c r="C3069" s="1" t="s">
        <v>195</v>
      </c>
      <c r="D3069" s="1" t="s">
        <v>43</v>
      </c>
      <c r="E3069" s="1" t="s">
        <v>139</v>
      </c>
      <c r="F3069" s="1" t="s">
        <v>37</v>
      </c>
      <c r="G3069" s="1" t="s">
        <v>22</v>
      </c>
      <c r="H3069" s="1" t="s">
        <v>187</v>
      </c>
      <c r="I3069" s="1">
        <v>853.05</v>
      </c>
      <c r="J3069" s="1">
        <v>10</v>
      </c>
      <c r="K3069" s="1">
        <v>8530.5</v>
      </c>
      <c r="L3069" s="1">
        <v>0</v>
      </c>
      <c r="M3069" s="1">
        <v>0</v>
      </c>
      <c r="N3069" s="1">
        <v>8530.5</v>
      </c>
      <c r="O3069" s="1" t="s">
        <v>80</v>
      </c>
      <c r="P3069" s="1" t="s">
        <v>1710</v>
      </c>
      <c r="Q3069" s="1">
        <v>3</v>
      </c>
      <c r="R3069" s="1">
        <f>Retail_Sales_Analyis[[#This Row],[Final_Price]]-Retail_Sales_Analyis[[#This Row],[Total_Price]]</f>
        <v>0</v>
      </c>
      <c r="S30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0" spans="1:19" x14ac:dyDescent="0.25">
      <c r="A3070" s="1" t="s">
        <v>4171</v>
      </c>
      <c r="B3070" s="2">
        <v>45332</v>
      </c>
      <c r="C3070" s="1" t="s">
        <v>27</v>
      </c>
      <c r="D3070" s="1" t="s">
        <v>19</v>
      </c>
      <c r="E3070" s="1" t="s">
        <v>56</v>
      </c>
      <c r="F3070" s="1" t="s">
        <v>37</v>
      </c>
      <c r="G3070" s="1" t="s">
        <v>112</v>
      </c>
      <c r="H3070" s="1" t="s">
        <v>113</v>
      </c>
      <c r="I3070" s="1">
        <v>1107.93</v>
      </c>
      <c r="J3070" s="1">
        <v>2</v>
      </c>
      <c r="K3070" s="1">
        <v>2215.86</v>
      </c>
      <c r="L3070" s="1">
        <v>0</v>
      </c>
      <c r="M3070" s="1">
        <v>0</v>
      </c>
      <c r="N3070" s="1">
        <v>2215.86</v>
      </c>
      <c r="O3070" s="1" t="s">
        <v>24</v>
      </c>
      <c r="P3070" s="1" t="s">
        <v>2584</v>
      </c>
      <c r="Q3070" s="1">
        <v>4</v>
      </c>
      <c r="R3070" s="1">
        <f>Retail_Sales_Analyis[[#This Row],[Final_Price]]-Retail_Sales_Analyis[[#This Row],[Total_Price]]</f>
        <v>0</v>
      </c>
      <c r="S30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1" spans="1:19" x14ac:dyDescent="0.25">
      <c r="A3071" s="1" t="s">
        <v>4172</v>
      </c>
      <c r="B3071" s="2">
        <v>45483</v>
      </c>
      <c r="C3071" s="1" t="s">
        <v>195</v>
      </c>
      <c r="D3071" s="1" t="s">
        <v>55</v>
      </c>
      <c r="E3071" s="1" t="s">
        <v>196</v>
      </c>
      <c r="F3071" s="1" t="s">
        <v>30</v>
      </c>
      <c r="G3071" s="1" t="s">
        <v>169</v>
      </c>
      <c r="H3071" s="1" t="s">
        <v>348</v>
      </c>
      <c r="I3071" s="1">
        <v>883.54</v>
      </c>
      <c r="J3071" s="1">
        <v>4</v>
      </c>
      <c r="K3071" s="1">
        <v>3534.16</v>
      </c>
      <c r="L3071" s="1">
        <v>15</v>
      </c>
      <c r="M3071" s="1">
        <v>530.12</v>
      </c>
      <c r="N3071" s="1">
        <v>3004.04</v>
      </c>
      <c r="O3071" s="1" t="s">
        <v>33</v>
      </c>
      <c r="P3071" s="1" t="s">
        <v>767</v>
      </c>
      <c r="Q3071" s="1">
        <v>3</v>
      </c>
      <c r="R3071" s="1">
        <f>Retail_Sales_Analyis[[#This Row],[Final_Price]]-Retail_Sales_Analyis[[#This Row],[Total_Price]]</f>
        <v>-530.11999999999989</v>
      </c>
      <c r="S30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72" spans="1:19" x14ac:dyDescent="0.25">
      <c r="A3072" s="1" t="s">
        <v>4173</v>
      </c>
      <c r="B3072" s="2">
        <v>45499</v>
      </c>
      <c r="C3072" s="1" t="s">
        <v>195</v>
      </c>
      <c r="D3072" s="1" t="s">
        <v>144</v>
      </c>
      <c r="E3072" s="1" t="s">
        <v>322</v>
      </c>
      <c r="F3072" s="1" t="s">
        <v>37</v>
      </c>
      <c r="G3072" s="1" t="s">
        <v>57</v>
      </c>
      <c r="H3072" s="1" t="s">
        <v>101</v>
      </c>
      <c r="I3072" s="1">
        <v>2484.4499999999998</v>
      </c>
      <c r="J3072" s="1">
        <v>1</v>
      </c>
      <c r="K3072" s="1">
        <v>2484.4499999999998</v>
      </c>
      <c r="L3072" s="1">
        <v>5</v>
      </c>
      <c r="M3072" s="1">
        <v>124.22</v>
      </c>
      <c r="N3072" s="1">
        <v>2360.23</v>
      </c>
      <c r="O3072" s="1" t="s">
        <v>80</v>
      </c>
      <c r="P3072" s="1" t="s">
        <v>3467</v>
      </c>
      <c r="Q3072" s="1">
        <v>1</v>
      </c>
      <c r="R3072" s="1">
        <f>Retail_Sales_Analyis[[#This Row],[Final_Price]]-Retail_Sales_Analyis[[#This Row],[Total_Price]]</f>
        <v>-124.2199999999998</v>
      </c>
      <c r="S307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73" spans="1:19" x14ac:dyDescent="0.25">
      <c r="A3073" s="1" t="s">
        <v>4174</v>
      </c>
      <c r="B3073" s="2">
        <v>45527</v>
      </c>
      <c r="C3073" s="1" t="s">
        <v>93</v>
      </c>
      <c r="D3073" s="1" t="s">
        <v>144</v>
      </c>
      <c r="E3073" s="1" t="s">
        <v>199</v>
      </c>
      <c r="F3073" s="1" t="s">
        <v>84</v>
      </c>
      <c r="G3073" s="1" t="s">
        <v>169</v>
      </c>
      <c r="H3073" s="1" t="s">
        <v>170</v>
      </c>
      <c r="I3073" s="1">
        <v>1144.18</v>
      </c>
      <c r="J3073" s="1">
        <v>7</v>
      </c>
      <c r="K3073" s="1">
        <v>8009.26</v>
      </c>
      <c r="L3073" s="1">
        <v>20</v>
      </c>
      <c r="M3073" s="1">
        <v>1601.85</v>
      </c>
      <c r="N3073" s="1">
        <v>6407.41</v>
      </c>
      <c r="O3073" s="1" t="s">
        <v>24</v>
      </c>
      <c r="P3073" s="1" t="s">
        <v>161</v>
      </c>
      <c r="Q3073" s="1">
        <v>1</v>
      </c>
      <c r="R3073" s="1">
        <f>Retail_Sales_Analyis[[#This Row],[Final_Price]]-Retail_Sales_Analyis[[#This Row],[Total_Price]]</f>
        <v>-1601.8500000000004</v>
      </c>
      <c r="S30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74" spans="1:19" x14ac:dyDescent="0.25">
      <c r="A3074" s="1" t="s">
        <v>4175</v>
      </c>
      <c r="B3074" s="2">
        <v>45581</v>
      </c>
      <c r="C3074" s="1" t="s">
        <v>76</v>
      </c>
      <c r="D3074" s="1" t="s">
        <v>55</v>
      </c>
      <c r="E3074" s="1" t="s">
        <v>132</v>
      </c>
      <c r="F3074" s="1" t="s">
        <v>69</v>
      </c>
      <c r="G3074" s="1" t="s">
        <v>85</v>
      </c>
      <c r="H3074" s="1" t="s">
        <v>297</v>
      </c>
      <c r="I3074" s="1">
        <v>2072.1999999999998</v>
      </c>
      <c r="J3074" s="1">
        <v>5</v>
      </c>
      <c r="K3074" s="1">
        <v>10361</v>
      </c>
      <c r="L3074" s="1">
        <v>0</v>
      </c>
      <c r="M3074" s="1">
        <v>0</v>
      </c>
      <c r="N3074" s="1">
        <v>10361</v>
      </c>
      <c r="O3074" s="1" t="s">
        <v>46</v>
      </c>
      <c r="P3074" s="1" t="s">
        <v>4176</v>
      </c>
      <c r="Q3074" s="1">
        <v>3</v>
      </c>
      <c r="R3074" s="1">
        <f>Retail_Sales_Analyis[[#This Row],[Final_Price]]-Retail_Sales_Analyis[[#This Row],[Total_Price]]</f>
        <v>0</v>
      </c>
      <c r="S30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5" spans="1:19" x14ac:dyDescent="0.25">
      <c r="A3075" s="1" t="s">
        <v>4177</v>
      </c>
      <c r="B3075" s="2">
        <v>45416</v>
      </c>
      <c r="C3075" s="1" t="s">
        <v>42</v>
      </c>
      <c r="D3075" s="1" t="s">
        <v>19</v>
      </c>
      <c r="E3075" s="1" t="s">
        <v>168</v>
      </c>
      <c r="F3075" s="1" t="s">
        <v>30</v>
      </c>
      <c r="G3075" s="1" t="s">
        <v>38</v>
      </c>
      <c r="H3075" s="1" t="s">
        <v>214</v>
      </c>
      <c r="I3075" s="1">
        <v>262.64999999999998</v>
      </c>
      <c r="J3075" s="1">
        <v>9</v>
      </c>
      <c r="K3075" s="1">
        <v>2363.85</v>
      </c>
      <c r="L3075" s="1">
        <v>0</v>
      </c>
      <c r="M3075" s="1">
        <v>0</v>
      </c>
      <c r="N3075" s="1">
        <v>2363.85</v>
      </c>
      <c r="O3075" s="1" t="s">
        <v>80</v>
      </c>
      <c r="P3075" s="1" t="s">
        <v>1050</v>
      </c>
      <c r="Q3075" s="1">
        <v>4</v>
      </c>
      <c r="R3075" s="1">
        <f>Retail_Sales_Analyis[[#This Row],[Final_Price]]-Retail_Sales_Analyis[[#This Row],[Total_Price]]</f>
        <v>0</v>
      </c>
      <c r="S30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6" spans="1:19" x14ac:dyDescent="0.25">
      <c r="A3076" s="1" t="s">
        <v>4178</v>
      </c>
      <c r="B3076" s="2">
        <v>45648</v>
      </c>
      <c r="C3076" s="1" t="s">
        <v>73</v>
      </c>
      <c r="D3076" s="1" t="s">
        <v>49</v>
      </c>
      <c r="E3076" s="1" t="s">
        <v>204</v>
      </c>
      <c r="F3076" s="1" t="s">
        <v>21</v>
      </c>
      <c r="G3076" s="1" t="s">
        <v>85</v>
      </c>
      <c r="H3076" s="1" t="s">
        <v>98</v>
      </c>
      <c r="I3076" s="1">
        <v>3270.19</v>
      </c>
      <c r="J3076" s="1">
        <v>2</v>
      </c>
      <c r="K3076" s="1">
        <v>6540.38</v>
      </c>
      <c r="L3076" s="1">
        <v>5</v>
      </c>
      <c r="M3076" s="1">
        <v>327.02</v>
      </c>
      <c r="N3076" s="1">
        <v>6213.36</v>
      </c>
      <c r="O3076" s="1" t="s">
        <v>24</v>
      </c>
      <c r="P3076" s="1" t="s">
        <v>4179</v>
      </c>
      <c r="Q3076" s="1">
        <v>2</v>
      </c>
      <c r="R3076" s="1">
        <f>Retail_Sales_Analyis[[#This Row],[Final_Price]]-Retail_Sales_Analyis[[#This Row],[Total_Price]]</f>
        <v>-327.02000000000044</v>
      </c>
      <c r="S30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77" spans="1:19" x14ac:dyDescent="0.25">
      <c r="A3077" s="1" t="s">
        <v>4180</v>
      </c>
      <c r="B3077" s="2">
        <v>45407</v>
      </c>
      <c r="C3077" s="1" t="s">
        <v>54</v>
      </c>
      <c r="D3077" s="1" t="s">
        <v>67</v>
      </c>
      <c r="E3077" s="1" t="s">
        <v>132</v>
      </c>
      <c r="F3077" s="1" t="s">
        <v>21</v>
      </c>
      <c r="G3077" s="1" t="s">
        <v>57</v>
      </c>
      <c r="H3077" s="1" t="s">
        <v>152</v>
      </c>
      <c r="I3077" s="1">
        <v>2654.02</v>
      </c>
      <c r="J3077" s="1">
        <v>1</v>
      </c>
      <c r="K3077" s="1">
        <v>2654.02</v>
      </c>
      <c r="L3077" s="1">
        <v>0</v>
      </c>
      <c r="M3077" s="1">
        <v>0</v>
      </c>
      <c r="N3077" s="1">
        <v>2654.02</v>
      </c>
      <c r="O3077" s="1" t="s">
        <v>80</v>
      </c>
      <c r="P3077" s="1" t="s">
        <v>1201</v>
      </c>
      <c r="Q3077" s="1">
        <v>5</v>
      </c>
      <c r="R3077" s="1">
        <f>Retail_Sales_Analyis[[#This Row],[Final_Price]]-Retail_Sales_Analyis[[#This Row],[Total_Price]]</f>
        <v>0</v>
      </c>
      <c r="S30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78" spans="1:19" x14ac:dyDescent="0.25">
      <c r="A3078" s="1" t="s">
        <v>4181</v>
      </c>
      <c r="B3078" s="2">
        <v>45445</v>
      </c>
      <c r="C3078" s="1" t="s">
        <v>173</v>
      </c>
      <c r="D3078" s="1" t="s">
        <v>49</v>
      </c>
      <c r="E3078" s="1" t="s">
        <v>83</v>
      </c>
      <c r="F3078" s="1" t="s">
        <v>69</v>
      </c>
      <c r="G3078" s="1" t="s">
        <v>22</v>
      </c>
      <c r="H3078" s="1" t="s">
        <v>277</v>
      </c>
      <c r="I3078" s="1">
        <v>371.55</v>
      </c>
      <c r="J3078" s="1">
        <v>7</v>
      </c>
      <c r="K3078" s="1">
        <v>2600.85</v>
      </c>
      <c r="L3078" s="1">
        <v>15</v>
      </c>
      <c r="M3078" s="1">
        <v>390.13</v>
      </c>
      <c r="N3078" s="1">
        <v>2210.7199999999998</v>
      </c>
      <c r="O3078" s="1" t="s">
        <v>24</v>
      </c>
      <c r="P3078" s="1" t="s">
        <v>457</v>
      </c>
      <c r="Q3078" s="1">
        <v>5</v>
      </c>
      <c r="R3078" s="1">
        <f>Retail_Sales_Analyis[[#This Row],[Final_Price]]-Retail_Sales_Analyis[[#This Row],[Total_Price]]</f>
        <v>-390.13000000000011</v>
      </c>
      <c r="S30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79" spans="1:19" x14ac:dyDescent="0.25">
      <c r="A3079" s="1" t="s">
        <v>4182</v>
      </c>
      <c r="B3079" s="2">
        <v>45642</v>
      </c>
      <c r="C3079" s="1" t="s">
        <v>73</v>
      </c>
      <c r="D3079" s="1" t="s">
        <v>43</v>
      </c>
      <c r="E3079" s="1" t="s">
        <v>168</v>
      </c>
      <c r="F3079" s="1" t="s">
        <v>21</v>
      </c>
      <c r="G3079" s="1" t="s">
        <v>169</v>
      </c>
      <c r="H3079" s="1" t="s">
        <v>348</v>
      </c>
      <c r="I3079" s="1">
        <v>559.75</v>
      </c>
      <c r="J3079" s="1">
        <v>10</v>
      </c>
      <c r="K3079" s="1">
        <v>5597.5</v>
      </c>
      <c r="L3079" s="1">
        <v>20</v>
      </c>
      <c r="M3079" s="1">
        <v>1119.5</v>
      </c>
      <c r="N3079" s="1">
        <v>4478</v>
      </c>
      <c r="O3079" s="1" t="s">
        <v>46</v>
      </c>
      <c r="P3079" s="1" t="s">
        <v>2085</v>
      </c>
      <c r="Q3079" s="1">
        <v>4</v>
      </c>
      <c r="R3079" s="1">
        <f>Retail_Sales_Analyis[[#This Row],[Final_Price]]-Retail_Sales_Analyis[[#This Row],[Total_Price]]</f>
        <v>-1119.5</v>
      </c>
      <c r="S30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80" spans="1:19" x14ac:dyDescent="0.25">
      <c r="A3080" s="1" t="s">
        <v>4183</v>
      </c>
      <c r="B3080" s="2">
        <v>45333</v>
      </c>
      <c r="C3080" s="1" t="s">
        <v>27</v>
      </c>
      <c r="D3080" s="1" t="s">
        <v>49</v>
      </c>
      <c r="E3080" s="1" t="s">
        <v>139</v>
      </c>
      <c r="F3080" s="1" t="s">
        <v>69</v>
      </c>
      <c r="G3080" s="1" t="s">
        <v>31</v>
      </c>
      <c r="H3080" s="1" t="s">
        <v>250</v>
      </c>
      <c r="I3080" s="1">
        <v>468.09</v>
      </c>
      <c r="J3080" s="1">
        <v>4</v>
      </c>
      <c r="K3080" s="1">
        <v>1872.36</v>
      </c>
      <c r="L3080" s="1">
        <v>20</v>
      </c>
      <c r="M3080" s="1">
        <v>374.47</v>
      </c>
      <c r="N3080" s="1">
        <v>1497.89</v>
      </c>
      <c r="O3080" s="1" t="s">
        <v>80</v>
      </c>
      <c r="P3080" s="1" t="s">
        <v>594</v>
      </c>
      <c r="Q3080" s="1">
        <v>3</v>
      </c>
      <c r="R3080" s="1">
        <f>Retail_Sales_Analyis[[#This Row],[Final_Price]]-Retail_Sales_Analyis[[#This Row],[Total_Price]]</f>
        <v>-374.4699999999998</v>
      </c>
      <c r="S308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81" spans="1:19" x14ac:dyDescent="0.25">
      <c r="A3081" s="1" t="s">
        <v>4184</v>
      </c>
      <c r="B3081" s="2">
        <v>45626</v>
      </c>
      <c r="C3081" s="1" t="s">
        <v>18</v>
      </c>
      <c r="D3081" s="1" t="s">
        <v>19</v>
      </c>
      <c r="E3081" s="1" t="s">
        <v>163</v>
      </c>
      <c r="F3081" s="1" t="s">
        <v>69</v>
      </c>
      <c r="G3081" s="1" t="s">
        <v>78</v>
      </c>
      <c r="H3081" s="1" t="s">
        <v>146</v>
      </c>
      <c r="I3081" s="1">
        <v>526.02</v>
      </c>
      <c r="J3081" s="1">
        <v>3</v>
      </c>
      <c r="K3081" s="1">
        <v>1578.06</v>
      </c>
      <c r="L3081" s="1">
        <v>20</v>
      </c>
      <c r="M3081" s="1">
        <v>315.61</v>
      </c>
      <c r="N3081" s="1">
        <v>1262.45</v>
      </c>
      <c r="O3081" s="1" t="s">
        <v>33</v>
      </c>
      <c r="P3081" s="1" t="s">
        <v>1474</v>
      </c>
      <c r="Q3081" s="1">
        <v>4</v>
      </c>
      <c r="R3081" s="1">
        <f>Retail_Sales_Analyis[[#This Row],[Final_Price]]-Retail_Sales_Analyis[[#This Row],[Total_Price]]</f>
        <v>-315.6099999999999</v>
      </c>
      <c r="S308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82" spans="1:19" x14ac:dyDescent="0.25">
      <c r="A3082" s="1" t="s">
        <v>4185</v>
      </c>
      <c r="B3082" s="2">
        <v>45624</v>
      </c>
      <c r="C3082" s="1" t="s">
        <v>18</v>
      </c>
      <c r="D3082" s="1" t="s">
        <v>67</v>
      </c>
      <c r="E3082" s="1" t="s">
        <v>322</v>
      </c>
      <c r="F3082" s="1" t="s">
        <v>69</v>
      </c>
      <c r="G3082" s="1" t="s">
        <v>169</v>
      </c>
      <c r="H3082" s="1" t="s">
        <v>175</v>
      </c>
      <c r="I3082" s="1">
        <v>1141.55</v>
      </c>
      <c r="J3082" s="1">
        <v>4</v>
      </c>
      <c r="K3082" s="1">
        <v>4566.2</v>
      </c>
      <c r="L3082" s="1">
        <v>0</v>
      </c>
      <c r="M3082" s="1">
        <v>0</v>
      </c>
      <c r="N3082" s="1">
        <v>4566.2</v>
      </c>
      <c r="O3082" s="1" t="s">
        <v>80</v>
      </c>
      <c r="P3082" s="1" t="s">
        <v>1931</v>
      </c>
      <c r="Q3082" s="1">
        <v>2</v>
      </c>
      <c r="R3082" s="1">
        <f>Retail_Sales_Analyis[[#This Row],[Final_Price]]-Retail_Sales_Analyis[[#This Row],[Total_Price]]</f>
        <v>0</v>
      </c>
      <c r="S30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83" spans="1:19" x14ac:dyDescent="0.25">
      <c r="A3083" s="1" t="s">
        <v>4186</v>
      </c>
      <c r="B3083" s="2">
        <v>45308</v>
      </c>
      <c r="C3083" s="1" t="s">
        <v>36</v>
      </c>
      <c r="D3083" s="1" t="s">
        <v>55</v>
      </c>
      <c r="E3083" s="1" t="s">
        <v>163</v>
      </c>
      <c r="F3083" s="1" t="s">
        <v>37</v>
      </c>
      <c r="G3083" s="1" t="s">
        <v>22</v>
      </c>
      <c r="H3083" s="1" t="s">
        <v>51</v>
      </c>
      <c r="I3083" s="1">
        <v>949.78</v>
      </c>
      <c r="J3083" s="1">
        <v>7</v>
      </c>
      <c r="K3083" s="1">
        <v>6648.46</v>
      </c>
      <c r="L3083" s="1">
        <v>0</v>
      </c>
      <c r="M3083" s="1">
        <v>0</v>
      </c>
      <c r="N3083" s="1">
        <v>6648.46</v>
      </c>
      <c r="O3083" s="1" t="s">
        <v>46</v>
      </c>
      <c r="P3083" s="1" t="s">
        <v>2440</v>
      </c>
      <c r="Q3083" s="1">
        <v>3</v>
      </c>
      <c r="R3083" s="1">
        <f>Retail_Sales_Analyis[[#This Row],[Final_Price]]-Retail_Sales_Analyis[[#This Row],[Total_Price]]</f>
        <v>0</v>
      </c>
      <c r="S30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84" spans="1:19" x14ac:dyDescent="0.25">
      <c r="A3084" s="1" t="s">
        <v>4187</v>
      </c>
      <c r="B3084" s="2">
        <v>45339</v>
      </c>
      <c r="C3084" s="1" t="s">
        <v>27</v>
      </c>
      <c r="D3084" s="1" t="s">
        <v>19</v>
      </c>
      <c r="E3084" s="1" t="s">
        <v>68</v>
      </c>
      <c r="F3084" s="1" t="s">
        <v>30</v>
      </c>
      <c r="G3084" s="1" t="s">
        <v>57</v>
      </c>
      <c r="H3084" s="1" t="s">
        <v>158</v>
      </c>
      <c r="I3084" s="1">
        <v>1495.02</v>
      </c>
      <c r="J3084" s="1">
        <v>3</v>
      </c>
      <c r="K3084" s="1">
        <v>4485.0600000000004</v>
      </c>
      <c r="L3084" s="1">
        <v>0</v>
      </c>
      <c r="M3084" s="1">
        <v>0</v>
      </c>
      <c r="N3084" s="1">
        <v>4485.0600000000004</v>
      </c>
      <c r="O3084" s="1" t="s">
        <v>24</v>
      </c>
      <c r="P3084" s="1" t="s">
        <v>528</v>
      </c>
      <c r="Q3084" s="1">
        <v>4</v>
      </c>
      <c r="R3084" s="1">
        <f>Retail_Sales_Analyis[[#This Row],[Final_Price]]-Retail_Sales_Analyis[[#This Row],[Total_Price]]</f>
        <v>0</v>
      </c>
      <c r="S30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85" spans="1:19" x14ac:dyDescent="0.25">
      <c r="A3085" s="1" t="s">
        <v>4188</v>
      </c>
      <c r="B3085" s="2">
        <v>45499</v>
      </c>
      <c r="C3085" s="1" t="s">
        <v>195</v>
      </c>
      <c r="D3085" s="1" t="s">
        <v>144</v>
      </c>
      <c r="E3085" s="1" t="s">
        <v>351</v>
      </c>
      <c r="F3085" s="1" t="s">
        <v>69</v>
      </c>
      <c r="G3085" s="1" t="s">
        <v>22</v>
      </c>
      <c r="H3085" s="1" t="s">
        <v>187</v>
      </c>
      <c r="I3085" s="1">
        <v>645.83000000000004</v>
      </c>
      <c r="J3085" s="1">
        <v>4</v>
      </c>
      <c r="K3085" s="1">
        <v>2583.3200000000002</v>
      </c>
      <c r="L3085" s="1">
        <v>0</v>
      </c>
      <c r="M3085" s="1">
        <v>0</v>
      </c>
      <c r="N3085" s="1">
        <v>2583.3200000000002</v>
      </c>
      <c r="O3085" s="1" t="s">
        <v>46</v>
      </c>
      <c r="P3085" s="1" t="s">
        <v>1826</v>
      </c>
      <c r="Q3085" s="1">
        <v>4</v>
      </c>
      <c r="R3085" s="1">
        <f>Retail_Sales_Analyis[[#This Row],[Final_Price]]-Retail_Sales_Analyis[[#This Row],[Total_Price]]</f>
        <v>0</v>
      </c>
      <c r="S30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86" spans="1:19" x14ac:dyDescent="0.25">
      <c r="A3086" s="1" t="s">
        <v>4189</v>
      </c>
      <c r="B3086" s="2">
        <v>45486</v>
      </c>
      <c r="C3086" s="1" t="s">
        <v>195</v>
      </c>
      <c r="D3086" s="1" t="s">
        <v>19</v>
      </c>
      <c r="E3086" s="1" t="s">
        <v>44</v>
      </c>
      <c r="F3086" s="1" t="s">
        <v>37</v>
      </c>
      <c r="G3086" s="1" t="s">
        <v>31</v>
      </c>
      <c r="H3086" s="1" t="s">
        <v>329</v>
      </c>
      <c r="I3086" s="1">
        <v>95.73</v>
      </c>
      <c r="J3086" s="1">
        <v>5</v>
      </c>
      <c r="K3086" s="1">
        <v>478.65</v>
      </c>
      <c r="L3086" s="1">
        <v>15</v>
      </c>
      <c r="M3086" s="1">
        <v>71.8</v>
      </c>
      <c r="N3086" s="1">
        <v>406.85</v>
      </c>
      <c r="O3086" s="1" t="s">
        <v>46</v>
      </c>
      <c r="P3086" s="1" t="s">
        <v>582</v>
      </c>
      <c r="Q3086" s="1">
        <v>3</v>
      </c>
      <c r="R3086" s="1">
        <f>Retail_Sales_Analyis[[#This Row],[Final_Price]]-Retail_Sales_Analyis[[#This Row],[Total_Price]]</f>
        <v>-71.799999999999955</v>
      </c>
      <c r="S30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87" spans="1:19" x14ac:dyDescent="0.25">
      <c r="A3087" s="1" t="s">
        <v>4190</v>
      </c>
      <c r="B3087" s="2">
        <v>45485</v>
      </c>
      <c r="C3087" s="1" t="s">
        <v>195</v>
      </c>
      <c r="D3087" s="1" t="s">
        <v>144</v>
      </c>
      <c r="E3087" s="1" t="s">
        <v>168</v>
      </c>
      <c r="F3087" s="1" t="s">
        <v>37</v>
      </c>
      <c r="G3087" s="1" t="s">
        <v>57</v>
      </c>
      <c r="H3087" s="1" t="s">
        <v>122</v>
      </c>
      <c r="I3087" s="1">
        <v>2208.5700000000002</v>
      </c>
      <c r="J3087" s="1">
        <v>5</v>
      </c>
      <c r="K3087" s="1">
        <v>11042.85</v>
      </c>
      <c r="L3087" s="1">
        <v>15</v>
      </c>
      <c r="M3087" s="1">
        <v>1656.43</v>
      </c>
      <c r="N3087" s="1">
        <v>9386.42</v>
      </c>
      <c r="O3087" s="1" t="s">
        <v>64</v>
      </c>
      <c r="P3087" s="1" t="s">
        <v>153</v>
      </c>
      <c r="Q3087" s="1">
        <v>4</v>
      </c>
      <c r="R3087" s="1">
        <f>Retail_Sales_Analyis[[#This Row],[Final_Price]]-Retail_Sales_Analyis[[#This Row],[Total_Price]]</f>
        <v>-1656.4300000000003</v>
      </c>
      <c r="S30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88" spans="1:19" x14ac:dyDescent="0.25">
      <c r="A3088" s="1" t="s">
        <v>4191</v>
      </c>
      <c r="B3088" s="2">
        <v>45574</v>
      </c>
      <c r="C3088" s="1" t="s">
        <v>76</v>
      </c>
      <c r="D3088" s="1" t="s">
        <v>55</v>
      </c>
      <c r="E3088" s="1" t="s">
        <v>68</v>
      </c>
      <c r="F3088" s="1" t="s">
        <v>84</v>
      </c>
      <c r="G3088" s="1" t="s">
        <v>22</v>
      </c>
      <c r="H3088" s="1" t="s">
        <v>51</v>
      </c>
      <c r="I3088" s="1">
        <v>963.01</v>
      </c>
      <c r="J3088" s="1">
        <v>10</v>
      </c>
      <c r="K3088" s="1">
        <v>9630.1</v>
      </c>
      <c r="L3088" s="1">
        <v>0</v>
      </c>
      <c r="M3088" s="1">
        <v>0</v>
      </c>
      <c r="N3088" s="1">
        <v>9630.1</v>
      </c>
      <c r="O3088" s="1" t="s">
        <v>46</v>
      </c>
      <c r="P3088" s="1" t="s">
        <v>1597</v>
      </c>
      <c r="Q3088" s="1">
        <v>3</v>
      </c>
      <c r="R3088" s="1">
        <f>Retail_Sales_Analyis[[#This Row],[Final_Price]]-Retail_Sales_Analyis[[#This Row],[Total_Price]]</f>
        <v>0</v>
      </c>
      <c r="S30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89" spans="1:19" x14ac:dyDescent="0.25">
      <c r="A3089" s="1" t="s">
        <v>4192</v>
      </c>
      <c r="B3089" s="2">
        <v>45535</v>
      </c>
      <c r="C3089" s="1" t="s">
        <v>93</v>
      </c>
      <c r="D3089" s="1" t="s">
        <v>19</v>
      </c>
      <c r="E3089" s="1" t="s">
        <v>111</v>
      </c>
      <c r="F3089" s="1" t="s">
        <v>37</v>
      </c>
      <c r="G3089" s="1" t="s">
        <v>112</v>
      </c>
      <c r="H3089" s="1" t="s">
        <v>118</v>
      </c>
      <c r="I3089" s="1">
        <v>535.78</v>
      </c>
      <c r="J3089" s="1">
        <v>3</v>
      </c>
      <c r="K3089" s="1">
        <v>1607.34</v>
      </c>
      <c r="L3089" s="1">
        <v>5</v>
      </c>
      <c r="M3089" s="1">
        <v>80.37</v>
      </c>
      <c r="N3089" s="1">
        <v>1526.97</v>
      </c>
      <c r="O3089" s="1" t="s">
        <v>24</v>
      </c>
      <c r="P3089" s="1" t="s">
        <v>262</v>
      </c>
      <c r="Q3089" s="1">
        <v>1</v>
      </c>
      <c r="R3089" s="1">
        <f>Retail_Sales_Analyis[[#This Row],[Final_Price]]-Retail_Sales_Analyis[[#This Row],[Total_Price]]</f>
        <v>-80.369999999999891</v>
      </c>
      <c r="S30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90" spans="1:19" x14ac:dyDescent="0.25">
      <c r="A3090" s="1" t="s">
        <v>4193</v>
      </c>
      <c r="B3090" s="2">
        <v>45320</v>
      </c>
      <c r="C3090" s="1" t="s">
        <v>36</v>
      </c>
      <c r="D3090" s="1" t="s">
        <v>43</v>
      </c>
      <c r="E3090" s="1" t="s">
        <v>192</v>
      </c>
      <c r="F3090" s="1" t="s">
        <v>84</v>
      </c>
      <c r="G3090" s="1" t="s">
        <v>169</v>
      </c>
      <c r="H3090" s="1" t="s">
        <v>208</v>
      </c>
      <c r="I3090" s="1">
        <v>399.8</v>
      </c>
      <c r="J3090" s="1">
        <v>6</v>
      </c>
      <c r="K3090" s="1">
        <v>2398.8000000000002</v>
      </c>
      <c r="L3090" s="1">
        <v>5</v>
      </c>
      <c r="M3090" s="1">
        <v>119.94</v>
      </c>
      <c r="N3090" s="1">
        <v>2278.86</v>
      </c>
      <c r="O3090" s="1" t="s">
        <v>24</v>
      </c>
      <c r="P3090" s="1" t="s">
        <v>40</v>
      </c>
      <c r="Q3090" s="1">
        <v>4</v>
      </c>
      <c r="R3090" s="1">
        <f>Retail_Sales_Analyis[[#This Row],[Final_Price]]-Retail_Sales_Analyis[[#This Row],[Total_Price]]</f>
        <v>-119.94000000000005</v>
      </c>
      <c r="S30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091" spans="1:19" x14ac:dyDescent="0.25">
      <c r="A3091" s="1" t="s">
        <v>4194</v>
      </c>
      <c r="B3091" s="2">
        <v>45618</v>
      </c>
      <c r="C3091" s="1" t="s">
        <v>18</v>
      </c>
      <c r="D3091" s="1" t="s">
        <v>144</v>
      </c>
      <c r="E3091" s="1" t="s">
        <v>239</v>
      </c>
      <c r="F3091" s="1" t="s">
        <v>21</v>
      </c>
      <c r="G3091" s="1" t="s">
        <v>57</v>
      </c>
      <c r="H3091" s="1" t="s">
        <v>122</v>
      </c>
      <c r="I3091" s="1">
        <v>922.18</v>
      </c>
      <c r="J3091" s="1">
        <v>5</v>
      </c>
      <c r="K3091" s="1">
        <v>4610.8999999999996</v>
      </c>
      <c r="L3091" s="1">
        <v>20</v>
      </c>
      <c r="M3091" s="1">
        <v>922.18</v>
      </c>
      <c r="N3091" s="1">
        <v>3688.72</v>
      </c>
      <c r="O3091" s="1" t="s">
        <v>80</v>
      </c>
      <c r="P3091" s="1" t="s">
        <v>3294</v>
      </c>
      <c r="Q3091" s="1">
        <v>5</v>
      </c>
      <c r="R3091" s="1">
        <f>Retail_Sales_Analyis[[#This Row],[Final_Price]]-Retail_Sales_Analyis[[#This Row],[Total_Price]]</f>
        <v>-922.17999999999984</v>
      </c>
      <c r="S30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92" spans="1:19" x14ac:dyDescent="0.25">
      <c r="A3092" s="1" t="s">
        <v>4195</v>
      </c>
      <c r="B3092" s="2">
        <v>45296</v>
      </c>
      <c r="C3092" s="1" t="s">
        <v>36</v>
      </c>
      <c r="D3092" s="1" t="s">
        <v>144</v>
      </c>
      <c r="E3092" s="1" t="s">
        <v>139</v>
      </c>
      <c r="F3092" s="1" t="s">
        <v>30</v>
      </c>
      <c r="G3092" s="1" t="s">
        <v>169</v>
      </c>
      <c r="H3092" s="1" t="s">
        <v>366</v>
      </c>
      <c r="I3092" s="1">
        <v>301.45</v>
      </c>
      <c r="J3092" s="1">
        <v>9</v>
      </c>
      <c r="K3092" s="1">
        <v>2713.05</v>
      </c>
      <c r="L3092" s="1">
        <v>10</v>
      </c>
      <c r="M3092" s="1">
        <v>271.31</v>
      </c>
      <c r="N3092" s="1">
        <v>2441.7399999999998</v>
      </c>
      <c r="O3092" s="1" t="s">
        <v>64</v>
      </c>
      <c r="P3092" s="1" t="s">
        <v>697</v>
      </c>
      <c r="Q3092" s="1">
        <v>2</v>
      </c>
      <c r="R3092" s="1">
        <f>Retail_Sales_Analyis[[#This Row],[Final_Price]]-Retail_Sales_Analyis[[#This Row],[Total_Price]]</f>
        <v>-271.3100000000004</v>
      </c>
      <c r="S30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93" spans="1:19" x14ac:dyDescent="0.25">
      <c r="A3093" s="1" t="s">
        <v>4196</v>
      </c>
      <c r="B3093" s="2">
        <v>45651</v>
      </c>
      <c r="C3093" s="1" t="s">
        <v>73</v>
      </c>
      <c r="D3093" s="1" t="s">
        <v>55</v>
      </c>
      <c r="E3093" s="1" t="s">
        <v>68</v>
      </c>
      <c r="F3093" s="1" t="s">
        <v>21</v>
      </c>
      <c r="G3093" s="1" t="s">
        <v>22</v>
      </c>
      <c r="H3093" s="1" t="s">
        <v>187</v>
      </c>
      <c r="I3093" s="1">
        <v>699.59</v>
      </c>
      <c r="J3093" s="1">
        <v>9</v>
      </c>
      <c r="K3093" s="1">
        <v>6296.31</v>
      </c>
      <c r="L3093" s="1">
        <v>20</v>
      </c>
      <c r="M3093" s="1">
        <v>1259.26</v>
      </c>
      <c r="N3093" s="1">
        <v>5037.05</v>
      </c>
      <c r="O3093" s="1" t="s">
        <v>33</v>
      </c>
      <c r="P3093" s="1" t="s">
        <v>105</v>
      </c>
      <c r="Q3093" s="1">
        <v>4</v>
      </c>
      <c r="R3093" s="1">
        <f>Retail_Sales_Analyis[[#This Row],[Final_Price]]-Retail_Sales_Analyis[[#This Row],[Total_Price]]</f>
        <v>-1259.2600000000002</v>
      </c>
      <c r="S30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094" spans="1:19" x14ac:dyDescent="0.25">
      <c r="A3094" s="1" t="s">
        <v>4197</v>
      </c>
      <c r="B3094" s="2">
        <v>45379</v>
      </c>
      <c r="C3094" s="1" t="s">
        <v>61</v>
      </c>
      <c r="D3094" s="1" t="s">
        <v>67</v>
      </c>
      <c r="E3094" s="1" t="s">
        <v>285</v>
      </c>
      <c r="F3094" s="1" t="s">
        <v>69</v>
      </c>
      <c r="G3094" s="1" t="s">
        <v>57</v>
      </c>
      <c r="H3094" s="1" t="s">
        <v>152</v>
      </c>
      <c r="I3094" s="1">
        <v>371.81</v>
      </c>
      <c r="J3094" s="1">
        <v>5</v>
      </c>
      <c r="K3094" s="1">
        <v>1859.05</v>
      </c>
      <c r="L3094" s="1">
        <v>10</v>
      </c>
      <c r="M3094" s="1">
        <v>185.91</v>
      </c>
      <c r="N3094" s="1">
        <v>1673.14</v>
      </c>
      <c r="O3094" s="1" t="s">
        <v>24</v>
      </c>
      <c r="P3094" s="1" t="s">
        <v>217</v>
      </c>
      <c r="Q3094" s="1">
        <v>4</v>
      </c>
      <c r="R3094" s="1">
        <f>Retail_Sales_Analyis[[#This Row],[Final_Price]]-Retail_Sales_Analyis[[#This Row],[Total_Price]]</f>
        <v>-185.90999999999985</v>
      </c>
      <c r="S30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95" spans="1:19" x14ac:dyDescent="0.25">
      <c r="A3095" s="1" t="s">
        <v>4198</v>
      </c>
      <c r="B3095" s="2">
        <v>45334</v>
      </c>
      <c r="C3095" s="1" t="s">
        <v>27</v>
      </c>
      <c r="D3095" s="1" t="s">
        <v>43</v>
      </c>
      <c r="E3095" s="1" t="s">
        <v>89</v>
      </c>
      <c r="F3095" s="1" t="s">
        <v>21</v>
      </c>
      <c r="G3095" s="1" t="s">
        <v>57</v>
      </c>
      <c r="H3095" s="1" t="s">
        <v>58</v>
      </c>
      <c r="I3095" s="1">
        <v>2597.02</v>
      </c>
      <c r="J3095" s="1">
        <v>6</v>
      </c>
      <c r="K3095" s="1">
        <v>15582.12</v>
      </c>
      <c r="L3095" s="1">
        <v>0</v>
      </c>
      <c r="M3095" s="1">
        <v>0</v>
      </c>
      <c r="N3095" s="1">
        <v>15582.12</v>
      </c>
      <c r="O3095" s="1" t="s">
        <v>33</v>
      </c>
      <c r="P3095" s="1" t="s">
        <v>1887</v>
      </c>
      <c r="Q3095" s="1">
        <v>1</v>
      </c>
      <c r="R3095" s="1">
        <f>Retail_Sales_Analyis[[#This Row],[Final_Price]]-Retail_Sales_Analyis[[#This Row],[Total_Price]]</f>
        <v>0</v>
      </c>
      <c r="S30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96" spans="1:19" x14ac:dyDescent="0.25">
      <c r="A3096" s="1" t="s">
        <v>4199</v>
      </c>
      <c r="B3096" s="2">
        <v>45547</v>
      </c>
      <c r="C3096" s="1" t="s">
        <v>116</v>
      </c>
      <c r="D3096" s="1" t="s">
        <v>67</v>
      </c>
      <c r="E3096" s="1" t="s">
        <v>174</v>
      </c>
      <c r="F3096" s="1" t="s">
        <v>37</v>
      </c>
      <c r="G3096" s="1" t="s">
        <v>169</v>
      </c>
      <c r="H3096" s="1" t="s">
        <v>170</v>
      </c>
      <c r="I3096" s="1">
        <v>956.34</v>
      </c>
      <c r="J3096" s="1">
        <v>3</v>
      </c>
      <c r="K3096" s="1">
        <v>2869.02</v>
      </c>
      <c r="L3096" s="1">
        <v>0</v>
      </c>
      <c r="M3096" s="1">
        <v>0</v>
      </c>
      <c r="N3096" s="1">
        <v>2869.02</v>
      </c>
      <c r="O3096" s="1" t="s">
        <v>33</v>
      </c>
      <c r="P3096" s="1" t="s">
        <v>3033</v>
      </c>
      <c r="Q3096" s="1">
        <v>2</v>
      </c>
      <c r="R3096" s="1">
        <f>Retail_Sales_Analyis[[#This Row],[Final_Price]]-Retail_Sales_Analyis[[#This Row],[Total_Price]]</f>
        <v>0</v>
      </c>
      <c r="S30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97" spans="1:19" x14ac:dyDescent="0.25">
      <c r="A3097" s="1" t="s">
        <v>4200</v>
      </c>
      <c r="B3097" s="2">
        <v>45514</v>
      </c>
      <c r="C3097" s="1" t="s">
        <v>93</v>
      </c>
      <c r="D3097" s="1" t="s">
        <v>19</v>
      </c>
      <c r="E3097" s="1" t="s">
        <v>107</v>
      </c>
      <c r="F3097" s="1" t="s">
        <v>21</v>
      </c>
      <c r="G3097" s="1" t="s">
        <v>22</v>
      </c>
      <c r="H3097" s="1" t="s">
        <v>277</v>
      </c>
      <c r="I3097" s="1">
        <v>297.25</v>
      </c>
      <c r="J3097" s="1">
        <v>7</v>
      </c>
      <c r="K3097" s="1">
        <v>2080.75</v>
      </c>
      <c r="L3097" s="1">
        <v>0</v>
      </c>
      <c r="M3097" s="1">
        <v>0</v>
      </c>
      <c r="N3097" s="1">
        <v>2080.75</v>
      </c>
      <c r="O3097" s="1" t="s">
        <v>64</v>
      </c>
      <c r="P3097" s="1" t="s">
        <v>334</v>
      </c>
      <c r="Q3097" s="1">
        <v>1</v>
      </c>
      <c r="R3097" s="1">
        <f>Retail_Sales_Analyis[[#This Row],[Final_Price]]-Retail_Sales_Analyis[[#This Row],[Total_Price]]</f>
        <v>0</v>
      </c>
      <c r="S30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098" spans="1:19" x14ac:dyDescent="0.25">
      <c r="A3098" s="1" t="s">
        <v>4201</v>
      </c>
      <c r="B3098" s="2">
        <v>45622</v>
      </c>
      <c r="C3098" s="1" t="s">
        <v>18</v>
      </c>
      <c r="D3098" s="1" t="s">
        <v>28</v>
      </c>
      <c r="E3098" s="1" t="s">
        <v>213</v>
      </c>
      <c r="F3098" s="1" t="s">
        <v>21</v>
      </c>
      <c r="G3098" s="1" t="s">
        <v>38</v>
      </c>
      <c r="H3098" s="1" t="s">
        <v>39</v>
      </c>
      <c r="I3098" s="1">
        <v>583.19000000000005</v>
      </c>
      <c r="J3098" s="1">
        <v>7</v>
      </c>
      <c r="K3098" s="1">
        <v>4082.33</v>
      </c>
      <c r="L3098" s="1">
        <v>10</v>
      </c>
      <c r="M3098" s="1">
        <v>408.23</v>
      </c>
      <c r="N3098" s="1">
        <v>3674.1</v>
      </c>
      <c r="O3098" s="1" t="s">
        <v>64</v>
      </c>
      <c r="P3098" s="1" t="s">
        <v>3552</v>
      </c>
      <c r="Q3098" s="1">
        <v>4</v>
      </c>
      <c r="R3098" s="1">
        <f>Retail_Sales_Analyis[[#This Row],[Final_Price]]-Retail_Sales_Analyis[[#This Row],[Total_Price]]</f>
        <v>-408.23</v>
      </c>
      <c r="S30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099" spans="1:19" x14ac:dyDescent="0.25">
      <c r="A3099" s="1" t="s">
        <v>4202</v>
      </c>
      <c r="B3099" s="2">
        <v>45461</v>
      </c>
      <c r="C3099" s="1" t="s">
        <v>173</v>
      </c>
      <c r="D3099" s="1" t="s">
        <v>28</v>
      </c>
      <c r="E3099" s="1" t="s">
        <v>107</v>
      </c>
      <c r="F3099" s="1" t="s">
        <v>21</v>
      </c>
      <c r="G3099" s="1" t="s">
        <v>169</v>
      </c>
      <c r="H3099" s="1" t="s">
        <v>348</v>
      </c>
      <c r="I3099" s="1">
        <v>1317.14</v>
      </c>
      <c r="J3099" s="1">
        <v>7</v>
      </c>
      <c r="K3099" s="1">
        <v>9219.98</v>
      </c>
      <c r="L3099" s="1">
        <v>0</v>
      </c>
      <c r="M3099" s="1">
        <v>0</v>
      </c>
      <c r="N3099" s="1">
        <v>9219.98</v>
      </c>
      <c r="O3099" s="1" t="s">
        <v>24</v>
      </c>
      <c r="P3099" s="1" t="s">
        <v>2788</v>
      </c>
      <c r="Q3099" s="1">
        <v>2</v>
      </c>
      <c r="R3099" s="1">
        <f>Retail_Sales_Analyis[[#This Row],[Final_Price]]-Retail_Sales_Analyis[[#This Row],[Total_Price]]</f>
        <v>0</v>
      </c>
      <c r="S30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0" spans="1:19" x14ac:dyDescent="0.25">
      <c r="A3100" s="1" t="s">
        <v>4203</v>
      </c>
      <c r="B3100" s="2">
        <v>45581</v>
      </c>
      <c r="C3100" s="1" t="s">
        <v>76</v>
      </c>
      <c r="D3100" s="1" t="s">
        <v>55</v>
      </c>
      <c r="E3100" s="1" t="s">
        <v>107</v>
      </c>
      <c r="F3100" s="1" t="s">
        <v>69</v>
      </c>
      <c r="G3100" s="1" t="s">
        <v>169</v>
      </c>
      <c r="H3100" s="1" t="s">
        <v>170</v>
      </c>
      <c r="I3100" s="1">
        <v>1181.01</v>
      </c>
      <c r="J3100" s="1">
        <v>3</v>
      </c>
      <c r="K3100" s="1">
        <v>3543.03</v>
      </c>
      <c r="L3100" s="1">
        <v>0</v>
      </c>
      <c r="M3100" s="1">
        <v>0</v>
      </c>
      <c r="N3100" s="1">
        <v>3543.03</v>
      </c>
      <c r="O3100" s="1" t="s">
        <v>64</v>
      </c>
      <c r="P3100" s="1" t="s">
        <v>95</v>
      </c>
      <c r="Q3100" s="1">
        <v>5</v>
      </c>
      <c r="R3100" s="1">
        <f>Retail_Sales_Analyis[[#This Row],[Final_Price]]-Retail_Sales_Analyis[[#This Row],[Total_Price]]</f>
        <v>0</v>
      </c>
      <c r="S31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1" spans="1:19" x14ac:dyDescent="0.25">
      <c r="A3101" s="1" t="s">
        <v>4204</v>
      </c>
      <c r="B3101" s="2">
        <v>45340</v>
      </c>
      <c r="C3101" s="1" t="s">
        <v>27</v>
      </c>
      <c r="D3101" s="1" t="s">
        <v>49</v>
      </c>
      <c r="E3101" s="1" t="s">
        <v>151</v>
      </c>
      <c r="F3101" s="1" t="s">
        <v>84</v>
      </c>
      <c r="G3101" s="1" t="s">
        <v>31</v>
      </c>
      <c r="H3101" s="1" t="s">
        <v>329</v>
      </c>
      <c r="I3101" s="1">
        <v>128.66</v>
      </c>
      <c r="J3101" s="1">
        <v>10</v>
      </c>
      <c r="K3101" s="1">
        <v>1286.5999999999999</v>
      </c>
      <c r="L3101" s="1">
        <v>0</v>
      </c>
      <c r="M3101" s="1">
        <v>0</v>
      </c>
      <c r="N3101" s="1">
        <v>1286.5999999999999</v>
      </c>
      <c r="O3101" s="1" t="s">
        <v>33</v>
      </c>
      <c r="P3101" s="1" t="s">
        <v>739</v>
      </c>
      <c r="Q3101" s="1">
        <v>5</v>
      </c>
      <c r="R3101" s="1">
        <f>Retail_Sales_Analyis[[#This Row],[Final_Price]]-Retail_Sales_Analyis[[#This Row],[Total_Price]]</f>
        <v>0</v>
      </c>
      <c r="S31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2" spans="1:19" x14ac:dyDescent="0.25">
      <c r="A3102" s="1" t="s">
        <v>4205</v>
      </c>
      <c r="B3102" s="2">
        <v>45562</v>
      </c>
      <c r="C3102" s="1" t="s">
        <v>116</v>
      </c>
      <c r="D3102" s="1" t="s">
        <v>144</v>
      </c>
      <c r="E3102" s="1" t="s">
        <v>174</v>
      </c>
      <c r="F3102" s="1" t="s">
        <v>30</v>
      </c>
      <c r="G3102" s="1" t="s">
        <v>78</v>
      </c>
      <c r="H3102" s="1" t="s">
        <v>146</v>
      </c>
      <c r="I3102" s="1">
        <v>571.33000000000004</v>
      </c>
      <c r="J3102" s="1">
        <v>6</v>
      </c>
      <c r="K3102" s="1">
        <v>3427.98</v>
      </c>
      <c r="L3102" s="1">
        <v>0</v>
      </c>
      <c r="M3102" s="1">
        <v>0</v>
      </c>
      <c r="N3102" s="1">
        <v>3427.98</v>
      </c>
      <c r="O3102" s="1" t="s">
        <v>80</v>
      </c>
      <c r="P3102" s="1" t="s">
        <v>549</v>
      </c>
      <c r="Q3102" s="1">
        <v>4</v>
      </c>
      <c r="R3102" s="1">
        <f>Retail_Sales_Analyis[[#This Row],[Final_Price]]-Retail_Sales_Analyis[[#This Row],[Total_Price]]</f>
        <v>0</v>
      </c>
      <c r="S31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3" spans="1:19" x14ac:dyDescent="0.25">
      <c r="A3103" s="1" t="s">
        <v>4206</v>
      </c>
      <c r="B3103" s="2">
        <v>45313</v>
      </c>
      <c r="C3103" s="1" t="s">
        <v>36</v>
      </c>
      <c r="D3103" s="1" t="s">
        <v>43</v>
      </c>
      <c r="E3103" s="1" t="s">
        <v>302</v>
      </c>
      <c r="F3103" s="1" t="s">
        <v>84</v>
      </c>
      <c r="G3103" s="1" t="s">
        <v>38</v>
      </c>
      <c r="H3103" s="1" t="s">
        <v>70</v>
      </c>
      <c r="I3103" s="1">
        <v>294.89</v>
      </c>
      <c r="J3103" s="1">
        <v>4</v>
      </c>
      <c r="K3103" s="1">
        <v>1179.56</v>
      </c>
      <c r="L3103" s="1">
        <v>20</v>
      </c>
      <c r="M3103" s="1">
        <v>235.91</v>
      </c>
      <c r="N3103" s="1">
        <v>943.65</v>
      </c>
      <c r="O3103" s="1" t="s">
        <v>33</v>
      </c>
      <c r="P3103" s="1" t="s">
        <v>653</v>
      </c>
      <c r="Q3103" s="1">
        <v>5</v>
      </c>
      <c r="R3103" s="1">
        <f>Retail_Sales_Analyis[[#This Row],[Final_Price]]-Retail_Sales_Analyis[[#This Row],[Total_Price]]</f>
        <v>-235.90999999999997</v>
      </c>
      <c r="S310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04" spans="1:19" x14ac:dyDescent="0.25">
      <c r="A3104" s="1" t="s">
        <v>4207</v>
      </c>
      <c r="B3104" s="2">
        <v>45409</v>
      </c>
      <c r="C3104" s="1" t="s">
        <v>54</v>
      </c>
      <c r="D3104" s="1" t="s">
        <v>19</v>
      </c>
      <c r="E3104" s="1" t="s">
        <v>151</v>
      </c>
      <c r="F3104" s="1" t="s">
        <v>37</v>
      </c>
      <c r="G3104" s="1" t="s">
        <v>169</v>
      </c>
      <c r="H3104" s="1" t="s">
        <v>208</v>
      </c>
      <c r="I3104" s="1">
        <v>670.93</v>
      </c>
      <c r="J3104" s="1">
        <v>4</v>
      </c>
      <c r="K3104" s="1">
        <v>2683.72</v>
      </c>
      <c r="L3104" s="1">
        <v>0</v>
      </c>
      <c r="M3104" s="1">
        <v>0</v>
      </c>
      <c r="N3104" s="1">
        <v>2683.72</v>
      </c>
      <c r="O3104" s="1" t="s">
        <v>24</v>
      </c>
      <c r="P3104" s="1" t="s">
        <v>1675</v>
      </c>
      <c r="Q3104" s="1">
        <v>4</v>
      </c>
      <c r="R3104" s="1">
        <f>Retail_Sales_Analyis[[#This Row],[Final_Price]]-Retail_Sales_Analyis[[#This Row],[Total_Price]]</f>
        <v>0</v>
      </c>
      <c r="S31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5" spans="1:19" x14ac:dyDescent="0.25">
      <c r="A3105" s="1" t="s">
        <v>4208</v>
      </c>
      <c r="B3105" s="2">
        <v>45400</v>
      </c>
      <c r="C3105" s="1" t="s">
        <v>54</v>
      </c>
      <c r="D3105" s="1" t="s">
        <v>67</v>
      </c>
      <c r="E3105" s="1" t="s">
        <v>168</v>
      </c>
      <c r="F3105" s="1" t="s">
        <v>30</v>
      </c>
      <c r="G3105" s="1" t="s">
        <v>112</v>
      </c>
      <c r="H3105" s="1" t="s">
        <v>118</v>
      </c>
      <c r="I3105" s="1">
        <v>1342.89</v>
      </c>
      <c r="J3105" s="1">
        <v>8</v>
      </c>
      <c r="K3105" s="1">
        <v>10743.12</v>
      </c>
      <c r="L3105" s="1">
        <v>0</v>
      </c>
      <c r="M3105" s="1">
        <v>0</v>
      </c>
      <c r="N3105" s="1">
        <v>10743.12</v>
      </c>
      <c r="O3105" s="1" t="s">
        <v>46</v>
      </c>
      <c r="P3105" s="1" t="s">
        <v>1469</v>
      </c>
      <c r="Q3105" s="1">
        <v>3</v>
      </c>
      <c r="R3105" s="1">
        <f>Retail_Sales_Analyis[[#This Row],[Final_Price]]-Retail_Sales_Analyis[[#This Row],[Total_Price]]</f>
        <v>0</v>
      </c>
      <c r="S31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6" spans="1:19" x14ac:dyDescent="0.25">
      <c r="A3106" s="1" t="s">
        <v>4209</v>
      </c>
      <c r="B3106" s="2">
        <v>45646</v>
      </c>
      <c r="C3106" s="1" t="s">
        <v>73</v>
      </c>
      <c r="D3106" s="1" t="s">
        <v>144</v>
      </c>
      <c r="E3106" s="1" t="s">
        <v>83</v>
      </c>
      <c r="F3106" s="1" t="s">
        <v>84</v>
      </c>
      <c r="G3106" s="1" t="s">
        <v>112</v>
      </c>
      <c r="H3106" s="1" t="s">
        <v>288</v>
      </c>
      <c r="I3106" s="1">
        <v>1547.9</v>
      </c>
      <c r="J3106" s="1">
        <v>3</v>
      </c>
      <c r="K3106" s="1">
        <v>4643.7</v>
      </c>
      <c r="L3106" s="1">
        <v>20</v>
      </c>
      <c r="M3106" s="1">
        <v>928.74</v>
      </c>
      <c r="N3106" s="1">
        <v>3714.96</v>
      </c>
      <c r="O3106" s="1" t="s">
        <v>33</v>
      </c>
      <c r="P3106" s="1" t="s">
        <v>1261</v>
      </c>
      <c r="Q3106" s="1">
        <v>5</v>
      </c>
      <c r="R3106" s="1">
        <f>Retail_Sales_Analyis[[#This Row],[Final_Price]]-Retail_Sales_Analyis[[#This Row],[Total_Price]]</f>
        <v>-928.73999999999978</v>
      </c>
      <c r="S31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07" spans="1:19" x14ac:dyDescent="0.25">
      <c r="A3107" s="1" t="s">
        <v>4210</v>
      </c>
      <c r="B3107" s="2">
        <v>45582</v>
      </c>
      <c r="C3107" s="1" t="s">
        <v>76</v>
      </c>
      <c r="D3107" s="1" t="s">
        <v>67</v>
      </c>
      <c r="E3107" s="1" t="s">
        <v>29</v>
      </c>
      <c r="F3107" s="1" t="s">
        <v>69</v>
      </c>
      <c r="G3107" s="1" t="s">
        <v>85</v>
      </c>
      <c r="H3107" s="1" t="s">
        <v>180</v>
      </c>
      <c r="I3107" s="1">
        <v>3308.51</v>
      </c>
      <c r="J3107" s="1">
        <v>3</v>
      </c>
      <c r="K3107" s="1">
        <v>9925.5300000000007</v>
      </c>
      <c r="L3107" s="1">
        <v>0</v>
      </c>
      <c r="M3107" s="1">
        <v>0</v>
      </c>
      <c r="N3107" s="1">
        <v>9925.5300000000007</v>
      </c>
      <c r="O3107" s="1" t="s">
        <v>46</v>
      </c>
      <c r="P3107" s="1" t="s">
        <v>2167</v>
      </c>
      <c r="Q3107" s="1">
        <v>4</v>
      </c>
      <c r="R3107" s="1">
        <f>Retail_Sales_Analyis[[#This Row],[Final_Price]]-Retail_Sales_Analyis[[#This Row],[Total_Price]]</f>
        <v>0</v>
      </c>
      <c r="S31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08" spans="1:19" x14ac:dyDescent="0.25">
      <c r="A3108" s="1" t="s">
        <v>4211</v>
      </c>
      <c r="B3108" s="2">
        <v>45535</v>
      </c>
      <c r="C3108" s="1" t="s">
        <v>93</v>
      </c>
      <c r="D3108" s="1" t="s">
        <v>19</v>
      </c>
      <c r="E3108" s="1" t="s">
        <v>107</v>
      </c>
      <c r="F3108" s="1" t="s">
        <v>21</v>
      </c>
      <c r="G3108" s="1" t="s">
        <v>169</v>
      </c>
      <c r="H3108" s="1" t="s">
        <v>348</v>
      </c>
      <c r="I3108" s="1">
        <v>514.29</v>
      </c>
      <c r="J3108" s="1">
        <v>7</v>
      </c>
      <c r="K3108" s="1">
        <v>3600.03</v>
      </c>
      <c r="L3108" s="1">
        <v>5</v>
      </c>
      <c r="M3108" s="1">
        <v>180</v>
      </c>
      <c r="N3108" s="1">
        <v>3420.03</v>
      </c>
      <c r="O3108" s="1" t="s">
        <v>24</v>
      </c>
      <c r="P3108" s="1" t="s">
        <v>487</v>
      </c>
      <c r="Q3108" s="1">
        <v>2</v>
      </c>
      <c r="R3108" s="1">
        <f>Retail_Sales_Analyis[[#This Row],[Final_Price]]-Retail_Sales_Analyis[[#This Row],[Total_Price]]</f>
        <v>-180</v>
      </c>
      <c r="S31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09" spans="1:19" x14ac:dyDescent="0.25">
      <c r="A3109" s="1" t="s">
        <v>4212</v>
      </c>
      <c r="B3109" s="2">
        <v>45430</v>
      </c>
      <c r="C3109" s="1" t="s">
        <v>42</v>
      </c>
      <c r="D3109" s="1" t="s">
        <v>19</v>
      </c>
      <c r="E3109" s="1" t="s">
        <v>411</v>
      </c>
      <c r="F3109" s="1" t="s">
        <v>84</v>
      </c>
      <c r="G3109" s="1" t="s">
        <v>38</v>
      </c>
      <c r="H3109" s="1" t="s">
        <v>39</v>
      </c>
      <c r="I3109" s="1">
        <v>474.63</v>
      </c>
      <c r="J3109" s="1">
        <v>1</v>
      </c>
      <c r="K3109" s="1">
        <v>474.63</v>
      </c>
      <c r="L3109" s="1">
        <v>0</v>
      </c>
      <c r="M3109" s="1">
        <v>0</v>
      </c>
      <c r="N3109" s="1">
        <v>474.63</v>
      </c>
      <c r="O3109" s="1" t="s">
        <v>80</v>
      </c>
      <c r="P3109" s="1" t="s">
        <v>1809</v>
      </c>
      <c r="Q3109" s="1">
        <v>3</v>
      </c>
      <c r="R3109" s="1">
        <f>Retail_Sales_Analyis[[#This Row],[Final_Price]]-Retail_Sales_Analyis[[#This Row],[Total_Price]]</f>
        <v>0</v>
      </c>
      <c r="S31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10" spans="1:19" x14ac:dyDescent="0.25">
      <c r="A3110" s="1" t="s">
        <v>4213</v>
      </c>
      <c r="B3110" s="2">
        <v>45315</v>
      </c>
      <c r="C3110" s="1" t="s">
        <v>36</v>
      </c>
      <c r="D3110" s="1" t="s">
        <v>55</v>
      </c>
      <c r="E3110" s="1" t="s">
        <v>89</v>
      </c>
      <c r="F3110" s="1" t="s">
        <v>30</v>
      </c>
      <c r="G3110" s="1" t="s">
        <v>31</v>
      </c>
      <c r="H3110" s="1" t="s">
        <v>32</v>
      </c>
      <c r="I3110" s="1">
        <v>396.3</v>
      </c>
      <c r="J3110" s="1">
        <v>8</v>
      </c>
      <c r="K3110" s="1">
        <v>3170.4</v>
      </c>
      <c r="L3110" s="1">
        <v>20</v>
      </c>
      <c r="M3110" s="1">
        <v>634.08000000000004</v>
      </c>
      <c r="N3110" s="1">
        <v>2536.3200000000002</v>
      </c>
      <c r="O3110" s="1" t="s">
        <v>80</v>
      </c>
      <c r="P3110" s="1" t="s">
        <v>1078</v>
      </c>
      <c r="Q3110" s="1">
        <v>2</v>
      </c>
      <c r="R3110" s="1">
        <f>Retail_Sales_Analyis[[#This Row],[Final_Price]]-Retail_Sales_Analyis[[#This Row],[Total_Price]]</f>
        <v>-634.07999999999993</v>
      </c>
      <c r="S31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11" spans="1:19" x14ac:dyDescent="0.25">
      <c r="A3111" s="1" t="s">
        <v>4214</v>
      </c>
      <c r="B3111" s="2">
        <v>45330</v>
      </c>
      <c r="C3111" s="1" t="s">
        <v>27</v>
      </c>
      <c r="D3111" s="1" t="s">
        <v>67</v>
      </c>
      <c r="E3111" s="1" t="s">
        <v>285</v>
      </c>
      <c r="F3111" s="1" t="s">
        <v>37</v>
      </c>
      <c r="G3111" s="1" t="s">
        <v>78</v>
      </c>
      <c r="H3111" s="1" t="s">
        <v>323</v>
      </c>
      <c r="I3111" s="1">
        <v>180.35</v>
      </c>
      <c r="J3111" s="1">
        <v>3</v>
      </c>
      <c r="K3111" s="1">
        <v>541.04999999999995</v>
      </c>
      <c r="L3111" s="1">
        <v>0</v>
      </c>
      <c r="M3111" s="1">
        <v>0</v>
      </c>
      <c r="N3111" s="1">
        <v>541.04999999999995</v>
      </c>
      <c r="O3111" s="1" t="s">
        <v>33</v>
      </c>
      <c r="P3111" s="1" t="s">
        <v>2810</v>
      </c>
      <c r="Q3111" s="1">
        <v>3</v>
      </c>
      <c r="R3111" s="1">
        <f>Retail_Sales_Analyis[[#This Row],[Final_Price]]-Retail_Sales_Analyis[[#This Row],[Total_Price]]</f>
        <v>0</v>
      </c>
      <c r="S31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12" spans="1:19" x14ac:dyDescent="0.25">
      <c r="A3112" s="1" t="s">
        <v>4215</v>
      </c>
      <c r="B3112" s="2">
        <v>45642</v>
      </c>
      <c r="C3112" s="1" t="s">
        <v>73</v>
      </c>
      <c r="D3112" s="1" t="s">
        <v>43</v>
      </c>
      <c r="E3112" s="1" t="s">
        <v>97</v>
      </c>
      <c r="F3112" s="1" t="s">
        <v>84</v>
      </c>
      <c r="G3112" s="1" t="s">
        <v>169</v>
      </c>
      <c r="H3112" s="1" t="s">
        <v>348</v>
      </c>
      <c r="I3112" s="1">
        <v>1110.5</v>
      </c>
      <c r="J3112" s="1">
        <v>7</v>
      </c>
      <c r="K3112" s="1">
        <v>7773.5</v>
      </c>
      <c r="L3112" s="1">
        <v>5</v>
      </c>
      <c r="M3112" s="1">
        <v>388.68</v>
      </c>
      <c r="N3112" s="1">
        <v>7384.82</v>
      </c>
      <c r="O3112" s="1" t="s">
        <v>24</v>
      </c>
      <c r="P3112" s="1" t="s">
        <v>1630</v>
      </c>
      <c r="Q3112" s="1">
        <v>2</v>
      </c>
      <c r="R3112" s="1">
        <f>Retail_Sales_Analyis[[#This Row],[Final_Price]]-Retail_Sales_Analyis[[#This Row],[Total_Price]]</f>
        <v>-388.68000000000029</v>
      </c>
      <c r="S31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13" spans="1:19" x14ac:dyDescent="0.25">
      <c r="A3113" s="1" t="s">
        <v>4216</v>
      </c>
      <c r="B3113" s="2">
        <v>45435</v>
      </c>
      <c r="C3113" s="1" t="s">
        <v>42</v>
      </c>
      <c r="D3113" s="1" t="s">
        <v>67</v>
      </c>
      <c r="E3113" s="1" t="s">
        <v>542</v>
      </c>
      <c r="F3113" s="1" t="s">
        <v>21</v>
      </c>
      <c r="G3113" s="1" t="s">
        <v>85</v>
      </c>
      <c r="H3113" s="1" t="s">
        <v>180</v>
      </c>
      <c r="I3113" s="1">
        <v>2571.7800000000002</v>
      </c>
      <c r="J3113" s="1">
        <v>8</v>
      </c>
      <c r="K3113" s="1">
        <v>20574.240000000002</v>
      </c>
      <c r="L3113" s="1">
        <v>20</v>
      </c>
      <c r="M3113" s="1">
        <v>4114.8500000000004</v>
      </c>
      <c r="N3113" s="1">
        <v>16459.39</v>
      </c>
      <c r="O3113" s="1" t="s">
        <v>33</v>
      </c>
      <c r="P3113" s="1" t="s">
        <v>197</v>
      </c>
      <c r="Q3113" s="1">
        <v>1</v>
      </c>
      <c r="R3113" s="1">
        <f>Retail_Sales_Analyis[[#This Row],[Final_Price]]-Retail_Sales_Analyis[[#This Row],[Total_Price]]</f>
        <v>-4114.8500000000022</v>
      </c>
      <c r="S31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14" spans="1:19" x14ac:dyDescent="0.25">
      <c r="A3114" s="1" t="s">
        <v>4217</v>
      </c>
      <c r="B3114" s="2">
        <v>45570</v>
      </c>
      <c r="C3114" s="1" t="s">
        <v>76</v>
      </c>
      <c r="D3114" s="1" t="s">
        <v>19</v>
      </c>
      <c r="E3114" s="1" t="s">
        <v>342</v>
      </c>
      <c r="F3114" s="1" t="s">
        <v>30</v>
      </c>
      <c r="G3114" s="1" t="s">
        <v>38</v>
      </c>
      <c r="H3114" s="1" t="s">
        <v>214</v>
      </c>
      <c r="I3114" s="1">
        <v>243.7</v>
      </c>
      <c r="J3114" s="1">
        <v>1</v>
      </c>
      <c r="K3114" s="1">
        <v>243.7</v>
      </c>
      <c r="L3114" s="1">
        <v>20</v>
      </c>
      <c r="M3114" s="1">
        <v>48.74</v>
      </c>
      <c r="N3114" s="1">
        <v>194.96</v>
      </c>
      <c r="O3114" s="1" t="s">
        <v>24</v>
      </c>
      <c r="P3114" s="1" t="s">
        <v>1733</v>
      </c>
      <c r="Q3114" s="1">
        <v>5</v>
      </c>
      <c r="R3114" s="1">
        <f>Retail_Sales_Analyis[[#This Row],[Final_Price]]-Retail_Sales_Analyis[[#This Row],[Total_Price]]</f>
        <v>-48.739999999999981</v>
      </c>
      <c r="S31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15" spans="1:19" x14ac:dyDescent="0.25">
      <c r="A3115" s="1" t="s">
        <v>4218</v>
      </c>
      <c r="B3115" s="2">
        <v>45580</v>
      </c>
      <c r="C3115" s="1" t="s">
        <v>76</v>
      </c>
      <c r="D3115" s="1" t="s">
        <v>28</v>
      </c>
      <c r="E3115" s="1" t="s">
        <v>236</v>
      </c>
      <c r="F3115" s="1" t="s">
        <v>30</v>
      </c>
      <c r="G3115" s="1" t="s">
        <v>57</v>
      </c>
      <c r="H3115" s="1" t="s">
        <v>152</v>
      </c>
      <c r="I3115" s="1">
        <v>2280.7199999999998</v>
      </c>
      <c r="J3115" s="1">
        <v>9</v>
      </c>
      <c r="K3115" s="1">
        <v>20526.48</v>
      </c>
      <c r="L3115" s="1">
        <v>15</v>
      </c>
      <c r="M3115" s="1">
        <v>3078.97</v>
      </c>
      <c r="N3115" s="1">
        <v>17447.509999999998</v>
      </c>
      <c r="O3115" s="1" t="s">
        <v>64</v>
      </c>
      <c r="P3115" s="1" t="s">
        <v>1464</v>
      </c>
      <c r="Q3115" s="1">
        <v>5</v>
      </c>
      <c r="R3115" s="1">
        <f>Retail_Sales_Analyis[[#This Row],[Final_Price]]-Retail_Sales_Analyis[[#This Row],[Total_Price]]</f>
        <v>-3078.9700000000012</v>
      </c>
      <c r="S31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16" spans="1:19" x14ac:dyDescent="0.25">
      <c r="A3116" s="1" t="s">
        <v>4219</v>
      </c>
      <c r="B3116" s="2">
        <v>45628</v>
      </c>
      <c r="C3116" s="1" t="s">
        <v>73</v>
      </c>
      <c r="D3116" s="1" t="s">
        <v>43</v>
      </c>
      <c r="E3116" s="1" t="s">
        <v>83</v>
      </c>
      <c r="F3116" s="1" t="s">
        <v>84</v>
      </c>
      <c r="G3116" s="1" t="s">
        <v>85</v>
      </c>
      <c r="H3116" s="1" t="s">
        <v>90</v>
      </c>
      <c r="I3116" s="1">
        <v>2865.35</v>
      </c>
      <c r="J3116" s="1">
        <v>3</v>
      </c>
      <c r="K3116" s="1">
        <v>8596.0499999999993</v>
      </c>
      <c r="L3116" s="1">
        <v>20</v>
      </c>
      <c r="M3116" s="1">
        <v>1719.21</v>
      </c>
      <c r="N3116" s="1">
        <v>6876.84</v>
      </c>
      <c r="O3116" s="1" t="s">
        <v>24</v>
      </c>
      <c r="P3116" s="1" t="s">
        <v>526</v>
      </c>
      <c r="Q3116" s="1">
        <v>1</v>
      </c>
      <c r="R3116" s="1">
        <f>Retail_Sales_Analyis[[#This Row],[Final_Price]]-Retail_Sales_Analyis[[#This Row],[Total_Price]]</f>
        <v>-1719.2099999999991</v>
      </c>
      <c r="S31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17" spans="1:19" x14ac:dyDescent="0.25">
      <c r="A3117" s="1" t="s">
        <v>4220</v>
      </c>
      <c r="B3117" s="2">
        <v>45308</v>
      </c>
      <c r="C3117" s="1" t="s">
        <v>36</v>
      </c>
      <c r="D3117" s="1" t="s">
        <v>55</v>
      </c>
      <c r="E3117" s="1" t="s">
        <v>174</v>
      </c>
      <c r="F3117" s="1" t="s">
        <v>30</v>
      </c>
      <c r="G3117" s="1" t="s">
        <v>57</v>
      </c>
      <c r="H3117" s="1" t="s">
        <v>152</v>
      </c>
      <c r="I3117" s="1">
        <v>680.94</v>
      </c>
      <c r="J3117" s="1">
        <v>8</v>
      </c>
      <c r="K3117" s="1">
        <v>5447.52</v>
      </c>
      <c r="L3117" s="1">
        <v>0</v>
      </c>
      <c r="M3117" s="1">
        <v>0</v>
      </c>
      <c r="N3117" s="1">
        <v>5447.52</v>
      </c>
      <c r="O3117" s="1" t="s">
        <v>33</v>
      </c>
      <c r="P3117" s="1" t="s">
        <v>2909</v>
      </c>
      <c r="Q3117" s="1">
        <v>3</v>
      </c>
      <c r="R3117" s="1">
        <f>Retail_Sales_Analyis[[#This Row],[Final_Price]]-Retail_Sales_Analyis[[#This Row],[Total_Price]]</f>
        <v>0</v>
      </c>
      <c r="S31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18" spans="1:19" x14ac:dyDescent="0.25">
      <c r="A3118" s="1" t="s">
        <v>4221</v>
      </c>
      <c r="B3118" s="2">
        <v>45383</v>
      </c>
      <c r="C3118" s="1" t="s">
        <v>54</v>
      </c>
      <c r="D3118" s="1" t="s">
        <v>43</v>
      </c>
      <c r="E3118" s="1" t="s">
        <v>50</v>
      </c>
      <c r="F3118" s="1" t="s">
        <v>69</v>
      </c>
      <c r="G3118" s="1" t="s">
        <v>78</v>
      </c>
      <c r="H3118" s="1" t="s">
        <v>146</v>
      </c>
      <c r="I3118" s="1">
        <v>232.75</v>
      </c>
      <c r="J3118" s="1">
        <v>8</v>
      </c>
      <c r="K3118" s="1">
        <v>1862</v>
      </c>
      <c r="L3118" s="1">
        <v>0</v>
      </c>
      <c r="M3118" s="1">
        <v>0</v>
      </c>
      <c r="N3118" s="1">
        <v>1862</v>
      </c>
      <c r="O3118" s="1" t="s">
        <v>24</v>
      </c>
      <c r="P3118" s="1" t="s">
        <v>1233</v>
      </c>
      <c r="Q3118" s="1">
        <v>1</v>
      </c>
      <c r="R3118" s="1">
        <f>Retail_Sales_Analyis[[#This Row],[Final_Price]]-Retail_Sales_Analyis[[#This Row],[Total_Price]]</f>
        <v>0</v>
      </c>
      <c r="S31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19" spans="1:19" x14ac:dyDescent="0.25">
      <c r="A3119" s="1" t="s">
        <v>4222</v>
      </c>
      <c r="B3119" s="2">
        <v>45453</v>
      </c>
      <c r="C3119" s="1" t="s">
        <v>173</v>
      </c>
      <c r="D3119" s="1" t="s">
        <v>43</v>
      </c>
      <c r="E3119" s="1" t="s">
        <v>302</v>
      </c>
      <c r="F3119" s="1" t="s">
        <v>21</v>
      </c>
      <c r="G3119" s="1" t="s">
        <v>112</v>
      </c>
      <c r="H3119" s="1" t="s">
        <v>183</v>
      </c>
      <c r="I3119" s="1">
        <v>942.39</v>
      </c>
      <c r="J3119" s="1">
        <v>9</v>
      </c>
      <c r="K3119" s="1">
        <v>8481.51</v>
      </c>
      <c r="L3119" s="1">
        <v>5</v>
      </c>
      <c r="M3119" s="1">
        <v>424.08</v>
      </c>
      <c r="N3119" s="1">
        <v>8057.43</v>
      </c>
      <c r="O3119" s="1" t="s">
        <v>46</v>
      </c>
      <c r="P3119" s="1" t="s">
        <v>1683</v>
      </c>
      <c r="Q3119" s="1">
        <v>1</v>
      </c>
      <c r="R3119" s="1">
        <f>Retail_Sales_Analyis[[#This Row],[Final_Price]]-Retail_Sales_Analyis[[#This Row],[Total_Price]]</f>
        <v>-424.07999999999993</v>
      </c>
      <c r="S31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20" spans="1:19" x14ac:dyDescent="0.25">
      <c r="A3120" s="1" t="s">
        <v>4223</v>
      </c>
      <c r="B3120" s="2">
        <v>45300</v>
      </c>
      <c r="C3120" s="1" t="s">
        <v>36</v>
      </c>
      <c r="D3120" s="1" t="s">
        <v>28</v>
      </c>
      <c r="E3120" s="1" t="s">
        <v>204</v>
      </c>
      <c r="F3120" s="1" t="s">
        <v>30</v>
      </c>
      <c r="G3120" s="1" t="s">
        <v>22</v>
      </c>
      <c r="H3120" s="1" t="s">
        <v>23</v>
      </c>
      <c r="I3120" s="1">
        <v>703.38</v>
      </c>
      <c r="J3120" s="1">
        <v>6</v>
      </c>
      <c r="K3120" s="1">
        <v>4220.28</v>
      </c>
      <c r="L3120" s="1">
        <v>0</v>
      </c>
      <c r="M3120" s="1">
        <v>0</v>
      </c>
      <c r="N3120" s="1">
        <v>4220.28</v>
      </c>
      <c r="O3120" s="1" t="s">
        <v>64</v>
      </c>
      <c r="P3120" s="1" t="s">
        <v>3985</v>
      </c>
      <c r="Q3120" s="1">
        <v>5</v>
      </c>
      <c r="R3120" s="1">
        <f>Retail_Sales_Analyis[[#This Row],[Final_Price]]-Retail_Sales_Analyis[[#This Row],[Total_Price]]</f>
        <v>0</v>
      </c>
      <c r="S31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1" spans="1:19" x14ac:dyDescent="0.25">
      <c r="A3121" s="1" t="s">
        <v>4224</v>
      </c>
      <c r="B3121" s="2">
        <v>45398</v>
      </c>
      <c r="C3121" s="1" t="s">
        <v>54</v>
      </c>
      <c r="D3121" s="1" t="s">
        <v>28</v>
      </c>
      <c r="E3121" s="1" t="s">
        <v>342</v>
      </c>
      <c r="F3121" s="1" t="s">
        <v>84</v>
      </c>
      <c r="G3121" s="1" t="s">
        <v>78</v>
      </c>
      <c r="H3121" s="1" t="s">
        <v>79</v>
      </c>
      <c r="I3121" s="1">
        <v>457.99</v>
      </c>
      <c r="J3121" s="1">
        <v>1</v>
      </c>
      <c r="K3121" s="1">
        <v>457.99</v>
      </c>
      <c r="L3121" s="1">
        <v>0</v>
      </c>
      <c r="M3121" s="1">
        <v>0</v>
      </c>
      <c r="N3121" s="1">
        <v>457.99</v>
      </c>
      <c r="O3121" s="1" t="s">
        <v>46</v>
      </c>
      <c r="P3121" s="1" t="s">
        <v>2721</v>
      </c>
      <c r="Q3121" s="1">
        <v>1</v>
      </c>
      <c r="R3121" s="1">
        <f>Retail_Sales_Analyis[[#This Row],[Final_Price]]-Retail_Sales_Analyis[[#This Row],[Total_Price]]</f>
        <v>0</v>
      </c>
      <c r="S31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2" spans="1:19" x14ac:dyDescent="0.25">
      <c r="A3122" s="1" t="s">
        <v>4225</v>
      </c>
      <c r="B3122" s="2">
        <v>45592</v>
      </c>
      <c r="C3122" s="1" t="s">
        <v>76</v>
      </c>
      <c r="D3122" s="1" t="s">
        <v>49</v>
      </c>
      <c r="E3122" s="1" t="s">
        <v>145</v>
      </c>
      <c r="F3122" s="1" t="s">
        <v>37</v>
      </c>
      <c r="G3122" s="1" t="s">
        <v>38</v>
      </c>
      <c r="H3122" s="1" t="s">
        <v>70</v>
      </c>
      <c r="I3122" s="1">
        <v>638.01</v>
      </c>
      <c r="J3122" s="1">
        <v>3</v>
      </c>
      <c r="K3122" s="1">
        <v>1914.03</v>
      </c>
      <c r="L3122" s="1">
        <v>0</v>
      </c>
      <c r="M3122" s="1">
        <v>0</v>
      </c>
      <c r="N3122" s="1">
        <v>1914.03</v>
      </c>
      <c r="O3122" s="1" t="s">
        <v>33</v>
      </c>
      <c r="P3122" s="1" t="s">
        <v>1906</v>
      </c>
      <c r="Q3122" s="1">
        <v>2</v>
      </c>
      <c r="R3122" s="1">
        <f>Retail_Sales_Analyis[[#This Row],[Final_Price]]-Retail_Sales_Analyis[[#This Row],[Total_Price]]</f>
        <v>0</v>
      </c>
      <c r="S31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3" spans="1:19" x14ac:dyDescent="0.25">
      <c r="A3123" s="1" t="s">
        <v>4226</v>
      </c>
      <c r="B3123" s="2">
        <v>45365</v>
      </c>
      <c r="C3123" s="1" t="s">
        <v>61</v>
      </c>
      <c r="D3123" s="1" t="s">
        <v>67</v>
      </c>
      <c r="E3123" s="1" t="s">
        <v>166</v>
      </c>
      <c r="F3123" s="1" t="s">
        <v>37</v>
      </c>
      <c r="G3123" s="1" t="s">
        <v>57</v>
      </c>
      <c r="H3123" s="1" t="s">
        <v>58</v>
      </c>
      <c r="I3123" s="1">
        <v>230.06</v>
      </c>
      <c r="J3123" s="1">
        <v>8</v>
      </c>
      <c r="K3123" s="1">
        <v>1840.48</v>
      </c>
      <c r="L3123" s="1">
        <v>0</v>
      </c>
      <c r="M3123" s="1">
        <v>0</v>
      </c>
      <c r="N3123" s="1">
        <v>1840.48</v>
      </c>
      <c r="O3123" s="1" t="s">
        <v>64</v>
      </c>
      <c r="P3123" s="1" t="s">
        <v>1096</v>
      </c>
      <c r="Q3123" s="1">
        <v>2</v>
      </c>
      <c r="R3123" s="1">
        <f>Retail_Sales_Analyis[[#This Row],[Final_Price]]-Retail_Sales_Analyis[[#This Row],[Total_Price]]</f>
        <v>0</v>
      </c>
      <c r="S31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4" spans="1:19" x14ac:dyDescent="0.25">
      <c r="A3124" s="1" t="s">
        <v>4227</v>
      </c>
      <c r="B3124" s="2">
        <v>45656</v>
      </c>
      <c r="C3124" s="1" t="s">
        <v>73</v>
      </c>
      <c r="D3124" s="1" t="s">
        <v>43</v>
      </c>
      <c r="E3124" s="1" t="s">
        <v>328</v>
      </c>
      <c r="F3124" s="1" t="s">
        <v>30</v>
      </c>
      <c r="G3124" s="1" t="s">
        <v>57</v>
      </c>
      <c r="H3124" s="1" t="s">
        <v>152</v>
      </c>
      <c r="I3124" s="1">
        <v>2175.09</v>
      </c>
      <c r="J3124" s="1">
        <v>4</v>
      </c>
      <c r="K3124" s="1">
        <v>8700.36</v>
      </c>
      <c r="L3124" s="1">
        <v>15</v>
      </c>
      <c r="M3124" s="1">
        <v>1305.05</v>
      </c>
      <c r="N3124" s="1">
        <v>7395.31</v>
      </c>
      <c r="O3124" s="1" t="s">
        <v>46</v>
      </c>
      <c r="P3124" s="1" t="s">
        <v>190</v>
      </c>
      <c r="Q3124" s="1">
        <v>2</v>
      </c>
      <c r="R3124" s="1">
        <f>Retail_Sales_Analyis[[#This Row],[Final_Price]]-Retail_Sales_Analyis[[#This Row],[Total_Price]]</f>
        <v>-1305.0500000000002</v>
      </c>
      <c r="S31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25" spans="1:19" x14ac:dyDescent="0.25">
      <c r="A3125" s="1" t="s">
        <v>4228</v>
      </c>
      <c r="B3125" s="2">
        <v>45495</v>
      </c>
      <c r="C3125" s="1" t="s">
        <v>195</v>
      </c>
      <c r="D3125" s="1" t="s">
        <v>43</v>
      </c>
      <c r="E3125" s="1" t="s">
        <v>107</v>
      </c>
      <c r="F3125" s="1" t="s">
        <v>84</v>
      </c>
      <c r="G3125" s="1" t="s">
        <v>31</v>
      </c>
      <c r="H3125" s="1" t="s">
        <v>63</v>
      </c>
      <c r="I3125" s="1">
        <v>413.1</v>
      </c>
      <c r="J3125" s="1">
        <v>10</v>
      </c>
      <c r="K3125" s="1">
        <v>4131</v>
      </c>
      <c r="L3125" s="1">
        <v>0</v>
      </c>
      <c r="M3125" s="1">
        <v>0</v>
      </c>
      <c r="N3125" s="1">
        <v>4131</v>
      </c>
      <c r="O3125" s="1" t="s">
        <v>33</v>
      </c>
      <c r="P3125" s="1" t="s">
        <v>1155</v>
      </c>
      <c r="Q3125" s="1">
        <v>5</v>
      </c>
      <c r="R3125" s="1">
        <f>Retail_Sales_Analyis[[#This Row],[Final_Price]]-Retail_Sales_Analyis[[#This Row],[Total_Price]]</f>
        <v>0</v>
      </c>
      <c r="S31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6" spans="1:19" x14ac:dyDescent="0.25">
      <c r="A3126" s="1" t="s">
        <v>4229</v>
      </c>
      <c r="B3126" s="2">
        <v>45331</v>
      </c>
      <c r="C3126" s="1" t="s">
        <v>27</v>
      </c>
      <c r="D3126" s="1" t="s">
        <v>144</v>
      </c>
      <c r="E3126" s="1" t="s">
        <v>50</v>
      </c>
      <c r="F3126" s="1" t="s">
        <v>69</v>
      </c>
      <c r="G3126" s="1" t="s">
        <v>169</v>
      </c>
      <c r="H3126" s="1" t="s">
        <v>348</v>
      </c>
      <c r="I3126" s="1">
        <v>1151.3599999999999</v>
      </c>
      <c r="J3126" s="1">
        <v>4</v>
      </c>
      <c r="K3126" s="1">
        <v>4605.4399999999996</v>
      </c>
      <c r="L3126" s="1">
        <v>0</v>
      </c>
      <c r="M3126" s="1">
        <v>0</v>
      </c>
      <c r="N3126" s="1">
        <v>4605.4399999999996</v>
      </c>
      <c r="O3126" s="1" t="s">
        <v>33</v>
      </c>
      <c r="P3126" s="1" t="s">
        <v>1098</v>
      </c>
      <c r="Q3126" s="1">
        <v>4</v>
      </c>
      <c r="R3126" s="1">
        <f>Retail_Sales_Analyis[[#This Row],[Final_Price]]-Retail_Sales_Analyis[[#This Row],[Total_Price]]</f>
        <v>0</v>
      </c>
      <c r="S31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7" spans="1:19" x14ac:dyDescent="0.25">
      <c r="A3127" s="1" t="s">
        <v>4230</v>
      </c>
      <c r="B3127" s="2">
        <v>45445</v>
      </c>
      <c r="C3127" s="1" t="s">
        <v>173</v>
      </c>
      <c r="D3127" s="1" t="s">
        <v>49</v>
      </c>
      <c r="E3127" s="1" t="s">
        <v>307</v>
      </c>
      <c r="F3127" s="1" t="s">
        <v>30</v>
      </c>
      <c r="G3127" s="1" t="s">
        <v>31</v>
      </c>
      <c r="H3127" s="1" t="s">
        <v>63</v>
      </c>
      <c r="I3127" s="1">
        <v>54.16</v>
      </c>
      <c r="J3127" s="1">
        <v>4</v>
      </c>
      <c r="K3127" s="1">
        <v>216.64</v>
      </c>
      <c r="L3127" s="1">
        <v>20</v>
      </c>
      <c r="M3127" s="1">
        <v>43.33</v>
      </c>
      <c r="N3127" s="1">
        <v>173.31</v>
      </c>
      <c r="O3127" s="1" t="s">
        <v>24</v>
      </c>
      <c r="P3127" s="1" t="s">
        <v>465</v>
      </c>
      <c r="Q3127" s="1">
        <v>3</v>
      </c>
      <c r="R3127" s="1">
        <f>Retail_Sales_Analyis[[#This Row],[Final_Price]]-Retail_Sales_Analyis[[#This Row],[Total_Price]]</f>
        <v>-43.329999999999984</v>
      </c>
      <c r="S31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28" spans="1:19" x14ac:dyDescent="0.25">
      <c r="A3128" s="1" t="s">
        <v>4231</v>
      </c>
      <c r="B3128" s="2">
        <v>45375</v>
      </c>
      <c r="C3128" s="1" t="s">
        <v>61</v>
      </c>
      <c r="D3128" s="1" t="s">
        <v>49</v>
      </c>
      <c r="E3128" s="1" t="s">
        <v>151</v>
      </c>
      <c r="F3128" s="1" t="s">
        <v>84</v>
      </c>
      <c r="G3128" s="1" t="s">
        <v>38</v>
      </c>
      <c r="H3128" s="1" t="s">
        <v>39</v>
      </c>
      <c r="I3128" s="1">
        <v>760.01</v>
      </c>
      <c r="J3128" s="1">
        <v>7</v>
      </c>
      <c r="K3128" s="1">
        <v>5320.07</v>
      </c>
      <c r="L3128" s="1">
        <v>0</v>
      </c>
      <c r="M3128" s="1">
        <v>0</v>
      </c>
      <c r="N3128" s="1">
        <v>5320.07</v>
      </c>
      <c r="O3128" s="1" t="s">
        <v>33</v>
      </c>
      <c r="P3128" s="1" t="s">
        <v>601</v>
      </c>
      <c r="Q3128" s="1">
        <v>4</v>
      </c>
      <c r="R3128" s="1">
        <f>Retail_Sales_Analyis[[#This Row],[Final_Price]]-Retail_Sales_Analyis[[#This Row],[Total_Price]]</f>
        <v>0</v>
      </c>
      <c r="S31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29" spans="1:19" x14ac:dyDescent="0.25">
      <c r="A3129" s="1" t="s">
        <v>4232</v>
      </c>
      <c r="B3129" s="2">
        <v>45580</v>
      </c>
      <c r="C3129" s="1" t="s">
        <v>76</v>
      </c>
      <c r="D3129" s="1" t="s">
        <v>28</v>
      </c>
      <c r="E3129" s="1" t="s">
        <v>337</v>
      </c>
      <c r="F3129" s="1" t="s">
        <v>37</v>
      </c>
      <c r="G3129" s="1" t="s">
        <v>112</v>
      </c>
      <c r="H3129" s="1" t="s">
        <v>223</v>
      </c>
      <c r="I3129" s="1">
        <v>1528.66</v>
      </c>
      <c r="J3129" s="1">
        <v>5</v>
      </c>
      <c r="K3129" s="1">
        <v>7643.3</v>
      </c>
      <c r="L3129" s="1">
        <v>0</v>
      </c>
      <c r="M3129" s="1">
        <v>0</v>
      </c>
      <c r="N3129" s="1">
        <v>7643.3</v>
      </c>
      <c r="O3129" s="1" t="s">
        <v>46</v>
      </c>
      <c r="P3129" s="1" t="s">
        <v>1633</v>
      </c>
      <c r="Q3129" s="1">
        <v>5</v>
      </c>
      <c r="R3129" s="1">
        <f>Retail_Sales_Analyis[[#This Row],[Final_Price]]-Retail_Sales_Analyis[[#This Row],[Total_Price]]</f>
        <v>0</v>
      </c>
      <c r="S31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0" spans="1:19" x14ac:dyDescent="0.25">
      <c r="A3130" s="1" t="s">
        <v>4233</v>
      </c>
      <c r="B3130" s="2">
        <v>45415</v>
      </c>
      <c r="C3130" s="1" t="s">
        <v>42</v>
      </c>
      <c r="D3130" s="1" t="s">
        <v>144</v>
      </c>
      <c r="E3130" s="1" t="s">
        <v>139</v>
      </c>
      <c r="F3130" s="1" t="s">
        <v>37</v>
      </c>
      <c r="G3130" s="1" t="s">
        <v>169</v>
      </c>
      <c r="H3130" s="1" t="s">
        <v>348</v>
      </c>
      <c r="I3130" s="1">
        <v>788.66</v>
      </c>
      <c r="J3130" s="1">
        <v>3</v>
      </c>
      <c r="K3130" s="1">
        <v>2365.98</v>
      </c>
      <c r="L3130" s="1">
        <v>10</v>
      </c>
      <c r="M3130" s="1">
        <v>236.6</v>
      </c>
      <c r="N3130" s="1">
        <v>2129.38</v>
      </c>
      <c r="O3130" s="1" t="s">
        <v>33</v>
      </c>
      <c r="P3130" s="1" t="s">
        <v>1032</v>
      </c>
      <c r="Q3130" s="1">
        <v>2</v>
      </c>
      <c r="R3130" s="1">
        <f>Retail_Sales_Analyis[[#This Row],[Final_Price]]-Retail_Sales_Analyis[[#This Row],[Total_Price]]</f>
        <v>-236.59999999999991</v>
      </c>
      <c r="S31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31" spans="1:19" x14ac:dyDescent="0.25">
      <c r="A3131" s="1" t="s">
        <v>4234</v>
      </c>
      <c r="B3131" s="2">
        <v>45582</v>
      </c>
      <c r="C3131" s="1" t="s">
        <v>76</v>
      </c>
      <c r="D3131" s="1" t="s">
        <v>67</v>
      </c>
      <c r="E3131" s="1" t="s">
        <v>20</v>
      </c>
      <c r="F3131" s="1" t="s">
        <v>84</v>
      </c>
      <c r="G3131" s="1" t="s">
        <v>85</v>
      </c>
      <c r="H3131" s="1" t="s">
        <v>180</v>
      </c>
      <c r="I3131" s="1">
        <v>1383.57</v>
      </c>
      <c r="J3131" s="1">
        <v>6</v>
      </c>
      <c r="K3131" s="1">
        <v>8301.42</v>
      </c>
      <c r="L3131" s="1">
        <v>0</v>
      </c>
      <c r="M3131" s="1">
        <v>0</v>
      </c>
      <c r="N3131" s="1">
        <v>8301.42</v>
      </c>
      <c r="O3131" s="1" t="s">
        <v>46</v>
      </c>
      <c r="P3131" s="1" t="s">
        <v>1240</v>
      </c>
      <c r="Q3131" s="1">
        <v>1</v>
      </c>
      <c r="R3131" s="1">
        <f>Retail_Sales_Analyis[[#This Row],[Final_Price]]-Retail_Sales_Analyis[[#This Row],[Total_Price]]</f>
        <v>0</v>
      </c>
      <c r="S31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2" spans="1:19" x14ac:dyDescent="0.25">
      <c r="A3132" s="1" t="s">
        <v>4235</v>
      </c>
      <c r="B3132" s="2">
        <v>45491</v>
      </c>
      <c r="C3132" s="1" t="s">
        <v>195</v>
      </c>
      <c r="D3132" s="1" t="s">
        <v>67</v>
      </c>
      <c r="E3132" s="1" t="s">
        <v>62</v>
      </c>
      <c r="F3132" s="1" t="s">
        <v>21</v>
      </c>
      <c r="G3132" s="1" t="s">
        <v>22</v>
      </c>
      <c r="H3132" s="1" t="s">
        <v>187</v>
      </c>
      <c r="I3132" s="1">
        <v>658.52</v>
      </c>
      <c r="J3132" s="1">
        <v>7</v>
      </c>
      <c r="K3132" s="1">
        <v>4609.6400000000003</v>
      </c>
      <c r="L3132" s="1">
        <v>0</v>
      </c>
      <c r="M3132" s="1">
        <v>0</v>
      </c>
      <c r="N3132" s="1">
        <v>4609.6400000000003</v>
      </c>
      <c r="O3132" s="1" t="s">
        <v>64</v>
      </c>
      <c r="P3132" s="1" t="s">
        <v>3680</v>
      </c>
      <c r="Q3132" s="1">
        <v>1</v>
      </c>
      <c r="R3132" s="1">
        <f>Retail_Sales_Analyis[[#This Row],[Final_Price]]-Retail_Sales_Analyis[[#This Row],[Total_Price]]</f>
        <v>0</v>
      </c>
      <c r="S31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3" spans="1:19" x14ac:dyDescent="0.25">
      <c r="A3133" s="1" t="s">
        <v>4236</v>
      </c>
      <c r="B3133" s="2">
        <v>45638</v>
      </c>
      <c r="C3133" s="1" t="s">
        <v>73</v>
      </c>
      <c r="D3133" s="1" t="s">
        <v>67</v>
      </c>
      <c r="E3133" s="1" t="s">
        <v>104</v>
      </c>
      <c r="F3133" s="1" t="s">
        <v>84</v>
      </c>
      <c r="G3133" s="1" t="s">
        <v>78</v>
      </c>
      <c r="H3133" s="1" t="s">
        <v>323</v>
      </c>
      <c r="I3133" s="1">
        <v>221.91</v>
      </c>
      <c r="J3133" s="1">
        <v>4</v>
      </c>
      <c r="K3133" s="1">
        <v>887.64</v>
      </c>
      <c r="L3133" s="1">
        <v>15</v>
      </c>
      <c r="M3133" s="1">
        <v>133.15</v>
      </c>
      <c r="N3133" s="1">
        <v>754.49</v>
      </c>
      <c r="O3133" s="1" t="s">
        <v>64</v>
      </c>
      <c r="P3133" s="1" t="s">
        <v>817</v>
      </c>
      <c r="Q3133" s="1">
        <v>2</v>
      </c>
      <c r="R3133" s="1">
        <f>Retail_Sales_Analyis[[#This Row],[Final_Price]]-Retail_Sales_Analyis[[#This Row],[Total_Price]]</f>
        <v>-133.14999999999998</v>
      </c>
      <c r="S31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34" spans="1:19" x14ac:dyDescent="0.25">
      <c r="A3134" s="1" t="s">
        <v>4237</v>
      </c>
      <c r="B3134" s="2">
        <v>45568</v>
      </c>
      <c r="C3134" s="1" t="s">
        <v>76</v>
      </c>
      <c r="D3134" s="1" t="s">
        <v>67</v>
      </c>
      <c r="E3134" s="1" t="s">
        <v>328</v>
      </c>
      <c r="F3134" s="1" t="s">
        <v>30</v>
      </c>
      <c r="G3134" s="1" t="s">
        <v>112</v>
      </c>
      <c r="H3134" s="1" t="s">
        <v>118</v>
      </c>
      <c r="I3134" s="1">
        <v>1254.82</v>
      </c>
      <c r="J3134" s="1">
        <v>9</v>
      </c>
      <c r="K3134" s="1">
        <v>11293.38</v>
      </c>
      <c r="L3134" s="1">
        <v>0</v>
      </c>
      <c r="M3134" s="1">
        <v>0</v>
      </c>
      <c r="N3134" s="1">
        <v>11293.38</v>
      </c>
      <c r="O3134" s="1" t="s">
        <v>33</v>
      </c>
      <c r="P3134" s="1" t="s">
        <v>2039</v>
      </c>
      <c r="Q3134" s="1">
        <v>4</v>
      </c>
      <c r="R3134" s="1">
        <f>Retail_Sales_Analyis[[#This Row],[Final_Price]]-Retail_Sales_Analyis[[#This Row],[Total_Price]]</f>
        <v>0</v>
      </c>
      <c r="S31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5" spans="1:19" x14ac:dyDescent="0.25">
      <c r="A3135" s="1" t="s">
        <v>4238</v>
      </c>
      <c r="B3135" s="2">
        <v>45461</v>
      </c>
      <c r="C3135" s="1" t="s">
        <v>173</v>
      </c>
      <c r="D3135" s="1" t="s">
        <v>28</v>
      </c>
      <c r="E3135" s="1" t="s">
        <v>62</v>
      </c>
      <c r="F3135" s="1" t="s">
        <v>21</v>
      </c>
      <c r="G3135" s="1" t="s">
        <v>78</v>
      </c>
      <c r="H3135" s="1" t="s">
        <v>323</v>
      </c>
      <c r="I3135" s="1">
        <v>483.08</v>
      </c>
      <c r="J3135" s="1">
        <v>5</v>
      </c>
      <c r="K3135" s="1">
        <v>2415.4</v>
      </c>
      <c r="L3135" s="1">
        <v>5</v>
      </c>
      <c r="M3135" s="1">
        <v>120.77</v>
      </c>
      <c r="N3135" s="1">
        <v>2294.63</v>
      </c>
      <c r="O3135" s="1" t="s">
        <v>33</v>
      </c>
      <c r="P3135" s="1" t="s">
        <v>560</v>
      </c>
      <c r="Q3135" s="1">
        <v>2</v>
      </c>
      <c r="R3135" s="1">
        <f>Retail_Sales_Analyis[[#This Row],[Final_Price]]-Retail_Sales_Analyis[[#This Row],[Total_Price]]</f>
        <v>-120.76999999999998</v>
      </c>
      <c r="S313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36" spans="1:19" x14ac:dyDescent="0.25">
      <c r="A3136" s="1" t="s">
        <v>4239</v>
      </c>
      <c r="B3136" s="2">
        <v>45488</v>
      </c>
      <c r="C3136" s="1" t="s">
        <v>195</v>
      </c>
      <c r="D3136" s="1" t="s">
        <v>43</v>
      </c>
      <c r="E3136" s="1" t="s">
        <v>166</v>
      </c>
      <c r="F3136" s="1" t="s">
        <v>30</v>
      </c>
      <c r="G3136" s="1" t="s">
        <v>78</v>
      </c>
      <c r="H3136" s="1" t="s">
        <v>79</v>
      </c>
      <c r="I3136" s="1">
        <v>497.21</v>
      </c>
      <c r="J3136" s="1">
        <v>2</v>
      </c>
      <c r="K3136" s="1">
        <v>994.42</v>
      </c>
      <c r="L3136" s="1">
        <v>0</v>
      </c>
      <c r="M3136" s="1">
        <v>0</v>
      </c>
      <c r="N3136" s="1">
        <v>994.42</v>
      </c>
      <c r="O3136" s="1" t="s">
        <v>46</v>
      </c>
      <c r="P3136" s="1" t="s">
        <v>830</v>
      </c>
      <c r="Q3136" s="1">
        <v>2</v>
      </c>
      <c r="R3136" s="1">
        <f>Retail_Sales_Analyis[[#This Row],[Final_Price]]-Retail_Sales_Analyis[[#This Row],[Total_Price]]</f>
        <v>0</v>
      </c>
      <c r="S31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7" spans="1:19" x14ac:dyDescent="0.25">
      <c r="A3137" s="1" t="s">
        <v>4240</v>
      </c>
      <c r="B3137" s="2">
        <v>45363</v>
      </c>
      <c r="C3137" s="1" t="s">
        <v>61</v>
      </c>
      <c r="D3137" s="1" t="s">
        <v>28</v>
      </c>
      <c r="E3137" s="1" t="s">
        <v>207</v>
      </c>
      <c r="F3137" s="1" t="s">
        <v>37</v>
      </c>
      <c r="G3137" s="1" t="s">
        <v>22</v>
      </c>
      <c r="H3137" s="1" t="s">
        <v>23</v>
      </c>
      <c r="I3137" s="1">
        <v>570.41</v>
      </c>
      <c r="J3137" s="1">
        <v>9</v>
      </c>
      <c r="K3137" s="1">
        <v>5133.6899999999996</v>
      </c>
      <c r="L3137" s="1">
        <v>10</v>
      </c>
      <c r="M3137" s="1">
        <v>513.37</v>
      </c>
      <c r="N3137" s="1">
        <v>4620.32</v>
      </c>
      <c r="O3137" s="1" t="s">
        <v>80</v>
      </c>
      <c r="P3137" s="1" t="s">
        <v>3594</v>
      </c>
      <c r="Q3137" s="1">
        <v>2</v>
      </c>
      <c r="R3137" s="1">
        <f>Retail_Sales_Analyis[[#This Row],[Final_Price]]-Retail_Sales_Analyis[[#This Row],[Total_Price]]</f>
        <v>-513.36999999999989</v>
      </c>
      <c r="S31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38" spans="1:19" x14ac:dyDescent="0.25">
      <c r="A3138" s="1" t="s">
        <v>4241</v>
      </c>
      <c r="B3138" s="2">
        <v>45644</v>
      </c>
      <c r="C3138" s="1" t="s">
        <v>73</v>
      </c>
      <c r="D3138" s="1" t="s">
        <v>55</v>
      </c>
      <c r="E3138" s="1" t="s">
        <v>151</v>
      </c>
      <c r="F3138" s="1" t="s">
        <v>30</v>
      </c>
      <c r="G3138" s="1" t="s">
        <v>169</v>
      </c>
      <c r="H3138" s="1" t="s">
        <v>348</v>
      </c>
      <c r="I3138" s="1">
        <v>631.63</v>
      </c>
      <c r="J3138" s="1">
        <v>10</v>
      </c>
      <c r="K3138" s="1">
        <v>6316.3</v>
      </c>
      <c r="L3138" s="1">
        <v>0</v>
      </c>
      <c r="M3138" s="1">
        <v>0</v>
      </c>
      <c r="N3138" s="1">
        <v>6316.3</v>
      </c>
      <c r="O3138" s="1" t="s">
        <v>64</v>
      </c>
      <c r="P3138" s="1" t="s">
        <v>928</v>
      </c>
      <c r="Q3138" s="1">
        <v>1</v>
      </c>
      <c r="R3138" s="1">
        <f>Retail_Sales_Analyis[[#This Row],[Final_Price]]-Retail_Sales_Analyis[[#This Row],[Total_Price]]</f>
        <v>0</v>
      </c>
      <c r="S31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39" spans="1:19" x14ac:dyDescent="0.25">
      <c r="A3139" s="1" t="s">
        <v>4242</v>
      </c>
      <c r="B3139" s="2">
        <v>45332</v>
      </c>
      <c r="C3139" s="1" t="s">
        <v>27</v>
      </c>
      <c r="D3139" s="1" t="s">
        <v>19</v>
      </c>
      <c r="E3139" s="1" t="s">
        <v>68</v>
      </c>
      <c r="F3139" s="1" t="s">
        <v>21</v>
      </c>
      <c r="G3139" s="1" t="s">
        <v>112</v>
      </c>
      <c r="H3139" s="1" t="s">
        <v>183</v>
      </c>
      <c r="I3139" s="1">
        <v>1206.33</v>
      </c>
      <c r="J3139" s="1">
        <v>9</v>
      </c>
      <c r="K3139" s="1">
        <v>10856.97</v>
      </c>
      <c r="L3139" s="1">
        <v>5</v>
      </c>
      <c r="M3139" s="1">
        <v>542.85</v>
      </c>
      <c r="N3139" s="1">
        <v>10314.120000000001</v>
      </c>
      <c r="O3139" s="1" t="s">
        <v>24</v>
      </c>
      <c r="P3139" s="1" t="s">
        <v>4035</v>
      </c>
      <c r="Q3139" s="1">
        <v>3</v>
      </c>
      <c r="R3139" s="1">
        <f>Retail_Sales_Analyis[[#This Row],[Final_Price]]-Retail_Sales_Analyis[[#This Row],[Total_Price]]</f>
        <v>-542.84999999999854</v>
      </c>
      <c r="S31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40" spans="1:19" x14ac:dyDescent="0.25">
      <c r="A3140" s="1" t="s">
        <v>4243</v>
      </c>
      <c r="B3140" s="2">
        <v>45548</v>
      </c>
      <c r="C3140" s="1" t="s">
        <v>116</v>
      </c>
      <c r="D3140" s="1" t="s">
        <v>144</v>
      </c>
      <c r="E3140" s="1" t="s">
        <v>89</v>
      </c>
      <c r="F3140" s="1" t="s">
        <v>21</v>
      </c>
      <c r="G3140" s="1" t="s">
        <v>57</v>
      </c>
      <c r="H3140" s="1" t="s">
        <v>158</v>
      </c>
      <c r="I3140" s="1">
        <v>2880.38</v>
      </c>
      <c r="J3140" s="1">
        <v>6</v>
      </c>
      <c r="K3140" s="1">
        <v>17282.28</v>
      </c>
      <c r="L3140" s="1">
        <v>15</v>
      </c>
      <c r="M3140" s="1">
        <v>2592.34</v>
      </c>
      <c r="N3140" s="1">
        <v>14689.94</v>
      </c>
      <c r="O3140" s="1" t="s">
        <v>46</v>
      </c>
      <c r="P3140" s="1" t="s">
        <v>1345</v>
      </c>
      <c r="Q3140" s="1">
        <v>3</v>
      </c>
      <c r="R3140" s="1">
        <f>Retail_Sales_Analyis[[#This Row],[Final_Price]]-Retail_Sales_Analyis[[#This Row],[Total_Price]]</f>
        <v>-2592.3399999999983</v>
      </c>
      <c r="S31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41" spans="1:19" x14ac:dyDescent="0.25">
      <c r="A3141" s="1" t="s">
        <v>4244</v>
      </c>
      <c r="B3141" s="2">
        <v>45469</v>
      </c>
      <c r="C3141" s="1" t="s">
        <v>173</v>
      </c>
      <c r="D3141" s="1" t="s">
        <v>55</v>
      </c>
      <c r="E3141" s="1" t="s">
        <v>89</v>
      </c>
      <c r="F3141" s="1" t="s">
        <v>84</v>
      </c>
      <c r="G3141" s="1" t="s">
        <v>78</v>
      </c>
      <c r="H3141" s="1" t="s">
        <v>323</v>
      </c>
      <c r="I3141" s="1">
        <v>403.59</v>
      </c>
      <c r="J3141" s="1">
        <v>8</v>
      </c>
      <c r="K3141" s="1">
        <v>3228.72</v>
      </c>
      <c r="L3141" s="1">
        <v>0</v>
      </c>
      <c r="M3141" s="1">
        <v>0</v>
      </c>
      <c r="N3141" s="1">
        <v>3228.72</v>
      </c>
      <c r="O3141" s="1" t="s">
        <v>33</v>
      </c>
      <c r="P3141" s="1" t="s">
        <v>2256</v>
      </c>
      <c r="Q3141" s="1">
        <v>4</v>
      </c>
      <c r="R3141" s="1">
        <f>Retail_Sales_Analyis[[#This Row],[Final_Price]]-Retail_Sales_Analyis[[#This Row],[Total_Price]]</f>
        <v>0</v>
      </c>
      <c r="S31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42" spans="1:19" x14ac:dyDescent="0.25">
      <c r="A3142" s="1" t="s">
        <v>4245</v>
      </c>
      <c r="B3142" s="2">
        <v>45319</v>
      </c>
      <c r="C3142" s="1" t="s">
        <v>36</v>
      </c>
      <c r="D3142" s="1" t="s">
        <v>49</v>
      </c>
      <c r="E3142" s="1" t="s">
        <v>337</v>
      </c>
      <c r="F3142" s="1" t="s">
        <v>30</v>
      </c>
      <c r="G3142" s="1" t="s">
        <v>169</v>
      </c>
      <c r="H3142" s="1" t="s">
        <v>208</v>
      </c>
      <c r="I3142" s="1">
        <v>1116.74</v>
      </c>
      <c r="J3142" s="1">
        <v>8</v>
      </c>
      <c r="K3142" s="1">
        <v>8933.92</v>
      </c>
      <c r="L3142" s="1">
        <v>10</v>
      </c>
      <c r="M3142" s="1">
        <v>893.39</v>
      </c>
      <c r="N3142" s="1">
        <v>8040.53</v>
      </c>
      <c r="O3142" s="1" t="s">
        <v>80</v>
      </c>
      <c r="P3142" s="1" t="s">
        <v>998</v>
      </c>
      <c r="Q3142" s="1">
        <v>2</v>
      </c>
      <c r="R3142" s="1">
        <f>Retail_Sales_Analyis[[#This Row],[Final_Price]]-Retail_Sales_Analyis[[#This Row],[Total_Price]]</f>
        <v>-893.39000000000033</v>
      </c>
      <c r="S31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43" spans="1:19" x14ac:dyDescent="0.25">
      <c r="A3143" s="1" t="s">
        <v>4246</v>
      </c>
      <c r="B3143" s="2">
        <v>45342</v>
      </c>
      <c r="C3143" s="1" t="s">
        <v>27</v>
      </c>
      <c r="D3143" s="1" t="s">
        <v>28</v>
      </c>
      <c r="E3143" s="1" t="s">
        <v>77</v>
      </c>
      <c r="F3143" s="1" t="s">
        <v>37</v>
      </c>
      <c r="G3143" s="1" t="s">
        <v>78</v>
      </c>
      <c r="H3143" s="1" t="s">
        <v>136</v>
      </c>
      <c r="I3143" s="1">
        <v>335.25</v>
      </c>
      <c r="J3143" s="1">
        <v>3</v>
      </c>
      <c r="K3143" s="1">
        <v>1005.75</v>
      </c>
      <c r="L3143" s="1">
        <v>5</v>
      </c>
      <c r="M3143" s="1">
        <v>50.29</v>
      </c>
      <c r="N3143" s="1">
        <v>955.46</v>
      </c>
      <c r="O3143" s="1" t="s">
        <v>46</v>
      </c>
      <c r="P3143" s="1" t="s">
        <v>1280</v>
      </c>
      <c r="Q3143" s="1">
        <v>3</v>
      </c>
      <c r="R3143" s="1">
        <f>Retail_Sales_Analyis[[#This Row],[Final_Price]]-Retail_Sales_Analyis[[#This Row],[Total_Price]]</f>
        <v>-50.289999999999964</v>
      </c>
      <c r="S31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44" spans="1:19" x14ac:dyDescent="0.25">
      <c r="A3144" s="1" t="s">
        <v>4247</v>
      </c>
      <c r="B3144" s="2">
        <v>45515</v>
      </c>
      <c r="C3144" s="1" t="s">
        <v>93</v>
      </c>
      <c r="D3144" s="1" t="s">
        <v>49</v>
      </c>
      <c r="E3144" s="1" t="s">
        <v>342</v>
      </c>
      <c r="F3144" s="1" t="s">
        <v>37</v>
      </c>
      <c r="G3144" s="1" t="s">
        <v>22</v>
      </c>
      <c r="H3144" s="1" t="s">
        <v>133</v>
      </c>
      <c r="I3144" s="1">
        <v>639.59</v>
      </c>
      <c r="J3144" s="1">
        <v>6</v>
      </c>
      <c r="K3144" s="1">
        <v>3837.54</v>
      </c>
      <c r="L3144" s="1">
        <v>10</v>
      </c>
      <c r="M3144" s="1">
        <v>383.75</v>
      </c>
      <c r="N3144" s="1">
        <v>3453.79</v>
      </c>
      <c r="O3144" s="1" t="s">
        <v>80</v>
      </c>
      <c r="P3144" s="1" t="s">
        <v>2423</v>
      </c>
      <c r="Q3144" s="1">
        <v>4</v>
      </c>
      <c r="R3144" s="1">
        <f>Retail_Sales_Analyis[[#This Row],[Final_Price]]-Retail_Sales_Analyis[[#This Row],[Total_Price]]</f>
        <v>-383.75</v>
      </c>
      <c r="S31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45" spans="1:19" x14ac:dyDescent="0.25">
      <c r="A3145" s="1" t="s">
        <v>4248</v>
      </c>
      <c r="B3145" s="2">
        <v>45410</v>
      </c>
      <c r="C3145" s="1" t="s">
        <v>54</v>
      </c>
      <c r="D3145" s="1" t="s">
        <v>49</v>
      </c>
      <c r="E3145" s="1" t="s">
        <v>89</v>
      </c>
      <c r="F3145" s="1" t="s">
        <v>69</v>
      </c>
      <c r="G3145" s="1" t="s">
        <v>78</v>
      </c>
      <c r="H3145" s="1" t="s">
        <v>146</v>
      </c>
      <c r="I3145" s="1">
        <v>231.69</v>
      </c>
      <c r="J3145" s="1">
        <v>4</v>
      </c>
      <c r="K3145" s="1">
        <v>926.76</v>
      </c>
      <c r="L3145" s="1">
        <v>0</v>
      </c>
      <c r="M3145" s="1">
        <v>0</v>
      </c>
      <c r="N3145" s="1">
        <v>926.76</v>
      </c>
      <c r="O3145" s="1" t="s">
        <v>33</v>
      </c>
      <c r="P3145" s="1" t="s">
        <v>2997</v>
      </c>
      <c r="Q3145" s="1">
        <v>5</v>
      </c>
      <c r="R3145" s="1">
        <f>Retail_Sales_Analyis[[#This Row],[Final_Price]]-Retail_Sales_Analyis[[#This Row],[Total_Price]]</f>
        <v>0</v>
      </c>
      <c r="S31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46" spans="1:19" x14ac:dyDescent="0.25">
      <c r="A3146" s="1" t="s">
        <v>4249</v>
      </c>
      <c r="B3146" s="2">
        <v>45330</v>
      </c>
      <c r="C3146" s="1" t="s">
        <v>27</v>
      </c>
      <c r="D3146" s="1" t="s">
        <v>67</v>
      </c>
      <c r="E3146" s="1" t="s">
        <v>104</v>
      </c>
      <c r="F3146" s="1" t="s">
        <v>84</v>
      </c>
      <c r="G3146" s="1" t="s">
        <v>112</v>
      </c>
      <c r="H3146" s="1" t="s">
        <v>183</v>
      </c>
      <c r="I3146" s="1">
        <v>793.64</v>
      </c>
      <c r="J3146" s="1">
        <v>8</v>
      </c>
      <c r="K3146" s="1">
        <v>6349.12</v>
      </c>
      <c r="L3146" s="1">
        <v>5</v>
      </c>
      <c r="M3146" s="1">
        <v>317.45999999999998</v>
      </c>
      <c r="N3146" s="1">
        <v>6031.66</v>
      </c>
      <c r="O3146" s="1" t="s">
        <v>24</v>
      </c>
      <c r="P3146" s="1" t="s">
        <v>1113</v>
      </c>
      <c r="Q3146" s="1">
        <v>2</v>
      </c>
      <c r="R3146" s="1">
        <f>Retail_Sales_Analyis[[#This Row],[Final_Price]]-Retail_Sales_Analyis[[#This Row],[Total_Price]]</f>
        <v>-317.46000000000004</v>
      </c>
      <c r="S31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47" spans="1:19" x14ac:dyDescent="0.25">
      <c r="A3147" s="1" t="s">
        <v>4250</v>
      </c>
      <c r="B3147" s="2">
        <v>45466</v>
      </c>
      <c r="C3147" s="1" t="s">
        <v>173</v>
      </c>
      <c r="D3147" s="1" t="s">
        <v>49</v>
      </c>
      <c r="E3147" s="1" t="s">
        <v>117</v>
      </c>
      <c r="F3147" s="1" t="s">
        <v>37</v>
      </c>
      <c r="G3147" s="1" t="s">
        <v>57</v>
      </c>
      <c r="H3147" s="1" t="s">
        <v>152</v>
      </c>
      <c r="I3147" s="1">
        <v>2123.21</v>
      </c>
      <c r="J3147" s="1">
        <v>8</v>
      </c>
      <c r="K3147" s="1">
        <v>16985.68</v>
      </c>
      <c r="L3147" s="1">
        <v>0</v>
      </c>
      <c r="M3147" s="1">
        <v>0</v>
      </c>
      <c r="N3147" s="1">
        <v>16985.68</v>
      </c>
      <c r="O3147" s="1" t="s">
        <v>33</v>
      </c>
      <c r="P3147" s="1" t="s">
        <v>427</v>
      </c>
      <c r="Q3147" s="1">
        <v>1</v>
      </c>
      <c r="R3147" s="1">
        <f>Retail_Sales_Analyis[[#This Row],[Final_Price]]-Retail_Sales_Analyis[[#This Row],[Total_Price]]</f>
        <v>0</v>
      </c>
      <c r="S31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48" spans="1:19" x14ac:dyDescent="0.25">
      <c r="A3148" s="1" t="s">
        <v>4251</v>
      </c>
      <c r="B3148" s="2">
        <v>45601</v>
      </c>
      <c r="C3148" s="1" t="s">
        <v>18</v>
      </c>
      <c r="D3148" s="1" t="s">
        <v>28</v>
      </c>
      <c r="E3148" s="1" t="s">
        <v>56</v>
      </c>
      <c r="F3148" s="1" t="s">
        <v>37</v>
      </c>
      <c r="G3148" s="1" t="s">
        <v>57</v>
      </c>
      <c r="H3148" s="1" t="s">
        <v>122</v>
      </c>
      <c r="I3148" s="1">
        <v>1892.03</v>
      </c>
      <c r="J3148" s="1">
        <v>8</v>
      </c>
      <c r="K3148" s="1">
        <v>15136.24</v>
      </c>
      <c r="L3148" s="1">
        <v>10</v>
      </c>
      <c r="M3148" s="1">
        <v>1513.62</v>
      </c>
      <c r="N3148" s="1">
        <v>13622.62</v>
      </c>
      <c r="O3148" s="1" t="s">
        <v>80</v>
      </c>
      <c r="P3148" s="1" t="s">
        <v>2959</v>
      </c>
      <c r="Q3148" s="1">
        <v>2</v>
      </c>
      <c r="R3148" s="1">
        <f>Retail_Sales_Analyis[[#This Row],[Final_Price]]-Retail_Sales_Analyis[[#This Row],[Total_Price]]</f>
        <v>-1513.619999999999</v>
      </c>
      <c r="S31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49" spans="1:19" x14ac:dyDescent="0.25">
      <c r="A3149" s="1" t="s">
        <v>4252</v>
      </c>
      <c r="B3149" s="2">
        <v>45606</v>
      </c>
      <c r="C3149" s="1" t="s">
        <v>18</v>
      </c>
      <c r="D3149" s="1" t="s">
        <v>49</v>
      </c>
      <c r="E3149" s="1" t="s">
        <v>117</v>
      </c>
      <c r="F3149" s="1" t="s">
        <v>84</v>
      </c>
      <c r="G3149" s="1" t="s">
        <v>78</v>
      </c>
      <c r="H3149" s="1" t="s">
        <v>136</v>
      </c>
      <c r="I3149" s="1">
        <v>570.77</v>
      </c>
      <c r="J3149" s="1">
        <v>4</v>
      </c>
      <c r="K3149" s="1">
        <v>2283.08</v>
      </c>
      <c r="L3149" s="1">
        <v>0</v>
      </c>
      <c r="M3149" s="1">
        <v>0</v>
      </c>
      <c r="N3149" s="1">
        <v>2283.08</v>
      </c>
      <c r="O3149" s="1" t="s">
        <v>80</v>
      </c>
      <c r="P3149" s="1" t="s">
        <v>228</v>
      </c>
      <c r="Q3149" s="1">
        <v>4</v>
      </c>
      <c r="R3149" s="1">
        <f>Retail_Sales_Analyis[[#This Row],[Final_Price]]-Retail_Sales_Analyis[[#This Row],[Total_Price]]</f>
        <v>0</v>
      </c>
      <c r="S31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50" spans="1:19" x14ac:dyDescent="0.25">
      <c r="A3150" s="1" t="s">
        <v>4253</v>
      </c>
      <c r="B3150" s="2">
        <v>45596</v>
      </c>
      <c r="C3150" s="1" t="s">
        <v>76</v>
      </c>
      <c r="D3150" s="1" t="s">
        <v>67</v>
      </c>
      <c r="E3150" s="1" t="s">
        <v>207</v>
      </c>
      <c r="F3150" s="1" t="s">
        <v>84</v>
      </c>
      <c r="G3150" s="1" t="s">
        <v>78</v>
      </c>
      <c r="H3150" s="1" t="s">
        <v>146</v>
      </c>
      <c r="I3150" s="1">
        <v>381.01</v>
      </c>
      <c r="J3150" s="1">
        <v>9</v>
      </c>
      <c r="K3150" s="1">
        <v>3429.09</v>
      </c>
      <c r="L3150" s="1">
        <v>20</v>
      </c>
      <c r="M3150" s="1">
        <v>685.82</v>
      </c>
      <c r="N3150" s="1">
        <v>2743.27</v>
      </c>
      <c r="O3150" s="1" t="s">
        <v>80</v>
      </c>
      <c r="P3150" s="1" t="s">
        <v>982</v>
      </c>
      <c r="Q3150" s="1">
        <v>5</v>
      </c>
      <c r="R3150" s="1">
        <f>Retail_Sales_Analyis[[#This Row],[Final_Price]]-Retail_Sales_Analyis[[#This Row],[Total_Price]]</f>
        <v>-685.82000000000016</v>
      </c>
      <c r="S315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51" spans="1:19" x14ac:dyDescent="0.25">
      <c r="A3151" s="1" t="s">
        <v>4254</v>
      </c>
      <c r="B3151" s="2">
        <v>45495</v>
      </c>
      <c r="C3151" s="1" t="s">
        <v>195</v>
      </c>
      <c r="D3151" s="1" t="s">
        <v>43</v>
      </c>
      <c r="E3151" s="1" t="s">
        <v>56</v>
      </c>
      <c r="F3151" s="1" t="s">
        <v>69</v>
      </c>
      <c r="G3151" s="1" t="s">
        <v>169</v>
      </c>
      <c r="H3151" s="1" t="s">
        <v>170</v>
      </c>
      <c r="I3151" s="1">
        <v>1227.56</v>
      </c>
      <c r="J3151" s="1">
        <v>5</v>
      </c>
      <c r="K3151" s="1">
        <v>6137.8</v>
      </c>
      <c r="L3151" s="1">
        <v>20</v>
      </c>
      <c r="M3151" s="1">
        <v>1227.56</v>
      </c>
      <c r="N3151" s="1">
        <v>4910.24</v>
      </c>
      <c r="O3151" s="1" t="s">
        <v>64</v>
      </c>
      <c r="P3151" s="1" t="s">
        <v>385</v>
      </c>
      <c r="Q3151" s="1">
        <v>5</v>
      </c>
      <c r="R3151" s="1">
        <f>Retail_Sales_Analyis[[#This Row],[Final_Price]]-Retail_Sales_Analyis[[#This Row],[Total_Price]]</f>
        <v>-1227.5600000000004</v>
      </c>
      <c r="S315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52" spans="1:19" x14ac:dyDescent="0.25">
      <c r="A3152" s="1" t="s">
        <v>4255</v>
      </c>
      <c r="B3152" s="2">
        <v>45459</v>
      </c>
      <c r="C3152" s="1" t="s">
        <v>173</v>
      </c>
      <c r="D3152" s="1" t="s">
        <v>49</v>
      </c>
      <c r="E3152" s="1" t="s">
        <v>29</v>
      </c>
      <c r="F3152" s="1" t="s">
        <v>69</v>
      </c>
      <c r="G3152" s="1" t="s">
        <v>57</v>
      </c>
      <c r="H3152" s="1" t="s">
        <v>152</v>
      </c>
      <c r="I3152" s="1">
        <v>2192.94</v>
      </c>
      <c r="J3152" s="1">
        <v>10</v>
      </c>
      <c r="K3152" s="1">
        <v>21929.4</v>
      </c>
      <c r="L3152" s="1">
        <v>0</v>
      </c>
      <c r="M3152" s="1">
        <v>0</v>
      </c>
      <c r="N3152" s="1">
        <v>21929.4</v>
      </c>
      <c r="O3152" s="1" t="s">
        <v>24</v>
      </c>
      <c r="P3152" s="1" t="s">
        <v>2228</v>
      </c>
      <c r="Q3152" s="1">
        <v>4</v>
      </c>
      <c r="R3152" s="1">
        <f>Retail_Sales_Analyis[[#This Row],[Final_Price]]-Retail_Sales_Analyis[[#This Row],[Total_Price]]</f>
        <v>0</v>
      </c>
      <c r="S31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53" spans="1:19" x14ac:dyDescent="0.25">
      <c r="A3153" s="1" t="s">
        <v>4256</v>
      </c>
      <c r="B3153" s="2">
        <v>45307</v>
      </c>
      <c r="C3153" s="1" t="s">
        <v>36</v>
      </c>
      <c r="D3153" s="1" t="s">
        <v>28</v>
      </c>
      <c r="E3153" s="1" t="s">
        <v>166</v>
      </c>
      <c r="F3153" s="1" t="s">
        <v>69</v>
      </c>
      <c r="G3153" s="1" t="s">
        <v>38</v>
      </c>
      <c r="H3153" s="1" t="s">
        <v>70</v>
      </c>
      <c r="I3153" s="1">
        <v>507.67</v>
      </c>
      <c r="J3153" s="1">
        <v>10</v>
      </c>
      <c r="K3153" s="1">
        <v>5076.7</v>
      </c>
      <c r="L3153" s="1">
        <v>20</v>
      </c>
      <c r="M3153" s="1">
        <v>1015.34</v>
      </c>
      <c r="N3153" s="1">
        <v>4061.36</v>
      </c>
      <c r="O3153" s="1" t="s">
        <v>46</v>
      </c>
      <c r="P3153" s="1" t="s">
        <v>2041</v>
      </c>
      <c r="Q3153" s="1">
        <v>3</v>
      </c>
      <c r="R3153" s="1">
        <f>Retail_Sales_Analyis[[#This Row],[Final_Price]]-Retail_Sales_Analyis[[#This Row],[Total_Price]]</f>
        <v>-1015.3399999999997</v>
      </c>
      <c r="S31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54" spans="1:19" x14ac:dyDescent="0.25">
      <c r="A3154" s="1" t="s">
        <v>4257</v>
      </c>
      <c r="B3154" s="2">
        <v>45616</v>
      </c>
      <c r="C3154" s="1" t="s">
        <v>18</v>
      </c>
      <c r="D3154" s="1" t="s">
        <v>55</v>
      </c>
      <c r="E3154" s="1" t="s">
        <v>236</v>
      </c>
      <c r="F3154" s="1" t="s">
        <v>69</v>
      </c>
      <c r="G3154" s="1" t="s">
        <v>38</v>
      </c>
      <c r="H3154" s="1" t="s">
        <v>422</v>
      </c>
      <c r="I3154" s="1">
        <v>293.97000000000003</v>
      </c>
      <c r="J3154" s="1">
        <v>1</v>
      </c>
      <c r="K3154" s="1">
        <v>293.97000000000003</v>
      </c>
      <c r="L3154" s="1">
        <v>5</v>
      </c>
      <c r="M3154" s="1">
        <v>14.7</v>
      </c>
      <c r="N3154" s="1">
        <v>279.27</v>
      </c>
      <c r="O3154" s="1" t="s">
        <v>33</v>
      </c>
      <c r="P3154" s="1" t="s">
        <v>2590</v>
      </c>
      <c r="Q3154" s="1">
        <v>5</v>
      </c>
      <c r="R3154" s="1">
        <f>Retail_Sales_Analyis[[#This Row],[Final_Price]]-Retail_Sales_Analyis[[#This Row],[Total_Price]]</f>
        <v>-14.700000000000045</v>
      </c>
      <c r="S31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55" spans="1:19" x14ac:dyDescent="0.25">
      <c r="A3155" s="1" t="s">
        <v>4258</v>
      </c>
      <c r="B3155" s="2">
        <v>45431</v>
      </c>
      <c r="C3155" s="1" t="s">
        <v>42</v>
      </c>
      <c r="D3155" s="1" t="s">
        <v>49</v>
      </c>
      <c r="E3155" s="1" t="s">
        <v>196</v>
      </c>
      <c r="F3155" s="1" t="s">
        <v>37</v>
      </c>
      <c r="G3155" s="1" t="s">
        <v>22</v>
      </c>
      <c r="H3155" s="1" t="s">
        <v>277</v>
      </c>
      <c r="I3155" s="1">
        <v>427.85</v>
      </c>
      <c r="J3155" s="1">
        <v>4</v>
      </c>
      <c r="K3155" s="1">
        <v>1711.4</v>
      </c>
      <c r="L3155" s="1">
        <v>0</v>
      </c>
      <c r="M3155" s="1">
        <v>0</v>
      </c>
      <c r="N3155" s="1">
        <v>1711.4</v>
      </c>
      <c r="O3155" s="1" t="s">
        <v>33</v>
      </c>
      <c r="P3155" s="1" t="s">
        <v>305</v>
      </c>
      <c r="Q3155" s="1">
        <v>3</v>
      </c>
      <c r="R3155" s="1">
        <f>Retail_Sales_Analyis[[#This Row],[Final_Price]]-Retail_Sales_Analyis[[#This Row],[Total_Price]]</f>
        <v>0</v>
      </c>
      <c r="S31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56" spans="1:19" x14ac:dyDescent="0.25">
      <c r="A3156" s="1" t="s">
        <v>4259</v>
      </c>
      <c r="B3156" s="2">
        <v>45522</v>
      </c>
      <c r="C3156" s="1" t="s">
        <v>93</v>
      </c>
      <c r="D3156" s="1" t="s">
        <v>49</v>
      </c>
      <c r="E3156" s="1" t="s">
        <v>20</v>
      </c>
      <c r="F3156" s="1" t="s">
        <v>84</v>
      </c>
      <c r="G3156" s="1" t="s">
        <v>22</v>
      </c>
      <c r="H3156" s="1" t="s">
        <v>133</v>
      </c>
      <c r="I3156" s="1">
        <v>949.35</v>
      </c>
      <c r="J3156" s="1">
        <v>5</v>
      </c>
      <c r="K3156" s="1">
        <v>4746.75</v>
      </c>
      <c r="L3156" s="1">
        <v>0</v>
      </c>
      <c r="M3156" s="1">
        <v>0</v>
      </c>
      <c r="N3156" s="1">
        <v>4746.75</v>
      </c>
      <c r="O3156" s="1" t="s">
        <v>46</v>
      </c>
      <c r="P3156" s="1" t="s">
        <v>1048</v>
      </c>
      <c r="Q3156" s="1">
        <v>5</v>
      </c>
      <c r="R3156" s="1">
        <f>Retail_Sales_Analyis[[#This Row],[Final_Price]]-Retail_Sales_Analyis[[#This Row],[Total_Price]]</f>
        <v>0</v>
      </c>
      <c r="S31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57" spans="1:19" x14ac:dyDescent="0.25">
      <c r="A3157" s="1" t="s">
        <v>4260</v>
      </c>
      <c r="B3157" s="2">
        <v>45543</v>
      </c>
      <c r="C3157" s="1" t="s">
        <v>116</v>
      </c>
      <c r="D3157" s="1" t="s">
        <v>49</v>
      </c>
      <c r="E3157" s="1" t="s">
        <v>302</v>
      </c>
      <c r="F3157" s="1" t="s">
        <v>30</v>
      </c>
      <c r="G3157" s="1" t="s">
        <v>78</v>
      </c>
      <c r="H3157" s="1" t="s">
        <v>126</v>
      </c>
      <c r="I3157" s="1">
        <v>483.35</v>
      </c>
      <c r="J3157" s="1">
        <v>8</v>
      </c>
      <c r="K3157" s="1">
        <v>3866.8</v>
      </c>
      <c r="L3157" s="1">
        <v>20</v>
      </c>
      <c r="M3157" s="1">
        <v>773.36</v>
      </c>
      <c r="N3157" s="1">
        <v>3093.44</v>
      </c>
      <c r="O3157" s="1" t="s">
        <v>80</v>
      </c>
      <c r="P3157" s="1" t="s">
        <v>830</v>
      </c>
      <c r="Q3157" s="1">
        <v>5</v>
      </c>
      <c r="R3157" s="1">
        <f>Retail_Sales_Analyis[[#This Row],[Final_Price]]-Retail_Sales_Analyis[[#This Row],[Total_Price]]</f>
        <v>-773.36000000000013</v>
      </c>
      <c r="S31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58" spans="1:19" x14ac:dyDescent="0.25">
      <c r="A3158" s="1" t="s">
        <v>4261</v>
      </c>
      <c r="B3158" s="2">
        <v>45408</v>
      </c>
      <c r="C3158" s="1" t="s">
        <v>54</v>
      </c>
      <c r="D3158" s="1" t="s">
        <v>144</v>
      </c>
      <c r="E3158" s="1" t="s">
        <v>261</v>
      </c>
      <c r="F3158" s="1" t="s">
        <v>84</v>
      </c>
      <c r="G3158" s="1" t="s">
        <v>78</v>
      </c>
      <c r="H3158" s="1" t="s">
        <v>136</v>
      </c>
      <c r="I3158" s="1">
        <v>378.32</v>
      </c>
      <c r="J3158" s="1">
        <v>4</v>
      </c>
      <c r="K3158" s="1">
        <v>1513.28</v>
      </c>
      <c r="L3158" s="1">
        <v>15</v>
      </c>
      <c r="M3158" s="1">
        <v>226.99</v>
      </c>
      <c r="N3158" s="1">
        <v>1286.29</v>
      </c>
      <c r="O3158" s="1" t="s">
        <v>33</v>
      </c>
      <c r="P3158" s="1" t="s">
        <v>1728</v>
      </c>
      <c r="Q3158" s="1">
        <v>3</v>
      </c>
      <c r="R3158" s="1">
        <f>Retail_Sales_Analyis[[#This Row],[Final_Price]]-Retail_Sales_Analyis[[#This Row],[Total_Price]]</f>
        <v>-226.99</v>
      </c>
      <c r="S315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59" spans="1:19" x14ac:dyDescent="0.25">
      <c r="A3159" s="1" t="s">
        <v>4262</v>
      </c>
      <c r="B3159" s="2">
        <v>45474</v>
      </c>
      <c r="C3159" s="1" t="s">
        <v>195</v>
      </c>
      <c r="D3159" s="1" t="s">
        <v>43</v>
      </c>
      <c r="E3159" s="1" t="s">
        <v>168</v>
      </c>
      <c r="F3159" s="1" t="s">
        <v>21</v>
      </c>
      <c r="G3159" s="1" t="s">
        <v>22</v>
      </c>
      <c r="H3159" s="1" t="s">
        <v>51</v>
      </c>
      <c r="I3159" s="1">
        <v>621</v>
      </c>
      <c r="J3159" s="1">
        <v>4</v>
      </c>
      <c r="K3159" s="1">
        <v>2484</v>
      </c>
      <c r="L3159" s="1">
        <v>0</v>
      </c>
      <c r="M3159" s="1">
        <v>0</v>
      </c>
      <c r="N3159" s="1">
        <v>2484</v>
      </c>
      <c r="O3159" s="1" t="s">
        <v>24</v>
      </c>
      <c r="P3159" s="1" t="s">
        <v>1248</v>
      </c>
      <c r="Q3159" s="1">
        <v>4</v>
      </c>
      <c r="R3159" s="1">
        <f>Retail_Sales_Analyis[[#This Row],[Final_Price]]-Retail_Sales_Analyis[[#This Row],[Total_Price]]</f>
        <v>0</v>
      </c>
      <c r="S31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0" spans="1:19" x14ac:dyDescent="0.25">
      <c r="A3160" s="1" t="s">
        <v>4263</v>
      </c>
      <c r="B3160" s="2">
        <v>45575</v>
      </c>
      <c r="C3160" s="1" t="s">
        <v>76</v>
      </c>
      <c r="D3160" s="1" t="s">
        <v>67</v>
      </c>
      <c r="E3160" s="1" t="s">
        <v>285</v>
      </c>
      <c r="F3160" s="1" t="s">
        <v>21</v>
      </c>
      <c r="G3160" s="1" t="s">
        <v>31</v>
      </c>
      <c r="H3160" s="1" t="s">
        <v>329</v>
      </c>
      <c r="I3160" s="1">
        <v>412.87</v>
      </c>
      <c r="J3160" s="1">
        <v>8</v>
      </c>
      <c r="K3160" s="1">
        <v>3302.96</v>
      </c>
      <c r="L3160" s="1">
        <v>5</v>
      </c>
      <c r="M3160" s="1">
        <v>165.15</v>
      </c>
      <c r="N3160" s="1">
        <v>3137.81</v>
      </c>
      <c r="O3160" s="1" t="s">
        <v>33</v>
      </c>
      <c r="P3160" s="1" t="s">
        <v>2891</v>
      </c>
      <c r="Q3160" s="1">
        <v>1</v>
      </c>
      <c r="R3160" s="1">
        <f>Retail_Sales_Analyis[[#This Row],[Final_Price]]-Retail_Sales_Analyis[[#This Row],[Total_Price]]</f>
        <v>-165.15000000000009</v>
      </c>
      <c r="S31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61" spans="1:19" x14ac:dyDescent="0.25">
      <c r="A3161" s="1" t="s">
        <v>4264</v>
      </c>
      <c r="B3161" s="2">
        <v>45484</v>
      </c>
      <c r="C3161" s="1" t="s">
        <v>195</v>
      </c>
      <c r="D3161" s="1" t="s">
        <v>67</v>
      </c>
      <c r="E3161" s="1" t="s">
        <v>236</v>
      </c>
      <c r="F3161" s="1" t="s">
        <v>21</v>
      </c>
      <c r="G3161" s="1" t="s">
        <v>112</v>
      </c>
      <c r="H3161" s="1" t="s">
        <v>223</v>
      </c>
      <c r="I3161" s="1">
        <v>1237.8900000000001</v>
      </c>
      <c r="J3161" s="1">
        <v>9</v>
      </c>
      <c r="K3161" s="1">
        <v>11141.01</v>
      </c>
      <c r="L3161" s="1">
        <v>0</v>
      </c>
      <c r="M3161" s="1">
        <v>0</v>
      </c>
      <c r="N3161" s="1">
        <v>11141.01</v>
      </c>
      <c r="O3161" s="1" t="s">
        <v>33</v>
      </c>
      <c r="P3161" s="1" t="s">
        <v>898</v>
      </c>
      <c r="Q3161" s="1">
        <v>5</v>
      </c>
      <c r="R3161" s="1">
        <f>Retail_Sales_Analyis[[#This Row],[Final_Price]]-Retail_Sales_Analyis[[#This Row],[Total_Price]]</f>
        <v>0</v>
      </c>
      <c r="S31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2" spans="1:19" x14ac:dyDescent="0.25">
      <c r="A3162" s="1" t="s">
        <v>4265</v>
      </c>
      <c r="B3162" s="2">
        <v>45513</v>
      </c>
      <c r="C3162" s="1" t="s">
        <v>93</v>
      </c>
      <c r="D3162" s="1" t="s">
        <v>144</v>
      </c>
      <c r="E3162" s="1" t="s">
        <v>132</v>
      </c>
      <c r="F3162" s="1" t="s">
        <v>84</v>
      </c>
      <c r="G3162" s="1" t="s">
        <v>57</v>
      </c>
      <c r="H3162" s="1" t="s">
        <v>122</v>
      </c>
      <c r="I3162" s="1">
        <v>1100.33</v>
      </c>
      <c r="J3162" s="1">
        <v>1</v>
      </c>
      <c r="K3162" s="1">
        <v>1100.33</v>
      </c>
      <c r="L3162" s="1">
        <v>0</v>
      </c>
      <c r="M3162" s="1">
        <v>0</v>
      </c>
      <c r="N3162" s="1">
        <v>1100.33</v>
      </c>
      <c r="O3162" s="1" t="s">
        <v>64</v>
      </c>
      <c r="P3162" s="1" t="s">
        <v>553</v>
      </c>
      <c r="Q3162" s="1">
        <v>4</v>
      </c>
      <c r="R3162" s="1">
        <f>Retail_Sales_Analyis[[#This Row],[Final_Price]]-Retail_Sales_Analyis[[#This Row],[Total_Price]]</f>
        <v>0</v>
      </c>
      <c r="S31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3" spans="1:19" x14ac:dyDescent="0.25">
      <c r="A3163" s="1" t="s">
        <v>4266</v>
      </c>
      <c r="B3163" s="2">
        <v>45387</v>
      </c>
      <c r="C3163" s="1" t="s">
        <v>54</v>
      </c>
      <c r="D3163" s="1" t="s">
        <v>144</v>
      </c>
      <c r="E3163" s="1" t="s">
        <v>125</v>
      </c>
      <c r="F3163" s="1" t="s">
        <v>37</v>
      </c>
      <c r="G3163" s="1" t="s">
        <v>78</v>
      </c>
      <c r="H3163" s="1" t="s">
        <v>146</v>
      </c>
      <c r="I3163" s="1">
        <v>579.27</v>
      </c>
      <c r="J3163" s="1">
        <v>6</v>
      </c>
      <c r="K3163" s="1">
        <v>3475.62</v>
      </c>
      <c r="L3163" s="1">
        <v>15</v>
      </c>
      <c r="M3163" s="1">
        <v>521.34</v>
      </c>
      <c r="N3163" s="1">
        <v>2954.28</v>
      </c>
      <c r="O3163" s="1" t="s">
        <v>24</v>
      </c>
      <c r="P3163" s="1" t="s">
        <v>734</v>
      </c>
      <c r="Q3163" s="1">
        <v>2</v>
      </c>
      <c r="R3163" s="1">
        <f>Retail_Sales_Analyis[[#This Row],[Final_Price]]-Retail_Sales_Analyis[[#This Row],[Total_Price]]</f>
        <v>-521.33999999999969</v>
      </c>
      <c r="S31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64" spans="1:19" x14ac:dyDescent="0.25">
      <c r="A3164" s="1" t="s">
        <v>4267</v>
      </c>
      <c r="B3164" s="2">
        <v>45640</v>
      </c>
      <c r="C3164" s="1" t="s">
        <v>73</v>
      </c>
      <c r="D3164" s="1" t="s">
        <v>19</v>
      </c>
      <c r="E3164" s="1" t="s">
        <v>168</v>
      </c>
      <c r="F3164" s="1" t="s">
        <v>30</v>
      </c>
      <c r="G3164" s="1" t="s">
        <v>85</v>
      </c>
      <c r="H3164" s="1" t="s">
        <v>86</v>
      </c>
      <c r="I3164" s="1">
        <v>2260.2399999999998</v>
      </c>
      <c r="J3164" s="1">
        <v>3</v>
      </c>
      <c r="K3164" s="1">
        <v>6780.72</v>
      </c>
      <c r="L3164" s="1">
        <v>5</v>
      </c>
      <c r="M3164" s="1">
        <v>339.04</v>
      </c>
      <c r="N3164" s="1">
        <v>6441.68</v>
      </c>
      <c r="O3164" s="1" t="s">
        <v>64</v>
      </c>
      <c r="P3164" s="1" t="s">
        <v>358</v>
      </c>
      <c r="Q3164" s="1">
        <v>3</v>
      </c>
      <c r="R3164" s="1">
        <f>Retail_Sales_Analyis[[#This Row],[Final_Price]]-Retail_Sales_Analyis[[#This Row],[Total_Price]]</f>
        <v>-339.03999999999996</v>
      </c>
      <c r="S31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65" spans="1:19" x14ac:dyDescent="0.25">
      <c r="A3165" s="1" t="s">
        <v>4268</v>
      </c>
      <c r="B3165" s="2">
        <v>45591</v>
      </c>
      <c r="C3165" s="1" t="s">
        <v>76</v>
      </c>
      <c r="D3165" s="1" t="s">
        <v>19</v>
      </c>
      <c r="E3165" s="1" t="s">
        <v>186</v>
      </c>
      <c r="F3165" s="1" t="s">
        <v>21</v>
      </c>
      <c r="G3165" s="1" t="s">
        <v>169</v>
      </c>
      <c r="H3165" s="1" t="s">
        <v>175</v>
      </c>
      <c r="I3165" s="1">
        <v>1047.68</v>
      </c>
      <c r="J3165" s="1">
        <v>3</v>
      </c>
      <c r="K3165" s="1">
        <v>3143.04</v>
      </c>
      <c r="L3165" s="1">
        <v>0</v>
      </c>
      <c r="M3165" s="1">
        <v>0</v>
      </c>
      <c r="N3165" s="1">
        <v>3143.04</v>
      </c>
      <c r="O3165" s="1" t="s">
        <v>80</v>
      </c>
      <c r="P3165" s="1" t="s">
        <v>1870</v>
      </c>
      <c r="Q3165" s="1">
        <v>1</v>
      </c>
      <c r="R3165" s="1">
        <f>Retail_Sales_Analyis[[#This Row],[Final_Price]]-Retail_Sales_Analyis[[#This Row],[Total_Price]]</f>
        <v>0</v>
      </c>
      <c r="S31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6" spans="1:19" x14ac:dyDescent="0.25">
      <c r="A3166" s="1" t="s">
        <v>4269</v>
      </c>
      <c r="B3166" s="2">
        <v>45630</v>
      </c>
      <c r="C3166" s="1" t="s">
        <v>73</v>
      </c>
      <c r="D3166" s="1" t="s">
        <v>55</v>
      </c>
      <c r="E3166" s="1" t="s">
        <v>50</v>
      </c>
      <c r="F3166" s="1" t="s">
        <v>30</v>
      </c>
      <c r="G3166" s="1" t="s">
        <v>85</v>
      </c>
      <c r="H3166" s="1" t="s">
        <v>98</v>
      </c>
      <c r="I3166" s="1">
        <v>2071.35</v>
      </c>
      <c r="J3166" s="1">
        <v>8</v>
      </c>
      <c r="K3166" s="1">
        <v>16570.8</v>
      </c>
      <c r="L3166" s="1">
        <v>0</v>
      </c>
      <c r="M3166" s="1">
        <v>0</v>
      </c>
      <c r="N3166" s="1">
        <v>16570.8</v>
      </c>
      <c r="O3166" s="1" t="s">
        <v>46</v>
      </c>
      <c r="P3166" s="1" t="s">
        <v>2074</v>
      </c>
      <c r="Q3166" s="1">
        <v>4</v>
      </c>
      <c r="R3166" s="1">
        <f>Retail_Sales_Analyis[[#This Row],[Final_Price]]-Retail_Sales_Analyis[[#This Row],[Total_Price]]</f>
        <v>0</v>
      </c>
      <c r="S31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7" spans="1:19" x14ac:dyDescent="0.25">
      <c r="A3167" s="1" t="s">
        <v>4270</v>
      </c>
      <c r="B3167" s="2">
        <v>45486</v>
      </c>
      <c r="C3167" s="1" t="s">
        <v>195</v>
      </c>
      <c r="D3167" s="1" t="s">
        <v>19</v>
      </c>
      <c r="E3167" s="1" t="s">
        <v>168</v>
      </c>
      <c r="F3167" s="1" t="s">
        <v>69</v>
      </c>
      <c r="G3167" s="1" t="s">
        <v>112</v>
      </c>
      <c r="H3167" s="1" t="s">
        <v>183</v>
      </c>
      <c r="I3167" s="1">
        <v>864.54</v>
      </c>
      <c r="J3167" s="1">
        <v>6</v>
      </c>
      <c r="K3167" s="1">
        <v>5187.24</v>
      </c>
      <c r="L3167" s="1">
        <v>0</v>
      </c>
      <c r="M3167" s="1">
        <v>0</v>
      </c>
      <c r="N3167" s="1">
        <v>5187.24</v>
      </c>
      <c r="O3167" s="1" t="s">
        <v>46</v>
      </c>
      <c r="P3167" s="1" t="s">
        <v>181</v>
      </c>
      <c r="Q3167" s="1">
        <v>3</v>
      </c>
      <c r="R3167" s="1">
        <f>Retail_Sales_Analyis[[#This Row],[Final_Price]]-Retail_Sales_Analyis[[#This Row],[Total_Price]]</f>
        <v>0</v>
      </c>
      <c r="S31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68" spans="1:19" x14ac:dyDescent="0.25">
      <c r="A3168" s="1" t="s">
        <v>4271</v>
      </c>
      <c r="B3168" s="2">
        <v>45335</v>
      </c>
      <c r="C3168" s="1" t="s">
        <v>27</v>
      </c>
      <c r="D3168" s="1" t="s">
        <v>28</v>
      </c>
      <c r="E3168" s="1" t="s">
        <v>186</v>
      </c>
      <c r="F3168" s="1" t="s">
        <v>69</v>
      </c>
      <c r="G3168" s="1" t="s">
        <v>85</v>
      </c>
      <c r="H3168" s="1" t="s">
        <v>297</v>
      </c>
      <c r="I3168" s="1">
        <v>1163.82</v>
      </c>
      <c r="J3168" s="1">
        <v>2</v>
      </c>
      <c r="K3168" s="1">
        <v>2327.64</v>
      </c>
      <c r="L3168" s="1">
        <v>5</v>
      </c>
      <c r="M3168" s="1">
        <v>116.38</v>
      </c>
      <c r="N3168" s="1">
        <v>2211.2600000000002</v>
      </c>
      <c r="O3168" s="1" t="s">
        <v>46</v>
      </c>
      <c r="P3168" s="1" t="s">
        <v>3610</v>
      </c>
      <c r="Q3168" s="1">
        <v>1</v>
      </c>
      <c r="R3168" s="1">
        <f>Retail_Sales_Analyis[[#This Row],[Final_Price]]-Retail_Sales_Analyis[[#This Row],[Total_Price]]</f>
        <v>-116.37999999999965</v>
      </c>
      <c r="S31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69" spans="1:19" x14ac:dyDescent="0.25">
      <c r="A3169" s="1" t="s">
        <v>4272</v>
      </c>
      <c r="B3169" s="2">
        <v>45608</v>
      </c>
      <c r="C3169" s="1" t="s">
        <v>18</v>
      </c>
      <c r="D3169" s="1" t="s">
        <v>28</v>
      </c>
      <c r="E3169" s="1" t="s">
        <v>207</v>
      </c>
      <c r="F3169" s="1" t="s">
        <v>37</v>
      </c>
      <c r="G3169" s="1" t="s">
        <v>38</v>
      </c>
      <c r="H3169" s="1" t="s">
        <v>422</v>
      </c>
      <c r="I3169" s="1">
        <v>755.91</v>
      </c>
      <c r="J3169" s="1">
        <v>6</v>
      </c>
      <c r="K3169" s="1">
        <v>4535.46</v>
      </c>
      <c r="L3169" s="1">
        <v>10</v>
      </c>
      <c r="M3169" s="1">
        <v>453.55</v>
      </c>
      <c r="N3169" s="1">
        <v>4081.91</v>
      </c>
      <c r="O3169" s="1" t="s">
        <v>46</v>
      </c>
      <c r="P3169" s="1" t="s">
        <v>352</v>
      </c>
      <c r="Q3169" s="1">
        <v>4</v>
      </c>
      <c r="R3169" s="1">
        <f>Retail_Sales_Analyis[[#This Row],[Final_Price]]-Retail_Sales_Analyis[[#This Row],[Total_Price]]</f>
        <v>-453.55000000000018</v>
      </c>
      <c r="S31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70" spans="1:19" x14ac:dyDescent="0.25">
      <c r="A3170" s="1" t="s">
        <v>4273</v>
      </c>
      <c r="B3170" s="2">
        <v>45443</v>
      </c>
      <c r="C3170" s="1" t="s">
        <v>42</v>
      </c>
      <c r="D3170" s="1" t="s">
        <v>144</v>
      </c>
      <c r="E3170" s="1" t="s">
        <v>328</v>
      </c>
      <c r="F3170" s="1" t="s">
        <v>21</v>
      </c>
      <c r="G3170" s="1" t="s">
        <v>85</v>
      </c>
      <c r="H3170" s="1" t="s">
        <v>297</v>
      </c>
      <c r="I3170" s="1">
        <v>3204.05</v>
      </c>
      <c r="J3170" s="1">
        <v>4</v>
      </c>
      <c r="K3170" s="1">
        <v>12816.2</v>
      </c>
      <c r="L3170" s="1">
        <v>15</v>
      </c>
      <c r="M3170" s="1">
        <v>1922.43</v>
      </c>
      <c r="N3170" s="1">
        <v>10893.77</v>
      </c>
      <c r="O3170" s="1" t="s">
        <v>80</v>
      </c>
      <c r="P3170" s="1" t="s">
        <v>2440</v>
      </c>
      <c r="Q3170" s="1">
        <v>1</v>
      </c>
      <c r="R3170" s="1">
        <f>Retail_Sales_Analyis[[#This Row],[Final_Price]]-Retail_Sales_Analyis[[#This Row],[Total_Price]]</f>
        <v>-1922.4300000000003</v>
      </c>
      <c r="S31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71" spans="1:19" x14ac:dyDescent="0.25">
      <c r="A3171" s="1" t="s">
        <v>4274</v>
      </c>
      <c r="B3171" s="2">
        <v>45418</v>
      </c>
      <c r="C3171" s="1" t="s">
        <v>42</v>
      </c>
      <c r="D3171" s="1" t="s">
        <v>43</v>
      </c>
      <c r="E3171" s="1" t="s">
        <v>107</v>
      </c>
      <c r="F3171" s="1" t="s">
        <v>21</v>
      </c>
      <c r="G3171" s="1" t="s">
        <v>112</v>
      </c>
      <c r="H3171" s="1" t="s">
        <v>288</v>
      </c>
      <c r="I3171" s="1">
        <v>987.39</v>
      </c>
      <c r="J3171" s="1">
        <v>8</v>
      </c>
      <c r="K3171" s="1">
        <v>7899.12</v>
      </c>
      <c r="L3171" s="1">
        <v>15</v>
      </c>
      <c r="M3171" s="1">
        <v>1184.8699999999999</v>
      </c>
      <c r="N3171" s="1">
        <v>6714.25</v>
      </c>
      <c r="O3171" s="1" t="s">
        <v>33</v>
      </c>
      <c r="P3171" s="1" t="s">
        <v>1713</v>
      </c>
      <c r="Q3171" s="1">
        <v>1</v>
      </c>
      <c r="R3171" s="1">
        <f>Retail_Sales_Analyis[[#This Row],[Final_Price]]-Retail_Sales_Analyis[[#This Row],[Total_Price]]</f>
        <v>-1184.8699999999999</v>
      </c>
      <c r="S31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72" spans="1:19" x14ac:dyDescent="0.25">
      <c r="A3172" s="1" t="s">
        <v>4275</v>
      </c>
      <c r="B3172" s="2">
        <v>45657</v>
      </c>
      <c r="C3172" s="1" t="s">
        <v>73</v>
      </c>
      <c r="D3172" s="1" t="s">
        <v>28</v>
      </c>
      <c r="E3172" s="1" t="s">
        <v>94</v>
      </c>
      <c r="F3172" s="1" t="s">
        <v>69</v>
      </c>
      <c r="G3172" s="1" t="s">
        <v>85</v>
      </c>
      <c r="H3172" s="1" t="s">
        <v>90</v>
      </c>
      <c r="I3172" s="1">
        <v>3596.43</v>
      </c>
      <c r="J3172" s="1">
        <v>1</v>
      </c>
      <c r="K3172" s="1">
        <v>3596.43</v>
      </c>
      <c r="L3172" s="1">
        <v>0</v>
      </c>
      <c r="M3172" s="1">
        <v>0</v>
      </c>
      <c r="N3172" s="1">
        <v>3596.43</v>
      </c>
      <c r="O3172" s="1" t="s">
        <v>33</v>
      </c>
      <c r="P3172" s="1" t="s">
        <v>467</v>
      </c>
      <c r="Q3172" s="1">
        <v>3</v>
      </c>
      <c r="R3172" s="1">
        <f>Retail_Sales_Analyis[[#This Row],[Final_Price]]-Retail_Sales_Analyis[[#This Row],[Total_Price]]</f>
        <v>0</v>
      </c>
      <c r="S31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73" spans="1:19" x14ac:dyDescent="0.25">
      <c r="A3173" s="1" t="s">
        <v>4276</v>
      </c>
      <c r="B3173" s="2">
        <v>45329</v>
      </c>
      <c r="C3173" s="1" t="s">
        <v>27</v>
      </c>
      <c r="D3173" s="1" t="s">
        <v>55</v>
      </c>
      <c r="E3173" s="1" t="s">
        <v>62</v>
      </c>
      <c r="F3173" s="1" t="s">
        <v>84</v>
      </c>
      <c r="G3173" s="1" t="s">
        <v>78</v>
      </c>
      <c r="H3173" s="1" t="s">
        <v>146</v>
      </c>
      <c r="I3173" s="1">
        <v>452.04</v>
      </c>
      <c r="J3173" s="1">
        <v>5</v>
      </c>
      <c r="K3173" s="1">
        <v>2260.1999999999998</v>
      </c>
      <c r="L3173" s="1">
        <v>0</v>
      </c>
      <c r="M3173" s="1">
        <v>0</v>
      </c>
      <c r="N3173" s="1">
        <v>2260.1999999999998</v>
      </c>
      <c r="O3173" s="1" t="s">
        <v>46</v>
      </c>
      <c r="P3173" s="1" t="s">
        <v>545</v>
      </c>
      <c r="Q3173" s="1">
        <v>3</v>
      </c>
      <c r="R3173" s="1">
        <f>Retail_Sales_Analyis[[#This Row],[Final_Price]]-Retail_Sales_Analyis[[#This Row],[Total_Price]]</f>
        <v>0</v>
      </c>
      <c r="S31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74" spans="1:19" x14ac:dyDescent="0.25">
      <c r="A3174" s="1" t="s">
        <v>4277</v>
      </c>
      <c r="B3174" s="2">
        <v>45334</v>
      </c>
      <c r="C3174" s="1" t="s">
        <v>27</v>
      </c>
      <c r="D3174" s="1" t="s">
        <v>43</v>
      </c>
      <c r="E3174" s="1" t="s">
        <v>157</v>
      </c>
      <c r="F3174" s="1" t="s">
        <v>69</v>
      </c>
      <c r="G3174" s="1" t="s">
        <v>112</v>
      </c>
      <c r="H3174" s="1" t="s">
        <v>113</v>
      </c>
      <c r="I3174" s="1">
        <v>1954.29</v>
      </c>
      <c r="J3174" s="1">
        <v>4</v>
      </c>
      <c r="K3174" s="1">
        <v>7817.16</v>
      </c>
      <c r="L3174" s="1">
        <v>15</v>
      </c>
      <c r="M3174" s="1">
        <v>1172.57</v>
      </c>
      <c r="N3174" s="1">
        <v>6644.59</v>
      </c>
      <c r="O3174" s="1" t="s">
        <v>46</v>
      </c>
      <c r="P3174" s="1" t="s">
        <v>293</v>
      </c>
      <c r="Q3174" s="1">
        <v>4</v>
      </c>
      <c r="R3174" s="1">
        <f>Retail_Sales_Analyis[[#This Row],[Final_Price]]-Retail_Sales_Analyis[[#This Row],[Total_Price]]</f>
        <v>-1172.5699999999997</v>
      </c>
      <c r="S31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75" spans="1:19" x14ac:dyDescent="0.25">
      <c r="A3175" s="1" t="s">
        <v>4278</v>
      </c>
      <c r="B3175" s="2">
        <v>45429</v>
      </c>
      <c r="C3175" s="1" t="s">
        <v>42</v>
      </c>
      <c r="D3175" s="1" t="s">
        <v>144</v>
      </c>
      <c r="E3175" s="1" t="s">
        <v>20</v>
      </c>
      <c r="F3175" s="1" t="s">
        <v>21</v>
      </c>
      <c r="G3175" s="1" t="s">
        <v>31</v>
      </c>
      <c r="H3175" s="1" t="s">
        <v>45</v>
      </c>
      <c r="I3175" s="1">
        <v>322.57</v>
      </c>
      <c r="J3175" s="1">
        <v>5</v>
      </c>
      <c r="K3175" s="1">
        <v>1612.85</v>
      </c>
      <c r="L3175" s="1">
        <v>20</v>
      </c>
      <c r="M3175" s="1">
        <v>322.57</v>
      </c>
      <c r="N3175" s="1">
        <v>1290.28</v>
      </c>
      <c r="O3175" s="1" t="s">
        <v>64</v>
      </c>
      <c r="P3175" s="1" t="s">
        <v>326</v>
      </c>
      <c r="Q3175" s="1">
        <v>2</v>
      </c>
      <c r="R3175" s="1">
        <f>Retail_Sales_Analyis[[#This Row],[Final_Price]]-Retail_Sales_Analyis[[#This Row],[Total_Price]]</f>
        <v>-322.56999999999994</v>
      </c>
      <c r="S31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76" spans="1:19" x14ac:dyDescent="0.25">
      <c r="A3176" s="1" t="s">
        <v>4279</v>
      </c>
      <c r="B3176" s="2">
        <v>45370</v>
      </c>
      <c r="C3176" s="1" t="s">
        <v>61</v>
      </c>
      <c r="D3176" s="1" t="s">
        <v>28</v>
      </c>
      <c r="E3176" s="1" t="s">
        <v>342</v>
      </c>
      <c r="F3176" s="1" t="s">
        <v>37</v>
      </c>
      <c r="G3176" s="1" t="s">
        <v>22</v>
      </c>
      <c r="H3176" s="1" t="s">
        <v>23</v>
      </c>
      <c r="I3176" s="1">
        <v>661.25</v>
      </c>
      <c r="J3176" s="1">
        <v>10</v>
      </c>
      <c r="K3176" s="1">
        <v>6612.5</v>
      </c>
      <c r="L3176" s="1">
        <v>0</v>
      </c>
      <c r="M3176" s="1">
        <v>0</v>
      </c>
      <c r="N3176" s="1">
        <v>6612.5</v>
      </c>
      <c r="O3176" s="1" t="s">
        <v>46</v>
      </c>
      <c r="P3176" s="1" t="s">
        <v>938</v>
      </c>
      <c r="Q3176" s="1">
        <v>4</v>
      </c>
      <c r="R3176" s="1">
        <f>Retail_Sales_Analyis[[#This Row],[Final_Price]]-Retail_Sales_Analyis[[#This Row],[Total_Price]]</f>
        <v>0</v>
      </c>
      <c r="S31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77" spans="1:19" x14ac:dyDescent="0.25">
      <c r="A3177" s="1" t="s">
        <v>4280</v>
      </c>
      <c r="B3177" s="2">
        <v>45486</v>
      </c>
      <c r="C3177" s="1" t="s">
        <v>195</v>
      </c>
      <c r="D3177" s="1" t="s">
        <v>19</v>
      </c>
      <c r="E3177" s="1" t="s">
        <v>196</v>
      </c>
      <c r="F3177" s="1" t="s">
        <v>37</v>
      </c>
      <c r="G3177" s="1" t="s">
        <v>85</v>
      </c>
      <c r="H3177" s="1" t="s">
        <v>98</v>
      </c>
      <c r="I3177" s="1">
        <v>2601.23</v>
      </c>
      <c r="J3177" s="1">
        <v>7</v>
      </c>
      <c r="K3177" s="1">
        <v>18208.61</v>
      </c>
      <c r="L3177" s="1">
        <v>15</v>
      </c>
      <c r="M3177" s="1">
        <v>2731.29</v>
      </c>
      <c r="N3177" s="1">
        <v>15477.32</v>
      </c>
      <c r="O3177" s="1" t="s">
        <v>64</v>
      </c>
      <c r="P3177" s="1" t="s">
        <v>310</v>
      </c>
      <c r="Q3177" s="1">
        <v>4</v>
      </c>
      <c r="R3177" s="1">
        <f>Retail_Sales_Analyis[[#This Row],[Final_Price]]-Retail_Sales_Analyis[[#This Row],[Total_Price]]</f>
        <v>-2731.2900000000009</v>
      </c>
      <c r="S31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78" spans="1:19" x14ac:dyDescent="0.25">
      <c r="A3178" s="1" t="s">
        <v>4281</v>
      </c>
      <c r="B3178" s="2">
        <v>45656</v>
      </c>
      <c r="C3178" s="1" t="s">
        <v>73</v>
      </c>
      <c r="D3178" s="1" t="s">
        <v>43</v>
      </c>
      <c r="E3178" s="1" t="s">
        <v>207</v>
      </c>
      <c r="F3178" s="1" t="s">
        <v>37</v>
      </c>
      <c r="G3178" s="1" t="s">
        <v>85</v>
      </c>
      <c r="H3178" s="1" t="s">
        <v>98</v>
      </c>
      <c r="I3178" s="1">
        <v>1248.28</v>
      </c>
      <c r="J3178" s="1">
        <v>8</v>
      </c>
      <c r="K3178" s="1">
        <v>9986.24</v>
      </c>
      <c r="L3178" s="1">
        <v>0</v>
      </c>
      <c r="M3178" s="1">
        <v>0</v>
      </c>
      <c r="N3178" s="1">
        <v>9986.24</v>
      </c>
      <c r="O3178" s="1" t="s">
        <v>46</v>
      </c>
      <c r="P3178" s="1" t="s">
        <v>81</v>
      </c>
      <c r="Q3178" s="1">
        <v>1</v>
      </c>
      <c r="R3178" s="1">
        <f>Retail_Sales_Analyis[[#This Row],[Final_Price]]-Retail_Sales_Analyis[[#This Row],[Total_Price]]</f>
        <v>0</v>
      </c>
      <c r="S31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79" spans="1:19" x14ac:dyDescent="0.25">
      <c r="A3179" s="1" t="s">
        <v>4282</v>
      </c>
      <c r="B3179" s="2">
        <v>45616</v>
      </c>
      <c r="C3179" s="1" t="s">
        <v>18</v>
      </c>
      <c r="D3179" s="1" t="s">
        <v>55</v>
      </c>
      <c r="E3179" s="1" t="s">
        <v>285</v>
      </c>
      <c r="F3179" s="1" t="s">
        <v>37</v>
      </c>
      <c r="G3179" s="1" t="s">
        <v>112</v>
      </c>
      <c r="H3179" s="1" t="s">
        <v>288</v>
      </c>
      <c r="I3179" s="1">
        <v>1464.97</v>
      </c>
      <c r="J3179" s="1">
        <v>8</v>
      </c>
      <c r="K3179" s="1">
        <v>11719.76</v>
      </c>
      <c r="L3179" s="1">
        <v>0</v>
      </c>
      <c r="M3179" s="1">
        <v>0</v>
      </c>
      <c r="N3179" s="1">
        <v>11719.76</v>
      </c>
      <c r="O3179" s="1" t="s">
        <v>24</v>
      </c>
      <c r="P3179" s="1" t="s">
        <v>2321</v>
      </c>
      <c r="Q3179" s="1">
        <v>3</v>
      </c>
      <c r="R3179" s="1">
        <f>Retail_Sales_Analyis[[#This Row],[Final_Price]]-Retail_Sales_Analyis[[#This Row],[Total_Price]]</f>
        <v>0</v>
      </c>
      <c r="S31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0" spans="1:19" x14ac:dyDescent="0.25">
      <c r="A3180" s="1" t="s">
        <v>4283</v>
      </c>
      <c r="B3180" s="2">
        <v>45370</v>
      </c>
      <c r="C3180" s="1" t="s">
        <v>61</v>
      </c>
      <c r="D3180" s="1" t="s">
        <v>28</v>
      </c>
      <c r="E3180" s="1" t="s">
        <v>342</v>
      </c>
      <c r="F3180" s="1" t="s">
        <v>69</v>
      </c>
      <c r="G3180" s="1" t="s">
        <v>112</v>
      </c>
      <c r="H3180" s="1" t="s">
        <v>223</v>
      </c>
      <c r="I3180" s="1">
        <v>810.81</v>
      </c>
      <c r="J3180" s="1">
        <v>4</v>
      </c>
      <c r="K3180" s="1">
        <v>3243.24</v>
      </c>
      <c r="L3180" s="1">
        <v>0</v>
      </c>
      <c r="M3180" s="1">
        <v>0</v>
      </c>
      <c r="N3180" s="1">
        <v>3243.24</v>
      </c>
      <c r="O3180" s="1" t="s">
        <v>46</v>
      </c>
      <c r="P3180" s="1" t="s">
        <v>729</v>
      </c>
      <c r="Q3180" s="1">
        <v>5</v>
      </c>
      <c r="R3180" s="1">
        <f>Retail_Sales_Analyis[[#This Row],[Final_Price]]-Retail_Sales_Analyis[[#This Row],[Total_Price]]</f>
        <v>0</v>
      </c>
      <c r="S31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1" spans="1:19" x14ac:dyDescent="0.25">
      <c r="A3181" s="1" t="s">
        <v>4284</v>
      </c>
      <c r="B3181" s="2">
        <v>45491</v>
      </c>
      <c r="C3181" s="1" t="s">
        <v>195</v>
      </c>
      <c r="D3181" s="1" t="s">
        <v>67</v>
      </c>
      <c r="E3181" s="1" t="s">
        <v>20</v>
      </c>
      <c r="F3181" s="1" t="s">
        <v>21</v>
      </c>
      <c r="G3181" s="1" t="s">
        <v>31</v>
      </c>
      <c r="H3181" s="1" t="s">
        <v>250</v>
      </c>
      <c r="I3181" s="1">
        <v>460.56</v>
      </c>
      <c r="J3181" s="1">
        <v>7</v>
      </c>
      <c r="K3181" s="1">
        <v>3223.92</v>
      </c>
      <c r="L3181" s="1">
        <v>0</v>
      </c>
      <c r="M3181" s="1">
        <v>0</v>
      </c>
      <c r="N3181" s="1">
        <v>3223.92</v>
      </c>
      <c r="O3181" s="1" t="s">
        <v>24</v>
      </c>
      <c r="P3181" s="1" t="s">
        <v>4285</v>
      </c>
      <c r="Q3181" s="1">
        <v>5</v>
      </c>
      <c r="R3181" s="1">
        <f>Retail_Sales_Analyis[[#This Row],[Final_Price]]-Retail_Sales_Analyis[[#This Row],[Total_Price]]</f>
        <v>0</v>
      </c>
      <c r="S31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2" spans="1:19" x14ac:dyDescent="0.25">
      <c r="A3182" s="1" t="s">
        <v>4286</v>
      </c>
      <c r="B3182" s="2">
        <v>45454</v>
      </c>
      <c r="C3182" s="1" t="s">
        <v>173</v>
      </c>
      <c r="D3182" s="1" t="s">
        <v>28</v>
      </c>
      <c r="E3182" s="1" t="s">
        <v>196</v>
      </c>
      <c r="F3182" s="1" t="s">
        <v>69</v>
      </c>
      <c r="G3182" s="1" t="s">
        <v>57</v>
      </c>
      <c r="H3182" s="1" t="s">
        <v>101</v>
      </c>
      <c r="I3182" s="1">
        <v>1846.87</v>
      </c>
      <c r="J3182" s="1">
        <v>2</v>
      </c>
      <c r="K3182" s="1">
        <v>3693.74</v>
      </c>
      <c r="L3182" s="1">
        <v>15</v>
      </c>
      <c r="M3182" s="1">
        <v>554.05999999999995</v>
      </c>
      <c r="N3182" s="1">
        <v>3139.68</v>
      </c>
      <c r="O3182" s="1" t="s">
        <v>80</v>
      </c>
      <c r="P3182" s="1" t="s">
        <v>1497</v>
      </c>
      <c r="Q3182" s="1">
        <v>2</v>
      </c>
      <c r="R3182" s="1">
        <f>Retail_Sales_Analyis[[#This Row],[Final_Price]]-Retail_Sales_Analyis[[#This Row],[Total_Price]]</f>
        <v>-554.05999999999995</v>
      </c>
      <c r="S31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83" spans="1:19" x14ac:dyDescent="0.25">
      <c r="A3183" s="1" t="s">
        <v>4287</v>
      </c>
      <c r="B3183" s="2">
        <v>45476</v>
      </c>
      <c r="C3183" s="1" t="s">
        <v>195</v>
      </c>
      <c r="D3183" s="1" t="s">
        <v>55</v>
      </c>
      <c r="E3183" s="1" t="s">
        <v>239</v>
      </c>
      <c r="F3183" s="1" t="s">
        <v>21</v>
      </c>
      <c r="G3183" s="1" t="s">
        <v>85</v>
      </c>
      <c r="H3183" s="1" t="s">
        <v>297</v>
      </c>
      <c r="I3183" s="1">
        <v>1009.78</v>
      </c>
      <c r="J3183" s="1">
        <v>6</v>
      </c>
      <c r="K3183" s="1">
        <v>6058.68</v>
      </c>
      <c r="L3183" s="1">
        <v>0</v>
      </c>
      <c r="M3183" s="1">
        <v>0</v>
      </c>
      <c r="N3183" s="1">
        <v>6058.68</v>
      </c>
      <c r="O3183" s="1" t="s">
        <v>24</v>
      </c>
      <c r="P3183" s="1" t="s">
        <v>2863</v>
      </c>
      <c r="Q3183" s="1">
        <v>4</v>
      </c>
      <c r="R3183" s="1">
        <f>Retail_Sales_Analyis[[#This Row],[Final_Price]]-Retail_Sales_Analyis[[#This Row],[Total_Price]]</f>
        <v>0</v>
      </c>
      <c r="S31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4" spans="1:19" x14ac:dyDescent="0.25">
      <c r="A3184" s="1" t="s">
        <v>4288</v>
      </c>
      <c r="B3184" s="2">
        <v>45346</v>
      </c>
      <c r="C3184" s="1" t="s">
        <v>27</v>
      </c>
      <c r="D3184" s="1" t="s">
        <v>19</v>
      </c>
      <c r="E3184" s="1" t="s">
        <v>125</v>
      </c>
      <c r="F3184" s="1" t="s">
        <v>69</v>
      </c>
      <c r="G3184" s="1" t="s">
        <v>22</v>
      </c>
      <c r="H3184" s="1" t="s">
        <v>133</v>
      </c>
      <c r="I3184" s="1">
        <v>892.71</v>
      </c>
      <c r="J3184" s="1">
        <v>9</v>
      </c>
      <c r="K3184" s="1">
        <v>8034.39</v>
      </c>
      <c r="L3184" s="1">
        <v>0</v>
      </c>
      <c r="M3184" s="1">
        <v>0</v>
      </c>
      <c r="N3184" s="1">
        <v>8034.39</v>
      </c>
      <c r="O3184" s="1" t="s">
        <v>64</v>
      </c>
      <c r="P3184" s="1" t="s">
        <v>1517</v>
      </c>
      <c r="Q3184" s="1">
        <v>5</v>
      </c>
      <c r="R3184" s="1">
        <f>Retail_Sales_Analyis[[#This Row],[Final_Price]]-Retail_Sales_Analyis[[#This Row],[Total_Price]]</f>
        <v>0</v>
      </c>
      <c r="S31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5" spans="1:19" x14ac:dyDescent="0.25">
      <c r="A3185" s="1" t="s">
        <v>4289</v>
      </c>
      <c r="B3185" s="2">
        <v>45338</v>
      </c>
      <c r="C3185" s="1" t="s">
        <v>27</v>
      </c>
      <c r="D3185" s="1" t="s">
        <v>144</v>
      </c>
      <c r="E3185" s="1" t="s">
        <v>163</v>
      </c>
      <c r="F3185" s="1" t="s">
        <v>30</v>
      </c>
      <c r="G3185" s="1" t="s">
        <v>38</v>
      </c>
      <c r="H3185" s="1" t="s">
        <v>214</v>
      </c>
      <c r="I3185" s="1">
        <v>417.82</v>
      </c>
      <c r="J3185" s="1">
        <v>1</v>
      </c>
      <c r="K3185" s="1">
        <v>417.82</v>
      </c>
      <c r="L3185" s="1">
        <v>0</v>
      </c>
      <c r="M3185" s="1">
        <v>0</v>
      </c>
      <c r="N3185" s="1">
        <v>417.82</v>
      </c>
      <c r="O3185" s="1" t="s">
        <v>46</v>
      </c>
      <c r="P3185" s="1" t="s">
        <v>2813</v>
      </c>
      <c r="Q3185" s="1">
        <v>5</v>
      </c>
      <c r="R3185" s="1">
        <f>Retail_Sales_Analyis[[#This Row],[Final_Price]]-Retail_Sales_Analyis[[#This Row],[Total_Price]]</f>
        <v>0</v>
      </c>
      <c r="S31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6" spans="1:19" x14ac:dyDescent="0.25">
      <c r="A3186" s="1" t="s">
        <v>4290</v>
      </c>
      <c r="B3186" s="2">
        <v>45294</v>
      </c>
      <c r="C3186" s="1" t="s">
        <v>36</v>
      </c>
      <c r="D3186" s="1" t="s">
        <v>55</v>
      </c>
      <c r="E3186" s="1" t="s">
        <v>107</v>
      </c>
      <c r="F3186" s="1" t="s">
        <v>21</v>
      </c>
      <c r="G3186" s="1" t="s">
        <v>31</v>
      </c>
      <c r="H3186" s="1" t="s">
        <v>250</v>
      </c>
      <c r="I3186" s="1">
        <v>450.8</v>
      </c>
      <c r="J3186" s="1">
        <v>3</v>
      </c>
      <c r="K3186" s="1">
        <v>1352.4</v>
      </c>
      <c r="L3186" s="1">
        <v>0</v>
      </c>
      <c r="M3186" s="1">
        <v>0</v>
      </c>
      <c r="N3186" s="1">
        <v>1352.4</v>
      </c>
      <c r="O3186" s="1" t="s">
        <v>33</v>
      </c>
      <c r="P3186" s="1" t="s">
        <v>1589</v>
      </c>
      <c r="Q3186" s="1">
        <v>2</v>
      </c>
      <c r="R3186" s="1">
        <f>Retail_Sales_Analyis[[#This Row],[Final_Price]]-Retail_Sales_Analyis[[#This Row],[Total_Price]]</f>
        <v>0</v>
      </c>
      <c r="S31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7" spans="1:19" x14ac:dyDescent="0.25">
      <c r="A3187" s="1" t="s">
        <v>4291</v>
      </c>
      <c r="B3187" s="2">
        <v>45449</v>
      </c>
      <c r="C3187" s="1" t="s">
        <v>173</v>
      </c>
      <c r="D3187" s="1" t="s">
        <v>67</v>
      </c>
      <c r="E3187" s="1" t="s">
        <v>111</v>
      </c>
      <c r="F3187" s="1" t="s">
        <v>30</v>
      </c>
      <c r="G3187" s="1" t="s">
        <v>112</v>
      </c>
      <c r="H3187" s="1" t="s">
        <v>223</v>
      </c>
      <c r="I3187" s="1">
        <v>1971.28</v>
      </c>
      <c r="J3187" s="1">
        <v>3</v>
      </c>
      <c r="K3187" s="1">
        <v>5913.84</v>
      </c>
      <c r="L3187" s="1">
        <v>5</v>
      </c>
      <c r="M3187" s="1">
        <v>295.69</v>
      </c>
      <c r="N3187" s="1">
        <v>5618.15</v>
      </c>
      <c r="O3187" s="1" t="s">
        <v>80</v>
      </c>
      <c r="P3187" s="1" t="s">
        <v>549</v>
      </c>
      <c r="Q3187" s="1">
        <v>5</v>
      </c>
      <c r="R3187" s="1">
        <f>Retail_Sales_Analyis[[#This Row],[Final_Price]]-Retail_Sales_Analyis[[#This Row],[Total_Price]]</f>
        <v>-295.69000000000051</v>
      </c>
      <c r="S31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88" spans="1:19" x14ac:dyDescent="0.25">
      <c r="A3188" s="1" t="s">
        <v>4292</v>
      </c>
      <c r="B3188" s="2">
        <v>45519</v>
      </c>
      <c r="C3188" s="1" t="s">
        <v>93</v>
      </c>
      <c r="D3188" s="1" t="s">
        <v>67</v>
      </c>
      <c r="E3188" s="1" t="s">
        <v>44</v>
      </c>
      <c r="F3188" s="1" t="s">
        <v>69</v>
      </c>
      <c r="G3188" s="1" t="s">
        <v>22</v>
      </c>
      <c r="H3188" s="1" t="s">
        <v>51</v>
      </c>
      <c r="I3188" s="1">
        <v>492.54</v>
      </c>
      <c r="J3188" s="1">
        <v>10</v>
      </c>
      <c r="K3188" s="1">
        <v>4925.3999999999996</v>
      </c>
      <c r="L3188" s="1">
        <v>0</v>
      </c>
      <c r="M3188" s="1">
        <v>0</v>
      </c>
      <c r="N3188" s="1">
        <v>4925.3999999999996</v>
      </c>
      <c r="O3188" s="1" t="s">
        <v>64</v>
      </c>
      <c r="P3188" s="1" t="s">
        <v>1906</v>
      </c>
      <c r="Q3188" s="1">
        <v>3</v>
      </c>
      <c r="R3188" s="1">
        <f>Retail_Sales_Analyis[[#This Row],[Final_Price]]-Retail_Sales_Analyis[[#This Row],[Total_Price]]</f>
        <v>0</v>
      </c>
      <c r="S31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89" spans="1:19" x14ac:dyDescent="0.25">
      <c r="A3189" s="1" t="s">
        <v>4293</v>
      </c>
      <c r="B3189" s="2">
        <v>45476</v>
      </c>
      <c r="C3189" s="1" t="s">
        <v>195</v>
      </c>
      <c r="D3189" s="1" t="s">
        <v>55</v>
      </c>
      <c r="E3189" s="1" t="s">
        <v>62</v>
      </c>
      <c r="F3189" s="1" t="s">
        <v>21</v>
      </c>
      <c r="G3189" s="1" t="s">
        <v>22</v>
      </c>
      <c r="H3189" s="1" t="s">
        <v>133</v>
      </c>
      <c r="I3189" s="1">
        <v>717.39</v>
      </c>
      <c r="J3189" s="1">
        <v>5</v>
      </c>
      <c r="K3189" s="1">
        <v>3586.95</v>
      </c>
      <c r="L3189" s="1">
        <v>5</v>
      </c>
      <c r="M3189" s="1">
        <v>179.35</v>
      </c>
      <c r="N3189" s="1">
        <v>3407.6</v>
      </c>
      <c r="O3189" s="1" t="s">
        <v>64</v>
      </c>
      <c r="P3189" s="1" t="s">
        <v>2613</v>
      </c>
      <c r="Q3189" s="1">
        <v>3</v>
      </c>
      <c r="R3189" s="1">
        <f>Retail_Sales_Analyis[[#This Row],[Final_Price]]-Retail_Sales_Analyis[[#This Row],[Total_Price]]</f>
        <v>-179.34999999999991</v>
      </c>
      <c r="S31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90" spans="1:19" x14ac:dyDescent="0.25">
      <c r="A3190" s="1" t="s">
        <v>4294</v>
      </c>
      <c r="B3190" s="2">
        <v>45430</v>
      </c>
      <c r="C3190" s="1" t="s">
        <v>42</v>
      </c>
      <c r="D3190" s="1" t="s">
        <v>19</v>
      </c>
      <c r="E3190" s="1" t="s">
        <v>44</v>
      </c>
      <c r="F3190" s="1" t="s">
        <v>84</v>
      </c>
      <c r="G3190" s="1" t="s">
        <v>31</v>
      </c>
      <c r="H3190" s="1" t="s">
        <v>250</v>
      </c>
      <c r="I3190" s="1">
        <v>253.87</v>
      </c>
      <c r="J3190" s="1">
        <v>8</v>
      </c>
      <c r="K3190" s="1">
        <v>2030.96</v>
      </c>
      <c r="L3190" s="1">
        <v>15</v>
      </c>
      <c r="M3190" s="1">
        <v>304.64</v>
      </c>
      <c r="N3190" s="1">
        <v>1726.32</v>
      </c>
      <c r="O3190" s="1" t="s">
        <v>46</v>
      </c>
      <c r="P3190" s="1" t="s">
        <v>2676</v>
      </c>
      <c r="Q3190" s="1">
        <v>4</v>
      </c>
      <c r="R3190" s="1">
        <f>Retail_Sales_Analyis[[#This Row],[Final_Price]]-Retail_Sales_Analyis[[#This Row],[Total_Price]]</f>
        <v>-304.6400000000001</v>
      </c>
      <c r="S31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91" spans="1:19" x14ac:dyDescent="0.25">
      <c r="A3191" s="1" t="s">
        <v>4295</v>
      </c>
      <c r="B3191" s="2">
        <v>45344</v>
      </c>
      <c r="C3191" s="1" t="s">
        <v>27</v>
      </c>
      <c r="D3191" s="1" t="s">
        <v>67</v>
      </c>
      <c r="E3191" s="1" t="s">
        <v>83</v>
      </c>
      <c r="F3191" s="1" t="s">
        <v>69</v>
      </c>
      <c r="G3191" s="1" t="s">
        <v>38</v>
      </c>
      <c r="H3191" s="1" t="s">
        <v>39</v>
      </c>
      <c r="I3191" s="1">
        <v>409.06</v>
      </c>
      <c r="J3191" s="1">
        <v>10</v>
      </c>
      <c r="K3191" s="1">
        <v>4090.6</v>
      </c>
      <c r="L3191" s="1">
        <v>0</v>
      </c>
      <c r="M3191" s="1">
        <v>0</v>
      </c>
      <c r="N3191" s="1">
        <v>4090.6</v>
      </c>
      <c r="O3191" s="1" t="s">
        <v>33</v>
      </c>
      <c r="P3191" s="1" t="s">
        <v>1385</v>
      </c>
      <c r="Q3191" s="1">
        <v>3</v>
      </c>
      <c r="R3191" s="1">
        <f>Retail_Sales_Analyis[[#This Row],[Final_Price]]-Retail_Sales_Analyis[[#This Row],[Total_Price]]</f>
        <v>0</v>
      </c>
      <c r="S31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92" spans="1:19" x14ac:dyDescent="0.25">
      <c r="A3192" s="1" t="s">
        <v>4296</v>
      </c>
      <c r="B3192" s="2">
        <v>45359</v>
      </c>
      <c r="C3192" s="1" t="s">
        <v>61</v>
      </c>
      <c r="D3192" s="1" t="s">
        <v>144</v>
      </c>
      <c r="E3192" s="1" t="s">
        <v>56</v>
      </c>
      <c r="F3192" s="1" t="s">
        <v>21</v>
      </c>
      <c r="G3192" s="1" t="s">
        <v>112</v>
      </c>
      <c r="H3192" s="1" t="s">
        <v>288</v>
      </c>
      <c r="I3192" s="1">
        <v>629.62</v>
      </c>
      <c r="J3192" s="1">
        <v>10</v>
      </c>
      <c r="K3192" s="1">
        <v>6296.2</v>
      </c>
      <c r="L3192" s="1">
        <v>10</v>
      </c>
      <c r="M3192" s="1">
        <v>629.62</v>
      </c>
      <c r="N3192" s="1">
        <v>5666.58</v>
      </c>
      <c r="O3192" s="1" t="s">
        <v>80</v>
      </c>
      <c r="P3192" s="1" t="s">
        <v>413</v>
      </c>
      <c r="Q3192" s="1">
        <v>5</v>
      </c>
      <c r="R3192" s="1">
        <f>Retail_Sales_Analyis[[#This Row],[Final_Price]]-Retail_Sales_Analyis[[#This Row],[Total_Price]]</f>
        <v>-629.61999999999989</v>
      </c>
      <c r="S31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193" spans="1:19" x14ac:dyDescent="0.25">
      <c r="A3193" s="1" t="s">
        <v>4297</v>
      </c>
      <c r="B3193" s="2">
        <v>45336</v>
      </c>
      <c r="C3193" s="1" t="s">
        <v>27</v>
      </c>
      <c r="D3193" s="1" t="s">
        <v>55</v>
      </c>
      <c r="E3193" s="1" t="s">
        <v>213</v>
      </c>
      <c r="F3193" s="1" t="s">
        <v>21</v>
      </c>
      <c r="G3193" s="1" t="s">
        <v>38</v>
      </c>
      <c r="H3193" s="1" t="s">
        <v>214</v>
      </c>
      <c r="I3193" s="1">
        <v>379.22</v>
      </c>
      <c r="J3193" s="1">
        <v>1</v>
      </c>
      <c r="K3193" s="1">
        <v>379.22</v>
      </c>
      <c r="L3193" s="1">
        <v>20</v>
      </c>
      <c r="M3193" s="1">
        <v>75.84</v>
      </c>
      <c r="N3193" s="1">
        <v>303.38</v>
      </c>
      <c r="O3193" s="1" t="s">
        <v>80</v>
      </c>
      <c r="P3193" s="1" t="s">
        <v>2007</v>
      </c>
      <c r="Q3193" s="1">
        <v>2</v>
      </c>
      <c r="R3193" s="1">
        <f>Retail_Sales_Analyis[[#This Row],[Final_Price]]-Retail_Sales_Analyis[[#This Row],[Total_Price]]</f>
        <v>-75.840000000000032</v>
      </c>
      <c r="S31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194" spans="1:19" x14ac:dyDescent="0.25">
      <c r="A3194" s="1" t="s">
        <v>4298</v>
      </c>
      <c r="B3194" s="2">
        <v>45387</v>
      </c>
      <c r="C3194" s="1" t="s">
        <v>54</v>
      </c>
      <c r="D3194" s="1" t="s">
        <v>144</v>
      </c>
      <c r="E3194" s="1" t="s">
        <v>337</v>
      </c>
      <c r="F3194" s="1" t="s">
        <v>37</v>
      </c>
      <c r="G3194" s="1" t="s">
        <v>22</v>
      </c>
      <c r="H3194" s="1" t="s">
        <v>133</v>
      </c>
      <c r="I3194" s="1">
        <v>765.96</v>
      </c>
      <c r="J3194" s="1">
        <v>7</v>
      </c>
      <c r="K3194" s="1">
        <v>5361.72</v>
      </c>
      <c r="L3194" s="1">
        <v>0</v>
      </c>
      <c r="M3194" s="1">
        <v>0</v>
      </c>
      <c r="N3194" s="1">
        <v>5361.72</v>
      </c>
      <c r="O3194" s="1" t="s">
        <v>24</v>
      </c>
      <c r="P3194" s="1" t="s">
        <v>2988</v>
      </c>
      <c r="Q3194" s="1">
        <v>4</v>
      </c>
      <c r="R3194" s="1">
        <f>Retail_Sales_Analyis[[#This Row],[Final_Price]]-Retail_Sales_Analyis[[#This Row],[Total_Price]]</f>
        <v>0</v>
      </c>
      <c r="S31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95" spans="1:19" x14ac:dyDescent="0.25">
      <c r="A3195" s="1" t="s">
        <v>4299</v>
      </c>
      <c r="B3195" s="2">
        <v>45512</v>
      </c>
      <c r="C3195" s="1" t="s">
        <v>93</v>
      </c>
      <c r="D3195" s="1" t="s">
        <v>67</v>
      </c>
      <c r="E3195" s="1" t="s">
        <v>121</v>
      </c>
      <c r="F3195" s="1" t="s">
        <v>69</v>
      </c>
      <c r="G3195" s="1" t="s">
        <v>57</v>
      </c>
      <c r="H3195" s="1" t="s">
        <v>58</v>
      </c>
      <c r="I3195" s="1">
        <v>408.69</v>
      </c>
      <c r="J3195" s="1">
        <v>9</v>
      </c>
      <c r="K3195" s="1">
        <v>3678.21</v>
      </c>
      <c r="L3195" s="1">
        <v>5</v>
      </c>
      <c r="M3195" s="1">
        <v>183.91</v>
      </c>
      <c r="N3195" s="1">
        <v>3494.3</v>
      </c>
      <c r="O3195" s="1" t="s">
        <v>24</v>
      </c>
      <c r="P3195" s="1" t="s">
        <v>463</v>
      </c>
      <c r="Q3195" s="1">
        <v>3</v>
      </c>
      <c r="R3195" s="1">
        <f>Retail_Sales_Analyis[[#This Row],[Final_Price]]-Retail_Sales_Analyis[[#This Row],[Total_Price]]</f>
        <v>-183.90999999999985</v>
      </c>
      <c r="S31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96" spans="1:19" x14ac:dyDescent="0.25">
      <c r="A3196" s="1" t="s">
        <v>4300</v>
      </c>
      <c r="B3196" s="2">
        <v>45521</v>
      </c>
      <c r="C3196" s="1" t="s">
        <v>93</v>
      </c>
      <c r="D3196" s="1" t="s">
        <v>19</v>
      </c>
      <c r="E3196" s="1" t="s">
        <v>196</v>
      </c>
      <c r="F3196" s="1" t="s">
        <v>30</v>
      </c>
      <c r="G3196" s="1" t="s">
        <v>112</v>
      </c>
      <c r="H3196" s="1" t="s">
        <v>113</v>
      </c>
      <c r="I3196" s="1">
        <v>611.41</v>
      </c>
      <c r="J3196" s="1">
        <v>7</v>
      </c>
      <c r="K3196" s="1">
        <v>4279.87</v>
      </c>
      <c r="L3196" s="1">
        <v>5</v>
      </c>
      <c r="M3196" s="1">
        <v>213.99</v>
      </c>
      <c r="N3196" s="1">
        <v>4065.88</v>
      </c>
      <c r="O3196" s="1" t="s">
        <v>46</v>
      </c>
      <c r="P3196" s="1" t="s">
        <v>3820</v>
      </c>
      <c r="Q3196" s="1">
        <v>4</v>
      </c>
      <c r="R3196" s="1">
        <f>Retail_Sales_Analyis[[#This Row],[Final_Price]]-Retail_Sales_Analyis[[#This Row],[Total_Price]]</f>
        <v>-213.98999999999978</v>
      </c>
      <c r="S31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197" spans="1:19" x14ac:dyDescent="0.25">
      <c r="A3197" s="1" t="s">
        <v>4301</v>
      </c>
      <c r="B3197" s="2">
        <v>45577</v>
      </c>
      <c r="C3197" s="1" t="s">
        <v>76</v>
      </c>
      <c r="D3197" s="1" t="s">
        <v>19</v>
      </c>
      <c r="E3197" s="1" t="s">
        <v>174</v>
      </c>
      <c r="F3197" s="1" t="s">
        <v>30</v>
      </c>
      <c r="G3197" s="1" t="s">
        <v>169</v>
      </c>
      <c r="H3197" s="1" t="s">
        <v>366</v>
      </c>
      <c r="I3197" s="1">
        <v>859.45</v>
      </c>
      <c r="J3197" s="1">
        <v>9</v>
      </c>
      <c r="K3197" s="1">
        <v>7735.05</v>
      </c>
      <c r="L3197" s="1">
        <v>0</v>
      </c>
      <c r="M3197" s="1">
        <v>0</v>
      </c>
      <c r="N3197" s="1">
        <v>7735.05</v>
      </c>
      <c r="O3197" s="1" t="s">
        <v>24</v>
      </c>
      <c r="P3197" s="1" t="s">
        <v>2127</v>
      </c>
      <c r="Q3197" s="1">
        <v>2</v>
      </c>
      <c r="R3197" s="1">
        <f>Retail_Sales_Analyis[[#This Row],[Final_Price]]-Retail_Sales_Analyis[[#This Row],[Total_Price]]</f>
        <v>0</v>
      </c>
      <c r="S31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98" spans="1:19" x14ac:dyDescent="0.25">
      <c r="A3198" s="1" t="s">
        <v>4302</v>
      </c>
      <c r="B3198" s="2">
        <v>45576</v>
      </c>
      <c r="C3198" s="1" t="s">
        <v>76</v>
      </c>
      <c r="D3198" s="1" t="s">
        <v>144</v>
      </c>
      <c r="E3198" s="1" t="s">
        <v>239</v>
      </c>
      <c r="F3198" s="1" t="s">
        <v>84</v>
      </c>
      <c r="G3198" s="1" t="s">
        <v>78</v>
      </c>
      <c r="H3198" s="1" t="s">
        <v>146</v>
      </c>
      <c r="I3198" s="1">
        <v>592.34</v>
      </c>
      <c r="J3198" s="1">
        <v>5</v>
      </c>
      <c r="K3198" s="1">
        <v>2961.7</v>
      </c>
      <c r="L3198" s="1">
        <v>0</v>
      </c>
      <c r="M3198" s="1">
        <v>0</v>
      </c>
      <c r="N3198" s="1">
        <v>2961.7</v>
      </c>
      <c r="O3198" s="1" t="s">
        <v>33</v>
      </c>
      <c r="P3198" s="1" t="s">
        <v>553</v>
      </c>
      <c r="Q3198" s="1">
        <v>1</v>
      </c>
      <c r="R3198" s="1">
        <f>Retail_Sales_Analyis[[#This Row],[Final_Price]]-Retail_Sales_Analyis[[#This Row],[Total_Price]]</f>
        <v>0</v>
      </c>
      <c r="S31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199" spans="1:19" x14ac:dyDescent="0.25">
      <c r="A3199" s="1" t="s">
        <v>4303</v>
      </c>
      <c r="B3199" s="2">
        <v>45554</v>
      </c>
      <c r="C3199" s="1" t="s">
        <v>116</v>
      </c>
      <c r="D3199" s="1" t="s">
        <v>67</v>
      </c>
      <c r="E3199" s="1" t="s">
        <v>312</v>
      </c>
      <c r="F3199" s="1" t="s">
        <v>37</v>
      </c>
      <c r="G3199" s="1" t="s">
        <v>169</v>
      </c>
      <c r="H3199" s="1" t="s">
        <v>170</v>
      </c>
      <c r="I3199" s="1">
        <v>967.64</v>
      </c>
      <c r="J3199" s="1">
        <v>5</v>
      </c>
      <c r="K3199" s="1">
        <v>4838.2</v>
      </c>
      <c r="L3199" s="1">
        <v>10</v>
      </c>
      <c r="M3199" s="1">
        <v>483.82</v>
      </c>
      <c r="N3199" s="1">
        <v>4354.38</v>
      </c>
      <c r="O3199" s="1" t="s">
        <v>24</v>
      </c>
      <c r="P3199" s="1" t="s">
        <v>1287</v>
      </c>
      <c r="Q3199" s="1">
        <v>5</v>
      </c>
      <c r="R3199" s="1">
        <f>Retail_Sales_Analyis[[#This Row],[Final_Price]]-Retail_Sales_Analyis[[#This Row],[Total_Price]]</f>
        <v>-483.81999999999971</v>
      </c>
      <c r="S31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00" spans="1:19" x14ac:dyDescent="0.25">
      <c r="A3200" s="1" t="s">
        <v>4304</v>
      </c>
      <c r="B3200" s="2">
        <v>45500</v>
      </c>
      <c r="C3200" s="1" t="s">
        <v>195</v>
      </c>
      <c r="D3200" s="1" t="s">
        <v>19</v>
      </c>
      <c r="E3200" s="1" t="s">
        <v>542</v>
      </c>
      <c r="F3200" s="1" t="s">
        <v>30</v>
      </c>
      <c r="G3200" s="1" t="s">
        <v>169</v>
      </c>
      <c r="H3200" s="1" t="s">
        <v>348</v>
      </c>
      <c r="I3200" s="1">
        <v>301.41000000000003</v>
      </c>
      <c r="J3200" s="1">
        <v>9</v>
      </c>
      <c r="K3200" s="1">
        <v>2712.69</v>
      </c>
      <c r="L3200" s="1">
        <v>20</v>
      </c>
      <c r="M3200" s="1">
        <v>542.54</v>
      </c>
      <c r="N3200" s="1">
        <v>2170.15</v>
      </c>
      <c r="O3200" s="1" t="s">
        <v>33</v>
      </c>
      <c r="P3200" s="1" t="s">
        <v>1149</v>
      </c>
      <c r="Q3200" s="1">
        <v>4</v>
      </c>
      <c r="R3200" s="1">
        <f>Retail_Sales_Analyis[[#This Row],[Final_Price]]-Retail_Sales_Analyis[[#This Row],[Total_Price]]</f>
        <v>-542.54</v>
      </c>
      <c r="S32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01" spans="1:19" x14ac:dyDescent="0.25">
      <c r="A3201" s="1" t="s">
        <v>4305</v>
      </c>
      <c r="B3201" s="2">
        <v>45344</v>
      </c>
      <c r="C3201" s="1" t="s">
        <v>27</v>
      </c>
      <c r="D3201" s="1" t="s">
        <v>67</v>
      </c>
      <c r="E3201" s="1" t="s">
        <v>94</v>
      </c>
      <c r="F3201" s="1" t="s">
        <v>37</v>
      </c>
      <c r="G3201" s="1" t="s">
        <v>112</v>
      </c>
      <c r="H3201" s="1" t="s">
        <v>288</v>
      </c>
      <c r="I3201" s="1">
        <v>1201.01</v>
      </c>
      <c r="J3201" s="1">
        <v>2</v>
      </c>
      <c r="K3201" s="1">
        <v>2402.02</v>
      </c>
      <c r="L3201" s="1">
        <v>15</v>
      </c>
      <c r="M3201" s="1">
        <v>360.3</v>
      </c>
      <c r="N3201" s="1">
        <v>2041.72</v>
      </c>
      <c r="O3201" s="1" t="s">
        <v>24</v>
      </c>
      <c r="P3201" s="1" t="s">
        <v>655</v>
      </c>
      <c r="Q3201" s="1">
        <v>4</v>
      </c>
      <c r="R3201" s="1">
        <f>Retail_Sales_Analyis[[#This Row],[Final_Price]]-Retail_Sales_Analyis[[#This Row],[Total_Price]]</f>
        <v>-360.29999999999995</v>
      </c>
      <c r="S32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02" spans="1:19" x14ac:dyDescent="0.25">
      <c r="A3202" s="1" t="s">
        <v>4306</v>
      </c>
      <c r="B3202" s="2">
        <v>45305</v>
      </c>
      <c r="C3202" s="1" t="s">
        <v>36</v>
      </c>
      <c r="D3202" s="1" t="s">
        <v>49</v>
      </c>
      <c r="E3202" s="1" t="s">
        <v>89</v>
      </c>
      <c r="F3202" s="1" t="s">
        <v>69</v>
      </c>
      <c r="G3202" s="1" t="s">
        <v>57</v>
      </c>
      <c r="H3202" s="1" t="s">
        <v>101</v>
      </c>
      <c r="I3202" s="1">
        <v>1389.02</v>
      </c>
      <c r="J3202" s="1">
        <v>9</v>
      </c>
      <c r="K3202" s="1">
        <v>12501.18</v>
      </c>
      <c r="L3202" s="1">
        <v>10</v>
      </c>
      <c r="M3202" s="1">
        <v>1250.1199999999999</v>
      </c>
      <c r="N3202" s="1">
        <v>11251.06</v>
      </c>
      <c r="O3202" s="1" t="s">
        <v>46</v>
      </c>
      <c r="P3202" s="1" t="s">
        <v>2170</v>
      </c>
      <c r="Q3202" s="1">
        <v>4</v>
      </c>
      <c r="R3202" s="1">
        <f>Retail_Sales_Analyis[[#This Row],[Final_Price]]-Retail_Sales_Analyis[[#This Row],[Total_Price]]</f>
        <v>-1250.1200000000008</v>
      </c>
      <c r="S32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03" spans="1:19" x14ac:dyDescent="0.25">
      <c r="A3203" s="1" t="s">
        <v>4307</v>
      </c>
      <c r="B3203" s="2">
        <v>45337</v>
      </c>
      <c r="C3203" s="1" t="s">
        <v>27</v>
      </c>
      <c r="D3203" s="1" t="s">
        <v>67</v>
      </c>
      <c r="E3203" s="1" t="s">
        <v>342</v>
      </c>
      <c r="F3203" s="1" t="s">
        <v>84</v>
      </c>
      <c r="G3203" s="1" t="s">
        <v>85</v>
      </c>
      <c r="H3203" s="1" t="s">
        <v>180</v>
      </c>
      <c r="I3203" s="1">
        <v>2649.14</v>
      </c>
      <c r="J3203" s="1">
        <v>1</v>
      </c>
      <c r="K3203" s="1">
        <v>2649.14</v>
      </c>
      <c r="L3203" s="1">
        <v>0</v>
      </c>
      <c r="M3203" s="1">
        <v>0</v>
      </c>
      <c r="N3203" s="1">
        <v>2649.14</v>
      </c>
      <c r="O3203" s="1" t="s">
        <v>24</v>
      </c>
      <c r="P3203" s="1" t="s">
        <v>657</v>
      </c>
      <c r="Q3203" s="1">
        <v>1</v>
      </c>
      <c r="R3203" s="1">
        <f>Retail_Sales_Analyis[[#This Row],[Final_Price]]-Retail_Sales_Analyis[[#This Row],[Total_Price]]</f>
        <v>0</v>
      </c>
      <c r="S32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04" spans="1:19" x14ac:dyDescent="0.25">
      <c r="A3204" s="1" t="s">
        <v>4308</v>
      </c>
      <c r="B3204" s="2">
        <v>45473</v>
      </c>
      <c r="C3204" s="1" t="s">
        <v>173</v>
      </c>
      <c r="D3204" s="1" t="s">
        <v>49</v>
      </c>
      <c r="E3204" s="1" t="s">
        <v>163</v>
      </c>
      <c r="F3204" s="1" t="s">
        <v>30</v>
      </c>
      <c r="G3204" s="1" t="s">
        <v>112</v>
      </c>
      <c r="H3204" s="1" t="s">
        <v>223</v>
      </c>
      <c r="I3204" s="1">
        <v>1514.43</v>
      </c>
      <c r="J3204" s="1">
        <v>1</v>
      </c>
      <c r="K3204" s="1">
        <v>1514.43</v>
      </c>
      <c r="L3204" s="1">
        <v>20</v>
      </c>
      <c r="M3204" s="1">
        <v>302.89</v>
      </c>
      <c r="N3204" s="1">
        <v>1211.54</v>
      </c>
      <c r="O3204" s="1" t="s">
        <v>24</v>
      </c>
      <c r="P3204" s="1" t="s">
        <v>784</v>
      </c>
      <c r="Q3204" s="1">
        <v>4</v>
      </c>
      <c r="R3204" s="1">
        <f>Retail_Sales_Analyis[[#This Row],[Final_Price]]-Retail_Sales_Analyis[[#This Row],[Total_Price]]</f>
        <v>-302.8900000000001</v>
      </c>
      <c r="S32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05" spans="1:19" x14ac:dyDescent="0.25">
      <c r="A3205" s="1" t="s">
        <v>4309</v>
      </c>
      <c r="B3205" s="2">
        <v>45575</v>
      </c>
      <c r="C3205" s="1" t="s">
        <v>76</v>
      </c>
      <c r="D3205" s="1" t="s">
        <v>67</v>
      </c>
      <c r="E3205" s="1" t="s">
        <v>83</v>
      </c>
      <c r="F3205" s="1" t="s">
        <v>21</v>
      </c>
      <c r="G3205" s="1" t="s">
        <v>85</v>
      </c>
      <c r="H3205" s="1" t="s">
        <v>297</v>
      </c>
      <c r="I3205" s="1">
        <v>2488.9</v>
      </c>
      <c r="J3205" s="1">
        <v>3</v>
      </c>
      <c r="K3205" s="1">
        <v>7466.7</v>
      </c>
      <c r="L3205" s="1">
        <v>0</v>
      </c>
      <c r="M3205" s="1">
        <v>0</v>
      </c>
      <c r="N3205" s="1">
        <v>7466.7</v>
      </c>
      <c r="O3205" s="1" t="s">
        <v>46</v>
      </c>
      <c r="P3205" s="1" t="s">
        <v>4285</v>
      </c>
      <c r="Q3205" s="1">
        <v>5</v>
      </c>
      <c r="R3205" s="1">
        <f>Retail_Sales_Analyis[[#This Row],[Final_Price]]-Retail_Sales_Analyis[[#This Row],[Total_Price]]</f>
        <v>0</v>
      </c>
      <c r="S32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06" spans="1:19" x14ac:dyDescent="0.25">
      <c r="A3206" s="1" t="s">
        <v>4310</v>
      </c>
      <c r="B3206" s="2">
        <v>45339</v>
      </c>
      <c r="C3206" s="1" t="s">
        <v>27</v>
      </c>
      <c r="D3206" s="1" t="s">
        <v>19</v>
      </c>
      <c r="E3206" s="1" t="s">
        <v>83</v>
      </c>
      <c r="F3206" s="1" t="s">
        <v>30</v>
      </c>
      <c r="G3206" s="1" t="s">
        <v>57</v>
      </c>
      <c r="H3206" s="1" t="s">
        <v>122</v>
      </c>
      <c r="I3206" s="1">
        <v>691.75</v>
      </c>
      <c r="J3206" s="1">
        <v>2</v>
      </c>
      <c r="K3206" s="1">
        <v>1383.5</v>
      </c>
      <c r="L3206" s="1">
        <v>0</v>
      </c>
      <c r="M3206" s="1">
        <v>0</v>
      </c>
      <c r="N3206" s="1">
        <v>1383.5</v>
      </c>
      <c r="O3206" s="1" t="s">
        <v>64</v>
      </c>
      <c r="P3206" s="1" t="s">
        <v>2210</v>
      </c>
      <c r="Q3206" s="1">
        <v>5</v>
      </c>
      <c r="R3206" s="1">
        <f>Retail_Sales_Analyis[[#This Row],[Final_Price]]-Retail_Sales_Analyis[[#This Row],[Total_Price]]</f>
        <v>0</v>
      </c>
      <c r="S32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07" spans="1:19" x14ac:dyDescent="0.25">
      <c r="A3207" s="1" t="s">
        <v>4311</v>
      </c>
      <c r="B3207" s="2">
        <v>45597</v>
      </c>
      <c r="C3207" s="1" t="s">
        <v>18</v>
      </c>
      <c r="D3207" s="1" t="s">
        <v>144</v>
      </c>
      <c r="E3207" s="1" t="s">
        <v>302</v>
      </c>
      <c r="F3207" s="1" t="s">
        <v>30</v>
      </c>
      <c r="G3207" s="1" t="s">
        <v>31</v>
      </c>
      <c r="H3207" s="1" t="s">
        <v>63</v>
      </c>
      <c r="I3207" s="1">
        <v>341.79</v>
      </c>
      <c r="J3207" s="1">
        <v>6</v>
      </c>
      <c r="K3207" s="1">
        <v>2050.7399999999998</v>
      </c>
      <c r="L3207" s="1">
        <v>15</v>
      </c>
      <c r="M3207" s="1">
        <v>307.61</v>
      </c>
      <c r="N3207" s="1">
        <v>1743.13</v>
      </c>
      <c r="O3207" s="1" t="s">
        <v>64</v>
      </c>
      <c r="P3207" s="1" t="s">
        <v>767</v>
      </c>
      <c r="Q3207" s="1">
        <v>5</v>
      </c>
      <c r="R3207" s="1">
        <f>Retail_Sales_Analyis[[#This Row],[Final_Price]]-Retail_Sales_Analyis[[#This Row],[Total_Price]]</f>
        <v>-307.60999999999967</v>
      </c>
      <c r="S32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08" spans="1:19" x14ac:dyDescent="0.25">
      <c r="A3208" s="1" t="s">
        <v>4312</v>
      </c>
      <c r="B3208" s="2">
        <v>45598</v>
      </c>
      <c r="C3208" s="1" t="s">
        <v>18</v>
      </c>
      <c r="D3208" s="1" t="s">
        <v>19</v>
      </c>
      <c r="E3208" s="1" t="s">
        <v>104</v>
      </c>
      <c r="F3208" s="1" t="s">
        <v>84</v>
      </c>
      <c r="G3208" s="1" t="s">
        <v>31</v>
      </c>
      <c r="H3208" s="1" t="s">
        <v>63</v>
      </c>
      <c r="I3208" s="1">
        <v>164.48</v>
      </c>
      <c r="J3208" s="1">
        <v>3</v>
      </c>
      <c r="K3208" s="1">
        <v>493.44</v>
      </c>
      <c r="L3208" s="1">
        <v>0</v>
      </c>
      <c r="M3208" s="1">
        <v>0</v>
      </c>
      <c r="N3208" s="1">
        <v>493.44</v>
      </c>
      <c r="O3208" s="1" t="s">
        <v>64</v>
      </c>
      <c r="P3208" s="1" t="s">
        <v>1358</v>
      </c>
      <c r="Q3208" s="1">
        <v>4</v>
      </c>
      <c r="R3208" s="1">
        <f>Retail_Sales_Analyis[[#This Row],[Final_Price]]-Retail_Sales_Analyis[[#This Row],[Total_Price]]</f>
        <v>0</v>
      </c>
      <c r="S32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09" spans="1:19" x14ac:dyDescent="0.25">
      <c r="A3209" s="1" t="s">
        <v>4313</v>
      </c>
      <c r="B3209" s="2">
        <v>45458</v>
      </c>
      <c r="C3209" s="1" t="s">
        <v>173</v>
      </c>
      <c r="D3209" s="1" t="s">
        <v>19</v>
      </c>
      <c r="E3209" s="1" t="s">
        <v>411</v>
      </c>
      <c r="F3209" s="1" t="s">
        <v>21</v>
      </c>
      <c r="G3209" s="1" t="s">
        <v>38</v>
      </c>
      <c r="H3209" s="1" t="s">
        <v>214</v>
      </c>
      <c r="I3209" s="1">
        <v>139.31</v>
      </c>
      <c r="J3209" s="1">
        <v>2</v>
      </c>
      <c r="K3209" s="1">
        <v>278.62</v>
      </c>
      <c r="L3209" s="1">
        <v>5</v>
      </c>
      <c r="M3209" s="1">
        <v>13.93</v>
      </c>
      <c r="N3209" s="1">
        <v>264.69</v>
      </c>
      <c r="O3209" s="1" t="s">
        <v>46</v>
      </c>
      <c r="P3209" s="1" t="s">
        <v>2306</v>
      </c>
      <c r="Q3209" s="1">
        <v>1</v>
      </c>
      <c r="R3209" s="1">
        <f>Retail_Sales_Analyis[[#This Row],[Final_Price]]-Retail_Sales_Analyis[[#This Row],[Total_Price]]</f>
        <v>-13.930000000000007</v>
      </c>
      <c r="S32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10" spans="1:19" x14ac:dyDescent="0.25">
      <c r="A3210" s="1" t="s">
        <v>4314</v>
      </c>
      <c r="B3210" s="2">
        <v>45489</v>
      </c>
      <c r="C3210" s="1" t="s">
        <v>195</v>
      </c>
      <c r="D3210" s="1" t="s">
        <v>28</v>
      </c>
      <c r="E3210" s="1" t="s">
        <v>56</v>
      </c>
      <c r="F3210" s="1" t="s">
        <v>84</v>
      </c>
      <c r="G3210" s="1" t="s">
        <v>38</v>
      </c>
      <c r="H3210" s="1" t="s">
        <v>39</v>
      </c>
      <c r="I3210" s="1">
        <v>758.81</v>
      </c>
      <c r="J3210" s="1">
        <v>6</v>
      </c>
      <c r="K3210" s="1">
        <v>4552.8599999999997</v>
      </c>
      <c r="L3210" s="1">
        <v>0</v>
      </c>
      <c r="M3210" s="1">
        <v>0</v>
      </c>
      <c r="N3210" s="1">
        <v>4552.8599999999997</v>
      </c>
      <c r="O3210" s="1" t="s">
        <v>64</v>
      </c>
      <c r="P3210" s="1" t="s">
        <v>1100</v>
      </c>
      <c r="Q3210" s="1">
        <v>2</v>
      </c>
      <c r="R3210" s="1">
        <f>Retail_Sales_Analyis[[#This Row],[Final_Price]]-Retail_Sales_Analyis[[#This Row],[Total_Price]]</f>
        <v>0</v>
      </c>
      <c r="S32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11" spans="1:19" x14ac:dyDescent="0.25">
      <c r="A3211" s="1" t="s">
        <v>4315</v>
      </c>
      <c r="B3211" s="2">
        <v>45298</v>
      </c>
      <c r="C3211" s="1" t="s">
        <v>36</v>
      </c>
      <c r="D3211" s="1" t="s">
        <v>49</v>
      </c>
      <c r="E3211" s="1" t="s">
        <v>312</v>
      </c>
      <c r="F3211" s="1" t="s">
        <v>69</v>
      </c>
      <c r="G3211" s="1" t="s">
        <v>57</v>
      </c>
      <c r="H3211" s="1" t="s">
        <v>58</v>
      </c>
      <c r="I3211" s="1">
        <v>2410.36</v>
      </c>
      <c r="J3211" s="1">
        <v>7</v>
      </c>
      <c r="K3211" s="1">
        <v>16872.52</v>
      </c>
      <c r="L3211" s="1">
        <v>15</v>
      </c>
      <c r="M3211" s="1">
        <v>2530.88</v>
      </c>
      <c r="N3211" s="1">
        <v>14341.64</v>
      </c>
      <c r="O3211" s="1" t="s">
        <v>80</v>
      </c>
      <c r="P3211" s="1" t="s">
        <v>3206</v>
      </c>
      <c r="Q3211" s="1">
        <v>5</v>
      </c>
      <c r="R3211" s="1">
        <f>Retail_Sales_Analyis[[#This Row],[Final_Price]]-Retail_Sales_Analyis[[#This Row],[Total_Price]]</f>
        <v>-2530.880000000001</v>
      </c>
      <c r="S32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12" spans="1:19" x14ac:dyDescent="0.25">
      <c r="A3212" s="1" t="s">
        <v>4316</v>
      </c>
      <c r="B3212" s="2">
        <v>45441</v>
      </c>
      <c r="C3212" s="1" t="s">
        <v>42</v>
      </c>
      <c r="D3212" s="1" t="s">
        <v>55</v>
      </c>
      <c r="E3212" s="1" t="s">
        <v>62</v>
      </c>
      <c r="F3212" s="1" t="s">
        <v>69</v>
      </c>
      <c r="G3212" s="1" t="s">
        <v>169</v>
      </c>
      <c r="H3212" s="1" t="s">
        <v>348</v>
      </c>
      <c r="I3212" s="1">
        <v>1220.55</v>
      </c>
      <c r="J3212" s="1">
        <v>1</v>
      </c>
      <c r="K3212" s="1">
        <v>1220.55</v>
      </c>
      <c r="L3212" s="1">
        <v>20</v>
      </c>
      <c r="M3212" s="1">
        <v>244.11</v>
      </c>
      <c r="N3212" s="1">
        <v>976.44</v>
      </c>
      <c r="O3212" s="1" t="s">
        <v>80</v>
      </c>
      <c r="P3212" s="1" t="s">
        <v>1100</v>
      </c>
      <c r="Q3212" s="1">
        <v>3</v>
      </c>
      <c r="R3212" s="1">
        <f>Retail_Sales_Analyis[[#This Row],[Final_Price]]-Retail_Sales_Analyis[[#This Row],[Total_Price]]</f>
        <v>-244.1099999999999</v>
      </c>
      <c r="S32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13" spans="1:19" x14ac:dyDescent="0.25">
      <c r="A3213" s="1" t="s">
        <v>4317</v>
      </c>
      <c r="B3213" s="2">
        <v>45503</v>
      </c>
      <c r="C3213" s="1" t="s">
        <v>195</v>
      </c>
      <c r="D3213" s="1" t="s">
        <v>28</v>
      </c>
      <c r="E3213" s="1" t="s">
        <v>351</v>
      </c>
      <c r="F3213" s="1" t="s">
        <v>84</v>
      </c>
      <c r="G3213" s="1" t="s">
        <v>169</v>
      </c>
      <c r="H3213" s="1" t="s">
        <v>348</v>
      </c>
      <c r="I3213" s="1">
        <v>661.41</v>
      </c>
      <c r="J3213" s="1">
        <v>1</v>
      </c>
      <c r="K3213" s="1">
        <v>661.41</v>
      </c>
      <c r="L3213" s="1">
        <v>20</v>
      </c>
      <c r="M3213" s="1">
        <v>132.28</v>
      </c>
      <c r="N3213" s="1">
        <v>529.13</v>
      </c>
      <c r="O3213" s="1" t="s">
        <v>46</v>
      </c>
      <c r="P3213" s="1" t="s">
        <v>2838</v>
      </c>
      <c r="Q3213" s="1">
        <v>5</v>
      </c>
      <c r="R3213" s="1">
        <f>Retail_Sales_Analyis[[#This Row],[Final_Price]]-Retail_Sales_Analyis[[#This Row],[Total_Price]]</f>
        <v>-132.27999999999997</v>
      </c>
      <c r="S32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14" spans="1:19" x14ac:dyDescent="0.25">
      <c r="A3214" s="1" t="s">
        <v>4318</v>
      </c>
      <c r="B3214" s="2">
        <v>45490</v>
      </c>
      <c r="C3214" s="1" t="s">
        <v>195</v>
      </c>
      <c r="D3214" s="1" t="s">
        <v>55</v>
      </c>
      <c r="E3214" s="1" t="s">
        <v>342</v>
      </c>
      <c r="F3214" s="1" t="s">
        <v>84</v>
      </c>
      <c r="G3214" s="1" t="s">
        <v>22</v>
      </c>
      <c r="H3214" s="1" t="s">
        <v>187</v>
      </c>
      <c r="I3214" s="1">
        <v>607.30999999999995</v>
      </c>
      <c r="J3214" s="1">
        <v>5</v>
      </c>
      <c r="K3214" s="1">
        <v>3036.55</v>
      </c>
      <c r="L3214" s="1">
        <v>0</v>
      </c>
      <c r="M3214" s="1">
        <v>0</v>
      </c>
      <c r="N3214" s="1">
        <v>3036.55</v>
      </c>
      <c r="O3214" s="1" t="s">
        <v>80</v>
      </c>
      <c r="P3214" s="1" t="s">
        <v>1574</v>
      </c>
      <c r="Q3214" s="1">
        <v>5</v>
      </c>
      <c r="R3214" s="1">
        <f>Retail_Sales_Analyis[[#This Row],[Final_Price]]-Retail_Sales_Analyis[[#This Row],[Total_Price]]</f>
        <v>0</v>
      </c>
      <c r="S32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15" spans="1:19" x14ac:dyDescent="0.25">
      <c r="A3215" s="1" t="s">
        <v>4319</v>
      </c>
      <c r="B3215" s="2">
        <v>45335</v>
      </c>
      <c r="C3215" s="1" t="s">
        <v>27</v>
      </c>
      <c r="D3215" s="1" t="s">
        <v>28</v>
      </c>
      <c r="E3215" s="1" t="s">
        <v>312</v>
      </c>
      <c r="F3215" s="1" t="s">
        <v>30</v>
      </c>
      <c r="G3215" s="1" t="s">
        <v>57</v>
      </c>
      <c r="H3215" s="1" t="s">
        <v>158</v>
      </c>
      <c r="I3215" s="1">
        <v>1609.28</v>
      </c>
      <c r="J3215" s="1">
        <v>3</v>
      </c>
      <c r="K3215" s="1">
        <v>4827.84</v>
      </c>
      <c r="L3215" s="1">
        <v>0</v>
      </c>
      <c r="M3215" s="1">
        <v>0</v>
      </c>
      <c r="N3215" s="1">
        <v>4827.84</v>
      </c>
      <c r="O3215" s="1" t="s">
        <v>24</v>
      </c>
      <c r="P3215" s="1" t="s">
        <v>796</v>
      </c>
      <c r="Q3215" s="1">
        <v>3</v>
      </c>
      <c r="R3215" s="1">
        <f>Retail_Sales_Analyis[[#This Row],[Final_Price]]-Retail_Sales_Analyis[[#This Row],[Total_Price]]</f>
        <v>0</v>
      </c>
      <c r="S32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16" spans="1:19" x14ac:dyDescent="0.25">
      <c r="A3216" s="1" t="s">
        <v>4320</v>
      </c>
      <c r="B3216" s="2">
        <v>45578</v>
      </c>
      <c r="C3216" s="1" t="s">
        <v>76</v>
      </c>
      <c r="D3216" s="1" t="s">
        <v>49</v>
      </c>
      <c r="E3216" s="1" t="s">
        <v>129</v>
      </c>
      <c r="F3216" s="1" t="s">
        <v>30</v>
      </c>
      <c r="G3216" s="1" t="s">
        <v>78</v>
      </c>
      <c r="H3216" s="1" t="s">
        <v>79</v>
      </c>
      <c r="I3216" s="1">
        <v>404.22</v>
      </c>
      <c r="J3216" s="1">
        <v>10</v>
      </c>
      <c r="K3216" s="1">
        <v>4042.2</v>
      </c>
      <c r="L3216" s="1">
        <v>10</v>
      </c>
      <c r="M3216" s="1">
        <v>404.22</v>
      </c>
      <c r="N3216" s="1">
        <v>3637.98</v>
      </c>
      <c r="O3216" s="1" t="s">
        <v>33</v>
      </c>
      <c r="P3216" s="1" t="s">
        <v>1840</v>
      </c>
      <c r="Q3216" s="1">
        <v>2</v>
      </c>
      <c r="R3216" s="1">
        <f>Retail_Sales_Analyis[[#This Row],[Final_Price]]-Retail_Sales_Analyis[[#This Row],[Total_Price]]</f>
        <v>-404.2199999999998</v>
      </c>
      <c r="S32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17" spans="1:19" x14ac:dyDescent="0.25">
      <c r="A3217" s="1" t="s">
        <v>4321</v>
      </c>
      <c r="B3217" s="2">
        <v>45416</v>
      </c>
      <c r="C3217" s="1" t="s">
        <v>42</v>
      </c>
      <c r="D3217" s="1" t="s">
        <v>19</v>
      </c>
      <c r="E3217" s="1" t="s">
        <v>542</v>
      </c>
      <c r="F3217" s="1" t="s">
        <v>37</v>
      </c>
      <c r="G3217" s="1" t="s">
        <v>57</v>
      </c>
      <c r="H3217" s="1" t="s">
        <v>158</v>
      </c>
      <c r="I3217" s="1">
        <v>607</v>
      </c>
      <c r="J3217" s="1">
        <v>8</v>
      </c>
      <c r="K3217" s="1">
        <v>4856</v>
      </c>
      <c r="L3217" s="1">
        <v>15</v>
      </c>
      <c r="M3217" s="1">
        <v>728.4</v>
      </c>
      <c r="N3217" s="1">
        <v>4127.6000000000004</v>
      </c>
      <c r="O3217" s="1" t="s">
        <v>80</v>
      </c>
      <c r="P3217" s="1" t="s">
        <v>1172</v>
      </c>
      <c r="Q3217" s="1">
        <v>1</v>
      </c>
      <c r="R3217" s="1">
        <f>Retail_Sales_Analyis[[#This Row],[Final_Price]]-Retail_Sales_Analyis[[#This Row],[Total_Price]]</f>
        <v>-728.39999999999964</v>
      </c>
      <c r="S32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18" spans="1:19" x14ac:dyDescent="0.25">
      <c r="A3218" s="1" t="s">
        <v>4322</v>
      </c>
      <c r="B3218" s="2">
        <v>45584</v>
      </c>
      <c r="C3218" s="1" t="s">
        <v>76</v>
      </c>
      <c r="D3218" s="1" t="s">
        <v>19</v>
      </c>
      <c r="E3218" s="1" t="s">
        <v>285</v>
      </c>
      <c r="F3218" s="1" t="s">
        <v>69</v>
      </c>
      <c r="G3218" s="1" t="s">
        <v>112</v>
      </c>
      <c r="H3218" s="1" t="s">
        <v>183</v>
      </c>
      <c r="I3218" s="1">
        <v>1057.92</v>
      </c>
      <c r="J3218" s="1">
        <v>2</v>
      </c>
      <c r="K3218" s="1">
        <v>2115.84</v>
      </c>
      <c r="L3218" s="1">
        <v>10</v>
      </c>
      <c r="M3218" s="1">
        <v>211.58</v>
      </c>
      <c r="N3218" s="1">
        <v>1904.26</v>
      </c>
      <c r="O3218" s="1" t="s">
        <v>46</v>
      </c>
      <c r="P3218" s="1" t="s">
        <v>286</v>
      </c>
      <c r="Q3218" s="1">
        <v>4</v>
      </c>
      <c r="R3218" s="1">
        <f>Retail_Sales_Analyis[[#This Row],[Final_Price]]-Retail_Sales_Analyis[[#This Row],[Total_Price]]</f>
        <v>-211.58000000000015</v>
      </c>
      <c r="S32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19" spans="1:19" x14ac:dyDescent="0.25">
      <c r="A3219" s="1" t="s">
        <v>4323</v>
      </c>
      <c r="B3219" s="2">
        <v>45558</v>
      </c>
      <c r="C3219" s="1" t="s">
        <v>116</v>
      </c>
      <c r="D3219" s="1" t="s">
        <v>43</v>
      </c>
      <c r="E3219" s="1" t="s">
        <v>196</v>
      </c>
      <c r="F3219" s="1" t="s">
        <v>69</v>
      </c>
      <c r="G3219" s="1" t="s">
        <v>78</v>
      </c>
      <c r="H3219" s="1" t="s">
        <v>126</v>
      </c>
      <c r="I3219" s="1">
        <v>250.07</v>
      </c>
      <c r="J3219" s="1">
        <v>3</v>
      </c>
      <c r="K3219" s="1">
        <v>750.21</v>
      </c>
      <c r="L3219" s="1">
        <v>0</v>
      </c>
      <c r="M3219" s="1">
        <v>0</v>
      </c>
      <c r="N3219" s="1">
        <v>750.21</v>
      </c>
      <c r="O3219" s="1" t="s">
        <v>64</v>
      </c>
      <c r="P3219" s="1" t="s">
        <v>1593</v>
      </c>
      <c r="Q3219" s="1">
        <v>3</v>
      </c>
      <c r="R3219" s="1">
        <f>Retail_Sales_Analyis[[#This Row],[Final_Price]]-Retail_Sales_Analyis[[#This Row],[Total_Price]]</f>
        <v>0</v>
      </c>
      <c r="S32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0" spans="1:19" x14ac:dyDescent="0.25">
      <c r="A3220" s="1" t="s">
        <v>4324</v>
      </c>
      <c r="B3220" s="2">
        <v>45378</v>
      </c>
      <c r="C3220" s="1" t="s">
        <v>61</v>
      </c>
      <c r="D3220" s="1" t="s">
        <v>55</v>
      </c>
      <c r="E3220" s="1" t="s">
        <v>168</v>
      </c>
      <c r="F3220" s="1" t="s">
        <v>84</v>
      </c>
      <c r="G3220" s="1" t="s">
        <v>57</v>
      </c>
      <c r="H3220" s="1" t="s">
        <v>152</v>
      </c>
      <c r="I3220" s="1">
        <v>2492.46</v>
      </c>
      <c r="J3220" s="1">
        <v>8</v>
      </c>
      <c r="K3220" s="1">
        <v>19939.68</v>
      </c>
      <c r="L3220" s="1">
        <v>15</v>
      </c>
      <c r="M3220" s="1">
        <v>2990.95</v>
      </c>
      <c r="N3220" s="1">
        <v>16948.73</v>
      </c>
      <c r="O3220" s="1" t="s">
        <v>64</v>
      </c>
      <c r="P3220" s="1" t="s">
        <v>1362</v>
      </c>
      <c r="Q3220" s="1">
        <v>3</v>
      </c>
      <c r="R3220" s="1">
        <f>Retail_Sales_Analyis[[#This Row],[Final_Price]]-Retail_Sales_Analyis[[#This Row],[Total_Price]]</f>
        <v>-2990.9500000000007</v>
      </c>
      <c r="S32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21" spans="1:19" x14ac:dyDescent="0.25">
      <c r="A3221" s="1" t="s">
        <v>4325</v>
      </c>
      <c r="B3221" s="2">
        <v>45642</v>
      </c>
      <c r="C3221" s="1" t="s">
        <v>73</v>
      </c>
      <c r="D3221" s="1" t="s">
        <v>43</v>
      </c>
      <c r="E3221" s="1" t="s">
        <v>50</v>
      </c>
      <c r="F3221" s="1" t="s">
        <v>69</v>
      </c>
      <c r="G3221" s="1" t="s">
        <v>112</v>
      </c>
      <c r="H3221" s="1" t="s">
        <v>113</v>
      </c>
      <c r="I3221" s="1">
        <v>721.7</v>
      </c>
      <c r="J3221" s="1">
        <v>7</v>
      </c>
      <c r="K3221" s="1">
        <v>5051.8999999999996</v>
      </c>
      <c r="L3221" s="1">
        <v>0</v>
      </c>
      <c r="M3221" s="1">
        <v>0</v>
      </c>
      <c r="N3221" s="1">
        <v>5051.8999999999996</v>
      </c>
      <c r="O3221" s="1" t="s">
        <v>64</v>
      </c>
      <c r="P3221" s="1" t="s">
        <v>215</v>
      </c>
      <c r="Q3221" s="1">
        <v>3</v>
      </c>
      <c r="R3221" s="1">
        <f>Retail_Sales_Analyis[[#This Row],[Final_Price]]-Retail_Sales_Analyis[[#This Row],[Total_Price]]</f>
        <v>0</v>
      </c>
      <c r="S32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2" spans="1:19" x14ac:dyDescent="0.25">
      <c r="A3222" s="1" t="s">
        <v>4326</v>
      </c>
      <c r="B3222" s="2">
        <v>45486</v>
      </c>
      <c r="C3222" s="1" t="s">
        <v>195</v>
      </c>
      <c r="D3222" s="1" t="s">
        <v>19</v>
      </c>
      <c r="E3222" s="1" t="s">
        <v>196</v>
      </c>
      <c r="F3222" s="1" t="s">
        <v>84</v>
      </c>
      <c r="G3222" s="1" t="s">
        <v>85</v>
      </c>
      <c r="H3222" s="1" t="s">
        <v>297</v>
      </c>
      <c r="I3222" s="1">
        <v>2339.79</v>
      </c>
      <c r="J3222" s="1">
        <v>6</v>
      </c>
      <c r="K3222" s="1">
        <v>14038.74</v>
      </c>
      <c r="L3222" s="1">
        <v>0</v>
      </c>
      <c r="M3222" s="1">
        <v>0</v>
      </c>
      <c r="N3222" s="1">
        <v>14038.74</v>
      </c>
      <c r="O3222" s="1" t="s">
        <v>80</v>
      </c>
      <c r="P3222" s="1" t="s">
        <v>1713</v>
      </c>
      <c r="Q3222" s="1">
        <v>2</v>
      </c>
      <c r="R3222" s="1">
        <f>Retail_Sales_Analyis[[#This Row],[Final_Price]]-Retail_Sales_Analyis[[#This Row],[Total_Price]]</f>
        <v>0</v>
      </c>
      <c r="S32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3" spans="1:19" x14ac:dyDescent="0.25">
      <c r="A3223" s="1" t="s">
        <v>4327</v>
      </c>
      <c r="B3223" s="2">
        <v>45378</v>
      </c>
      <c r="C3223" s="1" t="s">
        <v>61</v>
      </c>
      <c r="D3223" s="1" t="s">
        <v>55</v>
      </c>
      <c r="E3223" s="1" t="s">
        <v>83</v>
      </c>
      <c r="F3223" s="1" t="s">
        <v>30</v>
      </c>
      <c r="G3223" s="1" t="s">
        <v>31</v>
      </c>
      <c r="H3223" s="1" t="s">
        <v>45</v>
      </c>
      <c r="I3223" s="1">
        <v>439.01</v>
      </c>
      <c r="J3223" s="1">
        <v>10</v>
      </c>
      <c r="K3223" s="1">
        <v>4390.1000000000004</v>
      </c>
      <c r="L3223" s="1">
        <v>0</v>
      </c>
      <c r="M3223" s="1">
        <v>0</v>
      </c>
      <c r="N3223" s="1">
        <v>4390.1000000000004</v>
      </c>
      <c r="O3223" s="1" t="s">
        <v>24</v>
      </c>
      <c r="P3223" s="1" t="s">
        <v>4035</v>
      </c>
      <c r="Q3223" s="1">
        <v>3</v>
      </c>
      <c r="R3223" s="1">
        <f>Retail_Sales_Analyis[[#This Row],[Final_Price]]-Retail_Sales_Analyis[[#This Row],[Total_Price]]</f>
        <v>0</v>
      </c>
      <c r="S32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4" spans="1:19" x14ac:dyDescent="0.25">
      <c r="A3224" s="1" t="s">
        <v>4328</v>
      </c>
      <c r="B3224" s="2">
        <v>45363</v>
      </c>
      <c r="C3224" s="1" t="s">
        <v>61</v>
      </c>
      <c r="D3224" s="1" t="s">
        <v>28</v>
      </c>
      <c r="E3224" s="1" t="s">
        <v>29</v>
      </c>
      <c r="F3224" s="1" t="s">
        <v>69</v>
      </c>
      <c r="G3224" s="1" t="s">
        <v>38</v>
      </c>
      <c r="H3224" s="1" t="s">
        <v>108</v>
      </c>
      <c r="I3224" s="1">
        <v>313.52999999999997</v>
      </c>
      <c r="J3224" s="1">
        <v>1</v>
      </c>
      <c r="K3224" s="1">
        <v>313.52999999999997</v>
      </c>
      <c r="L3224" s="1">
        <v>0</v>
      </c>
      <c r="M3224" s="1">
        <v>0</v>
      </c>
      <c r="N3224" s="1">
        <v>313.52999999999997</v>
      </c>
      <c r="O3224" s="1" t="s">
        <v>64</v>
      </c>
      <c r="P3224" s="1" t="s">
        <v>1929</v>
      </c>
      <c r="Q3224" s="1">
        <v>5</v>
      </c>
      <c r="R3224" s="1">
        <f>Retail_Sales_Analyis[[#This Row],[Final_Price]]-Retail_Sales_Analyis[[#This Row],[Total_Price]]</f>
        <v>0</v>
      </c>
      <c r="S32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5" spans="1:19" x14ac:dyDescent="0.25">
      <c r="A3225" s="1" t="s">
        <v>4329</v>
      </c>
      <c r="B3225" s="2">
        <v>45429</v>
      </c>
      <c r="C3225" s="1" t="s">
        <v>42</v>
      </c>
      <c r="D3225" s="1" t="s">
        <v>144</v>
      </c>
      <c r="E3225" s="1" t="s">
        <v>239</v>
      </c>
      <c r="F3225" s="1" t="s">
        <v>30</v>
      </c>
      <c r="G3225" s="1" t="s">
        <v>169</v>
      </c>
      <c r="H3225" s="1" t="s">
        <v>348</v>
      </c>
      <c r="I3225" s="1">
        <v>1165.27</v>
      </c>
      <c r="J3225" s="1">
        <v>5</v>
      </c>
      <c r="K3225" s="1">
        <v>5826.35</v>
      </c>
      <c r="L3225" s="1">
        <v>15</v>
      </c>
      <c r="M3225" s="1">
        <v>873.95</v>
      </c>
      <c r="N3225" s="1">
        <v>4952.3999999999996</v>
      </c>
      <c r="O3225" s="1" t="s">
        <v>33</v>
      </c>
      <c r="P3225" s="1" t="s">
        <v>777</v>
      </c>
      <c r="Q3225" s="1">
        <v>2</v>
      </c>
      <c r="R3225" s="1">
        <f>Retail_Sales_Analyis[[#This Row],[Final_Price]]-Retail_Sales_Analyis[[#This Row],[Total_Price]]</f>
        <v>-873.95000000000073</v>
      </c>
      <c r="S32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26" spans="1:19" x14ac:dyDescent="0.25">
      <c r="A3226" s="1" t="s">
        <v>4330</v>
      </c>
      <c r="B3226" s="2">
        <v>45446</v>
      </c>
      <c r="C3226" s="1" t="s">
        <v>173</v>
      </c>
      <c r="D3226" s="1" t="s">
        <v>43</v>
      </c>
      <c r="E3226" s="1" t="s">
        <v>411</v>
      </c>
      <c r="F3226" s="1" t="s">
        <v>21</v>
      </c>
      <c r="G3226" s="1" t="s">
        <v>169</v>
      </c>
      <c r="H3226" s="1" t="s">
        <v>348</v>
      </c>
      <c r="I3226" s="1">
        <v>519.79</v>
      </c>
      <c r="J3226" s="1">
        <v>6</v>
      </c>
      <c r="K3226" s="1">
        <v>3118.74</v>
      </c>
      <c r="L3226" s="1">
        <v>10</v>
      </c>
      <c r="M3226" s="1">
        <v>311.87</v>
      </c>
      <c r="N3226" s="1">
        <v>2806.87</v>
      </c>
      <c r="O3226" s="1" t="s">
        <v>24</v>
      </c>
      <c r="P3226" s="1" t="s">
        <v>1968</v>
      </c>
      <c r="Q3226" s="1">
        <v>3</v>
      </c>
      <c r="R3226" s="1">
        <f>Retail_Sales_Analyis[[#This Row],[Final_Price]]-Retail_Sales_Analyis[[#This Row],[Total_Price]]</f>
        <v>-311.86999999999989</v>
      </c>
      <c r="S32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27" spans="1:19" x14ac:dyDescent="0.25">
      <c r="A3227" s="1" t="s">
        <v>4331</v>
      </c>
      <c r="B3227" s="2">
        <v>45429</v>
      </c>
      <c r="C3227" s="1" t="s">
        <v>42</v>
      </c>
      <c r="D3227" s="1" t="s">
        <v>144</v>
      </c>
      <c r="E3227" s="1" t="s">
        <v>20</v>
      </c>
      <c r="F3227" s="1" t="s">
        <v>84</v>
      </c>
      <c r="G3227" s="1" t="s">
        <v>85</v>
      </c>
      <c r="H3227" s="1" t="s">
        <v>86</v>
      </c>
      <c r="I3227" s="1">
        <v>2784.06</v>
      </c>
      <c r="J3227" s="1">
        <v>7</v>
      </c>
      <c r="K3227" s="1">
        <v>19488.419999999998</v>
      </c>
      <c r="L3227" s="1">
        <v>10</v>
      </c>
      <c r="M3227" s="1">
        <v>1948.84</v>
      </c>
      <c r="N3227" s="1">
        <v>17539.580000000002</v>
      </c>
      <c r="O3227" s="1" t="s">
        <v>80</v>
      </c>
      <c r="P3227" s="1" t="s">
        <v>1307</v>
      </c>
      <c r="Q3227" s="1">
        <v>5</v>
      </c>
      <c r="R3227" s="1">
        <f>Retail_Sales_Analyis[[#This Row],[Final_Price]]-Retail_Sales_Analyis[[#This Row],[Total_Price]]</f>
        <v>-1948.8399999999965</v>
      </c>
      <c r="S32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28" spans="1:19" x14ac:dyDescent="0.25">
      <c r="A3228" s="1" t="s">
        <v>4332</v>
      </c>
      <c r="B3228" s="2">
        <v>45544</v>
      </c>
      <c r="C3228" s="1" t="s">
        <v>116</v>
      </c>
      <c r="D3228" s="1" t="s">
        <v>43</v>
      </c>
      <c r="E3228" s="1" t="s">
        <v>312</v>
      </c>
      <c r="F3228" s="1" t="s">
        <v>30</v>
      </c>
      <c r="G3228" s="1" t="s">
        <v>31</v>
      </c>
      <c r="H3228" s="1" t="s">
        <v>32</v>
      </c>
      <c r="I3228" s="1">
        <v>198.79</v>
      </c>
      <c r="J3228" s="1">
        <v>5</v>
      </c>
      <c r="K3228" s="1">
        <v>993.95</v>
      </c>
      <c r="L3228" s="1">
        <v>0</v>
      </c>
      <c r="M3228" s="1">
        <v>0</v>
      </c>
      <c r="N3228" s="1">
        <v>993.95</v>
      </c>
      <c r="O3228" s="1" t="s">
        <v>80</v>
      </c>
      <c r="P3228" s="1" t="s">
        <v>892</v>
      </c>
      <c r="Q3228" s="1">
        <v>3</v>
      </c>
      <c r="R3228" s="1">
        <f>Retail_Sales_Analyis[[#This Row],[Final_Price]]-Retail_Sales_Analyis[[#This Row],[Total_Price]]</f>
        <v>0</v>
      </c>
      <c r="S32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29" spans="1:19" x14ac:dyDescent="0.25">
      <c r="A3229" s="1" t="s">
        <v>4333</v>
      </c>
      <c r="B3229" s="2">
        <v>45366</v>
      </c>
      <c r="C3229" s="1" t="s">
        <v>61</v>
      </c>
      <c r="D3229" s="1" t="s">
        <v>144</v>
      </c>
      <c r="E3229" s="1" t="s">
        <v>168</v>
      </c>
      <c r="F3229" s="1" t="s">
        <v>21</v>
      </c>
      <c r="G3229" s="1" t="s">
        <v>169</v>
      </c>
      <c r="H3229" s="1" t="s">
        <v>366</v>
      </c>
      <c r="I3229" s="1">
        <v>633.16</v>
      </c>
      <c r="J3229" s="1">
        <v>2</v>
      </c>
      <c r="K3229" s="1">
        <v>1266.32</v>
      </c>
      <c r="L3229" s="1">
        <v>10</v>
      </c>
      <c r="M3229" s="1">
        <v>126.63</v>
      </c>
      <c r="N3229" s="1">
        <v>1139.69</v>
      </c>
      <c r="O3229" s="1" t="s">
        <v>64</v>
      </c>
      <c r="P3229" s="1" t="s">
        <v>407</v>
      </c>
      <c r="Q3229" s="1">
        <v>5</v>
      </c>
      <c r="R3229" s="1">
        <f>Retail_Sales_Analyis[[#This Row],[Final_Price]]-Retail_Sales_Analyis[[#This Row],[Total_Price]]</f>
        <v>-126.62999999999988</v>
      </c>
      <c r="S32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30" spans="1:19" x14ac:dyDescent="0.25">
      <c r="A3230" s="1" t="s">
        <v>4334</v>
      </c>
      <c r="B3230" s="2">
        <v>45324</v>
      </c>
      <c r="C3230" s="1" t="s">
        <v>27</v>
      </c>
      <c r="D3230" s="1" t="s">
        <v>144</v>
      </c>
      <c r="E3230" s="1" t="s">
        <v>104</v>
      </c>
      <c r="F3230" s="1" t="s">
        <v>37</v>
      </c>
      <c r="G3230" s="1" t="s">
        <v>112</v>
      </c>
      <c r="H3230" s="1" t="s">
        <v>118</v>
      </c>
      <c r="I3230" s="1">
        <v>1943.84</v>
      </c>
      <c r="J3230" s="1">
        <v>7</v>
      </c>
      <c r="K3230" s="1">
        <v>13606.88</v>
      </c>
      <c r="L3230" s="1">
        <v>0</v>
      </c>
      <c r="M3230" s="1">
        <v>0</v>
      </c>
      <c r="N3230" s="1">
        <v>13606.88</v>
      </c>
      <c r="O3230" s="1" t="s">
        <v>33</v>
      </c>
      <c r="P3230" s="1" t="s">
        <v>1725</v>
      </c>
      <c r="Q3230" s="1">
        <v>3</v>
      </c>
      <c r="R3230" s="1">
        <f>Retail_Sales_Analyis[[#This Row],[Final_Price]]-Retail_Sales_Analyis[[#This Row],[Total_Price]]</f>
        <v>0</v>
      </c>
      <c r="S32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31" spans="1:19" x14ac:dyDescent="0.25">
      <c r="A3231" s="1" t="s">
        <v>4335</v>
      </c>
      <c r="B3231" s="2">
        <v>45377</v>
      </c>
      <c r="C3231" s="1" t="s">
        <v>61</v>
      </c>
      <c r="D3231" s="1" t="s">
        <v>28</v>
      </c>
      <c r="E3231" s="1" t="s">
        <v>322</v>
      </c>
      <c r="F3231" s="1" t="s">
        <v>21</v>
      </c>
      <c r="G3231" s="1" t="s">
        <v>57</v>
      </c>
      <c r="H3231" s="1" t="s">
        <v>158</v>
      </c>
      <c r="I3231" s="1">
        <v>1255.26</v>
      </c>
      <c r="J3231" s="1">
        <v>4</v>
      </c>
      <c r="K3231" s="1">
        <v>5021.04</v>
      </c>
      <c r="L3231" s="1">
        <v>10</v>
      </c>
      <c r="M3231" s="1">
        <v>502.1</v>
      </c>
      <c r="N3231" s="1">
        <v>4518.9399999999996</v>
      </c>
      <c r="O3231" s="1" t="s">
        <v>80</v>
      </c>
      <c r="P3231" s="1" t="s">
        <v>1627</v>
      </c>
      <c r="Q3231" s="1">
        <v>1</v>
      </c>
      <c r="R3231" s="1">
        <f>Retail_Sales_Analyis[[#This Row],[Final_Price]]-Retail_Sales_Analyis[[#This Row],[Total_Price]]</f>
        <v>-502.10000000000036</v>
      </c>
      <c r="S32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32" spans="1:19" x14ac:dyDescent="0.25">
      <c r="A3232" s="1" t="s">
        <v>4336</v>
      </c>
      <c r="B3232" s="2">
        <v>45514</v>
      </c>
      <c r="C3232" s="1" t="s">
        <v>93</v>
      </c>
      <c r="D3232" s="1" t="s">
        <v>19</v>
      </c>
      <c r="E3232" s="1" t="s">
        <v>302</v>
      </c>
      <c r="F3232" s="1" t="s">
        <v>30</v>
      </c>
      <c r="G3232" s="1" t="s">
        <v>38</v>
      </c>
      <c r="H3232" s="1" t="s">
        <v>70</v>
      </c>
      <c r="I3232" s="1">
        <v>300.44</v>
      </c>
      <c r="J3232" s="1">
        <v>5</v>
      </c>
      <c r="K3232" s="1">
        <v>1502.2</v>
      </c>
      <c r="L3232" s="1">
        <v>5</v>
      </c>
      <c r="M3232" s="1">
        <v>75.11</v>
      </c>
      <c r="N3232" s="1">
        <v>1427.09</v>
      </c>
      <c r="O3232" s="1" t="s">
        <v>80</v>
      </c>
      <c r="P3232" s="1" t="s">
        <v>3145</v>
      </c>
      <c r="Q3232" s="1">
        <v>2</v>
      </c>
      <c r="R3232" s="1">
        <f>Retail_Sales_Analyis[[#This Row],[Final_Price]]-Retail_Sales_Analyis[[#This Row],[Total_Price]]</f>
        <v>-75.110000000000127</v>
      </c>
      <c r="S32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33" spans="1:19" x14ac:dyDescent="0.25">
      <c r="A3233" s="1" t="s">
        <v>4337</v>
      </c>
      <c r="B3233" s="2">
        <v>45433</v>
      </c>
      <c r="C3233" s="1" t="s">
        <v>42</v>
      </c>
      <c r="D3233" s="1" t="s">
        <v>28</v>
      </c>
      <c r="E3233" s="1" t="s">
        <v>97</v>
      </c>
      <c r="F3233" s="1" t="s">
        <v>21</v>
      </c>
      <c r="G3233" s="1" t="s">
        <v>169</v>
      </c>
      <c r="H3233" s="1" t="s">
        <v>208</v>
      </c>
      <c r="I3233" s="1">
        <v>1477.43</v>
      </c>
      <c r="J3233" s="1">
        <v>7</v>
      </c>
      <c r="K3233" s="1">
        <v>10342.01</v>
      </c>
      <c r="L3233" s="1">
        <v>10</v>
      </c>
      <c r="M3233" s="1">
        <v>1034.2</v>
      </c>
      <c r="N3233" s="1">
        <v>9307.81</v>
      </c>
      <c r="O3233" s="1" t="s">
        <v>33</v>
      </c>
      <c r="P3233" s="1" t="s">
        <v>1482</v>
      </c>
      <c r="Q3233" s="1">
        <v>2</v>
      </c>
      <c r="R3233" s="1">
        <f>Retail_Sales_Analyis[[#This Row],[Final_Price]]-Retail_Sales_Analyis[[#This Row],[Total_Price]]</f>
        <v>-1034.2000000000007</v>
      </c>
      <c r="S32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34" spans="1:19" x14ac:dyDescent="0.25">
      <c r="A3234" s="1" t="s">
        <v>4338</v>
      </c>
      <c r="B3234" s="2">
        <v>45507</v>
      </c>
      <c r="C3234" s="1" t="s">
        <v>93</v>
      </c>
      <c r="D3234" s="1" t="s">
        <v>19</v>
      </c>
      <c r="E3234" s="1" t="s">
        <v>50</v>
      </c>
      <c r="F3234" s="1" t="s">
        <v>30</v>
      </c>
      <c r="G3234" s="1" t="s">
        <v>57</v>
      </c>
      <c r="H3234" s="1" t="s">
        <v>152</v>
      </c>
      <c r="I3234" s="1">
        <v>2905.05</v>
      </c>
      <c r="J3234" s="1">
        <v>8</v>
      </c>
      <c r="K3234" s="1">
        <v>23240.400000000001</v>
      </c>
      <c r="L3234" s="1">
        <v>0</v>
      </c>
      <c r="M3234" s="1">
        <v>0</v>
      </c>
      <c r="N3234" s="1">
        <v>23240.400000000001</v>
      </c>
      <c r="O3234" s="1" t="s">
        <v>33</v>
      </c>
      <c r="P3234" s="1" t="s">
        <v>4339</v>
      </c>
      <c r="Q3234" s="1">
        <v>3</v>
      </c>
      <c r="R3234" s="1">
        <f>Retail_Sales_Analyis[[#This Row],[Final_Price]]-Retail_Sales_Analyis[[#This Row],[Total_Price]]</f>
        <v>0</v>
      </c>
      <c r="S32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35" spans="1:19" x14ac:dyDescent="0.25">
      <c r="A3235" s="1" t="s">
        <v>4340</v>
      </c>
      <c r="B3235" s="2">
        <v>45445</v>
      </c>
      <c r="C3235" s="1" t="s">
        <v>173</v>
      </c>
      <c r="D3235" s="1" t="s">
        <v>49</v>
      </c>
      <c r="E3235" s="1" t="s">
        <v>97</v>
      </c>
      <c r="F3235" s="1" t="s">
        <v>21</v>
      </c>
      <c r="G3235" s="1" t="s">
        <v>112</v>
      </c>
      <c r="H3235" s="1" t="s">
        <v>118</v>
      </c>
      <c r="I3235" s="1">
        <v>1951.7</v>
      </c>
      <c r="J3235" s="1">
        <v>2</v>
      </c>
      <c r="K3235" s="1">
        <v>3903.4</v>
      </c>
      <c r="L3235" s="1">
        <v>5</v>
      </c>
      <c r="M3235" s="1">
        <v>195.17</v>
      </c>
      <c r="N3235" s="1">
        <v>3708.23</v>
      </c>
      <c r="O3235" s="1" t="s">
        <v>24</v>
      </c>
      <c r="P3235" s="1" t="s">
        <v>3906</v>
      </c>
      <c r="Q3235" s="1">
        <v>2</v>
      </c>
      <c r="R3235" s="1">
        <f>Retail_Sales_Analyis[[#This Row],[Final_Price]]-Retail_Sales_Analyis[[#This Row],[Total_Price]]</f>
        <v>-195.17000000000007</v>
      </c>
      <c r="S323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36" spans="1:19" x14ac:dyDescent="0.25">
      <c r="A3236" s="1" t="s">
        <v>4341</v>
      </c>
      <c r="B3236" s="2">
        <v>45539</v>
      </c>
      <c r="C3236" s="1" t="s">
        <v>116</v>
      </c>
      <c r="D3236" s="1" t="s">
        <v>55</v>
      </c>
      <c r="E3236" s="1" t="s">
        <v>20</v>
      </c>
      <c r="F3236" s="1" t="s">
        <v>69</v>
      </c>
      <c r="G3236" s="1" t="s">
        <v>38</v>
      </c>
      <c r="H3236" s="1" t="s">
        <v>214</v>
      </c>
      <c r="I3236" s="1">
        <v>273.64999999999998</v>
      </c>
      <c r="J3236" s="1">
        <v>4</v>
      </c>
      <c r="K3236" s="1">
        <v>1094.5999999999999</v>
      </c>
      <c r="L3236" s="1">
        <v>20</v>
      </c>
      <c r="M3236" s="1">
        <v>218.92</v>
      </c>
      <c r="N3236" s="1">
        <v>875.68</v>
      </c>
      <c r="O3236" s="1" t="s">
        <v>33</v>
      </c>
      <c r="P3236" s="1" t="s">
        <v>2543</v>
      </c>
      <c r="Q3236" s="1">
        <v>2</v>
      </c>
      <c r="R3236" s="1">
        <f>Retail_Sales_Analyis[[#This Row],[Final_Price]]-Retail_Sales_Analyis[[#This Row],[Total_Price]]</f>
        <v>-218.91999999999996</v>
      </c>
      <c r="S32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37" spans="1:19" x14ac:dyDescent="0.25">
      <c r="A3237" s="1" t="s">
        <v>4342</v>
      </c>
      <c r="B3237" s="2">
        <v>45331</v>
      </c>
      <c r="C3237" s="1" t="s">
        <v>27</v>
      </c>
      <c r="D3237" s="1" t="s">
        <v>144</v>
      </c>
      <c r="E3237" s="1" t="s">
        <v>186</v>
      </c>
      <c r="F3237" s="1" t="s">
        <v>37</v>
      </c>
      <c r="G3237" s="1" t="s">
        <v>22</v>
      </c>
      <c r="H3237" s="1" t="s">
        <v>23</v>
      </c>
      <c r="I3237" s="1">
        <v>427.42</v>
      </c>
      <c r="J3237" s="1">
        <v>8</v>
      </c>
      <c r="K3237" s="1">
        <v>3419.36</v>
      </c>
      <c r="L3237" s="1">
        <v>20</v>
      </c>
      <c r="M3237" s="1">
        <v>683.87</v>
      </c>
      <c r="N3237" s="1">
        <v>2735.49</v>
      </c>
      <c r="O3237" s="1" t="s">
        <v>46</v>
      </c>
      <c r="P3237" s="1" t="s">
        <v>2201</v>
      </c>
      <c r="Q3237" s="1">
        <v>4</v>
      </c>
      <c r="R3237" s="1">
        <f>Retail_Sales_Analyis[[#This Row],[Final_Price]]-Retail_Sales_Analyis[[#This Row],[Total_Price]]</f>
        <v>-683.87000000000035</v>
      </c>
      <c r="S32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38" spans="1:19" x14ac:dyDescent="0.25">
      <c r="A3238" s="1" t="s">
        <v>4343</v>
      </c>
      <c r="B3238" s="2">
        <v>45476</v>
      </c>
      <c r="C3238" s="1" t="s">
        <v>195</v>
      </c>
      <c r="D3238" s="1" t="s">
        <v>55</v>
      </c>
      <c r="E3238" s="1" t="s">
        <v>141</v>
      </c>
      <c r="F3238" s="1" t="s">
        <v>21</v>
      </c>
      <c r="G3238" s="1" t="s">
        <v>169</v>
      </c>
      <c r="H3238" s="1" t="s">
        <v>366</v>
      </c>
      <c r="I3238" s="1">
        <v>1050.6500000000001</v>
      </c>
      <c r="J3238" s="1">
        <v>4</v>
      </c>
      <c r="K3238" s="1">
        <v>4202.6000000000004</v>
      </c>
      <c r="L3238" s="1">
        <v>10</v>
      </c>
      <c r="M3238" s="1">
        <v>420.26</v>
      </c>
      <c r="N3238" s="1">
        <v>3782.34</v>
      </c>
      <c r="O3238" s="1" t="s">
        <v>24</v>
      </c>
      <c r="P3238" s="1" t="s">
        <v>467</v>
      </c>
      <c r="Q3238" s="1">
        <v>4</v>
      </c>
      <c r="R3238" s="1">
        <f>Retail_Sales_Analyis[[#This Row],[Final_Price]]-Retail_Sales_Analyis[[#This Row],[Total_Price]]</f>
        <v>-420.26000000000022</v>
      </c>
      <c r="S32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39" spans="1:19" x14ac:dyDescent="0.25">
      <c r="A3239" s="1" t="s">
        <v>4344</v>
      </c>
      <c r="B3239" s="2">
        <v>45420</v>
      </c>
      <c r="C3239" s="1" t="s">
        <v>42</v>
      </c>
      <c r="D3239" s="1" t="s">
        <v>55</v>
      </c>
      <c r="E3239" s="1" t="s">
        <v>166</v>
      </c>
      <c r="F3239" s="1" t="s">
        <v>30</v>
      </c>
      <c r="G3239" s="1" t="s">
        <v>31</v>
      </c>
      <c r="H3239" s="1" t="s">
        <v>45</v>
      </c>
      <c r="I3239" s="1">
        <v>391.23</v>
      </c>
      <c r="J3239" s="1">
        <v>1</v>
      </c>
      <c r="K3239" s="1">
        <v>391.23</v>
      </c>
      <c r="L3239" s="1">
        <v>5</v>
      </c>
      <c r="M3239" s="1">
        <v>19.559999999999999</v>
      </c>
      <c r="N3239" s="1">
        <v>371.67</v>
      </c>
      <c r="O3239" s="1" t="s">
        <v>33</v>
      </c>
      <c r="P3239" s="1" t="s">
        <v>800</v>
      </c>
      <c r="Q3239" s="1">
        <v>1</v>
      </c>
      <c r="R3239" s="1">
        <f>Retail_Sales_Analyis[[#This Row],[Final_Price]]-Retail_Sales_Analyis[[#This Row],[Total_Price]]</f>
        <v>-19.560000000000002</v>
      </c>
      <c r="S32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40" spans="1:19" x14ac:dyDescent="0.25">
      <c r="A3240" s="1" t="s">
        <v>4345</v>
      </c>
      <c r="B3240" s="2">
        <v>45418</v>
      </c>
      <c r="C3240" s="1" t="s">
        <v>42</v>
      </c>
      <c r="D3240" s="1" t="s">
        <v>43</v>
      </c>
      <c r="E3240" s="1" t="s">
        <v>97</v>
      </c>
      <c r="F3240" s="1" t="s">
        <v>30</v>
      </c>
      <c r="G3240" s="1" t="s">
        <v>78</v>
      </c>
      <c r="H3240" s="1" t="s">
        <v>126</v>
      </c>
      <c r="I3240" s="1">
        <v>330.6</v>
      </c>
      <c r="J3240" s="1">
        <v>4</v>
      </c>
      <c r="K3240" s="1">
        <v>1322.4</v>
      </c>
      <c r="L3240" s="1">
        <v>0</v>
      </c>
      <c r="M3240" s="1">
        <v>0</v>
      </c>
      <c r="N3240" s="1">
        <v>1322.4</v>
      </c>
      <c r="O3240" s="1" t="s">
        <v>33</v>
      </c>
      <c r="P3240" s="1" t="s">
        <v>2175</v>
      </c>
      <c r="Q3240" s="1">
        <v>3</v>
      </c>
      <c r="R3240" s="1">
        <f>Retail_Sales_Analyis[[#This Row],[Final_Price]]-Retail_Sales_Analyis[[#This Row],[Total_Price]]</f>
        <v>0</v>
      </c>
      <c r="S32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41" spans="1:19" x14ac:dyDescent="0.25">
      <c r="A3241" s="1" t="s">
        <v>4346</v>
      </c>
      <c r="B3241" s="2">
        <v>45612</v>
      </c>
      <c r="C3241" s="1" t="s">
        <v>18</v>
      </c>
      <c r="D3241" s="1" t="s">
        <v>19</v>
      </c>
      <c r="E3241" s="1" t="s">
        <v>62</v>
      </c>
      <c r="F3241" s="1" t="s">
        <v>21</v>
      </c>
      <c r="G3241" s="1" t="s">
        <v>112</v>
      </c>
      <c r="H3241" s="1" t="s">
        <v>113</v>
      </c>
      <c r="I3241" s="1">
        <v>1442.72</v>
      </c>
      <c r="J3241" s="1">
        <v>9</v>
      </c>
      <c r="K3241" s="1">
        <v>12984.48</v>
      </c>
      <c r="L3241" s="1">
        <v>15</v>
      </c>
      <c r="M3241" s="1">
        <v>1947.67</v>
      </c>
      <c r="N3241" s="1">
        <v>11036.81</v>
      </c>
      <c r="O3241" s="1" t="s">
        <v>80</v>
      </c>
      <c r="P3241" s="1" t="s">
        <v>291</v>
      </c>
      <c r="Q3241" s="1">
        <v>2</v>
      </c>
      <c r="R3241" s="1">
        <f>Retail_Sales_Analyis[[#This Row],[Final_Price]]-Retail_Sales_Analyis[[#This Row],[Total_Price]]</f>
        <v>-1947.67</v>
      </c>
      <c r="S32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42" spans="1:19" x14ac:dyDescent="0.25">
      <c r="A3242" s="1" t="s">
        <v>4347</v>
      </c>
      <c r="B3242" s="2">
        <v>45545</v>
      </c>
      <c r="C3242" s="1" t="s">
        <v>116</v>
      </c>
      <c r="D3242" s="1" t="s">
        <v>28</v>
      </c>
      <c r="E3242" s="1" t="s">
        <v>166</v>
      </c>
      <c r="F3242" s="1" t="s">
        <v>84</v>
      </c>
      <c r="G3242" s="1" t="s">
        <v>85</v>
      </c>
      <c r="H3242" s="1" t="s">
        <v>90</v>
      </c>
      <c r="I3242" s="1">
        <v>3819.57</v>
      </c>
      <c r="J3242" s="1">
        <v>7</v>
      </c>
      <c r="K3242" s="1">
        <v>26736.99</v>
      </c>
      <c r="L3242" s="1">
        <v>5</v>
      </c>
      <c r="M3242" s="1">
        <v>1336.85</v>
      </c>
      <c r="N3242" s="1">
        <v>25400.14</v>
      </c>
      <c r="O3242" s="1" t="s">
        <v>80</v>
      </c>
      <c r="P3242" s="1" t="s">
        <v>2085</v>
      </c>
      <c r="Q3242" s="1">
        <v>1</v>
      </c>
      <c r="R3242" s="1">
        <f>Retail_Sales_Analyis[[#This Row],[Final_Price]]-Retail_Sales_Analyis[[#This Row],[Total_Price]]</f>
        <v>-1336.8500000000022</v>
      </c>
      <c r="S32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43" spans="1:19" x14ac:dyDescent="0.25">
      <c r="A3243" s="1" t="s">
        <v>4348</v>
      </c>
      <c r="B3243" s="2">
        <v>45596</v>
      </c>
      <c r="C3243" s="1" t="s">
        <v>76</v>
      </c>
      <c r="D3243" s="1" t="s">
        <v>67</v>
      </c>
      <c r="E3243" s="1" t="s">
        <v>141</v>
      </c>
      <c r="F3243" s="1" t="s">
        <v>84</v>
      </c>
      <c r="G3243" s="1" t="s">
        <v>22</v>
      </c>
      <c r="H3243" s="1" t="s">
        <v>187</v>
      </c>
      <c r="I3243" s="1">
        <v>937.87</v>
      </c>
      <c r="J3243" s="1">
        <v>10</v>
      </c>
      <c r="K3243" s="1">
        <v>9378.7000000000007</v>
      </c>
      <c r="L3243" s="1">
        <v>10</v>
      </c>
      <c r="M3243" s="1">
        <v>937.87</v>
      </c>
      <c r="N3243" s="1">
        <v>8440.83</v>
      </c>
      <c r="O3243" s="1" t="s">
        <v>46</v>
      </c>
      <c r="P3243" s="1" t="s">
        <v>52</v>
      </c>
      <c r="Q3243" s="1">
        <v>2</v>
      </c>
      <c r="R3243" s="1">
        <f>Retail_Sales_Analyis[[#This Row],[Final_Price]]-Retail_Sales_Analyis[[#This Row],[Total_Price]]</f>
        <v>-937.8700000000008</v>
      </c>
      <c r="S32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44" spans="1:19" x14ac:dyDescent="0.25">
      <c r="A3244" s="1" t="s">
        <v>4349</v>
      </c>
      <c r="B3244" s="2">
        <v>45607</v>
      </c>
      <c r="C3244" s="1" t="s">
        <v>18</v>
      </c>
      <c r="D3244" s="1" t="s">
        <v>43</v>
      </c>
      <c r="E3244" s="1" t="s">
        <v>342</v>
      </c>
      <c r="F3244" s="1" t="s">
        <v>21</v>
      </c>
      <c r="G3244" s="1" t="s">
        <v>85</v>
      </c>
      <c r="H3244" s="1" t="s">
        <v>90</v>
      </c>
      <c r="I3244" s="1">
        <v>4960.59</v>
      </c>
      <c r="J3244" s="1">
        <v>8</v>
      </c>
      <c r="K3244" s="1">
        <v>39684.720000000001</v>
      </c>
      <c r="L3244" s="1">
        <v>0</v>
      </c>
      <c r="M3244" s="1">
        <v>0</v>
      </c>
      <c r="N3244" s="1">
        <v>39684.720000000001</v>
      </c>
      <c r="O3244" s="1" t="s">
        <v>46</v>
      </c>
      <c r="P3244" s="1" t="s">
        <v>2175</v>
      </c>
      <c r="Q3244" s="1">
        <v>2</v>
      </c>
      <c r="R3244" s="1">
        <f>Retail_Sales_Analyis[[#This Row],[Final_Price]]-Retail_Sales_Analyis[[#This Row],[Total_Price]]</f>
        <v>0</v>
      </c>
      <c r="S32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45" spans="1:19" x14ac:dyDescent="0.25">
      <c r="A3245" s="1" t="s">
        <v>4350</v>
      </c>
      <c r="B3245" s="2">
        <v>45392</v>
      </c>
      <c r="C3245" s="1" t="s">
        <v>54</v>
      </c>
      <c r="D3245" s="1" t="s">
        <v>55</v>
      </c>
      <c r="E3245" s="1" t="s">
        <v>204</v>
      </c>
      <c r="F3245" s="1" t="s">
        <v>21</v>
      </c>
      <c r="G3245" s="1" t="s">
        <v>57</v>
      </c>
      <c r="H3245" s="1" t="s">
        <v>101</v>
      </c>
      <c r="I3245" s="1">
        <v>2480.58</v>
      </c>
      <c r="J3245" s="1">
        <v>9</v>
      </c>
      <c r="K3245" s="1">
        <v>22325.22</v>
      </c>
      <c r="L3245" s="1">
        <v>10</v>
      </c>
      <c r="M3245" s="1">
        <v>2232.52</v>
      </c>
      <c r="N3245" s="1">
        <v>20092.7</v>
      </c>
      <c r="O3245" s="1" t="s">
        <v>33</v>
      </c>
      <c r="P3245" s="1" t="s">
        <v>1048</v>
      </c>
      <c r="Q3245" s="1">
        <v>1</v>
      </c>
      <c r="R3245" s="1">
        <f>Retail_Sales_Analyis[[#This Row],[Final_Price]]-Retail_Sales_Analyis[[#This Row],[Total_Price]]</f>
        <v>-2232.5200000000004</v>
      </c>
      <c r="S32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46" spans="1:19" x14ac:dyDescent="0.25">
      <c r="A3246" s="1" t="s">
        <v>4351</v>
      </c>
      <c r="B3246" s="2">
        <v>45526</v>
      </c>
      <c r="C3246" s="1" t="s">
        <v>93</v>
      </c>
      <c r="D3246" s="1" t="s">
        <v>67</v>
      </c>
      <c r="E3246" s="1" t="s">
        <v>94</v>
      </c>
      <c r="F3246" s="1" t="s">
        <v>21</v>
      </c>
      <c r="G3246" s="1" t="s">
        <v>85</v>
      </c>
      <c r="H3246" s="1" t="s">
        <v>297</v>
      </c>
      <c r="I3246" s="1">
        <v>1831.94</v>
      </c>
      <c r="J3246" s="1">
        <v>7</v>
      </c>
      <c r="K3246" s="1">
        <v>12823.58</v>
      </c>
      <c r="L3246" s="1">
        <v>5</v>
      </c>
      <c r="M3246" s="1">
        <v>641.17999999999995</v>
      </c>
      <c r="N3246" s="1">
        <v>12182.4</v>
      </c>
      <c r="O3246" s="1" t="s">
        <v>80</v>
      </c>
      <c r="P3246" s="1" t="s">
        <v>633</v>
      </c>
      <c r="Q3246" s="1">
        <v>4</v>
      </c>
      <c r="R3246" s="1">
        <f>Retail_Sales_Analyis[[#This Row],[Final_Price]]-Retail_Sales_Analyis[[#This Row],[Total_Price]]</f>
        <v>-641.18000000000029</v>
      </c>
      <c r="S32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47" spans="1:19" x14ac:dyDescent="0.25">
      <c r="A3247" s="1" t="s">
        <v>4352</v>
      </c>
      <c r="B3247" s="2">
        <v>45346</v>
      </c>
      <c r="C3247" s="1" t="s">
        <v>27</v>
      </c>
      <c r="D3247" s="1" t="s">
        <v>19</v>
      </c>
      <c r="E3247" s="1" t="s">
        <v>129</v>
      </c>
      <c r="F3247" s="1" t="s">
        <v>69</v>
      </c>
      <c r="G3247" s="1" t="s">
        <v>31</v>
      </c>
      <c r="H3247" s="1" t="s">
        <v>32</v>
      </c>
      <c r="I3247" s="1">
        <v>295.31</v>
      </c>
      <c r="J3247" s="1">
        <v>3</v>
      </c>
      <c r="K3247" s="1">
        <v>885.93</v>
      </c>
      <c r="L3247" s="1">
        <v>5</v>
      </c>
      <c r="M3247" s="1">
        <v>44.3</v>
      </c>
      <c r="N3247" s="1">
        <v>841.63</v>
      </c>
      <c r="O3247" s="1" t="s">
        <v>80</v>
      </c>
      <c r="P3247" s="1" t="s">
        <v>1937</v>
      </c>
      <c r="Q3247" s="1">
        <v>3</v>
      </c>
      <c r="R3247" s="1">
        <f>Retail_Sales_Analyis[[#This Row],[Final_Price]]-Retail_Sales_Analyis[[#This Row],[Total_Price]]</f>
        <v>-44.299999999999955</v>
      </c>
      <c r="S32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48" spans="1:19" x14ac:dyDescent="0.25">
      <c r="A3248" s="1" t="s">
        <v>4353</v>
      </c>
      <c r="B3248" s="2">
        <v>45361</v>
      </c>
      <c r="C3248" s="1" t="s">
        <v>61</v>
      </c>
      <c r="D3248" s="1" t="s">
        <v>49</v>
      </c>
      <c r="E3248" s="1" t="s">
        <v>83</v>
      </c>
      <c r="F3248" s="1" t="s">
        <v>69</v>
      </c>
      <c r="G3248" s="1" t="s">
        <v>31</v>
      </c>
      <c r="H3248" s="1" t="s">
        <v>32</v>
      </c>
      <c r="I3248" s="1">
        <v>491.7</v>
      </c>
      <c r="J3248" s="1">
        <v>4</v>
      </c>
      <c r="K3248" s="1">
        <v>1966.8</v>
      </c>
      <c r="L3248" s="1">
        <v>0</v>
      </c>
      <c r="M3248" s="1">
        <v>0</v>
      </c>
      <c r="N3248" s="1">
        <v>1966.8</v>
      </c>
      <c r="O3248" s="1" t="s">
        <v>24</v>
      </c>
      <c r="P3248" s="1" t="s">
        <v>1697</v>
      </c>
      <c r="Q3248" s="1">
        <v>5</v>
      </c>
      <c r="R3248" s="1">
        <f>Retail_Sales_Analyis[[#This Row],[Final_Price]]-Retail_Sales_Analyis[[#This Row],[Total_Price]]</f>
        <v>0</v>
      </c>
      <c r="S32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49" spans="1:19" x14ac:dyDescent="0.25">
      <c r="A3249" s="1" t="s">
        <v>4354</v>
      </c>
      <c r="B3249" s="2">
        <v>45447</v>
      </c>
      <c r="C3249" s="1" t="s">
        <v>173</v>
      </c>
      <c r="D3249" s="1" t="s">
        <v>28</v>
      </c>
      <c r="E3249" s="1" t="s">
        <v>129</v>
      </c>
      <c r="F3249" s="1" t="s">
        <v>84</v>
      </c>
      <c r="G3249" s="1" t="s">
        <v>57</v>
      </c>
      <c r="H3249" s="1" t="s">
        <v>158</v>
      </c>
      <c r="I3249" s="1">
        <v>1425.37</v>
      </c>
      <c r="J3249" s="1">
        <v>2</v>
      </c>
      <c r="K3249" s="1">
        <v>2850.74</v>
      </c>
      <c r="L3249" s="1">
        <v>15</v>
      </c>
      <c r="M3249" s="1">
        <v>427.61</v>
      </c>
      <c r="N3249" s="1">
        <v>2423.13</v>
      </c>
      <c r="O3249" s="1" t="s">
        <v>24</v>
      </c>
      <c r="P3249" s="1" t="s">
        <v>1805</v>
      </c>
      <c r="Q3249" s="1">
        <v>4</v>
      </c>
      <c r="R3249" s="1">
        <f>Retail_Sales_Analyis[[#This Row],[Final_Price]]-Retail_Sales_Analyis[[#This Row],[Total_Price]]</f>
        <v>-427.60999999999967</v>
      </c>
      <c r="S32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50" spans="1:19" x14ac:dyDescent="0.25">
      <c r="A3250" s="1" t="s">
        <v>4355</v>
      </c>
      <c r="B3250" s="2">
        <v>45295</v>
      </c>
      <c r="C3250" s="1" t="s">
        <v>36</v>
      </c>
      <c r="D3250" s="1" t="s">
        <v>67</v>
      </c>
      <c r="E3250" s="1" t="s">
        <v>29</v>
      </c>
      <c r="F3250" s="1" t="s">
        <v>30</v>
      </c>
      <c r="G3250" s="1" t="s">
        <v>57</v>
      </c>
      <c r="H3250" s="1" t="s">
        <v>158</v>
      </c>
      <c r="I3250" s="1">
        <v>1985.63</v>
      </c>
      <c r="J3250" s="1">
        <v>6</v>
      </c>
      <c r="K3250" s="1">
        <v>11913.78</v>
      </c>
      <c r="L3250" s="1">
        <v>20</v>
      </c>
      <c r="M3250" s="1">
        <v>2382.7600000000002</v>
      </c>
      <c r="N3250" s="1">
        <v>9531.02</v>
      </c>
      <c r="O3250" s="1" t="s">
        <v>46</v>
      </c>
      <c r="P3250" s="1" t="s">
        <v>211</v>
      </c>
      <c r="Q3250" s="1">
        <v>4</v>
      </c>
      <c r="R3250" s="1">
        <f>Retail_Sales_Analyis[[#This Row],[Final_Price]]-Retail_Sales_Analyis[[#This Row],[Total_Price]]</f>
        <v>-2382.7600000000002</v>
      </c>
      <c r="S325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51" spans="1:19" x14ac:dyDescent="0.25">
      <c r="A3251" s="1" t="s">
        <v>4356</v>
      </c>
      <c r="B3251" s="2">
        <v>45494</v>
      </c>
      <c r="C3251" s="1" t="s">
        <v>195</v>
      </c>
      <c r="D3251" s="1" t="s">
        <v>49</v>
      </c>
      <c r="E3251" s="1" t="s">
        <v>20</v>
      </c>
      <c r="F3251" s="1" t="s">
        <v>37</v>
      </c>
      <c r="G3251" s="1" t="s">
        <v>22</v>
      </c>
      <c r="H3251" s="1" t="s">
        <v>23</v>
      </c>
      <c r="I3251" s="1">
        <v>354.3</v>
      </c>
      <c r="J3251" s="1">
        <v>3</v>
      </c>
      <c r="K3251" s="1">
        <v>1062.9000000000001</v>
      </c>
      <c r="L3251" s="1">
        <v>20</v>
      </c>
      <c r="M3251" s="1">
        <v>212.58</v>
      </c>
      <c r="N3251" s="1">
        <v>850.32</v>
      </c>
      <c r="O3251" s="1" t="s">
        <v>33</v>
      </c>
      <c r="P3251" s="1" t="s">
        <v>782</v>
      </c>
      <c r="Q3251" s="1">
        <v>4</v>
      </c>
      <c r="R3251" s="1">
        <f>Retail_Sales_Analyis[[#This Row],[Final_Price]]-Retail_Sales_Analyis[[#This Row],[Total_Price]]</f>
        <v>-212.58000000000004</v>
      </c>
      <c r="S325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52" spans="1:19" x14ac:dyDescent="0.25">
      <c r="A3252" s="1" t="s">
        <v>4357</v>
      </c>
      <c r="B3252" s="2">
        <v>45462</v>
      </c>
      <c r="C3252" s="1" t="s">
        <v>173</v>
      </c>
      <c r="D3252" s="1" t="s">
        <v>55</v>
      </c>
      <c r="E3252" s="1" t="s">
        <v>145</v>
      </c>
      <c r="F3252" s="1" t="s">
        <v>37</v>
      </c>
      <c r="G3252" s="1" t="s">
        <v>38</v>
      </c>
      <c r="H3252" s="1" t="s">
        <v>422</v>
      </c>
      <c r="I3252" s="1">
        <v>249.08</v>
      </c>
      <c r="J3252" s="1">
        <v>9</v>
      </c>
      <c r="K3252" s="1">
        <v>2241.7199999999998</v>
      </c>
      <c r="L3252" s="1">
        <v>0</v>
      </c>
      <c r="M3252" s="1">
        <v>0</v>
      </c>
      <c r="N3252" s="1">
        <v>2241.7199999999998</v>
      </c>
      <c r="O3252" s="1" t="s">
        <v>80</v>
      </c>
      <c r="P3252" s="1" t="s">
        <v>1294</v>
      </c>
      <c r="Q3252" s="1">
        <v>4</v>
      </c>
      <c r="R3252" s="1">
        <f>Retail_Sales_Analyis[[#This Row],[Final_Price]]-Retail_Sales_Analyis[[#This Row],[Total_Price]]</f>
        <v>0</v>
      </c>
      <c r="S32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53" spans="1:19" x14ac:dyDescent="0.25">
      <c r="A3253" s="1" t="s">
        <v>4358</v>
      </c>
      <c r="B3253" s="2">
        <v>45609</v>
      </c>
      <c r="C3253" s="1" t="s">
        <v>18</v>
      </c>
      <c r="D3253" s="1" t="s">
        <v>55</v>
      </c>
      <c r="E3253" s="1" t="s">
        <v>312</v>
      </c>
      <c r="F3253" s="1" t="s">
        <v>37</v>
      </c>
      <c r="G3253" s="1" t="s">
        <v>85</v>
      </c>
      <c r="H3253" s="1" t="s">
        <v>86</v>
      </c>
      <c r="I3253" s="1">
        <v>1882.51</v>
      </c>
      <c r="J3253" s="1">
        <v>3</v>
      </c>
      <c r="K3253" s="1">
        <v>5647.53</v>
      </c>
      <c r="L3253" s="1">
        <v>0</v>
      </c>
      <c r="M3253" s="1">
        <v>0</v>
      </c>
      <c r="N3253" s="1">
        <v>5647.53</v>
      </c>
      <c r="O3253" s="1" t="s">
        <v>80</v>
      </c>
      <c r="P3253" s="1" t="s">
        <v>741</v>
      </c>
      <c r="Q3253" s="1">
        <v>3</v>
      </c>
      <c r="R3253" s="1">
        <f>Retail_Sales_Analyis[[#This Row],[Final_Price]]-Retail_Sales_Analyis[[#This Row],[Total_Price]]</f>
        <v>0</v>
      </c>
      <c r="S32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54" spans="1:19" x14ac:dyDescent="0.25">
      <c r="A3254" s="1" t="s">
        <v>4359</v>
      </c>
      <c r="B3254" s="2">
        <v>45486</v>
      </c>
      <c r="C3254" s="1" t="s">
        <v>195</v>
      </c>
      <c r="D3254" s="1" t="s">
        <v>19</v>
      </c>
      <c r="E3254" s="1" t="s">
        <v>94</v>
      </c>
      <c r="F3254" s="1" t="s">
        <v>69</v>
      </c>
      <c r="G3254" s="1" t="s">
        <v>85</v>
      </c>
      <c r="H3254" s="1" t="s">
        <v>180</v>
      </c>
      <c r="I3254" s="1">
        <v>1167.04</v>
      </c>
      <c r="J3254" s="1">
        <v>3</v>
      </c>
      <c r="K3254" s="1">
        <v>3501.12</v>
      </c>
      <c r="L3254" s="1">
        <v>0</v>
      </c>
      <c r="M3254" s="1">
        <v>0</v>
      </c>
      <c r="N3254" s="1">
        <v>3501.12</v>
      </c>
      <c r="O3254" s="1" t="s">
        <v>46</v>
      </c>
      <c r="P3254" s="1" t="s">
        <v>1123</v>
      </c>
      <c r="Q3254" s="1">
        <v>3</v>
      </c>
      <c r="R3254" s="1">
        <f>Retail_Sales_Analyis[[#This Row],[Final_Price]]-Retail_Sales_Analyis[[#This Row],[Total_Price]]</f>
        <v>0</v>
      </c>
      <c r="S32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55" spans="1:19" x14ac:dyDescent="0.25">
      <c r="A3255" s="1" t="s">
        <v>4360</v>
      </c>
      <c r="B3255" s="2">
        <v>45460</v>
      </c>
      <c r="C3255" s="1" t="s">
        <v>173</v>
      </c>
      <c r="D3255" s="1" t="s">
        <v>43</v>
      </c>
      <c r="E3255" s="1" t="s">
        <v>542</v>
      </c>
      <c r="F3255" s="1" t="s">
        <v>37</v>
      </c>
      <c r="G3255" s="1" t="s">
        <v>57</v>
      </c>
      <c r="H3255" s="1" t="s">
        <v>122</v>
      </c>
      <c r="I3255" s="1">
        <v>2428.14</v>
      </c>
      <c r="J3255" s="1">
        <v>8</v>
      </c>
      <c r="K3255" s="1">
        <v>19425.12</v>
      </c>
      <c r="L3255" s="1">
        <v>15</v>
      </c>
      <c r="M3255" s="1">
        <v>2913.77</v>
      </c>
      <c r="N3255" s="1">
        <v>16511.349999999999</v>
      </c>
      <c r="O3255" s="1" t="s">
        <v>24</v>
      </c>
      <c r="P3255" s="1" t="s">
        <v>407</v>
      </c>
      <c r="Q3255" s="1">
        <v>3</v>
      </c>
      <c r="R3255" s="1">
        <f>Retail_Sales_Analyis[[#This Row],[Final_Price]]-Retail_Sales_Analyis[[#This Row],[Total_Price]]</f>
        <v>-2913.7700000000004</v>
      </c>
      <c r="S32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56" spans="1:19" x14ac:dyDescent="0.25">
      <c r="A3256" s="1" t="s">
        <v>4361</v>
      </c>
      <c r="B3256" s="2">
        <v>45517</v>
      </c>
      <c r="C3256" s="1" t="s">
        <v>93</v>
      </c>
      <c r="D3256" s="1" t="s">
        <v>28</v>
      </c>
      <c r="E3256" s="1" t="s">
        <v>328</v>
      </c>
      <c r="F3256" s="1" t="s">
        <v>30</v>
      </c>
      <c r="G3256" s="1" t="s">
        <v>31</v>
      </c>
      <c r="H3256" s="1" t="s">
        <v>45</v>
      </c>
      <c r="I3256" s="1">
        <v>291.85000000000002</v>
      </c>
      <c r="J3256" s="1">
        <v>2</v>
      </c>
      <c r="K3256" s="1">
        <v>583.70000000000005</v>
      </c>
      <c r="L3256" s="1">
        <v>0</v>
      </c>
      <c r="M3256" s="1">
        <v>0</v>
      </c>
      <c r="N3256" s="1">
        <v>583.70000000000005</v>
      </c>
      <c r="O3256" s="1" t="s">
        <v>80</v>
      </c>
      <c r="P3256" s="1" t="s">
        <v>1166</v>
      </c>
      <c r="Q3256" s="1">
        <v>4</v>
      </c>
      <c r="R3256" s="1">
        <f>Retail_Sales_Analyis[[#This Row],[Final_Price]]-Retail_Sales_Analyis[[#This Row],[Total_Price]]</f>
        <v>0</v>
      </c>
      <c r="S32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57" spans="1:19" x14ac:dyDescent="0.25">
      <c r="A3257" s="1" t="s">
        <v>4362</v>
      </c>
      <c r="B3257" s="2">
        <v>45463</v>
      </c>
      <c r="C3257" s="1" t="s">
        <v>173</v>
      </c>
      <c r="D3257" s="1" t="s">
        <v>67</v>
      </c>
      <c r="E3257" s="1" t="s">
        <v>351</v>
      </c>
      <c r="F3257" s="1" t="s">
        <v>30</v>
      </c>
      <c r="G3257" s="1" t="s">
        <v>31</v>
      </c>
      <c r="H3257" s="1" t="s">
        <v>250</v>
      </c>
      <c r="I3257" s="1">
        <v>287.44</v>
      </c>
      <c r="J3257" s="1">
        <v>6</v>
      </c>
      <c r="K3257" s="1">
        <v>1724.64</v>
      </c>
      <c r="L3257" s="1">
        <v>5</v>
      </c>
      <c r="M3257" s="1">
        <v>86.23</v>
      </c>
      <c r="N3257" s="1">
        <v>1638.41</v>
      </c>
      <c r="O3257" s="1" t="s">
        <v>80</v>
      </c>
      <c r="P3257" s="1" t="s">
        <v>621</v>
      </c>
      <c r="Q3257" s="1">
        <v>1</v>
      </c>
      <c r="R3257" s="1">
        <f>Retail_Sales_Analyis[[#This Row],[Final_Price]]-Retail_Sales_Analyis[[#This Row],[Total_Price]]</f>
        <v>-86.230000000000018</v>
      </c>
      <c r="S325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58" spans="1:19" x14ac:dyDescent="0.25">
      <c r="A3258" s="1" t="s">
        <v>4363</v>
      </c>
      <c r="B3258" s="2">
        <v>45512</v>
      </c>
      <c r="C3258" s="1" t="s">
        <v>93</v>
      </c>
      <c r="D3258" s="1" t="s">
        <v>67</v>
      </c>
      <c r="E3258" s="1" t="s">
        <v>50</v>
      </c>
      <c r="F3258" s="1" t="s">
        <v>37</v>
      </c>
      <c r="G3258" s="1" t="s">
        <v>38</v>
      </c>
      <c r="H3258" s="1" t="s">
        <v>108</v>
      </c>
      <c r="I3258" s="1">
        <v>449.62</v>
      </c>
      <c r="J3258" s="1">
        <v>4</v>
      </c>
      <c r="K3258" s="1">
        <v>1798.48</v>
      </c>
      <c r="L3258" s="1">
        <v>0</v>
      </c>
      <c r="M3258" s="1">
        <v>0</v>
      </c>
      <c r="N3258" s="1">
        <v>1798.48</v>
      </c>
      <c r="O3258" s="1" t="s">
        <v>64</v>
      </c>
      <c r="P3258" s="1" t="s">
        <v>1240</v>
      </c>
      <c r="Q3258" s="1">
        <v>2</v>
      </c>
      <c r="R3258" s="1">
        <f>Retail_Sales_Analyis[[#This Row],[Final_Price]]-Retail_Sales_Analyis[[#This Row],[Total_Price]]</f>
        <v>0</v>
      </c>
      <c r="S32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59" spans="1:19" x14ac:dyDescent="0.25">
      <c r="A3259" s="1" t="s">
        <v>4364</v>
      </c>
      <c r="B3259" s="2">
        <v>45625</v>
      </c>
      <c r="C3259" s="1" t="s">
        <v>18</v>
      </c>
      <c r="D3259" s="1" t="s">
        <v>144</v>
      </c>
      <c r="E3259" s="1" t="s">
        <v>168</v>
      </c>
      <c r="F3259" s="1" t="s">
        <v>69</v>
      </c>
      <c r="G3259" s="1" t="s">
        <v>85</v>
      </c>
      <c r="H3259" s="1" t="s">
        <v>180</v>
      </c>
      <c r="I3259" s="1">
        <v>3177.45</v>
      </c>
      <c r="J3259" s="1">
        <v>6</v>
      </c>
      <c r="K3259" s="1">
        <v>19064.7</v>
      </c>
      <c r="L3259" s="1">
        <v>0</v>
      </c>
      <c r="M3259" s="1">
        <v>0</v>
      </c>
      <c r="N3259" s="1">
        <v>19064.7</v>
      </c>
      <c r="O3259" s="1" t="s">
        <v>80</v>
      </c>
      <c r="P3259" s="1" t="s">
        <v>727</v>
      </c>
      <c r="Q3259" s="1">
        <v>4</v>
      </c>
      <c r="R3259" s="1">
        <f>Retail_Sales_Analyis[[#This Row],[Final_Price]]-Retail_Sales_Analyis[[#This Row],[Total_Price]]</f>
        <v>0</v>
      </c>
      <c r="S32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60" spans="1:19" x14ac:dyDescent="0.25">
      <c r="A3260" s="1" t="s">
        <v>4365</v>
      </c>
      <c r="B3260" s="2">
        <v>45596</v>
      </c>
      <c r="C3260" s="1" t="s">
        <v>76</v>
      </c>
      <c r="D3260" s="1" t="s">
        <v>67</v>
      </c>
      <c r="E3260" s="1" t="s">
        <v>166</v>
      </c>
      <c r="F3260" s="1" t="s">
        <v>84</v>
      </c>
      <c r="G3260" s="1" t="s">
        <v>112</v>
      </c>
      <c r="H3260" s="1" t="s">
        <v>288</v>
      </c>
      <c r="I3260" s="1">
        <v>1836.75</v>
      </c>
      <c r="J3260" s="1">
        <v>4</v>
      </c>
      <c r="K3260" s="1">
        <v>7347</v>
      </c>
      <c r="L3260" s="1">
        <v>15</v>
      </c>
      <c r="M3260" s="1">
        <v>1102.05</v>
      </c>
      <c r="N3260" s="1">
        <v>6244.95</v>
      </c>
      <c r="O3260" s="1" t="s">
        <v>80</v>
      </c>
      <c r="P3260" s="1" t="s">
        <v>1627</v>
      </c>
      <c r="Q3260" s="1">
        <v>3</v>
      </c>
      <c r="R3260" s="1">
        <f>Retail_Sales_Analyis[[#This Row],[Final_Price]]-Retail_Sales_Analyis[[#This Row],[Total_Price]]</f>
        <v>-1102.0500000000002</v>
      </c>
      <c r="S32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61" spans="1:19" x14ac:dyDescent="0.25">
      <c r="A3261" s="1" t="s">
        <v>4366</v>
      </c>
      <c r="B3261" s="2">
        <v>45361</v>
      </c>
      <c r="C3261" s="1" t="s">
        <v>61</v>
      </c>
      <c r="D3261" s="1" t="s">
        <v>49</v>
      </c>
      <c r="E3261" s="1" t="s">
        <v>328</v>
      </c>
      <c r="F3261" s="1" t="s">
        <v>84</v>
      </c>
      <c r="G3261" s="1" t="s">
        <v>38</v>
      </c>
      <c r="H3261" s="1" t="s">
        <v>214</v>
      </c>
      <c r="I3261" s="1">
        <v>395.22</v>
      </c>
      <c r="J3261" s="1">
        <v>1</v>
      </c>
      <c r="K3261" s="1">
        <v>395.22</v>
      </c>
      <c r="L3261" s="1">
        <v>5</v>
      </c>
      <c r="M3261" s="1">
        <v>19.760000000000002</v>
      </c>
      <c r="N3261" s="1">
        <v>375.46</v>
      </c>
      <c r="O3261" s="1" t="s">
        <v>33</v>
      </c>
      <c r="P3261" s="1" t="s">
        <v>1469</v>
      </c>
      <c r="Q3261" s="1">
        <v>1</v>
      </c>
      <c r="R3261" s="1">
        <f>Retail_Sales_Analyis[[#This Row],[Final_Price]]-Retail_Sales_Analyis[[#This Row],[Total_Price]]</f>
        <v>-19.760000000000048</v>
      </c>
      <c r="S32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62" spans="1:19" x14ac:dyDescent="0.25">
      <c r="A3262" s="1" t="s">
        <v>4367</v>
      </c>
      <c r="B3262" s="2">
        <v>45445</v>
      </c>
      <c r="C3262" s="1" t="s">
        <v>173</v>
      </c>
      <c r="D3262" s="1" t="s">
        <v>49</v>
      </c>
      <c r="E3262" s="1" t="s">
        <v>29</v>
      </c>
      <c r="F3262" s="1" t="s">
        <v>84</v>
      </c>
      <c r="G3262" s="1" t="s">
        <v>78</v>
      </c>
      <c r="H3262" s="1" t="s">
        <v>146</v>
      </c>
      <c r="I3262" s="1">
        <v>176.62</v>
      </c>
      <c r="J3262" s="1">
        <v>3</v>
      </c>
      <c r="K3262" s="1">
        <v>529.86</v>
      </c>
      <c r="L3262" s="1">
        <v>15</v>
      </c>
      <c r="M3262" s="1">
        <v>79.48</v>
      </c>
      <c r="N3262" s="1">
        <v>450.38</v>
      </c>
      <c r="O3262" s="1" t="s">
        <v>24</v>
      </c>
      <c r="P3262" s="1" t="s">
        <v>1584</v>
      </c>
      <c r="Q3262" s="1">
        <v>2</v>
      </c>
      <c r="R3262" s="1">
        <f>Retail_Sales_Analyis[[#This Row],[Final_Price]]-Retail_Sales_Analyis[[#This Row],[Total_Price]]</f>
        <v>-79.480000000000018</v>
      </c>
      <c r="S32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63" spans="1:19" x14ac:dyDescent="0.25">
      <c r="A3263" s="1" t="s">
        <v>4368</v>
      </c>
      <c r="B3263" s="2">
        <v>45456</v>
      </c>
      <c r="C3263" s="1" t="s">
        <v>173</v>
      </c>
      <c r="D3263" s="1" t="s">
        <v>67</v>
      </c>
      <c r="E3263" s="1" t="s">
        <v>107</v>
      </c>
      <c r="F3263" s="1" t="s">
        <v>84</v>
      </c>
      <c r="G3263" s="1" t="s">
        <v>112</v>
      </c>
      <c r="H3263" s="1" t="s">
        <v>223</v>
      </c>
      <c r="I3263" s="1">
        <v>861.99</v>
      </c>
      <c r="J3263" s="1">
        <v>9</v>
      </c>
      <c r="K3263" s="1">
        <v>7757.91</v>
      </c>
      <c r="L3263" s="1">
        <v>5</v>
      </c>
      <c r="M3263" s="1">
        <v>387.9</v>
      </c>
      <c r="N3263" s="1">
        <v>7370.01</v>
      </c>
      <c r="O3263" s="1" t="s">
        <v>24</v>
      </c>
      <c r="P3263" s="1" t="s">
        <v>1535</v>
      </c>
      <c r="Q3263" s="1">
        <v>4</v>
      </c>
      <c r="R3263" s="1">
        <f>Retail_Sales_Analyis[[#This Row],[Final_Price]]-Retail_Sales_Analyis[[#This Row],[Total_Price]]</f>
        <v>-387.89999999999964</v>
      </c>
      <c r="S32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64" spans="1:19" x14ac:dyDescent="0.25">
      <c r="A3264" s="1" t="s">
        <v>4369</v>
      </c>
      <c r="B3264" s="2">
        <v>45600</v>
      </c>
      <c r="C3264" s="1" t="s">
        <v>18</v>
      </c>
      <c r="D3264" s="1" t="s">
        <v>43</v>
      </c>
      <c r="E3264" s="1" t="s">
        <v>77</v>
      </c>
      <c r="F3264" s="1" t="s">
        <v>37</v>
      </c>
      <c r="G3264" s="1" t="s">
        <v>57</v>
      </c>
      <c r="H3264" s="1" t="s">
        <v>158</v>
      </c>
      <c r="I3264" s="1">
        <v>1388.04</v>
      </c>
      <c r="J3264" s="1">
        <v>10</v>
      </c>
      <c r="K3264" s="1">
        <v>13880.4</v>
      </c>
      <c r="L3264" s="1">
        <v>0</v>
      </c>
      <c r="M3264" s="1">
        <v>0</v>
      </c>
      <c r="N3264" s="1">
        <v>13880.4</v>
      </c>
      <c r="O3264" s="1" t="s">
        <v>46</v>
      </c>
      <c r="P3264" s="1" t="s">
        <v>4370</v>
      </c>
      <c r="Q3264" s="1">
        <v>5</v>
      </c>
      <c r="R3264" s="1">
        <f>Retail_Sales_Analyis[[#This Row],[Final_Price]]-Retail_Sales_Analyis[[#This Row],[Total_Price]]</f>
        <v>0</v>
      </c>
      <c r="S32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65" spans="1:19" x14ac:dyDescent="0.25">
      <c r="A3265" s="1" t="s">
        <v>4371</v>
      </c>
      <c r="B3265" s="2">
        <v>45647</v>
      </c>
      <c r="C3265" s="1" t="s">
        <v>73</v>
      </c>
      <c r="D3265" s="1" t="s">
        <v>19</v>
      </c>
      <c r="E3265" s="1" t="s">
        <v>186</v>
      </c>
      <c r="F3265" s="1" t="s">
        <v>30</v>
      </c>
      <c r="G3265" s="1" t="s">
        <v>112</v>
      </c>
      <c r="H3265" s="1" t="s">
        <v>223</v>
      </c>
      <c r="I3265" s="1">
        <v>1048.96</v>
      </c>
      <c r="J3265" s="1">
        <v>4</v>
      </c>
      <c r="K3265" s="1">
        <v>4195.84</v>
      </c>
      <c r="L3265" s="1">
        <v>0</v>
      </c>
      <c r="M3265" s="1">
        <v>0</v>
      </c>
      <c r="N3265" s="1">
        <v>4195.84</v>
      </c>
      <c r="O3265" s="1" t="s">
        <v>33</v>
      </c>
      <c r="P3265" s="1" t="s">
        <v>3055</v>
      </c>
      <c r="Q3265" s="1">
        <v>3</v>
      </c>
      <c r="R3265" s="1">
        <f>Retail_Sales_Analyis[[#This Row],[Final_Price]]-Retail_Sales_Analyis[[#This Row],[Total_Price]]</f>
        <v>0</v>
      </c>
      <c r="S32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66" spans="1:19" x14ac:dyDescent="0.25">
      <c r="A3266" s="1" t="s">
        <v>4372</v>
      </c>
      <c r="B3266" s="2">
        <v>45394</v>
      </c>
      <c r="C3266" s="1" t="s">
        <v>54</v>
      </c>
      <c r="D3266" s="1" t="s">
        <v>144</v>
      </c>
      <c r="E3266" s="1" t="s">
        <v>77</v>
      </c>
      <c r="F3266" s="1" t="s">
        <v>69</v>
      </c>
      <c r="G3266" s="1" t="s">
        <v>31</v>
      </c>
      <c r="H3266" s="1" t="s">
        <v>329</v>
      </c>
      <c r="I3266" s="1">
        <v>108.19</v>
      </c>
      <c r="J3266" s="1">
        <v>8</v>
      </c>
      <c r="K3266" s="1">
        <v>865.52</v>
      </c>
      <c r="L3266" s="1">
        <v>5</v>
      </c>
      <c r="M3266" s="1">
        <v>43.28</v>
      </c>
      <c r="N3266" s="1">
        <v>822.24</v>
      </c>
      <c r="O3266" s="1" t="s">
        <v>64</v>
      </c>
      <c r="P3266" s="1" t="s">
        <v>1138</v>
      </c>
      <c r="Q3266" s="1">
        <v>5</v>
      </c>
      <c r="R3266" s="1">
        <f>Retail_Sales_Analyis[[#This Row],[Final_Price]]-Retail_Sales_Analyis[[#This Row],[Total_Price]]</f>
        <v>-43.279999999999973</v>
      </c>
      <c r="S32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267" spans="1:19" x14ac:dyDescent="0.25">
      <c r="A3267" s="1" t="s">
        <v>4373</v>
      </c>
      <c r="B3267" s="2">
        <v>45537</v>
      </c>
      <c r="C3267" s="1" t="s">
        <v>116</v>
      </c>
      <c r="D3267" s="1" t="s">
        <v>43</v>
      </c>
      <c r="E3267" s="1" t="s">
        <v>56</v>
      </c>
      <c r="F3267" s="1" t="s">
        <v>84</v>
      </c>
      <c r="G3267" s="1" t="s">
        <v>78</v>
      </c>
      <c r="H3267" s="1" t="s">
        <v>136</v>
      </c>
      <c r="I3267" s="1">
        <v>314.62</v>
      </c>
      <c r="J3267" s="1">
        <v>7</v>
      </c>
      <c r="K3267" s="1">
        <v>2202.34</v>
      </c>
      <c r="L3267" s="1">
        <v>15</v>
      </c>
      <c r="M3267" s="1">
        <v>330.35</v>
      </c>
      <c r="N3267" s="1">
        <v>1871.99</v>
      </c>
      <c r="O3267" s="1" t="s">
        <v>80</v>
      </c>
      <c r="P3267" s="1" t="s">
        <v>500</v>
      </c>
      <c r="Q3267" s="1">
        <v>3</v>
      </c>
      <c r="R3267" s="1">
        <f>Retail_Sales_Analyis[[#This Row],[Final_Price]]-Retail_Sales_Analyis[[#This Row],[Total_Price]]</f>
        <v>-330.35000000000014</v>
      </c>
      <c r="S32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68" spans="1:19" x14ac:dyDescent="0.25">
      <c r="A3268" s="1" t="s">
        <v>4374</v>
      </c>
      <c r="B3268" s="2">
        <v>45452</v>
      </c>
      <c r="C3268" s="1" t="s">
        <v>173</v>
      </c>
      <c r="D3268" s="1" t="s">
        <v>49</v>
      </c>
      <c r="E3268" s="1" t="s">
        <v>196</v>
      </c>
      <c r="F3268" s="1" t="s">
        <v>30</v>
      </c>
      <c r="G3268" s="1" t="s">
        <v>38</v>
      </c>
      <c r="H3268" s="1" t="s">
        <v>422</v>
      </c>
      <c r="I3268" s="1">
        <v>772.5</v>
      </c>
      <c r="J3268" s="1">
        <v>6</v>
      </c>
      <c r="K3268" s="1">
        <v>4635</v>
      </c>
      <c r="L3268" s="1">
        <v>10</v>
      </c>
      <c r="M3268" s="1">
        <v>463.5</v>
      </c>
      <c r="N3268" s="1">
        <v>4171.5</v>
      </c>
      <c r="O3268" s="1" t="s">
        <v>46</v>
      </c>
      <c r="P3268" s="1" t="s">
        <v>707</v>
      </c>
      <c r="Q3268" s="1">
        <v>5</v>
      </c>
      <c r="R3268" s="1">
        <f>Retail_Sales_Analyis[[#This Row],[Final_Price]]-Retail_Sales_Analyis[[#This Row],[Total_Price]]</f>
        <v>-463.5</v>
      </c>
      <c r="S32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69" spans="1:19" x14ac:dyDescent="0.25">
      <c r="A3269" s="1" t="s">
        <v>4375</v>
      </c>
      <c r="B3269" s="2">
        <v>45382</v>
      </c>
      <c r="C3269" s="1" t="s">
        <v>61</v>
      </c>
      <c r="D3269" s="1" t="s">
        <v>49</v>
      </c>
      <c r="E3269" s="1" t="s">
        <v>68</v>
      </c>
      <c r="F3269" s="1" t="s">
        <v>84</v>
      </c>
      <c r="G3269" s="1" t="s">
        <v>78</v>
      </c>
      <c r="H3269" s="1" t="s">
        <v>79</v>
      </c>
      <c r="I3269" s="1">
        <v>550.96</v>
      </c>
      <c r="J3269" s="1">
        <v>6</v>
      </c>
      <c r="K3269" s="1">
        <v>3305.76</v>
      </c>
      <c r="L3269" s="1">
        <v>15</v>
      </c>
      <c r="M3269" s="1">
        <v>495.86</v>
      </c>
      <c r="N3269" s="1">
        <v>2809.9</v>
      </c>
      <c r="O3269" s="1" t="s">
        <v>64</v>
      </c>
      <c r="P3269" s="1" t="s">
        <v>332</v>
      </c>
      <c r="Q3269" s="1">
        <v>4</v>
      </c>
      <c r="R3269" s="1">
        <f>Retail_Sales_Analyis[[#This Row],[Final_Price]]-Retail_Sales_Analyis[[#This Row],[Total_Price]]</f>
        <v>-495.86000000000013</v>
      </c>
      <c r="S32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70" spans="1:19" x14ac:dyDescent="0.25">
      <c r="A3270" s="1" t="s">
        <v>4376</v>
      </c>
      <c r="B3270" s="2">
        <v>45495</v>
      </c>
      <c r="C3270" s="1" t="s">
        <v>195</v>
      </c>
      <c r="D3270" s="1" t="s">
        <v>43</v>
      </c>
      <c r="E3270" s="1" t="s">
        <v>163</v>
      </c>
      <c r="F3270" s="1" t="s">
        <v>21</v>
      </c>
      <c r="G3270" s="1" t="s">
        <v>169</v>
      </c>
      <c r="H3270" s="1" t="s">
        <v>348</v>
      </c>
      <c r="I3270" s="1">
        <v>437.68</v>
      </c>
      <c r="J3270" s="1">
        <v>9</v>
      </c>
      <c r="K3270" s="1">
        <v>3939.12</v>
      </c>
      <c r="L3270" s="1">
        <v>0</v>
      </c>
      <c r="M3270" s="1">
        <v>0</v>
      </c>
      <c r="N3270" s="1">
        <v>3939.12</v>
      </c>
      <c r="O3270" s="1" t="s">
        <v>46</v>
      </c>
      <c r="P3270" s="1" t="s">
        <v>2330</v>
      </c>
      <c r="Q3270" s="1">
        <v>1</v>
      </c>
      <c r="R3270" s="1">
        <f>Retail_Sales_Analyis[[#This Row],[Final_Price]]-Retail_Sales_Analyis[[#This Row],[Total_Price]]</f>
        <v>0</v>
      </c>
      <c r="S32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1" spans="1:19" x14ac:dyDescent="0.25">
      <c r="A3271" s="1" t="s">
        <v>4377</v>
      </c>
      <c r="B3271" s="2">
        <v>45455</v>
      </c>
      <c r="C3271" s="1" t="s">
        <v>173</v>
      </c>
      <c r="D3271" s="1" t="s">
        <v>55</v>
      </c>
      <c r="E3271" s="1" t="s">
        <v>111</v>
      </c>
      <c r="F3271" s="1" t="s">
        <v>69</v>
      </c>
      <c r="G3271" s="1" t="s">
        <v>78</v>
      </c>
      <c r="H3271" s="1" t="s">
        <v>146</v>
      </c>
      <c r="I3271" s="1">
        <v>460.36</v>
      </c>
      <c r="J3271" s="1">
        <v>3</v>
      </c>
      <c r="K3271" s="1">
        <v>1381.08</v>
      </c>
      <c r="L3271" s="1">
        <v>15</v>
      </c>
      <c r="M3271" s="1">
        <v>207.16</v>
      </c>
      <c r="N3271" s="1">
        <v>1173.92</v>
      </c>
      <c r="O3271" s="1" t="s">
        <v>46</v>
      </c>
      <c r="P3271" s="1" t="s">
        <v>2007</v>
      </c>
      <c r="Q3271" s="1">
        <v>2</v>
      </c>
      <c r="R3271" s="1">
        <f>Retail_Sales_Analyis[[#This Row],[Final_Price]]-Retail_Sales_Analyis[[#This Row],[Total_Price]]</f>
        <v>-207.15999999999985</v>
      </c>
      <c r="S32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72" spans="1:19" x14ac:dyDescent="0.25">
      <c r="A3272" s="1" t="s">
        <v>4378</v>
      </c>
      <c r="B3272" s="2">
        <v>45441</v>
      </c>
      <c r="C3272" s="1" t="s">
        <v>42</v>
      </c>
      <c r="D3272" s="1" t="s">
        <v>55</v>
      </c>
      <c r="E3272" s="1" t="s">
        <v>328</v>
      </c>
      <c r="F3272" s="1" t="s">
        <v>21</v>
      </c>
      <c r="G3272" s="1" t="s">
        <v>85</v>
      </c>
      <c r="H3272" s="1" t="s">
        <v>297</v>
      </c>
      <c r="I3272" s="1">
        <v>2577.4299999999998</v>
      </c>
      <c r="J3272" s="1">
        <v>6</v>
      </c>
      <c r="K3272" s="1">
        <v>15464.58</v>
      </c>
      <c r="L3272" s="1">
        <v>0</v>
      </c>
      <c r="M3272" s="1">
        <v>0</v>
      </c>
      <c r="N3272" s="1">
        <v>15464.58</v>
      </c>
      <c r="O3272" s="1" t="s">
        <v>24</v>
      </c>
      <c r="P3272" s="1" t="s">
        <v>142</v>
      </c>
      <c r="Q3272" s="1">
        <v>5</v>
      </c>
      <c r="R3272" s="1">
        <f>Retail_Sales_Analyis[[#This Row],[Final_Price]]-Retail_Sales_Analyis[[#This Row],[Total_Price]]</f>
        <v>0</v>
      </c>
      <c r="S32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3" spans="1:19" x14ac:dyDescent="0.25">
      <c r="A3273" s="1" t="s">
        <v>4379</v>
      </c>
      <c r="B3273" s="2">
        <v>45647</v>
      </c>
      <c r="C3273" s="1" t="s">
        <v>73</v>
      </c>
      <c r="D3273" s="1" t="s">
        <v>19</v>
      </c>
      <c r="E3273" s="1" t="s">
        <v>145</v>
      </c>
      <c r="F3273" s="1" t="s">
        <v>37</v>
      </c>
      <c r="G3273" s="1" t="s">
        <v>38</v>
      </c>
      <c r="H3273" s="1" t="s">
        <v>422</v>
      </c>
      <c r="I3273" s="1">
        <v>444</v>
      </c>
      <c r="J3273" s="1">
        <v>5</v>
      </c>
      <c r="K3273" s="1">
        <v>2220</v>
      </c>
      <c r="L3273" s="1">
        <v>0</v>
      </c>
      <c r="M3273" s="1">
        <v>0</v>
      </c>
      <c r="N3273" s="1">
        <v>2220</v>
      </c>
      <c r="O3273" s="1" t="s">
        <v>64</v>
      </c>
      <c r="P3273" s="1" t="s">
        <v>1807</v>
      </c>
      <c r="Q3273" s="1">
        <v>1</v>
      </c>
      <c r="R3273" s="1">
        <f>Retail_Sales_Analyis[[#This Row],[Final_Price]]-Retail_Sales_Analyis[[#This Row],[Total_Price]]</f>
        <v>0</v>
      </c>
      <c r="S32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4" spans="1:19" x14ac:dyDescent="0.25">
      <c r="A3274" s="1" t="s">
        <v>4380</v>
      </c>
      <c r="B3274" s="2">
        <v>45616</v>
      </c>
      <c r="C3274" s="1" t="s">
        <v>18</v>
      </c>
      <c r="D3274" s="1" t="s">
        <v>55</v>
      </c>
      <c r="E3274" s="1" t="s">
        <v>337</v>
      </c>
      <c r="F3274" s="1" t="s">
        <v>84</v>
      </c>
      <c r="G3274" s="1" t="s">
        <v>85</v>
      </c>
      <c r="H3274" s="1" t="s">
        <v>86</v>
      </c>
      <c r="I3274" s="1">
        <v>3522.7</v>
      </c>
      <c r="J3274" s="1">
        <v>10</v>
      </c>
      <c r="K3274" s="1">
        <v>35227</v>
      </c>
      <c r="L3274" s="1">
        <v>0</v>
      </c>
      <c r="M3274" s="1">
        <v>0</v>
      </c>
      <c r="N3274" s="1">
        <v>35227</v>
      </c>
      <c r="O3274" s="1" t="s">
        <v>33</v>
      </c>
      <c r="P3274" s="1" t="s">
        <v>3340</v>
      </c>
      <c r="Q3274" s="1">
        <v>2</v>
      </c>
      <c r="R3274" s="1">
        <f>Retail_Sales_Analyis[[#This Row],[Final_Price]]-Retail_Sales_Analyis[[#This Row],[Total_Price]]</f>
        <v>0</v>
      </c>
      <c r="S32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5" spans="1:19" x14ac:dyDescent="0.25">
      <c r="A3275" s="1" t="s">
        <v>4381</v>
      </c>
      <c r="B3275" s="2">
        <v>45543</v>
      </c>
      <c r="C3275" s="1" t="s">
        <v>116</v>
      </c>
      <c r="D3275" s="1" t="s">
        <v>49</v>
      </c>
      <c r="E3275" s="1" t="s">
        <v>129</v>
      </c>
      <c r="F3275" s="1" t="s">
        <v>37</v>
      </c>
      <c r="G3275" s="1" t="s">
        <v>85</v>
      </c>
      <c r="H3275" s="1" t="s">
        <v>180</v>
      </c>
      <c r="I3275" s="1">
        <v>4804.29</v>
      </c>
      <c r="J3275" s="1">
        <v>4</v>
      </c>
      <c r="K3275" s="1">
        <v>19217.16</v>
      </c>
      <c r="L3275" s="1">
        <v>20</v>
      </c>
      <c r="M3275" s="1">
        <v>3843.43</v>
      </c>
      <c r="N3275" s="1">
        <v>15373.73</v>
      </c>
      <c r="O3275" s="1" t="s">
        <v>46</v>
      </c>
      <c r="P3275" s="1" t="s">
        <v>1063</v>
      </c>
      <c r="Q3275" s="1">
        <v>2</v>
      </c>
      <c r="R3275" s="1">
        <f>Retail_Sales_Analyis[[#This Row],[Final_Price]]-Retail_Sales_Analyis[[#This Row],[Total_Price]]</f>
        <v>-3843.4300000000003</v>
      </c>
      <c r="S32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276" spans="1:19" x14ac:dyDescent="0.25">
      <c r="A3276" s="1" t="s">
        <v>4382</v>
      </c>
      <c r="B3276" s="2">
        <v>45586</v>
      </c>
      <c r="C3276" s="1" t="s">
        <v>76</v>
      </c>
      <c r="D3276" s="1" t="s">
        <v>43</v>
      </c>
      <c r="E3276" s="1" t="s">
        <v>186</v>
      </c>
      <c r="F3276" s="1" t="s">
        <v>69</v>
      </c>
      <c r="G3276" s="1" t="s">
        <v>85</v>
      </c>
      <c r="H3276" s="1" t="s">
        <v>180</v>
      </c>
      <c r="I3276" s="1">
        <v>4512.21</v>
      </c>
      <c r="J3276" s="1">
        <v>5</v>
      </c>
      <c r="K3276" s="1">
        <v>22561.05</v>
      </c>
      <c r="L3276" s="1">
        <v>0</v>
      </c>
      <c r="M3276" s="1">
        <v>0</v>
      </c>
      <c r="N3276" s="1">
        <v>22561.05</v>
      </c>
      <c r="O3276" s="1" t="s">
        <v>64</v>
      </c>
      <c r="P3276" s="1" t="s">
        <v>1061</v>
      </c>
      <c r="Q3276" s="1">
        <v>5</v>
      </c>
      <c r="R3276" s="1">
        <f>Retail_Sales_Analyis[[#This Row],[Final_Price]]-Retail_Sales_Analyis[[#This Row],[Total_Price]]</f>
        <v>0</v>
      </c>
      <c r="S32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7" spans="1:19" x14ac:dyDescent="0.25">
      <c r="A3277" s="1" t="s">
        <v>4383</v>
      </c>
      <c r="B3277" s="2">
        <v>45416</v>
      </c>
      <c r="C3277" s="1" t="s">
        <v>42</v>
      </c>
      <c r="D3277" s="1" t="s">
        <v>19</v>
      </c>
      <c r="E3277" s="1" t="s">
        <v>342</v>
      </c>
      <c r="F3277" s="1" t="s">
        <v>30</v>
      </c>
      <c r="G3277" s="1" t="s">
        <v>38</v>
      </c>
      <c r="H3277" s="1" t="s">
        <v>39</v>
      </c>
      <c r="I3277" s="1">
        <v>503.11</v>
      </c>
      <c r="J3277" s="1">
        <v>2</v>
      </c>
      <c r="K3277" s="1">
        <v>1006.22</v>
      </c>
      <c r="L3277" s="1">
        <v>0</v>
      </c>
      <c r="M3277" s="1">
        <v>0</v>
      </c>
      <c r="N3277" s="1">
        <v>1006.22</v>
      </c>
      <c r="O3277" s="1" t="s">
        <v>24</v>
      </c>
      <c r="P3277" s="1" t="s">
        <v>399</v>
      </c>
      <c r="Q3277" s="1">
        <v>5</v>
      </c>
      <c r="R3277" s="1">
        <f>Retail_Sales_Analyis[[#This Row],[Final_Price]]-Retail_Sales_Analyis[[#This Row],[Total_Price]]</f>
        <v>0</v>
      </c>
      <c r="S32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78" spans="1:19" x14ac:dyDescent="0.25">
      <c r="A3278" s="1" t="s">
        <v>4384</v>
      </c>
      <c r="B3278" s="2">
        <v>45458</v>
      </c>
      <c r="C3278" s="1" t="s">
        <v>173</v>
      </c>
      <c r="D3278" s="1" t="s">
        <v>19</v>
      </c>
      <c r="E3278" s="1" t="s">
        <v>97</v>
      </c>
      <c r="F3278" s="1" t="s">
        <v>37</v>
      </c>
      <c r="G3278" s="1" t="s">
        <v>85</v>
      </c>
      <c r="H3278" s="1" t="s">
        <v>180</v>
      </c>
      <c r="I3278" s="1">
        <v>2912.78</v>
      </c>
      <c r="J3278" s="1">
        <v>6</v>
      </c>
      <c r="K3278" s="1">
        <v>17476.68</v>
      </c>
      <c r="L3278" s="1">
        <v>10</v>
      </c>
      <c r="M3278" s="1">
        <v>1747.67</v>
      </c>
      <c r="N3278" s="1">
        <v>15729.01</v>
      </c>
      <c r="O3278" s="1" t="s">
        <v>80</v>
      </c>
      <c r="P3278" s="1" t="s">
        <v>393</v>
      </c>
      <c r="Q3278" s="1">
        <v>1</v>
      </c>
      <c r="R3278" s="1">
        <f>Retail_Sales_Analyis[[#This Row],[Final_Price]]-Retail_Sales_Analyis[[#This Row],[Total_Price]]</f>
        <v>-1747.67</v>
      </c>
      <c r="S32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79" spans="1:19" x14ac:dyDescent="0.25">
      <c r="A3279" s="1" t="s">
        <v>4385</v>
      </c>
      <c r="B3279" s="2">
        <v>45484</v>
      </c>
      <c r="C3279" s="1" t="s">
        <v>195</v>
      </c>
      <c r="D3279" s="1" t="s">
        <v>67</v>
      </c>
      <c r="E3279" s="1" t="s">
        <v>166</v>
      </c>
      <c r="F3279" s="1" t="s">
        <v>30</v>
      </c>
      <c r="G3279" s="1" t="s">
        <v>31</v>
      </c>
      <c r="H3279" s="1" t="s">
        <v>45</v>
      </c>
      <c r="I3279" s="1">
        <v>460.89</v>
      </c>
      <c r="J3279" s="1">
        <v>2</v>
      </c>
      <c r="K3279" s="1">
        <v>921.78</v>
      </c>
      <c r="L3279" s="1">
        <v>0</v>
      </c>
      <c r="M3279" s="1">
        <v>0</v>
      </c>
      <c r="N3279" s="1">
        <v>921.78</v>
      </c>
      <c r="O3279" s="1" t="s">
        <v>64</v>
      </c>
      <c r="P3279" s="1" t="s">
        <v>3145</v>
      </c>
      <c r="Q3279" s="1">
        <v>2</v>
      </c>
      <c r="R3279" s="1">
        <f>Retail_Sales_Analyis[[#This Row],[Final_Price]]-Retail_Sales_Analyis[[#This Row],[Total_Price]]</f>
        <v>0</v>
      </c>
      <c r="S32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80" spans="1:19" x14ac:dyDescent="0.25">
      <c r="A3280" s="1" t="s">
        <v>4386</v>
      </c>
      <c r="B3280" s="2">
        <v>45435</v>
      </c>
      <c r="C3280" s="1" t="s">
        <v>42</v>
      </c>
      <c r="D3280" s="1" t="s">
        <v>67</v>
      </c>
      <c r="E3280" s="1" t="s">
        <v>351</v>
      </c>
      <c r="F3280" s="1" t="s">
        <v>21</v>
      </c>
      <c r="G3280" s="1" t="s">
        <v>112</v>
      </c>
      <c r="H3280" s="1" t="s">
        <v>223</v>
      </c>
      <c r="I3280" s="1">
        <v>1330.53</v>
      </c>
      <c r="J3280" s="1">
        <v>10</v>
      </c>
      <c r="K3280" s="1">
        <v>13305.3</v>
      </c>
      <c r="L3280" s="1">
        <v>0</v>
      </c>
      <c r="M3280" s="1">
        <v>0</v>
      </c>
      <c r="N3280" s="1">
        <v>13305.3</v>
      </c>
      <c r="O3280" s="1" t="s">
        <v>24</v>
      </c>
      <c r="P3280" s="1" t="s">
        <v>2597</v>
      </c>
      <c r="Q3280" s="1">
        <v>2</v>
      </c>
      <c r="R3280" s="1">
        <f>Retail_Sales_Analyis[[#This Row],[Final_Price]]-Retail_Sales_Analyis[[#This Row],[Total_Price]]</f>
        <v>0</v>
      </c>
      <c r="S32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81" spans="1:19" x14ac:dyDescent="0.25">
      <c r="A3281" s="1" t="s">
        <v>4387</v>
      </c>
      <c r="B3281" s="2">
        <v>45493</v>
      </c>
      <c r="C3281" s="1" t="s">
        <v>195</v>
      </c>
      <c r="D3281" s="1" t="s">
        <v>19</v>
      </c>
      <c r="E3281" s="1" t="s">
        <v>168</v>
      </c>
      <c r="F3281" s="1" t="s">
        <v>21</v>
      </c>
      <c r="G3281" s="1" t="s">
        <v>78</v>
      </c>
      <c r="H3281" s="1" t="s">
        <v>136</v>
      </c>
      <c r="I3281" s="1">
        <v>180.9</v>
      </c>
      <c r="J3281" s="1">
        <v>4</v>
      </c>
      <c r="K3281" s="1">
        <v>723.6</v>
      </c>
      <c r="L3281" s="1">
        <v>10</v>
      </c>
      <c r="M3281" s="1">
        <v>72.36</v>
      </c>
      <c r="N3281" s="1">
        <v>651.24</v>
      </c>
      <c r="O3281" s="1" t="s">
        <v>80</v>
      </c>
      <c r="P3281" s="1" t="s">
        <v>4125</v>
      </c>
      <c r="Q3281" s="1">
        <v>4</v>
      </c>
      <c r="R3281" s="1">
        <f>Retail_Sales_Analyis[[#This Row],[Final_Price]]-Retail_Sales_Analyis[[#This Row],[Total_Price]]</f>
        <v>-72.360000000000014</v>
      </c>
      <c r="S32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2" spans="1:19" x14ac:dyDescent="0.25">
      <c r="A3282" s="1" t="s">
        <v>4388</v>
      </c>
      <c r="B3282" s="2">
        <v>45478</v>
      </c>
      <c r="C3282" s="1" t="s">
        <v>195</v>
      </c>
      <c r="D3282" s="1" t="s">
        <v>144</v>
      </c>
      <c r="E3282" s="1" t="s">
        <v>94</v>
      </c>
      <c r="F3282" s="1" t="s">
        <v>21</v>
      </c>
      <c r="G3282" s="1" t="s">
        <v>31</v>
      </c>
      <c r="H3282" s="1" t="s">
        <v>32</v>
      </c>
      <c r="I3282" s="1">
        <v>296.08999999999997</v>
      </c>
      <c r="J3282" s="1">
        <v>2</v>
      </c>
      <c r="K3282" s="1">
        <v>592.17999999999995</v>
      </c>
      <c r="L3282" s="1">
        <v>0</v>
      </c>
      <c r="M3282" s="1">
        <v>0</v>
      </c>
      <c r="N3282" s="1">
        <v>592.17999999999995</v>
      </c>
      <c r="O3282" s="1" t="s">
        <v>33</v>
      </c>
      <c r="P3282" s="1" t="s">
        <v>532</v>
      </c>
      <c r="Q3282" s="1">
        <v>2</v>
      </c>
      <c r="R3282" s="1">
        <f>Retail_Sales_Analyis[[#This Row],[Final_Price]]-Retail_Sales_Analyis[[#This Row],[Total_Price]]</f>
        <v>0</v>
      </c>
      <c r="S32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83" spans="1:19" x14ac:dyDescent="0.25">
      <c r="A3283" s="1" t="s">
        <v>4389</v>
      </c>
      <c r="B3283" s="2">
        <v>45350</v>
      </c>
      <c r="C3283" s="1" t="s">
        <v>27</v>
      </c>
      <c r="D3283" s="1" t="s">
        <v>55</v>
      </c>
      <c r="E3283" s="1" t="s">
        <v>213</v>
      </c>
      <c r="F3283" s="1" t="s">
        <v>37</v>
      </c>
      <c r="G3283" s="1" t="s">
        <v>169</v>
      </c>
      <c r="H3283" s="1" t="s">
        <v>366</v>
      </c>
      <c r="I3283" s="1">
        <v>331.1</v>
      </c>
      <c r="J3283" s="1">
        <v>3</v>
      </c>
      <c r="K3283" s="1">
        <v>993.3</v>
      </c>
      <c r="L3283" s="1">
        <v>10</v>
      </c>
      <c r="M3283" s="1">
        <v>99.33</v>
      </c>
      <c r="N3283" s="1">
        <v>893.97</v>
      </c>
      <c r="O3283" s="1" t="s">
        <v>24</v>
      </c>
      <c r="P3283" s="1" t="s">
        <v>1535</v>
      </c>
      <c r="Q3283" s="1">
        <v>2</v>
      </c>
      <c r="R3283" s="1">
        <f>Retail_Sales_Analyis[[#This Row],[Final_Price]]-Retail_Sales_Analyis[[#This Row],[Total_Price]]</f>
        <v>-99.329999999999927</v>
      </c>
      <c r="S32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4" spans="1:19" x14ac:dyDescent="0.25">
      <c r="A3284" s="1" t="s">
        <v>4390</v>
      </c>
      <c r="B3284" s="2">
        <v>45580</v>
      </c>
      <c r="C3284" s="1" t="s">
        <v>76</v>
      </c>
      <c r="D3284" s="1" t="s">
        <v>28</v>
      </c>
      <c r="E3284" s="1" t="s">
        <v>50</v>
      </c>
      <c r="F3284" s="1" t="s">
        <v>84</v>
      </c>
      <c r="G3284" s="1" t="s">
        <v>112</v>
      </c>
      <c r="H3284" s="1" t="s">
        <v>223</v>
      </c>
      <c r="I3284" s="1">
        <v>935</v>
      </c>
      <c r="J3284" s="1">
        <v>5</v>
      </c>
      <c r="K3284" s="1">
        <v>4675</v>
      </c>
      <c r="L3284" s="1">
        <v>10</v>
      </c>
      <c r="M3284" s="1">
        <v>467.5</v>
      </c>
      <c r="N3284" s="1">
        <v>4207.5</v>
      </c>
      <c r="O3284" s="1" t="s">
        <v>24</v>
      </c>
      <c r="P3284" s="1" t="s">
        <v>869</v>
      </c>
      <c r="Q3284" s="1">
        <v>2</v>
      </c>
      <c r="R3284" s="1">
        <f>Retail_Sales_Analyis[[#This Row],[Final_Price]]-Retail_Sales_Analyis[[#This Row],[Total_Price]]</f>
        <v>-467.5</v>
      </c>
      <c r="S32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5" spans="1:19" x14ac:dyDescent="0.25">
      <c r="A3285" s="1" t="s">
        <v>4391</v>
      </c>
      <c r="B3285" s="2">
        <v>45394</v>
      </c>
      <c r="C3285" s="1" t="s">
        <v>54</v>
      </c>
      <c r="D3285" s="1" t="s">
        <v>144</v>
      </c>
      <c r="E3285" s="1" t="s">
        <v>121</v>
      </c>
      <c r="F3285" s="1" t="s">
        <v>69</v>
      </c>
      <c r="G3285" s="1" t="s">
        <v>112</v>
      </c>
      <c r="H3285" s="1" t="s">
        <v>183</v>
      </c>
      <c r="I3285" s="1">
        <v>1317.55</v>
      </c>
      <c r="J3285" s="1">
        <v>9</v>
      </c>
      <c r="K3285" s="1">
        <v>11857.95</v>
      </c>
      <c r="L3285" s="1">
        <v>15</v>
      </c>
      <c r="M3285" s="1">
        <v>1778.69</v>
      </c>
      <c r="N3285" s="1">
        <v>10079.26</v>
      </c>
      <c r="O3285" s="1" t="s">
        <v>24</v>
      </c>
      <c r="P3285" s="1" t="s">
        <v>1643</v>
      </c>
      <c r="Q3285" s="1">
        <v>5</v>
      </c>
      <c r="R3285" s="1">
        <f>Retail_Sales_Analyis[[#This Row],[Final_Price]]-Retail_Sales_Analyis[[#This Row],[Total_Price]]</f>
        <v>-1778.6900000000005</v>
      </c>
      <c r="S32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6" spans="1:19" x14ac:dyDescent="0.25">
      <c r="A3286" s="1" t="s">
        <v>4392</v>
      </c>
      <c r="B3286" s="2">
        <v>45595</v>
      </c>
      <c r="C3286" s="1" t="s">
        <v>76</v>
      </c>
      <c r="D3286" s="1" t="s">
        <v>55</v>
      </c>
      <c r="E3286" s="1" t="s">
        <v>342</v>
      </c>
      <c r="F3286" s="1" t="s">
        <v>84</v>
      </c>
      <c r="G3286" s="1" t="s">
        <v>78</v>
      </c>
      <c r="H3286" s="1" t="s">
        <v>146</v>
      </c>
      <c r="I3286" s="1">
        <v>234.72</v>
      </c>
      <c r="J3286" s="1">
        <v>10</v>
      </c>
      <c r="K3286" s="1">
        <v>2347.1999999999998</v>
      </c>
      <c r="L3286" s="1">
        <v>0</v>
      </c>
      <c r="M3286" s="1">
        <v>0</v>
      </c>
      <c r="N3286" s="1">
        <v>2347.1999999999998</v>
      </c>
      <c r="O3286" s="1" t="s">
        <v>80</v>
      </c>
      <c r="P3286" s="1" t="s">
        <v>1096</v>
      </c>
      <c r="Q3286" s="1">
        <v>5</v>
      </c>
      <c r="R3286" s="1">
        <f>Retail_Sales_Analyis[[#This Row],[Final_Price]]-Retail_Sales_Analyis[[#This Row],[Total_Price]]</f>
        <v>0</v>
      </c>
      <c r="S32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87" spans="1:19" x14ac:dyDescent="0.25">
      <c r="A3287" s="1" t="s">
        <v>4393</v>
      </c>
      <c r="B3287" s="2">
        <v>45571</v>
      </c>
      <c r="C3287" s="1" t="s">
        <v>76</v>
      </c>
      <c r="D3287" s="1" t="s">
        <v>49</v>
      </c>
      <c r="E3287" s="1" t="s">
        <v>312</v>
      </c>
      <c r="F3287" s="1" t="s">
        <v>21</v>
      </c>
      <c r="G3287" s="1" t="s">
        <v>169</v>
      </c>
      <c r="H3287" s="1" t="s">
        <v>366</v>
      </c>
      <c r="I3287" s="1">
        <v>530.63</v>
      </c>
      <c r="J3287" s="1">
        <v>7</v>
      </c>
      <c r="K3287" s="1">
        <v>3714.41</v>
      </c>
      <c r="L3287" s="1">
        <v>10</v>
      </c>
      <c r="M3287" s="1">
        <v>371.44</v>
      </c>
      <c r="N3287" s="1">
        <v>3342.97</v>
      </c>
      <c r="O3287" s="1" t="s">
        <v>64</v>
      </c>
      <c r="P3287" s="1" t="s">
        <v>1061</v>
      </c>
      <c r="Q3287" s="1">
        <v>1</v>
      </c>
      <c r="R3287" s="1">
        <f>Retail_Sales_Analyis[[#This Row],[Final_Price]]-Retail_Sales_Analyis[[#This Row],[Total_Price]]</f>
        <v>-371.44000000000005</v>
      </c>
      <c r="S32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8" spans="1:19" x14ac:dyDescent="0.25">
      <c r="A3288" s="1" t="s">
        <v>4394</v>
      </c>
      <c r="B3288" s="2">
        <v>45384</v>
      </c>
      <c r="C3288" s="1" t="s">
        <v>54</v>
      </c>
      <c r="D3288" s="1" t="s">
        <v>28</v>
      </c>
      <c r="E3288" s="1" t="s">
        <v>239</v>
      </c>
      <c r="F3288" s="1" t="s">
        <v>37</v>
      </c>
      <c r="G3288" s="1" t="s">
        <v>22</v>
      </c>
      <c r="H3288" s="1" t="s">
        <v>51</v>
      </c>
      <c r="I3288" s="1">
        <v>591.24</v>
      </c>
      <c r="J3288" s="1">
        <v>5</v>
      </c>
      <c r="K3288" s="1">
        <v>2956.2</v>
      </c>
      <c r="L3288" s="1">
        <v>15</v>
      </c>
      <c r="M3288" s="1">
        <v>443.43</v>
      </c>
      <c r="N3288" s="1">
        <v>2512.77</v>
      </c>
      <c r="O3288" s="1" t="s">
        <v>24</v>
      </c>
      <c r="P3288" s="1" t="s">
        <v>594</v>
      </c>
      <c r="Q3288" s="1">
        <v>4</v>
      </c>
      <c r="R3288" s="1">
        <f>Retail_Sales_Analyis[[#This Row],[Final_Price]]-Retail_Sales_Analyis[[#This Row],[Total_Price]]</f>
        <v>-443.42999999999984</v>
      </c>
      <c r="S32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89" spans="1:19" x14ac:dyDescent="0.25">
      <c r="A3289" s="1" t="s">
        <v>4395</v>
      </c>
      <c r="B3289" s="2">
        <v>45641</v>
      </c>
      <c r="C3289" s="1" t="s">
        <v>73</v>
      </c>
      <c r="D3289" s="1" t="s">
        <v>49</v>
      </c>
      <c r="E3289" s="1" t="s">
        <v>174</v>
      </c>
      <c r="F3289" s="1" t="s">
        <v>69</v>
      </c>
      <c r="G3289" s="1" t="s">
        <v>57</v>
      </c>
      <c r="H3289" s="1" t="s">
        <v>122</v>
      </c>
      <c r="I3289" s="1">
        <v>2725.36</v>
      </c>
      <c r="J3289" s="1">
        <v>2</v>
      </c>
      <c r="K3289" s="1">
        <v>5450.72</v>
      </c>
      <c r="L3289" s="1">
        <v>10</v>
      </c>
      <c r="M3289" s="1">
        <v>545.07000000000005</v>
      </c>
      <c r="N3289" s="1">
        <v>4905.6499999999996</v>
      </c>
      <c r="O3289" s="1" t="s">
        <v>24</v>
      </c>
      <c r="P3289" s="1" t="s">
        <v>2659</v>
      </c>
      <c r="Q3289" s="1">
        <v>5</v>
      </c>
      <c r="R3289" s="1">
        <f>Retail_Sales_Analyis[[#This Row],[Final_Price]]-Retail_Sales_Analyis[[#This Row],[Total_Price]]</f>
        <v>-545.07000000000062</v>
      </c>
      <c r="S32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0" spans="1:19" x14ac:dyDescent="0.25">
      <c r="A3290" s="1" t="s">
        <v>4396</v>
      </c>
      <c r="B3290" s="2">
        <v>45573</v>
      </c>
      <c r="C3290" s="1" t="s">
        <v>76</v>
      </c>
      <c r="D3290" s="1" t="s">
        <v>28</v>
      </c>
      <c r="E3290" s="1" t="s">
        <v>236</v>
      </c>
      <c r="F3290" s="1" t="s">
        <v>37</v>
      </c>
      <c r="G3290" s="1" t="s">
        <v>112</v>
      </c>
      <c r="H3290" s="1" t="s">
        <v>118</v>
      </c>
      <c r="I3290" s="1">
        <v>1719.71</v>
      </c>
      <c r="J3290" s="1">
        <v>1</v>
      </c>
      <c r="K3290" s="1">
        <v>1719.71</v>
      </c>
      <c r="L3290" s="1">
        <v>0</v>
      </c>
      <c r="M3290" s="1">
        <v>0</v>
      </c>
      <c r="N3290" s="1">
        <v>1719.71</v>
      </c>
      <c r="O3290" s="1" t="s">
        <v>64</v>
      </c>
      <c r="P3290" s="1" t="s">
        <v>1358</v>
      </c>
      <c r="Q3290" s="1">
        <v>2</v>
      </c>
      <c r="R3290" s="1">
        <f>Retail_Sales_Analyis[[#This Row],[Final_Price]]-Retail_Sales_Analyis[[#This Row],[Total_Price]]</f>
        <v>0</v>
      </c>
      <c r="S32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91" spans="1:19" x14ac:dyDescent="0.25">
      <c r="A3291" s="1" t="s">
        <v>4397</v>
      </c>
      <c r="B3291" s="2">
        <v>45305</v>
      </c>
      <c r="C3291" s="1" t="s">
        <v>36</v>
      </c>
      <c r="D3291" s="1" t="s">
        <v>49</v>
      </c>
      <c r="E3291" s="1" t="s">
        <v>337</v>
      </c>
      <c r="F3291" s="1" t="s">
        <v>69</v>
      </c>
      <c r="G3291" s="1" t="s">
        <v>57</v>
      </c>
      <c r="H3291" s="1" t="s">
        <v>158</v>
      </c>
      <c r="I3291" s="1">
        <v>2867.52</v>
      </c>
      <c r="J3291" s="1">
        <v>5</v>
      </c>
      <c r="K3291" s="1">
        <v>14337.6</v>
      </c>
      <c r="L3291" s="1">
        <v>10</v>
      </c>
      <c r="M3291" s="1">
        <v>1433.76</v>
      </c>
      <c r="N3291" s="1">
        <v>12903.84</v>
      </c>
      <c r="O3291" s="1" t="s">
        <v>46</v>
      </c>
      <c r="P3291" s="1" t="s">
        <v>1090</v>
      </c>
      <c r="Q3291" s="1">
        <v>4</v>
      </c>
      <c r="R3291" s="1">
        <f>Retail_Sales_Analyis[[#This Row],[Final_Price]]-Retail_Sales_Analyis[[#This Row],[Total_Price]]</f>
        <v>-1433.7600000000002</v>
      </c>
      <c r="S32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2" spans="1:19" x14ac:dyDescent="0.25">
      <c r="A3292" s="1" t="s">
        <v>4398</v>
      </c>
      <c r="B3292" s="2">
        <v>45528</v>
      </c>
      <c r="C3292" s="1" t="s">
        <v>93</v>
      </c>
      <c r="D3292" s="1" t="s">
        <v>19</v>
      </c>
      <c r="E3292" s="1" t="s">
        <v>56</v>
      </c>
      <c r="F3292" s="1" t="s">
        <v>30</v>
      </c>
      <c r="G3292" s="1" t="s">
        <v>38</v>
      </c>
      <c r="H3292" s="1" t="s">
        <v>70</v>
      </c>
      <c r="I3292" s="1">
        <v>432.32</v>
      </c>
      <c r="J3292" s="1">
        <v>7</v>
      </c>
      <c r="K3292" s="1">
        <v>3026.24</v>
      </c>
      <c r="L3292" s="1">
        <v>0</v>
      </c>
      <c r="M3292" s="1">
        <v>0</v>
      </c>
      <c r="N3292" s="1">
        <v>3026.24</v>
      </c>
      <c r="O3292" s="1" t="s">
        <v>24</v>
      </c>
      <c r="P3292" s="1" t="s">
        <v>3184</v>
      </c>
      <c r="Q3292" s="1">
        <v>4</v>
      </c>
      <c r="R3292" s="1">
        <f>Retail_Sales_Analyis[[#This Row],[Final_Price]]-Retail_Sales_Analyis[[#This Row],[Total_Price]]</f>
        <v>0</v>
      </c>
      <c r="S32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93" spans="1:19" x14ac:dyDescent="0.25">
      <c r="A3293" s="1" t="s">
        <v>4399</v>
      </c>
      <c r="B3293" s="2">
        <v>45654</v>
      </c>
      <c r="C3293" s="1" t="s">
        <v>73</v>
      </c>
      <c r="D3293" s="1" t="s">
        <v>19</v>
      </c>
      <c r="E3293" s="1" t="s">
        <v>121</v>
      </c>
      <c r="F3293" s="1" t="s">
        <v>21</v>
      </c>
      <c r="G3293" s="1" t="s">
        <v>85</v>
      </c>
      <c r="H3293" s="1" t="s">
        <v>180</v>
      </c>
      <c r="I3293" s="1">
        <v>3829.94</v>
      </c>
      <c r="J3293" s="1">
        <v>8</v>
      </c>
      <c r="K3293" s="1">
        <v>30639.52</v>
      </c>
      <c r="L3293" s="1">
        <v>0</v>
      </c>
      <c r="M3293" s="1">
        <v>0</v>
      </c>
      <c r="N3293" s="1">
        <v>30639.52</v>
      </c>
      <c r="O3293" s="1" t="s">
        <v>64</v>
      </c>
      <c r="P3293" s="1" t="s">
        <v>1593</v>
      </c>
      <c r="Q3293" s="1">
        <v>1</v>
      </c>
      <c r="R3293" s="1">
        <f>Retail_Sales_Analyis[[#This Row],[Final_Price]]-Retail_Sales_Analyis[[#This Row],[Total_Price]]</f>
        <v>0</v>
      </c>
      <c r="S32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94" spans="1:19" x14ac:dyDescent="0.25">
      <c r="A3294" s="1" t="s">
        <v>4400</v>
      </c>
      <c r="B3294" s="2">
        <v>45399</v>
      </c>
      <c r="C3294" s="1" t="s">
        <v>54</v>
      </c>
      <c r="D3294" s="1" t="s">
        <v>55</v>
      </c>
      <c r="E3294" s="1" t="s">
        <v>239</v>
      </c>
      <c r="F3294" s="1" t="s">
        <v>37</v>
      </c>
      <c r="G3294" s="1" t="s">
        <v>22</v>
      </c>
      <c r="H3294" s="1" t="s">
        <v>133</v>
      </c>
      <c r="I3294" s="1">
        <v>868.2</v>
      </c>
      <c r="J3294" s="1">
        <v>8</v>
      </c>
      <c r="K3294" s="1">
        <v>6945.6</v>
      </c>
      <c r="L3294" s="1">
        <v>15</v>
      </c>
      <c r="M3294" s="1">
        <v>1041.8399999999999</v>
      </c>
      <c r="N3294" s="1">
        <v>5903.76</v>
      </c>
      <c r="O3294" s="1" t="s">
        <v>80</v>
      </c>
      <c r="P3294" s="1" t="s">
        <v>2891</v>
      </c>
      <c r="Q3294" s="1">
        <v>1</v>
      </c>
      <c r="R3294" s="1">
        <f>Retail_Sales_Analyis[[#This Row],[Final_Price]]-Retail_Sales_Analyis[[#This Row],[Total_Price]]</f>
        <v>-1041.8400000000001</v>
      </c>
      <c r="S32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5" spans="1:19" x14ac:dyDescent="0.25">
      <c r="A3295" s="1" t="s">
        <v>4401</v>
      </c>
      <c r="B3295" s="2">
        <v>45516</v>
      </c>
      <c r="C3295" s="1" t="s">
        <v>93</v>
      </c>
      <c r="D3295" s="1" t="s">
        <v>43</v>
      </c>
      <c r="E3295" s="1" t="s">
        <v>111</v>
      </c>
      <c r="F3295" s="1" t="s">
        <v>69</v>
      </c>
      <c r="G3295" s="1" t="s">
        <v>31</v>
      </c>
      <c r="H3295" s="1" t="s">
        <v>329</v>
      </c>
      <c r="I3295" s="1">
        <v>479.35</v>
      </c>
      <c r="J3295" s="1">
        <v>10</v>
      </c>
      <c r="K3295" s="1">
        <v>4793.5</v>
      </c>
      <c r="L3295" s="1">
        <v>10</v>
      </c>
      <c r="M3295" s="1">
        <v>479.35</v>
      </c>
      <c r="N3295" s="1">
        <v>4314.1499999999996</v>
      </c>
      <c r="O3295" s="1" t="s">
        <v>33</v>
      </c>
      <c r="P3295" s="1" t="s">
        <v>2937</v>
      </c>
      <c r="Q3295" s="1">
        <v>2</v>
      </c>
      <c r="R3295" s="1">
        <f>Retail_Sales_Analyis[[#This Row],[Final_Price]]-Retail_Sales_Analyis[[#This Row],[Total_Price]]</f>
        <v>-479.35000000000036</v>
      </c>
      <c r="S32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6" spans="1:19" x14ac:dyDescent="0.25">
      <c r="A3296" s="1" t="s">
        <v>4402</v>
      </c>
      <c r="B3296" s="2">
        <v>45441</v>
      </c>
      <c r="C3296" s="1" t="s">
        <v>42</v>
      </c>
      <c r="D3296" s="1" t="s">
        <v>55</v>
      </c>
      <c r="E3296" s="1" t="s">
        <v>89</v>
      </c>
      <c r="F3296" s="1" t="s">
        <v>69</v>
      </c>
      <c r="G3296" s="1" t="s">
        <v>31</v>
      </c>
      <c r="H3296" s="1" t="s">
        <v>329</v>
      </c>
      <c r="I3296" s="1">
        <v>56.15</v>
      </c>
      <c r="J3296" s="1">
        <v>10</v>
      </c>
      <c r="K3296" s="1">
        <v>561.5</v>
      </c>
      <c r="L3296" s="1">
        <v>10</v>
      </c>
      <c r="M3296" s="1">
        <v>56.15</v>
      </c>
      <c r="N3296" s="1">
        <v>505.35</v>
      </c>
      <c r="O3296" s="1" t="s">
        <v>46</v>
      </c>
      <c r="P3296" s="1" t="s">
        <v>1456</v>
      </c>
      <c r="Q3296" s="1">
        <v>4</v>
      </c>
      <c r="R3296" s="1">
        <f>Retail_Sales_Analyis[[#This Row],[Final_Price]]-Retail_Sales_Analyis[[#This Row],[Total_Price]]</f>
        <v>-56.149999999999977</v>
      </c>
      <c r="S32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7" spans="1:19" x14ac:dyDescent="0.25">
      <c r="A3297" s="1" t="s">
        <v>4403</v>
      </c>
      <c r="B3297" s="2">
        <v>45646</v>
      </c>
      <c r="C3297" s="1" t="s">
        <v>73</v>
      </c>
      <c r="D3297" s="1" t="s">
        <v>144</v>
      </c>
      <c r="E3297" s="1" t="s">
        <v>337</v>
      </c>
      <c r="F3297" s="1" t="s">
        <v>69</v>
      </c>
      <c r="G3297" s="1" t="s">
        <v>57</v>
      </c>
      <c r="H3297" s="1" t="s">
        <v>101</v>
      </c>
      <c r="I3297" s="1">
        <v>2963.08</v>
      </c>
      <c r="J3297" s="1">
        <v>4</v>
      </c>
      <c r="K3297" s="1">
        <v>11852.32</v>
      </c>
      <c r="L3297" s="1">
        <v>0</v>
      </c>
      <c r="M3297" s="1">
        <v>0</v>
      </c>
      <c r="N3297" s="1">
        <v>11852.32</v>
      </c>
      <c r="O3297" s="1" t="s">
        <v>33</v>
      </c>
      <c r="P3297" s="1" t="s">
        <v>886</v>
      </c>
      <c r="Q3297" s="1">
        <v>1</v>
      </c>
      <c r="R3297" s="1">
        <f>Retail_Sales_Analyis[[#This Row],[Final_Price]]-Retail_Sales_Analyis[[#This Row],[Total_Price]]</f>
        <v>0</v>
      </c>
      <c r="S32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298" spans="1:19" x14ac:dyDescent="0.25">
      <c r="A3298" s="1" t="s">
        <v>4404</v>
      </c>
      <c r="B3298" s="2">
        <v>45327</v>
      </c>
      <c r="C3298" s="1" t="s">
        <v>27</v>
      </c>
      <c r="D3298" s="1" t="s">
        <v>43</v>
      </c>
      <c r="E3298" s="1" t="s">
        <v>199</v>
      </c>
      <c r="F3298" s="1" t="s">
        <v>37</v>
      </c>
      <c r="G3298" s="1" t="s">
        <v>78</v>
      </c>
      <c r="H3298" s="1" t="s">
        <v>126</v>
      </c>
      <c r="I3298" s="1">
        <v>518.46</v>
      </c>
      <c r="J3298" s="1">
        <v>1</v>
      </c>
      <c r="K3298" s="1">
        <v>518.46</v>
      </c>
      <c r="L3298" s="1">
        <v>10</v>
      </c>
      <c r="M3298" s="1">
        <v>51.85</v>
      </c>
      <c r="N3298" s="1">
        <v>466.61</v>
      </c>
      <c r="O3298" s="1" t="s">
        <v>33</v>
      </c>
      <c r="P3298" s="1" t="s">
        <v>2090</v>
      </c>
      <c r="Q3298" s="1">
        <v>1</v>
      </c>
      <c r="R3298" s="1">
        <f>Retail_Sales_Analyis[[#This Row],[Final_Price]]-Retail_Sales_Analyis[[#This Row],[Total_Price]]</f>
        <v>-51.850000000000023</v>
      </c>
      <c r="S32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299" spans="1:19" x14ac:dyDescent="0.25">
      <c r="A3299" s="1" t="s">
        <v>4405</v>
      </c>
      <c r="B3299" s="2">
        <v>45501</v>
      </c>
      <c r="C3299" s="1" t="s">
        <v>195</v>
      </c>
      <c r="D3299" s="1" t="s">
        <v>49</v>
      </c>
      <c r="E3299" s="1" t="s">
        <v>174</v>
      </c>
      <c r="F3299" s="1" t="s">
        <v>69</v>
      </c>
      <c r="G3299" s="1" t="s">
        <v>22</v>
      </c>
      <c r="H3299" s="1" t="s">
        <v>23</v>
      </c>
      <c r="I3299" s="1">
        <v>399.72</v>
      </c>
      <c r="J3299" s="1">
        <v>4</v>
      </c>
      <c r="K3299" s="1">
        <v>1598.88</v>
      </c>
      <c r="L3299" s="1">
        <v>0</v>
      </c>
      <c r="M3299" s="1">
        <v>0</v>
      </c>
      <c r="N3299" s="1">
        <v>1598.88</v>
      </c>
      <c r="O3299" s="1" t="s">
        <v>64</v>
      </c>
      <c r="P3299" s="1" t="s">
        <v>1188</v>
      </c>
      <c r="Q3299" s="1">
        <v>1</v>
      </c>
      <c r="R3299" s="1">
        <f>Retail_Sales_Analyis[[#This Row],[Final_Price]]-Retail_Sales_Analyis[[#This Row],[Total_Price]]</f>
        <v>0</v>
      </c>
      <c r="S32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00" spans="1:19" x14ac:dyDescent="0.25">
      <c r="A3300" s="1" t="s">
        <v>4406</v>
      </c>
      <c r="B3300" s="2">
        <v>45636</v>
      </c>
      <c r="C3300" s="1" t="s">
        <v>73</v>
      </c>
      <c r="D3300" s="1" t="s">
        <v>28</v>
      </c>
      <c r="E3300" s="1" t="s">
        <v>186</v>
      </c>
      <c r="F3300" s="1" t="s">
        <v>84</v>
      </c>
      <c r="G3300" s="1" t="s">
        <v>31</v>
      </c>
      <c r="H3300" s="1" t="s">
        <v>63</v>
      </c>
      <c r="I3300" s="1">
        <v>178.39</v>
      </c>
      <c r="J3300" s="1">
        <v>9</v>
      </c>
      <c r="K3300" s="1">
        <v>1605.51</v>
      </c>
      <c r="L3300" s="1">
        <v>15</v>
      </c>
      <c r="M3300" s="1">
        <v>240.83</v>
      </c>
      <c r="N3300" s="1">
        <v>1364.68</v>
      </c>
      <c r="O3300" s="1" t="s">
        <v>80</v>
      </c>
      <c r="P3300" s="1" t="s">
        <v>1320</v>
      </c>
      <c r="Q3300" s="1">
        <v>5</v>
      </c>
      <c r="R3300" s="1">
        <f>Retail_Sales_Analyis[[#This Row],[Final_Price]]-Retail_Sales_Analyis[[#This Row],[Total_Price]]</f>
        <v>-240.82999999999993</v>
      </c>
      <c r="S33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1" spans="1:19" x14ac:dyDescent="0.25">
      <c r="A3301" s="1" t="s">
        <v>4407</v>
      </c>
      <c r="B3301" s="2">
        <v>45547</v>
      </c>
      <c r="C3301" s="1" t="s">
        <v>116</v>
      </c>
      <c r="D3301" s="1" t="s">
        <v>67</v>
      </c>
      <c r="E3301" s="1" t="s">
        <v>44</v>
      </c>
      <c r="F3301" s="1" t="s">
        <v>21</v>
      </c>
      <c r="G3301" s="1" t="s">
        <v>85</v>
      </c>
      <c r="H3301" s="1" t="s">
        <v>98</v>
      </c>
      <c r="I3301" s="1">
        <v>2872.48</v>
      </c>
      <c r="J3301" s="1">
        <v>10</v>
      </c>
      <c r="K3301" s="1">
        <v>28724.799999999999</v>
      </c>
      <c r="L3301" s="1">
        <v>15</v>
      </c>
      <c r="M3301" s="1">
        <v>4308.72</v>
      </c>
      <c r="N3301" s="1">
        <v>24416.080000000002</v>
      </c>
      <c r="O3301" s="1" t="s">
        <v>24</v>
      </c>
      <c r="P3301" s="1" t="s">
        <v>1315</v>
      </c>
      <c r="Q3301" s="1">
        <v>5</v>
      </c>
      <c r="R3301" s="1">
        <f>Retail_Sales_Analyis[[#This Row],[Final_Price]]-Retail_Sales_Analyis[[#This Row],[Total_Price]]</f>
        <v>-4308.7199999999975</v>
      </c>
      <c r="S33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2" spans="1:19" x14ac:dyDescent="0.25">
      <c r="A3302" s="1" t="s">
        <v>4408</v>
      </c>
      <c r="B3302" s="2">
        <v>45363</v>
      </c>
      <c r="C3302" s="1" t="s">
        <v>61</v>
      </c>
      <c r="D3302" s="1" t="s">
        <v>28</v>
      </c>
      <c r="E3302" s="1" t="s">
        <v>62</v>
      </c>
      <c r="F3302" s="1" t="s">
        <v>30</v>
      </c>
      <c r="G3302" s="1" t="s">
        <v>78</v>
      </c>
      <c r="H3302" s="1" t="s">
        <v>126</v>
      </c>
      <c r="I3302" s="1">
        <v>527.30999999999995</v>
      </c>
      <c r="J3302" s="1">
        <v>3</v>
      </c>
      <c r="K3302" s="1">
        <v>1581.93</v>
      </c>
      <c r="L3302" s="1">
        <v>15</v>
      </c>
      <c r="M3302" s="1">
        <v>237.29</v>
      </c>
      <c r="N3302" s="1">
        <v>1344.64</v>
      </c>
      <c r="O3302" s="1" t="s">
        <v>46</v>
      </c>
      <c r="P3302" s="1" t="s">
        <v>295</v>
      </c>
      <c r="Q3302" s="1">
        <v>5</v>
      </c>
      <c r="R3302" s="1">
        <f>Retail_Sales_Analyis[[#This Row],[Final_Price]]-Retail_Sales_Analyis[[#This Row],[Total_Price]]</f>
        <v>-237.28999999999996</v>
      </c>
      <c r="S33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3" spans="1:19" x14ac:dyDescent="0.25">
      <c r="A3303" s="1" t="s">
        <v>4409</v>
      </c>
      <c r="B3303" s="2">
        <v>45616</v>
      </c>
      <c r="C3303" s="1" t="s">
        <v>18</v>
      </c>
      <c r="D3303" s="1" t="s">
        <v>55</v>
      </c>
      <c r="E3303" s="1" t="s">
        <v>145</v>
      </c>
      <c r="F3303" s="1" t="s">
        <v>30</v>
      </c>
      <c r="G3303" s="1" t="s">
        <v>78</v>
      </c>
      <c r="H3303" s="1" t="s">
        <v>79</v>
      </c>
      <c r="I3303" s="1">
        <v>245.21</v>
      </c>
      <c r="J3303" s="1">
        <v>2</v>
      </c>
      <c r="K3303" s="1">
        <v>490.42</v>
      </c>
      <c r="L3303" s="1">
        <v>10</v>
      </c>
      <c r="M3303" s="1">
        <v>49.04</v>
      </c>
      <c r="N3303" s="1">
        <v>441.38</v>
      </c>
      <c r="O3303" s="1" t="s">
        <v>33</v>
      </c>
      <c r="P3303" s="1" t="s">
        <v>1664</v>
      </c>
      <c r="Q3303" s="1">
        <v>1</v>
      </c>
      <c r="R3303" s="1">
        <f>Retail_Sales_Analyis[[#This Row],[Final_Price]]-Retail_Sales_Analyis[[#This Row],[Total_Price]]</f>
        <v>-49.04000000000002</v>
      </c>
      <c r="S33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4" spans="1:19" x14ac:dyDescent="0.25">
      <c r="A3304" s="1" t="s">
        <v>4410</v>
      </c>
      <c r="B3304" s="2">
        <v>45447</v>
      </c>
      <c r="C3304" s="1" t="s">
        <v>173</v>
      </c>
      <c r="D3304" s="1" t="s">
        <v>28</v>
      </c>
      <c r="E3304" s="1" t="s">
        <v>97</v>
      </c>
      <c r="F3304" s="1" t="s">
        <v>69</v>
      </c>
      <c r="G3304" s="1" t="s">
        <v>85</v>
      </c>
      <c r="H3304" s="1" t="s">
        <v>98</v>
      </c>
      <c r="I3304" s="1">
        <v>2713.46</v>
      </c>
      <c r="J3304" s="1">
        <v>9</v>
      </c>
      <c r="K3304" s="1">
        <v>24421.14</v>
      </c>
      <c r="L3304" s="1">
        <v>10</v>
      </c>
      <c r="M3304" s="1">
        <v>2442.11</v>
      </c>
      <c r="N3304" s="1">
        <v>21979.03</v>
      </c>
      <c r="O3304" s="1" t="s">
        <v>64</v>
      </c>
      <c r="P3304" s="1" t="s">
        <v>1391</v>
      </c>
      <c r="Q3304" s="1">
        <v>5</v>
      </c>
      <c r="R3304" s="1">
        <f>Retail_Sales_Analyis[[#This Row],[Final_Price]]-Retail_Sales_Analyis[[#This Row],[Total_Price]]</f>
        <v>-2442.1100000000006</v>
      </c>
      <c r="S33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5" spans="1:19" x14ac:dyDescent="0.25">
      <c r="A3305" s="1" t="s">
        <v>4411</v>
      </c>
      <c r="B3305" s="2">
        <v>45415</v>
      </c>
      <c r="C3305" s="1" t="s">
        <v>42</v>
      </c>
      <c r="D3305" s="1" t="s">
        <v>144</v>
      </c>
      <c r="E3305" s="1" t="s">
        <v>337</v>
      </c>
      <c r="F3305" s="1" t="s">
        <v>37</v>
      </c>
      <c r="G3305" s="1" t="s">
        <v>22</v>
      </c>
      <c r="H3305" s="1" t="s">
        <v>187</v>
      </c>
      <c r="I3305" s="1">
        <v>872.95</v>
      </c>
      <c r="J3305" s="1">
        <v>4</v>
      </c>
      <c r="K3305" s="1">
        <v>3491.8</v>
      </c>
      <c r="L3305" s="1">
        <v>0</v>
      </c>
      <c r="M3305" s="1">
        <v>0</v>
      </c>
      <c r="N3305" s="1">
        <v>3491.8</v>
      </c>
      <c r="O3305" s="1" t="s">
        <v>64</v>
      </c>
      <c r="P3305" s="1" t="s">
        <v>549</v>
      </c>
      <c r="Q3305" s="1">
        <v>5</v>
      </c>
      <c r="R3305" s="1">
        <f>Retail_Sales_Analyis[[#This Row],[Final_Price]]-Retail_Sales_Analyis[[#This Row],[Total_Price]]</f>
        <v>0</v>
      </c>
      <c r="S33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06" spans="1:19" x14ac:dyDescent="0.25">
      <c r="A3306" s="1" t="s">
        <v>4412</v>
      </c>
      <c r="B3306" s="2">
        <v>45421</v>
      </c>
      <c r="C3306" s="1" t="s">
        <v>42</v>
      </c>
      <c r="D3306" s="1" t="s">
        <v>67</v>
      </c>
      <c r="E3306" s="1" t="s">
        <v>261</v>
      </c>
      <c r="F3306" s="1" t="s">
        <v>30</v>
      </c>
      <c r="G3306" s="1" t="s">
        <v>57</v>
      </c>
      <c r="H3306" s="1" t="s">
        <v>58</v>
      </c>
      <c r="I3306" s="1">
        <v>914.94</v>
      </c>
      <c r="J3306" s="1">
        <v>6</v>
      </c>
      <c r="K3306" s="1">
        <v>5489.64</v>
      </c>
      <c r="L3306" s="1">
        <v>10</v>
      </c>
      <c r="M3306" s="1">
        <v>548.96</v>
      </c>
      <c r="N3306" s="1">
        <v>4940.68</v>
      </c>
      <c r="O3306" s="1" t="s">
        <v>46</v>
      </c>
      <c r="P3306" s="1" t="s">
        <v>4077</v>
      </c>
      <c r="Q3306" s="1">
        <v>4</v>
      </c>
      <c r="R3306" s="1">
        <f>Retail_Sales_Analyis[[#This Row],[Final_Price]]-Retail_Sales_Analyis[[#This Row],[Total_Price]]</f>
        <v>-548.96</v>
      </c>
      <c r="S33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07" spans="1:19" x14ac:dyDescent="0.25">
      <c r="A3307" s="1" t="s">
        <v>4413</v>
      </c>
      <c r="B3307" s="2">
        <v>45629</v>
      </c>
      <c r="C3307" s="1" t="s">
        <v>73</v>
      </c>
      <c r="D3307" s="1" t="s">
        <v>28</v>
      </c>
      <c r="E3307" s="1" t="s">
        <v>44</v>
      </c>
      <c r="F3307" s="1" t="s">
        <v>37</v>
      </c>
      <c r="G3307" s="1" t="s">
        <v>22</v>
      </c>
      <c r="H3307" s="1" t="s">
        <v>51</v>
      </c>
      <c r="I3307" s="1">
        <v>954.98</v>
      </c>
      <c r="J3307" s="1">
        <v>5</v>
      </c>
      <c r="K3307" s="1">
        <v>4774.8999999999996</v>
      </c>
      <c r="L3307" s="1">
        <v>0</v>
      </c>
      <c r="M3307" s="1">
        <v>0</v>
      </c>
      <c r="N3307" s="1">
        <v>4774.8999999999996</v>
      </c>
      <c r="O3307" s="1" t="s">
        <v>33</v>
      </c>
      <c r="P3307" s="1" t="s">
        <v>611</v>
      </c>
      <c r="Q3307" s="1">
        <v>2</v>
      </c>
      <c r="R3307" s="1">
        <f>Retail_Sales_Analyis[[#This Row],[Final_Price]]-Retail_Sales_Analyis[[#This Row],[Total_Price]]</f>
        <v>0</v>
      </c>
      <c r="S33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08" spans="1:19" x14ac:dyDescent="0.25">
      <c r="A3308" s="1" t="s">
        <v>4414</v>
      </c>
      <c r="B3308" s="2">
        <v>45370</v>
      </c>
      <c r="C3308" s="1" t="s">
        <v>61</v>
      </c>
      <c r="D3308" s="1" t="s">
        <v>28</v>
      </c>
      <c r="E3308" s="1" t="s">
        <v>196</v>
      </c>
      <c r="F3308" s="1" t="s">
        <v>69</v>
      </c>
      <c r="G3308" s="1" t="s">
        <v>112</v>
      </c>
      <c r="H3308" s="1" t="s">
        <v>288</v>
      </c>
      <c r="I3308" s="1">
        <v>841.98</v>
      </c>
      <c r="J3308" s="1">
        <v>8</v>
      </c>
      <c r="K3308" s="1">
        <v>6735.84</v>
      </c>
      <c r="L3308" s="1">
        <v>0</v>
      </c>
      <c r="M3308" s="1">
        <v>0</v>
      </c>
      <c r="N3308" s="1">
        <v>6735.84</v>
      </c>
      <c r="O3308" s="1" t="s">
        <v>46</v>
      </c>
      <c r="P3308" s="1" t="s">
        <v>2629</v>
      </c>
      <c r="Q3308" s="1">
        <v>2</v>
      </c>
      <c r="R3308" s="1">
        <f>Retail_Sales_Analyis[[#This Row],[Final_Price]]-Retail_Sales_Analyis[[#This Row],[Total_Price]]</f>
        <v>0</v>
      </c>
      <c r="S33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09" spans="1:19" x14ac:dyDescent="0.25">
      <c r="A3309" s="1" t="s">
        <v>4415</v>
      </c>
      <c r="B3309" s="2">
        <v>45508</v>
      </c>
      <c r="C3309" s="1" t="s">
        <v>93</v>
      </c>
      <c r="D3309" s="1" t="s">
        <v>49</v>
      </c>
      <c r="E3309" s="1" t="s">
        <v>213</v>
      </c>
      <c r="F3309" s="1" t="s">
        <v>37</v>
      </c>
      <c r="G3309" s="1" t="s">
        <v>22</v>
      </c>
      <c r="H3309" s="1" t="s">
        <v>133</v>
      </c>
      <c r="I3309" s="1">
        <v>297.45999999999998</v>
      </c>
      <c r="J3309" s="1">
        <v>6</v>
      </c>
      <c r="K3309" s="1">
        <v>1784.76</v>
      </c>
      <c r="L3309" s="1">
        <v>10</v>
      </c>
      <c r="M3309" s="1">
        <v>178.48</v>
      </c>
      <c r="N3309" s="1">
        <v>1606.28</v>
      </c>
      <c r="O3309" s="1" t="s">
        <v>46</v>
      </c>
      <c r="P3309" s="1" t="s">
        <v>1002</v>
      </c>
      <c r="Q3309" s="1">
        <v>1</v>
      </c>
      <c r="R3309" s="1">
        <f>Retail_Sales_Analyis[[#This Row],[Final_Price]]-Retail_Sales_Analyis[[#This Row],[Total_Price]]</f>
        <v>-178.48000000000002</v>
      </c>
      <c r="S33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10" spans="1:19" x14ac:dyDescent="0.25">
      <c r="A3310" s="1" t="s">
        <v>4416</v>
      </c>
      <c r="B3310" s="2">
        <v>45485</v>
      </c>
      <c r="C3310" s="1" t="s">
        <v>195</v>
      </c>
      <c r="D3310" s="1" t="s">
        <v>144</v>
      </c>
      <c r="E3310" s="1" t="s">
        <v>322</v>
      </c>
      <c r="F3310" s="1" t="s">
        <v>30</v>
      </c>
      <c r="G3310" s="1" t="s">
        <v>38</v>
      </c>
      <c r="H3310" s="1" t="s">
        <v>422</v>
      </c>
      <c r="I3310" s="1">
        <v>659.48</v>
      </c>
      <c r="J3310" s="1">
        <v>6</v>
      </c>
      <c r="K3310" s="1">
        <v>3956.88</v>
      </c>
      <c r="L3310" s="1">
        <v>5</v>
      </c>
      <c r="M3310" s="1">
        <v>197.84</v>
      </c>
      <c r="N3310" s="1">
        <v>3759.04</v>
      </c>
      <c r="O3310" s="1" t="s">
        <v>64</v>
      </c>
      <c r="P3310" s="1" t="s">
        <v>572</v>
      </c>
      <c r="Q3310" s="1">
        <v>5</v>
      </c>
      <c r="R3310" s="1">
        <f>Retail_Sales_Analyis[[#This Row],[Final_Price]]-Retail_Sales_Analyis[[#This Row],[Total_Price]]</f>
        <v>-197.84000000000015</v>
      </c>
      <c r="S33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11" spans="1:19" x14ac:dyDescent="0.25">
      <c r="A3311" s="1" t="s">
        <v>4417</v>
      </c>
      <c r="B3311" s="2">
        <v>45329</v>
      </c>
      <c r="C3311" s="1" t="s">
        <v>27</v>
      </c>
      <c r="D3311" s="1" t="s">
        <v>55</v>
      </c>
      <c r="E3311" s="1" t="s">
        <v>322</v>
      </c>
      <c r="F3311" s="1" t="s">
        <v>37</v>
      </c>
      <c r="G3311" s="1" t="s">
        <v>57</v>
      </c>
      <c r="H3311" s="1" t="s">
        <v>58</v>
      </c>
      <c r="I3311" s="1">
        <v>2696.57</v>
      </c>
      <c r="J3311" s="1">
        <v>2</v>
      </c>
      <c r="K3311" s="1">
        <v>5393.14</v>
      </c>
      <c r="L3311" s="1">
        <v>5</v>
      </c>
      <c r="M3311" s="1">
        <v>269.66000000000003</v>
      </c>
      <c r="N3311" s="1">
        <v>5123.4799999999996</v>
      </c>
      <c r="O3311" s="1" t="s">
        <v>80</v>
      </c>
      <c r="P3311" s="1" t="s">
        <v>2518</v>
      </c>
      <c r="Q3311" s="1">
        <v>4</v>
      </c>
      <c r="R3311" s="1">
        <f>Retail_Sales_Analyis[[#This Row],[Final_Price]]-Retail_Sales_Analyis[[#This Row],[Total_Price]]</f>
        <v>-269.66000000000076</v>
      </c>
      <c r="S33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12" spans="1:19" x14ac:dyDescent="0.25">
      <c r="A3312" s="1" t="s">
        <v>4418</v>
      </c>
      <c r="B3312" s="2">
        <v>45521</v>
      </c>
      <c r="C3312" s="1" t="s">
        <v>93</v>
      </c>
      <c r="D3312" s="1" t="s">
        <v>19</v>
      </c>
      <c r="E3312" s="1" t="s">
        <v>89</v>
      </c>
      <c r="F3312" s="1" t="s">
        <v>21</v>
      </c>
      <c r="G3312" s="1" t="s">
        <v>22</v>
      </c>
      <c r="H3312" s="1" t="s">
        <v>133</v>
      </c>
      <c r="I3312" s="1">
        <v>887.8</v>
      </c>
      <c r="J3312" s="1">
        <v>7</v>
      </c>
      <c r="K3312" s="1">
        <v>6214.6</v>
      </c>
      <c r="L3312" s="1">
        <v>0</v>
      </c>
      <c r="M3312" s="1">
        <v>0</v>
      </c>
      <c r="N3312" s="1">
        <v>6214.6</v>
      </c>
      <c r="O3312" s="1" t="s">
        <v>24</v>
      </c>
      <c r="P3312" s="1" t="s">
        <v>1166</v>
      </c>
      <c r="Q3312" s="1">
        <v>5</v>
      </c>
      <c r="R3312" s="1">
        <f>Retail_Sales_Analyis[[#This Row],[Final_Price]]-Retail_Sales_Analyis[[#This Row],[Total_Price]]</f>
        <v>0</v>
      </c>
      <c r="S33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13" spans="1:19" x14ac:dyDescent="0.25">
      <c r="A3313" s="1" t="s">
        <v>4419</v>
      </c>
      <c r="B3313" s="2">
        <v>45598</v>
      </c>
      <c r="C3313" s="1" t="s">
        <v>18</v>
      </c>
      <c r="D3313" s="1" t="s">
        <v>19</v>
      </c>
      <c r="E3313" s="1" t="s">
        <v>129</v>
      </c>
      <c r="F3313" s="1" t="s">
        <v>69</v>
      </c>
      <c r="G3313" s="1" t="s">
        <v>112</v>
      </c>
      <c r="H3313" s="1" t="s">
        <v>118</v>
      </c>
      <c r="I3313" s="1">
        <v>1012.54</v>
      </c>
      <c r="J3313" s="1">
        <v>5</v>
      </c>
      <c r="K3313" s="1">
        <v>5062.7</v>
      </c>
      <c r="L3313" s="1">
        <v>5</v>
      </c>
      <c r="M3313" s="1">
        <v>253.13</v>
      </c>
      <c r="N3313" s="1">
        <v>4809.57</v>
      </c>
      <c r="O3313" s="1" t="s">
        <v>46</v>
      </c>
      <c r="P3313" s="1" t="s">
        <v>3151</v>
      </c>
      <c r="Q3313" s="1">
        <v>3</v>
      </c>
      <c r="R3313" s="1">
        <f>Retail_Sales_Analyis[[#This Row],[Final_Price]]-Retail_Sales_Analyis[[#This Row],[Total_Price]]</f>
        <v>-253.13000000000011</v>
      </c>
      <c r="S33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14" spans="1:19" x14ac:dyDescent="0.25">
      <c r="A3314" s="1" t="s">
        <v>4420</v>
      </c>
      <c r="B3314" s="2">
        <v>45537</v>
      </c>
      <c r="C3314" s="1" t="s">
        <v>116</v>
      </c>
      <c r="D3314" s="1" t="s">
        <v>43</v>
      </c>
      <c r="E3314" s="1" t="s">
        <v>312</v>
      </c>
      <c r="F3314" s="1" t="s">
        <v>37</v>
      </c>
      <c r="G3314" s="1" t="s">
        <v>57</v>
      </c>
      <c r="H3314" s="1" t="s">
        <v>58</v>
      </c>
      <c r="I3314" s="1">
        <v>1618.36</v>
      </c>
      <c r="J3314" s="1">
        <v>5</v>
      </c>
      <c r="K3314" s="1">
        <v>8091.8</v>
      </c>
      <c r="L3314" s="1">
        <v>20</v>
      </c>
      <c r="M3314" s="1">
        <v>1618.36</v>
      </c>
      <c r="N3314" s="1">
        <v>6473.44</v>
      </c>
      <c r="O3314" s="1" t="s">
        <v>64</v>
      </c>
      <c r="P3314" s="1" t="s">
        <v>3959</v>
      </c>
      <c r="Q3314" s="1">
        <v>4</v>
      </c>
      <c r="R3314" s="1">
        <f>Retail_Sales_Analyis[[#This Row],[Final_Price]]-Retail_Sales_Analyis[[#This Row],[Total_Price]]</f>
        <v>-1618.3600000000006</v>
      </c>
      <c r="S33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15" spans="1:19" x14ac:dyDescent="0.25">
      <c r="A3315" s="1" t="s">
        <v>4421</v>
      </c>
      <c r="B3315" s="2">
        <v>45590</v>
      </c>
      <c r="C3315" s="1" t="s">
        <v>76</v>
      </c>
      <c r="D3315" s="1" t="s">
        <v>144</v>
      </c>
      <c r="E3315" s="1" t="s">
        <v>62</v>
      </c>
      <c r="F3315" s="1" t="s">
        <v>84</v>
      </c>
      <c r="G3315" s="1" t="s">
        <v>112</v>
      </c>
      <c r="H3315" s="1" t="s">
        <v>113</v>
      </c>
      <c r="I3315" s="1">
        <v>935.1</v>
      </c>
      <c r="J3315" s="1">
        <v>5</v>
      </c>
      <c r="K3315" s="1">
        <v>4675.5</v>
      </c>
      <c r="L3315" s="1">
        <v>15</v>
      </c>
      <c r="M3315" s="1">
        <v>701.32</v>
      </c>
      <c r="N3315" s="1">
        <v>3974.18</v>
      </c>
      <c r="O3315" s="1" t="s">
        <v>46</v>
      </c>
      <c r="P3315" s="1" t="s">
        <v>1599</v>
      </c>
      <c r="Q3315" s="1">
        <v>3</v>
      </c>
      <c r="R3315" s="1">
        <f>Retail_Sales_Analyis[[#This Row],[Final_Price]]-Retail_Sales_Analyis[[#This Row],[Total_Price]]</f>
        <v>-701.32000000000016</v>
      </c>
      <c r="S33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16" spans="1:19" x14ac:dyDescent="0.25">
      <c r="A3316" s="1" t="s">
        <v>4422</v>
      </c>
      <c r="B3316" s="2">
        <v>45497</v>
      </c>
      <c r="C3316" s="1" t="s">
        <v>195</v>
      </c>
      <c r="D3316" s="1" t="s">
        <v>55</v>
      </c>
      <c r="E3316" s="1" t="s">
        <v>89</v>
      </c>
      <c r="F3316" s="1" t="s">
        <v>69</v>
      </c>
      <c r="G3316" s="1" t="s">
        <v>22</v>
      </c>
      <c r="H3316" s="1" t="s">
        <v>51</v>
      </c>
      <c r="I3316" s="1">
        <v>222.93</v>
      </c>
      <c r="J3316" s="1">
        <v>4</v>
      </c>
      <c r="K3316" s="1">
        <v>891.72</v>
      </c>
      <c r="L3316" s="1">
        <v>0</v>
      </c>
      <c r="M3316" s="1">
        <v>0</v>
      </c>
      <c r="N3316" s="1">
        <v>891.72</v>
      </c>
      <c r="O3316" s="1" t="s">
        <v>24</v>
      </c>
      <c r="P3316" s="1" t="s">
        <v>631</v>
      </c>
      <c r="Q3316" s="1">
        <v>1</v>
      </c>
      <c r="R3316" s="1">
        <f>Retail_Sales_Analyis[[#This Row],[Final_Price]]-Retail_Sales_Analyis[[#This Row],[Total_Price]]</f>
        <v>0</v>
      </c>
      <c r="S33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17" spans="1:19" x14ac:dyDescent="0.25">
      <c r="A3317" s="1" t="s">
        <v>4423</v>
      </c>
      <c r="B3317" s="2">
        <v>45565</v>
      </c>
      <c r="C3317" s="1" t="s">
        <v>116</v>
      </c>
      <c r="D3317" s="1" t="s">
        <v>43</v>
      </c>
      <c r="E3317" s="1" t="s">
        <v>132</v>
      </c>
      <c r="F3317" s="1" t="s">
        <v>69</v>
      </c>
      <c r="G3317" s="1" t="s">
        <v>85</v>
      </c>
      <c r="H3317" s="1" t="s">
        <v>98</v>
      </c>
      <c r="I3317" s="1">
        <v>2986.17</v>
      </c>
      <c r="J3317" s="1">
        <v>3</v>
      </c>
      <c r="K3317" s="1">
        <v>8958.51</v>
      </c>
      <c r="L3317" s="1">
        <v>0</v>
      </c>
      <c r="M3317" s="1">
        <v>0</v>
      </c>
      <c r="N3317" s="1">
        <v>8958.51</v>
      </c>
      <c r="O3317" s="1" t="s">
        <v>80</v>
      </c>
      <c r="P3317" s="1" t="s">
        <v>2579</v>
      </c>
      <c r="Q3317" s="1">
        <v>4</v>
      </c>
      <c r="R3317" s="1">
        <f>Retail_Sales_Analyis[[#This Row],[Final_Price]]-Retail_Sales_Analyis[[#This Row],[Total_Price]]</f>
        <v>0</v>
      </c>
      <c r="S33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18" spans="1:19" x14ac:dyDescent="0.25">
      <c r="A3318" s="1" t="s">
        <v>4424</v>
      </c>
      <c r="B3318" s="2">
        <v>45551</v>
      </c>
      <c r="C3318" s="1" t="s">
        <v>116</v>
      </c>
      <c r="D3318" s="1" t="s">
        <v>43</v>
      </c>
      <c r="E3318" s="1" t="s">
        <v>139</v>
      </c>
      <c r="F3318" s="1" t="s">
        <v>21</v>
      </c>
      <c r="G3318" s="1" t="s">
        <v>38</v>
      </c>
      <c r="H3318" s="1" t="s">
        <v>214</v>
      </c>
      <c r="I3318" s="1">
        <v>583.33000000000004</v>
      </c>
      <c r="J3318" s="1">
        <v>8</v>
      </c>
      <c r="K3318" s="1">
        <v>4666.6400000000003</v>
      </c>
      <c r="L3318" s="1">
        <v>15</v>
      </c>
      <c r="M3318" s="1">
        <v>700</v>
      </c>
      <c r="N3318" s="1">
        <v>3966.64</v>
      </c>
      <c r="O3318" s="1" t="s">
        <v>64</v>
      </c>
      <c r="P3318" s="1" t="s">
        <v>1961</v>
      </c>
      <c r="Q3318" s="1">
        <v>4</v>
      </c>
      <c r="R3318" s="1">
        <f>Retail_Sales_Analyis[[#This Row],[Final_Price]]-Retail_Sales_Analyis[[#This Row],[Total_Price]]</f>
        <v>-700.00000000000045</v>
      </c>
      <c r="S33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19" spans="1:19" x14ac:dyDescent="0.25">
      <c r="A3319" s="1" t="s">
        <v>4425</v>
      </c>
      <c r="B3319" s="2">
        <v>45646</v>
      </c>
      <c r="C3319" s="1" t="s">
        <v>73</v>
      </c>
      <c r="D3319" s="1" t="s">
        <v>144</v>
      </c>
      <c r="E3319" s="1" t="s">
        <v>132</v>
      </c>
      <c r="F3319" s="1" t="s">
        <v>21</v>
      </c>
      <c r="G3319" s="1" t="s">
        <v>78</v>
      </c>
      <c r="H3319" s="1" t="s">
        <v>79</v>
      </c>
      <c r="I3319" s="1">
        <v>574.04</v>
      </c>
      <c r="J3319" s="1">
        <v>6</v>
      </c>
      <c r="K3319" s="1">
        <v>3444.24</v>
      </c>
      <c r="L3319" s="1">
        <v>20</v>
      </c>
      <c r="M3319" s="1">
        <v>688.85</v>
      </c>
      <c r="N3319" s="1">
        <v>2755.39</v>
      </c>
      <c r="O3319" s="1" t="s">
        <v>33</v>
      </c>
      <c r="P3319" s="1" t="s">
        <v>549</v>
      </c>
      <c r="Q3319" s="1">
        <v>1</v>
      </c>
      <c r="R3319" s="1">
        <f>Retail_Sales_Analyis[[#This Row],[Final_Price]]-Retail_Sales_Analyis[[#This Row],[Total_Price]]</f>
        <v>-688.84999999999991</v>
      </c>
      <c r="S33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20" spans="1:19" x14ac:dyDescent="0.25">
      <c r="A3320" s="1" t="s">
        <v>4426</v>
      </c>
      <c r="B3320" s="2">
        <v>45506</v>
      </c>
      <c r="C3320" s="1" t="s">
        <v>93</v>
      </c>
      <c r="D3320" s="1" t="s">
        <v>144</v>
      </c>
      <c r="E3320" s="1" t="s">
        <v>141</v>
      </c>
      <c r="F3320" s="1" t="s">
        <v>37</v>
      </c>
      <c r="G3320" s="1" t="s">
        <v>112</v>
      </c>
      <c r="H3320" s="1" t="s">
        <v>183</v>
      </c>
      <c r="I3320" s="1">
        <v>1360.38</v>
      </c>
      <c r="J3320" s="1">
        <v>7</v>
      </c>
      <c r="K3320" s="1">
        <v>9522.66</v>
      </c>
      <c r="L3320" s="1">
        <v>15</v>
      </c>
      <c r="M3320" s="1">
        <v>1428.4</v>
      </c>
      <c r="N3320" s="1">
        <v>8094.26</v>
      </c>
      <c r="O3320" s="1" t="s">
        <v>46</v>
      </c>
      <c r="P3320" s="1" t="s">
        <v>1080</v>
      </c>
      <c r="Q3320" s="1">
        <v>1</v>
      </c>
      <c r="R3320" s="1">
        <f>Retail_Sales_Analyis[[#This Row],[Final_Price]]-Retail_Sales_Analyis[[#This Row],[Total_Price]]</f>
        <v>-1428.3999999999996</v>
      </c>
      <c r="S33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21" spans="1:19" x14ac:dyDescent="0.25">
      <c r="A3321" s="1" t="s">
        <v>4427</v>
      </c>
      <c r="B3321" s="2">
        <v>45570</v>
      </c>
      <c r="C3321" s="1" t="s">
        <v>76</v>
      </c>
      <c r="D3321" s="1" t="s">
        <v>19</v>
      </c>
      <c r="E3321" s="1" t="s">
        <v>199</v>
      </c>
      <c r="F3321" s="1" t="s">
        <v>84</v>
      </c>
      <c r="G3321" s="1" t="s">
        <v>57</v>
      </c>
      <c r="H3321" s="1" t="s">
        <v>58</v>
      </c>
      <c r="I3321" s="1">
        <v>2449.88</v>
      </c>
      <c r="J3321" s="1">
        <v>5</v>
      </c>
      <c r="K3321" s="1">
        <v>12249.4</v>
      </c>
      <c r="L3321" s="1">
        <v>20</v>
      </c>
      <c r="M3321" s="1">
        <v>2449.88</v>
      </c>
      <c r="N3321" s="1">
        <v>9799.52</v>
      </c>
      <c r="O3321" s="1" t="s">
        <v>24</v>
      </c>
      <c r="P3321" s="1" t="s">
        <v>498</v>
      </c>
      <c r="Q3321" s="1">
        <v>2</v>
      </c>
      <c r="R3321" s="1">
        <f>Retail_Sales_Analyis[[#This Row],[Final_Price]]-Retail_Sales_Analyis[[#This Row],[Total_Price]]</f>
        <v>-2449.8799999999992</v>
      </c>
      <c r="S33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22" spans="1:19" x14ac:dyDescent="0.25">
      <c r="A3322" s="1" t="s">
        <v>4428</v>
      </c>
      <c r="B3322" s="2">
        <v>45310</v>
      </c>
      <c r="C3322" s="1" t="s">
        <v>36</v>
      </c>
      <c r="D3322" s="1" t="s">
        <v>144</v>
      </c>
      <c r="E3322" s="1" t="s">
        <v>157</v>
      </c>
      <c r="F3322" s="1" t="s">
        <v>69</v>
      </c>
      <c r="G3322" s="1" t="s">
        <v>38</v>
      </c>
      <c r="H3322" s="1" t="s">
        <v>70</v>
      </c>
      <c r="I3322" s="1">
        <v>290.41000000000003</v>
      </c>
      <c r="J3322" s="1">
        <v>8</v>
      </c>
      <c r="K3322" s="1">
        <v>2323.2800000000002</v>
      </c>
      <c r="L3322" s="1">
        <v>20</v>
      </c>
      <c r="M3322" s="1">
        <v>464.66</v>
      </c>
      <c r="N3322" s="1">
        <v>1858.62</v>
      </c>
      <c r="O3322" s="1" t="s">
        <v>33</v>
      </c>
      <c r="P3322" s="1" t="s">
        <v>2321</v>
      </c>
      <c r="Q3322" s="1">
        <v>1</v>
      </c>
      <c r="R3322" s="1">
        <f>Retail_Sales_Analyis[[#This Row],[Final_Price]]-Retail_Sales_Analyis[[#This Row],[Total_Price]]</f>
        <v>-464.66000000000031</v>
      </c>
      <c r="S332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23" spans="1:19" x14ac:dyDescent="0.25">
      <c r="A3323" s="1" t="s">
        <v>4429</v>
      </c>
      <c r="B3323" s="2">
        <v>45476</v>
      </c>
      <c r="C3323" s="1" t="s">
        <v>195</v>
      </c>
      <c r="D3323" s="1" t="s">
        <v>55</v>
      </c>
      <c r="E3323" s="1" t="s">
        <v>129</v>
      </c>
      <c r="F3323" s="1" t="s">
        <v>84</v>
      </c>
      <c r="G3323" s="1" t="s">
        <v>31</v>
      </c>
      <c r="H3323" s="1" t="s">
        <v>45</v>
      </c>
      <c r="I3323" s="1">
        <v>198.82</v>
      </c>
      <c r="J3323" s="1">
        <v>10</v>
      </c>
      <c r="K3323" s="1">
        <v>1988.2</v>
      </c>
      <c r="L3323" s="1">
        <v>0</v>
      </c>
      <c r="M3323" s="1">
        <v>0</v>
      </c>
      <c r="N3323" s="1">
        <v>1988.2</v>
      </c>
      <c r="O3323" s="1" t="s">
        <v>24</v>
      </c>
      <c r="P3323" s="1" t="s">
        <v>3028</v>
      </c>
      <c r="Q3323" s="1">
        <v>3</v>
      </c>
      <c r="R3323" s="1">
        <f>Retail_Sales_Analyis[[#This Row],[Final_Price]]-Retail_Sales_Analyis[[#This Row],[Total_Price]]</f>
        <v>0</v>
      </c>
      <c r="S33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24" spans="1:19" x14ac:dyDescent="0.25">
      <c r="A3324" s="1" t="s">
        <v>4430</v>
      </c>
      <c r="B3324" s="2">
        <v>45651</v>
      </c>
      <c r="C3324" s="1" t="s">
        <v>73</v>
      </c>
      <c r="D3324" s="1" t="s">
        <v>55</v>
      </c>
      <c r="E3324" s="1" t="s">
        <v>94</v>
      </c>
      <c r="F3324" s="1" t="s">
        <v>21</v>
      </c>
      <c r="G3324" s="1" t="s">
        <v>78</v>
      </c>
      <c r="H3324" s="1" t="s">
        <v>323</v>
      </c>
      <c r="I3324" s="1">
        <v>278.29000000000002</v>
      </c>
      <c r="J3324" s="1">
        <v>7</v>
      </c>
      <c r="K3324" s="1">
        <v>1948.03</v>
      </c>
      <c r="L3324" s="1">
        <v>5</v>
      </c>
      <c r="M3324" s="1">
        <v>97.4</v>
      </c>
      <c r="N3324" s="1">
        <v>1850.63</v>
      </c>
      <c r="O3324" s="1" t="s">
        <v>80</v>
      </c>
      <c r="P3324" s="1" t="s">
        <v>518</v>
      </c>
      <c r="Q3324" s="1">
        <v>3</v>
      </c>
      <c r="R3324" s="1">
        <f>Retail_Sales_Analyis[[#This Row],[Final_Price]]-Retail_Sales_Analyis[[#This Row],[Total_Price]]</f>
        <v>-97.399999999999864</v>
      </c>
      <c r="S332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25" spans="1:19" x14ac:dyDescent="0.25">
      <c r="A3325" s="1" t="s">
        <v>4431</v>
      </c>
      <c r="B3325" s="2">
        <v>45566</v>
      </c>
      <c r="C3325" s="1" t="s">
        <v>76</v>
      </c>
      <c r="D3325" s="1" t="s">
        <v>28</v>
      </c>
      <c r="E3325" s="1" t="s">
        <v>83</v>
      </c>
      <c r="F3325" s="1" t="s">
        <v>30</v>
      </c>
      <c r="G3325" s="1" t="s">
        <v>169</v>
      </c>
      <c r="H3325" s="1" t="s">
        <v>348</v>
      </c>
      <c r="I3325" s="1">
        <v>1311.08</v>
      </c>
      <c r="J3325" s="1">
        <v>6</v>
      </c>
      <c r="K3325" s="1">
        <v>7866.48</v>
      </c>
      <c r="L3325" s="1">
        <v>20</v>
      </c>
      <c r="M3325" s="1">
        <v>1573.3</v>
      </c>
      <c r="N3325" s="1">
        <v>6293.18</v>
      </c>
      <c r="O3325" s="1" t="s">
        <v>33</v>
      </c>
      <c r="P3325" s="1" t="s">
        <v>2167</v>
      </c>
      <c r="Q3325" s="1">
        <v>2</v>
      </c>
      <c r="R3325" s="1">
        <f>Retail_Sales_Analyis[[#This Row],[Final_Price]]-Retail_Sales_Analyis[[#This Row],[Total_Price]]</f>
        <v>-1573.2999999999993</v>
      </c>
      <c r="S33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26" spans="1:19" x14ac:dyDescent="0.25">
      <c r="A3326" s="1" t="s">
        <v>4432</v>
      </c>
      <c r="B3326" s="2">
        <v>45596</v>
      </c>
      <c r="C3326" s="1" t="s">
        <v>76</v>
      </c>
      <c r="D3326" s="1" t="s">
        <v>67</v>
      </c>
      <c r="E3326" s="1" t="s">
        <v>199</v>
      </c>
      <c r="F3326" s="1" t="s">
        <v>30</v>
      </c>
      <c r="G3326" s="1" t="s">
        <v>112</v>
      </c>
      <c r="H3326" s="1" t="s">
        <v>223</v>
      </c>
      <c r="I3326" s="1">
        <v>668.37</v>
      </c>
      <c r="J3326" s="1">
        <v>2</v>
      </c>
      <c r="K3326" s="1">
        <v>1336.74</v>
      </c>
      <c r="L3326" s="1">
        <v>15</v>
      </c>
      <c r="M3326" s="1">
        <v>200.51</v>
      </c>
      <c r="N3326" s="1">
        <v>1136.23</v>
      </c>
      <c r="O3326" s="1" t="s">
        <v>33</v>
      </c>
      <c r="P3326" s="1" t="s">
        <v>555</v>
      </c>
      <c r="Q3326" s="1">
        <v>2</v>
      </c>
      <c r="R3326" s="1">
        <f>Retail_Sales_Analyis[[#This Row],[Final_Price]]-Retail_Sales_Analyis[[#This Row],[Total_Price]]</f>
        <v>-200.51</v>
      </c>
      <c r="S33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27" spans="1:19" x14ac:dyDescent="0.25">
      <c r="A3327" s="1" t="s">
        <v>4433</v>
      </c>
      <c r="B3327" s="2">
        <v>45618</v>
      </c>
      <c r="C3327" s="1" t="s">
        <v>18</v>
      </c>
      <c r="D3327" s="1" t="s">
        <v>144</v>
      </c>
      <c r="E3327" s="1" t="s">
        <v>97</v>
      </c>
      <c r="F3327" s="1" t="s">
        <v>21</v>
      </c>
      <c r="G3327" s="1" t="s">
        <v>38</v>
      </c>
      <c r="H3327" s="1" t="s">
        <v>422</v>
      </c>
      <c r="I3327" s="1">
        <v>509.55</v>
      </c>
      <c r="J3327" s="1">
        <v>4</v>
      </c>
      <c r="K3327" s="1">
        <v>2038.2</v>
      </c>
      <c r="L3327" s="1">
        <v>0</v>
      </c>
      <c r="M3327" s="1">
        <v>0</v>
      </c>
      <c r="N3327" s="1">
        <v>2038.2</v>
      </c>
      <c r="O3327" s="1" t="s">
        <v>24</v>
      </c>
      <c r="P3327" s="1" t="s">
        <v>1301</v>
      </c>
      <c r="Q3327" s="1">
        <v>4</v>
      </c>
      <c r="R3327" s="1">
        <f>Retail_Sales_Analyis[[#This Row],[Final_Price]]-Retail_Sales_Analyis[[#This Row],[Total_Price]]</f>
        <v>0</v>
      </c>
      <c r="S33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28" spans="1:19" x14ac:dyDescent="0.25">
      <c r="A3328" s="1" t="s">
        <v>4434</v>
      </c>
      <c r="B3328" s="2">
        <v>45335</v>
      </c>
      <c r="C3328" s="1" t="s">
        <v>27</v>
      </c>
      <c r="D3328" s="1" t="s">
        <v>28</v>
      </c>
      <c r="E3328" s="1" t="s">
        <v>285</v>
      </c>
      <c r="F3328" s="1" t="s">
        <v>37</v>
      </c>
      <c r="G3328" s="1" t="s">
        <v>57</v>
      </c>
      <c r="H3328" s="1" t="s">
        <v>101</v>
      </c>
      <c r="I3328" s="1">
        <v>1383.18</v>
      </c>
      <c r="J3328" s="1">
        <v>9</v>
      </c>
      <c r="K3328" s="1">
        <v>12448.62</v>
      </c>
      <c r="L3328" s="1">
        <v>10</v>
      </c>
      <c r="M3328" s="1">
        <v>1244.8599999999999</v>
      </c>
      <c r="N3328" s="1">
        <v>11203.76</v>
      </c>
      <c r="O3328" s="1" t="s">
        <v>33</v>
      </c>
      <c r="P3328" s="1" t="s">
        <v>588</v>
      </c>
      <c r="Q3328" s="1">
        <v>1</v>
      </c>
      <c r="R3328" s="1">
        <f>Retail_Sales_Analyis[[#This Row],[Final_Price]]-Retail_Sales_Analyis[[#This Row],[Total_Price]]</f>
        <v>-1244.8600000000006</v>
      </c>
      <c r="S33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29" spans="1:19" x14ac:dyDescent="0.25">
      <c r="A3329" s="1" t="s">
        <v>4435</v>
      </c>
      <c r="B3329" s="2">
        <v>45347</v>
      </c>
      <c r="C3329" s="1" t="s">
        <v>27</v>
      </c>
      <c r="D3329" s="1" t="s">
        <v>49</v>
      </c>
      <c r="E3329" s="1" t="s">
        <v>94</v>
      </c>
      <c r="F3329" s="1" t="s">
        <v>30</v>
      </c>
      <c r="G3329" s="1" t="s">
        <v>169</v>
      </c>
      <c r="H3329" s="1" t="s">
        <v>348</v>
      </c>
      <c r="I3329" s="1">
        <v>315.31</v>
      </c>
      <c r="J3329" s="1">
        <v>9</v>
      </c>
      <c r="K3329" s="1">
        <v>2837.79</v>
      </c>
      <c r="L3329" s="1">
        <v>0</v>
      </c>
      <c r="M3329" s="1">
        <v>0</v>
      </c>
      <c r="N3329" s="1">
        <v>2837.79</v>
      </c>
      <c r="O3329" s="1" t="s">
        <v>64</v>
      </c>
      <c r="P3329" s="1" t="s">
        <v>240</v>
      </c>
      <c r="Q3329" s="1">
        <v>5</v>
      </c>
      <c r="R3329" s="1">
        <f>Retail_Sales_Analyis[[#This Row],[Final_Price]]-Retail_Sales_Analyis[[#This Row],[Total_Price]]</f>
        <v>0</v>
      </c>
      <c r="S33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30" spans="1:19" x14ac:dyDescent="0.25">
      <c r="A3330" s="1" t="s">
        <v>4436</v>
      </c>
      <c r="B3330" s="2">
        <v>45419</v>
      </c>
      <c r="C3330" s="1" t="s">
        <v>42</v>
      </c>
      <c r="D3330" s="1" t="s">
        <v>28</v>
      </c>
      <c r="E3330" s="1" t="s">
        <v>351</v>
      </c>
      <c r="F3330" s="1" t="s">
        <v>84</v>
      </c>
      <c r="G3330" s="1" t="s">
        <v>22</v>
      </c>
      <c r="H3330" s="1" t="s">
        <v>133</v>
      </c>
      <c r="I3330" s="1">
        <v>790.13</v>
      </c>
      <c r="J3330" s="1">
        <v>4</v>
      </c>
      <c r="K3330" s="1">
        <v>3160.52</v>
      </c>
      <c r="L3330" s="1">
        <v>0</v>
      </c>
      <c r="M3330" s="1">
        <v>0</v>
      </c>
      <c r="N3330" s="1">
        <v>3160.52</v>
      </c>
      <c r="O3330" s="1" t="s">
        <v>46</v>
      </c>
      <c r="P3330" s="1" t="s">
        <v>2715</v>
      </c>
      <c r="Q3330" s="1">
        <v>5</v>
      </c>
      <c r="R3330" s="1">
        <f>Retail_Sales_Analyis[[#This Row],[Final_Price]]-Retail_Sales_Analyis[[#This Row],[Total_Price]]</f>
        <v>0</v>
      </c>
      <c r="S33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31" spans="1:19" x14ac:dyDescent="0.25">
      <c r="A3331" s="1" t="s">
        <v>4437</v>
      </c>
      <c r="B3331" s="2">
        <v>45628</v>
      </c>
      <c r="C3331" s="1" t="s">
        <v>73</v>
      </c>
      <c r="D3331" s="1" t="s">
        <v>43</v>
      </c>
      <c r="E3331" s="1" t="s">
        <v>141</v>
      </c>
      <c r="F3331" s="1" t="s">
        <v>21</v>
      </c>
      <c r="G3331" s="1" t="s">
        <v>169</v>
      </c>
      <c r="H3331" s="1" t="s">
        <v>175</v>
      </c>
      <c r="I3331" s="1">
        <v>508.48</v>
      </c>
      <c r="J3331" s="1">
        <v>4</v>
      </c>
      <c r="K3331" s="1">
        <v>2033.92</v>
      </c>
      <c r="L3331" s="1">
        <v>0</v>
      </c>
      <c r="M3331" s="1">
        <v>0</v>
      </c>
      <c r="N3331" s="1">
        <v>2033.92</v>
      </c>
      <c r="O3331" s="1" t="s">
        <v>46</v>
      </c>
      <c r="P3331" s="1" t="s">
        <v>1115</v>
      </c>
      <c r="Q3331" s="1">
        <v>2</v>
      </c>
      <c r="R3331" s="1">
        <f>Retail_Sales_Analyis[[#This Row],[Final_Price]]-Retail_Sales_Analyis[[#This Row],[Total_Price]]</f>
        <v>0</v>
      </c>
      <c r="S33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32" spans="1:19" x14ac:dyDescent="0.25">
      <c r="A3332" s="1" t="s">
        <v>4438</v>
      </c>
      <c r="B3332" s="2">
        <v>45632</v>
      </c>
      <c r="C3332" s="1" t="s">
        <v>73</v>
      </c>
      <c r="D3332" s="1" t="s">
        <v>144</v>
      </c>
      <c r="E3332" s="1" t="s">
        <v>207</v>
      </c>
      <c r="F3332" s="1" t="s">
        <v>69</v>
      </c>
      <c r="G3332" s="1" t="s">
        <v>57</v>
      </c>
      <c r="H3332" s="1" t="s">
        <v>58</v>
      </c>
      <c r="I3332" s="1">
        <v>673.15</v>
      </c>
      <c r="J3332" s="1">
        <v>9</v>
      </c>
      <c r="K3332" s="1">
        <v>6058.35</v>
      </c>
      <c r="L3332" s="1">
        <v>20</v>
      </c>
      <c r="M3332" s="1">
        <v>1211.67</v>
      </c>
      <c r="N3332" s="1">
        <v>4846.68</v>
      </c>
      <c r="O3332" s="1" t="s">
        <v>33</v>
      </c>
      <c r="P3332" s="1" t="s">
        <v>2859</v>
      </c>
      <c r="Q3332" s="1">
        <v>3</v>
      </c>
      <c r="R3332" s="1">
        <f>Retail_Sales_Analyis[[#This Row],[Final_Price]]-Retail_Sales_Analyis[[#This Row],[Total_Price]]</f>
        <v>-1211.67</v>
      </c>
      <c r="S33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33" spans="1:19" x14ac:dyDescent="0.25">
      <c r="A3333" s="1" t="s">
        <v>4439</v>
      </c>
      <c r="B3333" s="2">
        <v>45473</v>
      </c>
      <c r="C3333" s="1" t="s">
        <v>173</v>
      </c>
      <c r="D3333" s="1" t="s">
        <v>49</v>
      </c>
      <c r="E3333" s="1" t="s">
        <v>199</v>
      </c>
      <c r="F3333" s="1" t="s">
        <v>69</v>
      </c>
      <c r="G3333" s="1" t="s">
        <v>169</v>
      </c>
      <c r="H3333" s="1" t="s">
        <v>366</v>
      </c>
      <c r="I3333" s="1">
        <v>357.93</v>
      </c>
      <c r="J3333" s="1">
        <v>3</v>
      </c>
      <c r="K3333" s="1">
        <v>1073.79</v>
      </c>
      <c r="L3333" s="1">
        <v>5</v>
      </c>
      <c r="M3333" s="1">
        <v>53.69</v>
      </c>
      <c r="N3333" s="1">
        <v>1020.1</v>
      </c>
      <c r="O3333" s="1" t="s">
        <v>46</v>
      </c>
      <c r="P3333" s="1" t="s">
        <v>869</v>
      </c>
      <c r="Q3333" s="1">
        <v>4</v>
      </c>
      <c r="R3333" s="1">
        <f>Retail_Sales_Analyis[[#This Row],[Final_Price]]-Retail_Sales_Analyis[[#This Row],[Total_Price]]</f>
        <v>-53.689999999999941</v>
      </c>
      <c r="S33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34" spans="1:19" x14ac:dyDescent="0.25">
      <c r="A3334" s="1" t="s">
        <v>4440</v>
      </c>
      <c r="B3334" s="2">
        <v>45377</v>
      </c>
      <c r="C3334" s="1" t="s">
        <v>61</v>
      </c>
      <c r="D3334" s="1" t="s">
        <v>28</v>
      </c>
      <c r="E3334" s="1" t="s">
        <v>204</v>
      </c>
      <c r="F3334" s="1" t="s">
        <v>37</v>
      </c>
      <c r="G3334" s="1" t="s">
        <v>31</v>
      </c>
      <c r="H3334" s="1" t="s">
        <v>329</v>
      </c>
      <c r="I3334" s="1">
        <v>422.57</v>
      </c>
      <c r="J3334" s="1">
        <v>6</v>
      </c>
      <c r="K3334" s="1">
        <v>2535.42</v>
      </c>
      <c r="L3334" s="1">
        <v>10</v>
      </c>
      <c r="M3334" s="1">
        <v>253.54</v>
      </c>
      <c r="N3334" s="1">
        <v>2281.88</v>
      </c>
      <c r="O3334" s="1" t="s">
        <v>80</v>
      </c>
      <c r="P3334" s="1" t="s">
        <v>518</v>
      </c>
      <c r="Q3334" s="1">
        <v>2</v>
      </c>
      <c r="R3334" s="1">
        <f>Retail_Sales_Analyis[[#This Row],[Final_Price]]-Retail_Sales_Analyis[[#This Row],[Total_Price]]</f>
        <v>-253.53999999999996</v>
      </c>
      <c r="S33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35" spans="1:19" x14ac:dyDescent="0.25">
      <c r="A3335" s="1" t="s">
        <v>4441</v>
      </c>
      <c r="B3335" s="2">
        <v>45623</v>
      </c>
      <c r="C3335" s="1" t="s">
        <v>18</v>
      </c>
      <c r="D3335" s="1" t="s">
        <v>55</v>
      </c>
      <c r="E3335" s="1" t="s">
        <v>192</v>
      </c>
      <c r="F3335" s="1" t="s">
        <v>37</v>
      </c>
      <c r="G3335" s="1" t="s">
        <v>31</v>
      </c>
      <c r="H3335" s="1" t="s">
        <v>329</v>
      </c>
      <c r="I3335" s="1">
        <v>353.81</v>
      </c>
      <c r="J3335" s="1">
        <v>9</v>
      </c>
      <c r="K3335" s="1">
        <v>3184.29</v>
      </c>
      <c r="L3335" s="1">
        <v>20</v>
      </c>
      <c r="M3335" s="1">
        <v>636.86</v>
      </c>
      <c r="N3335" s="1">
        <v>2547.4299999999998</v>
      </c>
      <c r="O3335" s="1" t="s">
        <v>80</v>
      </c>
      <c r="P3335" s="1" t="s">
        <v>326</v>
      </c>
      <c r="Q3335" s="1">
        <v>3</v>
      </c>
      <c r="R3335" s="1">
        <f>Retail_Sales_Analyis[[#This Row],[Final_Price]]-Retail_Sales_Analyis[[#This Row],[Total_Price]]</f>
        <v>-636.86000000000013</v>
      </c>
      <c r="S33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36" spans="1:19" x14ac:dyDescent="0.25">
      <c r="A3336" s="1" t="s">
        <v>4442</v>
      </c>
      <c r="B3336" s="2">
        <v>45605</v>
      </c>
      <c r="C3336" s="1" t="s">
        <v>18</v>
      </c>
      <c r="D3336" s="1" t="s">
        <v>19</v>
      </c>
      <c r="E3336" s="1" t="s">
        <v>151</v>
      </c>
      <c r="F3336" s="1" t="s">
        <v>30</v>
      </c>
      <c r="G3336" s="1" t="s">
        <v>169</v>
      </c>
      <c r="H3336" s="1" t="s">
        <v>208</v>
      </c>
      <c r="I3336" s="1">
        <v>1486.61</v>
      </c>
      <c r="J3336" s="1">
        <v>2</v>
      </c>
      <c r="K3336" s="1">
        <v>2973.22</v>
      </c>
      <c r="L3336" s="1">
        <v>0</v>
      </c>
      <c r="M3336" s="1">
        <v>0</v>
      </c>
      <c r="N3336" s="1">
        <v>2973.22</v>
      </c>
      <c r="O3336" s="1" t="s">
        <v>46</v>
      </c>
      <c r="P3336" s="1" t="s">
        <v>176</v>
      </c>
      <c r="Q3336" s="1">
        <v>4</v>
      </c>
      <c r="R3336" s="1">
        <f>Retail_Sales_Analyis[[#This Row],[Final_Price]]-Retail_Sales_Analyis[[#This Row],[Total_Price]]</f>
        <v>0</v>
      </c>
      <c r="S33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37" spans="1:19" x14ac:dyDescent="0.25">
      <c r="A3337" s="1" t="s">
        <v>4443</v>
      </c>
      <c r="B3337" s="2">
        <v>45314</v>
      </c>
      <c r="C3337" s="1" t="s">
        <v>36</v>
      </c>
      <c r="D3337" s="1" t="s">
        <v>28</v>
      </c>
      <c r="E3337" s="1" t="s">
        <v>56</v>
      </c>
      <c r="F3337" s="1" t="s">
        <v>30</v>
      </c>
      <c r="G3337" s="1" t="s">
        <v>169</v>
      </c>
      <c r="H3337" s="1" t="s">
        <v>208</v>
      </c>
      <c r="I3337" s="1">
        <v>1499.23</v>
      </c>
      <c r="J3337" s="1">
        <v>9</v>
      </c>
      <c r="K3337" s="1">
        <v>13493.07</v>
      </c>
      <c r="L3337" s="1">
        <v>0</v>
      </c>
      <c r="M3337" s="1">
        <v>0</v>
      </c>
      <c r="N3337" s="1">
        <v>13493.07</v>
      </c>
      <c r="O3337" s="1" t="s">
        <v>24</v>
      </c>
      <c r="P3337" s="1" t="s">
        <v>3273</v>
      </c>
      <c r="Q3337" s="1">
        <v>5</v>
      </c>
      <c r="R3337" s="1">
        <f>Retail_Sales_Analyis[[#This Row],[Final_Price]]-Retail_Sales_Analyis[[#This Row],[Total_Price]]</f>
        <v>0</v>
      </c>
      <c r="S33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38" spans="1:19" x14ac:dyDescent="0.25">
      <c r="A3338" s="1" t="s">
        <v>4444</v>
      </c>
      <c r="B3338" s="2">
        <v>45580</v>
      </c>
      <c r="C3338" s="1" t="s">
        <v>76</v>
      </c>
      <c r="D3338" s="1" t="s">
        <v>28</v>
      </c>
      <c r="E3338" s="1" t="s">
        <v>204</v>
      </c>
      <c r="F3338" s="1" t="s">
        <v>84</v>
      </c>
      <c r="G3338" s="1" t="s">
        <v>38</v>
      </c>
      <c r="H3338" s="1" t="s">
        <v>214</v>
      </c>
      <c r="I3338" s="1">
        <v>612.02</v>
      </c>
      <c r="J3338" s="1">
        <v>5</v>
      </c>
      <c r="K3338" s="1">
        <v>3060.1</v>
      </c>
      <c r="L3338" s="1">
        <v>20</v>
      </c>
      <c r="M3338" s="1">
        <v>612.02</v>
      </c>
      <c r="N3338" s="1">
        <v>2448.08</v>
      </c>
      <c r="O3338" s="1" t="s">
        <v>33</v>
      </c>
      <c r="P3338" s="1" t="s">
        <v>1931</v>
      </c>
      <c r="Q3338" s="1">
        <v>2</v>
      </c>
      <c r="R3338" s="1">
        <f>Retail_Sales_Analyis[[#This Row],[Final_Price]]-Retail_Sales_Analyis[[#This Row],[Total_Price]]</f>
        <v>-612.02</v>
      </c>
      <c r="S333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39" spans="1:19" x14ac:dyDescent="0.25">
      <c r="A3339" s="1" t="s">
        <v>4445</v>
      </c>
      <c r="B3339" s="2">
        <v>45622</v>
      </c>
      <c r="C3339" s="1" t="s">
        <v>18</v>
      </c>
      <c r="D3339" s="1" t="s">
        <v>28</v>
      </c>
      <c r="E3339" s="1" t="s">
        <v>56</v>
      </c>
      <c r="F3339" s="1" t="s">
        <v>37</v>
      </c>
      <c r="G3339" s="1" t="s">
        <v>78</v>
      </c>
      <c r="H3339" s="1" t="s">
        <v>146</v>
      </c>
      <c r="I3339" s="1">
        <v>258.52999999999997</v>
      </c>
      <c r="J3339" s="1">
        <v>8</v>
      </c>
      <c r="K3339" s="1">
        <v>2068.2399999999998</v>
      </c>
      <c r="L3339" s="1">
        <v>0</v>
      </c>
      <c r="M3339" s="1">
        <v>0</v>
      </c>
      <c r="N3339" s="1">
        <v>2068.2399999999998</v>
      </c>
      <c r="O3339" s="1" t="s">
        <v>80</v>
      </c>
      <c r="P3339" s="1" t="s">
        <v>782</v>
      </c>
      <c r="Q3339" s="1">
        <v>4</v>
      </c>
      <c r="R3339" s="1">
        <f>Retail_Sales_Analyis[[#This Row],[Final_Price]]-Retail_Sales_Analyis[[#This Row],[Total_Price]]</f>
        <v>0</v>
      </c>
      <c r="S33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40" spans="1:19" x14ac:dyDescent="0.25">
      <c r="A3340" s="1" t="s">
        <v>4446</v>
      </c>
      <c r="B3340" s="2">
        <v>45638</v>
      </c>
      <c r="C3340" s="1" t="s">
        <v>73</v>
      </c>
      <c r="D3340" s="1" t="s">
        <v>67</v>
      </c>
      <c r="E3340" s="1" t="s">
        <v>29</v>
      </c>
      <c r="F3340" s="1" t="s">
        <v>21</v>
      </c>
      <c r="G3340" s="1" t="s">
        <v>31</v>
      </c>
      <c r="H3340" s="1" t="s">
        <v>45</v>
      </c>
      <c r="I3340" s="1">
        <v>302.23</v>
      </c>
      <c r="J3340" s="1">
        <v>2</v>
      </c>
      <c r="K3340" s="1">
        <v>604.46</v>
      </c>
      <c r="L3340" s="1">
        <v>15</v>
      </c>
      <c r="M3340" s="1">
        <v>90.67</v>
      </c>
      <c r="N3340" s="1">
        <v>513.79</v>
      </c>
      <c r="O3340" s="1" t="s">
        <v>64</v>
      </c>
      <c r="P3340" s="1" t="s">
        <v>2277</v>
      </c>
      <c r="Q3340" s="1">
        <v>3</v>
      </c>
      <c r="R3340" s="1">
        <f>Retail_Sales_Analyis[[#This Row],[Final_Price]]-Retail_Sales_Analyis[[#This Row],[Total_Price]]</f>
        <v>-90.670000000000073</v>
      </c>
      <c r="S33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41" spans="1:19" x14ac:dyDescent="0.25">
      <c r="A3341" s="1" t="s">
        <v>4447</v>
      </c>
      <c r="B3341" s="2">
        <v>45623</v>
      </c>
      <c r="C3341" s="1" t="s">
        <v>18</v>
      </c>
      <c r="D3341" s="1" t="s">
        <v>55</v>
      </c>
      <c r="E3341" s="1" t="s">
        <v>236</v>
      </c>
      <c r="F3341" s="1" t="s">
        <v>21</v>
      </c>
      <c r="G3341" s="1" t="s">
        <v>169</v>
      </c>
      <c r="H3341" s="1" t="s">
        <v>366</v>
      </c>
      <c r="I3341" s="1">
        <v>403.86</v>
      </c>
      <c r="J3341" s="1">
        <v>9</v>
      </c>
      <c r="K3341" s="1">
        <v>3634.74</v>
      </c>
      <c r="L3341" s="1">
        <v>20</v>
      </c>
      <c r="M3341" s="1">
        <v>726.95</v>
      </c>
      <c r="N3341" s="1">
        <v>2907.79</v>
      </c>
      <c r="O3341" s="1" t="s">
        <v>24</v>
      </c>
      <c r="P3341" s="1" t="s">
        <v>1881</v>
      </c>
      <c r="Q3341" s="1">
        <v>5</v>
      </c>
      <c r="R3341" s="1">
        <f>Retail_Sales_Analyis[[#This Row],[Final_Price]]-Retail_Sales_Analyis[[#This Row],[Total_Price]]</f>
        <v>-726.94999999999982</v>
      </c>
      <c r="S33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42" spans="1:19" x14ac:dyDescent="0.25">
      <c r="A3342" s="1" t="s">
        <v>4448</v>
      </c>
      <c r="B3342" s="2">
        <v>45496</v>
      </c>
      <c r="C3342" s="1" t="s">
        <v>195</v>
      </c>
      <c r="D3342" s="1" t="s">
        <v>28</v>
      </c>
      <c r="E3342" s="1" t="s">
        <v>261</v>
      </c>
      <c r="F3342" s="1" t="s">
        <v>37</v>
      </c>
      <c r="G3342" s="1" t="s">
        <v>31</v>
      </c>
      <c r="H3342" s="1" t="s">
        <v>45</v>
      </c>
      <c r="I3342" s="1">
        <v>487.22</v>
      </c>
      <c r="J3342" s="1">
        <v>1</v>
      </c>
      <c r="K3342" s="1">
        <v>487.22</v>
      </c>
      <c r="L3342" s="1">
        <v>10</v>
      </c>
      <c r="M3342" s="1">
        <v>48.72</v>
      </c>
      <c r="N3342" s="1">
        <v>438.5</v>
      </c>
      <c r="O3342" s="1" t="s">
        <v>33</v>
      </c>
      <c r="P3342" s="1" t="s">
        <v>1787</v>
      </c>
      <c r="Q3342" s="1">
        <v>4</v>
      </c>
      <c r="R3342" s="1">
        <f>Retail_Sales_Analyis[[#This Row],[Final_Price]]-Retail_Sales_Analyis[[#This Row],[Total_Price]]</f>
        <v>-48.720000000000027</v>
      </c>
      <c r="S33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43" spans="1:19" x14ac:dyDescent="0.25">
      <c r="A3343" s="1" t="s">
        <v>4449</v>
      </c>
      <c r="B3343" s="2">
        <v>45461</v>
      </c>
      <c r="C3343" s="1" t="s">
        <v>173</v>
      </c>
      <c r="D3343" s="1" t="s">
        <v>28</v>
      </c>
      <c r="E3343" s="1" t="s">
        <v>20</v>
      </c>
      <c r="F3343" s="1" t="s">
        <v>30</v>
      </c>
      <c r="G3343" s="1" t="s">
        <v>22</v>
      </c>
      <c r="H3343" s="1" t="s">
        <v>277</v>
      </c>
      <c r="I3343" s="1">
        <v>928.45</v>
      </c>
      <c r="J3343" s="1">
        <v>4</v>
      </c>
      <c r="K3343" s="1">
        <v>3713.8</v>
      </c>
      <c r="L3343" s="1">
        <v>10</v>
      </c>
      <c r="M3343" s="1">
        <v>371.38</v>
      </c>
      <c r="N3343" s="1">
        <v>3342.42</v>
      </c>
      <c r="O3343" s="1" t="s">
        <v>64</v>
      </c>
      <c r="P3343" s="1" t="s">
        <v>40</v>
      </c>
      <c r="Q3343" s="1">
        <v>5</v>
      </c>
      <c r="R3343" s="1">
        <f>Retail_Sales_Analyis[[#This Row],[Final_Price]]-Retail_Sales_Analyis[[#This Row],[Total_Price]]</f>
        <v>-371.38000000000011</v>
      </c>
      <c r="S33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44" spans="1:19" x14ac:dyDescent="0.25">
      <c r="A3344" s="1" t="s">
        <v>4450</v>
      </c>
      <c r="B3344" s="2">
        <v>45512</v>
      </c>
      <c r="C3344" s="1" t="s">
        <v>93</v>
      </c>
      <c r="D3344" s="1" t="s">
        <v>67</v>
      </c>
      <c r="E3344" s="1" t="s">
        <v>157</v>
      </c>
      <c r="F3344" s="1" t="s">
        <v>21</v>
      </c>
      <c r="G3344" s="1" t="s">
        <v>169</v>
      </c>
      <c r="H3344" s="1" t="s">
        <v>348</v>
      </c>
      <c r="I3344" s="1">
        <v>668.93</v>
      </c>
      <c r="J3344" s="1">
        <v>9</v>
      </c>
      <c r="K3344" s="1">
        <v>6020.37</v>
      </c>
      <c r="L3344" s="1">
        <v>0</v>
      </c>
      <c r="M3344" s="1">
        <v>0</v>
      </c>
      <c r="N3344" s="1">
        <v>6020.37</v>
      </c>
      <c r="O3344" s="1" t="s">
        <v>24</v>
      </c>
      <c r="P3344" s="1" t="s">
        <v>1950</v>
      </c>
      <c r="Q3344" s="1">
        <v>1</v>
      </c>
      <c r="R3344" s="1">
        <f>Retail_Sales_Analyis[[#This Row],[Final_Price]]-Retail_Sales_Analyis[[#This Row],[Total_Price]]</f>
        <v>0</v>
      </c>
      <c r="S33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45" spans="1:19" x14ac:dyDescent="0.25">
      <c r="A3345" s="1" t="s">
        <v>4451</v>
      </c>
      <c r="B3345" s="2">
        <v>45346</v>
      </c>
      <c r="C3345" s="1" t="s">
        <v>27</v>
      </c>
      <c r="D3345" s="1" t="s">
        <v>19</v>
      </c>
      <c r="E3345" s="1" t="s">
        <v>342</v>
      </c>
      <c r="F3345" s="1" t="s">
        <v>21</v>
      </c>
      <c r="G3345" s="1" t="s">
        <v>31</v>
      </c>
      <c r="H3345" s="1" t="s">
        <v>329</v>
      </c>
      <c r="I3345" s="1">
        <v>424.38</v>
      </c>
      <c r="J3345" s="1">
        <v>10</v>
      </c>
      <c r="K3345" s="1">
        <v>4243.8</v>
      </c>
      <c r="L3345" s="1">
        <v>20</v>
      </c>
      <c r="M3345" s="1">
        <v>848.76</v>
      </c>
      <c r="N3345" s="1">
        <v>3395.04</v>
      </c>
      <c r="O3345" s="1" t="s">
        <v>24</v>
      </c>
      <c r="P3345" s="1" t="s">
        <v>326</v>
      </c>
      <c r="Q3345" s="1">
        <v>4</v>
      </c>
      <c r="R3345" s="1">
        <f>Retail_Sales_Analyis[[#This Row],[Final_Price]]-Retail_Sales_Analyis[[#This Row],[Total_Price]]</f>
        <v>-848.76000000000022</v>
      </c>
      <c r="S33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46" spans="1:19" x14ac:dyDescent="0.25">
      <c r="A3346" s="1" t="s">
        <v>4452</v>
      </c>
      <c r="B3346" s="2">
        <v>45297</v>
      </c>
      <c r="C3346" s="1" t="s">
        <v>36</v>
      </c>
      <c r="D3346" s="1" t="s">
        <v>19</v>
      </c>
      <c r="E3346" s="1" t="s">
        <v>125</v>
      </c>
      <c r="F3346" s="1" t="s">
        <v>21</v>
      </c>
      <c r="G3346" s="1" t="s">
        <v>112</v>
      </c>
      <c r="H3346" s="1" t="s">
        <v>183</v>
      </c>
      <c r="I3346" s="1">
        <v>1447.27</v>
      </c>
      <c r="J3346" s="1">
        <v>7</v>
      </c>
      <c r="K3346" s="1">
        <v>10130.89</v>
      </c>
      <c r="L3346" s="1">
        <v>15</v>
      </c>
      <c r="M3346" s="1">
        <v>1519.63</v>
      </c>
      <c r="N3346" s="1">
        <v>8611.26</v>
      </c>
      <c r="O3346" s="1" t="s">
        <v>33</v>
      </c>
      <c r="P3346" s="1" t="s">
        <v>1707</v>
      </c>
      <c r="Q3346" s="1">
        <v>5</v>
      </c>
      <c r="R3346" s="1">
        <f>Retail_Sales_Analyis[[#This Row],[Final_Price]]-Retail_Sales_Analyis[[#This Row],[Total_Price]]</f>
        <v>-1519.6299999999992</v>
      </c>
      <c r="S33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47" spans="1:19" x14ac:dyDescent="0.25">
      <c r="A3347" s="1" t="s">
        <v>4453</v>
      </c>
      <c r="B3347" s="2">
        <v>45342</v>
      </c>
      <c r="C3347" s="1" t="s">
        <v>27</v>
      </c>
      <c r="D3347" s="1" t="s">
        <v>28</v>
      </c>
      <c r="E3347" s="1" t="s">
        <v>199</v>
      </c>
      <c r="F3347" s="1" t="s">
        <v>84</v>
      </c>
      <c r="G3347" s="1" t="s">
        <v>31</v>
      </c>
      <c r="H3347" s="1" t="s">
        <v>329</v>
      </c>
      <c r="I3347" s="1">
        <v>306.79000000000002</v>
      </c>
      <c r="J3347" s="1">
        <v>9</v>
      </c>
      <c r="K3347" s="1">
        <v>2761.11</v>
      </c>
      <c r="L3347" s="1">
        <v>0</v>
      </c>
      <c r="M3347" s="1">
        <v>0</v>
      </c>
      <c r="N3347" s="1">
        <v>2761.11</v>
      </c>
      <c r="O3347" s="1" t="s">
        <v>46</v>
      </c>
      <c r="P3347" s="1" t="s">
        <v>419</v>
      </c>
      <c r="Q3347" s="1">
        <v>5</v>
      </c>
      <c r="R3347" s="1">
        <f>Retail_Sales_Analyis[[#This Row],[Final_Price]]-Retail_Sales_Analyis[[#This Row],[Total_Price]]</f>
        <v>0</v>
      </c>
      <c r="S33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48" spans="1:19" x14ac:dyDescent="0.25">
      <c r="A3348" s="1" t="s">
        <v>4454</v>
      </c>
      <c r="B3348" s="2">
        <v>45424</v>
      </c>
      <c r="C3348" s="1" t="s">
        <v>42</v>
      </c>
      <c r="D3348" s="1" t="s">
        <v>49</v>
      </c>
      <c r="E3348" s="1" t="s">
        <v>50</v>
      </c>
      <c r="F3348" s="1" t="s">
        <v>69</v>
      </c>
      <c r="G3348" s="1" t="s">
        <v>22</v>
      </c>
      <c r="H3348" s="1" t="s">
        <v>51</v>
      </c>
      <c r="I3348" s="1">
        <v>778.03</v>
      </c>
      <c r="J3348" s="1">
        <v>9</v>
      </c>
      <c r="K3348" s="1">
        <v>7002.27</v>
      </c>
      <c r="L3348" s="1">
        <v>5</v>
      </c>
      <c r="M3348" s="1">
        <v>350.11</v>
      </c>
      <c r="N3348" s="1">
        <v>6652.16</v>
      </c>
      <c r="O3348" s="1" t="s">
        <v>33</v>
      </c>
      <c r="P3348" s="1" t="s">
        <v>800</v>
      </c>
      <c r="Q3348" s="1">
        <v>2</v>
      </c>
      <c r="R3348" s="1">
        <f>Retail_Sales_Analyis[[#This Row],[Final_Price]]-Retail_Sales_Analyis[[#This Row],[Total_Price]]</f>
        <v>-350.11000000000058</v>
      </c>
      <c r="S33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49" spans="1:19" x14ac:dyDescent="0.25">
      <c r="A3349" s="1" t="s">
        <v>4455</v>
      </c>
      <c r="B3349" s="2">
        <v>45405</v>
      </c>
      <c r="C3349" s="1" t="s">
        <v>54</v>
      </c>
      <c r="D3349" s="1" t="s">
        <v>28</v>
      </c>
      <c r="E3349" s="1" t="s">
        <v>166</v>
      </c>
      <c r="F3349" s="1" t="s">
        <v>69</v>
      </c>
      <c r="G3349" s="1" t="s">
        <v>112</v>
      </c>
      <c r="H3349" s="1" t="s">
        <v>288</v>
      </c>
      <c r="I3349" s="1">
        <v>1697.67</v>
      </c>
      <c r="J3349" s="1">
        <v>5</v>
      </c>
      <c r="K3349" s="1">
        <v>8488.35</v>
      </c>
      <c r="L3349" s="1">
        <v>20</v>
      </c>
      <c r="M3349" s="1">
        <v>1697.67</v>
      </c>
      <c r="N3349" s="1">
        <v>6790.68</v>
      </c>
      <c r="O3349" s="1" t="s">
        <v>46</v>
      </c>
      <c r="P3349" s="1" t="s">
        <v>2127</v>
      </c>
      <c r="Q3349" s="1">
        <v>4</v>
      </c>
      <c r="R3349" s="1">
        <f>Retail_Sales_Analyis[[#This Row],[Final_Price]]-Retail_Sales_Analyis[[#This Row],[Total_Price]]</f>
        <v>-1697.67</v>
      </c>
      <c r="S33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50" spans="1:19" x14ac:dyDescent="0.25">
      <c r="A3350" s="1" t="s">
        <v>4456</v>
      </c>
      <c r="B3350" s="2">
        <v>45553</v>
      </c>
      <c r="C3350" s="1" t="s">
        <v>116</v>
      </c>
      <c r="D3350" s="1" t="s">
        <v>55</v>
      </c>
      <c r="E3350" s="1" t="s">
        <v>236</v>
      </c>
      <c r="F3350" s="1" t="s">
        <v>84</v>
      </c>
      <c r="G3350" s="1" t="s">
        <v>22</v>
      </c>
      <c r="H3350" s="1" t="s">
        <v>51</v>
      </c>
      <c r="I3350" s="1">
        <v>516.13</v>
      </c>
      <c r="J3350" s="1">
        <v>5</v>
      </c>
      <c r="K3350" s="1">
        <v>2580.65</v>
      </c>
      <c r="L3350" s="1">
        <v>0</v>
      </c>
      <c r="M3350" s="1">
        <v>0</v>
      </c>
      <c r="N3350" s="1">
        <v>2580.65</v>
      </c>
      <c r="O3350" s="1" t="s">
        <v>80</v>
      </c>
      <c r="P3350" s="1" t="s">
        <v>47</v>
      </c>
      <c r="Q3350" s="1">
        <v>5</v>
      </c>
      <c r="R3350" s="1">
        <f>Retail_Sales_Analyis[[#This Row],[Final_Price]]-Retail_Sales_Analyis[[#This Row],[Total_Price]]</f>
        <v>0</v>
      </c>
      <c r="S33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1" spans="1:19" x14ac:dyDescent="0.25">
      <c r="A3351" s="1" t="s">
        <v>4457</v>
      </c>
      <c r="B3351" s="2">
        <v>45557</v>
      </c>
      <c r="C3351" s="1" t="s">
        <v>116</v>
      </c>
      <c r="D3351" s="1" t="s">
        <v>49</v>
      </c>
      <c r="E3351" s="1" t="s">
        <v>342</v>
      </c>
      <c r="F3351" s="1" t="s">
        <v>21</v>
      </c>
      <c r="G3351" s="1" t="s">
        <v>31</v>
      </c>
      <c r="H3351" s="1" t="s">
        <v>45</v>
      </c>
      <c r="I3351" s="1">
        <v>172.15</v>
      </c>
      <c r="J3351" s="1">
        <v>8</v>
      </c>
      <c r="K3351" s="1">
        <v>1377.2</v>
      </c>
      <c r="L3351" s="1">
        <v>10</v>
      </c>
      <c r="M3351" s="1">
        <v>137.72</v>
      </c>
      <c r="N3351" s="1">
        <v>1239.48</v>
      </c>
      <c r="O3351" s="1" t="s">
        <v>46</v>
      </c>
      <c r="P3351" s="1" t="s">
        <v>2518</v>
      </c>
      <c r="Q3351" s="1">
        <v>1</v>
      </c>
      <c r="R3351" s="1">
        <f>Retail_Sales_Analyis[[#This Row],[Final_Price]]-Retail_Sales_Analyis[[#This Row],[Total_Price]]</f>
        <v>-137.72000000000003</v>
      </c>
      <c r="S33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52" spans="1:19" x14ac:dyDescent="0.25">
      <c r="A3352" s="1" t="s">
        <v>4458</v>
      </c>
      <c r="B3352" s="2">
        <v>45577</v>
      </c>
      <c r="C3352" s="1" t="s">
        <v>76</v>
      </c>
      <c r="D3352" s="1" t="s">
        <v>19</v>
      </c>
      <c r="E3352" s="1" t="s">
        <v>207</v>
      </c>
      <c r="F3352" s="1" t="s">
        <v>84</v>
      </c>
      <c r="G3352" s="1" t="s">
        <v>78</v>
      </c>
      <c r="H3352" s="1" t="s">
        <v>146</v>
      </c>
      <c r="I3352" s="1">
        <v>489.66</v>
      </c>
      <c r="J3352" s="1">
        <v>1</v>
      </c>
      <c r="K3352" s="1">
        <v>489.66</v>
      </c>
      <c r="L3352" s="1">
        <v>0</v>
      </c>
      <c r="M3352" s="1">
        <v>0</v>
      </c>
      <c r="N3352" s="1">
        <v>489.66</v>
      </c>
      <c r="O3352" s="1" t="s">
        <v>33</v>
      </c>
      <c r="P3352" s="1" t="s">
        <v>761</v>
      </c>
      <c r="Q3352" s="1">
        <v>2</v>
      </c>
      <c r="R3352" s="1">
        <f>Retail_Sales_Analyis[[#This Row],[Final_Price]]-Retail_Sales_Analyis[[#This Row],[Total_Price]]</f>
        <v>0</v>
      </c>
      <c r="S33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3" spans="1:19" x14ac:dyDescent="0.25">
      <c r="A3353" s="1" t="s">
        <v>4459</v>
      </c>
      <c r="B3353" s="2">
        <v>45589</v>
      </c>
      <c r="C3353" s="1" t="s">
        <v>76</v>
      </c>
      <c r="D3353" s="1" t="s">
        <v>67</v>
      </c>
      <c r="E3353" s="1" t="s">
        <v>236</v>
      </c>
      <c r="F3353" s="1" t="s">
        <v>30</v>
      </c>
      <c r="G3353" s="1" t="s">
        <v>112</v>
      </c>
      <c r="H3353" s="1" t="s">
        <v>113</v>
      </c>
      <c r="I3353" s="1">
        <v>687.51</v>
      </c>
      <c r="J3353" s="1">
        <v>7</v>
      </c>
      <c r="K3353" s="1">
        <v>4812.57</v>
      </c>
      <c r="L3353" s="1">
        <v>15</v>
      </c>
      <c r="M3353" s="1">
        <v>721.89</v>
      </c>
      <c r="N3353" s="1">
        <v>4090.68</v>
      </c>
      <c r="O3353" s="1" t="s">
        <v>46</v>
      </c>
      <c r="P3353" s="1" t="s">
        <v>1242</v>
      </c>
      <c r="Q3353" s="1">
        <v>3</v>
      </c>
      <c r="R3353" s="1">
        <f>Retail_Sales_Analyis[[#This Row],[Final_Price]]-Retail_Sales_Analyis[[#This Row],[Total_Price]]</f>
        <v>-721.88999999999987</v>
      </c>
      <c r="S33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54" spans="1:19" x14ac:dyDescent="0.25">
      <c r="A3354" s="1" t="s">
        <v>4460</v>
      </c>
      <c r="B3354" s="2">
        <v>45644</v>
      </c>
      <c r="C3354" s="1" t="s">
        <v>73</v>
      </c>
      <c r="D3354" s="1" t="s">
        <v>55</v>
      </c>
      <c r="E3354" s="1" t="s">
        <v>174</v>
      </c>
      <c r="F3354" s="1" t="s">
        <v>30</v>
      </c>
      <c r="G3354" s="1" t="s">
        <v>31</v>
      </c>
      <c r="H3354" s="1" t="s">
        <v>250</v>
      </c>
      <c r="I3354" s="1">
        <v>158.68</v>
      </c>
      <c r="J3354" s="1">
        <v>10</v>
      </c>
      <c r="K3354" s="1">
        <v>1586.8</v>
      </c>
      <c r="L3354" s="1">
        <v>15</v>
      </c>
      <c r="M3354" s="1">
        <v>238.02</v>
      </c>
      <c r="N3354" s="1">
        <v>1348.78</v>
      </c>
      <c r="O3354" s="1" t="s">
        <v>24</v>
      </c>
      <c r="P3354" s="1" t="s">
        <v>1030</v>
      </c>
      <c r="Q3354" s="1">
        <v>4</v>
      </c>
      <c r="R3354" s="1">
        <f>Retail_Sales_Analyis[[#This Row],[Final_Price]]-Retail_Sales_Analyis[[#This Row],[Total_Price]]</f>
        <v>-238.01999999999998</v>
      </c>
      <c r="S33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55" spans="1:19" x14ac:dyDescent="0.25">
      <c r="A3355" s="1" t="s">
        <v>4461</v>
      </c>
      <c r="B3355" s="2">
        <v>45586</v>
      </c>
      <c r="C3355" s="1" t="s">
        <v>76</v>
      </c>
      <c r="D3355" s="1" t="s">
        <v>43</v>
      </c>
      <c r="E3355" s="1" t="s">
        <v>107</v>
      </c>
      <c r="F3355" s="1" t="s">
        <v>21</v>
      </c>
      <c r="G3355" s="1" t="s">
        <v>112</v>
      </c>
      <c r="H3355" s="1" t="s">
        <v>288</v>
      </c>
      <c r="I3355" s="1">
        <v>840.65</v>
      </c>
      <c r="J3355" s="1">
        <v>2</v>
      </c>
      <c r="K3355" s="1">
        <v>1681.3</v>
      </c>
      <c r="L3355" s="1">
        <v>5</v>
      </c>
      <c r="M3355" s="1">
        <v>84.06</v>
      </c>
      <c r="N3355" s="1">
        <v>1597.24</v>
      </c>
      <c r="O3355" s="1" t="s">
        <v>80</v>
      </c>
      <c r="P3355" s="1" t="s">
        <v>3989</v>
      </c>
      <c r="Q3355" s="1">
        <v>3</v>
      </c>
      <c r="R3355" s="1">
        <f>Retail_Sales_Analyis[[#This Row],[Final_Price]]-Retail_Sales_Analyis[[#This Row],[Total_Price]]</f>
        <v>-84.059999999999945</v>
      </c>
      <c r="S33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56" spans="1:19" x14ac:dyDescent="0.25">
      <c r="A3356" s="1" t="s">
        <v>4462</v>
      </c>
      <c r="B3356" s="2">
        <v>45405</v>
      </c>
      <c r="C3356" s="1" t="s">
        <v>54</v>
      </c>
      <c r="D3356" s="1" t="s">
        <v>28</v>
      </c>
      <c r="E3356" s="1" t="s">
        <v>97</v>
      </c>
      <c r="F3356" s="1" t="s">
        <v>84</v>
      </c>
      <c r="G3356" s="1" t="s">
        <v>31</v>
      </c>
      <c r="H3356" s="1" t="s">
        <v>32</v>
      </c>
      <c r="I3356" s="1">
        <v>385.08</v>
      </c>
      <c r="J3356" s="1">
        <v>6</v>
      </c>
      <c r="K3356" s="1">
        <v>2310.48</v>
      </c>
      <c r="L3356" s="1">
        <v>0</v>
      </c>
      <c r="M3356" s="1">
        <v>0</v>
      </c>
      <c r="N3356" s="1">
        <v>2310.48</v>
      </c>
      <c r="O3356" s="1" t="s">
        <v>64</v>
      </c>
      <c r="P3356" s="1" t="s">
        <v>1667</v>
      </c>
      <c r="Q3356" s="1">
        <v>3</v>
      </c>
      <c r="R3356" s="1">
        <f>Retail_Sales_Analyis[[#This Row],[Final_Price]]-Retail_Sales_Analyis[[#This Row],[Total_Price]]</f>
        <v>0</v>
      </c>
      <c r="S33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7" spans="1:19" x14ac:dyDescent="0.25">
      <c r="A3357" s="1" t="s">
        <v>4463</v>
      </c>
      <c r="B3357" s="2">
        <v>45520</v>
      </c>
      <c r="C3357" s="1" t="s">
        <v>93</v>
      </c>
      <c r="D3357" s="1" t="s">
        <v>144</v>
      </c>
      <c r="E3357" s="1" t="s">
        <v>207</v>
      </c>
      <c r="F3357" s="1" t="s">
        <v>69</v>
      </c>
      <c r="G3357" s="1" t="s">
        <v>31</v>
      </c>
      <c r="H3357" s="1" t="s">
        <v>45</v>
      </c>
      <c r="I3357" s="1">
        <v>317.10000000000002</v>
      </c>
      <c r="J3357" s="1">
        <v>1</v>
      </c>
      <c r="K3357" s="1">
        <v>317.10000000000002</v>
      </c>
      <c r="L3357" s="1">
        <v>0</v>
      </c>
      <c r="M3357" s="1">
        <v>0</v>
      </c>
      <c r="N3357" s="1">
        <v>317.10000000000002</v>
      </c>
      <c r="O3357" s="1" t="s">
        <v>46</v>
      </c>
      <c r="P3357" s="1" t="s">
        <v>1579</v>
      </c>
      <c r="Q3357" s="1">
        <v>2</v>
      </c>
      <c r="R3357" s="1">
        <f>Retail_Sales_Analyis[[#This Row],[Final_Price]]-Retail_Sales_Analyis[[#This Row],[Total_Price]]</f>
        <v>0</v>
      </c>
      <c r="S33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8" spans="1:19" x14ac:dyDescent="0.25">
      <c r="A3358" s="1" t="s">
        <v>4464</v>
      </c>
      <c r="B3358" s="2">
        <v>45483</v>
      </c>
      <c r="C3358" s="1" t="s">
        <v>195</v>
      </c>
      <c r="D3358" s="1" t="s">
        <v>55</v>
      </c>
      <c r="E3358" s="1" t="s">
        <v>68</v>
      </c>
      <c r="F3358" s="1" t="s">
        <v>21</v>
      </c>
      <c r="G3358" s="1" t="s">
        <v>57</v>
      </c>
      <c r="H3358" s="1" t="s">
        <v>101</v>
      </c>
      <c r="I3358" s="1">
        <v>580.80999999999995</v>
      </c>
      <c r="J3358" s="1">
        <v>7</v>
      </c>
      <c r="K3358" s="1">
        <v>4065.67</v>
      </c>
      <c r="L3358" s="1">
        <v>0</v>
      </c>
      <c r="M3358" s="1">
        <v>0</v>
      </c>
      <c r="N3358" s="1">
        <v>4065.67</v>
      </c>
      <c r="O3358" s="1" t="s">
        <v>64</v>
      </c>
      <c r="P3358" s="1" t="s">
        <v>1011</v>
      </c>
      <c r="Q3358" s="1">
        <v>3</v>
      </c>
      <c r="R3358" s="1">
        <f>Retail_Sales_Analyis[[#This Row],[Final_Price]]-Retail_Sales_Analyis[[#This Row],[Total_Price]]</f>
        <v>0</v>
      </c>
      <c r="S33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59" spans="1:19" x14ac:dyDescent="0.25">
      <c r="A3359" s="1" t="s">
        <v>4465</v>
      </c>
      <c r="B3359" s="2">
        <v>45492</v>
      </c>
      <c r="C3359" s="1" t="s">
        <v>195</v>
      </c>
      <c r="D3359" s="1" t="s">
        <v>144</v>
      </c>
      <c r="E3359" s="1" t="s">
        <v>125</v>
      </c>
      <c r="F3359" s="1" t="s">
        <v>69</v>
      </c>
      <c r="G3359" s="1" t="s">
        <v>78</v>
      </c>
      <c r="H3359" s="1" t="s">
        <v>136</v>
      </c>
      <c r="I3359" s="1">
        <v>221.7</v>
      </c>
      <c r="J3359" s="1">
        <v>9</v>
      </c>
      <c r="K3359" s="1">
        <v>1995.3</v>
      </c>
      <c r="L3359" s="1">
        <v>0</v>
      </c>
      <c r="M3359" s="1">
        <v>0</v>
      </c>
      <c r="N3359" s="1">
        <v>1995.3</v>
      </c>
      <c r="O3359" s="1" t="s">
        <v>33</v>
      </c>
      <c r="P3359" s="1" t="s">
        <v>105</v>
      </c>
      <c r="Q3359" s="1">
        <v>2</v>
      </c>
      <c r="R3359" s="1">
        <f>Retail_Sales_Analyis[[#This Row],[Final_Price]]-Retail_Sales_Analyis[[#This Row],[Total_Price]]</f>
        <v>0</v>
      </c>
      <c r="S33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0" spans="1:19" x14ac:dyDescent="0.25">
      <c r="A3360" s="1" t="s">
        <v>4466</v>
      </c>
      <c r="B3360" s="2">
        <v>45529</v>
      </c>
      <c r="C3360" s="1" t="s">
        <v>93</v>
      </c>
      <c r="D3360" s="1" t="s">
        <v>49</v>
      </c>
      <c r="E3360" s="1" t="s">
        <v>125</v>
      </c>
      <c r="F3360" s="1" t="s">
        <v>21</v>
      </c>
      <c r="G3360" s="1" t="s">
        <v>85</v>
      </c>
      <c r="H3360" s="1" t="s">
        <v>98</v>
      </c>
      <c r="I3360" s="1">
        <v>2348.0700000000002</v>
      </c>
      <c r="J3360" s="1">
        <v>10</v>
      </c>
      <c r="K3360" s="1">
        <v>23480.7</v>
      </c>
      <c r="L3360" s="1">
        <v>0</v>
      </c>
      <c r="M3360" s="1">
        <v>0</v>
      </c>
      <c r="N3360" s="1">
        <v>23480.7</v>
      </c>
      <c r="O3360" s="1" t="s">
        <v>24</v>
      </c>
      <c r="P3360" s="1" t="s">
        <v>798</v>
      </c>
      <c r="Q3360" s="1">
        <v>1</v>
      </c>
      <c r="R3360" s="1">
        <f>Retail_Sales_Analyis[[#This Row],[Final_Price]]-Retail_Sales_Analyis[[#This Row],[Total_Price]]</f>
        <v>0</v>
      </c>
      <c r="S33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1" spans="1:19" x14ac:dyDescent="0.25">
      <c r="A3361" s="1" t="s">
        <v>4467</v>
      </c>
      <c r="B3361" s="2">
        <v>45639</v>
      </c>
      <c r="C3361" s="1" t="s">
        <v>73</v>
      </c>
      <c r="D3361" s="1" t="s">
        <v>144</v>
      </c>
      <c r="E3361" s="1" t="s">
        <v>151</v>
      </c>
      <c r="F3361" s="1" t="s">
        <v>37</v>
      </c>
      <c r="G3361" s="1" t="s">
        <v>31</v>
      </c>
      <c r="H3361" s="1" t="s">
        <v>329</v>
      </c>
      <c r="I3361" s="1">
        <v>53.11</v>
      </c>
      <c r="J3361" s="1">
        <v>10</v>
      </c>
      <c r="K3361" s="1">
        <v>531.1</v>
      </c>
      <c r="L3361" s="1">
        <v>0</v>
      </c>
      <c r="M3361" s="1">
        <v>0</v>
      </c>
      <c r="N3361" s="1">
        <v>531.1</v>
      </c>
      <c r="O3361" s="1" t="s">
        <v>64</v>
      </c>
      <c r="P3361" s="1" t="s">
        <v>3299</v>
      </c>
      <c r="Q3361" s="1">
        <v>2</v>
      </c>
      <c r="R3361" s="1">
        <f>Retail_Sales_Analyis[[#This Row],[Final_Price]]-Retail_Sales_Analyis[[#This Row],[Total_Price]]</f>
        <v>0</v>
      </c>
      <c r="S33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2" spans="1:19" x14ac:dyDescent="0.25">
      <c r="A3362" s="1" t="s">
        <v>4468</v>
      </c>
      <c r="B3362" s="2">
        <v>45593</v>
      </c>
      <c r="C3362" s="1" t="s">
        <v>76</v>
      </c>
      <c r="D3362" s="1" t="s">
        <v>43</v>
      </c>
      <c r="E3362" s="1" t="s">
        <v>328</v>
      </c>
      <c r="F3362" s="1" t="s">
        <v>84</v>
      </c>
      <c r="G3362" s="1" t="s">
        <v>31</v>
      </c>
      <c r="H3362" s="1" t="s">
        <v>329</v>
      </c>
      <c r="I3362" s="1">
        <v>170.19</v>
      </c>
      <c r="J3362" s="1">
        <v>4</v>
      </c>
      <c r="K3362" s="1">
        <v>680.76</v>
      </c>
      <c r="L3362" s="1">
        <v>0</v>
      </c>
      <c r="M3362" s="1">
        <v>0</v>
      </c>
      <c r="N3362" s="1">
        <v>680.76</v>
      </c>
      <c r="O3362" s="1" t="s">
        <v>64</v>
      </c>
      <c r="P3362" s="1" t="s">
        <v>647</v>
      </c>
      <c r="Q3362" s="1">
        <v>1</v>
      </c>
      <c r="R3362" s="1">
        <f>Retail_Sales_Analyis[[#This Row],[Final_Price]]-Retail_Sales_Analyis[[#This Row],[Total_Price]]</f>
        <v>0</v>
      </c>
      <c r="S33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3" spans="1:19" x14ac:dyDescent="0.25">
      <c r="A3363" s="1" t="s">
        <v>4469</v>
      </c>
      <c r="B3363" s="2">
        <v>45645</v>
      </c>
      <c r="C3363" s="1" t="s">
        <v>73</v>
      </c>
      <c r="D3363" s="1" t="s">
        <v>67</v>
      </c>
      <c r="E3363" s="1" t="s">
        <v>307</v>
      </c>
      <c r="F3363" s="1" t="s">
        <v>69</v>
      </c>
      <c r="G3363" s="1" t="s">
        <v>57</v>
      </c>
      <c r="H3363" s="1" t="s">
        <v>122</v>
      </c>
      <c r="I3363" s="1">
        <v>986.61</v>
      </c>
      <c r="J3363" s="1">
        <v>7</v>
      </c>
      <c r="K3363" s="1">
        <v>6906.27</v>
      </c>
      <c r="L3363" s="1">
        <v>15</v>
      </c>
      <c r="M3363" s="1">
        <v>1035.94</v>
      </c>
      <c r="N3363" s="1">
        <v>5870.33</v>
      </c>
      <c r="O3363" s="1" t="s">
        <v>24</v>
      </c>
      <c r="P3363" s="1" t="s">
        <v>211</v>
      </c>
      <c r="Q3363" s="1">
        <v>2</v>
      </c>
      <c r="R3363" s="1">
        <f>Retail_Sales_Analyis[[#This Row],[Final_Price]]-Retail_Sales_Analyis[[#This Row],[Total_Price]]</f>
        <v>-1035.9400000000005</v>
      </c>
      <c r="S33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64" spans="1:19" x14ac:dyDescent="0.25">
      <c r="A3364" s="1" t="s">
        <v>4470</v>
      </c>
      <c r="B3364" s="2">
        <v>45548</v>
      </c>
      <c r="C3364" s="1" t="s">
        <v>116</v>
      </c>
      <c r="D3364" s="1" t="s">
        <v>144</v>
      </c>
      <c r="E3364" s="1" t="s">
        <v>97</v>
      </c>
      <c r="F3364" s="1" t="s">
        <v>30</v>
      </c>
      <c r="G3364" s="1" t="s">
        <v>112</v>
      </c>
      <c r="H3364" s="1" t="s">
        <v>118</v>
      </c>
      <c r="I3364" s="1">
        <v>1197.1099999999999</v>
      </c>
      <c r="J3364" s="1">
        <v>8</v>
      </c>
      <c r="K3364" s="1">
        <v>9576.8799999999992</v>
      </c>
      <c r="L3364" s="1">
        <v>0</v>
      </c>
      <c r="M3364" s="1">
        <v>0</v>
      </c>
      <c r="N3364" s="1">
        <v>9576.8799999999992</v>
      </c>
      <c r="O3364" s="1" t="s">
        <v>80</v>
      </c>
      <c r="P3364" s="1" t="s">
        <v>1022</v>
      </c>
      <c r="Q3364" s="1">
        <v>5</v>
      </c>
      <c r="R3364" s="1">
        <f>Retail_Sales_Analyis[[#This Row],[Final_Price]]-Retail_Sales_Analyis[[#This Row],[Total_Price]]</f>
        <v>0</v>
      </c>
      <c r="S33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5" spans="1:19" x14ac:dyDescent="0.25">
      <c r="A3365" s="1" t="s">
        <v>4471</v>
      </c>
      <c r="B3365" s="2">
        <v>45369</v>
      </c>
      <c r="C3365" s="1" t="s">
        <v>61</v>
      </c>
      <c r="D3365" s="1" t="s">
        <v>43</v>
      </c>
      <c r="E3365" s="1" t="s">
        <v>337</v>
      </c>
      <c r="F3365" s="1" t="s">
        <v>69</v>
      </c>
      <c r="G3365" s="1" t="s">
        <v>169</v>
      </c>
      <c r="H3365" s="1" t="s">
        <v>348</v>
      </c>
      <c r="I3365" s="1">
        <v>1439.37</v>
      </c>
      <c r="J3365" s="1">
        <v>10</v>
      </c>
      <c r="K3365" s="1">
        <v>14393.7</v>
      </c>
      <c r="L3365" s="1">
        <v>15</v>
      </c>
      <c r="M3365" s="1">
        <v>2159.0500000000002</v>
      </c>
      <c r="N3365" s="1">
        <v>12234.65</v>
      </c>
      <c r="O3365" s="1" t="s">
        <v>33</v>
      </c>
      <c r="P3365" s="1" t="s">
        <v>4472</v>
      </c>
      <c r="Q3365" s="1">
        <v>5</v>
      </c>
      <c r="R3365" s="1">
        <f>Retail_Sales_Analyis[[#This Row],[Final_Price]]-Retail_Sales_Analyis[[#This Row],[Total_Price]]</f>
        <v>-2159.0500000000011</v>
      </c>
      <c r="S33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66" spans="1:19" x14ac:dyDescent="0.25">
      <c r="A3366" s="1" t="s">
        <v>4473</v>
      </c>
      <c r="B3366" s="2">
        <v>45468</v>
      </c>
      <c r="C3366" s="1" t="s">
        <v>173</v>
      </c>
      <c r="D3366" s="1" t="s">
        <v>28</v>
      </c>
      <c r="E3366" s="1" t="s">
        <v>104</v>
      </c>
      <c r="F3366" s="1" t="s">
        <v>84</v>
      </c>
      <c r="G3366" s="1" t="s">
        <v>78</v>
      </c>
      <c r="H3366" s="1" t="s">
        <v>323</v>
      </c>
      <c r="I3366" s="1">
        <v>288.22000000000003</v>
      </c>
      <c r="J3366" s="1">
        <v>3</v>
      </c>
      <c r="K3366" s="1">
        <v>864.66</v>
      </c>
      <c r="L3366" s="1">
        <v>0</v>
      </c>
      <c r="M3366" s="1">
        <v>0</v>
      </c>
      <c r="N3366" s="1">
        <v>864.66</v>
      </c>
      <c r="O3366" s="1" t="s">
        <v>46</v>
      </c>
      <c r="P3366" s="1" t="s">
        <v>1111</v>
      </c>
      <c r="Q3366" s="1">
        <v>4</v>
      </c>
      <c r="R3366" s="1">
        <f>Retail_Sales_Analyis[[#This Row],[Final_Price]]-Retail_Sales_Analyis[[#This Row],[Total_Price]]</f>
        <v>0</v>
      </c>
      <c r="S33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67" spans="1:19" x14ac:dyDescent="0.25">
      <c r="A3367" s="1" t="s">
        <v>4474</v>
      </c>
      <c r="B3367" s="2">
        <v>45304</v>
      </c>
      <c r="C3367" s="1" t="s">
        <v>36</v>
      </c>
      <c r="D3367" s="1" t="s">
        <v>19</v>
      </c>
      <c r="E3367" s="1" t="s">
        <v>166</v>
      </c>
      <c r="F3367" s="1" t="s">
        <v>21</v>
      </c>
      <c r="G3367" s="1" t="s">
        <v>57</v>
      </c>
      <c r="H3367" s="1" t="s">
        <v>58</v>
      </c>
      <c r="I3367" s="1">
        <v>1938.03</v>
      </c>
      <c r="J3367" s="1">
        <v>3</v>
      </c>
      <c r="K3367" s="1">
        <v>5814.09</v>
      </c>
      <c r="L3367" s="1">
        <v>5</v>
      </c>
      <c r="M3367" s="1">
        <v>290.7</v>
      </c>
      <c r="N3367" s="1">
        <v>5523.39</v>
      </c>
      <c r="O3367" s="1" t="s">
        <v>46</v>
      </c>
      <c r="P3367" s="1" t="s">
        <v>848</v>
      </c>
      <c r="Q3367" s="1">
        <v>1</v>
      </c>
      <c r="R3367" s="1">
        <f>Retail_Sales_Analyis[[#This Row],[Final_Price]]-Retail_Sales_Analyis[[#This Row],[Total_Price]]</f>
        <v>-290.69999999999982</v>
      </c>
      <c r="S33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68" spans="1:19" x14ac:dyDescent="0.25">
      <c r="A3368" s="1" t="s">
        <v>4475</v>
      </c>
      <c r="B3368" s="2">
        <v>45539</v>
      </c>
      <c r="C3368" s="1" t="s">
        <v>116</v>
      </c>
      <c r="D3368" s="1" t="s">
        <v>55</v>
      </c>
      <c r="E3368" s="1" t="s">
        <v>307</v>
      </c>
      <c r="F3368" s="1" t="s">
        <v>84</v>
      </c>
      <c r="G3368" s="1" t="s">
        <v>85</v>
      </c>
      <c r="H3368" s="1" t="s">
        <v>86</v>
      </c>
      <c r="I3368" s="1">
        <v>1792.88</v>
      </c>
      <c r="J3368" s="1">
        <v>10</v>
      </c>
      <c r="K3368" s="1">
        <v>17928.8</v>
      </c>
      <c r="L3368" s="1">
        <v>5</v>
      </c>
      <c r="M3368" s="1">
        <v>896.44</v>
      </c>
      <c r="N3368" s="1">
        <v>17032.36</v>
      </c>
      <c r="O3368" s="1" t="s">
        <v>80</v>
      </c>
      <c r="P3368" s="1" t="s">
        <v>3299</v>
      </c>
      <c r="Q3368" s="1">
        <v>5</v>
      </c>
      <c r="R3368" s="1">
        <f>Retail_Sales_Analyis[[#This Row],[Final_Price]]-Retail_Sales_Analyis[[#This Row],[Total_Price]]</f>
        <v>-896.43999999999869</v>
      </c>
      <c r="S33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69" spans="1:19" x14ac:dyDescent="0.25">
      <c r="A3369" s="1" t="s">
        <v>4476</v>
      </c>
      <c r="B3369" s="2">
        <v>45345</v>
      </c>
      <c r="C3369" s="1" t="s">
        <v>27</v>
      </c>
      <c r="D3369" s="1" t="s">
        <v>144</v>
      </c>
      <c r="E3369" s="1" t="s">
        <v>125</v>
      </c>
      <c r="F3369" s="1" t="s">
        <v>84</v>
      </c>
      <c r="G3369" s="1" t="s">
        <v>38</v>
      </c>
      <c r="H3369" s="1" t="s">
        <v>214</v>
      </c>
      <c r="I3369" s="1">
        <v>468.32</v>
      </c>
      <c r="J3369" s="1">
        <v>9</v>
      </c>
      <c r="K3369" s="1">
        <v>4214.88</v>
      </c>
      <c r="L3369" s="1">
        <v>0</v>
      </c>
      <c r="M3369" s="1">
        <v>0</v>
      </c>
      <c r="N3369" s="1">
        <v>4214.88</v>
      </c>
      <c r="O3369" s="1" t="s">
        <v>80</v>
      </c>
      <c r="P3369" s="1" t="s">
        <v>1884</v>
      </c>
      <c r="Q3369" s="1">
        <v>1</v>
      </c>
      <c r="R3369" s="1">
        <f>Retail_Sales_Analyis[[#This Row],[Final_Price]]-Retail_Sales_Analyis[[#This Row],[Total_Price]]</f>
        <v>0</v>
      </c>
      <c r="S33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0" spans="1:19" x14ac:dyDescent="0.25">
      <c r="A3370" s="1" t="s">
        <v>4477</v>
      </c>
      <c r="B3370" s="2">
        <v>45443</v>
      </c>
      <c r="C3370" s="1" t="s">
        <v>42</v>
      </c>
      <c r="D3370" s="1" t="s">
        <v>144</v>
      </c>
      <c r="E3370" s="1" t="s">
        <v>29</v>
      </c>
      <c r="F3370" s="1" t="s">
        <v>21</v>
      </c>
      <c r="G3370" s="1" t="s">
        <v>31</v>
      </c>
      <c r="H3370" s="1" t="s">
        <v>45</v>
      </c>
      <c r="I3370" s="1">
        <v>438.13</v>
      </c>
      <c r="J3370" s="1">
        <v>4</v>
      </c>
      <c r="K3370" s="1">
        <v>1752.52</v>
      </c>
      <c r="L3370" s="1">
        <v>0</v>
      </c>
      <c r="M3370" s="1">
        <v>0</v>
      </c>
      <c r="N3370" s="1">
        <v>1752.52</v>
      </c>
      <c r="O3370" s="1" t="s">
        <v>46</v>
      </c>
      <c r="P3370" s="1" t="s">
        <v>1687</v>
      </c>
      <c r="Q3370" s="1">
        <v>1</v>
      </c>
      <c r="R3370" s="1">
        <f>Retail_Sales_Analyis[[#This Row],[Final_Price]]-Retail_Sales_Analyis[[#This Row],[Total_Price]]</f>
        <v>0</v>
      </c>
      <c r="S33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1" spans="1:19" x14ac:dyDescent="0.25">
      <c r="A3371" s="1" t="s">
        <v>4478</v>
      </c>
      <c r="B3371" s="2">
        <v>45504</v>
      </c>
      <c r="C3371" s="1" t="s">
        <v>195</v>
      </c>
      <c r="D3371" s="1" t="s">
        <v>55</v>
      </c>
      <c r="E3371" s="1" t="s">
        <v>285</v>
      </c>
      <c r="F3371" s="1" t="s">
        <v>37</v>
      </c>
      <c r="G3371" s="1" t="s">
        <v>78</v>
      </c>
      <c r="H3371" s="1" t="s">
        <v>126</v>
      </c>
      <c r="I3371" s="1">
        <v>520.91999999999996</v>
      </c>
      <c r="J3371" s="1">
        <v>7</v>
      </c>
      <c r="K3371" s="1">
        <v>3646.44</v>
      </c>
      <c r="L3371" s="1">
        <v>0</v>
      </c>
      <c r="M3371" s="1">
        <v>0</v>
      </c>
      <c r="N3371" s="1">
        <v>3646.44</v>
      </c>
      <c r="O3371" s="1" t="s">
        <v>46</v>
      </c>
      <c r="P3371" s="1" t="s">
        <v>234</v>
      </c>
      <c r="Q3371" s="1">
        <v>1</v>
      </c>
      <c r="R3371" s="1">
        <f>Retail_Sales_Analyis[[#This Row],[Final_Price]]-Retail_Sales_Analyis[[#This Row],[Total_Price]]</f>
        <v>0</v>
      </c>
      <c r="S33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2" spans="1:19" x14ac:dyDescent="0.25">
      <c r="A3372" s="1" t="s">
        <v>4479</v>
      </c>
      <c r="B3372" s="2">
        <v>45335</v>
      </c>
      <c r="C3372" s="1" t="s">
        <v>27</v>
      </c>
      <c r="D3372" s="1" t="s">
        <v>28</v>
      </c>
      <c r="E3372" s="1" t="s">
        <v>328</v>
      </c>
      <c r="F3372" s="1" t="s">
        <v>37</v>
      </c>
      <c r="G3372" s="1" t="s">
        <v>78</v>
      </c>
      <c r="H3372" s="1" t="s">
        <v>79</v>
      </c>
      <c r="I3372" s="1">
        <v>328.26</v>
      </c>
      <c r="J3372" s="1">
        <v>7</v>
      </c>
      <c r="K3372" s="1">
        <v>2297.8200000000002</v>
      </c>
      <c r="L3372" s="1">
        <v>15</v>
      </c>
      <c r="M3372" s="1">
        <v>344.67</v>
      </c>
      <c r="N3372" s="1">
        <v>1953.15</v>
      </c>
      <c r="O3372" s="1" t="s">
        <v>80</v>
      </c>
      <c r="P3372" s="1" t="s">
        <v>3286</v>
      </c>
      <c r="Q3372" s="1">
        <v>4</v>
      </c>
      <c r="R3372" s="1">
        <f>Retail_Sales_Analyis[[#This Row],[Final_Price]]-Retail_Sales_Analyis[[#This Row],[Total_Price]]</f>
        <v>-344.67000000000007</v>
      </c>
      <c r="S33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73" spans="1:19" x14ac:dyDescent="0.25">
      <c r="A3373" s="1" t="s">
        <v>4480</v>
      </c>
      <c r="B3373" s="2">
        <v>45351</v>
      </c>
      <c r="C3373" s="1" t="s">
        <v>27</v>
      </c>
      <c r="D3373" s="1" t="s">
        <v>67</v>
      </c>
      <c r="E3373" s="1" t="s">
        <v>351</v>
      </c>
      <c r="F3373" s="1" t="s">
        <v>84</v>
      </c>
      <c r="G3373" s="1" t="s">
        <v>31</v>
      </c>
      <c r="H3373" s="1" t="s">
        <v>250</v>
      </c>
      <c r="I3373" s="1">
        <v>495.71</v>
      </c>
      <c r="J3373" s="1">
        <v>8</v>
      </c>
      <c r="K3373" s="1">
        <v>3965.68</v>
      </c>
      <c r="L3373" s="1">
        <v>5</v>
      </c>
      <c r="M3373" s="1">
        <v>198.28</v>
      </c>
      <c r="N3373" s="1">
        <v>3767.4</v>
      </c>
      <c r="O3373" s="1" t="s">
        <v>33</v>
      </c>
      <c r="P3373" s="1" t="s">
        <v>1212</v>
      </c>
      <c r="Q3373" s="1">
        <v>1</v>
      </c>
      <c r="R3373" s="1">
        <f>Retail_Sales_Analyis[[#This Row],[Final_Price]]-Retail_Sales_Analyis[[#This Row],[Total_Price]]</f>
        <v>-198.27999999999975</v>
      </c>
      <c r="S33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74" spans="1:19" x14ac:dyDescent="0.25">
      <c r="A3374" s="1" t="s">
        <v>4481</v>
      </c>
      <c r="B3374" s="2">
        <v>45364</v>
      </c>
      <c r="C3374" s="1" t="s">
        <v>61</v>
      </c>
      <c r="D3374" s="1" t="s">
        <v>55</v>
      </c>
      <c r="E3374" s="1" t="s">
        <v>204</v>
      </c>
      <c r="F3374" s="1" t="s">
        <v>37</v>
      </c>
      <c r="G3374" s="1" t="s">
        <v>22</v>
      </c>
      <c r="H3374" s="1" t="s">
        <v>23</v>
      </c>
      <c r="I3374" s="1">
        <v>313.86</v>
      </c>
      <c r="J3374" s="1">
        <v>10</v>
      </c>
      <c r="K3374" s="1">
        <v>3138.6</v>
      </c>
      <c r="L3374" s="1">
        <v>0</v>
      </c>
      <c r="M3374" s="1">
        <v>0</v>
      </c>
      <c r="N3374" s="1">
        <v>3138.6</v>
      </c>
      <c r="O3374" s="1" t="s">
        <v>80</v>
      </c>
      <c r="P3374" s="1" t="s">
        <v>1399</v>
      </c>
      <c r="Q3374" s="1">
        <v>1</v>
      </c>
      <c r="R3374" s="1">
        <f>Retail_Sales_Analyis[[#This Row],[Final_Price]]-Retail_Sales_Analyis[[#This Row],[Total_Price]]</f>
        <v>0</v>
      </c>
      <c r="S33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5" spans="1:19" x14ac:dyDescent="0.25">
      <c r="A3375" s="1" t="s">
        <v>4482</v>
      </c>
      <c r="B3375" s="2">
        <v>45470</v>
      </c>
      <c r="C3375" s="1" t="s">
        <v>173</v>
      </c>
      <c r="D3375" s="1" t="s">
        <v>67</v>
      </c>
      <c r="E3375" s="1" t="s">
        <v>542</v>
      </c>
      <c r="F3375" s="1" t="s">
        <v>30</v>
      </c>
      <c r="G3375" s="1" t="s">
        <v>78</v>
      </c>
      <c r="H3375" s="1" t="s">
        <v>146</v>
      </c>
      <c r="I3375" s="1">
        <v>289.69</v>
      </c>
      <c r="J3375" s="1">
        <v>8</v>
      </c>
      <c r="K3375" s="1">
        <v>2317.52</v>
      </c>
      <c r="L3375" s="1">
        <v>5</v>
      </c>
      <c r="M3375" s="1">
        <v>115.88</v>
      </c>
      <c r="N3375" s="1">
        <v>2201.64</v>
      </c>
      <c r="O3375" s="1" t="s">
        <v>64</v>
      </c>
      <c r="P3375" s="1" t="s">
        <v>750</v>
      </c>
      <c r="Q3375" s="1">
        <v>2</v>
      </c>
      <c r="R3375" s="1">
        <f>Retail_Sales_Analyis[[#This Row],[Final_Price]]-Retail_Sales_Analyis[[#This Row],[Total_Price]]</f>
        <v>-115.88000000000011</v>
      </c>
      <c r="S33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76" spans="1:19" x14ac:dyDescent="0.25">
      <c r="A3376" s="1" t="s">
        <v>4483</v>
      </c>
      <c r="B3376" s="2">
        <v>45451</v>
      </c>
      <c r="C3376" s="1" t="s">
        <v>173</v>
      </c>
      <c r="D3376" s="1" t="s">
        <v>19</v>
      </c>
      <c r="E3376" s="1" t="s">
        <v>285</v>
      </c>
      <c r="F3376" s="1" t="s">
        <v>69</v>
      </c>
      <c r="G3376" s="1" t="s">
        <v>22</v>
      </c>
      <c r="H3376" s="1" t="s">
        <v>23</v>
      </c>
      <c r="I3376" s="1">
        <v>926.04</v>
      </c>
      <c r="J3376" s="1">
        <v>8</v>
      </c>
      <c r="K3376" s="1">
        <v>7408.32</v>
      </c>
      <c r="L3376" s="1">
        <v>0</v>
      </c>
      <c r="M3376" s="1">
        <v>0</v>
      </c>
      <c r="N3376" s="1">
        <v>7408.32</v>
      </c>
      <c r="O3376" s="1" t="s">
        <v>64</v>
      </c>
      <c r="P3376" s="1" t="s">
        <v>1805</v>
      </c>
      <c r="Q3376" s="1">
        <v>5</v>
      </c>
      <c r="R3376" s="1">
        <f>Retail_Sales_Analyis[[#This Row],[Final_Price]]-Retail_Sales_Analyis[[#This Row],[Total_Price]]</f>
        <v>0</v>
      </c>
      <c r="S33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7" spans="1:19" x14ac:dyDescent="0.25">
      <c r="A3377" s="1" t="s">
        <v>4484</v>
      </c>
      <c r="B3377" s="2">
        <v>45467</v>
      </c>
      <c r="C3377" s="1" t="s">
        <v>173</v>
      </c>
      <c r="D3377" s="1" t="s">
        <v>43</v>
      </c>
      <c r="E3377" s="1" t="s">
        <v>163</v>
      </c>
      <c r="F3377" s="1" t="s">
        <v>84</v>
      </c>
      <c r="G3377" s="1" t="s">
        <v>38</v>
      </c>
      <c r="H3377" s="1" t="s">
        <v>70</v>
      </c>
      <c r="I3377" s="1">
        <v>335.77</v>
      </c>
      <c r="J3377" s="1">
        <v>10</v>
      </c>
      <c r="K3377" s="1">
        <v>3357.7</v>
      </c>
      <c r="L3377" s="1">
        <v>0</v>
      </c>
      <c r="M3377" s="1">
        <v>0</v>
      </c>
      <c r="N3377" s="1">
        <v>3357.7</v>
      </c>
      <c r="O3377" s="1" t="s">
        <v>24</v>
      </c>
      <c r="P3377" s="1" t="s">
        <v>2982</v>
      </c>
      <c r="Q3377" s="1">
        <v>2</v>
      </c>
      <c r="R3377" s="1">
        <f>Retail_Sales_Analyis[[#This Row],[Final_Price]]-Retail_Sales_Analyis[[#This Row],[Total_Price]]</f>
        <v>0</v>
      </c>
      <c r="S33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78" spans="1:19" x14ac:dyDescent="0.25">
      <c r="A3378" s="1" t="s">
        <v>4485</v>
      </c>
      <c r="B3378" s="2">
        <v>45525</v>
      </c>
      <c r="C3378" s="1" t="s">
        <v>93</v>
      </c>
      <c r="D3378" s="1" t="s">
        <v>55</v>
      </c>
      <c r="E3378" s="1" t="s">
        <v>192</v>
      </c>
      <c r="F3378" s="1" t="s">
        <v>69</v>
      </c>
      <c r="G3378" s="1" t="s">
        <v>78</v>
      </c>
      <c r="H3378" s="1" t="s">
        <v>323</v>
      </c>
      <c r="I3378" s="1">
        <v>336.64</v>
      </c>
      <c r="J3378" s="1">
        <v>7</v>
      </c>
      <c r="K3378" s="1">
        <v>2356.48</v>
      </c>
      <c r="L3378" s="1">
        <v>20</v>
      </c>
      <c r="M3378" s="1">
        <v>471.3</v>
      </c>
      <c r="N3378" s="1">
        <v>1885.18</v>
      </c>
      <c r="O3378" s="1" t="s">
        <v>46</v>
      </c>
      <c r="P3378" s="1" t="s">
        <v>1574</v>
      </c>
      <c r="Q3378" s="1">
        <v>2</v>
      </c>
      <c r="R3378" s="1">
        <f>Retail_Sales_Analyis[[#This Row],[Final_Price]]-Retail_Sales_Analyis[[#This Row],[Total_Price]]</f>
        <v>-471.29999999999995</v>
      </c>
      <c r="S33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79" spans="1:19" x14ac:dyDescent="0.25">
      <c r="A3379" s="1" t="s">
        <v>4486</v>
      </c>
      <c r="B3379" s="2">
        <v>45397</v>
      </c>
      <c r="C3379" s="1" t="s">
        <v>54</v>
      </c>
      <c r="D3379" s="1" t="s">
        <v>43</v>
      </c>
      <c r="E3379" s="1" t="s">
        <v>104</v>
      </c>
      <c r="F3379" s="1" t="s">
        <v>21</v>
      </c>
      <c r="G3379" s="1" t="s">
        <v>31</v>
      </c>
      <c r="H3379" s="1" t="s">
        <v>250</v>
      </c>
      <c r="I3379" s="1">
        <v>64.09</v>
      </c>
      <c r="J3379" s="1">
        <v>3</v>
      </c>
      <c r="K3379" s="1">
        <v>192.27</v>
      </c>
      <c r="L3379" s="1">
        <v>15</v>
      </c>
      <c r="M3379" s="1">
        <v>28.84</v>
      </c>
      <c r="N3379" s="1">
        <v>163.43</v>
      </c>
      <c r="O3379" s="1" t="s">
        <v>24</v>
      </c>
      <c r="P3379" s="1" t="s">
        <v>437</v>
      </c>
      <c r="Q3379" s="1">
        <v>1</v>
      </c>
      <c r="R3379" s="1">
        <f>Retail_Sales_Analyis[[#This Row],[Final_Price]]-Retail_Sales_Analyis[[#This Row],[Total_Price]]</f>
        <v>-28.840000000000003</v>
      </c>
      <c r="S33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80" spans="1:19" x14ac:dyDescent="0.25">
      <c r="A3380" s="1" t="s">
        <v>4487</v>
      </c>
      <c r="B3380" s="2">
        <v>45558</v>
      </c>
      <c r="C3380" s="1" t="s">
        <v>116</v>
      </c>
      <c r="D3380" s="1" t="s">
        <v>43</v>
      </c>
      <c r="E3380" s="1" t="s">
        <v>117</v>
      </c>
      <c r="F3380" s="1" t="s">
        <v>69</v>
      </c>
      <c r="G3380" s="1" t="s">
        <v>31</v>
      </c>
      <c r="H3380" s="1" t="s">
        <v>250</v>
      </c>
      <c r="I3380" s="1">
        <v>221.08</v>
      </c>
      <c r="J3380" s="1">
        <v>7</v>
      </c>
      <c r="K3380" s="1">
        <v>1547.56</v>
      </c>
      <c r="L3380" s="1">
        <v>0</v>
      </c>
      <c r="M3380" s="1">
        <v>0</v>
      </c>
      <c r="N3380" s="1">
        <v>1547.56</v>
      </c>
      <c r="O3380" s="1" t="s">
        <v>64</v>
      </c>
      <c r="P3380" s="1" t="s">
        <v>3499</v>
      </c>
      <c r="Q3380" s="1">
        <v>3</v>
      </c>
      <c r="R3380" s="1">
        <f>Retail_Sales_Analyis[[#This Row],[Final_Price]]-Retail_Sales_Analyis[[#This Row],[Total_Price]]</f>
        <v>0</v>
      </c>
      <c r="S33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1" spans="1:19" x14ac:dyDescent="0.25">
      <c r="A3381" s="1" t="s">
        <v>4488</v>
      </c>
      <c r="B3381" s="2">
        <v>45539</v>
      </c>
      <c r="C3381" s="1" t="s">
        <v>116</v>
      </c>
      <c r="D3381" s="1" t="s">
        <v>55</v>
      </c>
      <c r="E3381" s="1" t="s">
        <v>213</v>
      </c>
      <c r="F3381" s="1" t="s">
        <v>69</v>
      </c>
      <c r="G3381" s="1" t="s">
        <v>31</v>
      </c>
      <c r="H3381" s="1" t="s">
        <v>250</v>
      </c>
      <c r="I3381" s="1">
        <v>373.92</v>
      </c>
      <c r="J3381" s="1">
        <v>3</v>
      </c>
      <c r="K3381" s="1">
        <v>1121.76</v>
      </c>
      <c r="L3381" s="1">
        <v>0</v>
      </c>
      <c r="M3381" s="1">
        <v>0</v>
      </c>
      <c r="N3381" s="1">
        <v>1121.76</v>
      </c>
      <c r="O3381" s="1" t="s">
        <v>64</v>
      </c>
      <c r="P3381" s="1" t="s">
        <v>1415</v>
      </c>
      <c r="Q3381" s="1">
        <v>3</v>
      </c>
      <c r="R3381" s="1">
        <f>Retail_Sales_Analyis[[#This Row],[Final_Price]]-Retail_Sales_Analyis[[#This Row],[Total_Price]]</f>
        <v>0</v>
      </c>
      <c r="S33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2" spans="1:19" x14ac:dyDescent="0.25">
      <c r="A3382" s="1" t="s">
        <v>4489</v>
      </c>
      <c r="B3382" s="2">
        <v>45470</v>
      </c>
      <c r="C3382" s="1" t="s">
        <v>173</v>
      </c>
      <c r="D3382" s="1" t="s">
        <v>67</v>
      </c>
      <c r="E3382" s="1" t="s">
        <v>542</v>
      </c>
      <c r="F3382" s="1" t="s">
        <v>84</v>
      </c>
      <c r="G3382" s="1" t="s">
        <v>57</v>
      </c>
      <c r="H3382" s="1" t="s">
        <v>122</v>
      </c>
      <c r="I3382" s="1">
        <v>2943.13</v>
      </c>
      <c r="J3382" s="1">
        <v>7</v>
      </c>
      <c r="K3382" s="1">
        <v>20601.91</v>
      </c>
      <c r="L3382" s="1">
        <v>15</v>
      </c>
      <c r="M3382" s="1">
        <v>3090.29</v>
      </c>
      <c r="N3382" s="1">
        <v>17511.62</v>
      </c>
      <c r="O3382" s="1" t="s">
        <v>33</v>
      </c>
      <c r="P3382" s="1" t="s">
        <v>757</v>
      </c>
      <c r="Q3382" s="1">
        <v>1</v>
      </c>
      <c r="R3382" s="1">
        <f>Retail_Sales_Analyis[[#This Row],[Final_Price]]-Retail_Sales_Analyis[[#This Row],[Total_Price]]</f>
        <v>-3090.2900000000009</v>
      </c>
      <c r="S33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83" spans="1:19" x14ac:dyDescent="0.25">
      <c r="A3383" s="1" t="s">
        <v>4490</v>
      </c>
      <c r="B3383" s="2">
        <v>45535</v>
      </c>
      <c r="C3383" s="1" t="s">
        <v>93</v>
      </c>
      <c r="D3383" s="1" t="s">
        <v>19</v>
      </c>
      <c r="E3383" s="1" t="s">
        <v>204</v>
      </c>
      <c r="F3383" s="1" t="s">
        <v>37</v>
      </c>
      <c r="G3383" s="1" t="s">
        <v>112</v>
      </c>
      <c r="H3383" s="1" t="s">
        <v>183</v>
      </c>
      <c r="I3383" s="1">
        <v>515.55999999999995</v>
      </c>
      <c r="J3383" s="1">
        <v>9</v>
      </c>
      <c r="K3383" s="1">
        <v>4640.04</v>
      </c>
      <c r="L3383" s="1">
        <v>10</v>
      </c>
      <c r="M3383" s="1">
        <v>464</v>
      </c>
      <c r="N3383" s="1">
        <v>4176.04</v>
      </c>
      <c r="O3383" s="1" t="s">
        <v>33</v>
      </c>
      <c r="P3383" s="1" t="s">
        <v>427</v>
      </c>
      <c r="Q3383" s="1">
        <v>4</v>
      </c>
      <c r="R3383" s="1">
        <f>Retail_Sales_Analyis[[#This Row],[Final_Price]]-Retail_Sales_Analyis[[#This Row],[Total_Price]]</f>
        <v>-464</v>
      </c>
      <c r="S33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84" spans="1:19" x14ac:dyDescent="0.25">
      <c r="A3384" s="1" t="s">
        <v>4491</v>
      </c>
      <c r="B3384" s="2">
        <v>45341</v>
      </c>
      <c r="C3384" s="1" t="s">
        <v>27</v>
      </c>
      <c r="D3384" s="1" t="s">
        <v>43</v>
      </c>
      <c r="E3384" s="1" t="s">
        <v>174</v>
      </c>
      <c r="F3384" s="1" t="s">
        <v>69</v>
      </c>
      <c r="G3384" s="1" t="s">
        <v>31</v>
      </c>
      <c r="H3384" s="1" t="s">
        <v>250</v>
      </c>
      <c r="I3384" s="1">
        <v>489.27</v>
      </c>
      <c r="J3384" s="1">
        <v>3</v>
      </c>
      <c r="K3384" s="1">
        <v>1467.81</v>
      </c>
      <c r="L3384" s="1">
        <v>5</v>
      </c>
      <c r="M3384" s="1">
        <v>73.39</v>
      </c>
      <c r="N3384" s="1">
        <v>1394.42</v>
      </c>
      <c r="O3384" s="1" t="s">
        <v>46</v>
      </c>
      <c r="P3384" s="1" t="s">
        <v>137</v>
      </c>
      <c r="Q3384" s="1">
        <v>3</v>
      </c>
      <c r="R3384" s="1">
        <f>Retail_Sales_Analyis[[#This Row],[Final_Price]]-Retail_Sales_Analyis[[#This Row],[Total_Price]]</f>
        <v>-73.389999999999873</v>
      </c>
      <c r="S33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85" spans="1:19" x14ac:dyDescent="0.25">
      <c r="A3385" s="1" t="s">
        <v>4492</v>
      </c>
      <c r="B3385" s="2">
        <v>45516</v>
      </c>
      <c r="C3385" s="1" t="s">
        <v>93</v>
      </c>
      <c r="D3385" s="1" t="s">
        <v>43</v>
      </c>
      <c r="E3385" s="1" t="s">
        <v>83</v>
      </c>
      <c r="F3385" s="1" t="s">
        <v>69</v>
      </c>
      <c r="G3385" s="1" t="s">
        <v>57</v>
      </c>
      <c r="H3385" s="1" t="s">
        <v>58</v>
      </c>
      <c r="I3385" s="1">
        <v>1639.47</v>
      </c>
      <c r="J3385" s="1">
        <v>10</v>
      </c>
      <c r="K3385" s="1">
        <v>16394.7</v>
      </c>
      <c r="L3385" s="1">
        <v>0</v>
      </c>
      <c r="M3385" s="1">
        <v>0</v>
      </c>
      <c r="N3385" s="1">
        <v>16394.7</v>
      </c>
      <c r="O3385" s="1" t="s">
        <v>46</v>
      </c>
      <c r="P3385" s="1" t="s">
        <v>4493</v>
      </c>
      <c r="Q3385" s="1">
        <v>1</v>
      </c>
      <c r="R3385" s="1">
        <f>Retail_Sales_Analyis[[#This Row],[Final_Price]]-Retail_Sales_Analyis[[#This Row],[Total_Price]]</f>
        <v>0</v>
      </c>
      <c r="S33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6" spans="1:19" x14ac:dyDescent="0.25">
      <c r="A3386" s="1" t="s">
        <v>4494</v>
      </c>
      <c r="B3386" s="2">
        <v>45648</v>
      </c>
      <c r="C3386" s="1" t="s">
        <v>73</v>
      </c>
      <c r="D3386" s="1" t="s">
        <v>49</v>
      </c>
      <c r="E3386" s="1" t="s">
        <v>261</v>
      </c>
      <c r="F3386" s="1" t="s">
        <v>30</v>
      </c>
      <c r="G3386" s="1" t="s">
        <v>112</v>
      </c>
      <c r="H3386" s="1" t="s">
        <v>183</v>
      </c>
      <c r="I3386" s="1">
        <v>1506.34</v>
      </c>
      <c r="J3386" s="1">
        <v>10</v>
      </c>
      <c r="K3386" s="1">
        <v>15063.4</v>
      </c>
      <c r="L3386" s="1">
        <v>0</v>
      </c>
      <c r="M3386" s="1">
        <v>0</v>
      </c>
      <c r="N3386" s="1">
        <v>15063.4</v>
      </c>
      <c r="O3386" s="1" t="s">
        <v>33</v>
      </c>
      <c r="P3386" s="1" t="s">
        <v>3323</v>
      </c>
      <c r="Q3386" s="1">
        <v>1</v>
      </c>
      <c r="R3386" s="1">
        <f>Retail_Sales_Analyis[[#This Row],[Final_Price]]-Retail_Sales_Analyis[[#This Row],[Total_Price]]</f>
        <v>0</v>
      </c>
      <c r="S33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7" spans="1:19" x14ac:dyDescent="0.25">
      <c r="A3387" s="1" t="s">
        <v>4495</v>
      </c>
      <c r="B3387" s="2">
        <v>45523</v>
      </c>
      <c r="C3387" s="1" t="s">
        <v>93</v>
      </c>
      <c r="D3387" s="1" t="s">
        <v>43</v>
      </c>
      <c r="E3387" s="1" t="s">
        <v>97</v>
      </c>
      <c r="F3387" s="1" t="s">
        <v>30</v>
      </c>
      <c r="G3387" s="1" t="s">
        <v>78</v>
      </c>
      <c r="H3387" s="1" t="s">
        <v>126</v>
      </c>
      <c r="I3387" s="1">
        <v>198.35</v>
      </c>
      <c r="J3387" s="1">
        <v>5</v>
      </c>
      <c r="K3387" s="1">
        <v>991.75</v>
      </c>
      <c r="L3387" s="1">
        <v>0</v>
      </c>
      <c r="M3387" s="1">
        <v>0</v>
      </c>
      <c r="N3387" s="1">
        <v>991.75</v>
      </c>
      <c r="O3387" s="1" t="s">
        <v>33</v>
      </c>
      <c r="P3387" s="1" t="s">
        <v>1661</v>
      </c>
      <c r="Q3387" s="1">
        <v>2</v>
      </c>
      <c r="R3387" s="1">
        <f>Retail_Sales_Analyis[[#This Row],[Final_Price]]-Retail_Sales_Analyis[[#This Row],[Total_Price]]</f>
        <v>0</v>
      </c>
      <c r="S33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88" spans="1:19" x14ac:dyDescent="0.25">
      <c r="A3388" s="1" t="s">
        <v>4496</v>
      </c>
      <c r="B3388" s="2">
        <v>45455</v>
      </c>
      <c r="C3388" s="1" t="s">
        <v>173</v>
      </c>
      <c r="D3388" s="1" t="s">
        <v>55</v>
      </c>
      <c r="E3388" s="1" t="s">
        <v>141</v>
      </c>
      <c r="F3388" s="1" t="s">
        <v>69</v>
      </c>
      <c r="G3388" s="1" t="s">
        <v>22</v>
      </c>
      <c r="H3388" s="1" t="s">
        <v>187</v>
      </c>
      <c r="I3388" s="1">
        <v>868.31</v>
      </c>
      <c r="J3388" s="1">
        <v>5</v>
      </c>
      <c r="K3388" s="1">
        <v>4341.55</v>
      </c>
      <c r="L3388" s="1">
        <v>5</v>
      </c>
      <c r="M3388" s="1">
        <v>217.08</v>
      </c>
      <c r="N3388" s="1">
        <v>4124.47</v>
      </c>
      <c r="O3388" s="1" t="s">
        <v>64</v>
      </c>
      <c r="P3388" s="1" t="s">
        <v>770</v>
      </c>
      <c r="Q3388" s="1">
        <v>2</v>
      </c>
      <c r="R3388" s="1">
        <f>Retail_Sales_Analyis[[#This Row],[Final_Price]]-Retail_Sales_Analyis[[#This Row],[Total_Price]]</f>
        <v>-217.07999999999993</v>
      </c>
      <c r="S338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89" spans="1:19" x14ac:dyDescent="0.25">
      <c r="A3389" s="1" t="s">
        <v>4497</v>
      </c>
      <c r="B3389" s="2">
        <v>45326</v>
      </c>
      <c r="C3389" s="1" t="s">
        <v>27</v>
      </c>
      <c r="D3389" s="1" t="s">
        <v>49</v>
      </c>
      <c r="E3389" s="1" t="s">
        <v>302</v>
      </c>
      <c r="F3389" s="1" t="s">
        <v>30</v>
      </c>
      <c r="G3389" s="1" t="s">
        <v>112</v>
      </c>
      <c r="H3389" s="1" t="s">
        <v>118</v>
      </c>
      <c r="I3389" s="1">
        <v>696.15</v>
      </c>
      <c r="J3389" s="1">
        <v>10</v>
      </c>
      <c r="K3389" s="1">
        <v>6961.5</v>
      </c>
      <c r="L3389" s="1">
        <v>0</v>
      </c>
      <c r="M3389" s="1">
        <v>0</v>
      </c>
      <c r="N3389" s="1">
        <v>6961.5</v>
      </c>
      <c r="O3389" s="1" t="s">
        <v>46</v>
      </c>
      <c r="P3389" s="1" t="s">
        <v>149</v>
      </c>
      <c r="Q3389" s="1">
        <v>4</v>
      </c>
      <c r="R3389" s="1">
        <f>Retail_Sales_Analyis[[#This Row],[Final_Price]]-Retail_Sales_Analyis[[#This Row],[Total_Price]]</f>
        <v>0</v>
      </c>
      <c r="S33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90" spans="1:19" x14ac:dyDescent="0.25">
      <c r="A3390" s="1" t="s">
        <v>4498</v>
      </c>
      <c r="B3390" s="2">
        <v>45445</v>
      </c>
      <c r="C3390" s="1" t="s">
        <v>173</v>
      </c>
      <c r="D3390" s="1" t="s">
        <v>49</v>
      </c>
      <c r="E3390" s="1" t="s">
        <v>312</v>
      </c>
      <c r="F3390" s="1" t="s">
        <v>37</v>
      </c>
      <c r="G3390" s="1" t="s">
        <v>169</v>
      </c>
      <c r="H3390" s="1" t="s">
        <v>170</v>
      </c>
      <c r="I3390" s="1">
        <v>529.66</v>
      </c>
      <c r="J3390" s="1">
        <v>9</v>
      </c>
      <c r="K3390" s="1">
        <v>4766.9399999999996</v>
      </c>
      <c r="L3390" s="1">
        <v>20</v>
      </c>
      <c r="M3390" s="1">
        <v>953.39</v>
      </c>
      <c r="N3390" s="1">
        <v>3813.55</v>
      </c>
      <c r="O3390" s="1" t="s">
        <v>46</v>
      </c>
      <c r="P3390" s="1" t="s">
        <v>641</v>
      </c>
      <c r="Q3390" s="1">
        <v>4</v>
      </c>
      <c r="R3390" s="1">
        <f>Retail_Sales_Analyis[[#This Row],[Final_Price]]-Retail_Sales_Analyis[[#This Row],[Total_Price]]</f>
        <v>-953.38999999999942</v>
      </c>
      <c r="S339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391" spans="1:19" x14ac:dyDescent="0.25">
      <c r="A3391" s="1" t="s">
        <v>4499</v>
      </c>
      <c r="B3391" s="2">
        <v>45314</v>
      </c>
      <c r="C3391" s="1" t="s">
        <v>36</v>
      </c>
      <c r="D3391" s="1" t="s">
        <v>28</v>
      </c>
      <c r="E3391" s="1" t="s">
        <v>207</v>
      </c>
      <c r="F3391" s="1" t="s">
        <v>84</v>
      </c>
      <c r="G3391" s="1" t="s">
        <v>57</v>
      </c>
      <c r="H3391" s="1" t="s">
        <v>58</v>
      </c>
      <c r="I3391" s="1">
        <v>965.63</v>
      </c>
      <c r="J3391" s="1">
        <v>5</v>
      </c>
      <c r="K3391" s="1">
        <v>4828.1499999999996</v>
      </c>
      <c r="L3391" s="1">
        <v>0</v>
      </c>
      <c r="M3391" s="1">
        <v>0</v>
      </c>
      <c r="N3391" s="1">
        <v>4828.1499999999996</v>
      </c>
      <c r="O3391" s="1" t="s">
        <v>24</v>
      </c>
      <c r="P3391" s="1" t="s">
        <v>1735</v>
      </c>
      <c r="Q3391" s="1">
        <v>5</v>
      </c>
      <c r="R3391" s="1">
        <f>Retail_Sales_Analyis[[#This Row],[Final_Price]]-Retail_Sales_Analyis[[#This Row],[Total_Price]]</f>
        <v>0</v>
      </c>
      <c r="S33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392" spans="1:19" x14ac:dyDescent="0.25">
      <c r="A3392" s="1" t="s">
        <v>4500</v>
      </c>
      <c r="B3392" s="2">
        <v>45655</v>
      </c>
      <c r="C3392" s="1" t="s">
        <v>73</v>
      </c>
      <c r="D3392" s="1" t="s">
        <v>49</v>
      </c>
      <c r="E3392" s="1" t="s">
        <v>107</v>
      </c>
      <c r="F3392" s="1" t="s">
        <v>21</v>
      </c>
      <c r="G3392" s="1" t="s">
        <v>57</v>
      </c>
      <c r="H3392" s="1" t="s">
        <v>122</v>
      </c>
      <c r="I3392" s="1">
        <v>313.62</v>
      </c>
      <c r="J3392" s="1">
        <v>3</v>
      </c>
      <c r="K3392" s="1">
        <v>940.86</v>
      </c>
      <c r="L3392" s="1">
        <v>15</v>
      </c>
      <c r="M3392" s="1">
        <v>141.13</v>
      </c>
      <c r="N3392" s="1">
        <v>799.73</v>
      </c>
      <c r="O3392" s="1" t="s">
        <v>46</v>
      </c>
      <c r="P3392" s="1" t="s">
        <v>1345</v>
      </c>
      <c r="Q3392" s="1">
        <v>1</v>
      </c>
      <c r="R3392" s="1">
        <f>Retail_Sales_Analyis[[#This Row],[Final_Price]]-Retail_Sales_Analyis[[#This Row],[Total_Price]]</f>
        <v>-141.13</v>
      </c>
      <c r="S33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93" spans="1:19" x14ac:dyDescent="0.25">
      <c r="A3393" s="1" t="s">
        <v>4501</v>
      </c>
      <c r="B3393" s="2">
        <v>45350</v>
      </c>
      <c r="C3393" s="1" t="s">
        <v>27</v>
      </c>
      <c r="D3393" s="1" t="s">
        <v>55</v>
      </c>
      <c r="E3393" s="1" t="s">
        <v>125</v>
      </c>
      <c r="F3393" s="1" t="s">
        <v>30</v>
      </c>
      <c r="G3393" s="1" t="s">
        <v>22</v>
      </c>
      <c r="H3393" s="1" t="s">
        <v>277</v>
      </c>
      <c r="I3393" s="1">
        <v>514.63</v>
      </c>
      <c r="J3393" s="1">
        <v>10</v>
      </c>
      <c r="K3393" s="1">
        <v>5146.3</v>
      </c>
      <c r="L3393" s="1">
        <v>15</v>
      </c>
      <c r="M3393" s="1">
        <v>771.95</v>
      </c>
      <c r="N3393" s="1">
        <v>4374.3500000000004</v>
      </c>
      <c r="O3393" s="1" t="s">
        <v>64</v>
      </c>
      <c r="P3393" s="1" t="s">
        <v>2821</v>
      </c>
      <c r="Q3393" s="1">
        <v>3</v>
      </c>
      <c r="R3393" s="1">
        <f>Retail_Sales_Analyis[[#This Row],[Final_Price]]-Retail_Sales_Analyis[[#This Row],[Total_Price]]</f>
        <v>-771.94999999999982</v>
      </c>
      <c r="S33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94" spans="1:19" x14ac:dyDescent="0.25">
      <c r="A3394" s="1" t="s">
        <v>4502</v>
      </c>
      <c r="B3394" s="2">
        <v>45303</v>
      </c>
      <c r="C3394" s="1" t="s">
        <v>36</v>
      </c>
      <c r="D3394" s="1" t="s">
        <v>144</v>
      </c>
      <c r="E3394" s="1" t="s">
        <v>322</v>
      </c>
      <c r="F3394" s="1" t="s">
        <v>21</v>
      </c>
      <c r="G3394" s="1" t="s">
        <v>57</v>
      </c>
      <c r="H3394" s="1" t="s">
        <v>158</v>
      </c>
      <c r="I3394" s="1">
        <v>903.18</v>
      </c>
      <c r="J3394" s="1">
        <v>7</v>
      </c>
      <c r="K3394" s="1">
        <v>6322.26</v>
      </c>
      <c r="L3394" s="1">
        <v>10</v>
      </c>
      <c r="M3394" s="1">
        <v>632.23</v>
      </c>
      <c r="N3394" s="1">
        <v>5690.03</v>
      </c>
      <c r="O3394" s="1" t="s">
        <v>46</v>
      </c>
      <c r="P3394" s="1" t="s">
        <v>752</v>
      </c>
      <c r="Q3394" s="1">
        <v>2</v>
      </c>
      <c r="R3394" s="1">
        <f>Retail_Sales_Analyis[[#This Row],[Final_Price]]-Retail_Sales_Analyis[[#This Row],[Total_Price]]</f>
        <v>-632.23000000000047</v>
      </c>
      <c r="S33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95" spans="1:19" x14ac:dyDescent="0.25">
      <c r="A3395" s="1" t="s">
        <v>4503</v>
      </c>
      <c r="B3395" s="2">
        <v>45467</v>
      </c>
      <c r="C3395" s="1" t="s">
        <v>173</v>
      </c>
      <c r="D3395" s="1" t="s">
        <v>43</v>
      </c>
      <c r="E3395" s="1" t="s">
        <v>157</v>
      </c>
      <c r="F3395" s="1" t="s">
        <v>84</v>
      </c>
      <c r="G3395" s="1" t="s">
        <v>169</v>
      </c>
      <c r="H3395" s="1" t="s">
        <v>175</v>
      </c>
      <c r="I3395" s="1">
        <v>766.65</v>
      </c>
      <c r="J3395" s="1">
        <v>4</v>
      </c>
      <c r="K3395" s="1">
        <v>3066.6</v>
      </c>
      <c r="L3395" s="1">
        <v>10</v>
      </c>
      <c r="M3395" s="1">
        <v>306.66000000000003</v>
      </c>
      <c r="N3395" s="1">
        <v>2759.94</v>
      </c>
      <c r="O3395" s="1" t="s">
        <v>33</v>
      </c>
      <c r="P3395" s="1" t="s">
        <v>447</v>
      </c>
      <c r="Q3395" s="1">
        <v>1</v>
      </c>
      <c r="R3395" s="1">
        <f>Retail_Sales_Analyis[[#This Row],[Final_Price]]-Retail_Sales_Analyis[[#This Row],[Total_Price]]</f>
        <v>-306.65999999999985</v>
      </c>
      <c r="S33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396" spans="1:19" x14ac:dyDescent="0.25">
      <c r="A3396" s="1" t="s">
        <v>4504</v>
      </c>
      <c r="B3396" s="2">
        <v>45623</v>
      </c>
      <c r="C3396" s="1" t="s">
        <v>18</v>
      </c>
      <c r="D3396" s="1" t="s">
        <v>55</v>
      </c>
      <c r="E3396" s="1" t="s">
        <v>121</v>
      </c>
      <c r="F3396" s="1" t="s">
        <v>69</v>
      </c>
      <c r="G3396" s="1" t="s">
        <v>112</v>
      </c>
      <c r="H3396" s="1" t="s">
        <v>113</v>
      </c>
      <c r="I3396" s="1">
        <v>995.18</v>
      </c>
      <c r="J3396" s="1">
        <v>5</v>
      </c>
      <c r="K3396" s="1">
        <v>4975.8999999999996</v>
      </c>
      <c r="L3396" s="1">
        <v>5</v>
      </c>
      <c r="M3396" s="1">
        <v>248.79</v>
      </c>
      <c r="N3396" s="1">
        <v>4727.1099999999997</v>
      </c>
      <c r="O3396" s="1" t="s">
        <v>80</v>
      </c>
      <c r="P3396" s="1" t="s">
        <v>389</v>
      </c>
      <c r="Q3396" s="1">
        <v>3</v>
      </c>
      <c r="R3396" s="1">
        <f>Retail_Sales_Analyis[[#This Row],[Final_Price]]-Retail_Sales_Analyis[[#This Row],[Total_Price]]</f>
        <v>-248.78999999999996</v>
      </c>
      <c r="S33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97" spans="1:19" x14ac:dyDescent="0.25">
      <c r="A3397" s="1" t="s">
        <v>4505</v>
      </c>
      <c r="B3397" s="2">
        <v>45347</v>
      </c>
      <c r="C3397" s="1" t="s">
        <v>27</v>
      </c>
      <c r="D3397" s="1" t="s">
        <v>49</v>
      </c>
      <c r="E3397" s="1" t="s">
        <v>312</v>
      </c>
      <c r="F3397" s="1" t="s">
        <v>30</v>
      </c>
      <c r="G3397" s="1" t="s">
        <v>38</v>
      </c>
      <c r="H3397" s="1" t="s">
        <v>70</v>
      </c>
      <c r="I3397" s="1">
        <v>661.67</v>
      </c>
      <c r="J3397" s="1">
        <v>4</v>
      </c>
      <c r="K3397" s="1">
        <v>2646.68</v>
      </c>
      <c r="L3397" s="1">
        <v>5</v>
      </c>
      <c r="M3397" s="1">
        <v>132.33000000000001</v>
      </c>
      <c r="N3397" s="1">
        <v>2514.35</v>
      </c>
      <c r="O3397" s="1" t="s">
        <v>33</v>
      </c>
      <c r="P3397" s="1" t="s">
        <v>40</v>
      </c>
      <c r="Q3397" s="1">
        <v>3</v>
      </c>
      <c r="R3397" s="1">
        <f>Retail_Sales_Analyis[[#This Row],[Final_Price]]-Retail_Sales_Analyis[[#This Row],[Total_Price]]</f>
        <v>-132.32999999999993</v>
      </c>
      <c r="S339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98" spans="1:19" x14ac:dyDescent="0.25">
      <c r="A3398" s="1" t="s">
        <v>4506</v>
      </c>
      <c r="B3398" s="2">
        <v>45638</v>
      </c>
      <c r="C3398" s="1" t="s">
        <v>73</v>
      </c>
      <c r="D3398" s="1" t="s">
        <v>67</v>
      </c>
      <c r="E3398" s="1" t="s">
        <v>129</v>
      </c>
      <c r="F3398" s="1" t="s">
        <v>37</v>
      </c>
      <c r="G3398" s="1" t="s">
        <v>22</v>
      </c>
      <c r="H3398" s="1" t="s">
        <v>187</v>
      </c>
      <c r="I3398" s="1">
        <v>298.02</v>
      </c>
      <c r="J3398" s="1">
        <v>2</v>
      </c>
      <c r="K3398" s="1">
        <v>596.04</v>
      </c>
      <c r="L3398" s="1">
        <v>5</v>
      </c>
      <c r="M3398" s="1">
        <v>29.8</v>
      </c>
      <c r="N3398" s="1">
        <v>566.24</v>
      </c>
      <c r="O3398" s="1" t="s">
        <v>24</v>
      </c>
      <c r="P3398" s="1" t="s">
        <v>2204</v>
      </c>
      <c r="Q3398" s="1">
        <v>2</v>
      </c>
      <c r="R3398" s="1">
        <f>Retail_Sales_Analyis[[#This Row],[Final_Price]]-Retail_Sales_Analyis[[#This Row],[Total_Price]]</f>
        <v>-29.799999999999955</v>
      </c>
      <c r="S33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399" spans="1:19" x14ac:dyDescent="0.25">
      <c r="A3399" s="1" t="s">
        <v>4507</v>
      </c>
      <c r="B3399" s="2">
        <v>45376</v>
      </c>
      <c r="C3399" s="1" t="s">
        <v>61</v>
      </c>
      <c r="D3399" s="1" t="s">
        <v>43</v>
      </c>
      <c r="E3399" s="1" t="s">
        <v>168</v>
      </c>
      <c r="F3399" s="1" t="s">
        <v>30</v>
      </c>
      <c r="G3399" s="1" t="s">
        <v>78</v>
      </c>
      <c r="H3399" s="1" t="s">
        <v>79</v>
      </c>
      <c r="I3399" s="1">
        <v>593.26</v>
      </c>
      <c r="J3399" s="1">
        <v>4</v>
      </c>
      <c r="K3399" s="1">
        <v>2373.04</v>
      </c>
      <c r="L3399" s="1">
        <v>15</v>
      </c>
      <c r="M3399" s="1">
        <v>355.96</v>
      </c>
      <c r="N3399" s="1">
        <v>2017.08</v>
      </c>
      <c r="O3399" s="1" t="s">
        <v>80</v>
      </c>
      <c r="P3399" s="1" t="s">
        <v>988</v>
      </c>
      <c r="Q3399" s="1">
        <v>4</v>
      </c>
      <c r="R3399" s="1">
        <f>Retail_Sales_Analyis[[#This Row],[Final_Price]]-Retail_Sales_Analyis[[#This Row],[Total_Price]]</f>
        <v>-355.96000000000004</v>
      </c>
      <c r="S33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00" spans="1:19" x14ac:dyDescent="0.25">
      <c r="A3400" s="1" t="s">
        <v>4508</v>
      </c>
      <c r="B3400" s="2">
        <v>45416</v>
      </c>
      <c r="C3400" s="1" t="s">
        <v>42</v>
      </c>
      <c r="D3400" s="1" t="s">
        <v>19</v>
      </c>
      <c r="E3400" s="1" t="s">
        <v>342</v>
      </c>
      <c r="F3400" s="1" t="s">
        <v>30</v>
      </c>
      <c r="G3400" s="1" t="s">
        <v>22</v>
      </c>
      <c r="H3400" s="1" t="s">
        <v>187</v>
      </c>
      <c r="I3400" s="1">
        <v>768.77</v>
      </c>
      <c r="J3400" s="1">
        <v>2</v>
      </c>
      <c r="K3400" s="1">
        <v>1537.54</v>
      </c>
      <c r="L3400" s="1">
        <v>15</v>
      </c>
      <c r="M3400" s="1">
        <v>230.63</v>
      </c>
      <c r="N3400" s="1">
        <v>1306.9100000000001</v>
      </c>
      <c r="O3400" s="1" t="s">
        <v>80</v>
      </c>
      <c r="P3400" s="1" t="s">
        <v>1405</v>
      </c>
      <c r="Q3400" s="1">
        <v>1</v>
      </c>
      <c r="R3400" s="1">
        <f>Retail_Sales_Analyis[[#This Row],[Final_Price]]-Retail_Sales_Analyis[[#This Row],[Total_Price]]</f>
        <v>-230.62999999999988</v>
      </c>
      <c r="S34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01" spans="1:19" x14ac:dyDescent="0.25">
      <c r="A3401" s="1" t="s">
        <v>4509</v>
      </c>
      <c r="B3401" s="2">
        <v>45556</v>
      </c>
      <c r="C3401" s="1" t="s">
        <v>116</v>
      </c>
      <c r="D3401" s="1" t="s">
        <v>19</v>
      </c>
      <c r="E3401" s="1" t="s">
        <v>141</v>
      </c>
      <c r="F3401" s="1" t="s">
        <v>69</v>
      </c>
      <c r="G3401" s="1" t="s">
        <v>78</v>
      </c>
      <c r="H3401" s="1" t="s">
        <v>126</v>
      </c>
      <c r="I3401" s="1">
        <v>420.98</v>
      </c>
      <c r="J3401" s="1">
        <v>4</v>
      </c>
      <c r="K3401" s="1">
        <v>1683.92</v>
      </c>
      <c r="L3401" s="1">
        <v>0</v>
      </c>
      <c r="M3401" s="1">
        <v>0</v>
      </c>
      <c r="N3401" s="1">
        <v>1683.92</v>
      </c>
      <c r="O3401" s="1" t="s">
        <v>46</v>
      </c>
      <c r="P3401" s="1" t="s">
        <v>1647</v>
      </c>
      <c r="Q3401" s="1">
        <v>2</v>
      </c>
      <c r="R3401" s="1">
        <f>Retail_Sales_Analyis[[#This Row],[Final_Price]]-Retail_Sales_Analyis[[#This Row],[Total_Price]]</f>
        <v>0</v>
      </c>
      <c r="S34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02" spans="1:19" x14ac:dyDescent="0.25">
      <c r="A3402" s="1" t="s">
        <v>4510</v>
      </c>
      <c r="B3402" s="2">
        <v>45381</v>
      </c>
      <c r="C3402" s="1" t="s">
        <v>61</v>
      </c>
      <c r="D3402" s="1" t="s">
        <v>19</v>
      </c>
      <c r="E3402" s="1" t="s">
        <v>117</v>
      </c>
      <c r="F3402" s="1" t="s">
        <v>37</v>
      </c>
      <c r="G3402" s="1" t="s">
        <v>22</v>
      </c>
      <c r="H3402" s="1" t="s">
        <v>133</v>
      </c>
      <c r="I3402" s="1">
        <v>280.33</v>
      </c>
      <c r="J3402" s="1">
        <v>4</v>
      </c>
      <c r="K3402" s="1">
        <v>1121.32</v>
      </c>
      <c r="L3402" s="1">
        <v>10</v>
      </c>
      <c r="M3402" s="1">
        <v>112.13</v>
      </c>
      <c r="N3402" s="1">
        <v>1009.19</v>
      </c>
      <c r="O3402" s="1" t="s">
        <v>46</v>
      </c>
      <c r="P3402" s="1" t="s">
        <v>352</v>
      </c>
      <c r="Q3402" s="1">
        <v>3</v>
      </c>
      <c r="R3402" s="1">
        <f>Retail_Sales_Analyis[[#This Row],[Final_Price]]-Retail_Sales_Analyis[[#This Row],[Total_Price]]</f>
        <v>-112.12999999999988</v>
      </c>
      <c r="S34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03" spans="1:19" x14ac:dyDescent="0.25">
      <c r="A3403" s="1" t="s">
        <v>4511</v>
      </c>
      <c r="B3403" s="2">
        <v>45574</v>
      </c>
      <c r="C3403" s="1" t="s">
        <v>76</v>
      </c>
      <c r="D3403" s="1" t="s">
        <v>55</v>
      </c>
      <c r="E3403" s="1" t="s">
        <v>542</v>
      </c>
      <c r="F3403" s="1" t="s">
        <v>37</v>
      </c>
      <c r="G3403" s="1" t="s">
        <v>112</v>
      </c>
      <c r="H3403" s="1" t="s">
        <v>113</v>
      </c>
      <c r="I3403" s="1">
        <v>1379.18</v>
      </c>
      <c r="J3403" s="1">
        <v>8</v>
      </c>
      <c r="K3403" s="1">
        <v>11033.44</v>
      </c>
      <c r="L3403" s="1">
        <v>0</v>
      </c>
      <c r="M3403" s="1">
        <v>0</v>
      </c>
      <c r="N3403" s="1">
        <v>11033.44</v>
      </c>
      <c r="O3403" s="1" t="s">
        <v>80</v>
      </c>
      <c r="P3403" s="1" t="s">
        <v>4512</v>
      </c>
      <c r="Q3403" s="1">
        <v>1</v>
      </c>
      <c r="R3403" s="1">
        <f>Retail_Sales_Analyis[[#This Row],[Final_Price]]-Retail_Sales_Analyis[[#This Row],[Total_Price]]</f>
        <v>0</v>
      </c>
      <c r="S34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04" spans="1:19" x14ac:dyDescent="0.25">
      <c r="A3404" s="1" t="s">
        <v>4513</v>
      </c>
      <c r="B3404" s="2">
        <v>45373</v>
      </c>
      <c r="C3404" s="1" t="s">
        <v>61</v>
      </c>
      <c r="D3404" s="1" t="s">
        <v>144</v>
      </c>
      <c r="E3404" s="1" t="s">
        <v>307</v>
      </c>
      <c r="F3404" s="1" t="s">
        <v>84</v>
      </c>
      <c r="G3404" s="1" t="s">
        <v>85</v>
      </c>
      <c r="H3404" s="1" t="s">
        <v>180</v>
      </c>
      <c r="I3404" s="1">
        <v>4242.59</v>
      </c>
      <c r="J3404" s="1">
        <v>8</v>
      </c>
      <c r="K3404" s="1">
        <v>33940.720000000001</v>
      </c>
      <c r="L3404" s="1">
        <v>0</v>
      </c>
      <c r="M3404" s="1">
        <v>0</v>
      </c>
      <c r="N3404" s="1">
        <v>33940.720000000001</v>
      </c>
      <c r="O3404" s="1" t="s">
        <v>80</v>
      </c>
      <c r="P3404" s="1" t="s">
        <v>1824</v>
      </c>
      <c r="Q3404" s="1">
        <v>1</v>
      </c>
      <c r="R3404" s="1">
        <f>Retail_Sales_Analyis[[#This Row],[Final_Price]]-Retail_Sales_Analyis[[#This Row],[Total_Price]]</f>
        <v>0</v>
      </c>
      <c r="S34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05" spans="1:19" x14ac:dyDescent="0.25">
      <c r="A3405" s="1" t="s">
        <v>4514</v>
      </c>
      <c r="B3405" s="2">
        <v>45461</v>
      </c>
      <c r="C3405" s="1" t="s">
        <v>173</v>
      </c>
      <c r="D3405" s="1" t="s">
        <v>28</v>
      </c>
      <c r="E3405" s="1" t="s">
        <v>186</v>
      </c>
      <c r="F3405" s="1" t="s">
        <v>69</v>
      </c>
      <c r="G3405" s="1" t="s">
        <v>22</v>
      </c>
      <c r="H3405" s="1" t="s">
        <v>133</v>
      </c>
      <c r="I3405" s="1">
        <v>678.19</v>
      </c>
      <c r="J3405" s="1">
        <v>10</v>
      </c>
      <c r="K3405" s="1">
        <v>6781.9</v>
      </c>
      <c r="L3405" s="1">
        <v>10</v>
      </c>
      <c r="M3405" s="1">
        <v>678.19</v>
      </c>
      <c r="N3405" s="1">
        <v>6103.71</v>
      </c>
      <c r="O3405" s="1" t="s">
        <v>80</v>
      </c>
      <c r="P3405" s="1" t="s">
        <v>3234</v>
      </c>
      <c r="Q3405" s="1">
        <v>1</v>
      </c>
      <c r="R3405" s="1">
        <f>Retail_Sales_Analyis[[#This Row],[Final_Price]]-Retail_Sales_Analyis[[#This Row],[Total_Price]]</f>
        <v>-678.1899999999996</v>
      </c>
      <c r="S34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06" spans="1:19" x14ac:dyDescent="0.25">
      <c r="A3406" s="1" t="s">
        <v>4515</v>
      </c>
      <c r="B3406" s="2">
        <v>45578</v>
      </c>
      <c r="C3406" s="1" t="s">
        <v>76</v>
      </c>
      <c r="D3406" s="1" t="s">
        <v>49</v>
      </c>
      <c r="E3406" s="1" t="s">
        <v>104</v>
      </c>
      <c r="F3406" s="1" t="s">
        <v>84</v>
      </c>
      <c r="G3406" s="1" t="s">
        <v>78</v>
      </c>
      <c r="H3406" s="1" t="s">
        <v>79</v>
      </c>
      <c r="I3406" s="1">
        <v>544.69000000000005</v>
      </c>
      <c r="J3406" s="1">
        <v>6</v>
      </c>
      <c r="K3406" s="1">
        <v>3268.14</v>
      </c>
      <c r="L3406" s="1">
        <v>0</v>
      </c>
      <c r="M3406" s="1">
        <v>0</v>
      </c>
      <c r="N3406" s="1">
        <v>3268.14</v>
      </c>
      <c r="O3406" s="1" t="s">
        <v>80</v>
      </c>
      <c r="P3406" s="1" t="s">
        <v>431</v>
      </c>
      <c r="Q3406" s="1">
        <v>1</v>
      </c>
      <c r="R3406" s="1">
        <f>Retail_Sales_Analyis[[#This Row],[Final_Price]]-Retail_Sales_Analyis[[#This Row],[Total_Price]]</f>
        <v>0</v>
      </c>
      <c r="S34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07" spans="1:19" x14ac:dyDescent="0.25">
      <c r="A3407" s="1" t="s">
        <v>4516</v>
      </c>
      <c r="B3407" s="2">
        <v>45510</v>
      </c>
      <c r="C3407" s="1" t="s">
        <v>93</v>
      </c>
      <c r="D3407" s="1" t="s">
        <v>28</v>
      </c>
      <c r="E3407" s="1" t="s">
        <v>83</v>
      </c>
      <c r="F3407" s="1" t="s">
        <v>37</v>
      </c>
      <c r="G3407" s="1" t="s">
        <v>22</v>
      </c>
      <c r="H3407" s="1" t="s">
        <v>187</v>
      </c>
      <c r="I3407" s="1">
        <v>550.41999999999996</v>
      </c>
      <c r="J3407" s="1">
        <v>9</v>
      </c>
      <c r="K3407" s="1">
        <v>4953.78</v>
      </c>
      <c r="L3407" s="1">
        <v>5</v>
      </c>
      <c r="M3407" s="1">
        <v>247.69</v>
      </c>
      <c r="N3407" s="1">
        <v>4706.09</v>
      </c>
      <c r="O3407" s="1" t="s">
        <v>33</v>
      </c>
      <c r="P3407" s="1" t="s">
        <v>2934</v>
      </c>
      <c r="Q3407" s="1">
        <v>1</v>
      </c>
      <c r="R3407" s="1">
        <f>Retail_Sales_Analyis[[#This Row],[Final_Price]]-Retail_Sales_Analyis[[#This Row],[Total_Price]]</f>
        <v>-247.6899999999996</v>
      </c>
      <c r="S34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08" spans="1:19" x14ac:dyDescent="0.25">
      <c r="A3408" s="1" t="s">
        <v>4517</v>
      </c>
      <c r="B3408" s="2">
        <v>45528</v>
      </c>
      <c r="C3408" s="1" t="s">
        <v>93</v>
      </c>
      <c r="D3408" s="1" t="s">
        <v>19</v>
      </c>
      <c r="E3408" s="1" t="s">
        <v>174</v>
      </c>
      <c r="F3408" s="1" t="s">
        <v>84</v>
      </c>
      <c r="G3408" s="1" t="s">
        <v>112</v>
      </c>
      <c r="H3408" s="1" t="s">
        <v>118</v>
      </c>
      <c r="I3408" s="1">
        <v>1415.48</v>
      </c>
      <c r="J3408" s="1">
        <v>3</v>
      </c>
      <c r="K3408" s="1">
        <v>4246.4399999999996</v>
      </c>
      <c r="L3408" s="1">
        <v>10</v>
      </c>
      <c r="M3408" s="1">
        <v>424.64</v>
      </c>
      <c r="N3408" s="1">
        <v>3821.8</v>
      </c>
      <c r="O3408" s="1" t="s">
        <v>64</v>
      </c>
      <c r="P3408" s="1" t="s">
        <v>2579</v>
      </c>
      <c r="Q3408" s="1">
        <v>2</v>
      </c>
      <c r="R3408" s="1">
        <f>Retail_Sales_Analyis[[#This Row],[Final_Price]]-Retail_Sales_Analyis[[#This Row],[Total_Price]]</f>
        <v>-424.63999999999942</v>
      </c>
      <c r="S34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09" spans="1:19" x14ac:dyDescent="0.25">
      <c r="A3409" s="1" t="s">
        <v>4518</v>
      </c>
      <c r="B3409" s="2">
        <v>45410</v>
      </c>
      <c r="C3409" s="1" t="s">
        <v>54</v>
      </c>
      <c r="D3409" s="1" t="s">
        <v>49</v>
      </c>
      <c r="E3409" s="1" t="s">
        <v>107</v>
      </c>
      <c r="F3409" s="1" t="s">
        <v>84</v>
      </c>
      <c r="G3409" s="1" t="s">
        <v>78</v>
      </c>
      <c r="H3409" s="1" t="s">
        <v>79</v>
      </c>
      <c r="I3409" s="1">
        <v>370.68</v>
      </c>
      <c r="J3409" s="1">
        <v>2</v>
      </c>
      <c r="K3409" s="1">
        <v>741.36</v>
      </c>
      <c r="L3409" s="1">
        <v>10</v>
      </c>
      <c r="M3409" s="1">
        <v>74.14</v>
      </c>
      <c r="N3409" s="1">
        <v>667.22</v>
      </c>
      <c r="O3409" s="1" t="s">
        <v>33</v>
      </c>
      <c r="P3409" s="1" t="s">
        <v>667</v>
      </c>
      <c r="Q3409" s="1">
        <v>1</v>
      </c>
      <c r="R3409" s="1">
        <f>Retail_Sales_Analyis[[#This Row],[Final_Price]]-Retail_Sales_Analyis[[#This Row],[Total_Price]]</f>
        <v>-74.139999999999986</v>
      </c>
      <c r="S34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10" spans="1:19" x14ac:dyDescent="0.25">
      <c r="A3410" s="1" t="s">
        <v>4519</v>
      </c>
      <c r="B3410" s="2">
        <v>45499</v>
      </c>
      <c r="C3410" s="1" t="s">
        <v>195</v>
      </c>
      <c r="D3410" s="1" t="s">
        <v>144</v>
      </c>
      <c r="E3410" s="1" t="s">
        <v>236</v>
      </c>
      <c r="F3410" s="1" t="s">
        <v>21</v>
      </c>
      <c r="G3410" s="1" t="s">
        <v>57</v>
      </c>
      <c r="H3410" s="1" t="s">
        <v>101</v>
      </c>
      <c r="I3410" s="1">
        <v>407.83</v>
      </c>
      <c r="J3410" s="1">
        <v>4</v>
      </c>
      <c r="K3410" s="1">
        <v>1631.32</v>
      </c>
      <c r="L3410" s="1">
        <v>0</v>
      </c>
      <c r="M3410" s="1">
        <v>0</v>
      </c>
      <c r="N3410" s="1">
        <v>1631.32</v>
      </c>
      <c r="O3410" s="1" t="s">
        <v>80</v>
      </c>
      <c r="P3410" s="1" t="s">
        <v>745</v>
      </c>
      <c r="Q3410" s="1">
        <v>3</v>
      </c>
      <c r="R3410" s="1">
        <f>Retail_Sales_Analyis[[#This Row],[Final_Price]]-Retail_Sales_Analyis[[#This Row],[Total_Price]]</f>
        <v>0</v>
      </c>
      <c r="S34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11" spans="1:19" x14ac:dyDescent="0.25">
      <c r="A3411" s="1" t="s">
        <v>4520</v>
      </c>
      <c r="B3411" s="2">
        <v>45614</v>
      </c>
      <c r="C3411" s="1" t="s">
        <v>18</v>
      </c>
      <c r="D3411" s="1" t="s">
        <v>43</v>
      </c>
      <c r="E3411" s="1" t="s">
        <v>44</v>
      </c>
      <c r="F3411" s="1" t="s">
        <v>30</v>
      </c>
      <c r="G3411" s="1" t="s">
        <v>38</v>
      </c>
      <c r="H3411" s="1" t="s">
        <v>39</v>
      </c>
      <c r="I3411" s="1">
        <v>566.01</v>
      </c>
      <c r="J3411" s="1">
        <v>4</v>
      </c>
      <c r="K3411" s="1">
        <v>2264.04</v>
      </c>
      <c r="L3411" s="1">
        <v>5</v>
      </c>
      <c r="M3411" s="1">
        <v>113.2</v>
      </c>
      <c r="N3411" s="1">
        <v>2150.84</v>
      </c>
      <c r="O3411" s="1" t="s">
        <v>24</v>
      </c>
      <c r="P3411" s="1" t="s">
        <v>805</v>
      </c>
      <c r="Q3411" s="1">
        <v>4</v>
      </c>
      <c r="R3411" s="1">
        <f>Retail_Sales_Analyis[[#This Row],[Final_Price]]-Retail_Sales_Analyis[[#This Row],[Total_Price]]</f>
        <v>-113.19999999999982</v>
      </c>
      <c r="S34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12" spans="1:19" x14ac:dyDescent="0.25">
      <c r="A3412" s="1" t="s">
        <v>4521</v>
      </c>
      <c r="B3412" s="2">
        <v>45386</v>
      </c>
      <c r="C3412" s="1" t="s">
        <v>54</v>
      </c>
      <c r="D3412" s="1" t="s">
        <v>67</v>
      </c>
      <c r="E3412" s="1" t="s">
        <v>121</v>
      </c>
      <c r="F3412" s="1" t="s">
        <v>69</v>
      </c>
      <c r="G3412" s="1" t="s">
        <v>78</v>
      </c>
      <c r="H3412" s="1" t="s">
        <v>136</v>
      </c>
      <c r="I3412" s="1">
        <v>219.52</v>
      </c>
      <c r="J3412" s="1">
        <v>8</v>
      </c>
      <c r="K3412" s="1">
        <v>1756.16</v>
      </c>
      <c r="L3412" s="1">
        <v>0</v>
      </c>
      <c r="M3412" s="1">
        <v>0</v>
      </c>
      <c r="N3412" s="1">
        <v>1756.16</v>
      </c>
      <c r="O3412" s="1" t="s">
        <v>80</v>
      </c>
      <c r="P3412" s="1" t="s">
        <v>2454</v>
      </c>
      <c r="Q3412" s="1">
        <v>1</v>
      </c>
      <c r="R3412" s="1">
        <f>Retail_Sales_Analyis[[#This Row],[Final_Price]]-Retail_Sales_Analyis[[#This Row],[Total_Price]]</f>
        <v>0</v>
      </c>
      <c r="S34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13" spans="1:19" x14ac:dyDescent="0.25">
      <c r="A3413" s="1" t="s">
        <v>4522</v>
      </c>
      <c r="B3413" s="2">
        <v>45387</v>
      </c>
      <c r="C3413" s="1" t="s">
        <v>54</v>
      </c>
      <c r="D3413" s="1" t="s">
        <v>144</v>
      </c>
      <c r="E3413" s="1" t="s">
        <v>111</v>
      </c>
      <c r="F3413" s="1" t="s">
        <v>69</v>
      </c>
      <c r="G3413" s="1" t="s">
        <v>169</v>
      </c>
      <c r="H3413" s="1" t="s">
        <v>366</v>
      </c>
      <c r="I3413" s="1">
        <v>1386.14</v>
      </c>
      <c r="J3413" s="1">
        <v>3</v>
      </c>
      <c r="K3413" s="1">
        <v>4158.42</v>
      </c>
      <c r="L3413" s="1">
        <v>15</v>
      </c>
      <c r="M3413" s="1">
        <v>623.76</v>
      </c>
      <c r="N3413" s="1">
        <v>3534.66</v>
      </c>
      <c r="O3413" s="1" t="s">
        <v>24</v>
      </c>
      <c r="P3413" s="1" t="s">
        <v>659</v>
      </c>
      <c r="Q3413" s="1">
        <v>2</v>
      </c>
      <c r="R3413" s="1">
        <f>Retail_Sales_Analyis[[#This Row],[Final_Price]]-Retail_Sales_Analyis[[#This Row],[Total_Price]]</f>
        <v>-623.76000000000022</v>
      </c>
      <c r="S34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14" spans="1:19" x14ac:dyDescent="0.25">
      <c r="A3414" s="1" t="s">
        <v>4523</v>
      </c>
      <c r="B3414" s="2">
        <v>45619</v>
      </c>
      <c r="C3414" s="1" t="s">
        <v>18</v>
      </c>
      <c r="D3414" s="1" t="s">
        <v>19</v>
      </c>
      <c r="E3414" s="1" t="s">
        <v>322</v>
      </c>
      <c r="F3414" s="1" t="s">
        <v>37</v>
      </c>
      <c r="G3414" s="1" t="s">
        <v>78</v>
      </c>
      <c r="H3414" s="1" t="s">
        <v>79</v>
      </c>
      <c r="I3414" s="1">
        <v>343.2</v>
      </c>
      <c r="J3414" s="1">
        <v>8</v>
      </c>
      <c r="K3414" s="1">
        <v>2745.6</v>
      </c>
      <c r="L3414" s="1">
        <v>15</v>
      </c>
      <c r="M3414" s="1">
        <v>411.84</v>
      </c>
      <c r="N3414" s="1">
        <v>2333.7600000000002</v>
      </c>
      <c r="O3414" s="1" t="s">
        <v>24</v>
      </c>
      <c r="P3414" s="1" t="s">
        <v>1495</v>
      </c>
      <c r="Q3414" s="1">
        <v>2</v>
      </c>
      <c r="R3414" s="1">
        <f>Retail_Sales_Analyis[[#This Row],[Final_Price]]-Retail_Sales_Analyis[[#This Row],[Total_Price]]</f>
        <v>-411.83999999999969</v>
      </c>
      <c r="S34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15" spans="1:19" x14ac:dyDescent="0.25">
      <c r="A3415" s="1" t="s">
        <v>4524</v>
      </c>
      <c r="B3415" s="2">
        <v>45628</v>
      </c>
      <c r="C3415" s="1" t="s">
        <v>73</v>
      </c>
      <c r="D3415" s="1" t="s">
        <v>43</v>
      </c>
      <c r="E3415" s="1" t="s">
        <v>104</v>
      </c>
      <c r="F3415" s="1" t="s">
        <v>21</v>
      </c>
      <c r="G3415" s="1" t="s">
        <v>22</v>
      </c>
      <c r="H3415" s="1" t="s">
        <v>133</v>
      </c>
      <c r="I3415" s="1">
        <v>865.17</v>
      </c>
      <c r="J3415" s="1">
        <v>2</v>
      </c>
      <c r="K3415" s="1">
        <v>1730.34</v>
      </c>
      <c r="L3415" s="1">
        <v>10</v>
      </c>
      <c r="M3415" s="1">
        <v>173.03</v>
      </c>
      <c r="N3415" s="1">
        <v>1557.31</v>
      </c>
      <c r="O3415" s="1" t="s">
        <v>24</v>
      </c>
      <c r="P3415" s="1" t="s">
        <v>1264</v>
      </c>
      <c r="Q3415" s="1">
        <v>1</v>
      </c>
      <c r="R3415" s="1">
        <f>Retail_Sales_Analyis[[#This Row],[Final_Price]]-Retail_Sales_Analyis[[#This Row],[Total_Price]]</f>
        <v>-173.02999999999997</v>
      </c>
      <c r="S34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16" spans="1:19" x14ac:dyDescent="0.25">
      <c r="A3416" s="1" t="s">
        <v>4525</v>
      </c>
      <c r="B3416" s="2">
        <v>45513</v>
      </c>
      <c r="C3416" s="1" t="s">
        <v>93</v>
      </c>
      <c r="D3416" s="1" t="s">
        <v>144</v>
      </c>
      <c r="E3416" s="1" t="s">
        <v>166</v>
      </c>
      <c r="F3416" s="1" t="s">
        <v>30</v>
      </c>
      <c r="G3416" s="1" t="s">
        <v>57</v>
      </c>
      <c r="H3416" s="1" t="s">
        <v>122</v>
      </c>
      <c r="I3416" s="1">
        <v>2562.52</v>
      </c>
      <c r="J3416" s="1">
        <v>4</v>
      </c>
      <c r="K3416" s="1">
        <v>10250.08</v>
      </c>
      <c r="L3416" s="1">
        <v>0</v>
      </c>
      <c r="M3416" s="1">
        <v>0</v>
      </c>
      <c r="N3416" s="1">
        <v>10250.08</v>
      </c>
      <c r="O3416" s="1" t="s">
        <v>24</v>
      </c>
      <c r="P3416" s="1" t="s">
        <v>3359</v>
      </c>
      <c r="Q3416" s="1">
        <v>2</v>
      </c>
      <c r="R3416" s="1">
        <f>Retail_Sales_Analyis[[#This Row],[Final_Price]]-Retail_Sales_Analyis[[#This Row],[Total_Price]]</f>
        <v>0</v>
      </c>
      <c r="S34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17" spans="1:19" x14ac:dyDescent="0.25">
      <c r="A3417" s="1" t="s">
        <v>4526</v>
      </c>
      <c r="B3417" s="2">
        <v>45494</v>
      </c>
      <c r="C3417" s="1" t="s">
        <v>195</v>
      </c>
      <c r="D3417" s="1" t="s">
        <v>49</v>
      </c>
      <c r="E3417" s="1" t="s">
        <v>125</v>
      </c>
      <c r="F3417" s="1" t="s">
        <v>37</v>
      </c>
      <c r="G3417" s="1" t="s">
        <v>31</v>
      </c>
      <c r="H3417" s="1" t="s">
        <v>45</v>
      </c>
      <c r="I3417" s="1">
        <v>374.29</v>
      </c>
      <c r="J3417" s="1">
        <v>3</v>
      </c>
      <c r="K3417" s="1">
        <v>1122.8699999999999</v>
      </c>
      <c r="L3417" s="1">
        <v>0</v>
      </c>
      <c r="M3417" s="1">
        <v>0</v>
      </c>
      <c r="N3417" s="1">
        <v>1122.8699999999999</v>
      </c>
      <c r="O3417" s="1" t="s">
        <v>33</v>
      </c>
      <c r="P3417" s="1" t="s">
        <v>2564</v>
      </c>
      <c r="Q3417" s="1">
        <v>2</v>
      </c>
      <c r="R3417" s="1">
        <f>Retail_Sales_Analyis[[#This Row],[Final_Price]]-Retail_Sales_Analyis[[#This Row],[Total_Price]]</f>
        <v>0</v>
      </c>
      <c r="S34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18" spans="1:19" x14ac:dyDescent="0.25">
      <c r="A3418" s="1" t="s">
        <v>4527</v>
      </c>
      <c r="B3418" s="2">
        <v>45306</v>
      </c>
      <c r="C3418" s="1" t="s">
        <v>36</v>
      </c>
      <c r="D3418" s="1" t="s">
        <v>43</v>
      </c>
      <c r="E3418" s="1" t="s">
        <v>542</v>
      </c>
      <c r="F3418" s="1" t="s">
        <v>37</v>
      </c>
      <c r="G3418" s="1" t="s">
        <v>38</v>
      </c>
      <c r="H3418" s="1" t="s">
        <v>422</v>
      </c>
      <c r="I3418" s="1">
        <v>520.02</v>
      </c>
      <c r="J3418" s="1">
        <v>9</v>
      </c>
      <c r="K3418" s="1">
        <v>4680.18</v>
      </c>
      <c r="L3418" s="1">
        <v>15</v>
      </c>
      <c r="M3418" s="1">
        <v>702.03</v>
      </c>
      <c r="N3418" s="1">
        <v>3978.15</v>
      </c>
      <c r="O3418" s="1" t="s">
        <v>80</v>
      </c>
      <c r="P3418" s="1" t="s">
        <v>221</v>
      </c>
      <c r="Q3418" s="1">
        <v>5</v>
      </c>
      <c r="R3418" s="1">
        <f>Retail_Sales_Analyis[[#This Row],[Final_Price]]-Retail_Sales_Analyis[[#This Row],[Total_Price]]</f>
        <v>-702.0300000000002</v>
      </c>
      <c r="S34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19" spans="1:19" x14ac:dyDescent="0.25">
      <c r="A3419" s="1" t="s">
        <v>4528</v>
      </c>
      <c r="B3419" s="2">
        <v>45606</v>
      </c>
      <c r="C3419" s="1" t="s">
        <v>18</v>
      </c>
      <c r="D3419" s="1" t="s">
        <v>49</v>
      </c>
      <c r="E3419" s="1" t="s">
        <v>94</v>
      </c>
      <c r="F3419" s="1" t="s">
        <v>30</v>
      </c>
      <c r="G3419" s="1" t="s">
        <v>22</v>
      </c>
      <c r="H3419" s="1" t="s">
        <v>133</v>
      </c>
      <c r="I3419" s="1">
        <v>656.58</v>
      </c>
      <c r="J3419" s="1">
        <v>7</v>
      </c>
      <c r="K3419" s="1">
        <v>4596.0600000000004</v>
      </c>
      <c r="L3419" s="1">
        <v>20</v>
      </c>
      <c r="M3419" s="1">
        <v>919.21</v>
      </c>
      <c r="N3419" s="1">
        <v>3676.85</v>
      </c>
      <c r="O3419" s="1" t="s">
        <v>80</v>
      </c>
      <c r="P3419" s="1" t="s">
        <v>1948</v>
      </c>
      <c r="Q3419" s="1">
        <v>1</v>
      </c>
      <c r="R3419" s="1">
        <f>Retail_Sales_Analyis[[#This Row],[Final_Price]]-Retail_Sales_Analyis[[#This Row],[Total_Price]]</f>
        <v>-919.21000000000049</v>
      </c>
      <c r="S34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20" spans="1:19" x14ac:dyDescent="0.25">
      <c r="A3420" s="1" t="s">
        <v>4529</v>
      </c>
      <c r="B3420" s="2">
        <v>45393</v>
      </c>
      <c r="C3420" s="1" t="s">
        <v>54</v>
      </c>
      <c r="D3420" s="1" t="s">
        <v>67</v>
      </c>
      <c r="E3420" s="1" t="s">
        <v>302</v>
      </c>
      <c r="F3420" s="1" t="s">
        <v>37</v>
      </c>
      <c r="G3420" s="1" t="s">
        <v>78</v>
      </c>
      <c r="H3420" s="1" t="s">
        <v>146</v>
      </c>
      <c r="I3420" s="1">
        <v>190.07</v>
      </c>
      <c r="J3420" s="1">
        <v>3</v>
      </c>
      <c r="K3420" s="1">
        <v>570.21</v>
      </c>
      <c r="L3420" s="1">
        <v>20</v>
      </c>
      <c r="M3420" s="1">
        <v>114.04</v>
      </c>
      <c r="N3420" s="1">
        <v>456.17</v>
      </c>
      <c r="O3420" s="1" t="s">
        <v>24</v>
      </c>
      <c r="P3420" s="1" t="s">
        <v>1664</v>
      </c>
      <c r="Q3420" s="1">
        <v>2</v>
      </c>
      <c r="R3420" s="1">
        <f>Retail_Sales_Analyis[[#This Row],[Final_Price]]-Retail_Sales_Analyis[[#This Row],[Total_Price]]</f>
        <v>-114.04000000000002</v>
      </c>
      <c r="S34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21" spans="1:19" x14ac:dyDescent="0.25">
      <c r="A3421" s="1" t="s">
        <v>4530</v>
      </c>
      <c r="B3421" s="2">
        <v>45522</v>
      </c>
      <c r="C3421" s="1" t="s">
        <v>93</v>
      </c>
      <c r="D3421" s="1" t="s">
        <v>49</v>
      </c>
      <c r="E3421" s="1" t="s">
        <v>151</v>
      </c>
      <c r="F3421" s="1" t="s">
        <v>30</v>
      </c>
      <c r="G3421" s="1" t="s">
        <v>169</v>
      </c>
      <c r="H3421" s="1" t="s">
        <v>348</v>
      </c>
      <c r="I3421" s="1">
        <v>1243.23</v>
      </c>
      <c r="J3421" s="1">
        <v>2</v>
      </c>
      <c r="K3421" s="1">
        <v>2486.46</v>
      </c>
      <c r="L3421" s="1">
        <v>15</v>
      </c>
      <c r="M3421" s="1">
        <v>372.97</v>
      </c>
      <c r="N3421" s="1">
        <v>2113.4899999999998</v>
      </c>
      <c r="O3421" s="1" t="s">
        <v>80</v>
      </c>
      <c r="P3421" s="1" t="s">
        <v>427</v>
      </c>
      <c r="Q3421" s="1">
        <v>1</v>
      </c>
      <c r="R3421" s="1">
        <f>Retail_Sales_Analyis[[#This Row],[Final_Price]]-Retail_Sales_Analyis[[#This Row],[Total_Price]]</f>
        <v>-372.97000000000025</v>
      </c>
      <c r="S34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22" spans="1:19" x14ac:dyDescent="0.25">
      <c r="A3422" s="1" t="s">
        <v>4531</v>
      </c>
      <c r="B3422" s="2">
        <v>45595</v>
      </c>
      <c r="C3422" s="1" t="s">
        <v>76</v>
      </c>
      <c r="D3422" s="1" t="s">
        <v>55</v>
      </c>
      <c r="E3422" s="1" t="s">
        <v>542</v>
      </c>
      <c r="F3422" s="1" t="s">
        <v>30</v>
      </c>
      <c r="G3422" s="1" t="s">
        <v>22</v>
      </c>
      <c r="H3422" s="1" t="s">
        <v>133</v>
      </c>
      <c r="I3422" s="1">
        <v>901.15</v>
      </c>
      <c r="J3422" s="1">
        <v>2</v>
      </c>
      <c r="K3422" s="1">
        <v>1802.3</v>
      </c>
      <c r="L3422" s="1">
        <v>15</v>
      </c>
      <c r="M3422" s="1">
        <v>270.33999999999997</v>
      </c>
      <c r="N3422" s="1">
        <v>1531.96</v>
      </c>
      <c r="O3422" s="1" t="s">
        <v>80</v>
      </c>
      <c r="P3422" s="1" t="s">
        <v>4370</v>
      </c>
      <c r="Q3422" s="1">
        <v>4</v>
      </c>
      <c r="R3422" s="1">
        <f>Retail_Sales_Analyis[[#This Row],[Final_Price]]-Retail_Sales_Analyis[[#This Row],[Total_Price]]</f>
        <v>-270.33999999999992</v>
      </c>
      <c r="S34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23" spans="1:19" x14ac:dyDescent="0.25">
      <c r="A3423" s="1" t="s">
        <v>4532</v>
      </c>
      <c r="B3423" s="2">
        <v>45511</v>
      </c>
      <c r="C3423" s="1" t="s">
        <v>93</v>
      </c>
      <c r="D3423" s="1" t="s">
        <v>55</v>
      </c>
      <c r="E3423" s="1" t="s">
        <v>411</v>
      </c>
      <c r="F3423" s="1" t="s">
        <v>37</v>
      </c>
      <c r="G3423" s="1" t="s">
        <v>57</v>
      </c>
      <c r="H3423" s="1" t="s">
        <v>158</v>
      </c>
      <c r="I3423" s="1">
        <v>1389.59</v>
      </c>
      <c r="J3423" s="1">
        <v>6</v>
      </c>
      <c r="K3423" s="1">
        <v>8337.5400000000009</v>
      </c>
      <c r="L3423" s="1">
        <v>0</v>
      </c>
      <c r="M3423" s="1">
        <v>0</v>
      </c>
      <c r="N3423" s="1">
        <v>8337.5400000000009</v>
      </c>
      <c r="O3423" s="1" t="s">
        <v>46</v>
      </c>
      <c r="P3423" s="1" t="s">
        <v>752</v>
      </c>
      <c r="Q3423" s="1">
        <v>5</v>
      </c>
      <c r="R3423" s="1">
        <f>Retail_Sales_Analyis[[#This Row],[Final_Price]]-Retail_Sales_Analyis[[#This Row],[Total_Price]]</f>
        <v>0</v>
      </c>
      <c r="S34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24" spans="1:19" x14ac:dyDescent="0.25">
      <c r="A3424" s="1" t="s">
        <v>4533</v>
      </c>
      <c r="B3424" s="2">
        <v>45491</v>
      </c>
      <c r="C3424" s="1" t="s">
        <v>195</v>
      </c>
      <c r="D3424" s="1" t="s">
        <v>67</v>
      </c>
      <c r="E3424" s="1" t="s">
        <v>261</v>
      </c>
      <c r="F3424" s="1" t="s">
        <v>21</v>
      </c>
      <c r="G3424" s="1" t="s">
        <v>22</v>
      </c>
      <c r="H3424" s="1" t="s">
        <v>133</v>
      </c>
      <c r="I3424" s="1">
        <v>672.5</v>
      </c>
      <c r="J3424" s="1">
        <v>6</v>
      </c>
      <c r="K3424" s="1">
        <v>4035</v>
      </c>
      <c r="L3424" s="1">
        <v>20</v>
      </c>
      <c r="M3424" s="1">
        <v>807</v>
      </c>
      <c r="N3424" s="1">
        <v>3228</v>
      </c>
      <c r="O3424" s="1" t="s">
        <v>80</v>
      </c>
      <c r="P3424" s="1" t="s">
        <v>2882</v>
      </c>
      <c r="Q3424" s="1">
        <v>1</v>
      </c>
      <c r="R3424" s="1">
        <f>Retail_Sales_Analyis[[#This Row],[Final_Price]]-Retail_Sales_Analyis[[#This Row],[Total_Price]]</f>
        <v>-807</v>
      </c>
      <c r="S342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25" spans="1:19" x14ac:dyDescent="0.25">
      <c r="A3425" s="1" t="s">
        <v>4534</v>
      </c>
      <c r="B3425" s="2">
        <v>45294</v>
      </c>
      <c r="C3425" s="1" t="s">
        <v>36</v>
      </c>
      <c r="D3425" s="1" t="s">
        <v>55</v>
      </c>
      <c r="E3425" s="1" t="s">
        <v>285</v>
      </c>
      <c r="F3425" s="1" t="s">
        <v>84</v>
      </c>
      <c r="G3425" s="1" t="s">
        <v>31</v>
      </c>
      <c r="H3425" s="1" t="s">
        <v>63</v>
      </c>
      <c r="I3425" s="1">
        <v>203.22</v>
      </c>
      <c r="J3425" s="1">
        <v>7</v>
      </c>
      <c r="K3425" s="1">
        <v>1422.54</v>
      </c>
      <c r="L3425" s="1">
        <v>10</v>
      </c>
      <c r="M3425" s="1">
        <v>142.25</v>
      </c>
      <c r="N3425" s="1">
        <v>1280.29</v>
      </c>
      <c r="O3425" s="1" t="s">
        <v>80</v>
      </c>
      <c r="P3425" s="1" t="s">
        <v>1464</v>
      </c>
      <c r="Q3425" s="1">
        <v>2</v>
      </c>
      <c r="R3425" s="1">
        <f>Retail_Sales_Analyis[[#This Row],[Final_Price]]-Retail_Sales_Analyis[[#This Row],[Total_Price]]</f>
        <v>-142.25</v>
      </c>
      <c r="S34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26" spans="1:19" x14ac:dyDescent="0.25">
      <c r="A3426" s="1" t="s">
        <v>4535</v>
      </c>
      <c r="B3426" s="2">
        <v>45652</v>
      </c>
      <c r="C3426" s="1" t="s">
        <v>73</v>
      </c>
      <c r="D3426" s="1" t="s">
        <v>67</v>
      </c>
      <c r="E3426" s="1" t="s">
        <v>199</v>
      </c>
      <c r="F3426" s="1" t="s">
        <v>37</v>
      </c>
      <c r="G3426" s="1" t="s">
        <v>78</v>
      </c>
      <c r="H3426" s="1" t="s">
        <v>126</v>
      </c>
      <c r="I3426" s="1">
        <v>444.24</v>
      </c>
      <c r="J3426" s="1">
        <v>8</v>
      </c>
      <c r="K3426" s="1">
        <v>3553.92</v>
      </c>
      <c r="L3426" s="1">
        <v>0</v>
      </c>
      <c r="M3426" s="1">
        <v>0</v>
      </c>
      <c r="N3426" s="1">
        <v>3553.92</v>
      </c>
      <c r="O3426" s="1" t="s">
        <v>64</v>
      </c>
      <c r="P3426" s="1" t="s">
        <v>455</v>
      </c>
      <c r="Q3426" s="1">
        <v>5</v>
      </c>
      <c r="R3426" s="1">
        <f>Retail_Sales_Analyis[[#This Row],[Final_Price]]-Retail_Sales_Analyis[[#This Row],[Total_Price]]</f>
        <v>0</v>
      </c>
      <c r="S34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27" spans="1:19" x14ac:dyDescent="0.25">
      <c r="A3427" s="1" t="s">
        <v>4536</v>
      </c>
      <c r="B3427" s="2">
        <v>45401</v>
      </c>
      <c r="C3427" s="1" t="s">
        <v>54</v>
      </c>
      <c r="D3427" s="1" t="s">
        <v>144</v>
      </c>
      <c r="E3427" s="1" t="s">
        <v>20</v>
      </c>
      <c r="F3427" s="1" t="s">
        <v>69</v>
      </c>
      <c r="G3427" s="1" t="s">
        <v>85</v>
      </c>
      <c r="H3427" s="1" t="s">
        <v>90</v>
      </c>
      <c r="I3427" s="1">
        <v>3631.7</v>
      </c>
      <c r="J3427" s="1">
        <v>5</v>
      </c>
      <c r="K3427" s="1">
        <v>18158.5</v>
      </c>
      <c r="L3427" s="1">
        <v>10</v>
      </c>
      <c r="M3427" s="1">
        <v>1815.85</v>
      </c>
      <c r="N3427" s="1">
        <v>16342.65</v>
      </c>
      <c r="O3427" s="1" t="s">
        <v>46</v>
      </c>
      <c r="P3427" s="1" t="s">
        <v>3670</v>
      </c>
      <c r="Q3427" s="1">
        <v>4</v>
      </c>
      <c r="R3427" s="1">
        <f>Retail_Sales_Analyis[[#This Row],[Final_Price]]-Retail_Sales_Analyis[[#This Row],[Total_Price]]</f>
        <v>-1815.8500000000004</v>
      </c>
      <c r="S34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28" spans="1:19" x14ac:dyDescent="0.25">
      <c r="A3428" s="1" t="s">
        <v>4537</v>
      </c>
      <c r="B3428" s="2">
        <v>45397</v>
      </c>
      <c r="C3428" s="1" t="s">
        <v>54</v>
      </c>
      <c r="D3428" s="1" t="s">
        <v>43</v>
      </c>
      <c r="E3428" s="1" t="s">
        <v>56</v>
      </c>
      <c r="F3428" s="1" t="s">
        <v>69</v>
      </c>
      <c r="G3428" s="1" t="s">
        <v>22</v>
      </c>
      <c r="H3428" s="1" t="s">
        <v>23</v>
      </c>
      <c r="I3428" s="1">
        <v>452.96</v>
      </c>
      <c r="J3428" s="1">
        <v>4</v>
      </c>
      <c r="K3428" s="1">
        <v>1811.84</v>
      </c>
      <c r="L3428" s="1">
        <v>15</v>
      </c>
      <c r="M3428" s="1">
        <v>271.77999999999997</v>
      </c>
      <c r="N3428" s="1">
        <v>1540.06</v>
      </c>
      <c r="O3428" s="1" t="s">
        <v>80</v>
      </c>
      <c r="P3428" s="1" t="s">
        <v>1022</v>
      </c>
      <c r="Q3428" s="1">
        <v>3</v>
      </c>
      <c r="R3428" s="1">
        <f>Retail_Sales_Analyis[[#This Row],[Final_Price]]-Retail_Sales_Analyis[[#This Row],[Total_Price]]</f>
        <v>-271.77999999999997</v>
      </c>
      <c r="S34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29" spans="1:19" x14ac:dyDescent="0.25">
      <c r="A3429" s="1" t="s">
        <v>4538</v>
      </c>
      <c r="B3429" s="2">
        <v>45434</v>
      </c>
      <c r="C3429" s="1" t="s">
        <v>42</v>
      </c>
      <c r="D3429" s="1" t="s">
        <v>55</v>
      </c>
      <c r="E3429" s="1" t="s">
        <v>342</v>
      </c>
      <c r="F3429" s="1" t="s">
        <v>37</v>
      </c>
      <c r="G3429" s="1" t="s">
        <v>22</v>
      </c>
      <c r="H3429" s="1" t="s">
        <v>187</v>
      </c>
      <c r="I3429" s="1">
        <v>268.45999999999998</v>
      </c>
      <c r="J3429" s="1">
        <v>10</v>
      </c>
      <c r="K3429" s="1">
        <v>2684.6</v>
      </c>
      <c r="L3429" s="1">
        <v>20</v>
      </c>
      <c r="M3429" s="1">
        <v>536.91999999999996</v>
      </c>
      <c r="N3429" s="1">
        <v>2147.6799999999998</v>
      </c>
      <c r="O3429" s="1" t="s">
        <v>46</v>
      </c>
      <c r="P3429" s="1" t="s">
        <v>1407</v>
      </c>
      <c r="Q3429" s="1">
        <v>2</v>
      </c>
      <c r="R3429" s="1">
        <f>Retail_Sales_Analyis[[#This Row],[Final_Price]]-Retail_Sales_Analyis[[#This Row],[Total_Price]]</f>
        <v>-536.92000000000007</v>
      </c>
      <c r="S34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30" spans="1:19" x14ac:dyDescent="0.25">
      <c r="A3430" s="1" t="s">
        <v>4539</v>
      </c>
      <c r="B3430" s="2">
        <v>45652</v>
      </c>
      <c r="C3430" s="1" t="s">
        <v>73</v>
      </c>
      <c r="D3430" s="1" t="s">
        <v>67</v>
      </c>
      <c r="E3430" s="1" t="s">
        <v>285</v>
      </c>
      <c r="F3430" s="1" t="s">
        <v>69</v>
      </c>
      <c r="G3430" s="1" t="s">
        <v>38</v>
      </c>
      <c r="H3430" s="1" t="s">
        <v>108</v>
      </c>
      <c r="I3430" s="1">
        <v>197.29</v>
      </c>
      <c r="J3430" s="1">
        <v>7</v>
      </c>
      <c r="K3430" s="1">
        <v>1381.03</v>
      </c>
      <c r="L3430" s="1">
        <v>0</v>
      </c>
      <c r="M3430" s="1">
        <v>0</v>
      </c>
      <c r="N3430" s="1">
        <v>1381.03</v>
      </c>
      <c r="O3430" s="1" t="s">
        <v>33</v>
      </c>
      <c r="P3430" s="1" t="s">
        <v>52</v>
      </c>
      <c r="Q3430" s="1">
        <v>3</v>
      </c>
      <c r="R3430" s="1">
        <f>Retail_Sales_Analyis[[#This Row],[Final_Price]]-Retail_Sales_Analyis[[#This Row],[Total_Price]]</f>
        <v>0</v>
      </c>
      <c r="S34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31" spans="1:19" x14ac:dyDescent="0.25">
      <c r="A3431" s="1" t="s">
        <v>4540</v>
      </c>
      <c r="B3431" s="2">
        <v>45324</v>
      </c>
      <c r="C3431" s="1" t="s">
        <v>27</v>
      </c>
      <c r="D3431" s="1" t="s">
        <v>144</v>
      </c>
      <c r="E3431" s="1" t="s">
        <v>89</v>
      </c>
      <c r="F3431" s="1" t="s">
        <v>69</v>
      </c>
      <c r="G3431" s="1" t="s">
        <v>78</v>
      </c>
      <c r="H3431" s="1" t="s">
        <v>126</v>
      </c>
      <c r="I3431" s="1">
        <v>557.99</v>
      </c>
      <c r="J3431" s="1">
        <v>3</v>
      </c>
      <c r="K3431" s="1">
        <v>1673.97</v>
      </c>
      <c r="L3431" s="1">
        <v>20</v>
      </c>
      <c r="M3431" s="1">
        <v>334.79</v>
      </c>
      <c r="N3431" s="1">
        <v>1339.18</v>
      </c>
      <c r="O3431" s="1" t="s">
        <v>33</v>
      </c>
      <c r="P3431" s="1" t="s">
        <v>298</v>
      </c>
      <c r="Q3431" s="1">
        <v>2</v>
      </c>
      <c r="R3431" s="1">
        <f>Retail_Sales_Analyis[[#This Row],[Final_Price]]-Retail_Sales_Analyis[[#This Row],[Total_Price]]</f>
        <v>-334.78999999999996</v>
      </c>
      <c r="S343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32" spans="1:19" x14ac:dyDescent="0.25">
      <c r="A3432" s="1" t="s">
        <v>4541</v>
      </c>
      <c r="B3432" s="2">
        <v>45587</v>
      </c>
      <c r="C3432" s="1" t="s">
        <v>76</v>
      </c>
      <c r="D3432" s="1" t="s">
        <v>28</v>
      </c>
      <c r="E3432" s="1" t="s">
        <v>207</v>
      </c>
      <c r="F3432" s="1" t="s">
        <v>69</v>
      </c>
      <c r="G3432" s="1" t="s">
        <v>22</v>
      </c>
      <c r="H3432" s="1" t="s">
        <v>133</v>
      </c>
      <c r="I3432" s="1">
        <v>296.77</v>
      </c>
      <c r="J3432" s="1">
        <v>7</v>
      </c>
      <c r="K3432" s="1">
        <v>2077.39</v>
      </c>
      <c r="L3432" s="1">
        <v>5</v>
      </c>
      <c r="M3432" s="1">
        <v>103.87</v>
      </c>
      <c r="N3432" s="1">
        <v>1973.52</v>
      </c>
      <c r="O3432" s="1" t="s">
        <v>64</v>
      </c>
      <c r="P3432" s="1" t="s">
        <v>1362</v>
      </c>
      <c r="Q3432" s="1">
        <v>5</v>
      </c>
      <c r="R3432" s="1">
        <f>Retail_Sales_Analyis[[#This Row],[Final_Price]]-Retail_Sales_Analyis[[#This Row],[Total_Price]]</f>
        <v>-103.86999999999989</v>
      </c>
      <c r="S34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33" spans="1:19" x14ac:dyDescent="0.25">
      <c r="A3433" s="1" t="s">
        <v>4542</v>
      </c>
      <c r="B3433" s="2">
        <v>45344</v>
      </c>
      <c r="C3433" s="1" t="s">
        <v>27</v>
      </c>
      <c r="D3433" s="1" t="s">
        <v>67</v>
      </c>
      <c r="E3433" s="1" t="s">
        <v>89</v>
      </c>
      <c r="F3433" s="1" t="s">
        <v>69</v>
      </c>
      <c r="G3433" s="1" t="s">
        <v>57</v>
      </c>
      <c r="H3433" s="1" t="s">
        <v>158</v>
      </c>
      <c r="I3433" s="1">
        <v>1870.94</v>
      </c>
      <c r="J3433" s="1">
        <v>3</v>
      </c>
      <c r="K3433" s="1">
        <v>5612.82</v>
      </c>
      <c r="L3433" s="1">
        <v>0</v>
      </c>
      <c r="M3433" s="1">
        <v>0</v>
      </c>
      <c r="N3433" s="1">
        <v>5612.82</v>
      </c>
      <c r="O3433" s="1" t="s">
        <v>33</v>
      </c>
      <c r="P3433" s="1" t="s">
        <v>584</v>
      </c>
      <c r="Q3433" s="1">
        <v>5</v>
      </c>
      <c r="R3433" s="1">
        <f>Retail_Sales_Analyis[[#This Row],[Final_Price]]-Retail_Sales_Analyis[[#This Row],[Total_Price]]</f>
        <v>0</v>
      </c>
      <c r="S34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34" spans="1:19" x14ac:dyDescent="0.25">
      <c r="A3434" s="1" t="s">
        <v>4543</v>
      </c>
      <c r="B3434" s="2">
        <v>45566</v>
      </c>
      <c r="C3434" s="1" t="s">
        <v>76</v>
      </c>
      <c r="D3434" s="1" t="s">
        <v>28</v>
      </c>
      <c r="E3434" s="1" t="s">
        <v>285</v>
      </c>
      <c r="F3434" s="1" t="s">
        <v>30</v>
      </c>
      <c r="G3434" s="1" t="s">
        <v>112</v>
      </c>
      <c r="H3434" s="1" t="s">
        <v>223</v>
      </c>
      <c r="I3434" s="1">
        <v>1093.75</v>
      </c>
      <c r="J3434" s="1">
        <v>7</v>
      </c>
      <c r="K3434" s="1">
        <v>7656.25</v>
      </c>
      <c r="L3434" s="1">
        <v>0</v>
      </c>
      <c r="M3434" s="1">
        <v>0</v>
      </c>
      <c r="N3434" s="1">
        <v>7656.25</v>
      </c>
      <c r="O3434" s="1" t="s">
        <v>33</v>
      </c>
      <c r="P3434" s="1" t="s">
        <v>1104</v>
      </c>
      <c r="Q3434" s="1">
        <v>4</v>
      </c>
      <c r="R3434" s="1">
        <f>Retail_Sales_Analyis[[#This Row],[Final_Price]]-Retail_Sales_Analyis[[#This Row],[Total_Price]]</f>
        <v>0</v>
      </c>
      <c r="S34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35" spans="1:19" x14ac:dyDescent="0.25">
      <c r="A3435" s="1" t="s">
        <v>4544</v>
      </c>
      <c r="B3435" s="2">
        <v>45387</v>
      </c>
      <c r="C3435" s="1" t="s">
        <v>54</v>
      </c>
      <c r="D3435" s="1" t="s">
        <v>144</v>
      </c>
      <c r="E3435" s="1" t="s">
        <v>97</v>
      </c>
      <c r="F3435" s="1" t="s">
        <v>21</v>
      </c>
      <c r="G3435" s="1" t="s">
        <v>85</v>
      </c>
      <c r="H3435" s="1" t="s">
        <v>297</v>
      </c>
      <c r="I3435" s="1">
        <v>4587.38</v>
      </c>
      <c r="J3435" s="1">
        <v>8</v>
      </c>
      <c r="K3435" s="1">
        <v>36699.040000000001</v>
      </c>
      <c r="L3435" s="1">
        <v>0</v>
      </c>
      <c r="M3435" s="1">
        <v>0</v>
      </c>
      <c r="N3435" s="1">
        <v>36699.040000000001</v>
      </c>
      <c r="O3435" s="1" t="s">
        <v>64</v>
      </c>
      <c r="P3435" s="1" t="s">
        <v>871</v>
      </c>
      <c r="Q3435" s="1">
        <v>1</v>
      </c>
      <c r="R3435" s="1">
        <f>Retail_Sales_Analyis[[#This Row],[Final_Price]]-Retail_Sales_Analyis[[#This Row],[Total_Price]]</f>
        <v>0</v>
      </c>
      <c r="S34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36" spans="1:19" x14ac:dyDescent="0.25">
      <c r="A3436" s="1" t="s">
        <v>4545</v>
      </c>
      <c r="B3436" s="2">
        <v>45479</v>
      </c>
      <c r="C3436" s="1" t="s">
        <v>195</v>
      </c>
      <c r="D3436" s="1" t="s">
        <v>19</v>
      </c>
      <c r="E3436" s="1" t="s">
        <v>117</v>
      </c>
      <c r="F3436" s="1" t="s">
        <v>69</v>
      </c>
      <c r="G3436" s="1" t="s">
        <v>85</v>
      </c>
      <c r="H3436" s="1" t="s">
        <v>180</v>
      </c>
      <c r="I3436" s="1">
        <v>1717.25</v>
      </c>
      <c r="J3436" s="1">
        <v>4</v>
      </c>
      <c r="K3436" s="1">
        <v>6869</v>
      </c>
      <c r="L3436" s="1">
        <v>0</v>
      </c>
      <c r="M3436" s="1">
        <v>0</v>
      </c>
      <c r="N3436" s="1">
        <v>6869</v>
      </c>
      <c r="O3436" s="1" t="s">
        <v>64</v>
      </c>
      <c r="P3436" s="1" t="s">
        <v>1244</v>
      </c>
      <c r="Q3436" s="1">
        <v>3</v>
      </c>
      <c r="R3436" s="1">
        <f>Retail_Sales_Analyis[[#This Row],[Final_Price]]-Retail_Sales_Analyis[[#This Row],[Total_Price]]</f>
        <v>0</v>
      </c>
      <c r="S34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37" spans="1:19" x14ac:dyDescent="0.25">
      <c r="A3437" s="1" t="s">
        <v>4546</v>
      </c>
      <c r="B3437" s="2">
        <v>45458</v>
      </c>
      <c r="C3437" s="1" t="s">
        <v>173</v>
      </c>
      <c r="D3437" s="1" t="s">
        <v>19</v>
      </c>
      <c r="E3437" s="1" t="s">
        <v>89</v>
      </c>
      <c r="F3437" s="1" t="s">
        <v>69</v>
      </c>
      <c r="G3437" s="1" t="s">
        <v>112</v>
      </c>
      <c r="H3437" s="1" t="s">
        <v>223</v>
      </c>
      <c r="I3437" s="1">
        <v>1281.5</v>
      </c>
      <c r="J3437" s="1">
        <v>9</v>
      </c>
      <c r="K3437" s="1">
        <v>11533.5</v>
      </c>
      <c r="L3437" s="1">
        <v>20</v>
      </c>
      <c r="M3437" s="1">
        <v>2306.6999999999998</v>
      </c>
      <c r="N3437" s="1">
        <v>9226.7999999999993</v>
      </c>
      <c r="O3437" s="1" t="s">
        <v>80</v>
      </c>
      <c r="P3437" s="1" t="s">
        <v>2423</v>
      </c>
      <c r="Q3437" s="1">
        <v>3</v>
      </c>
      <c r="R3437" s="1">
        <f>Retail_Sales_Analyis[[#This Row],[Final_Price]]-Retail_Sales_Analyis[[#This Row],[Total_Price]]</f>
        <v>-2306.7000000000007</v>
      </c>
      <c r="S34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38" spans="1:19" x14ac:dyDescent="0.25">
      <c r="A3438" s="1" t="s">
        <v>4547</v>
      </c>
      <c r="B3438" s="2">
        <v>45392</v>
      </c>
      <c r="C3438" s="1" t="s">
        <v>54</v>
      </c>
      <c r="D3438" s="1" t="s">
        <v>55</v>
      </c>
      <c r="E3438" s="1" t="s">
        <v>77</v>
      </c>
      <c r="F3438" s="1" t="s">
        <v>21</v>
      </c>
      <c r="G3438" s="1" t="s">
        <v>169</v>
      </c>
      <c r="H3438" s="1" t="s">
        <v>348</v>
      </c>
      <c r="I3438" s="1">
        <v>515.70000000000005</v>
      </c>
      <c r="J3438" s="1">
        <v>6</v>
      </c>
      <c r="K3438" s="1">
        <v>3094.2</v>
      </c>
      <c r="L3438" s="1">
        <v>20</v>
      </c>
      <c r="M3438" s="1">
        <v>618.84</v>
      </c>
      <c r="N3438" s="1">
        <v>2475.36</v>
      </c>
      <c r="O3438" s="1" t="s">
        <v>24</v>
      </c>
      <c r="P3438" s="1" t="s">
        <v>1362</v>
      </c>
      <c r="Q3438" s="1">
        <v>3</v>
      </c>
      <c r="R3438" s="1">
        <f>Retail_Sales_Analyis[[#This Row],[Final_Price]]-Retail_Sales_Analyis[[#This Row],[Total_Price]]</f>
        <v>-618.83999999999969</v>
      </c>
      <c r="S343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39" spans="1:19" x14ac:dyDescent="0.25">
      <c r="A3439" s="1" t="s">
        <v>4548</v>
      </c>
      <c r="B3439" s="2">
        <v>45526</v>
      </c>
      <c r="C3439" s="1" t="s">
        <v>93</v>
      </c>
      <c r="D3439" s="1" t="s">
        <v>67</v>
      </c>
      <c r="E3439" s="1" t="s">
        <v>199</v>
      </c>
      <c r="F3439" s="1" t="s">
        <v>30</v>
      </c>
      <c r="G3439" s="1" t="s">
        <v>78</v>
      </c>
      <c r="H3439" s="1" t="s">
        <v>146</v>
      </c>
      <c r="I3439" s="1">
        <v>298.70999999999998</v>
      </c>
      <c r="J3439" s="1">
        <v>2</v>
      </c>
      <c r="K3439" s="1">
        <v>597.41999999999996</v>
      </c>
      <c r="L3439" s="1">
        <v>0</v>
      </c>
      <c r="M3439" s="1">
        <v>0</v>
      </c>
      <c r="N3439" s="1">
        <v>597.41999999999996</v>
      </c>
      <c r="O3439" s="1" t="s">
        <v>24</v>
      </c>
      <c r="P3439" s="1" t="s">
        <v>149</v>
      </c>
      <c r="Q3439" s="1">
        <v>5</v>
      </c>
      <c r="R3439" s="1">
        <f>Retail_Sales_Analyis[[#This Row],[Final_Price]]-Retail_Sales_Analyis[[#This Row],[Total_Price]]</f>
        <v>0</v>
      </c>
      <c r="S34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40" spans="1:19" x14ac:dyDescent="0.25">
      <c r="A3440" s="1" t="s">
        <v>4549</v>
      </c>
      <c r="B3440" s="2">
        <v>45350</v>
      </c>
      <c r="C3440" s="1" t="s">
        <v>27</v>
      </c>
      <c r="D3440" s="1" t="s">
        <v>55</v>
      </c>
      <c r="E3440" s="1" t="s">
        <v>29</v>
      </c>
      <c r="F3440" s="1" t="s">
        <v>21</v>
      </c>
      <c r="G3440" s="1" t="s">
        <v>22</v>
      </c>
      <c r="H3440" s="1" t="s">
        <v>133</v>
      </c>
      <c r="I3440" s="1">
        <v>463.51</v>
      </c>
      <c r="J3440" s="1">
        <v>10</v>
      </c>
      <c r="K3440" s="1">
        <v>4635.1000000000004</v>
      </c>
      <c r="L3440" s="1">
        <v>0</v>
      </c>
      <c r="M3440" s="1">
        <v>0</v>
      </c>
      <c r="N3440" s="1">
        <v>4635.1000000000004</v>
      </c>
      <c r="O3440" s="1" t="s">
        <v>46</v>
      </c>
      <c r="P3440" s="1" t="s">
        <v>1887</v>
      </c>
      <c r="Q3440" s="1">
        <v>2</v>
      </c>
      <c r="R3440" s="1">
        <f>Retail_Sales_Analyis[[#This Row],[Final_Price]]-Retail_Sales_Analyis[[#This Row],[Total_Price]]</f>
        <v>0</v>
      </c>
      <c r="S34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41" spans="1:19" x14ac:dyDescent="0.25">
      <c r="A3441" s="1" t="s">
        <v>4550</v>
      </c>
      <c r="B3441" s="2">
        <v>45426</v>
      </c>
      <c r="C3441" s="1" t="s">
        <v>42</v>
      </c>
      <c r="D3441" s="1" t="s">
        <v>28</v>
      </c>
      <c r="E3441" s="1" t="s">
        <v>117</v>
      </c>
      <c r="F3441" s="1" t="s">
        <v>21</v>
      </c>
      <c r="G3441" s="1" t="s">
        <v>169</v>
      </c>
      <c r="H3441" s="1" t="s">
        <v>208</v>
      </c>
      <c r="I3441" s="1">
        <v>1025.44</v>
      </c>
      <c r="J3441" s="1">
        <v>3</v>
      </c>
      <c r="K3441" s="1">
        <v>3076.32</v>
      </c>
      <c r="L3441" s="1">
        <v>10</v>
      </c>
      <c r="M3441" s="1">
        <v>307.63</v>
      </c>
      <c r="N3441" s="1">
        <v>2768.69</v>
      </c>
      <c r="O3441" s="1" t="s">
        <v>46</v>
      </c>
      <c r="P3441" s="1" t="s">
        <v>1977</v>
      </c>
      <c r="Q3441" s="1">
        <v>3</v>
      </c>
      <c r="R3441" s="1">
        <f>Retail_Sales_Analyis[[#This Row],[Final_Price]]-Retail_Sales_Analyis[[#This Row],[Total_Price]]</f>
        <v>-307.63000000000011</v>
      </c>
      <c r="S34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42" spans="1:19" x14ac:dyDescent="0.25">
      <c r="A3442" s="1" t="s">
        <v>4551</v>
      </c>
      <c r="B3442" s="2">
        <v>45635</v>
      </c>
      <c r="C3442" s="1" t="s">
        <v>73</v>
      </c>
      <c r="D3442" s="1" t="s">
        <v>43</v>
      </c>
      <c r="E3442" s="1" t="s">
        <v>44</v>
      </c>
      <c r="F3442" s="1" t="s">
        <v>84</v>
      </c>
      <c r="G3442" s="1" t="s">
        <v>169</v>
      </c>
      <c r="H3442" s="1" t="s">
        <v>175</v>
      </c>
      <c r="I3442" s="1">
        <v>1390.53</v>
      </c>
      <c r="J3442" s="1">
        <v>2</v>
      </c>
      <c r="K3442" s="1">
        <v>2781.06</v>
      </c>
      <c r="L3442" s="1">
        <v>0</v>
      </c>
      <c r="M3442" s="1">
        <v>0</v>
      </c>
      <c r="N3442" s="1">
        <v>2781.06</v>
      </c>
      <c r="O3442" s="1" t="s">
        <v>24</v>
      </c>
      <c r="P3442" s="1" t="s">
        <v>431</v>
      </c>
      <c r="Q3442" s="1">
        <v>5</v>
      </c>
      <c r="R3442" s="1">
        <f>Retail_Sales_Analyis[[#This Row],[Final_Price]]-Retail_Sales_Analyis[[#This Row],[Total_Price]]</f>
        <v>0</v>
      </c>
      <c r="S34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43" spans="1:19" x14ac:dyDescent="0.25">
      <c r="A3443" s="1" t="s">
        <v>4552</v>
      </c>
      <c r="B3443" s="2">
        <v>45542</v>
      </c>
      <c r="C3443" s="1" t="s">
        <v>116</v>
      </c>
      <c r="D3443" s="1" t="s">
        <v>19</v>
      </c>
      <c r="E3443" s="1" t="s">
        <v>174</v>
      </c>
      <c r="F3443" s="1" t="s">
        <v>84</v>
      </c>
      <c r="G3443" s="1" t="s">
        <v>38</v>
      </c>
      <c r="H3443" s="1" t="s">
        <v>214</v>
      </c>
      <c r="I3443" s="1">
        <v>576.64</v>
      </c>
      <c r="J3443" s="1">
        <v>8</v>
      </c>
      <c r="K3443" s="1">
        <v>4613.12</v>
      </c>
      <c r="L3443" s="1">
        <v>20</v>
      </c>
      <c r="M3443" s="1">
        <v>922.62</v>
      </c>
      <c r="N3443" s="1">
        <v>3690.5</v>
      </c>
      <c r="O3443" s="1" t="s">
        <v>33</v>
      </c>
      <c r="P3443" s="1" t="s">
        <v>3093</v>
      </c>
      <c r="Q3443" s="1">
        <v>5</v>
      </c>
      <c r="R3443" s="1">
        <f>Retail_Sales_Analyis[[#This Row],[Final_Price]]-Retail_Sales_Analyis[[#This Row],[Total_Price]]</f>
        <v>-922.61999999999989</v>
      </c>
      <c r="S34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44" spans="1:19" x14ac:dyDescent="0.25">
      <c r="A3444" s="1" t="s">
        <v>4553</v>
      </c>
      <c r="B3444" s="2">
        <v>45562</v>
      </c>
      <c r="C3444" s="1" t="s">
        <v>116</v>
      </c>
      <c r="D3444" s="1" t="s">
        <v>144</v>
      </c>
      <c r="E3444" s="1" t="s">
        <v>107</v>
      </c>
      <c r="F3444" s="1" t="s">
        <v>21</v>
      </c>
      <c r="G3444" s="1" t="s">
        <v>38</v>
      </c>
      <c r="H3444" s="1" t="s">
        <v>39</v>
      </c>
      <c r="I3444" s="1">
        <v>629.42999999999995</v>
      </c>
      <c r="J3444" s="1">
        <v>2</v>
      </c>
      <c r="K3444" s="1">
        <v>1258.8599999999999</v>
      </c>
      <c r="L3444" s="1">
        <v>0</v>
      </c>
      <c r="M3444" s="1">
        <v>0</v>
      </c>
      <c r="N3444" s="1">
        <v>1258.8599999999999</v>
      </c>
      <c r="O3444" s="1" t="s">
        <v>33</v>
      </c>
      <c r="P3444" s="1" t="s">
        <v>142</v>
      </c>
      <c r="Q3444" s="1">
        <v>5</v>
      </c>
      <c r="R3444" s="1">
        <f>Retail_Sales_Analyis[[#This Row],[Final_Price]]-Retail_Sales_Analyis[[#This Row],[Total_Price]]</f>
        <v>0</v>
      </c>
      <c r="S34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45" spans="1:19" x14ac:dyDescent="0.25">
      <c r="A3445" s="1" t="s">
        <v>4554</v>
      </c>
      <c r="B3445" s="2">
        <v>45619</v>
      </c>
      <c r="C3445" s="1" t="s">
        <v>18</v>
      </c>
      <c r="D3445" s="1" t="s">
        <v>19</v>
      </c>
      <c r="E3445" s="1" t="s">
        <v>213</v>
      </c>
      <c r="F3445" s="1" t="s">
        <v>37</v>
      </c>
      <c r="G3445" s="1" t="s">
        <v>57</v>
      </c>
      <c r="H3445" s="1" t="s">
        <v>58</v>
      </c>
      <c r="I3445" s="1">
        <v>1943.58</v>
      </c>
      <c r="J3445" s="1">
        <v>10</v>
      </c>
      <c r="K3445" s="1">
        <v>19435.8</v>
      </c>
      <c r="L3445" s="1">
        <v>20</v>
      </c>
      <c r="M3445" s="1">
        <v>3887.16</v>
      </c>
      <c r="N3445" s="1">
        <v>15548.64</v>
      </c>
      <c r="O3445" s="1" t="s">
        <v>80</v>
      </c>
      <c r="P3445" s="1" t="s">
        <v>619</v>
      </c>
      <c r="Q3445" s="1">
        <v>1</v>
      </c>
      <c r="R3445" s="1">
        <f>Retail_Sales_Analyis[[#This Row],[Final_Price]]-Retail_Sales_Analyis[[#This Row],[Total_Price]]</f>
        <v>-3887.16</v>
      </c>
      <c r="S34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46" spans="1:19" x14ac:dyDescent="0.25">
      <c r="A3446" s="1" t="s">
        <v>4555</v>
      </c>
      <c r="B3446" s="2">
        <v>45452</v>
      </c>
      <c r="C3446" s="1" t="s">
        <v>173</v>
      </c>
      <c r="D3446" s="1" t="s">
        <v>49</v>
      </c>
      <c r="E3446" s="1" t="s">
        <v>236</v>
      </c>
      <c r="F3446" s="1" t="s">
        <v>69</v>
      </c>
      <c r="G3446" s="1" t="s">
        <v>112</v>
      </c>
      <c r="H3446" s="1" t="s">
        <v>223</v>
      </c>
      <c r="I3446" s="1">
        <v>1706.03</v>
      </c>
      <c r="J3446" s="1">
        <v>10</v>
      </c>
      <c r="K3446" s="1">
        <v>17060.3</v>
      </c>
      <c r="L3446" s="1">
        <v>5</v>
      </c>
      <c r="M3446" s="1">
        <v>853.01</v>
      </c>
      <c r="N3446" s="1">
        <v>16207.29</v>
      </c>
      <c r="O3446" s="1" t="s">
        <v>64</v>
      </c>
      <c r="P3446" s="1" t="s">
        <v>2748</v>
      </c>
      <c r="Q3446" s="1">
        <v>3</v>
      </c>
      <c r="R3446" s="1">
        <f>Retail_Sales_Analyis[[#This Row],[Final_Price]]-Retail_Sales_Analyis[[#This Row],[Total_Price]]</f>
        <v>-853.0099999999984</v>
      </c>
      <c r="S34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47" spans="1:19" x14ac:dyDescent="0.25">
      <c r="A3447" s="1" t="s">
        <v>4556</v>
      </c>
      <c r="B3447" s="2">
        <v>45597</v>
      </c>
      <c r="C3447" s="1" t="s">
        <v>18</v>
      </c>
      <c r="D3447" s="1" t="s">
        <v>144</v>
      </c>
      <c r="E3447" s="1" t="s">
        <v>307</v>
      </c>
      <c r="F3447" s="1" t="s">
        <v>84</v>
      </c>
      <c r="G3447" s="1" t="s">
        <v>31</v>
      </c>
      <c r="H3447" s="1" t="s">
        <v>45</v>
      </c>
      <c r="I3447" s="1">
        <v>397.56</v>
      </c>
      <c r="J3447" s="1">
        <v>7</v>
      </c>
      <c r="K3447" s="1">
        <v>2782.92</v>
      </c>
      <c r="L3447" s="1">
        <v>20</v>
      </c>
      <c r="M3447" s="1">
        <v>556.58000000000004</v>
      </c>
      <c r="N3447" s="1">
        <v>2226.34</v>
      </c>
      <c r="O3447" s="1" t="s">
        <v>64</v>
      </c>
      <c r="P3447" s="1" t="s">
        <v>373</v>
      </c>
      <c r="Q3447" s="1">
        <v>3</v>
      </c>
      <c r="R3447" s="1">
        <f>Retail_Sales_Analyis[[#This Row],[Final_Price]]-Retail_Sales_Analyis[[#This Row],[Total_Price]]</f>
        <v>-556.57999999999993</v>
      </c>
      <c r="S344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48" spans="1:19" x14ac:dyDescent="0.25">
      <c r="A3448" s="1" t="s">
        <v>4557</v>
      </c>
      <c r="B3448" s="2">
        <v>45490</v>
      </c>
      <c r="C3448" s="1" t="s">
        <v>195</v>
      </c>
      <c r="D3448" s="1" t="s">
        <v>55</v>
      </c>
      <c r="E3448" s="1" t="s">
        <v>145</v>
      </c>
      <c r="F3448" s="1" t="s">
        <v>30</v>
      </c>
      <c r="G3448" s="1" t="s">
        <v>31</v>
      </c>
      <c r="H3448" s="1" t="s">
        <v>63</v>
      </c>
      <c r="I3448" s="1">
        <v>399.34</v>
      </c>
      <c r="J3448" s="1">
        <v>6</v>
      </c>
      <c r="K3448" s="1">
        <v>2396.04</v>
      </c>
      <c r="L3448" s="1">
        <v>20</v>
      </c>
      <c r="M3448" s="1">
        <v>479.21</v>
      </c>
      <c r="N3448" s="1">
        <v>1916.83</v>
      </c>
      <c r="O3448" s="1" t="s">
        <v>64</v>
      </c>
      <c r="P3448" s="1" t="s">
        <v>2572</v>
      </c>
      <c r="Q3448" s="1">
        <v>4</v>
      </c>
      <c r="R3448" s="1">
        <f>Retail_Sales_Analyis[[#This Row],[Final_Price]]-Retail_Sales_Analyis[[#This Row],[Total_Price]]</f>
        <v>-479.21000000000004</v>
      </c>
      <c r="S344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49" spans="1:19" x14ac:dyDescent="0.25">
      <c r="A3449" s="1" t="s">
        <v>4558</v>
      </c>
      <c r="B3449" s="2">
        <v>45604</v>
      </c>
      <c r="C3449" s="1" t="s">
        <v>18</v>
      </c>
      <c r="D3449" s="1" t="s">
        <v>144</v>
      </c>
      <c r="E3449" s="1" t="s">
        <v>351</v>
      </c>
      <c r="F3449" s="1" t="s">
        <v>30</v>
      </c>
      <c r="G3449" s="1" t="s">
        <v>85</v>
      </c>
      <c r="H3449" s="1" t="s">
        <v>98</v>
      </c>
      <c r="I3449" s="1">
        <v>3995.94</v>
      </c>
      <c r="J3449" s="1">
        <v>8</v>
      </c>
      <c r="K3449" s="1">
        <v>31967.52</v>
      </c>
      <c r="L3449" s="1">
        <v>20</v>
      </c>
      <c r="M3449" s="1">
        <v>6393.5</v>
      </c>
      <c r="N3449" s="1">
        <v>25574.02</v>
      </c>
      <c r="O3449" s="1" t="s">
        <v>64</v>
      </c>
      <c r="P3449" s="1" t="s">
        <v>427</v>
      </c>
      <c r="Q3449" s="1">
        <v>3</v>
      </c>
      <c r="R3449" s="1">
        <f>Retail_Sales_Analyis[[#This Row],[Final_Price]]-Retail_Sales_Analyis[[#This Row],[Total_Price]]</f>
        <v>-6393.5</v>
      </c>
      <c r="S34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50" spans="1:19" x14ac:dyDescent="0.25">
      <c r="A3450" s="1" t="s">
        <v>4559</v>
      </c>
      <c r="B3450" s="2">
        <v>45492</v>
      </c>
      <c r="C3450" s="1" t="s">
        <v>195</v>
      </c>
      <c r="D3450" s="1" t="s">
        <v>144</v>
      </c>
      <c r="E3450" s="1" t="s">
        <v>56</v>
      </c>
      <c r="F3450" s="1" t="s">
        <v>84</v>
      </c>
      <c r="G3450" s="1" t="s">
        <v>85</v>
      </c>
      <c r="H3450" s="1" t="s">
        <v>98</v>
      </c>
      <c r="I3450" s="1">
        <v>3557.58</v>
      </c>
      <c r="J3450" s="1">
        <v>4</v>
      </c>
      <c r="K3450" s="1">
        <v>14230.32</v>
      </c>
      <c r="L3450" s="1">
        <v>0</v>
      </c>
      <c r="M3450" s="1">
        <v>0</v>
      </c>
      <c r="N3450" s="1">
        <v>14230.32</v>
      </c>
      <c r="O3450" s="1" t="s">
        <v>24</v>
      </c>
      <c r="P3450" s="1" t="s">
        <v>3770</v>
      </c>
      <c r="Q3450" s="1">
        <v>1</v>
      </c>
      <c r="R3450" s="1">
        <f>Retail_Sales_Analyis[[#This Row],[Final_Price]]-Retail_Sales_Analyis[[#This Row],[Total_Price]]</f>
        <v>0</v>
      </c>
      <c r="S34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1" spans="1:19" x14ac:dyDescent="0.25">
      <c r="A3451" s="1" t="s">
        <v>4560</v>
      </c>
      <c r="B3451" s="2">
        <v>45592</v>
      </c>
      <c r="C3451" s="1" t="s">
        <v>76</v>
      </c>
      <c r="D3451" s="1" t="s">
        <v>49</v>
      </c>
      <c r="E3451" s="1" t="s">
        <v>307</v>
      </c>
      <c r="F3451" s="1" t="s">
        <v>21</v>
      </c>
      <c r="G3451" s="1" t="s">
        <v>85</v>
      </c>
      <c r="H3451" s="1" t="s">
        <v>90</v>
      </c>
      <c r="I3451" s="1">
        <v>1100.97</v>
      </c>
      <c r="J3451" s="1">
        <v>1</v>
      </c>
      <c r="K3451" s="1">
        <v>1100.97</v>
      </c>
      <c r="L3451" s="1">
        <v>0</v>
      </c>
      <c r="M3451" s="1">
        <v>0</v>
      </c>
      <c r="N3451" s="1">
        <v>1100.97</v>
      </c>
      <c r="O3451" s="1" t="s">
        <v>46</v>
      </c>
      <c r="P3451" s="1" t="s">
        <v>1495</v>
      </c>
      <c r="Q3451" s="1">
        <v>3</v>
      </c>
      <c r="R3451" s="1">
        <f>Retail_Sales_Analyis[[#This Row],[Final_Price]]-Retail_Sales_Analyis[[#This Row],[Total_Price]]</f>
        <v>0</v>
      </c>
      <c r="S34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2" spans="1:19" x14ac:dyDescent="0.25">
      <c r="A3452" s="1" t="s">
        <v>4561</v>
      </c>
      <c r="B3452" s="2">
        <v>45350</v>
      </c>
      <c r="C3452" s="1" t="s">
        <v>27</v>
      </c>
      <c r="D3452" s="1" t="s">
        <v>55</v>
      </c>
      <c r="E3452" s="1" t="s">
        <v>207</v>
      </c>
      <c r="F3452" s="1" t="s">
        <v>69</v>
      </c>
      <c r="G3452" s="1" t="s">
        <v>85</v>
      </c>
      <c r="H3452" s="1" t="s">
        <v>90</v>
      </c>
      <c r="I3452" s="1">
        <v>4848.7299999999996</v>
      </c>
      <c r="J3452" s="1">
        <v>3</v>
      </c>
      <c r="K3452" s="1">
        <v>14546.19</v>
      </c>
      <c r="L3452" s="1">
        <v>0</v>
      </c>
      <c r="M3452" s="1">
        <v>0</v>
      </c>
      <c r="N3452" s="1">
        <v>14546.19</v>
      </c>
      <c r="O3452" s="1" t="s">
        <v>46</v>
      </c>
      <c r="P3452" s="1" t="s">
        <v>841</v>
      </c>
      <c r="Q3452" s="1">
        <v>4</v>
      </c>
      <c r="R3452" s="1">
        <f>Retail_Sales_Analyis[[#This Row],[Final_Price]]-Retail_Sales_Analyis[[#This Row],[Total_Price]]</f>
        <v>0</v>
      </c>
      <c r="S34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3" spans="1:19" x14ac:dyDescent="0.25">
      <c r="A3453" s="1" t="s">
        <v>4562</v>
      </c>
      <c r="B3453" s="2">
        <v>45470</v>
      </c>
      <c r="C3453" s="1" t="s">
        <v>173</v>
      </c>
      <c r="D3453" s="1" t="s">
        <v>67</v>
      </c>
      <c r="E3453" s="1" t="s">
        <v>44</v>
      </c>
      <c r="F3453" s="1" t="s">
        <v>30</v>
      </c>
      <c r="G3453" s="1" t="s">
        <v>22</v>
      </c>
      <c r="H3453" s="1" t="s">
        <v>51</v>
      </c>
      <c r="I3453" s="1">
        <v>766.87</v>
      </c>
      <c r="J3453" s="1">
        <v>9</v>
      </c>
      <c r="K3453" s="1">
        <v>6901.83</v>
      </c>
      <c r="L3453" s="1">
        <v>0</v>
      </c>
      <c r="M3453" s="1">
        <v>0</v>
      </c>
      <c r="N3453" s="1">
        <v>6901.83</v>
      </c>
      <c r="O3453" s="1" t="s">
        <v>80</v>
      </c>
      <c r="P3453" s="1" t="s">
        <v>4563</v>
      </c>
      <c r="Q3453" s="1">
        <v>5</v>
      </c>
      <c r="R3453" s="1">
        <f>Retail_Sales_Analyis[[#This Row],[Final_Price]]-Retail_Sales_Analyis[[#This Row],[Total_Price]]</f>
        <v>0</v>
      </c>
      <c r="S34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4" spans="1:19" x14ac:dyDescent="0.25">
      <c r="A3454" s="1" t="s">
        <v>4564</v>
      </c>
      <c r="B3454" s="2">
        <v>45472</v>
      </c>
      <c r="C3454" s="1" t="s">
        <v>173</v>
      </c>
      <c r="D3454" s="1" t="s">
        <v>19</v>
      </c>
      <c r="E3454" s="1" t="s">
        <v>145</v>
      </c>
      <c r="F3454" s="1" t="s">
        <v>37</v>
      </c>
      <c r="G3454" s="1" t="s">
        <v>31</v>
      </c>
      <c r="H3454" s="1" t="s">
        <v>329</v>
      </c>
      <c r="I3454" s="1">
        <v>375.33</v>
      </c>
      <c r="J3454" s="1">
        <v>3</v>
      </c>
      <c r="K3454" s="1">
        <v>1125.99</v>
      </c>
      <c r="L3454" s="1">
        <v>0</v>
      </c>
      <c r="M3454" s="1">
        <v>0</v>
      </c>
      <c r="N3454" s="1">
        <v>1125.99</v>
      </c>
      <c r="O3454" s="1" t="s">
        <v>33</v>
      </c>
      <c r="P3454" s="1" t="s">
        <v>2041</v>
      </c>
      <c r="Q3454" s="1">
        <v>3</v>
      </c>
      <c r="R3454" s="1">
        <f>Retail_Sales_Analyis[[#This Row],[Final_Price]]-Retail_Sales_Analyis[[#This Row],[Total_Price]]</f>
        <v>0</v>
      </c>
      <c r="S34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5" spans="1:19" x14ac:dyDescent="0.25">
      <c r="A3455" s="1" t="s">
        <v>4565</v>
      </c>
      <c r="B3455" s="2">
        <v>45526</v>
      </c>
      <c r="C3455" s="1" t="s">
        <v>93</v>
      </c>
      <c r="D3455" s="1" t="s">
        <v>67</v>
      </c>
      <c r="E3455" s="1" t="s">
        <v>77</v>
      </c>
      <c r="F3455" s="1" t="s">
        <v>21</v>
      </c>
      <c r="G3455" s="1" t="s">
        <v>57</v>
      </c>
      <c r="H3455" s="1" t="s">
        <v>58</v>
      </c>
      <c r="I3455" s="1">
        <v>1755.25</v>
      </c>
      <c r="J3455" s="1">
        <v>10</v>
      </c>
      <c r="K3455" s="1">
        <v>17552.5</v>
      </c>
      <c r="L3455" s="1">
        <v>0</v>
      </c>
      <c r="M3455" s="1">
        <v>0</v>
      </c>
      <c r="N3455" s="1">
        <v>17552.5</v>
      </c>
      <c r="O3455" s="1" t="s">
        <v>24</v>
      </c>
      <c r="P3455" s="1" t="s">
        <v>482</v>
      </c>
      <c r="Q3455" s="1">
        <v>3</v>
      </c>
      <c r="R3455" s="1">
        <f>Retail_Sales_Analyis[[#This Row],[Final_Price]]-Retail_Sales_Analyis[[#This Row],[Total_Price]]</f>
        <v>0</v>
      </c>
      <c r="S34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6" spans="1:19" x14ac:dyDescent="0.25">
      <c r="A3456" s="1" t="s">
        <v>4566</v>
      </c>
      <c r="B3456" s="2">
        <v>45608</v>
      </c>
      <c r="C3456" s="1" t="s">
        <v>18</v>
      </c>
      <c r="D3456" s="1" t="s">
        <v>28</v>
      </c>
      <c r="E3456" s="1" t="s">
        <v>151</v>
      </c>
      <c r="F3456" s="1" t="s">
        <v>30</v>
      </c>
      <c r="G3456" s="1" t="s">
        <v>85</v>
      </c>
      <c r="H3456" s="1" t="s">
        <v>297</v>
      </c>
      <c r="I3456" s="1">
        <v>3626.67</v>
      </c>
      <c r="J3456" s="1">
        <v>1</v>
      </c>
      <c r="K3456" s="1">
        <v>3626.67</v>
      </c>
      <c r="L3456" s="1">
        <v>5</v>
      </c>
      <c r="M3456" s="1">
        <v>181.33</v>
      </c>
      <c r="N3456" s="1">
        <v>3445.34</v>
      </c>
      <c r="O3456" s="1" t="s">
        <v>46</v>
      </c>
      <c r="P3456" s="1" t="s">
        <v>667</v>
      </c>
      <c r="Q3456" s="1">
        <v>1</v>
      </c>
      <c r="R3456" s="1">
        <f>Retail_Sales_Analyis[[#This Row],[Final_Price]]-Retail_Sales_Analyis[[#This Row],[Total_Price]]</f>
        <v>-181.32999999999993</v>
      </c>
      <c r="S34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57" spans="1:19" x14ac:dyDescent="0.25">
      <c r="A3457" s="1" t="s">
        <v>4567</v>
      </c>
      <c r="B3457" s="2">
        <v>45380</v>
      </c>
      <c r="C3457" s="1" t="s">
        <v>61</v>
      </c>
      <c r="D3457" s="1" t="s">
        <v>144</v>
      </c>
      <c r="E3457" s="1" t="s">
        <v>411</v>
      </c>
      <c r="F3457" s="1" t="s">
        <v>21</v>
      </c>
      <c r="G3457" s="1" t="s">
        <v>112</v>
      </c>
      <c r="H3457" s="1" t="s">
        <v>223</v>
      </c>
      <c r="I3457" s="1">
        <v>522.84</v>
      </c>
      <c r="J3457" s="1">
        <v>7</v>
      </c>
      <c r="K3457" s="1">
        <v>3659.88</v>
      </c>
      <c r="L3457" s="1">
        <v>0</v>
      </c>
      <c r="M3457" s="1">
        <v>0</v>
      </c>
      <c r="N3457" s="1">
        <v>3659.88</v>
      </c>
      <c r="O3457" s="1" t="s">
        <v>46</v>
      </c>
      <c r="P3457" s="1" t="s">
        <v>1601</v>
      </c>
      <c r="Q3457" s="1">
        <v>3</v>
      </c>
      <c r="R3457" s="1">
        <f>Retail_Sales_Analyis[[#This Row],[Final_Price]]-Retail_Sales_Analyis[[#This Row],[Total_Price]]</f>
        <v>0</v>
      </c>
      <c r="S34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8" spans="1:19" x14ac:dyDescent="0.25">
      <c r="A3458" s="1" t="s">
        <v>4568</v>
      </c>
      <c r="B3458" s="2">
        <v>45636</v>
      </c>
      <c r="C3458" s="1" t="s">
        <v>73</v>
      </c>
      <c r="D3458" s="1" t="s">
        <v>28</v>
      </c>
      <c r="E3458" s="1" t="s">
        <v>145</v>
      </c>
      <c r="F3458" s="1" t="s">
        <v>37</v>
      </c>
      <c r="G3458" s="1" t="s">
        <v>22</v>
      </c>
      <c r="H3458" s="1" t="s">
        <v>277</v>
      </c>
      <c r="I3458" s="1">
        <v>482.02</v>
      </c>
      <c r="J3458" s="1">
        <v>8</v>
      </c>
      <c r="K3458" s="1">
        <v>3856.16</v>
      </c>
      <c r="L3458" s="1">
        <v>0</v>
      </c>
      <c r="M3458" s="1">
        <v>0</v>
      </c>
      <c r="N3458" s="1">
        <v>3856.16</v>
      </c>
      <c r="O3458" s="1" t="s">
        <v>46</v>
      </c>
      <c r="P3458" s="1" t="s">
        <v>767</v>
      </c>
      <c r="Q3458" s="1">
        <v>2</v>
      </c>
      <c r="R3458" s="1">
        <f>Retail_Sales_Analyis[[#This Row],[Final_Price]]-Retail_Sales_Analyis[[#This Row],[Total_Price]]</f>
        <v>0</v>
      </c>
      <c r="S34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59" spans="1:19" x14ac:dyDescent="0.25">
      <c r="A3459" s="1" t="s">
        <v>4569</v>
      </c>
      <c r="B3459" s="2">
        <v>45653</v>
      </c>
      <c r="C3459" s="1" t="s">
        <v>73</v>
      </c>
      <c r="D3459" s="1" t="s">
        <v>144</v>
      </c>
      <c r="E3459" s="1" t="s">
        <v>199</v>
      </c>
      <c r="F3459" s="1" t="s">
        <v>84</v>
      </c>
      <c r="G3459" s="1" t="s">
        <v>31</v>
      </c>
      <c r="H3459" s="1" t="s">
        <v>329</v>
      </c>
      <c r="I3459" s="1">
        <v>414.85</v>
      </c>
      <c r="J3459" s="1">
        <v>6</v>
      </c>
      <c r="K3459" s="1">
        <v>2489.1</v>
      </c>
      <c r="L3459" s="1">
        <v>0</v>
      </c>
      <c r="M3459" s="1">
        <v>0</v>
      </c>
      <c r="N3459" s="1">
        <v>2489.1</v>
      </c>
      <c r="O3459" s="1" t="s">
        <v>64</v>
      </c>
      <c r="P3459" s="1" t="s">
        <v>2570</v>
      </c>
      <c r="Q3459" s="1">
        <v>2</v>
      </c>
      <c r="R3459" s="1">
        <f>Retail_Sales_Analyis[[#This Row],[Final_Price]]-Retail_Sales_Analyis[[#This Row],[Total_Price]]</f>
        <v>0</v>
      </c>
      <c r="S34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60" spans="1:19" x14ac:dyDescent="0.25">
      <c r="A3460" s="1" t="s">
        <v>4570</v>
      </c>
      <c r="B3460" s="2">
        <v>45444</v>
      </c>
      <c r="C3460" s="1" t="s">
        <v>173</v>
      </c>
      <c r="D3460" s="1" t="s">
        <v>19</v>
      </c>
      <c r="E3460" s="1" t="s">
        <v>337</v>
      </c>
      <c r="F3460" s="1" t="s">
        <v>37</v>
      </c>
      <c r="G3460" s="1" t="s">
        <v>31</v>
      </c>
      <c r="H3460" s="1" t="s">
        <v>250</v>
      </c>
      <c r="I3460" s="1">
        <v>330</v>
      </c>
      <c r="J3460" s="1">
        <v>10</v>
      </c>
      <c r="K3460" s="1">
        <v>3300</v>
      </c>
      <c r="L3460" s="1">
        <v>5</v>
      </c>
      <c r="M3460" s="1">
        <v>165</v>
      </c>
      <c r="N3460" s="1">
        <v>3135</v>
      </c>
      <c r="O3460" s="1" t="s">
        <v>24</v>
      </c>
      <c r="P3460" s="1" t="s">
        <v>3411</v>
      </c>
      <c r="Q3460" s="1">
        <v>1</v>
      </c>
      <c r="R3460" s="1">
        <f>Retail_Sales_Analyis[[#This Row],[Final_Price]]-Retail_Sales_Analyis[[#This Row],[Total_Price]]</f>
        <v>-165</v>
      </c>
      <c r="S346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61" spans="1:19" x14ac:dyDescent="0.25">
      <c r="A3461" s="1" t="s">
        <v>4571</v>
      </c>
      <c r="B3461" s="2">
        <v>45606</v>
      </c>
      <c r="C3461" s="1" t="s">
        <v>18</v>
      </c>
      <c r="D3461" s="1" t="s">
        <v>49</v>
      </c>
      <c r="E3461" s="1" t="s">
        <v>307</v>
      </c>
      <c r="F3461" s="1" t="s">
        <v>84</v>
      </c>
      <c r="G3461" s="1" t="s">
        <v>57</v>
      </c>
      <c r="H3461" s="1" t="s">
        <v>158</v>
      </c>
      <c r="I3461" s="1">
        <v>833.6</v>
      </c>
      <c r="J3461" s="1">
        <v>5</v>
      </c>
      <c r="K3461" s="1">
        <v>4168</v>
      </c>
      <c r="L3461" s="1">
        <v>10</v>
      </c>
      <c r="M3461" s="1">
        <v>416.8</v>
      </c>
      <c r="N3461" s="1">
        <v>3751.2</v>
      </c>
      <c r="O3461" s="1" t="s">
        <v>80</v>
      </c>
      <c r="P3461" s="1" t="s">
        <v>935</v>
      </c>
      <c r="Q3461" s="1">
        <v>4</v>
      </c>
      <c r="R3461" s="1">
        <f>Retail_Sales_Analyis[[#This Row],[Final_Price]]-Retail_Sales_Analyis[[#This Row],[Total_Price]]</f>
        <v>-416.80000000000018</v>
      </c>
      <c r="S34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62" spans="1:19" x14ac:dyDescent="0.25">
      <c r="A3462" s="1" t="s">
        <v>4572</v>
      </c>
      <c r="B3462" s="2">
        <v>45594</v>
      </c>
      <c r="C3462" s="1" t="s">
        <v>76</v>
      </c>
      <c r="D3462" s="1" t="s">
        <v>28</v>
      </c>
      <c r="E3462" s="1" t="s">
        <v>213</v>
      </c>
      <c r="F3462" s="1" t="s">
        <v>37</v>
      </c>
      <c r="G3462" s="1" t="s">
        <v>78</v>
      </c>
      <c r="H3462" s="1" t="s">
        <v>126</v>
      </c>
      <c r="I3462" s="1">
        <v>472.62</v>
      </c>
      <c r="J3462" s="1">
        <v>2</v>
      </c>
      <c r="K3462" s="1">
        <v>945.24</v>
      </c>
      <c r="L3462" s="1">
        <v>15</v>
      </c>
      <c r="M3462" s="1">
        <v>141.79</v>
      </c>
      <c r="N3462" s="1">
        <v>803.45</v>
      </c>
      <c r="O3462" s="1" t="s">
        <v>80</v>
      </c>
      <c r="P3462" s="1" t="s">
        <v>1181</v>
      </c>
      <c r="Q3462" s="1">
        <v>5</v>
      </c>
      <c r="R3462" s="1">
        <f>Retail_Sales_Analyis[[#This Row],[Final_Price]]-Retail_Sales_Analyis[[#This Row],[Total_Price]]</f>
        <v>-141.78999999999996</v>
      </c>
      <c r="S34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63" spans="1:19" x14ac:dyDescent="0.25">
      <c r="A3463" s="1" t="s">
        <v>4573</v>
      </c>
      <c r="B3463" s="2">
        <v>45335</v>
      </c>
      <c r="C3463" s="1" t="s">
        <v>27</v>
      </c>
      <c r="D3463" s="1" t="s">
        <v>28</v>
      </c>
      <c r="E3463" s="1" t="s">
        <v>132</v>
      </c>
      <c r="F3463" s="1" t="s">
        <v>21</v>
      </c>
      <c r="G3463" s="1" t="s">
        <v>31</v>
      </c>
      <c r="H3463" s="1" t="s">
        <v>45</v>
      </c>
      <c r="I3463" s="1">
        <v>231.56</v>
      </c>
      <c r="J3463" s="1">
        <v>3</v>
      </c>
      <c r="K3463" s="1">
        <v>694.68</v>
      </c>
      <c r="L3463" s="1">
        <v>0</v>
      </c>
      <c r="M3463" s="1">
        <v>0</v>
      </c>
      <c r="N3463" s="1">
        <v>694.68</v>
      </c>
      <c r="O3463" s="1" t="s">
        <v>46</v>
      </c>
      <c r="P3463" s="1" t="s">
        <v>803</v>
      </c>
      <c r="Q3463" s="1">
        <v>5</v>
      </c>
      <c r="R3463" s="1">
        <f>Retail_Sales_Analyis[[#This Row],[Final_Price]]-Retail_Sales_Analyis[[#This Row],[Total_Price]]</f>
        <v>0</v>
      </c>
      <c r="S34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64" spans="1:19" x14ac:dyDescent="0.25">
      <c r="A3464" s="1" t="s">
        <v>4574</v>
      </c>
      <c r="B3464" s="2">
        <v>45636</v>
      </c>
      <c r="C3464" s="1" t="s">
        <v>73</v>
      </c>
      <c r="D3464" s="1" t="s">
        <v>28</v>
      </c>
      <c r="E3464" s="1" t="s">
        <v>94</v>
      </c>
      <c r="F3464" s="1" t="s">
        <v>84</v>
      </c>
      <c r="G3464" s="1" t="s">
        <v>38</v>
      </c>
      <c r="H3464" s="1" t="s">
        <v>214</v>
      </c>
      <c r="I3464" s="1">
        <v>419.44</v>
      </c>
      <c r="J3464" s="1">
        <v>4</v>
      </c>
      <c r="K3464" s="1">
        <v>1677.76</v>
      </c>
      <c r="L3464" s="1">
        <v>10</v>
      </c>
      <c r="M3464" s="1">
        <v>167.78</v>
      </c>
      <c r="N3464" s="1">
        <v>1509.98</v>
      </c>
      <c r="O3464" s="1" t="s">
        <v>64</v>
      </c>
      <c r="P3464" s="1" t="s">
        <v>324</v>
      </c>
      <c r="Q3464" s="1">
        <v>4</v>
      </c>
      <c r="R3464" s="1">
        <f>Retail_Sales_Analyis[[#This Row],[Final_Price]]-Retail_Sales_Analyis[[#This Row],[Total_Price]]</f>
        <v>-167.77999999999997</v>
      </c>
      <c r="S34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65" spans="1:19" x14ac:dyDescent="0.25">
      <c r="A3465" s="1" t="s">
        <v>4575</v>
      </c>
      <c r="B3465" s="2">
        <v>45360</v>
      </c>
      <c r="C3465" s="1" t="s">
        <v>61</v>
      </c>
      <c r="D3465" s="1" t="s">
        <v>19</v>
      </c>
      <c r="E3465" s="1" t="s">
        <v>89</v>
      </c>
      <c r="F3465" s="1" t="s">
        <v>30</v>
      </c>
      <c r="G3465" s="1" t="s">
        <v>112</v>
      </c>
      <c r="H3465" s="1" t="s">
        <v>113</v>
      </c>
      <c r="I3465" s="1">
        <v>821.58</v>
      </c>
      <c r="J3465" s="1">
        <v>3</v>
      </c>
      <c r="K3465" s="1">
        <v>2464.7399999999998</v>
      </c>
      <c r="L3465" s="1">
        <v>0</v>
      </c>
      <c r="M3465" s="1">
        <v>0</v>
      </c>
      <c r="N3465" s="1">
        <v>2464.7399999999998</v>
      </c>
      <c r="O3465" s="1" t="s">
        <v>64</v>
      </c>
      <c r="P3465" s="1" t="s">
        <v>1705</v>
      </c>
      <c r="Q3465" s="1">
        <v>2</v>
      </c>
      <c r="R3465" s="1">
        <f>Retail_Sales_Analyis[[#This Row],[Final_Price]]-Retail_Sales_Analyis[[#This Row],[Total_Price]]</f>
        <v>0</v>
      </c>
      <c r="S34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66" spans="1:19" x14ac:dyDescent="0.25">
      <c r="A3466" s="1" t="s">
        <v>4576</v>
      </c>
      <c r="B3466" s="2">
        <v>45452</v>
      </c>
      <c r="C3466" s="1" t="s">
        <v>173</v>
      </c>
      <c r="D3466" s="1" t="s">
        <v>49</v>
      </c>
      <c r="E3466" s="1" t="s">
        <v>204</v>
      </c>
      <c r="F3466" s="1" t="s">
        <v>84</v>
      </c>
      <c r="G3466" s="1" t="s">
        <v>112</v>
      </c>
      <c r="H3466" s="1" t="s">
        <v>288</v>
      </c>
      <c r="I3466" s="1">
        <v>520.66999999999996</v>
      </c>
      <c r="J3466" s="1">
        <v>8</v>
      </c>
      <c r="K3466" s="1">
        <v>4165.3599999999997</v>
      </c>
      <c r="L3466" s="1">
        <v>0</v>
      </c>
      <c r="M3466" s="1">
        <v>0</v>
      </c>
      <c r="N3466" s="1">
        <v>4165.3599999999997</v>
      </c>
      <c r="O3466" s="1" t="s">
        <v>24</v>
      </c>
      <c r="P3466" s="1" t="s">
        <v>3218</v>
      </c>
      <c r="Q3466" s="1">
        <v>3</v>
      </c>
      <c r="R3466" s="1">
        <f>Retail_Sales_Analyis[[#This Row],[Final_Price]]-Retail_Sales_Analyis[[#This Row],[Total_Price]]</f>
        <v>0</v>
      </c>
      <c r="S34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67" spans="1:19" x14ac:dyDescent="0.25">
      <c r="A3467" s="1" t="s">
        <v>4577</v>
      </c>
      <c r="B3467" s="2">
        <v>45352</v>
      </c>
      <c r="C3467" s="1" t="s">
        <v>61</v>
      </c>
      <c r="D3467" s="1" t="s">
        <v>144</v>
      </c>
      <c r="E3467" s="1" t="s">
        <v>157</v>
      </c>
      <c r="F3467" s="1" t="s">
        <v>69</v>
      </c>
      <c r="G3467" s="1" t="s">
        <v>22</v>
      </c>
      <c r="H3467" s="1" t="s">
        <v>187</v>
      </c>
      <c r="I3467" s="1">
        <v>570.66</v>
      </c>
      <c r="J3467" s="1">
        <v>8</v>
      </c>
      <c r="K3467" s="1">
        <v>4565.28</v>
      </c>
      <c r="L3467" s="1">
        <v>5</v>
      </c>
      <c r="M3467" s="1">
        <v>228.26</v>
      </c>
      <c r="N3467" s="1">
        <v>4337.0200000000004</v>
      </c>
      <c r="O3467" s="1" t="s">
        <v>33</v>
      </c>
      <c r="P3467" s="1" t="s">
        <v>4578</v>
      </c>
      <c r="Q3467" s="1">
        <v>3</v>
      </c>
      <c r="R3467" s="1">
        <f>Retail_Sales_Analyis[[#This Row],[Final_Price]]-Retail_Sales_Analyis[[#This Row],[Total_Price]]</f>
        <v>-228.25999999999931</v>
      </c>
      <c r="S34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68" spans="1:19" x14ac:dyDescent="0.25">
      <c r="A3468" s="1" t="s">
        <v>4579</v>
      </c>
      <c r="B3468" s="2">
        <v>45414</v>
      </c>
      <c r="C3468" s="1" t="s">
        <v>42</v>
      </c>
      <c r="D3468" s="1" t="s">
        <v>67</v>
      </c>
      <c r="E3468" s="1" t="s">
        <v>285</v>
      </c>
      <c r="F3468" s="1" t="s">
        <v>69</v>
      </c>
      <c r="G3468" s="1" t="s">
        <v>57</v>
      </c>
      <c r="H3468" s="1" t="s">
        <v>58</v>
      </c>
      <c r="I3468" s="1">
        <v>1277.99</v>
      </c>
      <c r="J3468" s="1">
        <v>6</v>
      </c>
      <c r="K3468" s="1">
        <v>7667.94</v>
      </c>
      <c r="L3468" s="1">
        <v>5</v>
      </c>
      <c r="M3468" s="1">
        <v>383.4</v>
      </c>
      <c r="N3468" s="1">
        <v>7284.54</v>
      </c>
      <c r="O3468" s="1" t="s">
        <v>24</v>
      </c>
      <c r="P3468" s="1" t="s">
        <v>1129</v>
      </c>
      <c r="Q3468" s="1">
        <v>1</v>
      </c>
      <c r="R3468" s="1">
        <f>Retail_Sales_Analyis[[#This Row],[Final_Price]]-Retail_Sales_Analyis[[#This Row],[Total_Price]]</f>
        <v>-383.39999999999964</v>
      </c>
      <c r="S34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69" spans="1:19" x14ac:dyDescent="0.25">
      <c r="A3469" s="1" t="s">
        <v>4580</v>
      </c>
      <c r="B3469" s="2">
        <v>45448</v>
      </c>
      <c r="C3469" s="1" t="s">
        <v>173</v>
      </c>
      <c r="D3469" s="1" t="s">
        <v>55</v>
      </c>
      <c r="E3469" s="1" t="s">
        <v>129</v>
      </c>
      <c r="F3469" s="1" t="s">
        <v>84</v>
      </c>
      <c r="G3469" s="1" t="s">
        <v>85</v>
      </c>
      <c r="H3469" s="1" t="s">
        <v>98</v>
      </c>
      <c r="I3469" s="1">
        <v>4419.2299999999996</v>
      </c>
      <c r="J3469" s="1">
        <v>9</v>
      </c>
      <c r="K3469" s="1">
        <v>39773.07</v>
      </c>
      <c r="L3469" s="1">
        <v>20</v>
      </c>
      <c r="M3469" s="1">
        <v>7954.61</v>
      </c>
      <c r="N3469" s="1">
        <v>31818.46</v>
      </c>
      <c r="O3469" s="1" t="s">
        <v>64</v>
      </c>
      <c r="P3469" s="1" t="s">
        <v>234</v>
      </c>
      <c r="Q3469" s="1">
        <v>1</v>
      </c>
      <c r="R3469" s="1">
        <f>Retail_Sales_Analyis[[#This Row],[Final_Price]]-Retail_Sales_Analyis[[#This Row],[Total_Price]]</f>
        <v>-7954.6100000000006</v>
      </c>
      <c r="S34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70" spans="1:19" x14ac:dyDescent="0.25">
      <c r="A3470" s="1" t="s">
        <v>4581</v>
      </c>
      <c r="B3470" s="2">
        <v>45351</v>
      </c>
      <c r="C3470" s="1" t="s">
        <v>27</v>
      </c>
      <c r="D3470" s="1" t="s">
        <v>67</v>
      </c>
      <c r="E3470" s="1" t="s">
        <v>141</v>
      </c>
      <c r="F3470" s="1" t="s">
        <v>21</v>
      </c>
      <c r="G3470" s="1" t="s">
        <v>169</v>
      </c>
      <c r="H3470" s="1" t="s">
        <v>170</v>
      </c>
      <c r="I3470" s="1">
        <v>1294.79</v>
      </c>
      <c r="J3470" s="1">
        <v>4</v>
      </c>
      <c r="K3470" s="1">
        <v>5179.16</v>
      </c>
      <c r="L3470" s="1">
        <v>20</v>
      </c>
      <c r="M3470" s="1">
        <v>1035.83</v>
      </c>
      <c r="N3470" s="1">
        <v>4143.33</v>
      </c>
      <c r="O3470" s="1" t="s">
        <v>80</v>
      </c>
      <c r="P3470" s="1" t="s">
        <v>2629</v>
      </c>
      <c r="Q3470" s="1">
        <v>4</v>
      </c>
      <c r="R3470" s="1">
        <f>Retail_Sales_Analyis[[#This Row],[Final_Price]]-Retail_Sales_Analyis[[#This Row],[Total_Price]]</f>
        <v>-1035.83</v>
      </c>
      <c r="S34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71" spans="1:19" x14ac:dyDescent="0.25">
      <c r="A3471" s="1" t="s">
        <v>4582</v>
      </c>
      <c r="B3471" s="2">
        <v>45385</v>
      </c>
      <c r="C3471" s="1" t="s">
        <v>54</v>
      </c>
      <c r="D3471" s="1" t="s">
        <v>55</v>
      </c>
      <c r="E3471" s="1" t="s">
        <v>145</v>
      </c>
      <c r="F3471" s="1" t="s">
        <v>21</v>
      </c>
      <c r="G3471" s="1" t="s">
        <v>38</v>
      </c>
      <c r="H3471" s="1" t="s">
        <v>108</v>
      </c>
      <c r="I3471" s="1">
        <v>193.56</v>
      </c>
      <c r="J3471" s="1">
        <v>5</v>
      </c>
      <c r="K3471" s="1">
        <v>967.8</v>
      </c>
      <c r="L3471" s="1">
        <v>15</v>
      </c>
      <c r="M3471" s="1">
        <v>145.16999999999999</v>
      </c>
      <c r="N3471" s="1">
        <v>822.63</v>
      </c>
      <c r="O3471" s="1" t="s">
        <v>64</v>
      </c>
      <c r="P3471" s="1" t="s">
        <v>3366</v>
      </c>
      <c r="Q3471" s="1">
        <v>5</v>
      </c>
      <c r="R3471" s="1">
        <f>Retail_Sales_Analyis[[#This Row],[Final_Price]]-Retail_Sales_Analyis[[#This Row],[Total_Price]]</f>
        <v>-145.16999999999996</v>
      </c>
      <c r="S34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72" spans="1:19" x14ac:dyDescent="0.25">
      <c r="A3472" s="1" t="s">
        <v>4583</v>
      </c>
      <c r="B3472" s="2">
        <v>45483</v>
      </c>
      <c r="C3472" s="1" t="s">
        <v>195</v>
      </c>
      <c r="D3472" s="1" t="s">
        <v>55</v>
      </c>
      <c r="E3472" s="1" t="s">
        <v>196</v>
      </c>
      <c r="F3472" s="1" t="s">
        <v>21</v>
      </c>
      <c r="G3472" s="1" t="s">
        <v>112</v>
      </c>
      <c r="H3472" s="1" t="s">
        <v>118</v>
      </c>
      <c r="I3472" s="1">
        <v>1582.88</v>
      </c>
      <c r="J3472" s="1">
        <v>6</v>
      </c>
      <c r="K3472" s="1">
        <v>9497.2800000000007</v>
      </c>
      <c r="L3472" s="1">
        <v>15</v>
      </c>
      <c r="M3472" s="1">
        <v>1424.59</v>
      </c>
      <c r="N3472" s="1">
        <v>8072.69</v>
      </c>
      <c r="O3472" s="1" t="s">
        <v>80</v>
      </c>
      <c r="P3472" s="1" t="s">
        <v>215</v>
      </c>
      <c r="Q3472" s="1">
        <v>4</v>
      </c>
      <c r="R3472" s="1">
        <f>Retail_Sales_Analyis[[#This Row],[Final_Price]]-Retail_Sales_Analyis[[#This Row],[Total_Price]]</f>
        <v>-1424.5900000000011</v>
      </c>
      <c r="S34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73" spans="1:19" x14ac:dyDescent="0.25">
      <c r="A3473" s="1" t="s">
        <v>4584</v>
      </c>
      <c r="B3473" s="2">
        <v>45647</v>
      </c>
      <c r="C3473" s="1" t="s">
        <v>73</v>
      </c>
      <c r="D3473" s="1" t="s">
        <v>19</v>
      </c>
      <c r="E3473" s="1" t="s">
        <v>411</v>
      </c>
      <c r="F3473" s="1" t="s">
        <v>21</v>
      </c>
      <c r="G3473" s="1" t="s">
        <v>112</v>
      </c>
      <c r="H3473" s="1" t="s">
        <v>288</v>
      </c>
      <c r="I3473" s="1">
        <v>1101.33</v>
      </c>
      <c r="J3473" s="1">
        <v>7</v>
      </c>
      <c r="K3473" s="1">
        <v>7709.31</v>
      </c>
      <c r="L3473" s="1">
        <v>0</v>
      </c>
      <c r="M3473" s="1">
        <v>0</v>
      </c>
      <c r="N3473" s="1">
        <v>7709.31</v>
      </c>
      <c r="O3473" s="1" t="s">
        <v>46</v>
      </c>
      <c r="P3473" s="1" t="s">
        <v>1687</v>
      </c>
      <c r="Q3473" s="1">
        <v>5</v>
      </c>
      <c r="R3473" s="1">
        <f>Retail_Sales_Analyis[[#This Row],[Final_Price]]-Retail_Sales_Analyis[[#This Row],[Total_Price]]</f>
        <v>0</v>
      </c>
      <c r="S34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74" spans="1:19" x14ac:dyDescent="0.25">
      <c r="A3474" s="1" t="s">
        <v>4585</v>
      </c>
      <c r="B3474" s="2">
        <v>45364</v>
      </c>
      <c r="C3474" s="1" t="s">
        <v>61</v>
      </c>
      <c r="D3474" s="1" t="s">
        <v>55</v>
      </c>
      <c r="E3474" s="1" t="s">
        <v>204</v>
      </c>
      <c r="F3474" s="1" t="s">
        <v>30</v>
      </c>
      <c r="G3474" s="1" t="s">
        <v>85</v>
      </c>
      <c r="H3474" s="1" t="s">
        <v>98</v>
      </c>
      <c r="I3474" s="1">
        <v>2009.5</v>
      </c>
      <c r="J3474" s="1">
        <v>5</v>
      </c>
      <c r="K3474" s="1">
        <v>10047.5</v>
      </c>
      <c r="L3474" s="1">
        <v>0</v>
      </c>
      <c r="M3474" s="1">
        <v>0</v>
      </c>
      <c r="N3474" s="1">
        <v>10047.5</v>
      </c>
      <c r="O3474" s="1" t="s">
        <v>46</v>
      </c>
      <c r="P3474" s="1" t="s">
        <v>224</v>
      </c>
      <c r="Q3474" s="1">
        <v>5</v>
      </c>
      <c r="R3474" s="1">
        <f>Retail_Sales_Analyis[[#This Row],[Final_Price]]-Retail_Sales_Analyis[[#This Row],[Total_Price]]</f>
        <v>0</v>
      </c>
      <c r="S34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75" spans="1:19" x14ac:dyDescent="0.25">
      <c r="A3475" s="1" t="s">
        <v>4586</v>
      </c>
      <c r="B3475" s="2">
        <v>45553</v>
      </c>
      <c r="C3475" s="1" t="s">
        <v>116</v>
      </c>
      <c r="D3475" s="1" t="s">
        <v>55</v>
      </c>
      <c r="E3475" s="1" t="s">
        <v>542</v>
      </c>
      <c r="F3475" s="1" t="s">
        <v>21</v>
      </c>
      <c r="G3475" s="1" t="s">
        <v>169</v>
      </c>
      <c r="H3475" s="1" t="s">
        <v>208</v>
      </c>
      <c r="I3475" s="1">
        <v>1459.9</v>
      </c>
      <c r="J3475" s="1">
        <v>5</v>
      </c>
      <c r="K3475" s="1">
        <v>7299.5</v>
      </c>
      <c r="L3475" s="1">
        <v>20</v>
      </c>
      <c r="M3475" s="1">
        <v>1459.9</v>
      </c>
      <c r="N3475" s="1">
        <v>5839.6</v>
      </c>
      <c r="O3475" s="1" t="s">
        <v>33</v>
      </c>
      <c r="P3475" s="1" t="s">
        <v>1000</v>
      </c>
      <c r="Q3475" s="1">
        <v>3</v>
      </c>
      <c r="R3475" s="1">
        <f>Retail_Sales_Analyis[[#This Row],[Final_Price]]-Retail_Sales_Analyis[[#This Row],[Total_Price]]</f>
        <v>-1459.8999999999996</v>
      </c>
      <c r="S34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76" spans="1:19" x14ac:dyDescent="0.25">
      <c r="A3476" s="1" t="s">
        <v>4587</v>
      </c>
      <c r="B3476" s="2">
        <v>45490</v>
      </c>
      <c r="C3476" s="1" t="s">
        <v>195</v>
      </c>
      <c r="D3476" s="1" t="s">
        <v>55</v>
      </c>
      <c r="E3476" s="1" t="s">
        <v>163</v>
      </c>
      <c r="F3476" s="1" t="s">
        <v>37</v>
      </c>
      <c r="G3476" s="1" t="s">
        <v>38</v>
      </c>
      <c r="H3476" s="1" t="s">
        <v>214</v>
      </c>
      <c r="I3476" s="1">
        <v>182.85</v>
      </c>
      <c r="J3476" s="1">
        <v>7</v>
      </c>
      <c r="K3476" s="1">
        <v>1279.95</v>
      </c>
      <c r="L3476" s="1">
        <v>15</v>
      </c>
      <c r="M3476" s="1">
        <v>191.99</v>
      </c>
      <c r="N3476" s="1">
        <v>1087.96</v>
      </c>
      <c r="O3476" s="1" t="s">
        <v>64</v>
      </c>
      <c r="P3476" s="1" t="s">
        <v>474</v>
      </c>
      <c r="Q3476" s="1">
        <v>4</v>
      </c>
      <c r="R3476" s="1">
        <f>Retail_Sales_Analyis[[#This Row],[Final_Price]]-Retail_Sales_Analyis[[#This Row],[Total_Price]]</f>
        <v>-191.99</v>
      </c>
      <c r="S34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77" spans="1:19" x14ac:dyDescent="0.25">
      <c r="A3477" s="1" t="s">
        <v>4588</v>
      </c>
      <c r="B3477" s="2">
        <v>45506</v>
      </c>
      <c r="C3477" s="1" t="s">
        <v>93</v>
      </c>
      <c r="D3477" s="1" t="s">
        <v>144</v>
      </c>
      <c r="E3477" s="1" t="s">
        <v>328</v>
      </c>
      <c r="F3477" s="1" t="s">
        <v>84</v>
      </c>
      <c r="G3477" s="1" t="s">
        <v>112</v>
      </c>
      <c r="H3477" s="1" t="s">
        <v>118</v>
      </c>
      <c r="I3477" s="1">
        <v>1338.67</v>
      </c>
      <c r="J3477" s="1">
        <v>4</v>
      </c>
      <c r="K3477" s="1">
        <v>5354.68</v>
      </c>
      <c r="L3477" s="1">
        <v>20</v>
      </c>
      <c r="M3477" s="1">
        <v>1070.94</v>
      </c>
      <c r="N3477" s="1">
        <v>4283.74</v>
      </c>
      <c r="O3477" s="1" t="s">
        <v>33</v>
      </c>
      <c r="P3477" s="1" t="s">
        <v>651</v>
      </c>
      <c r="Q3477" s="1">
        <v>3</v>
      </c>
      <c r="R3477" s="1">
        <f>Retail_Sales_Analyis[[#This Row],[Final_Price]]-Retail_Sales_Analyis[[#This Row],[Total_Price]]</f>
        <v>-1070.9400000000005</v>
      </c>
      <c r="S347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78" spans="1:19" x14ac:dyDescent="0.25">
      <c r="A3478" s="1" t="s">
        <v>4589</v>
      </c>
      <c r="B3478" s="2">
        <v>45597</v>
      </c>
      <c r="C3478" s="1" t="s">
        <v>18</v>
      </c>
      <c r="D3478" s="1" t="s">
        <v>144</v>
      </c>
      <c r="E3478" s="1" t="s">
        <v>328</v>
      </c>
      <c r="F3478" s="1" t="s">
        <v>30</v>
      </c>
      <c r="G3478" s="1" t="s">
        <v>169</v>
      </c>
      <c r="H3478" s="1" t="s">
        <v>348</v>
      </c>
      <c r="I3478" s="1">
        <v>1171.93</v>
      </c>
      <c r="J3478" s="1">
        <v>10</v>
      </c>
      <c r="K3478" s="1">
        <v>11719.3</v>
      </c>
      <c r="L3478" s="1">
        <v>0</v>
      </c>
      <c r="M3478" s="1">
        <v>0</v>
      </c>
      <c r="N3478" s="1">
        <v>11719.3</v>
      </c>
      <c r="O3478" s="1" t="s">
        <v>46</v>
      </c>
      <c r="P3478" s="1" t="s">
        <v>2763</v>
      </c>
      <c r="Q3478" s="1">
        <v>5</v>
      </c>
      <c r="R3478" s="1">
        <f>Retail_Sales_Analyis[[#This Row],[Final_Price]]-Retail_Sales_Analyis[[#This Row],[Total_Price]]</f>
        <v>0</v>
      </c>
      <c r="S34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79" spans="1:19" x14ac:dyDescent="0.25">
      <c r="A3479" s="1" t="s">
        <v>4590</v>
      </c>
      <c r="B3479" s="2">
        <v>45362</v>
      </c>
      <c r="C3479" s="1" t="s">
        <v>61</v>
      </c>
      <c r="D3479" s="1" t="s">
        <v>43</v>
      </c>
      <c r="E3479" s="1" t="s">
        <v>542</v>
      </c>
      <c r="F3479" s="1" t="s">
        <v>21</v>
      </c>
      <c r="G3479" s="1" t="s">
        <v>38</v>
      </c>
      <c r="H3479" s="1" t="s">
        <v>214</v>
      </c>
      <c r="I3479" s="1">
        <v>151.28</v>
      </c>
      <c r="J3479" s="1">
        <v>4</v>
      </c>
      <c r="K3479" s="1">
        <v>605.12</v>
      </c>
      <c r="L3479" s="1">
        <v>5</v>
      </c>
      <c r="M3479" s="1">
        <v>30.26</v>
      </c>
      <c r="N3479" s="1">
        <v>574.86</v>
      </c>
      <c r="O3479" s="1" t="s">
        <v>80</v>
      </c>
      <c r="P3479" s="1" t="s">
        <v>1358</v>
      </c>
      <c r="Q3479" s="1">
        <v>2</v>
      </c>
      <c r="R3479" s="1">
        <f>Retail_Sales_Analyis[[#This Row],[Final_Price]]-Retail_Sales_Analyis[[#This Row],[Total_Price]]</f>
        <v>-30.259999999999991</v>
      </c>
      <c r="S347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80" spans="1:19" x14ac:dyDescent="0.25">
      <c r="A3480" s="1" t="s">
        <v>4591</v>
      </c>
      <c r="B3480" s="2">
        <v>45586</v>
      </c>
      <c r="C3480" s="1" t="s">
        <v>76</v>
      </c>
      <c r="D3480" s="1" t="s">
        <v>43</v>
      </c>
      <c r="E3480" s="1" t="s">
        <v>129</v>
      </c>
      <c r="F3480" s="1" t="s">
        <v>69</v>
      </c>
      <c r="G3480" s="1" t="s">
        <v>22</v>
      </c>
      <c r="H3480" s="1" t="s">
        <v>23</v>
      </c>
      <c r="I3480" s="1">
        <v>927.67</v>
      </c>
      <c r="J3480" s="1">
        <v>7</v>
      </c>
      <c r="K3480" s="1">
        <v>6493.69</v>
      </c>
      <c r="L3480" s="1">
        <v>0</v>
      </c>
      <c r="M3480" s="1">
        <v>0</v>
      </c>
      <c r="N3480" s="1">
        <v>6493.69</v>
      </c>
      <c r="O3480" s="1" t="s">
        <v>80</v>
      </c>
      <c r="P3480" s="1" t="s">
        <v>1166</v>
      </c>
      <c r="Q3480" s="1">
        <v>4</v>
      </c>
      <c r="R3480" s="1">
        <f>Retail_Sales_Analyis[[#This Row],[Final_Price]]-Retail_Sales_Analyis[[#This Row],[Total_Price]]</f>
        <v>0</v>
      </c>
      <c r="S34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1" spans="1:19" x14ac:dyDescent="0.25">
      <c r="A3481" s="1" t="s">
        <v>4592</v>
      </c>
      <c r="B3481" s="2">
        <v>45488</v>
      </c>
      <c r="C3481" s="1" t="s">
        <v>195</v>
      </c>
      <c r="D3481" s="1" t="s">
        <v>43</v>
      </c>
      <c r="E3481" s="1" t="s">
        <v>145</v>
      </c>
      <c r="F3481" s="1" t="s">
        <v>30</v>
      </c>
      <c r="G3481" s="1" t="s">
        <v>31</v>
      </c>
      <c r="H3481" s="1" t="s">
        <v>32</v>
      </c>
      <c r="I3481" s="1">
        <v>283.85000000000002</v>
      </c>
      <c r="J3481" s="1">
        <v>8</v>
      </c>
      <c r="K3481" s="1">
        <v>2270.8000000000002</v>
      </c>
      <c r="L3481" s="1">
        <v>5</v>
      </c>
      <c r="M3481" s="1">
        <v>113.54</v>
      </c>
      <c r="N3481" s="1">
        <v>2157.2600000000002</v>
      </c>
      <c r="O3481" s="1" t="s">
        <v>46</v>
      </c>
      <c r="P3481" s="1" t="s">
        <v>1701</v>
      </c>
      <c r="Q3481" s="1">
        <v>5</v>
      </c>
      <c r="R3481" s="1">
        <f>Retail_Sales_Analyis[[#This Row],[Final_Price]]-Retail_Sales_Analyis[[#This Row],[Total_Price]]</f>
        <v>-113.53999999999996</v>
      </c>
      <c r="S348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82" spans="1:19" x14ac:dyDescent="0.25">
      <c r="A3482" s="1" t="s">
        <v>4593</v>
      </c>
      <c r="B3482" s="2">
        <v>45508</v>
      </c>
      <c r="C3482" s="1" t="s">
        <v>93</v>
      </c>
      <c r="D3482" s="1" t="s">
        <v>49</v>
      </c>
      <c r="E3482" s="1" t="s">
        <v>89</v>
      </c>
      <c r="F3482" s="1" t="s">
        <v>37</v>
      </c>
      <c r="G3482" s="1" t="s">
        <v>22</v>
      </c>
      <c r="H3482" s="1" t="s">
        <v>133</v>
      </c>
      <c r="I3482" s="1">
        <v>366.89</v>
      </c>
      <c r="J3482" s="1">
        <v>5</v>
      </c>
      <c r="K3482" s="1">
        <v>1834.45</v>
      </c>
      <c r="L3482" s="1">
        <v>0</v>
      </c>
      <c r="M3482" s="1">
        <v>0</v>
      </c>
      <c r="N3482" s="1">
        <v>1834.45</v>
      </c>
      <c r="O3482" s="1" t="s">
        <v>33</v>
      </c>
      <c r="P3482" s="1" t="s">
        <v>1793</v>
      </c>
      <c r="Q3482" s="1">
        <v>3</v>
      </c>
      <c r="R3482" s="1">
        <f>Retail_Sales_Analyis[[#This Row],[Final_Price]]-Retail_Sales_Analyis[[#This Row],[Total_Price]]</f>
        <v>0</v>
      </c>
      <c r="S34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3" spans="1:19" x14ac:dyDescent="0.25">
      <c r="A3483" s="1" t="s">
        <v>4594</v>
      </c>
      <c r="B3483" s="2">
        <v>45387</v>
      </c>
      <c r="C3483" s="1" t="s">
        <v>54</v>
      </c>
      <c r="D3483" s="1" t="s">
        <v>144</v>
      </c>
      <c r="E3483" s="1" t="s">
        <v>351</v>
      </c>
      <c r="F3483" s="1" t="s">
        <v>21</v>
      </c>
      <c r="G3483" s="1" t="s">
        <v>78</v>
      </c>
      <c r="H3483" s="1" t="s">
        <v>146</v>
      </c>
      <c r="I3483" s="1">
        <v>498.49</v>
      </c>
      <c r="J3483" s="1">
        <v>9</v>
      </c>
      <c r="K3483" s="1">
        <v>4486.41</v>
      </c>
      <c r="L3483" s="1">
        <v>0</v>
      </c>
      <c r="M3483" s="1">
        <v>0</v>
      </c>
      <c r="N3483" s="1">
        <v>4486.41</v>
      </c>
      <c r="O3483" s="1" t="s">
        <v>80</v>
      </c>
      <c r="P3483" s="1" t="s">
        <v>1059</v>
      </c>
      <c r="Q3483" s="1">
        <v>5</v>
      </c>
      <c r="R3483" s="1">
        <f>Retail_Sales_Analyis[[#This Row],[Final_Price]]-Retail_Sales_Analyis[[#This Row],[Total_Price]]</f>
        <v>0</v>
      </c>
      <c r="S34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4" spans="1:19" x14ac:dyDescent="0.25">
      <c r="A3484" s="1" t="s">
        <v>4595</v>
      </c>
      <c r="B3484" s="2">
        <v>45541</v>
      </c>
      <c r="C3484" s="1" t="s">
        <v>116</v>
      </c>
      <c r="D3484" s="1" t="s">
        <v>144</v>
      </c>
      <c r="E3484" s="1" t="s">
        <v>207</v>
      </c>
      <c r="F3484" s="1" t="s">
        <v>37</v>
      </c>
      <c r="G3484" s="1" t="s">
        <v>31</v>
      </c>
      <c r="H3484" s="1" t="s">
        <v>250</v>
      </c>
      <c r="I3484" s="1">
        <v>136.38999999999999</v>
      </c>
      <c r="J3484" s="1">
        <v>10</v>
      </c>
      <c r="K3484" s="1">
        <v>1363.9</v>
      </c>
      <c r="L3484" s="1">
        <v>10</v>
      </c>
      <c r="M3484" s="1">
        <v>136.38999999999999</v>
      </c>
      <c r="N3484" s="1">
        <v>1227.51</v>
      </c>
      <c r="O3484" s="1" t="s">
        <v>24</v>
      </c>
      <c r="P3484" s="1" t="s">
        <v>1276</v>
      </c>
      <c r="Q3484" s="1">
        <v>4</v>
      </c>
      <c r="R3484" s="1">
        <f>Retail_Sales_Analyis[[#This Row],[Final_Price]]-Retail_Sales_Analyis[[#This Row],[Total_Price]]</f>
        <v>-136.3900000000001</v>
      </c>
      <c r="S34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85" spans="1:19" x14ac:dyDescent="0.25">
      <c r="A3485" s="1" t="s">
        <v>4596</v>
      </c>
      <c r="B3485" s="2">
        <v>45617</v>
      </c>
      <c r="C3485" s="1" t="s">
        <v>18</v>
      </c>
      <c r="D3485" s="1" t="s">
        <v>67</v>
      </c>
      <c r="E3485" s="1" t="s">
        <v>62</v>
      </c>
      <c r="F3485" s="1" t="s">
        <v>30</v>
      </c>
      <c r="G3485" s="1" t="s">
        <v>112</v>
      </c>
      <c r="H3485" s="1" t="s">
        <v>223</v>
      </c>
      <c r="I3485" s="1">
        <v>640.97</v>
      </c>
      <c r="J3485" s="1">
        <v>2</v>
      </c>
      <c r="K3485" s="1">
        <v>1281.94</v>
      </c>
      <c r="L3485" s="1">
        <v>0</v>
      </c>
      <c r="M3485" s="1">
        <v>0</v>
      </c>
      <c r="N3485" s="1">
        <v>1281.94</v>
      </c>
      <c r="O3485" s="1" t="s">
        <v>80</v>
      </c>
      <c r="P3485" s="1" t="s">
        <v>3033</v>
      </c>
      <c r="Q3485" s="1">
        <v>1</v>
      </c>
      <c r="R3485" s="1">
        <f>Retail_Sales_Analyis[[#This Row],[Final_Price]]-Retail_Sales_Analyis[[#This Row],[Total_Price]]</f>
        <v>0</v>
      </c>
      <c r="S34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6" spans="1:19" x14ac:dyDescent="0.25">
      <c r="A3486" s="1" t="s">
        <v>4597</v>
      </c>
      <c r="B3486" s="2">
        <v>45567</v>
      </c>
      <c r="C3486" s="1" t="s">
        <v>76</v>
      </c>
      <c r="D3486" s="1" t="s">
        <v>55</v>
      </c>
      <c r="E3486" s="1" t="s">
        <v>50</v>
      </c>
      <c r="F3486" s="1" t="s">
        <v>21</v>
      </c>
      <c r="G3486" s="1" t="s">
        <v>112</v>
      </c>
      <c r="H3486" s="1" t="s">
        <v>118</v>
      </c>
      <c r="I3486" s="1">
        <v>924.59</v>
      </c>
      <c r="J3486" s="1">
        <v>4</v>
      </c>
      <c r="K3486" s="1">
        <v>3698.36</v>
      </c>
      <c r="L3486" s="1">
        <v>5</v>
      </c>
      <c r="M3486" s="1">
        <v>184.92</v>
      </c>
      <c r="N3486" s="1">
        <v>3513.44</v>
      </c>
      <c r="O3486" s="1" t="s">
        <v>46</v>
      </c>
      <c r="P3486" s="1" t="s">
        <v>998</v>
      </c>
      <c r="Q3486" s="1">
        <v>4</v>
      </c>
      <c r="R3486" s="1">
        <f>Retail_Sales_Analyis[[#This Row],[Final_Price]]-Retail_Sales_Analyis[[#This Row],[Total_Price]]</f>
        <v>-184.92000000000007</v>
      </c>
      <c r="S348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87" spans="1:19" x14ac:dyDescent="0.25">
      <c r="A3487" s="1" t="s">
        <v>4598</v>
      </c>
      <c r="B3487" s="2">
        <v>45647</v>
      </c>
      <c r="C3487" s="1" t="s">
        <v>73</v>
      </c>
      <c r="D3487" s="1" t="s">
        <v>19</v>
      </c>
      <c r="E3487" s="1" t="s">
        <v>204</v>
      </c>
      <c r="F3487" s="1" t="s">
        <v>84</v>
      </c>
      <c r="G3487" s="1" t="s">
        <v>169</v>
      </c>
      <c r="H3487" s="1" t="s">
        <v>175</v>
      </c>
      <c r="I3487" s="1">
        <v>1491.39</v>
      </c>
      <c r="J3487" s="1">
        <v>10</v>
      </c>
      <c r="K3487" s="1">
        <v>14913.9</v>
      </c>
      <c r="L3487" s="1">
        <v>0</v>
      </c>
      <c r="M3487" s="1">
        <v>0</v>
      </c>
      <c r="N3487" s="1">
        <v>14913.9</v>
      </c>
      <c r="O3487" s="1" t="s">
        <v>24</v>
      </c>
      <c r="P3487" s="1" t="s">
        <v>869</v>
      </c>
      <c r="Q3487" s="1">
        <v>1</v>
      </c>
      <c r="R3487" s="1">
        <f>Retail_Sales_Analyis[[#This Row],[Final_Price]]-Retail_Sales_Analyis[[#This Row],[Total_Price]]</f>
        <v>0</v>
      </c>
      <c r="S34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88" spans="1:19" x14ac:dyDescent="0.25">
      <c r="A3488" s="1" t="s">
        <v>4599</v>
      </c>
      <c r="B3488" s="2">
        <v>45622</v>
      </c>
      <c r="C3488" s="1" t="s">
        <v>18</v>
      </c>
      <c r="D3488" s="1" t="s">
        <v>28</v>
      </c>
      <c r="E3488" s="1" t="s">
        <v>97</v>
      </c>
      <c r="F3488" s="1" t="s">
        <v>84</v>
      </c>
      <c r="G3488" s="1" t="s">
        <v>22</v>
      </c>
      <c r="H3488" s="1" t="s">
        <v>133</v>
      </c>
      <c r="I3488" s="1">
        <v>840.18</v>
      </c>
      <c r="J3488" s="1">
        <v>7</v>
      </c>
      <c r="K3488" s="1">
        <v>5881.26</v>
      </c>
      <c r="L3488" s="1">
        <v>20</v>
      </c>
      <c r="M3488" s="1">
        <v>1176.25</v>
      </c>
      <c r="N3488" s="1">
        <v>4705.01</v>
      </c>
      <c r="O3488" s="1" t="s">
        <v>46</v>
      </c>
      <c r="P3488" s="1" t="s">
        <v>4578</v>
      </c>
      <c r="Q3488" s="1">
        <v>4</v>
      </c>
      <c r="R3488" s="1">
        <f>Retail_Sales_Analyis[[#This Row],[Final_Price]]-Retail_Sales_Analyis[[#This Row],[Total_Price]]</f>
        <v>-1176.25</v>
      </c>
      <c r="S34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89" spans="1:19" x14ac:dyDescent="0.25">
      <c r="A3489" s="1" t="s">
        <v>4600</v>
      </c>
      <c r="B3489" s="2">
        <v>45380</v>
      </c>
      <c r="C3489" s="1" t="s">
        <v>61</v>
      </c>
      <c r="D3489" s="1" t="s">
        <v>144</v>
      </c>
      <c r="E3489" s="1" t="s">
        <v>139</v>
      </c>
      <c r="F3489" s="1" t="s">
        <v>37</v>
      </c>
      <c r="G3489" s="1" t="s">
        <v>38</v>
      </c>
      <c r="H3489" s="1" t="s">
        <v>70</v>
      </c>
      <c r="I3489" s="1">
        <v>499.48</v>
      </c>
      <c r="J3489" s="1">
        <v>2</v>
      </c>
      <c r="K3489" s="1">
        <v>998.96</v>
      </c>
      <c r="L3489" s="1">
        <v>0</v>
      </c>
      <c r="M3489" s="1">
        <v>0</v>
      </c>
      <c r="N3489" s="1">
        <v>998.96</v>
      </c>
      <c r="O3489" s="1" t="s">
        <v>33</v>
      </c>
      <c r="P3489" s="1" t="s">
        <v>176</v>
      </c>
      <c r="Q3489" s="1">
        <v>2</v>
      </c>
      <c r="R3489" s="1">
        <f>Retail_Sales_Analyis[[#This Row],[Final_Price]]-Retail_Sales_Analyis[[#This Row],[Total_Price]]</f>
        <v>0</v>
      </c>
      <c r="S34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90" spans="1:19" x14ac:dyDescent="0.25">
      <c r="A3490" s="1" t="s">
        <v>4601</v>
      </c>
      <c r="B3490" s="2">
        <v>45576</v>
      </c>
      <c r="C3490" s="1" t="s">
        <v>76</v>
      </c>
      <c r="D3490" s="1" t="s">
        <v>144</v>
      </c>
      <c r="E3490" s="1" t="s">
        <v>312</v>
      </c>
      <c r="F3490" s="1" t="s">
        <v>21</v>
      </c>
      <c r="G3490" s="1" t="s">
        <v>31</v>
      </c>
      <c r="H3490" s="1" t="s">
        <v>45</v>
      </c>
      <c r="I3490" s="1">
        <v>472.37</v>
      </c>
      <c r="J3490" s="1">
        <v>7</v>
      </c>
      <c r="K3490" s="1">
        <v>3306.59</v>
      </c>
      <c r="L3490" s="1">
        <v>5</v>
      </c>
      <c r="M3490" s="1">
        <v>165.33</v>
      </c>
      <c r="N3490" s="1">
        <v>3141.26</v>
      </c>
      <c r="O3490" s="1" t="s">
        <v>64</v>
      </c>
      <c r="P3490" s="1" t="s">
        <v>1707</v>
      </c>
      <c r="Q3490" s="1">
        <v>4</v>
      </c>
      <c r="R3490" s="1">
        <f>Retail_Sales_Analyis[[#This Row],[Final_Price]]-Retail_Sales_Analyis[[#This Row],[Total_Price]]</f>
        <v>-165.32999999999993</v>
      </c>
      <c r="S34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91" spans="1:19" x14ac:dyDescent="0.25">
      <c r="A3491" s="1" t="s">
        <v>4602</v>
      </c>
      <c r="B3491" s="2">
        <v>45377</v>
      </c>
      <c r="C3491" s="1" t="s">
        <v>61</v>
      </c>
      <c r="D3491" s="1" t="s">
        <v>28</v>
      </c>
      <c r="E3491" s="1" t="s">
        <v>129</v>
      </c>
      <c r="F3491" s="1" t="s">
        <v>69</v>
      </c>
      <c r="G3491" s="1" t="s">
        <v>22</v>
      </c>
      <c r="H3491" s="1" t="s">
        <v>133</v>
      </c>
      <c r="I3491" s="1">
        <v>236.04</v>
      </c>
      <c r="J3491" s="1">
        <v>3</v>
      </c>
      <c r="K3491" s="1">
        <v>708.12</v>
      </c>
      <c r="L3491" s="1">
        <v>20</v>
      </c>
      <c r="M3491" s="1">
        <v>141.62</v>
      </c>
      <c r="N3491" s="1">
        <v>566.5</v>
      </c>
      <c r="O3491" s="1" t="s">
        <v>64</v>
      </c>
      <c r="P3491" s="1" t="s">
        <v>455</v>
      </c>
      <c r="Q3491" s="1">
        <v>4</v>
      </c>
      <c r="R3491" s="1">
        <f>Retail_Sales_Analyis[[#This Row],[Final_Price]]-Retail_Sales_Analyis[[#This Row],[Total_Price]]</f>
        <v>-141.62</v>
      </c>
      <c r="S34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92" spans="1:19" x14ac:dyDescent="0.25">
      <c r="A3492" s="1" t="s">
        <v>4603</v>
      </c>
      <c r="B3492" s="2">
        <v>45542</v>
      </c>
      <c r="C3492" s="1" t="s">
        <v>116</v>
      </c>
      <c r="D3492" s="1" t="s">
        <v>19</v>
      </c>
      <c r="E3492" s="1" t="s">
        <v>196</v>
      </c>
      <c r="F3492" s="1" t="s">
        <v>69</v>
      </c>
      <c r="G3492" s="1" t="s">
        <v>57</v>
      </c>
      <c r="H3492" s="1" t="s">
        <v>101</v>
      </c>
      <c r="I3492" s="1">
        <v>359.98</v>
      </c>
      <c r="J3492" s="1">
        <v>9</v>
      </c>
      <c r="K3492" s="1">
        <v>3239.82</v>
      </c>
      <c r="L3492" s="1">
        <v>20</v>
      </c>
      <c r="M3492" s="1">
        <v>647.96</v>
      </c>
      <c r="N3492" s="1">
        <v>2591.86</v>
      </c>
      <c r="O3492" s="1" t="s">
        <v>33</v>
      </c>
      <c r="P3492" s="1" t="s">
        <v>1412</v>
      </c>
      <c r="Q3492" s="1">
        <v>5</v>
      </c>
      <c r="R3492" s="1">
        <f>Retail_Sales_Analyis[[#This Row],[Final_Price]]-Retail_Sales_Analyis[[#This Row],[Total_Price]]</f>
        <v>-647.96</v>
      </c>
      <c r="S34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93" spans="1:19" x14ac:dyDescent="0.25">
      <c r="A3493" s="1" t="s">
        <v>4604</v>
      </c>
      <c r="B3493" s="2">
        <v>45439</v>
      </c>
      <c r="C3493" s="1" t="s">
        <v>42</v>
      </c>
      <c r="D3493" s="1" t="s">
        <v>43</v>
      </c>
      <c r="E3493" s="1" t="s">
        <v>285</v>
      </c>
      <c r="F3493" s="1" t="s">
        <v>69</v>
      </c>
      <c r="G3493" s="1" t="s">
        <v>38</v>
      </c>
      <c r="H3493" s="1" t="s">
        <v>422</v>
      </c>
      <c r="I3493" s="1">
        <v>534.30999999999995</v>
      </c>
      <c r="J3493" s="1">
        <v>8</v>
      </c>
      <c r="K3493" s="1">
        <v>4274.4799999999996</v>
      </c>
      <c r="L3493" s="1">
        <v>0</v>
      </c>
      <c r="M3493" s="1">
        <v>0</v>
      </c>
      <c r="N3493" s="1">
        <v>4274.4799999999996</v>
      </c>
      <c r="O3493" s="1" t="s">
        <v>46</v>
      </c>
      <c r="P3493" s="1" t="s">
        <v>360</v>
      </c>
      <c r="Q3493" s="1">
        <v>3</v>
      </c>
      <c r="R3493" s="1">
        <f>Retail_Sales_Analyis[[#This Row],[Final_Price]]-Retail_Sales_Analyis[[#This Row],[Total_Price]]</f>
        <v>0</v>
      </c>
      <c r="S34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94" spans="1:19" x14ac:dyDescent="0.25">
      <c r="A3494" s="1" t="s">
        <v>4605</v>
      </c>
      <c r="B3494" s="2">
        <v>45363</v>
      </c>
      <c r="C3494" s="1" t="s">
        <v>61</v>
      </c>
      <c r="D3494" s="1" t="s">
        <v>28</v>
      </c>
      <c r="E3494" s="1" t="s">
        <v>322</v>
      </c>
      <c r="F3494" s="1" t="s">
        <v>30</v>
      </c>
      <c r="G3494" s="1" t="s">
        <v>57</v>
      </c>
      <c r="H3494" s="1" t="s">
        <v>101</v>
      </c>
      <c r="I3494" s="1">
        <v>2351.02</v>
      </c>
      <c r="J3494" s="1">
        <v>8</v>
      </c>
      <c r="K3494" s="1">
        <v>18808.16</v>
      </c>
      <c r="L3494" s="1">
        <v>5</v>
      </c>
      <c r="M3494" s="1">
        <v>940.41</v>
      </c>
      <c r="N3494" s="1">
        <v>17867.75</v>
      </c>
      <c r="O3494" s="1" t="s">
        <v>24</v>
      </c>
      <c r="P3494" s="1" t="s">
        <v>513</v>
      </c>
      <c r="Q3494" s="1">
        <v>1</v>
      </c>
      <c r="R3494" s="1">
        <f>Retail_Sales_Analyis[[#This Row],[Final_Price]]-Retail_Sales_Analyis[[#This Row],[Total_Price]]</f>
        <v>-940.40999999999985</v>
      </c>
      <c r="S349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495" spans="1:19" x14ac:dyDescent="0.25">
      <c r="A3495" s="1" t="s">
        <v>4606</v>
      </c>
      <c r="B3495" s="2">
        <v>45387</v>
      </c>
      <c r="C3495" s="1" t="s">
        <v>54</v>
      </c>
      <c r="D3495" s="1" t="s">
        <v>144</v>
      </c>
      <c r="E3495" s="1" t="s">
        <v>157</v>
      </c>
      <c r="F3495" s="1" t="s">
        <v>84</v>
      </c>
      <c r="G3495" s="1" t="s">
        <v>169</v>
      </c>
      <c r="H3495" s="1" t="s">
        <v>348</v>
      </c>
      <c r="I3495" s="1">
        <v>1111.1099999999999</v>
      </c>
      <c r="J3495" s="1">
        <v>4</v>
      </c>
      <c r="K3495" s="1">
        <v>4444.4399999999996</v>
      </c>
      <c r="L3495" s="1">
        <v>15</v>
      </c>
      <c r="M3495" s="1">
        <v>666.67</v>
      </c>
      <c r="N3495" s="1">
        <v>3777.77</v>
      </c>
      <c r="O3495" s="1" t="s">
        <v>64</v>
      </c>
      <c r="P3495" s="1" t="s">
        <v>580</v>
      </c>
      <c r="Q3495" s="1">
        <v>4</v>
      </c>
      <c r="R3495" s="1">
        <f>Retail_Sales_Analyis[[#This Row],[Final_Price]]-Retail_Sales_Analyis[[#This Row],[Total_Price]]</f>
        <v>-666.66999999999962</v>
      </c>
      <c r="S34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96" spans="1:19" x14ac:dyDescent="0.25">
      <c r="A3496" s="1" t="s">
        <v>4607</v>
      </c>
      <c r="B3496" s="2">
        <v>45453</v>
      </c>
      <c r="C3496" s="1" t="s">
        <v>173</v>
      </c>
      <c r="D3496" s="1" t="s">
        <v>43</v>
      </c>
      <c r="E3496" s="1" t="s">
        <v>174</v>
      </c>
      <c r="F3496" s="1" t="s">
        <v>37</v>
      </c>
      <c r="G3496" s="1" t="s">
        <v>78</v>
      </c>
      <c r="H3496" s="1" t="s">
        <v>136</v>
      </c>
      <c r="I3496" s="1">
        <v>378.77</v>
      </c>
      <c r="J3496" s="1">
        <v>9</v>
      </c>
      <c r="K3496" s="1">
        <v>3408.93</v>
      </c>
      <c r="L3496" s="1">
        <v>20</v>
      </c>
      <c r="M3496" s="1">
        <v>681.79</v>
      </c>
      <c r="N3496" s="1">
        <v>2727.14</v>
      </c>
      <c r="O3496" s="1" t="s">
        <v>80</v>
      </c>
      <c r="P3496" s="1" t="s">
        <v>823</v>
      </c>
      <c r="Q3496" s="1">
        <v>4</v>
      </c>
      <c r="R3496" s="1">
        <f>Retail_Sales_Analyis[[#This Row],[Final_Price]]-Retail_Sales_Analyis[[#This Row],[Total_Price]]</f>
        <v>-681.79</v>
      </c>
      <c r="S34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497" spans="1:19" x14ac:dyDescent="0.25">
      <c r="A3497" s="1" t="s">
        <v>4608</v>
      </c>
      <c r="B3497" s="2">
        <v>45522</v>
      </c>
      <c r="C3497" s="1" t="s">
        <v>93</v>
      </c>
      <c r="D3497" s="1" t="s">
        <v>49</v>
      </c>
      <c r="E3497" s="1" t="s">
        <v>132</v>
      </c>
      <c r="F3497" s="1" t="s">
        <v>30</v>
      </c>
      <c r="G3497" s="1" t="s">
        <v>78</v>
      </c>
      <c r="H3497" s="1" t="s">
        <v>126</v>
      </c>
      <c r="I3497" s="1">
        <v>363.43</v>
      </c>
      <c r="J3497" s="1">
        <v>6</v>
      </c>
      <c r="K3497" s="1">
        <v>2180.58</v>
      </c>
      <c r="L3497" s="1">
        <v>10</v>
      </c>
      <c r="M3497" s="1">
        <v>218.06</v>
      </c>
      <c r="N3497" s="1">
        <v>1962.52</v>
      </c>
      <c r="O3497" s="1" t="s">
        <v>33</v>
      </c>
      <c r="P3497" s="1" t="s">
        <v>65</v>
      </c>
      <c r="Q3497" s="1">
        <v>4</v>
      </c>
      <c r="R3497" s="1">
        <f>Retail_Sales_Analyis[[#This Row],[Final_Price]]-Retail_Sales_Analyis[[#This Row],[Total_Price]]</f>
        <v>-218.05999999999995</v>
      </c>
      <c r="S34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498" spans="1:19" x14ac:dyDescent="0.25">
      <c r="A3498" s="1" t="s">
        <v>4609</v>
      </c>
      <c r="B3498" s="2">
        <v>45609</v>
      </c>
      <c r="C3498" s="1" t="s">
        <v>18</v>
      </c>
      <c r="D3498" s="1" t="s">
        <v>55</v>
      </c>
      <c r="E3498" s="1" t="s">
        <v>111</v>
      </c>
      <c r="F3498" s="1" t="s">
        <v>21</v>
      </c>
      <c r="G3498" s="1" t="s">
        <v>57</v>
      </c>
      <c r="H3498" s="1" t="s">
        <v>101</v>
      </c>
      <c r="I3498" s="1">
        <v>2980.01</v>
      </c>
      <c r="J3498" s="1">
        <v>7</v>
      </c>
      <c r="K3498" s="1">
        <v>20860.07</v>
      </c>
      <c r="L3498" s="1">
        <v>0</v>
      </c>
      <c r="M3498" s="1">
        <v>0</v>
      </c>
      <c r="N3498" s="1">
        <v>20860.07</v>
      </c>
      <c r="O3498" s="1" t="s">
        <v>46</v>
      </c>
      <c r="P3498" s="1" t="s">
        <v>843</v>
      </c>
      <c r="Q3498" s="1">
        <v>4</v>
      </c>
      <c r="R3498" s="1">
        <f>Retail_Sales_Analyis[[#This Row],[Final_Price]]-Retail_Sales_Analyis[[#This Row],[Total_Price]]</f>
        <v>0</v>
      </c>
      <c r="S34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499" spans="1:19" x14ac:dyDescent="0.25">
      <c r="A3499" s="1" t="s">
        <v>4610</v>
      </c>
      <c r="B3499" s="2">
        <v>45319</v>
      </c>
      <c r="C3499" s="1" t="s">
        <v>36</v>
      </c>
      <c r="D3499" s="1" t="s">
        <v>49</v>
      </c>
      <c r="E3499" s="1" t="s">
        <v>89</v>
      </c>
      <c r="F3499" s="1" t="s">
        <v>69</v>
      </c>
      <c r="G3499" s="1" t="s">
        <v>57</v>
      </c>
      <c r="H3499" s="1" t="s">
        <v>101</v>
      </c>
      <c r="I3499" s="1">
        <v>1572.01</v>
      </c>
      <c r="J3499" s="1">
        <v>8</v>
      </c>
      <c r="K3499" s="1">
        <v>12576.08</v>
      </c>
      <c r="L3499" s="1">
        <v>15</v>
      </c>
      <c r="M3499" s="1">
        <v>1886.41</v>
      </c>
      <c r="N3499" s="1">
        <v>10689.67</v>
      </c>
      <c r="O3499" s="1" t="s">
        <v>33</v>
      </c>
      <c r="P3499" s="1" t="s">
        <v>2480</v>
      </c>
      <c r="Q3499" s="1">
        <v>3</v>
      </c>
      <c r="R3499" s="1">
        <f>Retail_Sales_Analyis[[#This Row],[Final_Price]]-Retail_Sales_Analyis[[#This Row],[Total_Price]]</f>
        <v>-1886.4099999999999</v>
      </c>
      <c r="S34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00" spans="1:19" x14ac:dyDescent="0.25">
      <c r="A3500" s="1" t="s">
        <v>4611</v>
      </c>
      <c r="B3500" s="2">
        <v>45475</v>
      </c>
      <c r="C3500" s="1" t="s">
        <v>195</v>
      </c>
      <c r="D3500" s="1" t="s">
        <v>28</v>
      </c>
      <c r="E3500" s="1" t="s">
        <v>132</v>
      </c>
      <c r="F3500" s="1" t="s">
        <v>30</v>
      </c>
      <c r="G3500" s="1" t="s">
        <v>38</v>
      </c>
      <c r="H3500" s="1" t="s">
        <v>422</v>
      </c>
      <c r="I3500" s="1">
        <v>462.77</v>
      </c>
      <c r="J3500" s="1">
        <v>7</v>
      </c>
      <c r="K3500" s="1">
        <v>3239.39</v>
      </c>
      <c r="L3500" s="1">
        <v>5</v>
      </c>
      <c r="M3500" s="1">
        <v>161.97</v>
      </c>
      <c r="N3500" s="1">
        <v>3077.42</v>
      </c>
      <c r="O3500" s="1" t="s">
        <v>80</v>
      </c>
      <c r="P3500" s="1" t="s">
        <v>2062</v>
      </c>
      <c r="Q3500" s="1">
        <v>3</v>
      </c>
      <c r="R3500" s="1">
        <f>Retail_Sales_Analyis[[#This Row],[Final_Price]]-Retail_Sales_Analyis[[#This Row],[Total_Price]]</f>
        <v>-161.9699999999998</v>
      </c>
      <c r="S35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01" spans="1:19" x14ac:dyDescent="0.25">
      <c r="A3501" s="1" t="s">
        <v>4612</v>
      </c>
      <c r="B3501" s="2">
        <v>45296</v>
      </c>
      <c r="C3501" s="1" t="s">
        <v>36</v>
      </c>
      <c r="D3501" s="1" t="s">
        <v>144</v>
      </c>
      <c r="E3501" s="1" t="s">
        <v>166</v>
      </c>
      <c r="F3501" s="1" t="s">
        <v>37</v>
      </c>
      <c r="G3501" s="1" t="s">
        <v>31</v>
      </c>
      <c r="H3501" s="1" t="s">
        <v>329</v>
      </c>
      <c r="I3501" s="1">
        <v>206.99</v>
      </c>
      <c r="J3501" s="1">
        <v>4</v>
      </c>
      <c r="K3501" s="1">
        <v>827.96</v>
      </c>
      <c r="L3501" s="1">
        <v>0</v>
      </c>
      <c r="M3501" s="1">
        <v>0</v>
      </c>
      <c r="N3501" s="1">
        <v>827.96</v>
      </c>
      <c r="O3501" s="1" t="s">
        <v>33</v>
      </c>
      <c r="P3501" s="1" t="s">
        <v>798</v>
      </c>
      <c r="Q3501" s="1">
        <v>3</v>
      </c>
      <c r="R3501" s="1">
        <f>Retail_Sales_Analyis[[#This Row],[Final_Price]]-Retail_Sales_Analyis[[#This Row],[Total_Price]]</f>
        <v>0</v>
      </c>
      <c r="S35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2" spans="1:19" x14ac:dyDescent="0.25">
      <c r="A3502" s="1" t="s">
        <v>4613</v>
      </c>
      <c r="B3502" s="2">
        <v>45540</v>
      </c>
      <c r="C3502" s="1" t="s">
        <v>116</v>
      </c>
      <c r="D3502" s="1" t="s">
        <v>67</v>
      </c>
      <c r="E3502" s="1" t="s">
        <v>236</v>
      </c>
      <c r="F3502" s="1" t="s">
        <v>84</v>
      </c>
      <c r="G3502" s="1" t="s">
        <v>85</v>
      </c>
      <c r="H3502" s="1" t="s">
        <v>180</v>
      </c>
      <c r="I3502" s="1">
        <v>1094.07</v>
      </c>
      <c r="J3502" s="1">
        <v>6</v>
      </c>
      <c r="K3502" s="1">
        <v>6564.42</v>
      </c>
      <c r="L3502" s="1">
        <v>0</v>
      </c>
      <c r="M3502" s="1">
        <v>0</v>
      </c>
      <c r="N3502" s="1">
        <v>6564.42</v>
      </c>
      <c r="O3502" s="1" t="s">
        <v>33</v>
      </c>
      <c r="P3502" s="1" t="s">
        <v>1341</v>
      </c>
      <c r="Q3502" s="1">
        <v>4</v>
      </c>
      <c r="R3502" s="1">
        <f>Retail_Sales_Analyis[[#This Row],[Final_Price]]-Retail_Sales_Analyis[[#This Row],[Total_Price]]</f>
        <v>0</v>
      </c>
      <c r="S35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3" spans="1:19" x14ac:dyDescent="0.25">
      <c r="A3503" s="1" t="s">
        <v>4614</v>
      </c>
      <c r="B3503" s="2">
        <v>45361</v>
      </c>
      <c r="C3503" s="1" t="s">
        <v>61</v>
      </c>
      <c r="D3503" s="1" t="s">
        <v>49</v>
      </c>
      <c r="E3503" s="1" t="s">
        <v>125</v>
      </c>
      <c r="F3503" s="1" t="s">
        <v>84</v>
      </c>
      <c r="G3503" s="1" t="s">
        <v>112</v>
      </c>
      <c r="H3503" s="1" t="s">
        <v>183</v>
      </c>
      <c r="I3503" s="1">
        <v>1587.46</v>
      </c>
      <c r="J3503" s="1">
        <v>9</v>
      </c>
      <c r="K3503" s="1">
        <v>14287.14</v>
      </c>
      <c r="L3503" s="1">
        <v>10</v>
      </c>
      <c r="M3503" s="1">
        <v>1428.71</v>
      </c>
      <c r="N3503" s="1">
        <v>12858.43</v>
      </c>
      <c r="O3503" s="1" t="s">
        <v>33</v>
      </c>
      <c r="P3503" s="1" t="s">
        <v>549</v>
      </c>
      <c r="Q3503" s="1">
        <v>3</v>
      </c>
      <c r="R3503" s="1">
        <f>Retail_Sales_Analyis[[#This Row],[Final_Price]]-Retail_Sales_Analyis[[#This Row],[Total_Price]]</f>
        <v>-1428.7099999999991</v>
      </c>
      <c r="S35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04" spans="1:19" x14ac:dyDescent="0.25">
      <c r="A3504" s="1" t="s">
        <v>4615</v>
      </c>
      <c r="B3504" s="2">
        <v>45391</v>
      </c>
      <c r="C3504" s="1" t="s">
        <v>54</v>
      </c>
      <c r="D3504" s="1" t="s">
        <v>28</v>
      </c>
      <c r="E3504" s="1" t="s">
        <v>77</v>
      </c>
      <c r="F3504" s="1" t="s">
        <v>69</v>
      </c>
      <c r="G3504" s="1" t="s">
        <v>78</v>
      </c>
      <c r="H3504" s="1" t="s">
        <v>79</v>
      </c>
      <c r="I3504" s="1">
        <v>256.66000000000003</v>
      </c>
      <c r="J3504" s="1">
        <v>6</v>
      </c>
      <c r="K3504" s="1">
        <v>1539.96</v>
      </c>
      <c r="L3504" s="1">
        <v>0</v>
      </c>
      <c r="M3504" s="1">
        <v>0</v>
      </c>
      <c r="N3504" s="1">
        <v>1539.96</v>
      </c>
      <c r="O3504" s="1" t="s">
        <v>80</v>
      </c>
      <c r="P3504" s="1" t="s">
        <v>526</v>
      </c>
      <c r="Q3504" s="1">
        <v>1</v>
      </c>
      <c r="R3504" s="1">
        <f>Retail_Sales_Analyis[[#This Row],[Final_Price]]-Retail_Sales_Analyis[[#This Row],[Total_Price]]</f>
        <v>0</v>
      </c>
      <c r="S35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5" spans="1:19" x14ac:dyDescent="0.25">
      <c r="A3505" s="1" t="s">
        <v>4616</v>
      </c>
      <c r="B3505" s="2">
        <v>45488</v>
      </c>
      <c r="C3505" s="1" t="s">
        <v>195</v>
      </c>
      <c r="D3505" s="1" t="s">
        <v>43</v>
      </c>
      <c r="E3505" s="1" t="s">
        <v>207</v>
      </c>
      <c r="F3505" s="1" t="s">
        <v>84</v>
      </c>
      <c r="G3505" s="1" t="s">
        <v>112</v>
      </c>
      <c r="H3505" s="1" t="s">
        <v>118</v>
      </c>
      <c r="I3505" s="1">
        <v>844.36</v>
      </c>
      <c r="J3505" s="1">
        <v>4</v>
      </c>
      <c r="K3505" s="1">
        <v>3377.44</v>
      </c>
      <c r="L3505" s="1">
        <v>0</v>
      </c>
      <c r="M3505" s="1">
        <v>0</v>
      </c>
      <c r="N3505" s="1">
        <v>3377.44</v>
      </c>
      <c r="O3505" s="1" t="s">
        <v>80</v>
      </c>
      <c r="P3505" s="1" t="s">
        <v>1770</v>
      </c>
      <c r="Q3505" s="1">
        <v>3</v>
      </c>
      <c r="R3505" s="1">
        <f>Retail_Sales_Analyis[[#This Row],[Final_Price]]-Retail_Sales_Analyis[[#This Row],[Total_Price]]</f>
        <v>0</v>
      </c>
      <c r="S35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6" spans="1:19" x14ac:dyDescent="0.25">
      <c r="A3506" s="1" t="s">
        <v>4617</v>
      </c>
      <c r="B3506" s="2">
        <v>45579</v>
      </c>
      <c r="C3506" s="1" t="s">
        <v>76</v>
      </c>
      <c r="D3506" s="1" t="s">
        <v>43</v>
      </c>
      <c r="E3506" s="1" t="s">
        <v>117</v>
      </c>
      <c r="F3506" s="1" t="s">
        <v>84</v>
      </c>
      <c r="G3506" s="1" t="s">
        <v>85</v>
      </c>
      <c r="H3506" s="1" t="s">
        <v>90</v>
      </c>
      <c r="I3506" s="1">
        <v>1483.46</v>
      </c>
      <c r="J3506" s="1">
        <v>7</v>
      </c>
      <c r="K3506" s="1">
        <v>10384.219999999999</v>
      </c>
      <c r="L3506" s="1">
        <v>10</v>
      </c>
      <c r="M3506" s="1">
        <v>1038.42</v>
      </c>
      <c r="N3506" s="1">
        <v>9345.7999999999993</v>
      </c>
      <c r="O3506" s="1" t="s">
        <v>33</v>
      </c>
      <c r="P3506" s="1" t="s">
        <v>745</v>
      </c>
      <c r="Q3506" s="1">
        <v>3</v>
      </c>
      <c r="R3506" s="1">
        <f>Retail_Sales_Analyis[[#This Row],[Final_Price]]-Retail_Sales_Analyis[[#This Row],[Total_Price]]</f>
        <v>-1038.42</v>
      </c>
      <c r="S35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07" spans="1:19" x14ac:dyDescent="0.25">
      <c r="A3507" s="1" t="s">
        <v>4618</v>
      </c>
      <c r="B3507" s="2">
        <v>45550</v>
      </c>
      <c r="C3507" s="1" t="s">
        <v>116</v>
      </c>
      <c r="D3507" s="1" t="s">
        <v>49</v>
      </c>
      <c r="E3507" s="1" t="s">
        <v>239</v>
      </c>
      <c r="F3507" s="1" t="s">
        <v>30</v>
      </c>
      <c r="G3507" s="1" t="s">
        <v>38</v>
      </c>
      <c r="H3507" s="1" t="s">
        <v>39</v>
      </c>
      <c r="I3507" s="1">
        <v>432.3</v>
      </c>
      <c r="J3507" s="1">
        <v>8</v>
      </c>
      <c r="K3507" s="1">
        <v>3458.4</v>
      </c>
      <c r="L3507" s="1">
        <v>0</v>
      </c>
      <c r="M3507" s="1">
        <v>0</v>
      </c>
      <c r="N3507" s="1">
        <v>3458.4</v>
      </c>
      <c r="O3507" s="1" t="s">
        <v>24</v>
      </c>
      <c r="P3507" s="1" t="s">
        <v>1296</v>
      </c>
      <c r="Q3507" s="1">
        <v>3</v>
      </c>
      <c r="R3507" s="1">
        <f>Retail_Sales_Analyis[[#This Row],[Final_Price]]-Retail_Sales_Analyis[[#This Row],[Total_Price]]</f>
        <v>0</v>
      </c>
      <c r="S35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08" spans="1:19" x14ac:dyDescent="0.25">
      <c r="A3508" s="1" t="s">
        <v>4619</v>
      </c>
      <c r="B3508" s="2">
        <v>45626</v>
      </c>
      <c r="C3508" s="1" t="s">
        <v>18</v>
      </c>
      <c r="D3508" s="1" t="s">
        <v>19</v>
      </c>
      <c r="E3508" s="1" t="s">
        <v>542</v>
      </c>
      <c r="F3508" s="1" t="s">
        <v>37</v>
      </c>
      <c r="G3508" s="1" t="s">
        <v>22</v>
      </c>
      <c r="H3508" s="1" t="s">
        <v>23</v>
      </c>
      <c r="I3508" s="1">
        <v>341.34</v>
      </c>
      <c r="J3508" s="1">
        <v>5</v>
      </c>
      <c r="K3508" s="1">
        <v>1706.7</v>
      </c>
      <c r="L3508" s="1">
        <v>20</v>
      </c>
      <c r="M3508" s="1">
        <v>341.34</v>
      </c>
      <c r="N3508" s="1">
        <v>1365.36</v>
      </c>
      <c r="O3508" s="1" t="s">
        <v>24</v>
      </c>
      <c r="P3508" s="1" t="s">
        <v>928</v>
      </c>
      <c r="Q3508" s="1">
        <v>3</v>
      </c>
      <c r="R3508" s="1">
        <f>Retail_Sales_Analyis[[#This Row],[Final_Price]]-Retail_Sales_Analyis[[#This Row],[Total_Price]]</f>
        <v>-341.34000000000015</v>
      </c>
      <c r="S35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09" spans="1:19" x14ac:dyDescent="0.25">
      <c r="A3509" s="1" t="s">
        <v>4620</v>
      </c>
      <c r="B3509" s="2">
        <v>45545</v>
      </c>
      <c r="C3509" s="1" t="s">
        <v>116</v>
      </c>
      <c r="D3509" s="1" t="s">
        <v>28</v>
      </c>
      <c r="E3509" s="1" t="s">
        <v>328</v>
      </c>
      <c r="F3509" s="1" t="s">
        <v>84</v>
      </c>
      <c r="G3509" s="1" t="s">
        <v>85</v>
      </c>
      <c r="H3509" s="1" t="s">
        <v>86</v>
      </c>
      <c r="I3509" s="1">
        <v>2443.86</v>
      </c>
      <c r="J3509" s="1">
        <v>4</v>
      </c>
      <c r="K3509" s="1">
        <v>9775.44</v>
      </c>
      <c r="L3509" s="1">
        <v>20</v>
      </c>
      <c r="M3509" s="1">
        <v>1955.09</v>
      </c>
      <c r="N3509" s="1">
        <v>7820.35</v>
      </c>
      <c r="O3509" s="1" t="s">
        <v>80</v>
      </c>
      <c r="P3509" s="1" t="s">
        <v>1059</v>
      </c>
      <c r="Q3509" s="1">
        <v>4</v>
      </c>
      <c r="R3509" s="1">
        <f>Retail_Sales_Analyis[[#This Row],[Final_Price]]-Retail_Sales_Analyis[[#This Row],[Total_Price]]</f>
        <v>-1955.0900000000001</v>
      </c>
      <c r="S35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10" spans="1:19" x14ac:dyDescent="0.25">
      <c r="A3510" s="1" t="s">
        <v>4621</v>
      </c>
      <c r="B3510" s="2">
        <v>45501</v>
      </c>
      <c r="C3510" s="1" t="s">
        <v>195</v>
      </c>
      <c r="D3510" s="1" t="s">
        <v>49</v>
      </c>
      <c r="E3510" s="1" t="s">
        <v>199</v>
      </c>
      <c r="F3510" s="1" t="s">
        <v>69</v>
      </c>
      <c r="G3510" s="1" t="s">
        <v>57</v>
      </c>
      <c r="H3510" s="1" t="s">
        <v>101</v>
      </c>
      <c r="I3510" s="1">
        <v>2694.39</v>
      </c>
      <c r="J3510" s="1">
        <v>7</v>
      </c>
      <c r="K3510" s="1">
        <v>18860.73</v>
      </c>
      <c r="L3510" s="1">
        <v>5</v>
      </c>
      <c r="M3510" s="1">
        <v>943.04</v>
      </c>
      <c r="N3510" s="1">
        <v>17917.689999999999</v>
      </c>
      <c r="O3510" s="1" t="s">
        <v>46</v>
      </c>
      <c r="P3510" s="1" t="s">
        <v>1264</v>
      </c>
      <c r="Q3510" s="1">
        <v>4</v>
      </c>
      <c r="R3510" s="1">
        <f>Retail_Sales_Analyis[[#This Row],[Final_Price]]-Retail_Sales_Analyis[[#This Row],[Total_Price]]</f>
        <v>-943.04000000000087</v>
      </c>
      <c r="S35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11" spans="1:19" x14ac:dyDescent="0.25">
      <c r="A3511" s="1" t="s">
        <v>4622</v>
      </c>
      <c r="B3511" s="2">
        <v>45642</v>
      </c>
      <c r="C3511" s="1" t="s">
        <v>73</v>
      </c>
      <c r="D3511" s="1" t="s">
        <v>43</v>
      </c>
      <c r="E3511" s="1" t="s">
        <v>50</v>
      </c>
      <c r="F3511" s="1" t="s">
        <v>69</v>
      </c>
      <c r="G3511" s="1" t="s">
        <v>22</v>
      </c>
      <c r="H3511" s="1" t="s">
        <v>133</v>
      </c>
      <c r="I3511" s="1">
        <v>398.11</v>
      </c>
      <c r="J3511" s="1">
        <v>3</v>
      </c>
      <c r="K3511" s="1">
        <v>1194.33</v>
      </c>
      <c r="L3511" s="1">
        <v>5</v>
      </c>
      <c r="M3511" s="1">
        <v>59.72</v>
      </c>
      <c r="N3511" s="1">
        <v>1134.6099999999999</v>
      </c>
      <c r="O3511" s="1" t="s">
        <v>64</v>
      </c>
      <c r="P3511" s="1" t="s">
        <v>1705</v>
      </c>
      <c r="Q3511" s="1">
        <v>5</v>
      </c>
      <c r="R3511" s="1">
        <f>Retail_Sales_Analyis[[#This Row],[Final_Price]]-Retail_Sales_Analyis[[#This Row],[Total_Price]]</f>
        <v>-59.720000000000027</v>
      </c>
      <c r="S35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12" spans="1:19" x14ac:dyDescent="0.25">
      <c r="A3512" s="1" t="s">
        <v>4623</v>
      </c>
      <c r="B3512" s="2">
        <v>45543</v>
      </c>
      <c r="C3512" s="1" t="s">
        <v>116</v>
      </c>
      <c r="D3512" s="1" t="s">
        <v>49</v>
      </c>
      <c r="E3512" s="1" t="s">
        <v>192</v>
      </c>
      <c r="F3512" s="1" t="s">
        <v>37</v>
      </c>
      <c r="G3512" s="1" t="s">
        <v>169</v>
      </c>
      <c r="H3512" s="1" t="s">
        <v>175</v>
      </c>
      <c r="I3512" s="1">
        <v>1013.56</v>
      </c>
      <c r="J3512" s="1">
        <v>1</v>
      </c>
      <c r="K3512" s="1">
        <v>1013.56</v>
      </c>
      <c r="L3512" s="1">
        <v>15</v>
      </c>
      <c r="M3512" s="1">
        <v>152.03</v>
      </c>
      <c r="N3512" s="1">
        <v>861.53</v>
      </c>
      <c r="O3512" s="1" t="s">
        <v>80</v>
      </c>
      <c r="P3512" s="1" t="s">
        <v>1855</v>
      </c>
      <c r="Q3512" s="1">
        <v>3</v>
      </c>
      <c r="R3512" s="1">
        <f>Retail_Sales_Analyis[[#This Row],[Final_Price]]-Retail_Sales_Analyis[[#This Row],[Total_Price]]</f>
        <v>-152.02999999999997</v>
      </c>
      <c r="S35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13" spans="1:19" x14ac:dyDescent="0.25">
      <c r="A3513" s="1" t="s">
        <v>4624</v>
      </c>
      <c r="B3513" s="2">
        <v>45504</v>
      </c>
      <c r="C3513" s="1" t="s">
        <v>195</v>
      </c>
      <c r="D3513" s="1" t="s">
        <v>55</v>
      </c>
      <c r="E3513" s="1" t="s">
        <v>141</v>
      </c>
      <c r="F3513" s="1" t="s">
        <v>37</v>
      </c>
      <c r="G3513" s="1" t="s">
        <v>169</v>
      </c>
      <c r="H3513" s="1" t="s">
        <v>208</v>
      </c>
      <c r="I3513" s="1">
        <v>514.85</v>
      </c>
      <c r="J3513" s="1">
        <v>8</v>
      </c>
      <c r="K3513" s="1">
        <v>4118.8</v>
      </c>
      <c r="L3513" s="1">
        <v>5</v>
      </c>
      <c r="M3513" s="1">
        <v>205.94</v>
      </c>
      <c r="N3513" s="1">
        <v>3912.86</v>
      </c>
      <c r="O3513" s="1" t="s">
        <v>24</v>
      </c>
      <c r="P3513" s="1" t="s">
        <v>1779</v>
      </c>
      <c r="Q3513" s="1">
        <v>4</v>
      </c>
      <c r="R3513" s="1">
        <f>Retail_Sales_Analyis[[#This Row],[Final_Price]]-Retail_Sales_Analyis[[#This Row],[Total_Price]]</f>
        <v>-205.94000000000005</v>
      </c>
      <c r="S35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14" spans="1:19" x14ac:dyDescent="0.25">
      <c r="A3514" s="1" t="s">
        <v>4625</v>
      </c>
      <c r="B3514" s="2">
        <v>45655</v>
      </c>
      <c r="C3514" s="1" t="s">
        <v>73</v>
      </c>
      <c r="D3514" s="1" t="s">
        <v>49</v>
      </c>
      <c r="E3514" s="1" t="s">
        <v>83</v>
      </c>
      <c r="F3514" s="1" t="s">
        <v>84</v>
      </c>
      <c r="G3514" s="1" t="s">
        <v>78</v>
      </c>
      <c r="H3514" s="1" t="s">
        <v>79</v>
      </c>
      <c r="I3514" s="1">
        <v>326.27999999999997</v>
      </c>
      <c r="J3514" s="1">
        <v>9</v>
      </c>
      <c r="K3514" s="1">
        <v>2936.52</v>
      </c>
      <c r="L3514" s="1">
        <v>0</v>
      </c>
      <c r="M3514" s="1">
        <v>0</v>
      </c>
      <c r="N3514" s="1">
        <v>2936.52</v>
      </c>
      <c r="O3514" s="1" t="s">
        <v>80</v>
      </c>
      <c r="P3514" s="1" t="s">
        <v>1125</v>
      </c>
      <c r="Q3514" s="1">
        <v>4</v>
      </c>
      <c r="R3514" s="1">
        <f>Retail_Sales_Analyis[[#This Row],[Final_Price]]-Retail_Sales_Analyis[[#This Row],[Total_Price]]</f>
        <v>0</v>
      </c>
      <c r="S35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15" spans="1:19" x14ac:dyDescent="0.25">
      <c r="A3515" s="1" t="s">
        <v>4626</v>
      </c>
      <c r="B3515" s="2">
        <v>45519</v>
      </c>
      <c r="C3515" s="1" t="s">
        <v>93</v>
      </c>
      <c r="D3515" s="1" t="s">
        <v>67</v>
      </c>
      <c r="E3515" s="1" t="s">
        <v>239</v>
      </c>
      <c r="F3515" s="1" t="s">
        <v>30</v>
      </c>
      <c r="G3515" s="1" t="s">
        <v>31</v>
      </c>
      <c r="H3515" s="1" t="s">
        <v>250</v>
      </c>
      <c r="I3515" s="1">
        <v>283.27</v>
      </c>
      <c r="J3515" s="1">
        <v>4</v>
      </c>
      <c r="K3515" s="1">
        <v>1133.08</v>
      </c>
      <c r="L3515" s="1">
        <v>20</v>
      </c>
      <c r="M3515" s="1">
        <v>226.62</v>
      </c>
      <c r="N3515" s="1">
        <v>906.46</v>
      </c>
      <c r="O3515" s="1" t="s">
        <v>24</v>
      </c>
      <c r="P3515" s="1" t="s">
        <v>2143</v>
      </c>
      <c r="Q3515" s="1">
        <v>4</v>
      </c>
      <c r="R3515" s="1">
        <f>Retail_Sales_Analyis[[#This Row],[Final_Price]]-Retail_Sales_Analyis[[#This Row],[Total_Price]]</f>
        <v>-226.61999999999989</v>
      </c>
      <c r="S35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16" spans="1:19" x14ac:dyDescent="0.25">
      <c r="A3516" s="1" t="s">
        <v>4627</v>
      </c>
      <c r="B3516" s="2">
        <v>45542</v>
      </c>
      <c r="C3516" s="1" t="s">
        <v>116</v>
      </c>
      <c r="D3516" s="1" t="s">
        <v>19</v>
      </c>
      <c r="E3516" s="1" t="s">
        <v>132</v>
      </c>
      <c r="F3516" s="1" t="s">
        <v>21</v>
      </c>
      <c r="G3516" s="1" t="s">
        <v>57</v>
      </c>
      <c r="H3516" s="1" t="s">
        <v>158</v>
      </c>
      <c r="I3516" s="1">
        <v>1452.12</v>
      </c>
      <c r="J3516" s="1">
        <v>6</v>
      </c>
      <c r="K3516" s="1">
        <v>8712.7199999999993</v>
      </c>
      <c r="L3516" s="1">
        <v>0</v>
      </c>
      <c r="M3516" s="1">
        <v>0</v>
      </c>
      <c r="N3516" s="1">
        <v>8712.7199999999993</v>
      </c>
      <c r="O3516" s="1" t="s">
        <v>33</v>
      </c>
      <c r="P3516" s="1" t="s">
        <v>259</v>
      </c>
      <c r="Q3516" s="1">
        <v>5</v>
      </c>
      <c r="R3516" s="1">
        <f>Retail_Sales_Analyis[[#This Row],[Final_Price]]-Retail_Sales_Analyis[[#This Row],[Total_Price]]</f>
        <v>0</v>
      </c>
      <c r="S35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17" spans="1:19" x14ac:dyDescent="0.25">
      <c r="A3517" s="1" t="s">
        <v>4628</v>
      </c>
      <c r="B3517" s="2">
        <v>45377</v>
      </c>
      <c r="C3517" s="1" t="s">
        <v>61</v>
      </c>
      <c r="D3517" s="1" t="s">
        <v>28</v>
      </c>
      <c r="E3517" s="1" t="s">
        <v>342</v>
      </c>
      <c r="F3517" s="1" t="s">
        <v>21</v>
      </c>
      <c r="G3517" s="1" t="s">
        <v>78</v>
      </c>
      <c r="H3517" s="1" t="s">
        <v>79</v>
      </c>
      <c r="I3517" s="1">
        <v>575.63</v>
      </c>
      <c r="J3517" s="1">
        <v>6</v>
      </c>
      <c r="K3517" s="1">
        <v>3453.78</v>
      </c>
      <c r="L3517" s="1">
        <v>15</v>
      </c>
      <c r="M3517" s="1">
        <v>518.07000000000005</v>
      </c>
      <c r="N3517" s="1">
        <v>2935.71</v>
      </c>
      <c r="O3517" s="1" t="s">
        <v>64</v>
      </c>
      <c r="P3517" s="1" t="s">
        <v>1652</v>
      </c>
      <c r="Q3517" s="1">
        <v>4</v>
      </c>
      <c r="R3517" s="1">
        <f>Retail_Sales_Analyis[[#This Row],[Final_Price]]-Retail_Sales_Analyis[[#This Row],[Total_Price]]</f>
        <v>-518.07000000000016</v>
      </c>
      <c r="S35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18" spans="1:19" x14ac:dyDescent="0.25">
      <c r="A3518" s="1" t="s">
        <v>4629</v>
      </c>
      <c r="B3518" s="2">
        <v>45334</v>
      </c>
      <c r="C3518" s="1" t="s">
        <v>27</v>
      </c>
      <c r="D3518" s="1" t="s">
        <v>43</v>
      </c>
      <c r="E3518" s="1" t="s">
        <v>174</v>
      </c>
      <c r="F3518" s="1" t="s">
        <v>69</v>
      </c>
      <c r="G3518" s="1" t="s">
        <v>31</v>
      </c>
      <c r="H3518" s="1" t="s">
        <v>329</v>
      </c>
      <c r="I3518" s="1">
        <v>376.79</v>
      </c>
      <c r="J3518" s="1">
        <v>9</v>
      </c>
      <c r="K3518" s="1">
        <v>3391.11</v>
      </c>
      <c r="L3518" s="1">
        <v>5</v>
      </c>
      <c r="M3518" s="1">
        <v>169.56</v>
      </c>
      <c r="N3518" s="1">
        <v>3221.55</v>
      </c>
      <c r="O3518" s="1" t="s">
        <v>46</v>
      </c>
      <c r="P3518" s="1" t="s">
        <v>665</v>
      </c>
      <c r="Q3518" s="1">
        <v>4</v>
      </c>
      <c r="R3518" s="1">
        <f>Retail_Sales_Analyis[[#This Row],[Final_Price]]-Retail_Sales_Analyis[[#This Row],[Total_Price]]</f>
        <v>-169.55999999999995</v>
      </c>
      <c r="S35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19" spans="1:19" x14ac:dyDescent="0.25">
      <c r="A3519" s="1" t="s">
        <v>4630</v>
      </c>
      <c r="B3519" s="2">
        <v>45581</v>
      </c>
      <c r="C3519" s="1" t="s">
        <v>76</v>
      </c>
      <c r="D3519" s="1" t="s">
        <v>55</v>
      </c>
      <c r="E3519" s="1" t="s">
        <v>89</v>
      </c>
      <c r="F3519" s="1" t="s">
        <v>21</v>
      </c>
      <c r="G3519" s="1" t="s">
        <v>31</v>
      </c>
      <c r="H3519" s="1" t="s">
        <v>329</v>
      </c>
      <c r="I3519" s="1">
        <v>336.43</v>
      </c>
      <c r="J3519" s="1">
        <v>9</v>
      </c>
      <c r="K3519" s="1">
        <v>3027.87</v>
      </c>
      <c r="L3519" s="1">
        <v>15</v>
      </c>
      <c r="M3519" s="1">
        <v>454.18</v>
      </c>
      <c r="N3519" s="1">
        <v>2573.69</v>
      </c>
      <c r="O3519" s="1" t="s">
        <v>24</v>
      </c>
      <c r="P3519" s="1" t="s">
        <v>3723</v>
      </c>
      <c r="Q3519" s="1">
        <v>2</v>
      </c>
      <c r="R3519" s="1">
        <f>Retail_Sales_Analyis[[#This Row],[Final_Price]]-Retail_Sales_Analyis[[#This Row],[Total_Price]]</f>
        <v>-454.17999999999984</v>
      </c>
      <c r="S35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20" spans="1:19" x14ac:dyDescent="0.25">
      <c r="A3520" s="1" t="s">
        <v>4631</v>
      </c>
      <c r="B3520" s="2">
        <v>45307</v>
      </c>
      <c r="C3520" s="1" t="s">
        <v>36</v>
      </c>
      <c r="D3520" s="1" t="s">
        <v>28</v>
      </c>
      <c r="E3520" s="1" t="s">
        <v>44</v>
      </c>
      <c r="F3520" s="1" t="s">
        <v>69</v>
      </c>
      <c r="G3520" s="1" t="s">
        <v>22</v>
      </c>
      <c r="H3520" s="1" t="s">
        <v>133</v>
      </c>
      <c r="I3520" s="1">
        <v>890.16</v>
      </c>
      <c r="J3520" s="1">
        <v>10</v>
      </c>
      <c r="K3520" s="1">
        <v>8901.6</v>
      </c>
      <c r="L3520" s="1">
        <v>0</v>
      </c>
      <c r="M3520" s="1">
        <v>0</v>
      </c>
      <c r="N3520" s="1">
        <v>8901.6</v>
      </c>
      <c r="O3520" s="1" t="s">
        <v>64</v>
      </c>
      <c r="P3520" s="1" t="s">
        <v>375</v>
      </c>
      <c r="Q3520" s="1">
        <v>2</v>
      </c>
      <c r="R3520" s="1">
        <f>Retail_Sales_Analyis[[#This Row],[Final_Price]]-Retail_Sales_Analyis[[#This Row],[Total_Price]]</f>
        <v>0</v>
      </c>
      <c r="S35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21" spans="1:19" x14ac:dyDescent="0.25">
      <c r="A3521" s="1" t="s">
        <v>4632</v>
      </c>
      <c r="B3521" s="2">
        <v>45404</v>
      </c>
      <c r="C3521" s="1" t="s">
        <v>54</v>
      </c>
      <c r="D3521" s="1" t="s">
        <v>43</v>
      </c>
      <c r="E3521" s="1" t="s">
        <v>29</v>
      </c>
      <c r="F3521" s="1" t="s">
        <v>69</v>
      </c>
      <c r="G3521" s="1" t="s">
        <v>78</v>
      </c>
      <c r="H3521" s="1" t="s">
        <v>126</v>
      </c>
      <c r="I3521" s="1">
        <v>440.07</v>
      </c>
      <c r="J3521" s="1">
        <v>9</v>
      </c>
      <c r="K3521" s="1">
        <v>3960.63</v>
      </c>
      <c r="L3521" s="1">
        <v>0</v>
      </c>
      <c r="M3521" s="1">
        <v>0</v>
      </c>
      <c r="N3521" s="1">
        <v>3960.63</v>
      </c>
      <c r="O3521" s="1" t="s">
        <v>24</v>
      </c>
      <c r="P3521" s="1" t="s">
        <v>669</v>
      </c>
      <c r="Q3521" s="1">
        <v>2</v>
      </c>
      <c r="R3521" s="1">
        <f>Retail_Sales_Analyis[[#This Row],[Final_Price]]-Retail_Sales_Analyis[[#This Row],[Total_Price]]</f>
        <v>0</v>
      </c>
      <c r="S35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22" spans="1:19" x14ac:dyDescent="0.25">
      <c r="A3522" s="1" t="s">
        <v>4633</v>
      </c>
      <c r="B3522" s="2">
        <v>45441</v>
      </c>
      <c r="C3522" s="1" t="s">
        <v>42</v>
      </c>
      <c r="D3522" s="1" t="s">
        <v>55</v>
      </c>
      <c r="E3522" s="1" t="s">
        <v>132</v>
      </c>
      <c r="F3522" s="1" t="s">
        <v>37</v>
      </c>
      <c r="G3522" s="1" t="s">
        <v>31</v>
      </c>
      <c r="H3522" s="1" t="s">
        <v>329</v>
      </c>
      <c r="I3522" s="1">
        <v>200.51</v>
      </c>
      <c r="J3522" s="1">
        <v>9</v>
      </c>
      <c r="K3522" s="1">
        <v>1804.59</v>
      </c>
      <c r="L3522" s="1">
        <v>20</v>
      </c>
      <c r="M3522" s="1">
        <v>360.92</v>
      </c>
      <c r="N3522" s="1">
        <v>1443.67</v>
      </c>
      <c r="O3522" s="1" t="s">
        <v>24</v>
      </c>
      <c r="P3522" s="1" t="s">
        <v>998</v>
      </c>
      <c r="Q3522" s="1">
        <v>4</v>
      </c>
      <c r="R3522" s="1">
        <f>Retail_Sales_Analyis[[#This Row],[Final_Price]]-Retail_Sales_Analyis[[#This Row],[Total_Price]]</f>
        <v>-360.91999999999985</v>
      </c>
      <c r="S352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23" spans="1:19" x14ac:dyDescent="0.25">
      <c r="A3523" s="1" t="s">
        <v>4634</v>
      </c>
      <c r="B3523" s="2">
        <v>45308</v>
      </c>
      <c r="C3523" s="1" t="s">
        <v>36</v>
      </c>
      <c r="D3523" s="1" t="s">
        <v>55</v>
      </c>
      <c r="E3523" s="1" t="s">
        <v>199</v>
      </c>
      <c r="F3523" s="1" t="s">
        <v>37</v>
      </c>
      <c r="G3523" s="1" t="s">
        <v>112</v>
      </c>
      <c r="H3523" s="1" t="s">
        <v>288</v>
      </c>
      <c r="I3523" s="1">
        <v>1767.53</v>
      </c>
      <c r="J3523" s="1">
        <v>6</v>
      </c>
      <c r="K3523" s="1">
        <v>10605.18</v>
      </c>
      <c r="L3523" s="1">
        <v>0</v>
      </c>
      <c r="M3523" s="1">
        <v>0</v>
      </c>
      <c r="N3523" s="1">
        <v>10605.18</v>
      </c>
      <c r="O3523" s="1" t="s">
        <v>24</v>
      </c>
      <c r="P3523" s="1" t="s">
        <v>2102</v>
      </c>
      <c r="Q3523" s="1">
        <v>4</v>
      </c>
      <c r="R3523" s="1">
        <f>Retail_Sales_Analyis[[#This Row],[Final_Price]]-Retail_Sales_Analyis[[#This Row],[Total_Price]]</f>
        <v>0</v>
      </c>
      <c r="S35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24" spans="1:19" x14ac:dyDescent="0.25">
      <c r="A3524" s="1" t="s">
        <v>4635</v>
      </c>
      <c r="B3524" s="2">
        <v>45432</v>
      </c>
      <c r="C3524" s="1" t="s">
        <v>42</v>
      </c>
      <c r="D3524" s="1" t="s">
        <v>43</v>
      </c>
      <c r="E3524" s="1" t="s">
        <v>139</v>
      </c>
      <c r="F3524" s="1" t="s">
        <v>30</v>
      </c>
      <c r="G3524" s="1" t="s">
        <v>112</v>
      </c>
      <c r="H3524" s="1" t="s">
        <v>288</v>
      </c>
      <c r="I3524" s="1">
        <v>1291.57</v>
      </c>
      <c r="J3524" s="1">
        <v>9</v>
      </c>
      <c r="K3524" s="1">
        <v>11624.13</v>
      </c>
      <c r="L3524" s="1">
        <v>15</v>
      </c>
      <c r="M3524" s="1">
        <v>1743.62</v>
      </c>
      <c r="N3524" s="1">
        <v>9880.51</v>
      </c>
      <c r="O3524" s="1" t="s">
        <v>46</v>
      </c>
      <c r="P3524" s="1" t="s">
        <v>2437</v>
      </c>
      <c r="Q3524" s="1">
        <v>4</v>
      </c>
      <c r="R3524" s="1">
        <f>Retail_Sales_Analyis[[#This Row],[Final_Price]]-Retail_Sales_Analyis[[#This Row],[Total_Price]]</f>
        <v>-1743.619999999999</v>
      </c>
      <c r="S35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25" spans="1:19" x14ac:dyDescent="0.25">
      <c r="A3525" s="1" t="s">
        <v>4636</v>
      </c>
      <c r="B3525" s="2">
        <v>45407</v>
      </c>
      <c r="C3525" s="1" t="s">
        <v>54</v>
      </c>
      <c r="D3525" s="1" t="s">
        <v>67</v>
      </c>
      <c r="E3525" s="1" t="s">
        <v>145</v>
      </c>
      <c r="F3525" s="1" t="s">
        <v>69</v>
      </c>
      <c r="G3525" s="1" t="s">
        <v>57</v>
      </c>
      <c r="H3525" s="1" t="s">
        <v>152</v>
      </c>
      <c r="I3525" s="1">
        <v>838.39</v>
      </c>
      <c r="J3525" s="1">
        <v>9</v>
      </c>
      <c r="K3525" s="1">
        <v>7545.51</v>
      </c>
      <c r="L3525" s="1">
        <v>20</v>
      </c>
      <c r="M3525" s="1">
        <v>1509.1</v>
      </c>
      <c r="N3525" s="1">
        <v>6036.41</v>
      </c>
      <c r="O3525" s="1" t="s">
        <v>46</v>
      </c>
      <c r="P3525" s="1" t="s">
        <v>2520</v>
      </c>
      <c r="Q3525" s="1">
        <v>4</v>
      </c>
      <c r="R3525" s="1">
        <f>Retail_Sales_Analyis[[#This Row],[Final_Price]]-Retail_Sales_Analyis[[#This Row],[Total_Price]]</f>
        <v>-1509.1000000000004</v>
      </c>
      <c r="S35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26" spans="1:19" x14ac:dyDescent="0.25">
      <c r="A3526" s="1" t="s">
        <v>4637</v>
      </c>
      <c r="B3526" s="2">
        <v>45567</v>
      </c>
      <c r="C3526" s="1" t="s">
        <v>76</v>
      </c>
      <c r="D3526" s="1" t="s">
        <v>55</v>
      </c>
      <c r="E3526" s="1" t="s">
        <v>50</v>
      </c>
      <c r="F3526" s="1" t="s">
        <v>21</v>
      </c>
      <c r="G3526" s="1" t="s">
        <v>78</v>
      </c>
      <c r="H3526" s="1" t="s">
        <v>323</v>
      </c>
      <c r="I3526" s="1">
        <v>460.54</v>
      </c>
      <c r="J3526" s="1">
        <v>1</v>
      </c>
      <c r="K3526" s="1">
        <v>460.54</v>
      </c>
      <c r="L3526" s="1">
        <v>20</v>
      </c>
      <c r="M3526" s="1">
        <v>92.11</v>
      </c>
      <c r="N3526" s="1">
        <v>368.43</v>
      </c>
      <c r="O3526" s="1" t="s">
        <v>46</v>
      </c>
      <c r="P3526" s="1" t="s">
        <v>1271</v>
      </c>
      <c r="Q3526" s="1">
        <v>3</v>
      </c>
      <c r="R3526" s="1">
        <f>Retail_Sales_Analyis[[#This Row],[Final_Price]]-Retail_Sales_Analyis[[#This Row],[Total_Price]]</f>
        <v>-92.110000000000014</v>
      </c>
      <c r="S35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27" spans="1:19" x14ac:dyDescent="0.25">
      <c r="A3527" s="1" t="s">
        <v>4638</v>
      </c>
      <c r="B3527" s="2">
        <v>45439</v>
      </c>
      <c r="C3527" s="1" t="s">
        <v>42</v>
      </c>
      <c r="D3527" s="1" t="s">
        <v>43</v>
      </c>
      <c r="E3527" s="1" t="s">
        <v>163</v>
      </c>
      <c r="F3527" s="1" t="s">
        <v>84</v>
      </c>
      <c r="G3527" s="1" t="s">
        <v>85</v>
      </c>
      <c r="H3527" s="1" t="s">
        <v>90</v>
      </c>
      <c r="I3527" s="1">
        <v>1231.02</v>
      </c>
      <c r="J3527" s="1">
        <v>1</v>
      </c>
      <c r="K3527" s="1">
        <v>1231.02</v>
      </c>
      <c r="L3527" s="1">
        <v>0</v>
      </c>
      <c r="M3527" s="1">
        <v>0</v>
      </c>
      <c r="N3527" s="1">
        <v>1231.02</v>
      </c>
      <c r="O3527" s="1" t="s">
        <v>24</v>
      </c>
      <c r="P3527" s="1" t="s">
        <v>2911</v>
      </c>
      <c r="Q3527" s="1">
        <v>4</v>
      </c>
      <c r="R3527" s="1">
        <f>Retail_Sales_Analyis[[#This Row],[Final_Price]]-Retail_Sales_Analyis[[#This Row],[Total_Price]]</f>
        <v>0</v>
      </c>
      <c r="S35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28" spans="1:19" x14ac:dyDescent="0.25">
      <c r="A3528" s="1" t="s">
        <v>4639</v>
      </c>
      <c r="B3528" s="2">
        <v>45378</v>
      </c>
      <c r="C3528" s="1" t="s">
        <v>61</v>
      </c>
      <c r="D3528" s="1" t="s">
        <v>55</v>
      </c>
      <c r="E3528" s="1" t="s">
        <v>166</v>
      </c>
      <c r="F3528" s="1" t="s">
        <v>84</v>
      </c>
      <c r="G3528" s="1" t="s">
        <v>22</v>
      </c>
      <c r="H3528" s="1" t="s">
        <v>277</v>
      </c>
      <c r="I3528" s="1">
        <v>396.56</v>
      </c>
      <c r="J3528" s="1">
        <v>2</v>
      </c>
      <c r="K3528" s="1">
        <v>793.12</v>
      </c>
      <c r="L3528" s="1">
        <v>5</v>
      </c>
      <c r="M3528" s="1">
        <v>39.659999999999997</v>
      </c>
      <c r="N3528" s="1">
        <v>753.46</v>
      </c>
      <c r="O3528" s="1" t="s">
        <v>33</v>
      </c>
      <c r="P3528" s="1" t="s">
        <v>2572</v>
      </c>
      <c r="Q3528" s="1">
        <v>5</v>
      </c>
      <c r="R3528" s="1">
        <f>Retail_Sales_Analyis[[#This Row],[Final_Price]]-Retail_Sales_Analyis[[#This Row],[Total_Price]]</f>
        <v>-39.659999999999968</v>
      </c>
      <c r="S35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29" spans="1:19" x14ac:dyDescent="0.25">
      <c r="A3529" s="1" t="s">
        <v>4640</v>
      </c>
      <c r="B3529" s="2">
        <v>45526</v>
      </c>
      <c r="C3529" s="1" t="s">
        <v>93</v>
      </c>
      <c r="D3529" s="1" t="s">
        <v>67</v>
      </c>
      <c r="E3529" s="1" t="s">
        <v>166</v>
      </c>
      <c r="F3529" s="1" t="s">
        <v>84</v>
      </c>
      <c r="G3529" s="1" t="s">
        <v>38</v>
      </c>
      <c r="H3529" s="1" t="s">
        <v>422</v>
      </c>
      <c r="I3529" s="1">
        <v>795.69</v>
      </c>
      <c r="J3529" s="1">
        <v>1</v>
      </c>
      <c r="K3529" s="1">
        <v>795.69</v>
      </c>
      <c r="L3529" s="1">
        <v>10</v>
      </c>
      <c r="M3529" s="1">
        <v>79.569999999999993</v>
      </c>
      <c r="N3529" s="1">
        <v>716.12</v>
      </c>
      <c r="O3529" s="1" t="s">
        <v>80</v>
      </c>
      <c r="P3529" s="1" t="s">
        <v>716</v>
      </c>
      <c r="Q3529" s="1">
        <v>5</v>
      </c>
      <c r="R3529" s="1">
        <f>Retail_Sales_Analyis[[#This Row],[Final_Price]]-Retail_Sales_Analyis[[#This Row],[Total_Price]]</f>
        <v>-79.57000000000005</v>
      </c>
      <c r="S35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30" spans="1:19" x14ac:dyDescent="0.25">
      <c r="A3530" s="1" t="s">
        <v>4641</v>
      </c>
      <c r="B3530" s="2">
        <v>45581</v>
      </c>
      <c r="C3530" s="1" t="s">
        <v>76</v>
      </c>
      <c r="D3530" s="1" t="s">
        <v>55</v>
      </c>
      <c r="E3530" s="1" t="s">
        <v>157</v>
      </c>
      <c r="F3530" s="1" t="s">
        <v>30</v>
      </c>
      <c r="G3530" s="1" t="s">
        <v>112</v>
      </c>
      <c r="H3530" s="1" t="s">
        <v>113</v>
      </c>
      <c r="I3530" s="1">
        <v>1993.77</v>
      </c>
      <c r="J3530" s="1">
        <v>1</v>
      </c>
      <c r="K3530" s="1">
        <v>1993.77</v>
      </c>
      <c r="L3530" s="1">
        <v>5</v>
      </c>
      <c r="M3530" s="1">
        <v>99.69</v>
      </c>
      <c r="N3530" s="1">
        <v>1894.08</v>
      </c>
      <c r="O3530" s="1" t="s">
        <v>46</v>
      </c>
      <c r="P3530" s="1" t="s">
        <v>419</v>
      </c>
      <c r="Q3530" s="1">
        <v>4</v>
      </c>
      <c r="R3530" s="1">
        <f>Retail_Sales_Analyis[[#This Row],[Final_Price]]-Retail_Sales_Analyis[[#This Row],[Total_Price]]</f>
        <v>-99.690000000000055</v>
      </c>
      <c r="S353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31" spans="1:19" x14ac:dyDescent="0.25">
      <c r="A3531" s="1" t="s">
        <v>4642</v>
      </c>
      <c r="B3531" s="2">
        <v>45545</v>
      </c>
      <c r="C3531" s="1" t="s">
        <v>116</v>
      </c>
      <c r="D3531" s="1" t="s">
        <v>28</v>
      </c>
      <c r="E3531" s="1" t="s">
        <v>145</v>
      </c>
      <c r="F3531" s="1" t="s">
        <v>37</v>
      </c>
      <c r="G3531" s="1" t="s">
        <v>22</v>
      </c>
      <c r="H3531" s="1" t="s">
        <v>187</v>
      </c>
      <c r="I3531" s="1">
        <v>700</v>
      </c>
      <c r="J3531" s="1">
        <v>1</v>
      </c>
      <c r="K3531" s="1">
        <v>700</v>
      </c>
      <c r="L3531" s="1">
        <v>0</v>
      </c>
      <c r="M3531" s="1">
        <v>0</v>
      </c>
      <c r="N3531" s="1">
        <v>700</v>
      </c>
      <c r="O3531" s="1" t="s">
        <v>46</v>
      </c>
      <c r="P3531" s="1" t="s">
        <v>2069</v>
      </c>
      <c r="Q3531" s="1">
        <v>2</v>
      </c>
      <c r="R3531" s="1">
        <f>Retail_Sales_Analyis[[#This Row],[Final_Price]]-Retail_Sales_Analyis[[#This Row],[Total_Price]]</f>
        <v>0</v>
      </c>
      <c r="S35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32" spans="1:19" x14ac:dyDescent="0.25">
      <c r="A3532" s="1" t="s">
        <v>4643</v>
      </c>
      <c r="B3532" s="2">
        <v>45573</v>
      </c>
      <c r="C3532" s="1" t="s">
        <v>76</v>
      </c>
      <c r="D3532" s="1" t="s">
        <v>28</v>
      </c>
      <c r="E3532" s="1" t="s">
        <v>125</v>
      </c>
      <c r="F3532" s="1" t="s">
        <v>37</v>
      </c>
      <c r="G3532" s="1" t="s">
        <v>85</v>
      </c>
      <c r="H3532" s="1" t="s">
        <v>90</v>
      </c>
      <c r="I3532" s="1">
        <v>4790.32</v>
      </c>
      <c r="J3532" s="1">
        <v>10</v>
      </c>
      <c r="K3532" s="1">
        <v>47903.199999999997</v>
      </c>
      <c r="L3532" s="1">
        <v>5</v>
      </c>
      <c r="M3532" s="1">
        <v>2395.16</v>
      </c>
      <c r="N3532" s="1">
        <v>45508.04</v>
      </c>
      <c r="O3532" s="1" t="s">
        <v>33</v>
      </c>
      <c r="P3532" s="1" t="s">
        <v>1324</v>
      </c>
      <c r="Q3532" s="1">
        <v>2</v>
      </c>
      <c r="R3532" s="1">
        <f>Retail_Sales_Analyis[[#This Row],[Final_Price]]-Retail_Sales_Analyis[[#This Row],[Total_Price]]</f>
        <v>-2395.1599999999962</v>
      </c>
      <c r="S35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33" spans="1:19" x14ac:dyDescent="0.25">
      <c r="A3533" s="1" t="s">
        <v>4644</v>
      </c>
      <c r="B3533" s="2">
        <v>45553</v>
      </c>
      <c r="C3533" s="1" t="s">
        <v>116</v>
      </c>
      <c r="D3533" s="1" t="s">
        <v>55</v>
      </c>
      <c r="E3533" s="1" t="s">
        <v>29</v>
      </c>
      <c r="F3533" s="1" t="s">
        <v>37</v>
      </c>
      <c r="G3533" s="1" t="s">
        <v>85</v>
      </c>
      <c r="H3533" s="1" t="s">
        <v>98</v>
      </c>
      <c r="I3533" s="1">
        <v>2432.87</v>
      </c>
      <c r="J3533" s="1">
        <v>7</v>
      </c>
      <c r="K3533" s="1">
        <v>17030.09</v>
      </c>
      <c r="L3533" s="1">
        <v>0</v>
      </c>
      <c r="M3533" s="1">
        <v>0</v>
      </c>
      <c r="N3533" s="1">
        <v>17030.09</v>
      </c>
      <c r="O3533" s="1" t="s">
        <v>46</v>
      </c>
      <c r="P3533" s="1" t="s">
        <v>951</v>
      </c>
      <c r="Q3533" s="1">
        <v>1</v>
      </c>
      <c r="R3533" s="1">
        <f>Retail_Sales_Analyis[[#This Row],[Final_Price]]-Retail_Sales_Analyis[[#This Row],[Total_Price]]</f>
        <v>0</v>
      </c>
      <c r="S35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34" spans="1:19" x14ac:dyDescent="0.25">
      <c r="A3534" s="1" t="s">
        <v>4645</v>
      </c>
      <c r="B3534" s="2">
        <v>45349</v>
      </c>
      <c r="C3534" s="1" t="s">
        <v>27</v>
      </c>
      <c r="D3534" s="1" t="s">
        <v>28</v>
      </c>
      <c r="E3534" s="1" t="s">
        <v>145</v>
      </c>
      <c r="F3534" s="1" t="s">
        <v>21</v>
      </c>
      <c r="G3534" s="1" t="s">
        <v>169</v>
      </c>
      <c r="H3534" s="1" t="s">
        <v>175</v>
      </c>
      <c r="I3534" s="1">
        <v>630.21</v>
      </c>
      <c r="J3534" s="1">
        <v>1</v>
      </c>
      <c r="K3534" s="1">
        <v>630.21</v>
      </c>
      <c r="L3534" s="1">
        <v>20</v>
      </c>
      <c r="M3534" s="1">
        <v>126.04</v>
      </c>
      <c r="N3534" s="1">
        <v>504.17</v>
      </c>
      <c r="O3534" s="1" t="s">
        <v>64</v>
      </c>
      <c r="P3534" s="1" t="s">
        <v>2551</v>
      </c>
      <c r="Q3534" s="1">
        <v>4</v>
      </c>
      <c r="R3534" s="1">
        <f>Retail_Sales_Analyis[[#This Row],[Final_Price]]-Retail_Sales_Analyis[[#This Row],[Total_Price]]</f>
        <v>-126.04000000000002</v>
      </c>
      <c r="S353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35" spans="1:19" x14ac:dyDescent="0.25">
      <c r="A3535" s="1" t="s">
        <v>4646</v>
      </c>
      <c r="B3535" s="2">
        <v>45585</v>
      </c>
      <c r="C3535" s="1" t="s">
        <v>76</v>
      </c>
      <c r="D3535" s="1" t="s">
        <v>49</v>
      </c>
      <c r="E3535" s="1" t="s">
        <v>163</v>
      </c>
      <c r="F3535" s="1" t="s">
        <v>30</v>
      </c>
      <c r="G3535" s="1" t="s">
        <v>169</v>
      </c>
      <c r="H3535" s="1" t="s">
        <v>366</v>
      </c>
      <c r="I3535" s="1">
        <v>1339.66</v>
      </c>
      <c r="J3535" s="1">
        <v>10</v>
      </c>
      <c r="K3535" s="1">
        <v>13396.6</v>
      </c>
      <c r="L3535" s="1">
        <v>0</v>
      </c>
      <c r="M3535" s="1">
        <v>0</v>
      </c>
      <c r="N3535" s="1">
        <v>13396.6</v>
      </c>
      <c r="O3535" s="1" t="s">
        <v>64</v>
      </c>
      <c r="P3535" s="1" t="s">
        <v>1433</v>
      </c>
      <c r="Q3535" s="1">
        <v>1</v>
      </c>
      <c r="R3535" s="1">
        <f>Retail_Sales_Analyis[[#This Row],[Final_Price]]-Retail_Sales_Analyis[[#This Row],[Total_Price]]</f>
        <v>0</v>
      </c>
      <c r="S35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36" spans="1:19" x14ac:dyDescent="0.25">
      <c r="A3536" s="1" t="s">
        <v>4647</v>
      </c>
      <c r="B3536" s="2">
        <v>45350</v>
      </c>
      <c r="C3536" s="1" t="s">
        <v>27</v>
      </c>
      <c r="D3536" s="1" t="s">
        <v>55</v>
      </c>
      <c r="E3536" s="1" t="s">
        <v>168</v>
      </c>
      <c r="F3536" s="1" t="s">
        <v>37</v>
      </c>
      <c r="G3536" s="1" t="s">
        <v>112</v>
      </c>
      <c r="H3536" s="1" t="s">
        <v>118</v>
      </c>
      <c r="I3536" s="1">
        <v>692.03</v>
      </c>
      <c r="J3536" s="1">
        <v>2</v>
      </c>
      <c r="K3536" s="1">
        <v>1384.06</v>
      </c>
      <c r="L3536" s="1">
        <v>15</v>
      </c>
      <c r="M3536" s="1">
        <v>207.61</v>
      </c>
      <c r="N3536" s="1">
        <v>1176.45</v>
      </c>
      <c r="O3536" s="1" t="s">
        <v>80</v>
      </c>
      <c r="P3536" s="1" t="s">
        <v>998</v>
      </c>
      <c r="Q3536" s="1">
        <v>2</v>
      </c>
      <c r="R3536" s="1">
        <f>Retail_Sales_Analyis[[#This Row],[Final_Price]]-Retail_Sales_Analyis[[#This Row],[Total_Price]]</f>
        <v>-207.6099999999999</v>
      </c>
      <c r="S35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37" spans="1:19" x14ac:dyDescent="0.25">
      <c r="A3537" s="1" t="s">
        <v>4648</v>
      </c>
      <c r="B3537" s="2">
        <v>45429</v>
      </c>
      <c r="C3537" s="1" t="s">
        <v>42</v>
      </c>
      <c r="D3537" s="1" t="s">
        <v>144</v>
      </c>
      <c r="E3537" s="1" t="s">
        <v>168</v>
      </c>
      <c r="F3537" s="1" t="s">
        <v>37</v>
      </c>
      <c r="G3537" s="1" t="s">
        <v>22</v>
      </c>
      <c r="H3537" s="1" t="s">
        <v>187</v>
      </c>
      <c r="I3537" s="1">
        <v>301.05</v>
      </c>
      <c r="J3537" s="1">
        <v>1</v>
      </c>
      <c r="K3537" s="1">
        <v>301.05</v>
      </c>
      <c r="L3537" s="1">
        <v>0</v>
      </c>
      <c r="M3537" s="1">
        <v>0</v>
      </c>
      <c r="N3537" s="1">
        <v>301.05</v>
      </c>
      <c r="O3537" s="1" t="s">
        <v>80</v>
      </c>
      <c r="P3537" s="1" t="s">
        <v>4649</v>
      </c>
      <c r="Q3537" s="1">
        <v>1</v>
      </c>
      <c r="R3537" s="1">
        <f>Retail_Sales_Analyis[[#This Row],[Final_Price]]-Retail_Sales_Analyis[[#This Row],[Total_Price]]</f>
        <v>0</v>
      </c>
      <c r="S35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38" spans="1:19" x14ac:dyDescent="0.25">
      <c r="A3538" s="1" t="s">
        <v>4650</v>
      </c>
      <c r="B3538" s="2">
        <v>45570</v>
      </c>
      <c r="C3538" s="1" t="s">
        <v>76</v>
      </c>
      <c r="D3538" s="1" t="s">
        <v>19</v>
      </c>
      <c r="E3538" s="1" t="s">
        <v>97</v>
      </c>
      <c r="F3538" s="1" t="s">
        <v>69</v>
      </c>
      <c r="G3538" s="1" t="s">
        <v>57</v>
      </c>
      <c r="H3538" s="1" t="s">
        <v>152</v>
      </c>
      <c r="I3538" s="1">
        <v>2746.72</v>
      </c>
      <c r="J3538" s="1">
        <v>6</v>
      </c>
      <c r="K3538" s="1">
        <v>16480.32</v>
      </c>
      <c r="L3538" s="1">
        <v>0</v>
      </c>
      <c r="M3538" s="1">
        <v>0</v>
      </c>
      <c r="N3538" s="1">
        <v>16480.32</v>
      </c>
      <c r="O3538" s="1" t="s">
        <v>80</v>
      </c>
      <c r="P3538" s="1" t="s">
        <v>3787</v>
      </c>
      <c r="Q3538" s="1">
        <v>3</v>
      </c>
      <c r="R3538" s="1">
        <f>Retail_Sales_Analyis[[#This Row],[Final_Price]]-Retail_Sales_Analyis[[#This Row],[Total_Price]]</f>
        <v>0</v>
      </c>
      <c r="S35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39" spans="1:19" x14ac:dyDescent="0.25">
      <c r="A3539" s="1" t="s">
        <v>4651</v>
      </c>
      <c r="B3539" s="2">
        <v>45479</v>
      </c>
      <c r="C3539" s="1" t="s">
        <v>195</v>
      </c>
      <c r="D3539" s="1" t="s">
        <v>19</v>
      </c>
      <c r="E3539" s="1" t="s">
        <v>132</v>
      </c>
      <c r="F3539" s="1" t="s">
        <v>84</v>
      </c>
      <c r="G3539" s="1" t="s">
        <v>78</v>
      </c>
      <c r="H3539" s="1" t="s">
        <v>136</v>
      </c>
      <c r="I3539" s="1">
        <v>490.42</v>
      </c>
      <c r="J3539" s="1">
        <v>8</v>
      </c>
      <c r="K3539" s="1">
        <v>3923.36</v>
      </c>
      <c r="L3539" s="1">
        <v>10</v>
      </c>
      <c r="M3539" s="1">
        <v>392.34</v>
      </c>
      <c r="N3539" s="1">
        <v>3531.02</v>
      </c>
      <c r="O3539" s="1" t="s">
        <v>33</v>
      </c>
      <c r="P3539" s="1" t="s">
        <v>2657</v>
      </c>
      <c r="Q3539" s="1">
        <v>2</v>
      </c>
      <c r="R3539" s="1">
        <f>Retail_Sales_Analyis[[#This Row],[Final_Price]]-Retail_Sales_Analyis[[#This Row],[Total_Price]]</f>
        <v>-392.34000000000015</v>
      </c>
      <c r="S35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0" spans="1:19" x14ac:dyDescent="0.25">
      <c r="A3540" s="1" t="s">
        <v>4652</v>
      </c>
      <c r="B3540" s="2">
        <v>45569</v>
      </c>
      <c r="C3540" s="1" t="s">
        <v>76</v>
      </c>
      <c r="D3540" s="1" t="s">
        <v>144</v>
      </c>
      <c r="E3540" s="1" t="s">
        <v>139</v>
      </c>
      <c r="F3540" s="1" t="s">
        <v>37</v>
      </c>
      <c r="G3540" s="1" t="s">
        <v>85</v>
      </c>
      <c r="H3540" s="1" t="s">
        <v>180</v>
      </c>
      <c r="I3540" s="1">
        <v>4324.1099999999997</v>
      </c>
      <c r="J3540" s="1">
        <v>6</v>
      </c>
      <c r="K3540" s="1">
        <v>25944.66</v>
      </c>
      <c r="L3540" s="1">
        <v>15</v>
      </c>
      <c r="M3540" s="1">
        <v>3891.7</v>
      </c>
      <c r="N3540" s="1">
        <v>22052.959999999999</v>
      </c>
      <c r="O3540" s="1" t="s">
        <v>46</v>
      </c>
      <c r="P3540" s="1" t="s">
        <v>1050</v>
      </c>
      <c r="Q3540" s="1">
        <v>2</v>
      </c>
      <c r="R3540" s="1">
        <f>Retail_Sales_Analyis[[#This Row],[Final_Price]]-Retail_Sales_Analyis[[#This Row],[Total_Price]]</f>
        <v>-3891.7000000000007</v>
      </c>
      <c r="S35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1" spans="1:19" x14ac:dyDescent="0.25">
      <c r="A3541" s="1" t="s">
        <v>4653</v>
      </c>
      <c r="B3541" s="2">
        <v>45313</v>
      </c>
      <c r="C3541" s="1" t="s">
        <v>36</v>
      </c>
      <c r="D3541" s="1" t="s">
        <v>43</v>
      </c>
      <c r="E3541" s="1" t="s">
        <v>68</v>
      </c>
      <c r="F3541" s="1" t="s">
        <v>69</v>
      </c>
      <c r="G3541" s="1" t="s">
        <v>169</v>
      </c>
      <c r="H3541" s="1" t="s">
        <v>170</v>
      </c>
      <c r="I3541" s="1">
        <v>488.18</v>
      </c>
      <c r="J3541" s="1">
        <v>3</v>
      </c>
      <c r="K3541" s="1">
        <v>1464.54</v>
      </c>
      <c r="L3541" s="1">
        <v>20</v>
      </c>
      <c r="M3541" s="1">
        <v>292.91000000000003</v>
      </c>
      <c r="N3541" s="1">
        <v>1171.6300000000001</v>
      </c>
      <c r="O3541" s="1" t="s">
        <v>64</v>
      </c>
      <c r="P3541" s="1" t="s">
        <v>693</v>
      </c>
      <c r="Q3541" s="1">
        <v>5</v>
      </c>
      <c r="R3541" s="1">
        <f>Retail_Sales_Analyis[[#This Row],[Final_Price]]-Retail_Sales_Analyis[[#This Row],[Total_Price]]</f>
        <v>-292.90999999999985</v>
      </c>
      <c r="S35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42" spans="1:19" x14ac:dyDescent="0.25">
      <c r="A3542" s="1" t="s">
        <v>4654</v>
      </c>
      <c r="B3542" s="2">
        <v>45517</v>
      </c>
      <c r="C3542" s="1" t="s">
        <v>93</v>
      </c>
      <c r="D3542" s="1" t="s">
        <v>28</v>
      </c>
      <c r="E3542" s="1" t="s">
        <v>307</v>
      </c>
      <c r="F3542" s="1" t="s">
        <v>30</v>
      </c>
      <c r="G3542" s="1" t="s">
        <v>38</v>
      </c>
      <c r="H3542" s="1" t="s">
        <v>214</v>
      </c>
      <c r="I3542" s="1">
        <v>510.82</v>
      </c>
      <c r="J3542" s="1">
        <v>2</v>
      </c>
      <c r="K3542" s="1">
        <v>1021.64</v>
      </c>
      <c r="L3542" s="1">
        <v>10</v>
      </c>
      <c r="M3542" s="1">
        <v>102.16</v>
      </c>
      <c r="N3542" s="1">
        <v>919.48</v>
      </c>
      <c r="O3542" s="1" t="s">
        <v>46</v>
      </c>
      <c r="P3542" s="1" t="s">
        <v>1341</v>
      </c>
      <c r="Q3542" s="1">
        <v>2</v>
      </c>
      <c r="R3542" s="1">
        <f>Retail_Sales_Analyis[[#This Row],[Final_Price]]-Retail_Sales_Analyis[[#This Row],[Total_Price]]</f>
        <v>-102.15999999999997</v>
      </c>
      <c r="S35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3" spans="1:19" x14ac:dyDescent="0.25">
      <c r="A3543" s="1" t="s">
        <v>4655</v>
      </c>
      <c r="B3543" s="2">
        <v>45571</v>
      </c>
      <c r="C3543" s="1" t="s">
        <v>76</v>
      </c>
      <c r="D3543" s="1" t="s">
        <v>49</v>
      </c>
      <c r="E3543" s="1" t="s">
        <v>62</v>
      </c>
      <c r="F3543" s="1" t="s">
        <v>84</v>
      </c>
      <c r="G3543" s="1" t="s">
        <v>31</v>
      </c>
      <c r="H3543" s="1" t="s">
        <v>32</v>
      </c>
      <c r="I3543" s="1">
        <v>398.3</v>
      </c>
      <c r="J3543" s="1">
        <v>9</v>
      </c>
      <c r="K3543" s="1">
        <v>3584.7</v>
      </c>
      <c r="L3543" s="1">
        <v>15</v>
      </c>
      <c r="M3543" s="1">
        <v>537.70000000000005</v>
      </c>
      <c r="N3543" s="1">
        <v>3047</v>
      </c>
      <c r="O3543" s="1" t="s">
        <v>24</v>
      </c>
      <c r="P3543" s="1" t="s">
        <v>181</v>
      </c>
      <c r="Q3543" s="1">
        <v>3</v>
      </c>
      <c r="R3543" s="1">
        <f>Retail_Sales_Analyis[[#This Row],[Final_Price]]-Retail_Sales_Analyis[[#This Row],[Total_Price]]</f>
        <v>-537.69999999999982</v>
      </c>
      <c r="S35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4" spans="1:19" x14ac:dyDescent="0.25">
      <c r="A3544" s="1" t="s">
        <v>4656</v>
      </c>
      <c r="B3544" s="2">
        <v>45403</v>
      </c>
      <c r="C3544" s="1" t="s">
        <v>54</v>
      </c>
      <c r="D3544" s="1" t="s">
        <v>49</v>
      </c>
      <c r="E3544" s="1" t="s">
        <v>62</v>
      </c>
      <c r="F3544" s="1" t="s">
        <v>30</v>
      </c>
      <c r="G3544" s="1" t="s">
        <v>57</v>
      </c>
      <c r="H3544" s="1" t="s">
        <v>152</v>
      </c>
      <c r="I3544" s="1">
        <v>2823.21</v>
      </c>
      <c r="J3544" s="1">
        <v>2</v>
      </c>
      <c r="K3544" s="1">
        <v>5646.42</v>
      </c>
      <c r="L3544" s="1">
        <v>10</v>
      </c>
      <c r="M3544" s="1">
        <v>564.64</v>
      </c>
      <c r="N3544" s="1">
        <v>5081.78</v>
      </c>
      <c r="O3544" s="1" t="s">
        <v>33</v>
      </c>
      <c r="P3544" s="1" t="s">
        <v>2597</v>
      </c>
      <c r="Q3544" s="1">
        <v>5</v>
      </c>
      <c r="R3544" s="1">
        <f>Retail_Sales_Analyis[[#This Row],[Final_Price]]-Retail_Sales_Analyis[[#This Row],[Total_Price]]</f>
        <v>-564.64000000000033</v>
      </c>
      <c r="S35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5" spans="1:19" x14ac:dyDescent="0.25">
      <c r="A3545" s="1" t="s">
        <v>4657</v>
      </c>
      <c r="B3545" s="2">
        <v>45509</v>
      </c>
      <c r="C3545" s="1" t="s">
        <v>93</v>
      </c>
      <c r="D3545" s="1" t="s">
        <v>43</v>
      </c>
      <c r="E3545" s="1" t="s">
        <v>163</v>
      </c>
      <c r="F3545" s="1" t="s">
        <v>30</v>
      </c>
      <c r="G3545" s="1" t="s">
        <v>31</v>
      </c>
      <c r="H3545" s="1" t="s">
        <v>32</v>
      </c>
      <c r="I3545" s="1">
        <v>96.49</v>
      </c>
      <c r="J3545" s="1">
        <v>6</v>
      </c>
      <c r="K3545" s="1">
        <v>578.94000000000005</v>
      </c>
      <c r="L3545" s="1">
        <v>0</v>
      </c>
      <c r="M3545" s="1">
        <v>0</v>
      </c>
      <c r="N3545" s="1">
        <v>578.94000000000005</v>
      </c>
      <c r="O3545" s="1" t="s">
        <v>46</v>
      </c>
      <c r="P3545" s="1" t="s">
        <v>2129</v>
      </c>
      <c r="Q3545" s="1">
        <v>5</v>
      </c>
      <c r="R3545" s="1">
        <f>Retail_Sales_Analyis[[#This Row],[Final_Price]]-Retail_Sales_Analyis[[#This Row],[Total_Price]]</f>
        <v>0</v>
      </c>
      <c r="S35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46" spans="1:19" x14ac:dyDescent="0.25">
      <c r="A3546" s="1" t="s">
        <v>4658</v>
      </c>
      <c r="B3546" s="2">
        <v>45344</v>
      </c>
      <c r="C3546" s="1" t="s">
        <v>27</v>
      </c>
      <c r="D3546" s="1" t="s">
        <v>67</v>
      </c>
      <c r="E3546" s="1" t="s">
        <v>94</v>
      </c>
      <c r="F3546" s="1" t="s">
        <v>69</v>
      </c>
      <c r="G3546" s="1" t="s">
        <v>169</v>
      </c>
      <c r="H3546" s="1" t="s">
        <v>175</v>
      </c>
      <c r="I3546" s="1">
        <v>1184.51</v>
      </c>
      <c r="J3546" s="1">
        <v>9</v>
      </c>
      <c r="K3546" s="1">
        <v>10660.59</v>
      </c>
      <c r="L3546" s="1">
        <v>10</v>
      </c>
      <c r="M3546" s="1">
        <v>1066.06</v>
      </c>
      <c r="N3546" s="1">
        <v>9594.5300000000007</v>
      </c>
      <c r="O3546" s="1" t="s">
        <v>64</v>
      </c>
      <c r="P3546" s="1" t="s">
        <v>572</v>
      </c>
      <c r="Q3546" s="1">
        <v>3</v>
      </c>
      <c r="R3546" s="1">
        <f>Retail_Sales_Analyis[[#This Row],[Final_Price]]-Retail_Sales_Analyis[[#This Row],[Total_Price]]</f>
        <v>-1066.0599999999995</v>
      </c>
      <c r="S35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47" spans="1:19" x14ac:dyDescent="0.25">
      <c r="A3547" s="1" t="s">
        <v>4659</v>
      </c>
      <c r="B3547" s="2">
        <v>45626</v>
      </c>
      <c r="C3547" s="1" t="s">
        <v>18</v>
      </c>
      <c r="D3547" s="1" t="s">
        <v>19</v>
      </c>
      <c r="E3547" s="1" t="s">
        <v>89</v>
      </c>
      <c r="F3547" s="1" t="s">
        <v>30</v>
      </c>
      <c r="G3547" s="1" t="s">
        <v>38</v>
      </c>
      <c r="H3547" s="1" t="s">
        <v>39</v>
      </c>
      <c r="I3547" s="1">
        <v>266.13</v>
      </c>
      <c r="J3547" s="1">
        <v>6</v>
      </c>
      <c r="K3547" s="1">
        <v>1596.78</v>
      </c>
      <c r="L3547" s="1">
        <v>0</v>
      </c>
      <c r="M3547" s="1">
        <v>0</v>
      </c>
      <c r="N3547" s="1">
        <v>1596.78</v>
      </c>
      <c r="O3547" s="1" t="s">
        <v>33</v>
      </c>
      <c r="P3547" s="1" t="s">
        <v>3968</v>
      </c>
      <c r="Q3547" s="1">
        <v>4</v>
      </c>
      <c r="R3547" s="1">
        <f>Retail_Sales_Analyis[[#This Row],[Final_Price]]-Retail_Sales_Analyis[[#This Row],[Total_Price]]</f>
        <v>0</v>
      </c>
      <c r="S35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48" spans="1:19" x14ac:dyDescent="0.25">
      <c r="A3548" s="1" t="s">
        <v>4660</v>
      </c>
      <c r="B3548" s="2">
        <v>45418</v>
      </c>
      <c r="C3548" s="1" t="s">
        <v>42</v>
      </c>
      <c r="D3548" s="1" t="s">
        <v>43</v>
      </c>
      <c r="E3548" s="1" t="s">
        <v>213</v>
      </c>
      <c r="F3548" s="1" t="s">
        <v>37</v>
      </c>
      <c r="G3548" s="1" t="s">
        <v>78</v>
      </c>
      <c r="H3548" s="1" t="s">
        <v>126</v>
      </c>
      <c r="I3548" s="1">
        <v>464</v>
      </c>
      <c r="J3548" s="1">
        <v>4</v>
      </c>
      <c r="K3548" s="1">
        <v>1856</v>
      </c>
      <c r="L3548" s="1">
        <v>0</v>
      </c>
      <c r="M3548" s="1">
        <v>0</v>
      </c>
      <c r="N3548" s="1">
        <v>1856</v>
      </c>
      <c r="O3548" s="1" t="s">
        <v>46</v>
      </c>
      <c r="P3548" s="1" t="s">
        <v>1791</v>
      </c>
      <c r="Q3548" s="1">
        <v>5</v>
      </c>
      <c r="R3548" s="1">
        <f>Retail_Sales_Analyis[[#This Row],[Final_Price]]-Retail_Sales_Analyis[[#This Row],[Total_Price]]</f>
        <v>0</v>
      </c>
      <c r="S35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49" spans="1:19" x14ac:dyDescent="0.25">
      <c r="A3549" s="1" t="s">
        <v>4661</v>
      </c>
      <c r="B3549" s="2">
        <v>45444</v>
      </c>
      <c r="C3549" s="1" t="s">
        <v>173</v>
      </c>
      <c r="D3549" s="1" t="s">
        <v>19</v>
      </c>
      <c r="E3549" s="1" t="s">
        <v>312</v>
      </c>
      <c r="F3549" s="1" t="s">
        <v>30</v>
      </c>
      <c r="G3549" s="1" t="s">
        <v>112</v>
      </c>
      <c r="H3549" s="1" t="s">
        <v>183</v>
      </c>
      <c r="I3549" s="1">
        <v>1634.95</v>
      </c>
      <c r="J3549" s="1">
        <v>3</v>
      </c>
      <c r="K3549" s="1">
        <v>4904.8500000000004</v>
      </c>
      <c r="L3549" s="1">
        <v>15</v>
      </c>
      <c r="M3549" s="1">
        <v>735.73</v>
      </c>
      <c r="N3549" s="1">
        <v>4169.12</v>
      </c>
      <c r="O3549" s="1" t="s">
        <v>64</v>
      </c>
      <c r="P3549" s="1" t="s">
        <v>725</v>
      </c>
      <c r="Q3549" s="1">
        <v>4</v>
      </c>
      <c r="R3549" s="1">
        <f>Retail_Sales_Analyis[[#This Row],[Final_Price]]-Retail_Sales_Analyis[[#This Row],[Total_Price]]</f>
        <v>-735.73000000000047</v>
      </c>
      <c r="S35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50" spans="1:19" x14ac:dyDescent="0.25">
      <c r="A3550" s="1" t="s">
        <v>4662</v>
      </c>
      <c r="B3550" s="2">
        <v>45308</v>
      </c>
      <c r="C3550" s="1" t="s">
        <v>36</v>
      </c>
      <c r="D3550" s="1" t="s">
        <v>55</v>
      </c>
      <c r="E3550" s="1" t="s">
        <v>129</v>
      </c>
      <c r="F3550" s="1" t="s">
        <v>30</v>
      </c>
      <c r="G3550" s="1" t="s">
        <v>31</v>
      </c>
      <c r="H3550" s="1" t="s">
        <v>32</v>
      </c>
      <c r="I3550" s="1">
        <v>332.41</v>
      </c>
      <c r="J3550" s="1">
        <v>8</v>
      </c>
      <c r="K3550" s="1">
        <v>2659.28</v>
      </c>
      <c r="L3550" s="1">
        <v>0</v>
      </c>
      <c r="M3550" s="1">
        <v>0</v>
      </c>
      <c r="N3550" s="1">
        <v>2659.28</v>
      </c>
      <c r="O3550" s="1" t="s">
        <v>46</v>
      </c>
      <c r="P3550" s="1" t="s">
        <v>1515</v>
      </c>
      <c r="Q3550" s="1">
        <v>5</v>
      </c>
      <c r="R3550" s="1">
        <f>Retail_Sales_Analyis[[#This Row],[Final_Price]]-Retail_Sales_Analyis[[#This Row],[Total_Price]]</f>
        <v>0</v>
      </c>
      <c r="S35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51" spans="1:19" x14ac:dyDescent="0.25">
      <c r="A3551" s="1" t="s">
        <v>4663</v>
      </c>
      <c r="B3551" s="2">
        <v>45522</v>
      </c>
      <c r="C3551" s="1" t="s">
        <v>93</v>
      </c>
      <c r="D3551" s="1" t="s">
        <v>49</v>
      </c>
      <c r="E3551" s="1" t="s">
        <v>29</v>
      </c>
      <c r="F3551" s="1" t="s">
        <v>69</v>
      </c>
      <c r="G3551" s="1" t="s">
        <v>169</v>
      </c>
      <c r="H3551" s="1" t="s">
        <v>366</v>
      </c>
      <c r="I3551" s="1">
        <v>560.19000000000005</v>
      </c>
      <c r="J3551" s="1">
        <v>8</v>
      </c>
      <c r="K3551" s="1">
        <v>4481.5200000000004</v>
      </c>
      <c r="L3551" s="1">
        <v>0</v>
      </c>
      <c r="M3551" s="1">
        <v>0</v>
      </c>
      <c r="N3551" s="1">
        <v>4481.5200000000004</v>
      </c>
      <c r="O3551" s="1" t="s">
        <v>46</v>
      </c>
      <c r="P3551" s="1" t="s">
        <v>560</v>
      </c>
      <c r="Q3551" s="1">
        <v>5</v>
      </c>
      <c r="R3551" s="1">
        <f>Retail_Sales_Analyis[[#This Row],[Final_Price]]-Retail_Sales_Analyis[[#This Row],[Total_Price]]</f>
        <v>0</v>
      </c>
      <c r="S35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52" spans="1:19" x14ac:dyDescent="0.25">
      <c r="A3552" s="1" t="s">
        <v>4664</v>
      </c>
      <c r="B3552" s="2">
        <v>45426</v>
      </c>
      <c r="C3552" s="1" t="s">
        <v>42</v>
      </c>
      <c r="D3552" s="1" t="s">
        <v>28</v>
      </c>
      <c r="E3552" s="1" t="s">
        <v>307</v>
      </c>
      <c r="F3552" s="1" t="s">
        <v>84</v>
      </c>
      <c r="G3552" s="1" t="s">
        <v>31</v>
      </c>
      <c r="H3552" s="1" t="s">
        <v>45</v>
      </c>
      <c r="I3552" s="1">
        <v>67.34</v>
      </c>
      <c r="J3552" s="1">
        <v>8</v>
      </c>
      <c r="K3552" s="1">
        <v>538.72</v>
      </c>
      <c r="L3552" s="1">
        <v>0</v>
      </c>
      <c r="M3552" s="1">
        <v>0</v>
      </c>
      <c r="N3552" s="1">
        <v>538.72</v>
      </c>
      <c r="O3552" s="1" t="s">
        <v>46</v>
      </c>
      <c r="P3552" s="1" t="s">
        <v>655</v>
      </c>
      <c r="Q3552" s="1">
        <v>3</v>
      </c>
      <c r="R3552" s="1">
        <f>Retail_Sales_Analyis[[#This Row],[Final_Price]]-Retail_Sales_Analyis[[#This Row],[Total_Price]]</f>
        <v>0</v>
      </c>
      <c r="S35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53" spans="1:19" x14ac:dyDescent="0.25">
      <c r="A3553" s="1" t="s">
        <v>4665</v>
      </c>
      <c r="B3553" s="2">
        <v>45470</v>
      </c>
      <c r="C3553" s="1" t="s">
        <v>173</v>
      </c>
      <c r="D3553" s="1" t="s">
        <v>67</v>
      </c>
      <c r="E3553" s="1" t="s">
        <v>302</v>
      </c>
      <c r="F3553" s="1" t="s">
        <v>69</v>
      </c>
      <c r="G3553" s="1" t="s">
        <v>38</v>
      </c>
      <c r="H3553" s="1" t="s">
        <v>70</v>
      </c>
      <c r="I3553" s="1">
        <v>581.59</v>
      </c>
      <c r="J3553" s="1">
        <v>7</v>
      </c>
      <c r="K3553" s="1">
        <v>4071.13</v>
      </c>
      <c r="L3553" s="1">
        <v>5</v>
      </c>
      <c r="M3553" s="1">
        <v>203.56</v>
      </c>
      <c r="N3553" s="1">
        <v>3867.57</v>
      </c>
      <c r="O3553" s="1" t="s">
        <v>46</v>
      </c>
      <c r="P3553" s="1" t="s">
        <v>2016</v>
      </c>
      <c r="Q3553" s="1">
        <v>1</v>
      </c>
      <c r="R3553" s="1">
        <f>Retail_Sales_Analyis[[#This Row],[Final_Price]]-Retail_Sales_Analyis[[#This Row],[Total_Price]]</f>
        <v>-203.55999999999995</v>
      </c>
      <c r="S35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54" spans="1:19" x14ac:dyDescent="0.25">
      <c r="A3554" s="1" t="s">
        <v>4666</v>
      </c>
      <c r="B3554" s="2">
        <v>45336</v>
      </c>
      <c r="C3554" s="1" t="s">
        <v>27</v>
      </c>
      <c r="D3554" s="1" t="s">
        <v>55</v>
      </c>
      <c r="E3554" s="1" t="s">
        <v>107</v>
      </c>
      <c r="F3554" s="1" t="s">
        <v>30</v>
      </c>
      <c r="G3554" s="1" t="s">
        <v>57</v>
      </c>
      <c r="H3554" s="1" t="s">
        <v>122</v>
      </c>
      <c r="I3554" s="1">
        <v>1154.57</v>
      </c>
      <c r="J3554" s="1">
        <v>7</v>
      </c>
      <c r="K3554" s="1">
        <v>8081.99</v>
      </c>
      <c r="L3554" s="1">
        <v>15</v>
      </c>
      <c r="M3554" s="1">
        <v>1212.3</v>
      </c>
      <c r="N3554" s="1">
        <v>6869.69</v>
      </c>
      <c r="O3554" s="1" t="s">
        <v>33</v>
      </c>
      <c r="P3554" s="1" t="s">
        <v>1276</v>
      </c>
      <c r="Q3554" s="1">
        <v>1</v>
      </c>
      <c r="R3554" s="1">
        <f>Retail_Sales_Analyis[[#This Row],[Final_Price]]-Retail_Sales_Analyis[[#This Row],[Total_Price]]</f>
        <v>-1212.3000000000002</v>
      </c>
      <c r="S35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55" spans="1:19" x14ac:dyDescent="0.25">
      <c r="A3555" s="1" t="s">
        <v>4667</v>
      </c>
      <c r="B3555" s="2">
        <v>45516</v>
      </c>
      <c r="C3555" s="1" t="s">
        <v>93</v>
      </c>
      <c r="D3555" s="1" t="s">
        <v>43</v>
      </c>
      <c r="E3555" s="1" t="s">
        <v>312</v>
      </c>
      <c r="F3555" s="1" t="s">
        <v>30</v>
      </c>
      <c r="G3555" s="1" t="s">
        <v>57</v>
      </c>
      <c r="H3555" s="1" t="s">
        <v>158</v>
      </c>
      <c r="I3555" s="1">
        <v>2724.59</v>
      </c>
      <c r="J3555" s="1">
        <v>3</v>
      </c>
      <c r="K3555" s="1">
        <v>8173.77</v>
      </c>
      <c r="L3555" s="1">
        <v>20</v>
      </c>
      <c r="M3555" s="1">
        <v>1634.75</v>
      </c>
      <c r="N3555" s="1">
        <v>6539.02</v>
      </c>
      <c r="O3555" s="1" t="s">
        <v>33</v>
      </c>
      <c r="P3555" s="1" t="s">
        <v>2330</v>
      </c>
      <c r="Q3555" s="1">
        <v>4</v>
      </c>
      <c r="R3555" s="1">
        <f>Retail_Sales_Analyis[[#This Row],[Final_Price]]-Retail_Sales_Analyis[[#This Row],[Total_Price]]</f>
        <v>-1634.75</v>
      </c>
      <c r="S35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56" spans="1:19" x14ac:dyDescent="0.25">
      <c r="A3556" s="1" t="s">
        <v>4668</v>
      </c>
      <c r="B3556" s="2">
        <v>45352</v>
      </c>
      <c r="C3556" s="1" t="s">
        <v>61</v>
      </c>
      <c r="D3556" s="1" t="s">
        <v>144</v>
      </c>
      <c r="E3556" s="1" t="s">
        <v>107</v>
      </c>
      <c r="F3556" s="1" t="s">
        <v>69</v>
      </c>
      <c r="G3556" s="1" t="s">
        <v>112</v>
      </c>
      <c r="H3556" s="1" t="s">
        <v>288</v>
      </c>
      <c r="I3556" s="1">
        <v>951.69</v>
      </c>
      <c r="J3556" s="1">
        <v>3</v>
      </c>
      <c r="K3556" s="1">
        <v>2855.07</v>
      </c>
      <c r="L3556" s="1">
        <v>20</v>
      </c>
      <c r="M3556" s="1">
        <v>571.01</v>
      </c>
      <c r="N3556" s="1">
        <v>2284.06</v>
      </c>
      <c r="O3556" s="1" t="s">
        <v>64</v>
      </c>
      <c r="P3556" s="1" t="s">
        <v>1456</v>
      </c>
      <c r="Q3556" s="1">
        <v>4</v>
      </c>
      <c r="R3556" s="1">
        <f>Retail_Sales_Analyis[[#This Row],[Final_Price]]-Retail_Sales_Analyis[[#This Row],[Total_Price]]</f>
        <v>-571.01000000000022</v>
      </c>
      <c r="S35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57" spans="1:19" x14ac:dyDescent="0.25">
      <c r="A3557" s="1" t="s">
        <v>4669</v>
      </c>
      <c r="B3557" s="2">
        <v>45413</v>
      </c>
      <c r="C3557" s="1" t="s">
        <v>42</v>
      </c>
      <c r="D3557" s="1" t="s">
        <v>55</v>
      </c>
      <c r="E3557" s="1" t="s">
        <v>168</v>
      </c>
      <c r="F3557" s="1" t="s">
        <v>21</v>
      </c>
      <c r="G3557" s="1" t="s">
        <v>78</v>
      </c>
      <c r="H3557" s="1" t="s">
        <v>146</v>
      </c>
      <c r="I3557" s="1">
        <v>512.37</v>
      </c>
      <c r="J3557" s="1">
        <v>5</v>
      </c>
      <c r="K3557" s="1">
        <v>2561.85</v>
      </c>
      <c r="L3557" s="1">
        <v>20</v>
      </c>
      <c r="M3557" s="1">
        <v>512.37</v>
      </c>
      <c r="N3557" s="1">
        <v>2049.48</v>
      </c>
      <c r="O3557" s="1" t="s">
        <v>46</v>
      </c>
      <c r="P3557" s="1" t="s">
        <v>275</v>
      </c>
      <c r="Q3557" s="1">
        <v>1</v>
      </c>
      <c r="R3557" s="1">
        <f>Retail_Sales_Analyis[[#This Row],[Final_Price]]-Retail_Sales_Analyis[[#This Row],[Total_Price]]</f>
        <v>-512.36999999999989</v>
      </c>
      <c r="S35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58" spans="1:19" x14ac:dyDescent="0.25">
      <c r="A3558" s="1" t="s">
        <v>4670</v>
      </c>
      <c r="B3558" s="2">
        <v>45399</v>
      </c>
      <c r="C3558" s="1" t="s">
        <v>54</v>
      </c>
      <c r="D3558" s="1" t="s">
        <v>55</v>
      </c>
      <c r="E3558" s="1" t="s">
        <v>307</v>
      </c>
      <c r="F3558" s="1" t="s">
        <v>30</v>
      </c>
      <c r="G3558" s="1" t="s">
        <v>169</v>
      </c>
      <c r="H3558" s="1" t="s">
        <v>348</v>
      </c>
      <c r="I3558" s="1">
        <v>1387.68</v>
      </c>
      <c r="J3558" s="1">
        <v>1</v>
      </c>
      <c r="K3558" s="1">
        <v>1387.68</v>
      </c>
      <c r="L3558" s="1">
        <v>0</v>
      </c>
      <c r="M3558" s="1">
        <v>0</v>
      </c>
      <c r="N3558" s="1">
        <v>1387.68</v>
      </c>
      <c r="O3558" s="1" t="s">
        <v>46</v>
      </c>
      <c r="P3558" s="1" t="s">
        <v>1926</v>
      </c>
      <c r="Q3558" s="1">
        <v>3</v>
      </c>
      <c r="R3558" s="1">
        <f>Retail_Sales_Analyis[[#This Row],[Final_Price]]-Retail_Sales_Analyis[[#This Row],[Total_Price]]</f>
        <v>0</v>
      </c>
      <c r="S35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59" spans="1:19" x14ac:dyDescent="0.25">
      <c r="A3559" s="1" t="s">
        <v>4671</v>
      </c>
      <c r="B3559" s="2">
        <v>45593</v>
      </c>
      <c r="C3559" s="1" t="s">
        <v>76</v>
      </c>
      <c r="D3559" s="1" t="s">
        <v>43</v>
      </c>
      <c r="E3559" s="1" t="s">
        <v>129</v>
      </c>
      <c r="F3559" s="1" t="s">
        <v>37</v>
      </c>
      <c r="G3559" s="1" t="s">
        <v>57</v>
      </c>
      <c r="H3559" s="1" t="s">
        <v>158</v>
      </c>
      <c r="I3559" s="1">
        <v>1188.94</v>
      </c>
      <c r="J3559" s="1">
        <v>10</v>
      </c>
      <c r="K3559" s="1">
        <v>11889.4</v>
      </c>
      <c r="L3559" s="1">
        <v>0</v>
      </c>
      <c r="M3559" s="1">
        <v>0</v>
      </c>
      <c r="N3559" s="1">
        <v>11889.4</v>
      </c>
      <c r="O3559" s="1" t="s">
        <v>46</v>
      </c>
      <c r="P3559" s="1" t="s">
        <v>580</v>
      </c>
      <c r="Q3559" s="1">
        <v>4</v>
      </c>
      <c r="R3559" s="1">
        <f>Retail_Sales_Analyis[[#This Row],[Final_Price]]-Retail_Sales_Analyis[[#This Row],[Total_Price]]</f>
        <v>0</v>
      </c>
      <c r="S35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0" spans="1:19" x14ac:dyDescent="0.25">
      <c r="A3560" s="1" t="s">
        <v>4672</v>
      </c>
      <c r="B3560" s="2">
        <v>45644</v>
      </c>
      <c r="C3560" s="1" t="s">
        <v>73</v>
      </c>
      <c r="D3560" s="1" t="s">
        <v>55</v>
      </c>
      <c r="E3560" s="1" t="s">
        <v>213</v>
      </c>
      <c r="F3560" s="1" t="s">
        <v>37</v>
      </c>
      <c r="G3560" s="1" t="s">
        <v>57</v>
      </c>
      <c r="H3560" s="1" t="s">
        <v>101</v>
      </c>
      <c r="I3560" s="1">
        <v>1244.43</v>
      </c>
      <c r="J3560" s="1">
        <v>8</v>
      </c>
      <c r="K3560" s="1">
        <v>9955.44</v>
      </c>
      <c r="L3560" s="1">
        <v>15</v>
      </c>
      <c r="M3560" s="1">
        <v>1493.32</v>
      </c>
      <c r="N3560" s="1">
        <v>8462.1200000000008</v>
      </c>
      <c r="O3560" s="1" t="s">
        <v>33</v>
      </c>
      <c r="P3560" s="1" t="s">
        <v>59</v>
      </c>
      <c r="Q3560" s="1">
        <v>4</v>
      </c>
      <c r="R3560" s="1">
        <f>Retail_Sales_Analyis[[#This Row],[Final_Price]]-Retail_Sales_Analyis[[#This Row],[Total_Price]]</f>
        <v>-1493.3199999999997</v>
      </c>
      <c r="S35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61" spans="1:19" x14ac:dyDescent="0.25">
      <c r="A3561" s="1" t="s">
        <v>4673</v>
      </c>
      <c r="B3561" s="2">
        <v>45471</v>
      </c>
      <c r="C3561" s="1" t="s">
        <v>173</v>
      </c>
      <c r="D3561" s="1" t="s">
        <v>144</v>
      </c>
      <c r="E3561" s="1" t="s">
        <v>261</v>
      </c>
      <c r="F3561" s="1" t="s">
        <v>37</v>
      </c>
      <c r="G3561" s="1" t="s">
        <v>78</v>
      </c>
      <c r="H3561" s="1" t="s">
        <v>79</v>
      </c>
      <c r="I3561" s="1">
        <v>285.68</v>
      </c>
      <c r="J3561" s="1">
        <v>10</v>
      </c>
      <c r="K3561" s="1">
        <v>2856.8</v>
      </c>
      <c r="L3561" s="1">
        <v>0</v>
      </c>
      <c r="M3561" s="1">
        <v>0</v>
      </c>
      <c r="N3561" s="1">
        <v>2856.8</v>
      </c>
      <c r="O3561" s="1" t="s">
        <v>24</v>
      </c>
      <c r="P3561" s="1" t="s">
        <v>775</v>
      </c>
      <c r="Q3561" s="1">
        <v>5</v>
      </c>
      <c r="R3561" s="1">
        <f>Retail_Sales_Analyis[[#This Row],[Final_Price]]-Retail_Sales_Analyis[[#This Row],[Total_Price]]</f>
        <v>0</v>
      </c>
      <c r="S35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2" spans="1:19" x14ac:dyDescent="0.25">
      <c r="A3562" s="1" t="s">
        <v>4674</v>
      </c>
      <c r="B3562" s="2">
        <v>45655</v>
      </c>
      <c r="C3562" s="1" t="s">
        <v>73</v>
      </c>
      <c r="D3562" s="1" t="s">
        <v>49</v>
      </c>
      <c r="E3562" s="1" t="s">
        <v>166</v>
      </c>
      <c r="F3562" s="1" t="s">
        <v>21</v>
      </c>
      <c r="G3562" s="1" t="s">
        <v>57</v>
      </c>
      <c r="H3562" s="1" t="s">
        <v>152</v>
      </c>
      <c r="I3562" s="1">
        <v>1526.22</v>
      </c>
      <c r="J3562" s="1">
        <v>6</v>
      </c>
      <c r="K3562" s="1">
        <v>9157.32</v>
      </c>
      <c r="L3562" s="1">
        <v>0</v>
      </c>
      <c r="M3562" s="1">
        <v>0</v>
      </c>
      <c r="N3562" s="1">
        <v>9157.32</v>
      </c>
      <c r="O3562" s="1" t="s">
        <v>33</v>
      </c>
      <c r="P3562" s="1" t="s">
        <v>248</v>
      </c>
      <c r="Q3562" s="1">
        <v>5</v>
      </c>
      <c r="R3562" s="1">
        <f>Retail_Sales_Analyis[[#This Row],[Final_Price]]-Retail_Sales_Analyis[[#This Row],[Total_Price]]</f>
        <v>0</v>
      </c>
      <c r="S35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3" spans="1:19" x14ac:dyDescent="0.25">
      <c r="A3563" s="1" t="s">
        <v>4675</v>
      </c>
      <c r="B3563" s="2">
        <v>45604</v>
      </c>
      <c r="C3563" s="1" t="s">
        <v>18</v>
      </c>
      <c r="D3563" s="1" t="s">
        <v>144</v>
      </c>
      <c r="E3563" s="1" t="s">
        <v>77</v>
      </c>
      <c r="F3563" s="1" t="s">
        <v>84</v>
      </c>
      <c r="G3563" s="1" t="s">
        <v>31</v>
      </c>
      <c r="H3563" s="1" t="s">
        <v>45</v>
      </c>
      <c r="I3563" s="1">
        <v>154.18</v>
      </c>
      <c r="J3563" s="1">
        <v>7</v>
      </c>
      <c r="K3563" s="1">
        <v>1079.26</v>
      </c>
      <c r="L3563" s="1">
        <v>10</v>
      </c>
      <c r="M3563" s="1">
        <v>107.93</v>
      </c>
      <c r="N3563" s="1">
        <v>971.33</v>
      </c>
      <c r="O3563" s="1" t="s">
        <v>33</v>
      </c>
      <c r="P3563" s="1" t="s">
        <v>1779</v>
      </c>
      <c r="Q3563" s="1">
        <v>1</v>
      </c>
      <c r="R3563" s="1">
        <f>Retail_Sales_Analyis[[#This Row],[Final_Price]]-Retail_Sales_Analyis[[#This Row],[Total_Price]]</f>
        <v>-107.92999999999995</v>
      </c>
      <c r="S35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64" spans="1:19" x14ac:dyDescent="0.25">
      <c r="A3564" s="1" t="s">
        <v>4676</v>
      </c>
      <c r="B3564" s="2">
        <v>45615</v>
      </c>
      <c r="C3564" s="1" t="s">
        <v>18</v>
      </c>
      <c r="D3564" s="1" t="s">
        <v>28</v>
      </c>
      <c r="E3564" s="1" t="s">
        <v>139</v>
      </c>
      <c r="F3564" s="1" t="s">
        <v>84</v>
      </c>
      <c r="G3564" s="1" t="s">
        <v>57</v>
      </c>
      <c r="H3564" s="1" t="s">
        <v>152</v>
      </c>
      <c r="I3564" s="1">
        <v>2071.04</v>
      </c>
      <c r="J3564" s="1">
        <v>7</v>
      </c>
      <c r="K3564" s="1">
        <v>14497.28</v>
      </c>
      <c r="L3564" s="1">
        <v>0</v>
      </c>
      <c r="M3564" s="1">
        <v>0</v>
      </c>
      <c r="N3564" s="1">
        <v>14497.28</v>
      </c>
      <c r="O3564" s="1" t="s">
        <v>80</v>
      </c>
      <c r="P3564" s="1" t="s">
        <v>447</v>
      </c>
      <c r="Q3564" s="1">
        <v>5</v>
      </c>
      <c r="R3564" s="1">
        <f>Retail_Sales_Analyis[[#This Row],[Final_Price]]-Retail_Sales_Analyis[[#This Row],[Total_Price]]</f>
        <v>0</v>
      </c>
      <c r="S35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5" spans="1:19" x14ac:dyDescent="0.25">
      <c r="A3565" s="1" t="s">
        <v>4677</v>
      </c>
      <c r="B3565" s="2">
        <v>45511</v>
      </c>
      <c r="C3565" s="1" t="s">
        <v>93</v>
      </c>
      <c r="D3565" s="1" t="s">
        <v>55</v>
      </c>
      <c r="E3565" s="1" t="s">
        <v>186</v>
      </c>
      <c r="F3565" s="1" t="s">
        <v>84</v>
      </c>
      <c r="G3565" s="1" t="s">
        <v>78</v>
      </c>
      <c r="H3565" s="1" t="s">
        <v>79</v>
      </c>
      <c r="I3565" s="1">
        <v>590.78</v>
      </c>
      <c r="J3565" s="1">
        <v>1</v>
      </c>
      <c r="K3565" s="1">
        <v>590.78</v>
      </c>
      <c r="L3565" s="1">
        <v>0</v>
      </c>
      <c r="M3565" s="1">
        <v>0</v>
      </c>
      <c r="N3565" s="1">
        <v>590.78</v>
      </c>
      <c r="O3565" s="1" t="s">
        <v>46</v>
      </c>
      <c r="P3565" s="1" t="s">
        <v>586</v>
      </c>
      <c r="Q3565" s="1">
        <v>5</v>
      </c>
      <c r="R3565" s="1">
        <f>Retail_Sales_Analyis[[#This Row],[Final_Price]]-Retail_Sales_Analyis[[#This Row],[Total_Price]]</f>
        <v>0</v>
      </c>
      <c r="S35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6" spans="1:19" x14ac:dyDescent="0.25">
      <c r="A3566" s="1" t="s">
        <v>4678</v>
      </c>
      <c r="B3566" s="2">
        <v>45376</v>
      </c>
      <c r="C3566" s="1" t="s">
        <v>61</v>
      </c>
      <c r="D3566" s="1" t="s">
        <v>43</v>
      </c>
      <c r="E3566" s="1" t="s">
        <v>207</v>
      </c>
      <c r="F3566" s="1" t="s">
        <v>30</v>
      </c>
      <c r="G3566" s="1" t="s">
        <v>169</v>
      </c>
      <c r="H3566" s="1" t="s">
        <v>208</v>
      </c>
      <c r="I3566" s="1">
        <v>743.31</v>
      </c>
      <c r="J3566" s="1">
        <v>4</v>
      </c>
      <c r="K3566" s="1">
        <v>2973.24</v>
      </c>
      <c r="L3566" s="1">
        <v>0</v>
      </c>
      <c r="M3566" s="1">
        <v>0</v>
      </c>
      <c r="N3566" s="1">
        <v>2973.24</v>
      </c>
      <c r="O3566" s="1" t="s">
        <v>24</v>
      </c>
      <c r="P3566" s="1" t="s">
        <v>959</v>
      </c>
      <c r="Q3566" s="1">
        <v>2</v>
      </c>
      <c r="R3566" s="1">
        <f>Retail_Sales_Analyis[[#This Row],[Final_Price]]-Retail_Sales_Analyis[[#This Row],[Total_Price]]</f>
        <v>0</v>
      </c>
      <c r="S35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67" spans="1:19" x14ac:dyDescent="0.25">
      <c r="A3567" s="1" t="s">
        <v>4679</v>
      </c>
      <c r="B3567" s="2">
        <v>45607</v>
      </c>
      <c r="C3567" s="1" t="s">
        <v>18</v>
      </c>
      <c r="D3567" s="1" t="s">
        <v>43</v>
      </c>
      <c r="E3567" s="1" t="s">
        <v>302</v>
      </c>
      <c r="F3567" s="1" t="s">
        <v>21</v>
      </c>
      <c r="G3567" s="1" t="s">
        <v>112</v>
      </c>
      <c r="H3567" s="1" t="s">
        <v>183</v>
      </c>
      <c r="I3567" s="1">
        <v>1562.24</v>
      </c>
      <c r="J3567" s="1">
        <v>4</v>
      </c>
      <c r="K3567" s="1">
        <v>6248.96</v>
      </c>
      <c r="L3567" s="1">
        <v>15</v>
      </c>
      <c r="M3567" s="1">
        <v>937.34</v>
      </c>
      <c r="N3567" s="1">
        <v>5311.62</v>
      </c>
      <c r="O3567" s="1" t="s">
        <v>64</v>
      </c>
      <c r="P3567" s="1" t="s">
        <v>803</v>
      </c>
      <c r="Q3567" s="1">
        <v>5</v>
      </c>
      <c r="R3567" s="1">
        <f>Retail_Sales_Analyis[[#This Row],[Final_Price]]-Retail_Sales_Analyis[[#This Row],[Total_Price]]</f>
        <v>-937.34000000000015</v>
      </c>
      <c r="S35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68" spans="1:19" x14ac:dyDescent="0.25">
      <c r="A3568" s="1" t="s">
        <v>4680</v>
      </c>
      <c r="B3568" s="2">
        <v>45363</v>
      </c>
      <c r="C3568" s="1" t="s">
        <v>61</v>
      </c>
      <c r="D3568" s="1" t="s">
        <v>28</v>
      </c>
      <c r="E3568" s="1" t="s">
        <v>139</v>
      </c>
      <c r="F3568" s="1" t="s">
        <v>21</v>
      </c>
      <c r="G3568" s="1" t="s">
        <v>112</v>
      </c>
      <c r="H3568" s="1" t="s">
        <v>113</v>
      </c>
      <c r="I3568" s="1">
        <v>1864.47</v>
      </c>
      <c r="J3568" s="1">
        <v>4</v>
      </c>
      <c r="K3568" s="1">
        <v>7457.88</v>
      </c>
      <c r="L3568" s="1">
        <v>10</v>
      </c>
      <c r="M3568" s="1">
        <v>745.79</v>
      </c>
      <c r="N3568" s="1">
        <v>6712.09</v>
      </c>
      <c r="O3568" s="1" t="s">
        <v>80</v>
      </c>
      <c r="P3568" s="1" t="s">
        <v>3148</v>
      </c>
      <c r="Q3568" s="1">
        <v>4</v>
      </c>
      <c r="R3568" s="1">
        <f>Retail_Sales_Analyis[[#This Row],[Final_Price]]-Retail_Sales_Analyis[[#This Row],[Total_Price]]</f>
        <v>-745.79</v>
      </c>
      <c r="S35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69" spans="1:19" x14ac:dyDescent="0.25">
      <c r="A3569" s="1" t="s">
        <v>4681</v>
      </c>
      <c r="B3569" s="2">
        <v>45397</v>
      </c>
      <c r="C3569" s="1" t="s">
        <v>54</v>
      </c>
      <c r="D3569" s="1" t="s">
        <v>43</v>
      </c>
      <c r="E3569" s="1" t="s">
        <v>312</v>
      </c>
      <c r="F3569" s="1" t="s">
        <v>84</v>
      </c>
      <c r="G3569" s="1" t="s">
        <v>169</v>
      </c>
      <c r="H3569" s="1" t="s">
        <v>170</v>
      </c>
      <c r="I3569" s="1">
        <v>938.75</v>
      </c>
      <c r="J3569" s="1">
        <v>4</v>
      </c>
      <c r="K3569" s="1">
        <v>3755</v>
      </c>
      <c r="L3569" s="1">
        <v>10</v>
      </c>
      <c r="M3569" s="1">
        <v>375.5</v>
      </c>
      <c r="N3569" s="1">
        <v>3379.5</v>
      </c>
      <c r="O3569" s="1" t="s">
        <v>46</v>
      </c>
      <c r="P3569" s="1" t="s">
        <v>1913</v>
      </c>
      <c r="Q3569" s="1">
        <v>3</v>
      </c>
      <c r="R3569" s="1">
        <f>Retail_Sales_Analyis[[#This Row],[Final_Price]]-Retail_Sales_Analyis[[#This Row],[Total_Price]]</f>
        <v>-375.5</v>
      </c>
      <c r="S35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70" spans="1:19" x14ac:dyDescent="0.25">
      <c r="A3570" s="1" t="s">
        <v>4682</v>
      </c>
      <c r="B3570" s="2">
        <v>45397</v>
      </c>
      <c r="C3570" s="1" t="s">
        <v>54</v>
      </c>
      <c r="D3570" s="1" t="s">
        <v>43</v>
      </c>
      <c r="E3570" s="1" t="s">
        <v>117</v>
      </c>
      <c r="F3570" s="1" t="s">
        <v>37</v>
      </c>
      <c r="G3570" s="1" t="s">
        <v>22</v>
      </c>
      <c r="H3570" s="1" t="s">
        <v>51</v>
      </c>
      <c r="I3570" s="1">
        <v>545.82000000000005</v>
      </c>
      <c r="J3570" s="1">
        <v>4</v>
      </c>
      <c r="K3570" s="1">
        <v>2183.2800000000002</v>
      </c>
      <c r="L3570" s="1">
        <v>15</v>
      </c>
      <c r="M3570" s="1">
        <v>327.49</v>
      </c>
      <c r="N3570" s="1">
        <v>1855.79</v>
      </c>
      <c r="O3570" s="1" t="s">
        <v>46</v>
      </c>
      <c r="P3570" s="1" t="s">
        <v>1502</v>
      </c>
      <c r="Q3570" s="1">
        <v>2</v>
      </c>
      <c r="R3570" s="1">
        <f>Retail_Sales_Analyis[[#This Row],[Final_Price]]-Retail_Sales_Analyis[[#This Row],[Total_Price]]</f>
        <v>-327.49000000000024</v>
      </c>
      <c r="S35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71" spans="1:19" x14ac:dyDescent="0.25">
      <c r="A3571" s="1" t="s">
        <v>4683</v>
      </c>
      <c r="B3571" s="2">
        <v>45322</v>
      </c>
      <c r="C3571" s="1" t="s">
        <v>36</v>
      </c>
      <c r="D3571" s="1" t="s">
        <v>55</v>
      </c>
      <c r="E3571" s="1" t="s">
        <v>117</v>
      </c>
      <c r="F3571" s="1" t="s">
        <v>69</v>
      </c>
      <c r="G3571" s="1" t="s">
        <v>57</v>
      </c>
      <c r="H3571" s="1" t="s">
        <v>158</v>
      </c>
      <c r="I3571" s="1">
        <v>1635.01</v>
      </c>
      <c r="J3571" s="1">
        <v>2</v>
      </c>
      <c r="K3571" s="1">
        <v>3270.02</v>
      </c>
      <c r="L3571" s="1">
        <v>0</v>
      </c>
      <c r="M3571" s="1">
        <v>0</v>
      </c>
      <c r="N3571" s="1">
        <v>3270.02</v>
      </c>
      <c r="O3571" s="1" t="s">
        <v>46</v>
      </c>
      <c r="P3571" s="1" t="s">
        <v>841</v>
      </c>
      <c r="Q3571" s="1">
        <v>2</v>
      </c>
      <c r="R3571" s="1">
        <f>Retail_Sales_Analyis[[#This Row],[Final_Price]]-Retail_Sales_Analyis[[#This Row],[Total_Price]]</f>
        <v>0</v>
      </c>
      <c r="S35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72" spans="1:19" x14ac:dyDescent="0.25">
      <c r="A3572" s="1" t="s">
        <v>4684</v>
      </c>
      <c r="B3572" s="2">
        <v>45583</v>
      </c>
      <c r="C3572" s="1" t="s">
        <v>76</v>
      </c>
      <c r="D3572" s="1" t="s">
        <v>144</v>
      </c>
      <c r="E3572" s="1" t="s">
        <v>151</v>
      </c>
      <c r="F3572" s="1" t="s">
        <v>69</v>
      </c>
      <c r="G3572" s="1" t="s">
        <v>38</v>
      </c>
      <c r="H3572" s="1" t="s">
        <v>108</v>
      </c>
      <c r="I3572" s="1">
        <v>294.67</v>
      </c>
      <c r="J3572" s="1">
        <v>7</v>
      </c>
      <c r="K3572" s="1">
        <v>2062.69</v>
      </c>
      <c r="L3572" s="1">
        <v>0</v>
      </c>
      <c r="M3572" s="1">
        <v>0</v>
      </c>
      <c r="N3572" s="1">
        <v>2062.69</v>
      </c>
      <c r="O3572" s="1" t="s">
        <v>46</v>
      </c>
      <c r="P3572" s="1" t="s">
        <v>576</v>
      </c>
      <c r="Q3572" s="1">
        <v>1</v>
      </c>
      <c r="R3572" s="1">
        <f>Retail_Sales_Analyis[[#This Row],[Final_Price]]-Retail_Sales_Analyis[[#This Row],[Total_Price]]</f>
        <v>0</v>
      </c>
      <c r="S35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73" spans="1:19" x14ac:dyDescent="0.25">
      <c r="A3573" s="1" t="s">
        <v>4685</v>
      </c>
      <c r="B3573" s="2">
        <v>45471</v>
      </c>
      <c r="C3573" s="1" t="s">
        <v>173</v>
      </c>
      <c r="D3573" s="1" t="s">
        <v>144</v>
      </c>
      <c r="E3573" s="1" t="s">
        <v>29</v>
      </c>
      <c r="F3573" s="1" t="s">
        <v>69</v>
      </c>
      <c r="G3573" s="1" t="s">
        <v>57</v>
      </c>
      <c r="H3573" s="1" t="s">
        <v>101</v>
      </c>
      <c r="I3573" s="1">
        <v>2332.5500000000002</v>
      </c>
      <c r="J3573" s="1">
        <v>10</v>
      </c>
      <c r="K3573" s="1">
        <v>23325.5</v>
      </c>
      <c r="L3573" s="1">
        <v>20</v>
      </c>
      <c r="M3573" s="1">
        <v>4665.1000000000004</v>
      </c>
      <c r="N3573" s="1">
        <v>18660.400000000001</v>
      </c>
      <c r="O3573" s="1" t="s">
        <v>33</v>
      </c>
      <c r="P3573" s="1" t="s">
        <v>1469</v>
      </c>
      <c r="Q3573" s="1">
        <v>4</v>
      </c>
      <c r="R3573" s="1">
        <f>Retail_Sales_Analyis[[#This Row],[Final_Price]]-Retail_Sales_Analyis[[#This Row],[Total_Price]]</f>
        <v>-4665.0999999999985</v>
      </c>
      <c r="S35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74" spans="1:19" x14ac:dyDescent="0.25">
      <c r="A3574" s="1" t="s">
        <v>4686</v>
      </c>
      <c r="B3574" s="2">
        <v>45564</v>
      </c>
      <c r="C3574" s="1" t="s">
        <v>116</v>
      </c>
      <c r="D3574" s="1" t="s">
        <v>49</v>
      </c>
      <c r="E3574" s="1" t="s">
        <v>199</v>
      </c>
      <c r="F3574" s="1" t="s">
        <v>84</v>
      </c>
      <c r="G3574" s="1" t="s">
        <v>78</v>
      </c>
      <c r="H3574" s="1" t="s">
        <v>126</v>
      </c>
      <c r="I3574" s="1">
        <v>191.82</v>
      </c>
      <c r="J3574" s="1">
        <v>9</v>
      </c>
      <c r="K3574" s="1">
        <v>1726.38</v>
      </c>
      <c r="L3574" s="1">
        <v>5</v>
      </c>
      <c r="M3574" s="1">
        <v>86.32</v>
      </c>
      <c r="N3574" s="1">
        <v>1640.06</v>
      </c>
      <c r="O3574" s="1" t="s">
        <v>33</v>
      </c>
      <c r="P3574" s="1" t="s">
        <v>4649</v>
      </c>
      <c r="Q3574" s="1">
        <v>3</v>
      </c>
      <c r="R3574" s="1">
        <f>Retail_Sales_Analyis[[#This Row],[Final_Price]]-Retail_Sales_Analyis[[#This Row],[Total_Price]]</f>
        <v>-86.320000000000164</v>
      </c>
      <c r="S35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75" spans="1:19" x14ac:dyDescent="0.25">
      <c r="A3575" s="1" t="s">
        <v>4687</v>
      </c>
      <c r="B3575" s="2">
        <v>45435</v>
      </c>
      <c r="C3575" s="1" t="s">
        <v>42</v>
      </c>
      <c r="D3575" s="1" t="s">
        <v>67</v>
      </c>
      <c r="E3575" s="1" t="s">
        <v>151</v>
      </c>
      <c r="F3575" s="1" t="s">
        <v>69</v>
      </c>
      <c r="G3575" s="1" t="s">
        <v>85</v>
      </c>
      <c r="H3575" s="1" t="s">
        <v>180</v>
      </c>
      <c r="I3575" s="1">
        <v>2552.6799999999998</v>
      </c>
      <c r="J3575" s="1">
        <v>8</v>
      </c>
      <c r="K3575" s="1">
        <v>20421.439999999999</v>
      </c>
      <c r="L3575" s="1">
        <v>15</v>
      </c>
      <c r="M3575" s="1">
        <v>3063.22</v>
      </c>
      <c r="N3575" s="1">
        <v>17358.22</v>
      </c>
      <c r="O3575" s="1" t="s">
        <v>24</v>
      </c>
      <c r="P3575" s="1" t="s">
        <v>896</v>
      </c>
      <c r="Q3575" s="1">
        <v>3</v>
      </c>
      <c r="R3575" s="1">
        <f>Retail_Sales_Analyis[[#This Row],[Final_Price]]-Retail_Sales_Analyis[[#This Row],[Total_Price]]</f>
        <v>-3063.2199999999975</v>
      </c>
      <c r="S35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76" spans="1:19" x14ac:dyDescent="0.25">
      <c r="A3576" s="1" t="s">
        <v>4688</v>
      </c>
      <c r="B3576" s="2">
        <v>45597</v>
      </c>
      <c r="C3576" s="1" t="s">
        <v>18</v>
      </c>
      <c r="D3576" s="1" t="s">
        <v>144</v>
      </c>
      <c r="E3576" s="1" t="s">
        <v>62</v>
      </c>
      <c r="F3576" s="1" t="s">
        <v>69</v>
      </c>
      <c r="G3576" s="1" t="s">
        <v>57</v>
      </c>
      <c r="H3576" s="1" t="s">
        <v>122</v>
      </c>
      <c r="I3576" s="1">
        <v>1926.49</v>
      </c>
      <c r="J3576" s="1">
        <v>6</v>
      </c>
      <c r="K3576" s="1">
        <v>11558.94</v>
      </c>
      <c r="L3576" s="1">
        <v>0</v>
      </c>
      <c r="M3576" s="1">
        <v>0</v>
      </c>
      <c r="N3576" s="1">
        <v>11558.94</v>
      </c>
      <c r="O3576" s="1" t="s">
        <v>24</v>
      </c>
      <c r="P3576" s="1" t="s">
        <v>3055</v>
      </c>
      <c r="Q3576" s="1">
        <v>3</v>
      </c>
      <c r="R3576" s="1">
        <f>Retail_Sales_Analyis[[#This Row],[Final_Price]]-Retail_Sales_Analyis[[#This Row],[Total_Price]]</f>
        <v>0</v>
      </c>
      <c r="S35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77" spans="1:19" x14ac:dyDescent="0.25">
      <c r="A3577" s="1" t="s">
        <v>4689</v>
      </c>
      <c r="B3577" s="2">
        <v>45567</v>
      </c>
      <c r="C3577" s="1" t="s">
        <v>76</v>
      </c>
      <c r="D3577" s="1" t="s">
        <v>55</v>
      </c>
      <c r="E3577" s="1" t="s">
        <v>132</v>
      </c>
      <c r="F3577" s="1" t="s">
        <v>37</v>
      </c>
      <c r="G3577" s="1" t="s">
        <v>38</v>
      </c>
      <c r="H3577" s="1" t="s">
        <v>214</v>
      </c>
      <c r="I3577" s="1">
        <v>237.19</v>
      </c>
      <c r="J3577" s="1">
        <v>5</v>
      </c>
      <c r="K3577" s="1">
        <v>1185.95</v>
      </c>
      <c r="L3577" s="1">
        <v>0</v>
      </c>
      <c r="M3577" s="1">
        <v>0</v>
      </c>
      <c r="N3577" s="1">
        <v>1185.95</v>
      </c>
      <c r="O3577" s="1" t="s">
        <v>64</v>
      </c>
      <c r="P3577" s="1" t="s">
        <v>582</v>
      </c>
      <c r="Q3577" s="1">
        <v>4</v>
      </c>
      <c r="R3577" s="1">
        <f>Retail_Sales_Analyis[[#This Row],[Final_Price]]-Retail_Sales_Analyis[[#This Row],[Total_Price]]</f>
        <v>0</v>
      </c>
      <c r="S35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78" spans="1:19" x14ac:dyDescent="0.25">
      <c r="A3578" s="1" t="s">
        <v>4690</v>
      </c>
      <c r="B3578" s="2">
        <v>45378</v>
      </c>
      <c r="C3578" s="1" t="s">
        <v>61</v>
      </c>
      <c r="D3578" s="1" t="s">
        <v>55</v>
      </c>
      <c r="E3578" s="1" t="s">
        <v>104</v>
      </c>
      <c r="F3578" s="1" t="s">
        <v>84</v>
      </c>
      <c r="G3578" s="1" t="s">
        <v>22</v>
      </c>
      <c r="H3578" s="1" t="s">
        <v>277</v>
      </c>
      <c r="I3578" s="1">
        <v>812.54</v>
      </c>
      <c r="J3578" s="1">
        <v>10</v>
      </c>
      <c r="K3578" s="1">
        <v>8125.4</v>
      </c>
      <c r="L3578" s="1">
        <v>5</v>
      </c>
      <c r="M3578" s="1">
        <v>406.27</v>
      </c>
      <c r="N3578" s="1">
        <v>7719.13</v>
      </c>
      <c r="O3578" s="1" t="s">
        <v>33</v>
      </c>
      <c r="P3578" s="1" t="s">
        <v>3718</v>
      </c>
      <c r="Q3578" s="1">
        <v>4</v>
      </c>
      <c r="R3578" s="1">
        <f>Retail_Sales_Analyis[[#This Row],[Final_Price]]-Retail_Sales_Analyis[[#This Row],[Total_Price]]</f>
        <v>-406.26999999999953</v>
      </c>
      <c r="S357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79" spans="1:19" x14ac:dyDescent="0.25">
      <c r="A3579" s="1" t="s">
        <v>4691</v>
      </c>
      <c r="B3579" s="2">
        <v>45457</v>
      </c>
      <c r="C3579" s="1" t="s">
        <v>173</v>
      </c>
      <c r="D3579" s="1" t="s">
        <v>144</v>
      </c>
      <c r="E3579" s="1" t="s">
        <v>104</v>
      </c>
      <c r="F3579" s="1" t="s">
        <v>21</v>
      </c>
      <c r="G3579" s="1" t="s">
        <v>169</v>
      </c>
      <c r="H3579" s="1" t="s">
        <v>170</v>
      </c>
      <c r="I3579" s="1">
        <v>518.47</v>
      </c>
      <c r="J3579" s="1">
        <v>3</v>
      </c>
      <c r="K3579" s="1">
        <v>1555.41</v>
      </c>
      <c r="L3579" s="1">
        <v>10</v>
      </c>
      <c r="M3579" s="1">
        <v>155.54</v>
      </c>
      <c r="N3579" s="1">
        <v>1399.87</v>
      </c>
      <c r="O3579" s="1" t="s">
        <v>64</v>
      </c>
      <c r="P3579" s="1" t="s">
        <v>926</v>
      </c>
      <c r="Q3579" s="1">
        <v>2</v>
      </c>
      <c r="R3579" s="1">
        <f>Retail_Sales_Analyis[[#This Row],[Final_Price]]-Retail_Sales_Analyis[[#This Row],[Total_Price]]</f>
        <v>-155.54000000000019</v>
      </c>
      <c r="S35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80" spans="1:19" x14ac:dyDescent="0.25">
      <c r="A3580" s="1" t="s">
        <v>4692</v>
      </c>
      <c r="B3580" s="2">
        <v>45652</v>
      </c>
      <c r="C3580" s="1" t="s">
        <v>73</v>
      </c>
      <c r="D3580" s="1" t="s">
        <v>67</v>
      </c>
      <c r="E3580" s="1" t="s">
        <v>145</v>
      </c>
      <c r="F3580" s="1" t="s">
        <v>21</v>
      </c>
      <c r="G3580" s="1" t="s">
        <v>22</v>
      </c>
      <c r="H3580" s="1" t="s">
        <v>187</v>
      </c>
      <c r="I3580" s="1">
        <v>592.52</v>
      </c>
      <c r="J3580" s="1">
        <v>3</v>
      </c>
      <c r="K3580" s="1">
        <v>1777.56</v>
      </c>
      <c r="L3580" s="1">
        <v>0</v>
      </c>
      <c r="M3580" s="1">
        <v>0</v>
      </c>
      <c r="N3580" s="1">
        <v>1777.56</v>
      </c>
      <c r="O3580" s="1" t="s">
        <v>64</v>
      </c>
      <c r="P3580" s="1" t="s">
        <v>4693</v>
      </c>
      <c r="Q3580" s="1">
        <v>4</v>
      </c>
      <c r="R3580" s="1">
        <f>Retail_Sales_Analyis[[#This Row],[Final_Price]]-Retail_Sales_Analyis[[#This Row],[Total_Price]]</f>
        <v>0</v>
      </c>
      <c r="S35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1" spans="1:19" x14ac:dyDescent="0.25">
      <c r="A3581" s="1" t="s">
        <v>4694</v>
      </c>
      <c r="B3581" s="2">
        <v>45441</v>
      </c>
      <c r="C3581" s="1" t="s">
        <v>42</v>
      </c>
      <c r="D3581" s="1" t="s">
        <v>55</v>
      </c>
      <c r="E3581" s="1" t="s">
        <v>44</v>
      </c>
      <c r="F3581" s="1" t="s">
        <v>30</v>
      </c>
      <c r="G3581" s="1" t="s">
        <v>38</v>
      </c>
      <c r="H3581" s="1" t="s">
        <v>39</v>
      </c>
      <c r="I3581" s="1">
        <v>786.87</v>
      </c>
      <c r="J3581" s="1">
        <v>2</v>
      </c>
      <c r="K3581" s="1">
        <v>1573.74</v>
      </c>
      <c r="L3581" s="1">
        <v>0</v>
      </c>
      <c r="M3581" s="1">
        <v>0</v>
      </c>
      <c r="N3581" s="1">
        <v>1573.74</v>
      </c>
      <c r="O3581" s="1" t="s">
        <v>80</v>
      </c>
      <c r="P3581" s="1" t="s">
        <v>1617</v>
      </c>
      <c r="Q3581" s="1">
        <v>4</v>
      </c>
      <c r="R3581" s="1">
        <f>Retail_Sales_Analyis[[#This Row],[Final_Price]]-Retail_Sales_Analyis[[#This Row],[Total_Price]]</f>
        <v>0</v>
      </c>
      <c r="S35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2" spans="1:19" x14ac:dyDescent="0.25">
      <c r="A3582" s="1" t="s">
        <v>4695</v>
      </c>
      <c r="B3582" s="2">
        <v>45440</v>
      </c>
      <c r="C3582" s="1" t="s">
        <v>42</v>
      </c>
      <c r="D3582" s="1" t="s">
        <v>28</v>
      </c>
      <c r="E3582" s="1" t="s">
        <v>132</v>
      </c>
      <c r="F3582" s="1" t="s">
        <v>69</v>
      </c>
      <c r="G3582" s="1" t="s">
        <v>78</v>
      </c>
      <c r="H3582" s="1" t="s">
        <v>136</v>
      </c>
      <c r="I3582" s="1">
        <v>375.65</v>
      </c>
      <c r="J3582" s="1">
        <v>1</v>
      </c>
      <c r="K3582" s="1">
        <v>375.65</v>
      </c>
      <c r="L3582" s="1">
        <v>0</v>
      </c>
      <c r="M3582" s="1">
        <v>0</v>
      </c>
      <c r="N3582" s="1">
        <v>375.65</v>
      </c>
      <c r="O3582" s="1" t="s">
        <v>46</v>
      </c>
      <c r="P3582" s="1" t="s">
        <v>4285</v>
      </c>
      <c r="Q3582" s="1">
        <v>3</v>
      </c>
      <c r="R3582" s="1">
        <f>Retail_Sales_Analyis[[#This Row],[Final_Price]]-Retail_Sales_Analyis[[#This Row],[Total_Price]]</f>
        <v>0</v>
      </c>
      <c r="S35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3" spans="1:19" x14ac:dyDescent="0.25">
      <c r="A3583" s="1" t="s">
        <v>4696</v>
      </c>
      <c r="B3583" s="2">
        <v>45585</v>
      </c>
      <c r="C3583" s="1" t="s">
        <v>76</v>
      </c>
      <c r="D3583" s="1" t="s">
        <v>49</v>
      </c>
      <c r="E3583" s="1" t="s">
        <v>121</v>
      </c>
      <c r="F3583" s="1" t="s">
        <v>84</v>
      </c>
      <c r="G3583" s="1" t="s">
        <v>78</v>
      </c>
      <c r="H3583" s="1" t="s">
        <v>136</v>
      </c>
      <c r="I3583" s="1">
        <v>448.17</v>
      </c>
      <c r="J3583" s="1">
        <v>6</v>
      </c>
      <c r="K3583" s="1">
        <v>2689.02</v>
      </c>
      <c r="L3583" s="1">
        <v>20</v>
      </c>
      <c r="M3583" s="1">
        <v>537.79999999999995</v>
      </c>
      <c r="N3583" s="1">
        <v>2151.2199999999998</v>
      </c>
      <c r="O3583" s="1" t="s">
        <v>33</v>
      </c>
      <c r="P3583" s="1" t="s">
        <v>607</v>
      </c>
      <c r="Q3583" s="1">
        <v>5</v>
      </c>
      <c r="R3583" s="1">
        <f>Retail_Sales_Analyis[[#This Row],[Final_Price]]-Retail_Sales_Analyis[[#This Row],[Total_Price]]</f>
        <v>-537.80000000000018</v>
      </c>
      <c r="S35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84" spans="1:19" x14ac:dyDescent="0.25">
      <c r="A3584" s="1" t="s">
        <v>4697</v>
      </c>
      <c r="B3584" s="2">
        <v>45428</v>
      </c>
      <c r="C3584" s="1" t="s">
        <v>42</v>
      </c>
      <c r="D3584" s="1" t="s">
        <v>67</v>
      </c>
      <c r="E3584" s="1" t="s">
        <v>328</v>
      </c>
      <c r="F3584" s="1" t="s">
        <v>69</v>
      </c>
      <c r="G3584" s="1" t="s">
        <v>112</v>
      </c>
      <c r="H3584" s="1" t="s">
        <v>223</v>
      </c>
      <c r="I3584" s="1">
        <v>1830.04</v>
      </c>
      <c r="J3584" s="1">
        <v>6</v>
      </c>
      <c r="K3584" s="1">
        <v>10980.24</v>
      </c>
      <c r="L3584" s="1">
        <v>0</v>
      </c>
      <c r="M3584" s="1">
        <v>0</v>
      </c>
      <c r="N3584" s="1">
        <v>10980.24</v>
      </c>
      <c r="O3584" s="1" t="s">
        <v>64</v>
      </c>
      <c r="P3584" s="1" t="s">
        <v>982</v>
      </c>
      <c r="Q3584" s="1">
        <v>4</v>
      </c>
      <c r="R3584" s="1">
        <f>Retail_Sales_Analyis[[#This Row],[Final_Price]]-Retail_Sales_Analyis[[#This Row],[Total_Price]]</f>
        <v>0</v>
      </c>
      <c r="S35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5" spans="1:19" x14ac:dyDescent="0.25">
      <c r="A3585" s="1" t="s">
        <v>4698</v>
      </c>
      <c r="B3585" s="2">
        <v>45555</v>
      </c>
      <c r="C3585" s="1" t="s">
        <v>116</v>
      </c>
      <c r="D3585" s="1" t="s">
        <v>144</v>
      </c>
      <c r="E3585" s="1" t="s">
        <v>125</v>
      </c>
      <c r="F3585" s="1" t="s">
        <v>21</v>
      </c>
      <c r="G3585" s="1" t="s">
        <v>22</v>
      </c>
      <c r="H3585" s="1" t="s">
        <v>277</v>
      </c>
      <c r="I3585" s="1">
        <v>711.32</v>
      </c>
      <c r="J3585" s="1">
        <v>10</v>
      </c>
      <c r="K3585" s="1">
        <v>7113.2</v>
      </c>
      <c r="L3585" s="1">
        <v>0</v>
      </c>
      <c r="M3585" s="1">
        <v>0</v>
      </c>
      <c r="N3585" s="1">
        <v>7113.2</v>
      </c>
      <c r="O3585" s="1" t="s">
        <v>64</v>
      </c>
      <c r="P3585" s="1" t="s">
        <v>1710</v>
      </c>
      <c r="Q3585" s="1">
        <v>4</v>
      </c>
      <c r="R3585" s="1">
        <f>Retail_Sales_Analyis[[#This Row],[Final_Price]]-Retail_Sales_Analyis[[#This Row],[Total_Price]]</f>
        <v>0</v>
      </c>
      <c r="S35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6" spans="1:19" x14ac:dyDescent="0.25">
      <c r="A3586" s="1" t="s">
        <v>4699</v>
      </c>
      <c r="B3586" s="2">
        <v>45639</v>
      </c>
      <c r="C3586" s="1" t="s">
        <v>73</v>
      </c>
      <c r="D3586" s="1" t="s">
        <v>144</v>
      </c>
      <c r="E3586" s="1" t="s">
        <v>151</v>
      </c>
      <c r="F3586" s="1" t="s">
        <v>30</v>
      </c>
      <c r="G3586" s="1" t="s">
        <v>112</v>
      </c>
      <c r="H3586" s="1" t="s">
        <v>118</v>
      </c>
      <c r="I3586" s="1">
        <v>1116.6300000000001</v>
      </c>
      <c r="J3586" s="1">
        <v>5</v>
      </c>
      <c r="K3586" s="1">
        <v>5583.15</v>
      </c>
      <c r="L3586" s="1">
        <v>5</v>
      </c>
      <c r="M3586" s="1">
        <v>279.16000000000003</v>
      </c>
      <c r="N3586" s="1">
        <v>5303.99</v>
      </c>
      <c r="O3586" s="1" t="s">
        <v>46</v>
      </c>
      <c r="P3586" s="1" t="s">
        <v>345</v>
      </c>
      <c r="Q3586" s="1">
        <v>2</v>
      </c>
      <c r="R3586" s="1">
        <f>Retail_Sales_Analyis[[#This Row],[Final_Price]]-Retail_Sales_Analyis[[#This Row],[Total_Price]]</f>
        <v>-279.15999999999985</v>
      </c>
      <c r="S358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587" spans="1:19" x14ac:dyDescent="0.25">
      <c r="A3587" s="1" t="s">
        <v>4700</v>
      </c>
      <c r="B3587" s="2">
        <v>45340</v>
      </c>
      <c r="C3587" s="1" t="s">
        <v>27</v>
      </c>
      <c r="D3587" s="1" t="s">
        <v>49</v>
      </c>
      <c r="E3587" s="1" t="s">
        <v>312</v>
      </c>
      <c r="F3587" s="1" t="s">
        <v>30</v>
      </c>
      <c r="G3587" s="1" t="s">
        <v>112</v>
      </c>
      <c r="H3587" s="1" t="s">
        <v>223</v>
      </c>
      <c r="I3587" s="1">
        <v>937.76</v>
      </c>
      <c r="J3587" s="1">
        <v>2</v>
      </c>
      <c r="K3587" s="1">
        <v>1875.52</v>
      </c>
      <c r="L3587" s="1">
        <v>15</v>
      </c>
      <c r="M3587" s="1">
        <v>281.33</v>
      </c>
      <c r="N3587" s="1">
        <v>1594.19</v>
      </c>
      <c r="O3587" s="1" t="s">
        <v>80</v>
      </c>
      <c r="P3587" s="1" t="s">
        <v>4701</v>
      </c>
      <c r="Q3587" s="1">
        <v>4</v>
      </c>
      <c r="R3587" s="1">
        <f>Retail_Sales_Analyis[[#This Row],[Final_Price]]-Retail_Sales_Analyis[[#This Row],[Total_Price]]</f>
        <v>-281.32999999999993</v>
      </c>
      <c r="S35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88" spans="1:19" x14ac:dyDescent="0.25">
      <c r="A3588" s="1" t="s">
        <v>4702</v>
      </c>
      <c r="B3588" s="2">
        <v>45361</v>
      </c>
      <c r="C3588" s="1" t="s">
        <v>61</v>
      </c>
      <c r="D3588" s="1" t="s">
        <v>49</v>
      </c>
      <c r="E3588" s="1" t="s">
        <v>239</v>
      </c>
      <c r="F3588" s="1" t="s">
        <v>84</v>
      </c>
      <c r="G3588" s="1" t="s">
        <v>169</v>
      </c>
      <c r="H3588" s="1" t="s">
        <v>175</v>
      </c>
      <c r="I3588" s="1">
        <v>464.75</v>
      </c>
      <c r="J3588" s="1">
        <v>4</v>
      </c>
      <c r="K3588" s="1">
        <v>1859</v>
      </c>
      <c r="L3588" s="1">
        <v>0</v>
      </c>
      <c r="M3588" s="1">
        <v>0</v>
      </c>
      <c r="N3588" s="1">
        <v>1859</v>
      </c>
      <c r="O3588" s="1" t="s">
        <v>24</v>
      </c>
      <c r="P3588" s="1" t="s">
        <v>2081</v>
      </c>
      <c r="Q3588" s="1">
        <v>5</v>
      </c>
      <c r="R3588" s="1">
        <f>Retail_Sales_Analyis[[#This Row],[Final_Price]]-Retail_Sales_Analyis[[#This Row],[Total_Price]]</f>
        <v>0</v>
      </c>
      <c r="S35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89" spans="1:19" x14ac:dyDescent="0.25">
      <c r="A3589" s="1" t="s">
        <v>4703</v>
      </c>
      <c r="B3589" s="2">
        <v>45502</v>
      </c>
      <c r="C3589" s="1" t="s">
        <v>195</v>
      </c>
      <c r="D3589" s="1" t="s">
        <v>43</v>
      </c>
      <c r="E3589" s="1" t="s">
        <v>125</v>
      </c>
      <c r="F3589" s="1" t="s">
        <v>30</v>
      </c>
      <c r="G3589" s="1" t="s">
        <v>78</v>
      </c>
      <c r="H3589" s="1" t="s">
        <v>79</v>
      </c>
      <c r="I3589" s="1">
        <v>512.01</v>
      </c>
      <c r="J3589" s="1">
        <v>7</v>
      </c>
      <c r="K3589" s="1">
        <v>3584.07</v>
      </c>
      <c r="L3589" s="1">
        <v>0</v>
      </c>
      <c r="M3589" s="1">
        <v>0</v>
      </c>
      <c r="N3589" s="1">
        <v>3584.07</v>
      </c>
      <c r="O3589" s="1" t="s">
        <v>24</v>
      </c>
      <c r="P3589" s="1" t="s">
        <v>4704</v>
      </c>
      <c r="Q3589" s="1">
        <v>2</v>
      </c>
      <c r="R3589" s="1">
        <f>Retail_Sales_Analyis[[#This Row],[Final_Price]]-Retail_Sales_Analyis[[#This Row],[Total_Price]]</f>
        <v>0</v>
      </c>
      <c r="S35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0" spans="1:19" x14ac:dyDescent="0.25">
      <c r="A3590" s="1" t="s">
        <v>4705</v>
      </c>
      <c r="B3590" s="2">
        <v>45322</v>
      </c>
      <c r="C3590" s="1" t="s">
        <v>36</v>
      </c>
      <c r="D3590" s="1" t="s">
        <v>55</v>
      </c>
      <c r="E3590" s="1" t="s">
        <v>97</v>
      </c>
      <c r="F3590" s="1" t="s">
        <v>84</v>
      </c>
      <c r="G3590" s="1" t="s">
        <v>78</v>
      </c>
      <c r="H3590" s="1" t="s">
        <v>79</v>
      </c>
      <c r="I3590" s="1">
        <v>394.54</v>
      </c>
      <c r="J3590" s="1">
        <v>5</v>
      </c>
      <c r="K3590" s="1">
        <v>1972.7</v>
      </c>
      <c r="L3590" s="1">
        <v>0</v>
      </c>
      <c r="M3590" s="1">
        <v>0</v>
      </c>
      <c r="N3590" s="1">
        <v>1972.7</v>
      </c>
      <c r="O3590" s="1" t="s">
        <v>64</v>
      </c>
      <c r="P3590" s="1" t="s">
        <v>3151</v>
      </c>
      <c r="Q3590" s="1">
        <v>2</v>
      </c>
      <c r="R3590" s="1">
        <f>Retail_Sales_Analyis[[#This Row],[Final_Price]]-Retail_Sales_Analyis[[#This Row],[Total_Price]]</f>
        <v>0</v>
      </c>
      <c r="S35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1" spans="1:19" x14ac:dyDescent="0.25">
      <c r="A3591" s="1" t="s">
        <v>4706</v>
      </c>
      <c r="B3591" s="2">
        <v>45433</v>
      </c>
      <c r="C3591" s="1" t="s">
        <v>42</v>
      </c>
      <c r="D3591" s="1" t="s">
        <v>28</v>
      </c>
      <c r="E3591" s="1" t="s">
        <v>168</v>
      </c>
      <c r="F3591" s="1" t="s">
        <v>37</v>
      </c>
      <c r="G3591" s="1" t="s">
        <v>31</v>
      </c>
      <c r="H3591" s="1" t="s">
        <v>32</v>
      </c>
      <c r="I3591" s="1">
        <v>234.84</v>
      </c>
      <c r="J3591" s="1">
        <v>4</v>
      </c>
      <c r="K3591" s="1">
        <v>939.36</v>
      </c>
      <c r="L3591" s="1">
        <v>0</v>
      </c>
      <c r="M3591" s="1">
        <v>0</v>
      </c>
      <c r="N3591" s="1">
        <v>939.36</v>
      </c>
      <c r="O3591" s="1" t="s">
        <v>33</v>
      </c>
      <c r="P3591" s="1" t="s">
        <v>1851</v>
      </c>
      <c r="Q3591" s="1">
        <v>5</v>
      </c>
      <c r="R3591" s="1">
        <f>Retail_Sales_Analyis[[#This Row],[Final_Price]]-Retail_Sales_Analyis[[#This Row],[Total_Price]]</f>
        <v>0</v>
      </c>
      <c r="S35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2" spans="1:19" x14ac:dyDescent="0.25">
      <c r="A3592" s="1" t="s">
        <v>4707</v>
      </c>
      <c r="B3592" s="2">
        <v>45627</v>
      </c>
      <c r="C3592" s="1" t="s">
        <v>73</v>
      </c>
      <c r="D3592" s="1" t="s">
        <v>49</v>
      </c>
      <c r="E3592" s="1" t="s">
        <v>342</v>
      </c>
      <c r="F3592" s="1" t="s">
        <v>84</v>
      </c>
      <c r="G3592" s="1" t="s">
        <v>38</v>
      </c>
      <c r="H3592" s="1" t="s">
        <v>214</v>
      </c>
      <c r="I3592" s="1">
        <v>245.05</v>
      </c>
      <c r="J3592" s="1">
        <v>9</v>
      </c>
      <c r="K3592" s="1">
        <v>2205.4499999999998</v>
      </c>
      <c r="L3592" s="1">
        <v>0</v>
      </c>
      <c r="M3592" s="1">
        <v>0</v>
      </c>
      <c r="N3592" s="1">
        <v>2205.4499999999998</v>
      </c>
      <c r="O3592" s="1" t="s">
        <v>24</v>
      </c>
      <c r="P3592" s="1" t="s">
        <v>515</v>
      </c>
      <c r="Q3592" s="1">
        <v>4</v>
      </c>
      <c r="R3592" s="1">
        <f>Retail_Sales_Analyis[[#This Row],[Final_Price]]-Retail_Sales_Analyis[[#This Row],[Total_Price]]</f>
        <v>0</v>
      </c>
      <c r="S35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3" spans="1:19" x14ac:dyDescent="0.25">
      <c r="A3593" s="1" t="s">
        <v>4708</v>
      </c>
      <c r="B3593" s="2">
        <v>45356</v>
      </c>
      <c r="C3593" s="1" t="s">
        <v>61</v>
      </c>
      <c r="D3593" s="1" t="s">
        <v>28</v>
      </c>
      <c r="E3593" s="1" t="s">
        <v>239</v>
      </c>
      <c r="F3593" s="1" t="s">
        <v>84</v>
      </c>
      <c r="G3593" s="1" t="s">
        <v>169</v>
      </c>
      <c r="H3593" s="1" t="s">
        <v>348</v>
      </c>
      <c r="I3593" s="1">
        <v>351.86</v>
      </c>
      <c r="J3593" s="1">
        <v>6</v>
      </c>
      <c r="K3593" s="1">
        <v>2111.16</v>
      </c>
      <c r="L3593" s="1">
        <v>0</v>
      </c>
      <c r="M3593" s="1">
        <v>0</v>
      </c>
      <c r="N3593" s="1">
        <v>2111.16</v>
      </c>
      <c r="O3593" s="1" t="s">
        <v>64</v>
      </c>
      <c r="P3593" s="1" t="s">
        <v>3959</v>
      </c>
      <c r="Q3593" s="1">
        <v>5</v>
      </c>
      <c r="R3593" s="1">
        <f>Retail_Sales_Analyis[[#This Row],[Final_Price]]-Retail_Sales_Analyis[[#This Row],[Total_Price]]</f>
        <v>0</v>
      </c>
      <c r="S35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4" spans="1:19" x14ac:dyDescent="0.25">
      <c r="A3594" s="1" t="s">
        <v>4709</v>
      </c>
      <c r="B3594" s="2">
        <v>45651</v>
      </c>
      <c r="C3594" s="1" t="s">
        <v>73</v>
      </c>
      <c r="D3594" s="1" t="s">
        <v>55</v>
      </c>
      <c r="E3594" s="1" t="s">
        <v>50</v>
      </c>
      <c r="F3594" s="1" t="s">
        <v>84</v>
      </c>
      <c r="G3594" s="1" t="s">
        <v>78</v>
      </c>
      <c r="H3594" s="1" t="s">
        <v>136</v>
      </c>
      <c r="I3594" s="1">
        <v>555.08000000000004</v>
      </c>
      <c r="J3594" s="1">
        <v>5</v>
      </c>
      <c r="K3594" s="1">
        <v>2775.4</v>
      </c>
      <c r="L3594" s="1">
        <v>10</v>
      </c>
      <c r="M3594" s="1">
        <v>277.54000000000002</v>
      </c>
      <c r="N3594" s="1">
        <v>2497.86</v>
      </c>
      <c r="O3594" s="1" t="s">
        <v>33</v>
      </c>
      <c r="P3594" s="1" t="s">
        <v>2000</v>
      </c>
      <c r="Q3594" s="1">
        <v>3</v>
      </c>
      <c r="R3594" s="1">
        <f>Retail_Sales_Analyis[[#This Row],[Final_Price]]-Retail_Sales_Analyis[[#This Row],[Total_Price]]</f>
        <v>-277.53999999999996</v>
      </c>
      <c r="S359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95" spans="1:19" x14ac:dyDescent="0.25">
      <c r="A3595" s="1" t="s">
        <v>4710</v>
      </c>
      <c r="B3595" s="2">
        <v>45359</v>
      </c>
      <c r="C3595" s="1" t="s">
        <v>61</v>
      </c>
      <c r="D3595" s="1" t="s">
        <v>144</v>
      </c>
      <c r="E3595" s="1" t="s">
        <v>302</v>
      </c>
      <c r="F3595" s="1" t="s">
        <v>37</v>
      </c>
      <c r="G3595" s="1" t="s">
        <v>78</v>
      </c>
      <c r="H3595" s="1" t="s">
        <v>146</v>
      </c>
      <c r="I3595" s="1">
        <v>362.89</v>
      </c>
      <c r="J3595" s="1">
        <v>3</v>
      </c>
      <c r="K3595" s="1">
        <v>1088.67</v>
      </c>
      <c r="L3595" s="1">
        <v>0</v>
      </c>
      <c r="M3595" s="1">
        <v>0</v>
      </c>
      <c r="N3595" s="1">
        <v>1088.67</v>
      </c>
      <c r="O3595" s="1" t="s">
        <v>80</v>
      </c>
      <c r="P3595" s="1" t="s">
        <v>298</v>
      </c>
      <c r="Q3595" s="1">
        <v>5</v>
      </c>
      <c r="R3595" s="1">
        <f>Retail_Sales_Analyis[[#This Row],[Final_Price]]-Retail_Sales_Analyis[[#This Row],[Total_Price]]</f>
        <v>0</v>
      </c>
      <c r="S35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6" spans="1:19" x14ac:dyDescent="0.25">
      <c r="A3596" s="1" t="s">
        <v>4711</v>
      </c>
      <c r="B3596" s="2">
        <v>45419</v>
      </c>
      <c r="C3596" s="1" t="s">
        <v>42</v>
      </c>
      <c r="D3596" s="1" t="s">
        <v>28</v>
      </c>
      <c r="E3596" s="1" t="s">
        <v>351</v>
      </c>
      <c r="F3596" s="1" t="s">
        <v>37</v>
      </c>
      <c r="G3596" s="1" t="s">
        <v>169</v>
      </c>
      <c r="H3596" s="1" t="s">
        <v>175</v>
      </c>
      <c r="I3596" s="1">
        <v>558.67999999999995</v>
      </c>
      <c r="J3596" s="1">
        <v>9</v>
      </c>
      <c r="K3596" s="1">
        <v>5028.12</v>
      </c>
      <c r="L3596" s="1">
        <v>20</v>
      </c>
      <c r="M3596" s="1">
        <v>1005.62</v>
      </c>
      <c r="N3596" s="1">
        <v>4022.5</v>
      </c>
      <c r="O3596" s="1" t="s">
        <v>64</v>
      </c>
      <c r="P3596" s="1" t="s">
        <v>1313</v>
      </c>
      <c r="Q3596" s="1">
        <v>1</v>
      </c>
      <c r="R3596" s="1">
        <f>Retail_Sales_Analyis[[#This Row],[Final_Price]]-Retail_Sales_Analyis[[#This Row],[Total_Price]]</f>
        <v>-1005.6199999999999</v>
      </c>
      <c r="S35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597" spans="1:19" x14ac:dyDescent="0.25">
      <c r="A3597" s="1" t="s">
        <v>4712</v>
      </c>
      <c r="B3597" s="2">
        <v>45366</v>
      </c>
      <c r="C3597" s="1" t="s">
        <v>61</v>
      </c>
      <c r="D3597" s="1" t="s">
        <v>144</v>
      </c>
      <c r="E3597" s="1" t="s">
        <v>302</v>
      </c>
      <c r="F3597" s="1" t="s">
        <v>37</v>
      </c>
      <c r="G3597" s="1" t="s">
        <v>31</v>
      </c>
      <c r="H3597" s="1" t="s">
        <v>32</v>
      </c>
      <c r="I3597" s="1">
        <v>379.21</v>
      </c>
      <c r="J3597" s="1">
        <v>6</v>
      </c>
      <c r="K3597" s="1">
        <v>2275.2600000000002</v>
      </c>
      <c r="L3597" s="1">
        <v>0</v>
      </c>
      <c r="M3597" s="1">
        <v>0</v>
      </c>
      <c r="N3597" s="1">
        <v>2275.2600000000002</v>
      </c>
      <c r="O3597" s="1" t="s">
        <v>64</v>
      </c>
      <c r="P3597" s="1" t="s">
        <v>3319</v>
      </c>
      <c r="Q3597" s="1">
        <v>1</v>
      </c>
      <c r="R3597" s="1">
        <f>Retail_Sales_Analyis[[#This Row],[Final_Price]]-Retail_Sales_Analyis[[#This Row],[Total_Price]]</f>
        <v>0</v>
      </c>
      <c r="S35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598" spans="1:19" x14ac:dyDescent="0.25">
      <c r="A3598" s="1" t="s">
        <v>4713</v>
      </c>
      <c r="B3598" s="2">
        <v>45656</v>
      </c>
      <c r="C3598" s="1" t="s">
        <v>73</v>
      </c>
      <c r="D3598" s="1" t="s">
        <v>43</v>
      </c>
      <c r="E3598" s="1" t="s">
        <v>62</v>
      </c>
      <c r="F3598" s="1" t="s">
        <v>21</v>
      </c>
      <c r="G3598" s="1" t="s">
        <v>85</v>
      </c>
      <c r="H3598" s="1" t="s">
        <v>98</v>
      </c>
      <c r="I3598" s="1">
        <v>1434.94</v>
      </c>
      <c r="J3598" s="1">
        <v>9</v>
      </c>
      <c r="K3598" s="1">
        <v>12914.46</v>
      </c>
      <c r="L3598" s="1">
        <v>10</v>
      </c>
      <c r="M3598" s="1">
        <v>1291.45</v>
      </c>
      <c r="N3598" s="1">
        <v>11623.01</v>
      </c>
      <c r="O3598" s="1" t="s">
        <v>33</v>
      </c>
      <c r="P3598" s="1" t="s">
        <v>828</v>
      </c>
      <c r="Q3598" s="1">
        <v>3</v>
      </c>
      <c r="R3598" s="1">
        <f>Retail_Sales_Analyis[[#This Row],[Final_Price]]-Retail_Sales_Analyis[[#This Row],[Total_Price]]</f>
        <v>-1291.4499999999989</v>
      </c>
      <c r="S35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599" spans="1:19" x14ac:dyDescent="0.25">
      <c r="A3599" s="1" t="s">
        <v>4714</v>
      </c>
      <c r="B3599" s="2">
        <v>45456</v>
      </c>
      <c r="C3599" s="1" t="s">
        <v>173</v>
      </c>
      <c r="D3599" s="1" t="s">
        <v>67</v>
      </c>
      <c r="E3599" s="1" t="s">
        <v>94</v>
      </c>
      <c r="F3599" s="1" t="s">
        <v>21</v>
      </c>
      <c r="G3599" s="1" t="s">
        <v>31</v>
      </c>
      <c r="H3599" s="1" t="s">
        <v>329</v>
      </c>
      <c r="I3599" s="1">
        <v>177.13</v>
      </c>
      <c r="J3599" s="1">
        <v>8</v>
      </c>
      <c r="K3599" s="1">
        <v>1417.04</v>
      </c>
      <c r="L3599" s="1">
        <v>0</v>
      </c>
      <c r="M3599" s="1">
        <v>0</v>
      </c>
      <c r="N3599" s="1">
        <v>1417.04</v>
      </c>
      <c r="O3599" s="1" t="s">
        <v>64</v>
      </c>
      <c r="P3599" s="1" t="s">
        <v>759</v>
      </c>
      <c r="Q3599" s="1">
        <v>1</v>
      </c>
      <c r="R3599" s="1">
        <f>Retail_Sales_Analyis[[#This Row],[Final_Price]]-Retail_Sales_Analyis[[#This Row],[Total_Price]]</f>
        <v>0</v>
      </c>
      <c r="S35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0" spans="1:19" x14ac:dyDescent="0.25">
      <c r="A3600" s="1" t="s">
        <v>4715</v>
      </c>
      <c r="B3600" s="2">
        <v>45418</v>
      </c>
      <c r="C3600" s="1" t="s">
        <v>42</v>
      </c>
      <c r="D3600" s="1" t="s">
        <v>43</v>
      </c>
      <c r="E3600" s="1" t="s">
        <v>261</v>
      </c>
      <c r="F3600" s="1" t="s">
        <v>30</v>
      </c>
      <c r="G3600" s="1" t="s">
        <v>85</v>
      </c>
      <c r="H3600" s="1" t="s">
        <v>86</v>
      </c>
      <c r="I3600" s="1">
        <v>2128.02</v>
      </c>
      <c r="J3600" s="1">
        <v>2</v>
      </c>
      <c r="K3600" s="1">
        <v>4256.04</v>
      </c>
      <c r="L3600" s="1">
        <v>0</v>
      </c>
      <c r="M3600" s="1">
        <v>0</v>
      </c>
      <c r="N3600" s="1">
        <v>4256.04</v>
      </c>
      <c r="O3600" s="1" t="s">
        <v>33</v>
      </c>
      <c r="P3600" s="1" t="s">
        <v>1733</v>
      </c>
      <c r="Q3600" s="1">
        <v>4</v>
      </c>
      <c r="R3600" s="1">
        <f>Retail_Sales_Analyis[[#This Row],[Final_Price]]-Retail_Sales_Analyis[[#This Row],[Total_Price]]</f>
        <v>0</v>
      </c>
      <c r="S36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1" spans="1:19" x14ac:dyDescent="0.25">
      <c r="A3601" s="1" t="s">
        <v>4716</v>
      </c>
      <c r="B3601" s="2">
        <v>45638</v>
      </c>
      <c r="C3601" s="1" t="s">
        <v>73</v>
      </c>
      <c r="D3601" s="1" t="s">
        <v>67</v>
      </c>
      <c r="E3601" s="1" t="s">
        <v>62</v>
      </c>
      <c r="F3601" s="1" t="s">
        <v>84</v>
      </c>
      <c r="G3601" s="1" t="s">
        <v>112</v>
      </c>
      <c r="H3601" s="1" t="s">
        <v>113</v>
      </c>
      <c r="I3601" s="1">
        <v>832.5</v>
      </c>
      <c r="J3601" s="1">
        <v>7</v>
      </c>
      <c r="K3601" s="1">
        <v>5827.5</v>
      </c>
      <c r="L3601" s="1">
        <v>0</v>
      </c>
      <c r="M3601" s="1">
        <v>0</v>
      </c>
      <c r="N3601" s="1">
        <v>5827.5</v>
      </c>
      <c r="O3601" s="1" t="s">
        <v>33</v>
      </c>
      <c r="P3601" s="1" t="s">
        <v>695</v>
      </c>
      <c r="Q3601" s="1">
        <v>3</v>
      </c>
      <c r="R3601" s="1">
        <f>Retail_Sales_Analyis[[#This Row],[Final_Price]]-Retail_Sales_Analyis[[#This Row],[Total_Price]]</f>
        <v>0</v>
      </c>
      <c r="S36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2" spans="1:19" x14ac:dyDescent="0.25">
      <c r="A3602" s="1" t="s">
        <v>4717</v>
      </c>
      <c r="B3602" s="2">
        <v>45493</v>
      </c>
      <c r="C3602" s="1" t="s">
        <v>195</v>
      </c>
      <c r="D3602" s="1" t="s">
        <v>19</v>
      </c>
      <c r="E3602" s="1" t="s">
        <v>261</v>
      </c>
      <c r="F3602" s="1" t="s">
        <v>69</v>
      </c>
      <c r="G3602" s="1" t="s">
        <v>22</v>
      </c>
      <c r="H3602" s="1" t="s">
        <v>23</v>
      </c>
      <c r="I3602" s="1">
        <v>400.44</v>
      </c>
      <c r="J3602" s="1">
        <v>6</v>
      </c>
      <c r="K3602" s="1">
        <v>2402.64</v>
      </c>
      <c r="L3602" s="1">
        <v>0</v>
      </c>
      <c r="M3602" s="1">
        <v>0</v>
      </c>
      <c r="N3602" s="1">
        <v>2402.64</v>
      </c>
      <c r="O3602" s="1" t="s">
        <v>46</v>
      </c>
      <c r="P3602" s="1" t="s">
        <v>303</v>
      </c>
      <c r="Q3602" s="1">
        <v>2</v>
      </c>
      <c r="R3602" s="1">
        <f>Retail_Sales_Analyis[[#This Row],[Final_Price]]-Retail_Sales_Analyis[[#This Row],[Total_Price]]</f>
        <v>0</v>
      </c>
      <c r="S36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3" spans="1:19" x14ac:dyDescent="0.25">
      <c r="A3603" s="1" t="s">
        <v>4718</v>
      </c>
      <c r="B3603" s="2">
        <v>45542</v>
      </c>
      <c r="C3603" s="1" t="s">
        <v>116</v>
      </c>
      <c r="D3603" s="1" t="s">
        <v>19</v>
      </c>
      <c r="E3603" s="1" t="s">
        <v>107</v>
      </c>
      <c r="F3603" s="1" t="s">
        <v>69</v>
      </c>
      <c r="G3603" s="1" t="s">
        <v>85</v>
      </c>
      <c r="H3603" s="1" t="s">
        <v>297</v>
      </c>
      <c r="I3603" s="1">
        <v>3697.81</v>
      </c>
      <c r="J3603" s="1">
        <v>7</v>
      </c>
      <c r="K3603" s="1">
        <v>25884.67</v>
      </c>
      <c r="L3603" s="1">
        <v>15</v>
      </c>
      <c r="M3603" s="1">
        <v>3882.7</v>
      </c>
      <c r="N3603" s="1">
        <v>22001.97</v>
      </c>
      <c r="O3603" s="1" t="s">
        <v>33</v>
      </c>
      <c r="P3603" s="1" t="s">
        <v>153</v>
      </c>
      <c r="Q3603" s="1">
        <v>1</v>
      </c>
      <c r="R3603" s="1">
        <f>Retail_Sales_Analyis[[#This Row],[Final_Price]]-Retail_Sales_Analyis[[#This Row],[Total_Price]]</f>
        <v>-3882.6999999999971</v>
      </c>
      <c r="S36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04" spans="1:19" x14ac:dyDescent="0.25">
      <c r="A3604" s="1" t="s">
        <v>4719</v>
      </c>
      <c r="B3604" s="2">
        <v>45364</v>
      </c>
      <c r="C3604" s="1" t="s">
        <v>61</v>
      </c>
      <c r="D3604" s="1" t="s">
        <v>55</v>
      </c>
      <c r="E3604" s="1" t="s">
        <v>44</v>
      </c>
      <c r="F3604" s="1" t="s">
        <v>37</v>
      </c>
      <c r="G3604" s="1" t="s">
        <v>78</v>
      </c>
      <c r="H3604" s="1" t="s">
        <v>79</v>
      </c>
      <c r="I3604" s="1">
        <v>153.47</v>
      </c>
      <c r="J3604" s="1">
        <v>6</v>
      </c>
      <c r="K3604" s="1">
        <v>920.82</v>
      </c>
      <c r="L3604" s="1">
        <v>15</v>
      </c>
      <c r="M3604" s="1">
        <v>138.12</v>
      </c>
      <c r="N3604" s="1">
        <v>782.7</v>
      </c>
      <c r="O3604" s="1" t="s">
        <v>33</v>
      </c>
      <c r="P3604" s="1" t="s">
        <v>639</v>
      </c>
      <c r="Q3604" s="1">
        <v>5</v>
      </c>
      <c r="R3604" s="1">
        <f>Retail_Sales_Analyis[[#This Row],[Final_Price]]-Retail_Sales_Analyis[[#This Row],[Total_Price]]</f>
        <v>-138.12</v>
      </c>
      <c r="S36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05" spans="1:19" x14ac:dyDescent="0.25">
      <c r="A3605" s="1" t="s">
        <v>4720</v>
      </c>
      <c r="B3605" s="2">
        <v>45587</v>
      </c>
      <c r="C3605" s="1" t="s">
        <v>76</v>
      </c>
      <c r="D3605" s="1" t="s">
        <v>28</v>
      </c>
      <c r="E3605" s="1" t="s">
        <v>239</v>
      </c>
      <c r="F3605" s="1" t="s">
        <v>84</v>
      </c>
      <c r="G3605" s="1" t="s">
        <v>112</v>
      </c>
      <c r="H3605" s="1" t="s">
        <v>118</v>
      </c>
      <c r="I3605" s="1">
        <v>1193.54</v>
      </c>
      <c r="J3605" s="1">
        <v>2</v>
      </c>
      <c r="K3605" s="1">
        <v>2387.08</v>
      </c>
      <c r="L3605" s="1">
        <v>20</v>
      </c>
      <c r="M3605" s="1">
        <v>477.42</v>
      </c>
      <c r="N3605" s="1">
        <v>1909.66</v>
      </c>
      <c r="O3605" s="1" t="s">
        <v>24</v>
      </c>
      <c r="P3605" s="1" t="s">
        <v>1677</v>
      </c>
      <c r="Q3605" s="1">
        <v>2</v>
      </c>
      <c r="R3605" s="1">
        <f>Retail_Sales_Analyis[[#This Row],[Final_Price]]-Retail_Sales_Analyis[[#This Row],[Total_Price]]</f>
        <v>-477.41999999999985</v>
      </c>
      <c r="S36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06" spans="1:19" x14ac:dyDescent="0.25">
      <c r="A3606" s="1" t="s">
        <v>4721</v>
      </c>
      <c r="B3606" s="2">
        <v>45615</v>
      </c>
      <c r="C3606" s="1" t="s">
        <v>18</v>
      </c>
      <c r="D3606" s="1" t="s">
        <v>28</v>
      </c>
      <c r="E3606" s="1" t="s">
        <v>307</v>
      </c>
      <c r="F3606" s="1" t="s">
        <v>21</v>
      </c>
      <c r="G3606" s="1" t="s">
        <v>22</v>
      </c>
      <c r="H3606" s="1" t="s">
        <v>51</v>
      </c>
      <c r="I3606" s="1">
        <v>895.6</v>
      </c>
      <c r="J3606" s="1">
        <v>10</v>
      </c>
      <c r="K3606" s="1">
        <v>8956</v>
      </c>
      <c r="L3606" s="1">
        <v>0</v>
      </c>
      <c r="M3606" s="1">
        <v>0</v>
      </c>
      <c r="N3606" s="1">
        <v>8956</v>
      </c>
      <c r="O3606" s="1" t="s">
        <v>64</v>
      </c>
      <c r="P3606" s="1" t="s">
        <v>164</v>
      </c>
      <c r="Q3606" s="1">
        <v>2</v>
      </c>
      <c r="R3606" s="1">
        <f>Retail_Sales_Analyis[[#This Row],[Final_Price]]-Retail_Sales_Analyis[[#This Row],[Total_Price]]</f>
        <v>0</v>
      </c>
      <c r="S36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7" spans="1:19" x14ac:dyDescent="0.25">
      <c r="A3607" s="1" t="s">
        <v>4722</v>
      </c>
      <c r="B3607" s="2">
        <v>45429</v>
      </c>
      <c r="C3607" s="1" t="s">
        <v>42</v>
      </c>
      <c r="D3607" s="1" t="s">
        <v>144</v>
      </c>
      <c r="E3607" s="1" t="s">
        <v>204</v>
      </c>
      <c r="F3607" s="1" t="s">
        <v>84</v>
      </c>
      <c r="G3607" s="1" t="s">
        <v>57</v>
      </c>
      <c r="H3607" s="1" t="s">
        <v>101</v>
      </c>
      <c r="I3607" s="1">
        <v>246.75</v>
      </c>
      <c r="J3607" s="1">
        <v>6</v>
      </c>
      <c r="K3607" s="1">
        <v>1480.5</v>
      </c>
      <c r="L3607" s="1">
        <v>0</v>
      </c>
      <c r="M3607" s="1">
        <v>0</v>
      </c>
      <c r="N3607" s="1">
        <v>1480.5</v>
      </c>
      <c r="O3607" s="1" t="s">
        <v>80</v>
      </c>
      <c r="P3607" s="1" t="s">
        <v>935</v>
      </c>
      <c r="Q3607" s="1">
        <v>3</v>
      </c>
      <c r="R3607" s="1">
        <f>Retail_Sales_Analyis[[#This Row],[Final_Price]]-Retail_Sales_Analyis[[#This Row],[Total_Price]]</f>
        <v>0</v>
      </c>
      <c r="S36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8" spans="1:19" x14ac:dyDescent="0.25">
      <c r="A3608" s="1" t="s">
        <v>4723</v>
      </c>
      <c r="B3608" s="2">
        <v>45613</v>
      </c>
      <c r="C3608" s="1" t="s">
        <v>18</v>
      </c>
      <c r="D3608" s="1" t="s">
        <v>49</v>
      </c>
      <c r="E3608" s="1" t="s">
        <v>312</v>
      </c>
      <c r="F3608" s="1" t="s">
        <v>84</v>
      </c>
      <c r="G3608" s="1" t="s">
        <v>78</v>
      </c>
      <c r="H3608" s="1" t="s">
        <v>79</v>
      </c>
      <c r="I3608" s="1">
        <v>541.89</v>
      </c>
      <c r="J3608" s="1">
        <v>7</v>
      </c>
      <c r="K3608" s="1">
        <v>3793.23</v>
      </c>
      <c r="L3608" s="1">
        <v>0</v>
      </c>
      <c r="M3608" s="1">
        <v>0</v>
      </c>
      <c r="N3608" s="1">
        <v>3793.23</v>
      </c>
      <c r="O3608" s="1" t="s">
        <v>33</v>
      </c>
      <c r="P3608" s="1" t="s">
        <v>155</v>
      </c>
      <c r="Q3608" s="1">
        <v>1</v>
      </c>
      <c r="R3608" s="1">
        <f>Retail_Sales_Analyis[[#This Row],[Final_Price]]-Retail_Sales_Analyis[[#This Row],[Total_Price]]</f>
        <v>0</v>
      </c>
      <c r="S36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09" spans="1:19" x14ac:dyDescent="0.25">
      <c r="A3609" s="1" t="s">
        <v>4724</v>
      </c>
      <c r="B3609" s="2">
        <v>45504</v>
      </c>
      <c r="C3609" s="1" t="s">
        <v>195</v>
      </c>
      <c r="D3609" s="1" t="s">
        <v>55</v>
      </c>
      <c r="E3609" s="1" t="s">
        <v>199</v>
      </c>
      <c r="F3609" s="1" t="s">
        <v>21</v>
      </c>
      <c r="G3609" s="1" t="s">
        <v>57</v>
      </c>
      <c r="H3609" s="1" t="s">
        <v>101</v>
      </c>
      <c r="I3609" s="1">
        <v>2609.92</v>
      </c>
      <c r="J3609" s="1">
        <v>9</v>
      </c>
      <c r="K3609" s="1">
        <v>23489.279999999999</v>
      </c>
      <c r="L3609" s="1">
        <v>0</v>
      </c>
      <c r="M3609" s="1">
        <v>0</v>
      </c>
      <c r="N3609" s="1">
        <v>23489.279999999999</v>
      </c>
      <c r="O3609" s="1" t="s">
        <v>24</v>
      </c>
      <c r="P3609" s="1" t="s">
        <v>482</v>
      </c>
      <c r="Q3609" s="1">
        <v>2</v>
      </c>
      <c r="R3609" s="1">
        <f>Retail_Sales_Analyis[[#This Row],[Final_Price]]-Retail_Sales_Analyis[[#This Row],[Total_Price]]</f>
        <v>0</v>
      </c>
      <c r="S36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0" spans="1:19" x14ac:dyDescent="0.25">
      <c r="A3610" s="1" t="s">
        <v>4725</v>
      </c>
      <c r="B3610" s="2">
        <v>45484</v>
      </c>
      <c r="C3610" s="1" t="s">
        <v>195</v>
      </c>
      <c r="D3610" s="1" t="s">
        <v>67</v>
      </c>
      <c r="E3610" s="1" t="s">
        <v>196</v>
      </c>
      <c r="F3610" s="1" t="s">
        <v>37</v>
      </c>
      <c r="G3610" s="1" t="s">
        <v>38</v>
      </c>
      <c r="H3610" s="1" t="s">
        <v>108</v>
      </c>
      <c r="I3610" s="1">
        <v>624.91</v>
      </c>
      <c r="J3610" s="1">
        <v>6</v>
      </c>
      <c r="K3610" s="1">
        <v>3749.46</v>
      </c>
      <c r="L3610" s="1">
        <v>15</v>
      </c>
      <c r="M3610" s="1">
        <v>562.41999999999996</v>
      </c>
      <c r="N3610" s="1">
        <v>3187.04</v>
      </c>
      <c r="O3610" s="1" t="s">
        <v>46</v>
      </c>
      <c r="P3610" s="1" t="s">
        <v>530</v>
      </c>
      <c r="Q3610" s="1">
        <v>1</v>
      </c>
      <c r="R3610" s="1">
        <f>Retail_Sales_Analyis[[#This Row],[Final_Price]]-Retail_Sales_Analyis[[#This Row],[Total_Price]]</f>
        <v>-562.42000000000007</v>
      </c>
      <c r="S36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11" spans="1:19" x14ac:dyDescent="0.25">
      <c r="A3611" s="1" t="s">
        <v>4726</v>
      </c>
      <c r="B3611" s="2">
        <v>45523</v>
      </c>
      <c r="C3611" s="1" t="s">
        <v>93</v>
      </c>
      <c r="D3611" s="1" t="s">
        <v>43</v>
      </c>
      <c r="E3611" s="1" t="s">
        <v>213</v>
      </c>
      <c r="F3611" s="1" t="s">
        <v>37</v>
      </c>
      <c r="G3611" s="1" t="s">
        <v>112</v>
      </c>
      <c r="H3611" s="1" t="s">
        <v>118</v>
      </c>
      <c r="I3611" s="1">
        <v>603.24</v>
      </c>
      <c r="J3611" s="1">
        <v>2</v>
      </c>
      <c r="K3611" s="1">
        <v>1206.48</v>
      </c>
      <c r="L3611" s="1">
        <v>0</v>
      </c>
      <c r="M3611" s="1">
        <v>0</v>
      </c>
      <c r="N3611" s="1">
        <v>1206.48</v>
      </c>
      <c r="O3611" s="1" t="s">
        <v>46</v>
      </c>
      <c r="P3611" s="1" t="s">
        <v>2347</v>
      </c>
      <c r="Q3611" s="1">
        <v>5</v>
      </c>
      <c r="R3611" s="1">
        <f>Retail_Sales_Analyis[[#This Row],[Final_Price]]-Retail_Sales_Analyis[[#This Row],[Total_Price]]</f>
        <v>0</v>
      </c>
      <c r="S36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2" spans="1:19" x14ac:dyDescent="0.25">
      <c r="A3612" s="1" t="s">
        <v>4727</v>
      </c>
      <c r="B3612" s="2">
        <v>45330</v>
      </c>
      <c r="C3612" s="1" t="s">
        <v>27</v>
      </c>
      <c r="D3612" s="1" t="s">
        <v>67</v>
      </c>
      <c r="E3612" s="1" t="s">
        <v>77</v>
      </c>
      <c r="F3612" s="1" t="s">
        <v>30</v>
      </c>
      <c r="G3612" s="1" t="s">
        <v>78</v>
      </c>
      <c r="H3612" s="1" t="s">
        <v>79</v>
      </c>
      <c r="I3612" s="1">
        <v>172.46</v>
      </c>
      <c r="J3612" s="1">
        <v>4</v>
      </c>
      <c r="K3612" s="1">
        <v>689.84</v>
      </c>
      <c r="L3612" s="1">
        <v>0</v>
      </c>
      <c r="M3612" s="1">
        <v>0</v>
      </c>
      <c r="N3612" s="1">
        <v>689.84</v>
      </c>
      <c r="O3612" s="1" t="s">
        <v>46</v>
      </c>
      <c r="P3612" s="1" t="s">
        <v>2838</v>
      </c>
      <c r="Q3612" s="1">
        <v>4</v>
      </c>
      <c r="R3612" s="1">
        <f>Retail_Sales_Analyis[[#This Row],[Final_Price]]-Retail_Sales_Analyis[[#This Row],[Total_Price]]</f>
        <v>0</v>
      </c>
      <c r="S36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3" spans="1:19" x14ac:dyDescent="0.25">
      <c r="A3613" s="1" t="s">
        <v>4728</v>
      </c>
      <c r="B3613" s="2">
        <v>45616</v>
      </c>
      <c r="C3613" s="1" t="s">
        <v>18</v>
      </c>
      <c r="D3613" s="1" t="s">
        <v>55</v>
      </c>
      <c r="E3613" s="1" t="s">
        <v>166</v>
      </c>
      <c r="F3613" s="1" t="s">
        <v>69</v>
      </c>
      <c r="G3613" s="1" t="s">
        <v>57</v>
      </c>
      <c r="H3613" s="1" t="s">
        <v>101</v>
      </c>
      <c r="I3613" s="1">
        <v>2945.46</v>
      </c>
      <c r="J3613" s="1">
        <v>4</v>
      </c>
      <c r="K3613" s="1">
        <v>11781.84</v>
      </c>
      <c r="L3613" s="1">
        <v>20</v>
      </c>
      <c r="M3613" s="1">
        <v>2356.37</v>
      </c>
      <c r="N3613" s="1">
        <v>9425.4699999999993</v>
      </c>
      <c r="O3613" s="1" t="s">
        <v>64</v>
      </c>
      <c r="P3613" s="1" t="s">
        <v>3680</v>
      </c>
      <c r="Q3613" s="1">
        <v>1</v>
      </c>
      <c r="R3613" s="1">
        <f>Retail_Sales_Analyis[[#This Row],[Final_Price]]-Retail_Sales_Analyis[[#This Row],[Total_Price]]</f>
        <v>-2356.3700000000008</v>
      </c>
      <c r="S361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14" spans="1:19" x14ac:dyDescent="0.25">
      <c r="A3614" s="1" t="s">
        <v>4729</v>
      </c>
      <c r="B3614" s="2">
        <v>45339</v>
      </c>
      <c r="C3614" s="1" t="s">
        <v>27</v>
      </c>
      <c r="D3614" s="1" t="s">
        <v>19</v>
      </c>
      <c r="E3614" s="1" t="s">
        <v>94</v>
      </c>
      <c r="F3614" s="1" t="s">
        <v>37</v>
      </c>
      <c r="G3614" s="1" t="s">
        <v>78</v>
      </c>
      <c r="H3614" s="1" t="s">
        <v>323</v>
      </c>
      <c r="I3614" s="1">
        <v>237.08</v>
      </c>
      <c r="J3614" s="1">
        <v>1</v>
      </c>
      <c r="K3614" s="1">
        <v>237.08</v>
      </c>
      <c r="L3614" s="1">
        <v>0</v>
      </c>
      <c r="M3614" s="1">
        <v>0</v>
      </c>
      <c r="N3614" s="1">
        <v>237.08</v>
      </c>
      <c r="O3614" s="1" t="s">
        <v>80</v>
      </c>
      <c r="P3614" s="1" t="s">
        <v>1881</v>
      </c>
      <c r="Q3614" s="1">
        <v>5</v>
      </c>
      <c r="R3614" s="1">
        <f>Retail_Sales_Analyis[[#This Row],[Final_Price]]-Retail_Sales_Analyis[[#This Row],[Total_Price]]</f>
        <v>0</v>
      </c>
      <c r="S36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5" spans="1:19" x14ac:dyDescent="0.25">
      <c r="A3615" s="1" t="s">
        <v>4730</v>
      </c>
      <c r="B3615" s="2">
        <v>45498</v>
      </c>
      <c r="C3615" s="1" t="s">
        <v>195</v>
      </c>
      <c r="D3615" s="1" t="s">
        <v>67</v>
      </c>
      <c r="E3615" s="1" t="s">
        <v>56</v>
      </c>
      <c r="F3615" s="1" t="s">
        <v>37</v>
      </c>
      <c r="G3615" s="1" t="s">
        <v>38</v>
      </c>
      <c r="H3615" s="1" t="s">
        <v>214</v>
      </c>
      <c r="I3615" s="1">
        <v>415.59</v>
      </c>
      <c r="J3615" s="1">
        <v>8</v>
      </c>
      <c r="K3615" s="1">
        <v>3324.72</v>
      </c>
      <c r="L3615" s="1">
        <v>0</v>
      </c>
      <c r="M3615" s="1">
        <v>0</v>
      </c>
      <c r="N3615" s="1">
        <v>3324.72</v>
      </c>
      <c r="O3615" s="1" t="s">
        <v>64</v>
      </c>
      <c r="P3615" s="1" t="s">
        <v>948</v>
      </c>
      <c r="Q3615" s="1">
        <v>1</v>
      </c>
      <c r="R3615" s="1">
        <f>Retail_Sales_Analyis[[#This Row],[Final_Price]]-Retail_Sales_Analyis[[#This Row],[Total_Price]]</f>
        <v>0</v>
      </c>
      <c r="S36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6" spans="1:19" x14ac:dyDescent="0.25">
      <c r="A3616" s="1" t="s">
        <v>4731</v>
      </c>
      <c r="B3616" s="2">
        <v>45555</v>
      </c>
      <c r="C3616" s="1" t="s">
        <v>116</v>
      </c>
      <c r="D3616" s="1" t="s">
        <v>144</v>
      </c>
      <c r="E3616" s="1" t="s">
        <v>163</v>
      </c>
      <c r="F3616" s="1" t="s">
        <v>21</v>
      </c>
      <c r="G3616" s="1" t="s">
        <v>38</v>
      </c>
      <c r="H3616" s="1" t="s">
        <v>108</v>
      </c>
      <c r="I3616" s="1">
        <v>143.04</v>
      </c>
      <c r="J3616" s="1">
        <v>3</v>
      </c>
      <c r="K3616" s="1">
        <v>429.12</v>
      </c>
      <c r="L3616" s="1">
        <v>0</v>
      </c>
      <c r="M3616" s="1">
        <v>0</v>
      </c>
      <c r="N3616" s="1">
        <v>429.12</v>
      </c>
      <c r="O3616" s="1" t="s">
        <v>80</v>
      </c>
      <c r="P3616" s="1" t="s">
        <v>819</v>
      </c>
      <c r="Q3616" s="1">
        <v>2</v>
      </c>
      <c r="R3616" s="1">
        <f>Retail_Sales_Analyis[[#This Row],[Final_Price]]-Retail_Sales_Analyis[[#This Row],[Total_Price]]</f>
        <v>0</v>
      </c>
      <c r="S36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7" spans="1:19" x14ac:dyDescent="0.25">
      <c r="A3617" s="1" t="s">
        <v>4732</v>
      </c>
      <c r="B3617" s="2">
        <v>45434</v>
      </c>
      <c r="C3617" s="1" t="s">
        <v>42</v>
      </c>
      <c r="D3617" s="1" t="s">
        <v>55</v>
      </c>
      <c r="E3617" s="1" t="s">
        <v>121</v>
      </c>
      <c r="F3617" s="1" t="s">
        <v>84</v>
      </c>
      <c r="G3617" s="1" t="s">
        <v>57</v>
      </c>
      <c r="H3617" s="1" t="s">
        <v>122</v>
      </c>
      <c r="I3617" s="1">
        <v>2285.58</v>
      </c>
      <c r="J3617" s="1">
        <v>2</v>
      </c>
      <c r="K3617" s="1">
        <v>4571.16</v>
      </c>
      <c r="L3617" s="1">
        <v>5</v>
      </c>
      <c r="M3617" s="1">
        <v>228.56</v>
      </c>
      <c r="N3617" s="1">
        <v>4342.6000000000004</v>
      </c>
      <c r="O3617" s="1" t="s">
        <v>80</v>
      </c>
      <c r="P3617" s="1" t="s">
        <v>562</v>
      </c>
      <c r="Q3617" s="1">
        <v>3</v>
      </c>
      <c r="R3617" s="1">
        <f>Retail_Sales_Analyis[[#This Row],[Final_Price]]-Retail_Sales_Analyis[[#This Row],[Total_Price]]</f>
        <v>-228.55999999999949</v>
      </c>
      <c r="S36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18" spans="1:19" x14ac:dyDescent="0.25">
      <c r="A3618" s="1" t="s">
        <v>4733</v>
      </c>
      <c r="B3618" s="2">
        <v>45647</v>
      </c>
      <c r="C3618" s="1" t="s">
        <v>73</v>
      </c>
      <c r="D3618" s="1" t="s">
        <v>19</v>
      </c>
      <c r="E3618" s="1" t="s">
        <v>542</v>
      </c>
      <c r="F3618" s="1" t="s">
        <v>69</v>
      </c>
      <c r="G3618" s="1" t="s">
        <v>31</v>
      </c>
      <c r="H3618" s="1" t="s">
        <v>32</v>
      </c>
      <c r="I3618" s="1">
        <v>322.31</v>
      </c>
      <c r="J3618" s="1">
        <v>6</v>
      </c>
      <c r="K3618" s="1">
        <v>1933.86</v>
      </c>
      <c r="L3618" s="1">
        <v>0</v>
      </c>
      <c r="M3618" s="1">
        <v>0</v>
      </c>
      <c r="N3618" s="1">
        <v>1933.86</v>
      </c>
      <c r="O3618" s="1" t="s">
        <v>46</v>
      </c>
      <c r="P3618" s="1" t="s">
        <v>1773</v>
      </c>
      <c r="Q3618" s="1">
        <v>5</v>
      </c>
      <c r="R3618" s="1">
        <f>Retail_Sales_Analyis[[#This Row],[Final_Price]]-Retail_Sales_Analyis[[#This Row],[Total_Price]]</f>
        <v>0</v>
      </c>
      <c r="S36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19" spans="1:19" x14ac:dyDescent="0.25">
      <c r="A3619" s="1" t="s">
        <v>4734</v>
      </c>
      <c r="B3619" s="2">
        <v>45480</v>
      </c>
      <c r="C3619" s="1" t="s">
        <v>195</v>
      </c>
      <c r="D3619" s="1" t="s">
        <v>49</v>
      </c>
      <c r="E3619" s="1" t="s">
        <v>132</v>
      </c>
      <c r="F3619" s="1" t="s">
        <v>37</v>
      </c>
      <c r="G3619" s="1" t="s">
        <v>57</v>
      </c>
      <c r="H3619" s="1" t="s">
        <v>122</v>
      </c>
      <c r="I3619" s="1">
        <v>869.14</v>
      </c>
      <c r="J3619" s="1">
        <v>2</v>
      </c>
      <c r="K3619" s="1">
        <v>1738.28</v>
      </c>
      <c r="L3619" s="1">
        <v>0</v>
      </c>
      <c r="M3619" s="1">
        <v>0</v>
      </c>
      <c r="N3619" s="1">
        <v>1738.28</v>
      </c>
      <c r="O3619" s="1" t="s">
        <v>46</v>
      </c>
      <c r="P3619" s="1" t="s">
        <v>2821</v>
      </c>
      <c r="Q3619" s="1">
        <v>3</v>
      </c>
      <c r="R3619" s="1">
        <f>Retail_Sales_Analyis[[#This Row],[Final_Price]]-Retail_Sales_Analyis[[#This Row],[Total_Price]]</f>
        <v>0</v>
      </c>
      <c r="S36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20" spans="1:19" x14ac:dyDescent="0.25">
      <c r="A3620" s="1" t="s">
        <v>4735</v>
      </c>
      <c r="B3620" s="2">
        <v>45524</v>
      </c>
      <c r="C3620" s="1" t="s">
        <v>93</v>
      </c>
      <c r="D3620" s="1" t="s">
        <v>28</v>
      </c>
      <c r="E3620" s="1" t="s">
        <v>132</v>
      </c>
      <c r="F3620" s="1" t="s">
        <v>21</v>
      </c>
      <c r="G3620" s="1" t="s">
        <v>22</v>
      </c>
      <c r="H3620" s="1" t="s">
        <v>187</v>
      </c>
      <c r="I3620" s="1">
        <v>815.26</v>
      </c>
      <c r="J3620" s="1">
        <v>4</v>
      </c>
      <c r="K3620" s="1">
        <v>3261.04</v>
      </c>
      <c r="L3620" s="1">
        <v>0</v>
      </c>
      <c r="M3620" s="1">
        <v>0</v>
      </c>
      <c r="N3620" s="1">
        <v>3261.04</v>
      </c>
      <c r="O3620" s="1" t="s">
        <v>24</v>
      </c>
      <c r="P3620" s="1" t="s">
        <v>907</v>
      </c>
      <c r="Q3620" s="1">
        <v>4</v>
      </c>
      <c r="R3620" s="1">
        <f>Retail_Sales_Analyis[[#This Row],[Final_Price]]-Retail_Sales_Analyis[[#This Row],[Total_Price]]</f>
        <v>0</v>
      </c>
      <c r="S36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21" spans="1:19" x14ac:dyDescent="0.25">
      <c r="A3621" s="1" t="s">
        <v>4736</v>
      </c>
      <c r="B3621" s="2">
        <v>45541</v>
      </c>
      <c r="C3621" s="1" t="s">
        <v>116</v>
      </c>
      <c r="D3621" s="1" t="s">
        <v>144</v>
      </c>
      <c r="E3621" s="1" t="s">
        <v>204</v>
      </c>
      <c r="F3621" s="1" t="s">
        <v>30</v>
      </c>
      <c r="G3621" s="1" t="s">
        <v>22</v>
      </c>
      <c r="H3621" s="1" t="s">
        <v>277</v>
      </c>
      <c r="I3621" s="1">
        <v>714.87</v>
      </c>
      <c r="J3621" s="1">
        <v>1</v>
      </c>
      <c r="K3621" s="1">
        <v>714.87</v>
      </c>
      <c r="L3621" s="1">
        <v>10</v>
      </c>
      <c r="M3621" s="1">
        <v>71.489999999999995</v>
      </c>
      <c r="N3621" s="1">
        <v>643.38</v>
      </c>
      <c r="O3621" s="1" t="s">
        <v>80</v>
      </c>
      <c r="P3621" s="1" t="s">
        <v>449</v>
      </c>
      <c r="Q3621" s="1">
        <v>3</v>
      </c>
      <c r="R3621" s="1">
        <f>Retail_Sales_Analyis[[#This Row],[Final_Price]]-Retail_Sales_Analyis[[#This Row],[Total_Price]]</f>
        <v>-71.490000000000009</v>
      </c>
      <c r="S36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22" spans="1:19" x14ac:dyDescent="0.25">
      <c r="A3622" s="1" t="s">
        <v>4737</v>
      </c>
      <c r="B3622" s="2">
        <v>45459</v>
      </c>
      <c r="C3622" s="1" t="s">
        <v>173</v>
      </c>
      <c r="D3622" s="1" t="s">
        <v>49</v>
      </c>
      <c r="E3622" s="1" t="s">
        <v>117</v>
      </c>
      <c r="F3622" s="1" t="s">
        <v>30</v>
      </c>
      <c r="G3622" s="1" t="s">
        <v>22</v>
      </c>
      <c r="H3622" s="1" t="s">
        <v>277</v>
      </c>
      <c r="I3622" s="1">
        <v>763.37</v>
      </c>
      <c r="J3622" s="1">
        <v>5</v>
      </c>
      <c r="K3622" s="1">
        <v>3816.85</v>
      </c>
      <c r="L3622" s="1">
        <v>20</v>
      </c>
      <c r="M3622" s="1">
        <v>763.37</v>
      </c>
      <c r="N3622" s="1">
        <v>3053.48</v>
      </c>
      <c r="O3622" s="1" t="s">
        <v>46</v>
      </c>
      <c r="P3622" s="1" t="s">
        <v>2745</v>
      </c>
      <c r="Q3622" s="1">
        <v>2</v>
      </c>
      <c r="R3622" s="1">
        <f>Retail_Sales_Analyis[[#This Row],[Final_Price]]-Retail_Sales_Analyis[[#This Row],[Total_Price]]</f>
        <v>-763.36999999999989</v>
      </c>
      <c r="S362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23" spans="1:19" x14ac:dyDescent="0.25">
      <c r="A3623" s="1" t="s">
        <v>4738</v>
      </c>
      <c r="B3623" s="2">
        <v>45589</v>
      </c>
      <c r="C3623" s="1" t="s">
        <v>76</v>
      </c>
      <c r="D3623" s="1" t="s">
        <v>67</v>
      </c>
      <c r="E3623" s="1" t="s">
        <v>157</v>
      </c>
      <c r="F3623" s="1" t="s">
        <v>84</v>
      </c>
      <c r="G3623" s="1" t="s">
        <v>57</v>
      </c>
      <c r="H3623" s="1" t="s">
        <v>158</v>
      </c>
      <c r="I3623" s="1">
        <v>1507.84</v>
      </c>
      <c r="J3623" s="1">
        <v>8</v>
      </c>
      <c r="K3623" s="1">
        <v>12062.72</v>
      </c>
      <c r="L3623" s="1">
        <v>20</v>
      </c>
      <c r="M3623" s="1">
        <v>2412.54</v>
      </c>
      <c r="N3623" s="1">
        <v>9650.18</v>
      </c>
      <c r="O3623" s="1" t="s">
        <v>33</v>
      </c>
      <c r="P3623" s="1" t="s">
        <v>1142</v>
      </c>
      <c r="Q3623" s="1">
        <v>3</v>
      </c>
      <c r="R3623" s="1">
        <f>Retail_Sales_Analyis[[#This Row],[Final_Price]]-Retail_Sales_Analyis[[#This Row],[Total_Price]]</f>
        <v>-2412.5399999999991</v>
      </c>
      <c r="S36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24" spans="1:19" x14ac:dyDescent="0.25">
      <c r="A3624" s="1" t="s">
        <v>4739</v>
      </c>
      <c r="B3624" s="2">
        <v>45293</v>
      </c>
      <c r="C3624" s="1" t="s">
        <v>36</v>
      </c>
      <c r="D3624" s="1" t="s">
        <v>28</v>
      </c>
      <c r="E3624" s="1" t="s">
        <v>107</v>
      </c>
      <c r="F3624" s="1" t="s">
        <v>21</v>
      </c>
      <c r="G3624" s="1" t="s">
        <v>22</v>
      </c>
      <c r="H3624" s="1" t="s">
        <v>23</v>
      </c>
      <c r="I3624" s="1">
        <v>895.48</v>
      </c>
      <c r="J3624" s="1">
        <v>8</v>
      </c>
      <c r="K3624" s="1">
        <v>7163.84</v>
      </c>
      <c r="L3624" s="1">
        <v>10</v>
      </c>
      <c r="M3624" s="1">
        <v>716.38</v>
      </c>
      <c r="N3624" s="1">
        <v>6447.46</v>
      </c>
      <c r="O3624" s="1" t="s">
        <v>46</v>
      </c>
      <c r="P3624" s="1" t="s">
        <v>3906</v>
      </c>
      <c r="Q3624" s="1">
        <v>4</v>
      </c>
      <c r="R3624" s="1">
        <f>Retail_Sales_Analyis[[#This Row],[Final_Price]]-Retail_Sales_Analyis[[#This Row],[Total_Price]]</f>
        <v>-716.38000000000011</v>
      </c>
      <c r="S36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25" spans="1:19" x14ac:dyDescent="0.25">
      <c r="A3625" s="1" t="s">
        <v>4740</v>
      </c>
      <c r="B3625" s="2">
        <v>45339</v>
      </c>
      <c r="C3625" s="1" t="s">
        <v>27</v>
      </c>
      <c r="D3625" s="1" t="s">
        <v>19</v>
      </c>
      <c r="E3625" s="1" t="s">
        <v>328</v>
      </c>
      <c r="F3625" s="1" t="s">
        <v>69</v>
      </c>
      <c r="G3625" s="1" t="s">
        <v>169</v>
      </c>
      <c r="H3625" s="1" t="s">
        <v>170</v>
      </c>
      <c r="I3625" s="1">
        <v>1093.97</v>
      </c>
      <c r="J3625" s="1">
        <v>3</v>
      </c>
      <c r="K3625" s="1">
        <v>3281.91</v>
      </c>
      <c r="L3625" s="1">
        <v>5</v>
      </c>
      <c r="M3625" s="1">
        <v>164.1</v>
      </c>
      <c r="N3625" s="1">
        <v>3117.81</v>
      </c>
      <c r="O3625" s="1" t="s">
        <v>24</v>
      </c>
      <c r="P3625" s="1" t="s">
        <v>633</v>
      </c>
      <c r="Q3625" s="1">
        <v>2</v>
      </c>
      <c r="R3625" s="1">
        <f>Retail_Sales_Analyis[[#This Row],[Final_Price]]-Retail_Sales_Analyis[[#This Row],[Total_Price]]</f>
        <v>-164.09999999999991</v>
      </c>
      <c r="S36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26" spans="1:19" x14ac:dyDescent="0.25">
      <c r="A3626" s="1" t="s">
        <v>4741</v>
      </c>
      <c r="B3626" s="2">
        <v>45526</v>
      </c>
      <c r="C3626" s="1" t="s">
        <v>93</v>
      </c>
      <c r="D3626" s="1" t="s">
        <v>67</v>
      </c>
      <c r="E3626" s="1" t="s">
        <v>337</v>
      </c>
      <c r="F3626" s="1" t="s">
        <v>84</v>
      </c>
      <c r="G3626" s="1" t="s">
        <v>169</v>
      </c>
      <c r="H3626" s="1" t="s">
        <v>208</v>
      </c>
      <c r="I3626" s="1">
        <v>973.34</v>
      </c>
      <c r="J3626" s="1">
        <v>9</v>
      </c>
      <c r="K3626" s="1">
        <v>8760.06</v>
      </c>
      <c r="L3626" s="1">
        <v>20</v>
      </c>
      <c r="M3626" s="1">
        <v>1752.01</v>
      </c>
      <c r="N3626" s="1">
        <v>7008.05</v>
      </c>
      <c r="O3626" s="1" t="s">
        <v>24</v>
      </c>
      <c r="P3626" s="1" t="s">
        <v>2074</v>
      </c>
      <c r="Q3626" s="1">
        <v>1</v>
      </c>
      <c r="R3626" s="1">
        <f>Retail_Sales_Analyis[[#This Row],[Final_Price]]-Retail_Sales_Analyis[[#This Row],[Total_Price]]</f>
        <v>-1752.0099999999993</v>
      </c>
      <c r="S36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27" spans="1:19" x14ac:dyDescent="0.25">
      <c r="A3627" s="1" t="s">
        <v>4742</v>
      </c>
      <c r="B3627" s="2">
        <v>45617</v>
      </c>
      <c r="C3627" s="1" t="s">
        <v>18</v>
      </c>
      <c r="D3627" s="1" t="s">
        <v>67</v>
      </c>
      <c r="E3627" s="1" t="s">
        <v>199</v>
      </c>
      <c r="F3627" s="1" t="s">
        <v>84</v>
      </c>
      <c r="G3627" s="1" t="s">
        <v>57</v>
      </c>
      <c r="H3627" s="1" t="s">
        <v>58</v>
      </c>
      <c r="I3627" s="1">
        <v>2547.62</v>
      </c>
      <c r="J3627" s="1">
        <v>10</v>
      </c>
      <c r="K3627" s="1">
        <v>25476.2</v>
      </c>
      <c r="L3627" s="1">
        <v>15</v>
      </c>
      <c r="M3627" s="1">
        <v>3821.43</v>
      </c>
      <c r="N3627" s="1">
        <v>21654.77</v>
      </c>
      <c r="O3627" s="1" t="s">
        <v>24</v>
      </c>
      <c r="P3627" s="1" t="s">
        <v>1161</v>
      </c>
      <c r="Q3627" s="1">
        <v>5</v>
      </c>
      <c r="R3627" s="1">
        <f>Retail_Sales_Analyis[[#This Row],[Final_Price]]-Retail_Sales_Analyis[[#This Row],[Total_Price]]</f>
        <v>-3821.4300000000003</v>
      </c>
      <c r="S36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28" spans="1:19" x14ac:dyDescent="0.25">
      <c r="A3628" s="1" t="s">
        <v>4743</v>
      </c>
      <c r="B3628" s="2">
        <v>45632</v>
      </c>
      <c r="C3628" s="1" t="s">
        <v>73</v>
      </c>
      <c r="D3628" s="1" t="s">
        <v>144</v>
      </c>
      <c r="E3628" s="1" t="s">
        <v>104</v>
      </c>
      <c r="F3628" s="1" t="s">
        <v>21</v>
      </c>
      <c r="G3628" s="1" t="s">
        <v>169</v>
      </c>
      <c r="H3628" s="1" t="s">
        <v>348</v>
      </c>
      <c r="I3628" s="1">
        <v>358.75</v>
      </c>
      <c r="J3628" s="1">
        <v>4</v>
      </c>
      <c r="K3628" s="1">
        <v>1435</v>
      </c>
      <c r="L3628" s="1">
        <v>0</v>
      </c>
      <c r="M3628" s="1">
        <v>0</v>
      </c>
      <c r="N3628" s="1">
        <v>1435</v>
      </c>
      <c r="O3628" s="1" t="s">
        <v>33</v>
      </c>
      <c r="P3628" s="1" t="s">
        <v>4744</v>
      </c>
      <c r="Q3628" s="1">
        <v>4</v>
      </c>
      <c r="R3628" s="1">
        <f>Retail_Sales_Analyis[[#This Row],[Final_Price]]-Retail_Sales_Analyis[[#This Row],[Total_Price]]</f>
        <v>0</v>
      </c>
      <c r="S36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29" spans="1:19" x14ac:dyDescent="0.25">
      <c r="A3629" s="1" t="s">
        <v>4745</v>
      </c>
      <c r="B3629" s="2">
        <v>45649</v>
      </c>
      <c r="C3629" s="1" t="s">
        <v>73</v>
      </c>
      <c r="D3629" s="1" t="s">
        <v>43</v>
      </c>
      <c r="E3629" s="1" t="s">
        <v>44</v>
      </c>
      <c r="F3629" s="1" t="s">
        <v>37</v>
      </c>
      <c r="G3629" s="1" t="s">
        <v>112</v>
      </c>
      <c r="H3629" s="1" t="s">
        <v>118</v>
      </c>
      <c r="I3629" s="1">
        <v>1893.6</v>
      </c>
      <c r="J3629" s="1">
        <v>9</v>
      </c>
      <c r="K3629" s="1">
        <v>17042.400000000001</v>
      </c>
      <c r="L3629" s="1">
        <v>5</v>
      </c>
      <c r="M3629" s="1">
        <v>852.12</v>
      </c>
      <c r="N3629" s="1">
        <v>16190.28</v>
      </c>
      <c r="O3629" s="1" t="s">
        <v>33</v>
      </c>
      <c r="P3629" s="1" t="s">
        <v>597</v>
      </c>
      <c r="Q3629" s="1">
        <v>4</v>
      </c>
      <c r="R3629" s="1">
        <f>Retail_Sales_Analyis[[#This Row],[Final_Price]]-Retail_Sales_Analyis[[#This Row],[Total_Price]]</f>
        <v>-852.1200000000008</v>
      </c>
      <c r="S36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30" spans="1:19" x14ac:dyDescent="0.25">
      <c r="A3630" s="1" t="s">
        <v>4746</v>
      </c>
      <c r="B3630" s="2">
        <v>45475</v>
      </c>
      <c r="C3630" s="1" t="s">
        <v>195</v>
      </c>
      <c r="D3630" s="1" t="s">
        <v>28</v>
      </c>
      <c r="E3630" s="1" t="s">
        <v>542</v>
      </c>
      <c r="F3630" s="1" t="s">
        <v>84</v>
      </c>
      <c r="G3630" s="1" t="s">
        <v>38</v>
      </c>
      <c r="H3630" s="1" t="s">
        <v>70</v>
      </c>
      <c r="I3630" s="1">
        <v>424.9</v>
      </c>
      <c r="J3630" s="1">
        <v>7</v>
      </c>
      <c r="K3630" s="1">
        <v>2974.3</v>
      </c>
      <c r="L3630" s="1">
        <v>10</v>
      </c>
      <c r="M3630" s="1">
        <v>297.43</v>
      </c>
      <c r="N3630" s="1">
        <v>2676.87</v>
      </c>
      <c r="O3630" s="1" t="s">
        <v>64</v>
      </c>
      <c r="P3630" s="1" t="s">
        <v>1981</v>
      </c>
      <c r="Q3630" s="1">
        <v>1</v>
      </c>
      <c r="R3630" s="1">
        <f>Retail_Sales_Analyis[[#This Row],[Final_Price]]-Retail_Sales_Analyis[[#This Row],[Total_Price]]</f>
        <v>-297.43000000000029</v>
      </c>
      <c r="S36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31" spans="1:19" x14ac:dyDescent="0.25">
      <c r="A3631" s="1" t="s">
        <v>4747</v>
      </c>
      <c r="B3631" s="2">
        <v>45324</v>
      </c>
      <c r="C3631" s="1" t="s">
        <v>27</v>
      </c>
      <c r="D3631" s="1" t="s">
        <v>144</v>
      </c>
      <c r="E3631" s="1" t="s">
        <v>312</v>
      </c>
      <c r="F3631" s="1" t="s">
        <v>21</v>
      </c>
      <c r="G3631" s="1" t="s">
        <v>22</v>
      </c>
      <c r="H3631" s="1" t="s">
        <v>187</v>
      </c>
      <c r="I3631" s="1">
        <v>927.01</v>
      </c>
      <c r="J3631" s="1">
        <v>5</v>
      </c>
      <c r="K3631" s="1">
        <v>4635.05</v>
      </c>
      <c r="L3631" s="1">
        <v>5</v>
      </c>
      <c r="M3631" s="1">
        <v>231.75</v>
      </c>
      <c r="N3631" s="1">
        <v>4403.3</v>
      </c>
      <c r="O3631" s="1" t="s">
        <v>24</v>
      </c>
      <c r="P3631" s="1" t="s">
        <v>1113</v>
      </c>
      <c r="Q3631" s="1">
        <v>4</v>
      </c>
      <c r="R3631" s="1">
        <f>Retail_Sales_Analyis[[#This Row],[Final_Price]]-Retail_Sales_Analyis[[#This Row],[Total_Price]]</f>
        <v>-231.75</v>
      </c>
      <c r="S36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32" spans="1:19" x14ac:dyDescent="0.25">
      <c r="A3632" s="1" t="s">
        <v>4748</v>
      </c>
      <c r="B3632" s="2">
        <v>45565</v>
      </c>
      <c r="C3632" s="1" t="s">
        <v>116</v>
      </c>
      <c r="D3632" s="1" t="s">
        <v>43</v>
      </c>
      <c r="E3632" s="1" t="s">
        <v>236</v>
      </c>
      <c r="F3632" s="1" t="s">
        <v>21</v>
      </c>
      <c r="G3632" s="1" t="s">
        <v>78</v>
      </c>
      <c r="H3632" s="1" t="s">
        <v>126</v>
      </c>
      <c r="I3632" s="1">
        <v>312.91000000000003</v>
      </c>
      <c r="J3632" s="1">
        <v>10</v>
      </c>
      <c r="K3632" s="1">
        <v>3129.1</v>
      </c>
      <c r="L3632" s="1">
        <v>15</v>
      </c>
      <c r="M3632" s="1">
        <v>469.36</v>
      </c>
      <c r="N3632" s="1">
        <v>2659.74</v>
      </c>
      <c r="O3632" s="1" t="s">
        <v>24</v>
      </c>
      <c r="P3632" s="1" t="s">
        <v>1707</v>
      </c>
      <c r="Q3632" s="1">
        <v>5</v>
      </c>
      <c r="R3632" s="1">
        <f>Retail_Sales_Analyis[[#This Row],[Final_Price]]-Retail_Sales_Analyis[[#This Row],[Total_Price]]</f>
        <v>-469.36000000000013</v>
      </c>
      <c r="S36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33" spans="1:19" x14ac:dyDescent="0.25">
      <c r="A3633" s="1" t="s">
        <v>4749</v>
      </c>
      <c r="B3633" s="2">
        <v>45495</v>
      </c>
      <c r="C3633" s="1" t="s">
        <v>195</v>
      </c>
      <c r="D3633" s="1" t="s">
        <v>43</v>
      </c>
      <c r="E3633" s="1" t="s">
        <v>117</v>
      </c>
      <c r="F3633" s="1" t="s">
        <v>69</v>
      </c>
      <c r="G3633" s="1" t="s">
        <v>78</v>
      </c>
      <c r="H3633" s="1" t="s">
        <v>79</v>
      </c>
      <c r="I3633" s="1">
        <v>586.91999999999996</v>
      </c>
      <c r="J3633" s="1">
        <v>6</v>
      </c>
      <c r="K3633" s="1">
        <v>3521.52</v>
      </c>
      <c r="L3633" s="1">
        <v>5</v>
      </c>
      <c r="M3633" s="1">
        <v>176.08</v>
      </c>
      <c r="N3633" s="1">
        <v>3345.44</v>
      </c>
      <c r="O3633" s="1" t="s">
        <v>64</v>
      </c>
      <c r="P3633" s="1" t="s">
        <v>2342</v>
      </c>
      <c r="Q3633" s="1">
        <v>5</v>
      </c>
      <c r="R3633" s="1">
        <f>Retail_Sales_Analyis[[#This Row],[Final_Price]]-Retail_Sales_Analyis[[#This Row],[Total_Price]]</f>
        <v>-176.07999999999993</v>
      </c>
      <c r="S36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34" spans="1:19" x14ac:dyDescent="0.25">
      <c r="A3634" s="1" t="s">
        <v>4750</v>
      </c>
      <c r="B3634" s="2">
        <v>45403</v>
      </c>
      <c r="C3634" s="1" t="s">
        <v>54</v>
      </c>
      <c r="D3634" s="1" t="s">
        <v>49</v>
      </c>
      <c r="E3634" s="1" t="s">
        <v>111</v>
      </c>
      <c r="F3634" s="1" t="s">
        <v>69</v>
      </c>
      <c r="G3634" s="1" t="s">
        <v>38</v>
      </c>
      <c r="H3634" s="1" t="s">
        <v>70</v>
      </c>
      <c r="I3634" s="1">
        <v>647.71</v>
      </c>
      <c r="J3634" s="1">
        <v>10</v>
      </c>
      <c r="K3634" s="1">
        <v>6477.1</v>
      </c>
      <c r="L3634" s="1">
        <v>0</v>
      </c>
      <c r="M3634" s="1">
        <v>0</v>
      </c>
      <c r="N3634" s="1">
        <v>6477.1</v>
      </c>
      <c r="O3634" s="1" t="s">
        <v>46</v>
      </c>
      <c r="P3634" s="1" t="s">
        <v>915</v>
      </c>
      <c r="Q3634" s="1">
        <v>1</v>
      </c>
      <c r="R3634" s="1">
        <f>Retail_Sales_Analyis[[#This Row],[Final_Price]]-Retail_Sales_Analyis[[#This Row],[Total_Price]]</f>
        <v>0</v>
      </c>
      <c r="S36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35" spans="1:19" x14ac:dyDescent="0.25">
      <c r="A3635" s="1" t="s">
        <v>4751</v>
      </c>
      <c r="B3635" s="2">
        <v>45511</v>
      </c>
      <c r="C3635" s="1" t="s">
        <v>93</v>
      </c>
      <c r="D3635" s="1" t="s">
        <v>55</v>
      </c>
      <c r="E3635" s="1" t="s">
        <v>328</v>
      </c>
      <c r="F3635" s="1" t="s">
        <v>69</v>
      </c>
      <c r="G3635" s="1" t="s">
        <v>169</v>
      </c>
      <c r="H3635" s="1" t="s">
        <v>348</v>
      </c>
      <c r="I3635" s="1">
        <v>860.37</v>
      </c>
      <c r="J3635" s="1">
        <v>5</v>
      </c>
      <c r="K3635" s="1">
        <v>4301.8500000000004</v>
      </c>
      <c r="L3635" s="1">
        <v>20</v>
      </c>
      <c r="M3635" s="1">
        <v>860.37</v>
      </c>
      <c r="N3635" s="1">
        <v>3441.48</v>
      </c>
      <c r="O3635" s="1" t="s">
        <v>80</v>
      </c>
      <c r="P3635" s="1" t="s">
        <v>1770</v>
      </c>
      <c r="Q3635" s="1">
        <v>4</v>
      </c>
      <c r="R3635" s="1">
        <f>Retail_Sales_Analyis[[#This Row],[Final_Price]]-Retail_Sales_Analyis[[#This Row],[Total_Price]]</f>
        <v>-860.37000000000035</v>
      </c>
      <c r="S363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36" spans="1:19" x14ac:dyDescent="0.25">
      <c r="A3636" s="1" t="s">
        <v>4752</v>
      </c>
      <c r="B3636" s="2">
        <v>45400</v>
      </c>
      <c r="C3636" s="1" t="s">
        <v>54</v>
      </c>
      <c r="D3636" s="1" t="s">
        <v>67</v>
      </c>
      <c r="E3636" s="1" t="s">
        <v>204</v>
      </c>
      <c r="F3636" s="1" t="s">
        <v>69</v>
      </c>
      <c r="G3636" s="1" t="s">
        <v>78</v>
      </c>
      <c r="H3636" s="1" t="s">
        <v>126</v>
      </c>
      <c r="I3636" s="1">
        <v>204.29</v>
      </c>
      <c r="J3636" s="1">
        <v>3</v>
      </c>
      <c r="K3636" s="1">
        <v>612.87</v>
      </c>
      <c r="L3636" s="1">
        <v>15</v>
      </c>
      <c r="M3636" s="1">
        <v>91.93</v>
      </c>
      <c r="N3636" s="1">
        <v>520.94000000000005</v>
      </c>
      <c r="O3636" s="1" t="s">
        <v>24</v>
      </c>
      <c r="P3636" s="1" t="s">
        <v>2597</v>
      </c>
      <c r="Q3636" s="1">
        <v>4</v>
      </c>
      <c r="R3636" s="1">
        <f>Retail_Sales_Analyis[[#This Row],[Final_Price]]-Retail_Sales_Analyis[[#This Row],[Total_Price]]</f>
        <v>-91.92999999999995</v>
      </c>
      <c r="S36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37" spans="1:19" x14ac:dyDescent="0.25">
      <c r="A3637" s="1" t="s">
        <v>4753</v>
      </c>
      <c r="B3637" s="2">
        <v>45545</v>
      </c>
      <c r="C3637" s="1" t="s">
        <v>116</v>
      </c>
      <c r="D3637" s="1" t="s">
        <v>28</v>
      </c>
      <c r="E3637" s="1" t="s">
        <v>50</v>
      </c>
      <c r="F3637" s="1" t="s">
        <v>30</v>
      </c>
      <c r="G3637" s="1" t="s">
        <v>31</v>
      </c>
      <c r="H3637" s="1" t="s">
        <v>63</v>
      </c>
      <c r="I3637" s="1">
        <v>274.61</v>
      </c>
      <c r="J3637" s="1">
        <v>10</v>
      </c>
      <c r="K3637" s="1">
        <v>2746.1</v>
      </c>
      <c r="L3637" s="1">
        <v>0</v>
      </c>
      <c r="M3637" s="1">
        <v>0</v>
      </c>
      <c r="N3637" s="1">
        <v>2746.1</v>
      </c>
      <c r="O3637" s="1" t="s">
        <v>46</v>
      </c>
      <c r="P3637" s="1" t="s">
        <v>451</v>
      </c>
      <c r="Q3637" s="1">
        <v>5</v>
      </c>
      <c r="R3637" s="1">
        <f>Retail_Sales_Analyis[[#This Row],[Final_Price]]-Retail_Sales_Analyis[[#This Row],[Total_Price]]</f>
        <v>0</v>
      </c>
      <c r="S36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38" spans="1:19" x14ac:dyDescent="0.25">
      <c r="A3638" s="1" t="s">
        <v>4754</v>
      </c>
      <c r="B3638" s="2">
        <v>45429</v>
      </c>
      <c r="C3638" s="1" t="s">
        <v>42</v>
      </c>
      <c r="D3638" s="1" t="s">
        <v>144</v>
      </c>
      <c r="E3638" s="1" t="s">
        <v>132</v>
      </c>
      <c r="F3638" s="1" t="s">
        <v>69</v>
      </c>
      <c r="G3638" s="1" t="s">
        <v>38</v>
      </c>
      <c r="H3638" s="1" t="s">
        <v>214</v>
      </c>
      <c r="I3638" s="1">
        <v>475.93</v>
      </c>
      <c r="J3638" s="1">
        <v>6</v>
      </c>
      <c r="K3638" s="1">
        <v>2855.58</v>
      </c>
      <c r="L3638" s="1">
        <v>5</v>
      </c>
      <c r="M3638" s="1">
        <v>142.78</v>
      </c>
      <c r="N3638" s="1">
        <v>2712.8</v>
      </c>
      <c r="O3638" s="1" t="s">
        <v>80</v>
      </c>
      <c r="P3638" s="1" t="s">
        <v>3184</v>
      </c>
      <c r="Q3638" s="1">
        <v>5</v>
      </c>
      <c r="R3638" s="1">
        <f>Retail_Sales_Analyis[[#This Row],[Final_Price]]-Retail_Sales_Analyis[[#This Row],[Total_Price]]</f>
        <v>-142.77999999999975</v>
      </c>
      <c r="S36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39" spans="1:19" x14ac:dyDescent="0.25">
      <c r="A3639" s="1" t="s">
        <v>4755</v>
      </c>
      <c r="B3639" s="2">
        <v>45457</v>
      </c>
      <c r="C3639" s="1" t="s">
        <v>173</v>
      </c>
      <c r="D3639" s="1" t="s">
        <v>144</v>
      </c>
      <c r="E3639" s="1" t="s">
        <v>186</v>
      </c>
      <c r="F3639" s="1" t="s">
        <v>37</v>
      </c>
      <c r="G3639" s="1" t="s">
        <v>169</v>
      </c>
      <c r="H3639" s="1" t="s">
        <v>366</v>
      </c>
      <c r="I3639" s="1">
        <v>720.8</v>
      </c>
      <c r="J3639" s="1">
        <v>1</v>
      </c>
      <c r="K3639" s="1">
        <v>720.8</v>
      </c>
      <c r="L3639" s="1">
        <v>20</v>
      </c>
      <c r="M3639" s="1">
        <v>144.16</v>
      </c>
      <c r="N3639" s="1">
        <v>576.64</v>
      </c>
      <c r="O3639" s="1" t="s">
        <v>24</v>
      </c>
      <c r="P3639" s="1" t="s">
        <v>385</v>
      </c>
      <c r="Q3639" s="1">
        <v>5</v>
      </c>
      <c r="R3639" s="1">
        <f>Retail_Sales_Analyis[[#This Row],[Final_Price]]-Retail_Sales_Analyis[[#This Row],[Total_Price]]</f>
        <v>-144.15999999999997</v>
      </c>
      <c r="S36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40" spans="1:19" x14ac:dyDescent="0.25">
      <c r="A3640" s="1" t="s">
        <v>4756</v>
      </c>
      <c r="B3640" s="2">
        <v>45437</v>
      </c>
      <c r="C3640" s="1" t="s">
        <v>42</v>
      </c>
      <c r="D3640" s="1" t="s">
        <v>19</v>
      </c>
      <c r="E3640" s="1" t="s">
        <v>44</v>
      </c>
      <c r="F3640" s="1" t="s">
        <v>37</v>
      </c>
      <c r="G3640" s="1" t="s">
        <v>22</v>
      </c>
      <c r="H3640" s="1" t="s">
        <v>277</v>
      </c>
      <c r="I3640" s="1">
        <v>540.63</v>
      </c>
      <c r="J3640" s="1">
        <v>10</v>
      </c>
      <c r="K3640" s="1">
        <v>5406.3</v>
      </c>
      <c r="L3640" s="1">
        <v>0</v>
      </c>
      <c r="M3640" s="1">
        <v>0</v>
      </c>
      <c r="N3640" s="1">
        <v>5406.3</v>
      </c>
      <c r="O3640" s="1" t="s">
        <v>64</v>
      </c>
      <c r="P3640" s="1" t="s">
        <v>1877</v>
      </c>
      <c r="Q3640" s="1">
        <v>4</v>
      </c>
      <c r="R3640" s="1">
        <f>Retail_Sales_Analyis[[#This Row],[Final_Price]]-Retail_Sales_Analyis[[#This Row],[Total_Price]]</f>
        <v>0</v>
      </c>
      <c r="S36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41" spans="1:19" x14ac:dyDescent="0.25">
      <c r="A3641" s="1" t="s">
        <v>4757</v>
      </c>
      <c r="B3641" s="2">
        <v>45464</v>
      </c>
      <c r="C3641" s="1" t="s">
        <v>173</v>
      </c>
      <c r="D3641" s="1" t="s">
        <v>144</v>
      </c>
      <c r="E3641" s="1" t="s">
        <v>307</v>
      </c>
      <c r="F3641" s="1" t="s">
        <v>21</v>
      </c>
      <c r="G3641" s="1" t="s">
        <v>169</v>
      </c>
      <c r="H3641" s="1" t="s">
        <v>170</v>
      </c>
      <c r="I3641" s="1">
        <v>804.27</v>
      </c>
      <c r="J3641" s="1">
        <v>10</v>
      </c>
      <c r="K3641" s="1">
        <v>8042.7</v>
      </c>
      <c r="L3641" s="1">
        <v>10</v>
      </c>
      <c r="M3641" s="1">
        <v>804.27</v>
      </c>
      <c r="N3641" s="1">
        <v>7238.43</v>
      </c>
      <c r="O3641" s="1" t="s">
        <v>64</v>
      </c>
      <c r="P3641" s="1" t="s">
        <v>1717</v>
      </c>
      <c r="Q3641" s="1">
        <v>2</v>
      </c>
      <c r="R3641" s="1">
        <f>Retail_Sales_Analyis[[#This Row],[Final_Price]]-Retail_Sales_Analyis[[#This Row],[Total_Price]]</f>
        <v>-804.26999999999953</v>
      </c>
      <c r="S36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42" spans="1:19" x14ac:dyDescent="0.25">
      <c r="A3642" s="1" t="s">
        <v>4758</v>
      </c>
      <c r="B3642" s="2">
        <v>45572</v>
      </c>
      <c r="C3642" s="1" t="s">
        <v>76</v>
      </c>
      <c r="D3642" s="1" t="s">
        <v>43</v>
      </c>
      <c r="E3642" s="1" t="s">
        <v>163</v>
      </c>
      <c r="F3642" s="1" t="s">
        <v>21</v>
      </c>
      <c r="G3642" s="1" t="s">
        <v>112</v>
      </c>
      <c r="H3642" s="1" t="s">
        <v>113</v>
      </c>
      <c r="I3642" s="1">
        <v>1440.67</v>
      </c>
      <c r="J3642" s="1">
        <v>4</v>
      </c>
      <c r="K3642" s="1">
        <v>5762.68</v>
      </c>
      <c r="L3642" s="1">
        <v>20</v>
      </c>
      <c r="M3642" s="1">
        <v>1152.54</v>
      </c>
      <c r="N3642" s="1">
        <v>4610.1400000000003</v>
      </c>
      <c r="O3642" s="1" t="s">
        <v>80</v>
      </c>
      <c r="P3642" s="1" t="s">
        <v>3545</v>
      </c>
      <c r="Q3642" s="1">
        <v>4</v>
      </c>
      <c r="R3642" s="1">
        <f>Retail_Sales_Analyis[[#This Row],[Final_Price]]-Retail_Sales_Analyis[[#This Row],[Total_Price]]</f>
        <v>-1152.54</v>
      </c>
      <c r="S364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43" spans="1:19" x14ac:dyDescent="0.25">
      <c r="A3643" s="1" t="s">
        <v>4759</v>
      </c>
      <c r="B3643" s="2">
        <v>45587</v>
      </c>
      <c r="C3643" s="1" t="s">
        <v>76</v>
      </c>
      <c r="D3643" s="1" t="s">
        <v>28</v>
      </c>
      <c r="E3643" s="1" t="s">
        <v>125</v>
      </c>
      <c r="F3643" s="1" t="s">
        <v>21</v>
      </c>
      <c r="G3643" s="1" t="s">
        <v>78</v>
      </c>
      <c r="H3643" s="1" t="s">
        <v>136</v>
      </c>
      <c r="I3643" s="1">
        <v>388.67</v>
      </c>
      <c r="J3643" s="1">
        <v>9</v>
      </c>
      <c r="K3643" s="1">
        <v>3498.03</v>
      </c>
      <c r="L3643" s="1">
        <v>20</v>
      </c>
      <c r="M3643" s="1">
        <v>699.61</v>
      </c>
      <c r="N3643" s="1">
        <v>2798.42</v>
      </c>
      <c r="O3643" s="1" t="s">
        <v>33</v>
      </c>
      <c r="P3643" s="1" t="s">
        <v>1633</v>
      </c>
      <c r="Q3643" s="1">
        <v>3</v>
      </c>
      <c r="R3643" s="1">
        <f>Retail_Sales_Analyis[[#This Row],[Final_Price]]-Retail_Sales_Analyis[[#This Row],[Total_Price]]</f>
        <v>-699.61000000000013</v>
      </c>
      <c r="S36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44" spans="1:19" x14ac:dyDescent="0.25">
      <c r="A3644" s="1" t="s">
        <v>4760</v>
      </c>
      <c r="B3644" s="2">
        <v>45358</v>
      </c>
      <c r="C3644" s="1" t="s">
        <v>61</v>
      </c>
      <c r="D3644" s="1" t="s">
        <v>67</v>
      </c>
      <c r="E3644" s="1" t="s">
        <v>285</v>
      </c>
      <c r="F3644" s="1" t="s">
        <v>30</v>
      </c>
      <c r="G3644" s="1" t="s">
        <v>78</v>
      </c>
      <c r="H3644" s="1" t="s">
        <v>146</v>
      </c>
      <c r="I3644" s="1">
        <v>340.59</v>
      </c>
      <c r="J3644" s="1">
        <v>3</v>
      </c>
      <c r="K3644" s="1">
        <v>1021.77</v>
      </c>
      <c r="L3644" s="1">
        <v>0</v>
      </c>
      <c r="M3644" s="1">
        <v>0</v>
      </c>
      <c r="N3644" s="1">
        <v>1021.77</v>
      </c>
      <c r="O3644" s="1" t="s">
        <v>64</v>
      </c>
      <c r="P3644" s="1" t="s">
        <v>1030</v>
      </c>
      <c r="Q3644" s="1">
        <v>5</v>
      </c>
      <c r="R3644" s="1">
        <f>Retail_Sales_Analyis[[#This Row],[Final_Price]]-Retail_Sales_Analyis[[#This Row],[Total_Price]]</f>
        <v>0</v>
      </c>
      <c r="S36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45" spans="1:19" x14ac:dyDescent="0.25">
      <c r="A3645" s="1" t="s">
        <v>4761</v>
      </c>
      <c r="B3645" s="2">
        <v>45581</v>
      </c>
      <c r="C3645" s="1" t="s">
        <v>76</v>
      </c>
      <c r="D3645" s="1" t="s">
        <v>55</v>
      </c>
      <c r="E3645" s="1" t="s">
        <v>236</v>
      </c>
      <c r="F3645" s="1" t="s">
        <v>69</v>
      </c>
      <c r="G3645" s="1" t="s">
        <v>31</v>
      </c>
      <c r="H3645" s="1" t="s">
        <v>63</v>
      </c>
      <c r="I3645" s="1">
        <v>266.02</v>
      </c>
      <c r="J3645" s="1">
        <v>2</v>
      </c>
      <c r="K3645" s="1">
        <v>532.04</v>
      </c>
      <c r="L3645" s="1">
        <v>0</v>
      </c>
      <c r="M3645" s="1">
        <v>0</v>
      </c>
      <c r="N3645" s="1">
        <v>532.04</v>
      </c>
      <c r="O3645" s="1" t="s">
        <v>64</v>
      </c>
      <c r="P3645" s="1" t="s">
        <v>1601</v>
      </c>
      <c r="Q3645" s="1">
        <v>5</v>
      </c>
      <c r="R3645" s="1">
        <f>Retail_Sales_Analyis[[#This Row],[Final_Price]]-Retail_Sales_Analyis[[#This Row],[Total_Price]]</f>
        <v>0</v>
      </c>
      <c r="S36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46" spans="1:19" x14ac:dyDescent="0.25">
      <c r="A3646" s="1" t="s">
        <v>4762</v>
      </c>
      <c r="B3646" s="2">
        <v>45540</v>
      </c>
      <c r="C3646" s="1" t="s">
        <v>116</v>
      </c>
      <c r="D3646" s="1" t="s">
        <v>67</v>
      </c>
      <c r="E3646" s="1" t="s">
        <v>236</v>
      </c>
      <c r="F3646" s="1" t="s">
        <v>21</v>
      </c>
      <c r="G3646" s="1" t="s">
        <v>57</v>
      </c>
      <c r="H3646" s="1" t="s">
        <v>158</v>
      </c>
      <c r="I3646" s="1">
        <v>2288.8200000000002</v>
      </c>
      <c r="J3646" s="1">
        <v>2</v>
      </c>
      <c r="K3646" s="1">
        <v>4577.6400000000003</v>
      </c>
      <c r="L3646" s="1">
        <v>5</v>
      </c>
      <c r="M3646" s="1">
        <v>228.88</v>
      </c>
      <c r="N3646" s="1">
        <v>4348.76</v>
      </c>
      <c r="O3646" s="1" t="s">
        <v>64</v>
      </c>
      <c r="P3646" s="1" t="s">
        <v>2274</v>
      </c>
      <c r="Q3646" s="1">
        <v>5</v>
      </c>
      <c r="R3646" s="1">
        <f>Retail_Sales_Analyis[[#This Row],[Final_Price]]-Retail_Sales_Analyis[[#This Row],[Total_Price]]</f>
        <v>-228.88000000000011</v>
      </c>
      <c r="S36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47" spans="1:19" x14ac:dyDescent="0.25">
      <c r="A3647" s="1" t="s">
        <v>4763</v>
      </c>
      <c r="B3647" s="2">
        <v>45467</v>
      </c>
      <c r="C3647" s="1" t="s">
        <v>173</v>
      </c>
      <c r="D3647" s="1" t="s">
        <v>43</v>
      </c>
      <c r="E3647" s="1" t="s">
        <v>157</v>
      </c>
      <c r="F3647" s="1" t="s">
        <v>21</v>
      </c>
      <c r="G3647" s="1" t="s">
        <v>57</v>
      </c>
      <c r="H3647" s="1" t="s">
        <v>152</v>
      </c>
      <c r="I3647" s="1">
        <v>1433.39</v>
      </c>
      <c r="J3647" s="1">
        <v>8</v>
      </c>
      <c r="K3647" s="1">
        <v>11467.12</v>
      </c>
      <c r="L3647" s="1">
        <v>10</v>
      </c>
      <c r="M3647" s="1">
        <v>1146.71</v>
      </c>
      <c r="N3647" s="1">
        <v>10320.41</v>
      </c>
      <c r="O3647" s="1" t="s">
        <v>33</v>
      </c>
      <c r="P3647" s="1" t="s">
        <v>1789</v>
      </c>
      <c r="Q3647" s="1">
        <v>3</v>
      </c>
      <c r="R3647" s="1">
        <f>Retail_Sales_Analyis[[#This Row],[Final_Price]]-Retail_Sales_Analyis[[#This Row],[Total_Price]]</f>
        <v>-1146.7100000000009</v>
      </c>
      <c r="S36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48" spans="1:19" x14ac:dyDescent="0.25">
      <c r="A3648" s="1" t="s">
        <v>4764</v>
      </c>
      <c r="B3648" s="2">
        <v>45641</v>
      </c>
      <c r="C3648" s="1" t="s">
        <v>73</v>
      </c>
      <c r="D3648" s="1" t="s">
        <v>49</v>
      </c>
      <c r="E3648" s="1" t="s">
        <v>168</v>
      </c>
      <c r="F3648" s="1" t="s">
        <v>69</v>
      </c>
      <c r="G3648" s="1" t="s">
        <v>38</v>
      </c>
      <c r="H3648" s="1" t="s">
        <v>108</v>
      </c>
      <c r="I3648" s="1">
        <v>361.47</v>
      </c>
      <c r="J3648" s="1">
        <v>1</v>
      </c>
      <c r="K3648" s="1">
        <v>361.47</v>
      </c>
      <c r="L3648" s="1">
        <v>0</v>
      </c>
      <c r="M3648" s="1">
        <v>0</v>
      </c>
      <c r="N3648" s="1">
        <v>361.47</v>
      </c>
      <c r="O3648" s="1" t="s">
        <v>46</v>
      </c>
      <c r="P3648" s="1" t="s">
        <v>1977</v>
      </c>
      <c r="Q3648" s="1">
        <v>4</v>
      </c>
      <c r="R3648" s="1">
        <f>Retail_Sales_Analyis[[#This Row],[Final_Price]]-Retail_Sales_Analyis[[#This Row],[Total_Price]]</f>
        <v>0</v>
      </c>
      <c r="S36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49" spans="1:19" x14ac:dyDescent="0.25">
      <c r="A3649" s="1" t="s">
        <v>4765</v>
      </c>
      <c r="B3649" s="2">
        <v>45316</v>
      </c>
      <c r="C3649" s="1" t="s">
        <v>36</v>
      </c>
      <c r="D3649" s="1" t="s">
        <v>67</v>
      </c>
      <c r="E3649" s="1" t="s">
        <v>104</v>
      </c>
      <c r="F3649" s="1" t="s">
        <v>30</v>
      </c>
      <c r="G3649" s="1" t="s">
        <v>31</v>
      </c>
      <c r="H3649" s="1" t="s">
        <v>45</v>
      </c>
      <c r="I3649" s="1">
        <v>85.49</v>
      </c>
      <c r="J3649" s="1">
        <v>5</v>
      </c>
      <c r="K3649" s="1">
        <v>427.45</v>
      </c>
      <c r="L3649" s="1">
        <v>0</v>
      </c>
      <c r="M3649" s="1">
        <v>0</v>
      </c>
      <c r="N3649" s="1">
        <v>427.45</v>
      </c>
      <c r="O3649" s="1" t="s">
        <v>24</v>
      </c>
      <c r="P3649" s="1" t="s">
        <v>184</v>
      </c>
      <c r="Q3649" s="1">
        <v>2</v>
      </c>
      <c r="R3649" s="1">
        <f>Retail_Sales_Analyis[[#This Row],[Final_Price]]-Retail_Sales_Analyis[[#This Row],[Total_Price]]</f>
        <v>0</v>
      </c>
      <c r="S36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50" spans="1:19" x14ac:dyDescent="0.25">
      <c r="A3650" s="1" t="s">
        <v>4766</v>
      </c>
      <c r="B3650" s="2">
        <v>45315</v>
      </c>
      <c r="C3650" s="1" t="s">
        <v>36</v>
      </c>
      <c r="D3650" s="1" t="s">
        <v>55</v>
      </c>
      <c r="E3650" s="1" t="s">
        <v>168</v>
      </c>
      <c r="F3650" s="1" t="s">
        <v>30</v>
      </c>
      <c r="G3650" s="1" t="s">
        <v>38</v>
      </c>
      <c r="H3650" s="1" t="s">
        <v>422</v>
      </c>
      <c r="I3650" s="1">
        <v>244.48</v>
      </c>
      <c r="J3650" s="1">
        <v>4</v>
      </c>
      <c r="K3650" s="1">
        <v>977.92</v>
      </c>
      <c r="L3650" s="1">
        <v>10</v>
      </c>
      <c r="M3650" s="1">
        <v>97.79</v>
      </c>
      <c r="N3650" s="1">
        <v>880.13</v>
      </c>
      <c r="O3650" s="1" t="s">
        <v>24</v>
      </c>
      <c r="P3650" s="1" t="s">
        <v>1185</v>
      </c>
      <c r="Q3650" s="1">
        <v>1</v>
      </c>
      <c r="R3650" s="1">
        <f>Retail_Sales_Analyis[[#This Row],[Final_Price]]-Retail_Sales_Analyis[[#This Row],[Total_Price]]</f>
        <v>-97.789999999999964</v>
      </c>
      <c r="S36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51" spans="1:19" x14ac:dyDescent="0.25">
      <c r="A3651" s="1" t="s">
        <v>4767</v>
      </c>
      <c r="B3651" s="2">
        <v>45342</v>
      </c>
      <c r="C3651" s="1" t="s">
        <v>27</v>
      </c>
      <c r="D3651" s="1" t="s">
        <v>28</v>
      </c>
      <c r="E3651" s="1" t="s">
        <v>50</v>
      </c>
      <c r="F3651" s="1" t="s">
        <v>30</v>
      </c>
      <c r="G3651" s="1" t="s">
        <v>78</v>
      </c>
      <c r="H3651" s="1" t="s">
        <v>79</v>
      </c>
      <c r="I3651" s="1">
        <v>535.66999999999996</v>
      </c>
      <c r="J3651" s="1">
        <v>3</v>
      </c>
      <c r="K3651" s="1">
        <v>1607.01</v>
      </c>
      <c r="L3651" s="1">
        <v>5</v>
      </c>
      <c r="M3651" s="1">
        <v>80.349999999999994</v>
      </c>
      <c r="N3651" s="1">
        <v>1526.66</v>
      </c>
      <c r="O3651" s="1" t="s">
        <v>64</v>
      </c>
      <c r="P3651" s="1" t="s">
        <v>621</v>
      </c>
      <c r="Q3651" s="1">
        <v>1</v>
      </c>
      <c r="R3651" s="1">
        <f>Retail_Sales_Analyis[[#This Row],[Final_Price]]-Retail_Sales_Analyis[[#This Row],[Total_Price]]</f>
        <v>-80.349999999999909</v>
      </c>
      <c r="S36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52" spans="1:19" x14ac:dyDescent="0.25">
      <c r="A3652" s="1" t="s">
        <v>4768</v>
      </c>
      <c r="B3652" s="2">
        <v>45612</v>
      </c>
      <c r="C3652" s="1" t="s">
        <v>18</v>
      </c>
      <c r="D3652" s="1" t="s">
        <v>19</v>
      </c>
      <c r="E3652" s="1" t="s">
        <v>129</v>
      </c>
      <c r="F3652" s="1" t="s">
        <v>84</v>
      </c>
      <c r="G3652" s="1" t="s">
        <v>112</v>
      </c>
      <c r="H3652" s="1" t="s">
        <v>113</v>
      </c>
      <c r="I3652" s="1">
        <v>1070.8</v>
      </c>
      <c r="J3652" s="1">
        <v>6</v>
      </c>
      <c r="K3652" s="1">
        <v>6424.8</v>
      </c>
      <c r="L3652" s="1">
        <v>5</v>
      </c>
      <c r="M3652" s="1">
        <v>321.24</v>
      </c>
      <c r="N3652" s="1">
        <v>6103.56</v>
      </c>
      <c r="O3652" s="1" t="s">
        <v>46</v>
      </c>
      <c r="P3652" s="1" t="s">
        <v>1027</v>
      </c>
      <c r="Q3652" s="1">
        <v>4</v>
      </c>
      <c r="R3652" s="1">
        <f>Retail_Sales_Analyis[[#This Row],[Final_Price]]-Retail_Sales_Analyis[[#This Row],[Total_Price]]</f>
        <v>-321.23999999999978</v>
      </c>
      <c r="S36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53" spans="1:19" x14ac:dyDescent="0.25">
      <c r="A3653" s="1" t="s">
        <v>4769</v>
      </c>
      <c r="B3653" s="2">
        <v>45527</v>
      </c>
      <c r="C3653" s="1" t="s">
        <v>93</v>
      </c>
      <c r="D3653" s="1" t="s">
        <v>144</v>
      </c>
      <c r="E3653" s="1" t="s">
        <v>157</v>
      </c>
      <c r="F3653" s="1" t="s">
        <v>84</v>
      </c>
      <c r="G3653" s="1" t="s">
        <v>57</v>
      </c>
      <c r="H3653" s="1" t="s">
        <v>101</v>
      </c>
      <c r="I3653" s="1">
        <v>1814.53</v>
      </c>
      <c r="J3653" s="1">
        <v>7</v>
      </c>
      <c r="K3653" s="1">
        <v>12701.71</v>
      </c>
      <c r="L3653" s="1">
        <v>10</v>
      </c>
      <c r="M3653" s="1">
        <v>1270.17</v>
      </c>
      <c r="N3653" s="1">
        <v>11431.54</v>
      </c>
      <c r="O3653" s="1" t="s">
        <v>33</v>
      </c>
      <c r="P3653" s="1" t="s">
        <v>2934</v>
      </c>
      <c r="Q3653" s="1">
        <v>4</v>
      </c>
      <c r="R3653" s="1">
        <f>Retail_Sales_Analyis[[#This Row],[Final_Price]]-Retail_Sales_Analyis[[#This Row],[Total_Price]]</f>
        <v>-1270.1699999999983</v>
      </c>
      <c r="S36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54" spans="1:19" x14ac:dyDescent="0.25">
      <c r="A3654" s="1" t="s">
        <v>4770</v>
      </c>
      <c r="B3654" s="2">
        <v>45300</v>
      </c>
      <c r="C3654" s="1" t="s">
        <v>36</v>
      </c>
      <c r="D3654" s="1" t="s">
        <v>28</v>
      </c>
      <c r="E3654" s="1" t="s">
        <v>77</v>
      </c>
      <c r="F3654" s="1" t="s">
        <v>84</v>
      </c>
      <c r="G3654" s="1" t="s">
        <v>78</v>
      </c>
      <c r="H3654" s="1" t="s">
        <v>323</v>
      </c>
      <c r="I3654" s="1">
        <v>157.46</v>
      </c>
      <c r="J3654" s="1">
        <v>10</v>
      </c>
      <c r="K3654" s="1">
        <v>1574.6</v>
      </c>
      <c r="L3654" s="1">
        <v>20</v>
      </c>
      <c r="M3654" s="1">
        <v>314.92</v>
      </c>
      <c r="N3654" s="1">
        <v>1259.68</v>
      </c>
      <c r="O3654" s="1" t="s">
        <v>46</v>
      </c>
      <c r="P3654" s="1" t="s">
        <v>631</v>
      </c>
      <c r="Q3654" s="1">
        <v>2</v>
      </c>
      <c r="R3654" s="1">
        <f>Retail_Sales_Analyis[[#This Row],[Final_Price]]-Retail_Sales_Analyis[[#This Row],[Total_Price]]</f>
        <v>-314.91999999999985</v>
      </c>
      <c r="S36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55" spans="1:19" x14ac:dyDescent="0.25">
      <c r="A3655" s="1" t="s">
        <v>4771</v>
      </c>
      <c r="B3655" s="2">
        <v>45355</v>
      </c>
      <c r="C3655" s="1" t="s">
        <v>61</v>
      </c>
      <c r="D3655" s="1" t="s">
        <v>43</v>
      </c>
      <c r="E3655" s="1" t="s">
        <v>351</v>
      </c>
      <c r="F3655" s="1" t="s">
        <v>21</v>
      </c>
      <c r="G3655" s="1" t="s">
        <v>38</v>
      </c>
      <c r="H3655" s="1" t="s">
        <v>422</v>
      </c>
      <c r="I3655" s="1">
        <v>661.31</v>
      </c>
      <c r="J3655" s="1">
        <v>1</v>
      </c>
      <c r="K3655" s="1">
        <v>661.31</v>
      </c>
      <c r="L3655" s="1">
        <v>20</v>
      </c>
      <c r="M3655" s="1">
        <v>132.26</v>
      </c>
      <c r="N3655" s="1">
        <v>529.04999999999995</v>
      </c>
      <c r="O3655" s="1" t="s">
        <v>24</v>
      </c>
      <c r="P3655" s="1" t="s">
        <v>594</v>
      </c>
      <c r="Q3655" s="1">
        <v>1</v>
      </c>
      <c r="R3655" s="1">
        <f>Retail_Sales_Analyis[[#This Row],[Final_Price]]-Retail_Sales_Analyis[[#This Row],[Total_Price]]</f>
        <v>-132.26</v>
      </c>
      <c r="S36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56" spans="1:19" x14ac:dyDescent="0.25">
      <c r="A3656" s="1" t="s">
        <v>4772</v>
      </c>
      <c r="B3656" s="2">
        <v>45372</v>
      </c>
      <c r="C3656" s="1" t="s">
        <v>61</v>
      </c>
      <c r="D3656" s="1" t="s">
        <v>67</v>
      </c>
      <c r="E3656" s="1" t="s">
        <v>132</v>
      </c>
      <c r="F3656" s="1" t="s">
        <v>21</v>
      </c>
      <c r="G3656" s="1" t="s">
        <v>31</v>
      </c>
      <c r="H3656" s="1" t="s">
        <v>45</v>
      </c>
      <c r="I3656" s="1">
        <v>263.27</v>
      </c>
      <c r="J3656" s="1">
        <v>10</v>
      </c>
      <c r="K3656" s="1">
        <v>2632.7</v>
      </c>
      <c r="L3656" s="1">
        <v>0</v>
      </c>
      <c r="M3656" s="1">
        <v>0</v>
      </c>
      <c r="N3656" s="1">
        <v>2632.7</v>
      </c>
      <c r="O3656" s="1" t="s">
        <v>46</v>
      </c>
      <c r="P3656" s="1" t="s">
        <v>2721</v>
      </c>
      <c r="Q3656" s="1">
        <v>3</v>
      </c>
      <c r="R3656" s="1">
        <f>Retail_Sales_Analyis[[#This Row],[Final_Price]]-Retail_Sales_Analyis[[#This Row],[Total_Price]]</f>
        <v>0</v>
      </c>
      <c r="S36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57" spans="1:19" x14ac:dyDescent="0.25">
      <c r="A3657" s="1" t="s">
        <v>4773</v>
      </c>
      <c r="B3657" s="2">
        <v>45517</v>
      </c>
      <c r="C3657" s="1" t="s">
        <v>93</v>
      </c>
      <c r="D3657" s="1" t="s">
        <v>28</v>
      </c>
      <c r="E3657" s="1" t="s">
        <v>261</v>
      </c>
      <c r="F3657" s="1" t="s">
        <v>84</v>
      </c>
      <c r="G3657" s="1" t="s">
        <v>112</v>
      </c>
      <c r="H3657" s="1" t="s">
        <v>223</v>
      </c>
      <c r="I3657" s="1">
        <v>1776.2</v>
      </c>
      <c r="J3657" s="1">
        <v>2</v>
      </c>
      <c r="K3657" s="1">
        <v>3552.4</v>
      </c>
      <c r="L3657" s="1">
        <v>10</v>
      </c>
      <c r="M3657" s="1">
        <v>355.24</v>
      </c>
      <c r="N3657" s="1">
        <v>3197.16</v>
      </c>
      <c r="O3657" s="1" t="s">
        <v>80</v>
      </c>
      <c r="P3657" s="1" t="s">
        <v>2007</v>
      </c>
      <c r="Q3657" s="1">
        <v>5</v>
      </c>
      <c r="R3657" s="1">
        <f>Retail_Sales_Analyis[[#This Row],[Final_Price]]-Retail_Sales_Analyis[[#This Row],[Total_Price]]</f>
        <v>-355.24000000000024</v>
      </c>
      <c r="S36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58" spans="1:19" x14ac:dyDescent="0.25">
      <c r="A3658" s="1" t="s">
        <v>4774</v>
      </c>
      <c r="B3658" s="2">
        <v>45525</v>
      </c>
      <c r="C3658" s="1" t="s">
        <v>93</v>
      </c>
      <c r="D3658" s="1" t="s">
        <v>55</v>
      </c>
      <c r="E3658" s="1" t="s">
        <v>166</v>
      </c>
      <c r="F3658" s="1" t="s">
        <v>21</v>
      </c>
      <c r="G3658" s="1" t="s">
        <v>169</v>
      </c>
      <c r="H3658" s="1" t="s">
        <v>366</v>
      </c>
      <c r="I3658" s="1">
        <v>1451.26</v>
      </c>
      <c r="J3658" s="1">
        <v>10</v>
      </c>
      <c r="K3658" s="1">
        <v>14512.6</v>
      </c>
      <c r="L3658" s="1">
        <v>0</v>
      </c>
      <c r="M3658" s="1">
        <v>0</v>
      </c>
      <c r="N3658" s="1">
        <v>14512.6</v>
      </c>
      <c r="O3658" s="1" t="s">
        <v>46</v>
      </c>
      <c r="P3658" s="1" t="s">
        <v>4775</v>
      </c>
      <c r="Q3658" s="1">
        <v>4</v>
      </c>
      <c r="R3658" s="1">
        <f>Retail_Sales_Analyis[[#This Row],[Final_Price]]-Retail_Sales_Analyis[[#This Row],[Total_Price]]</f>
        <v>0</v>
      </c>
      <c r="S36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59" spans="1:19" x14ac:dyDescent="0.25">
      <c r="A3659" s="1" t="s">
        <v>4776</v>
      </c>
      <c r="B3659" s="2">
        <v>45292</v>
      </c>
      <c r="C3659" s="1" t="s">
        <v>36</v>
      </c>
      <c r="D3659" s="1" t="s">
        <v>43</v>
      </c>
      <c r="E3659" s="1" t="s">
        <v>97</v>
      </c>
      <c r="F3659" s="1" t="s">
        <v>69</v>
      </c>
      <c r="G3659" s="1" t="s">
        <v>38</v>
      </c>
      <c r="H3659" s="1" t="s">
        <v>70</v>
      </c>
      <c r="I3659" s="1">
        <v>721.42</v>
      </c>
      <c r="J3659" s="1">
        <v>2</v>
      </c>
      <c r="K3659" s="1">
        <v>1442.84</v>
      </c>
      <c r="L3659" s="1">
        <v>0</v>
      </c>
      <c r="M3659" s="1">
        <v>0</v>
      </c>
      <c r="N3659" s="1">
        <v>1442.84</v>
      </c>
      <c r="O3659" s="1" t="s">
        <v>24</v>
      </c>
      <c r="P3659" s="1" t="s">
        <v>425</v>
      </c>
      <c r="Q3659" s="1">
        <v>3</v>
      </c>
      <c r="R3659" s="1">
        <f>Retail_Sales_Analyis[[#This Row],[Final_Price]]-Retail_Sales_Analyis[[#This Row],[Total_Price]]</f>
        <v>0</v>
      </c>
      <c r="S36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0" spans="1:19" x14ac:dyDescent="0.25">
      <c r="A3660" s="1" t="s">
        <v>4777</v>
      </c>
      <c r="B3660" s="2">
        <v>45511</v>
      </c>
      <c r="C3660" s="1" t="s">
        <v>93</v>
      </c>
      <c r="D3660" s="1" t="s">
        <v>55</v>
      </c>
      <c r="E3660" s="1" t="s">
        <v>94</v>
      </c>
      <c r="F3660" s="1" t="s">
        <v>21</v>
      </c>
      <c r="G3660" s="1" t="s">
        <v>57</v>
      </c>
      <c r="H3660" s="1" t="s">
        <v>158</v>
      </c>
      <c r="I3660" s="1">
        <v>1482.56</v>
      </c>
      <c r="J3660" s="1">
        <v>7</v>
      </c>
      <c r="K3660" s="1">
        <v>10377.92</v>
      </c>
      <c r="L3660" s="1">
        <v>0</v>
      </c>
      <c r="M3660" s="1">
        <v>0</v>
      </c>
      <c r="N3660" s="1">
        <v>10377.92</v>
      </c>
      <c r="O3660" s="1" t="s">
        <v>24</v>
      </c>
      <c r="P3660" s="1" t="s">
        <v>1201</v>
      </c>
      <c r="Q3660" s="1">
        <v>4</v>
      </c>
      <c r="R3660" s="1">
        <f>Retail_Sales_Analyis[[#This Row],[Final_Price]]-Retail_Sales_Analyis[[#This Row],[Total_Price]]</f>
        <v>0</v>
      </c>
      <c r="S36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1" spans="1:19" x14ac:dyDescent="0.25">
      <c r="A3661" s="1" t="s">
        <v>4778</v>
      </c>
      <c r="B3661" s="2">
        <v>45395</v>
      </c>
      <c r="C3661" s="1" t="s">
        <v>54</v>
      </c>
      <c r="D3661" s="1" t="s">
        <v>19</v>
      </c>
      <c r="E3661" s="1" t="s">
        <v>236</v>
      </c>
      <c r="F3661" s="1" t="s">
        <v>37</v>
      </c>
      <c r="G3661" s="1" t="s">
        <v>85</v>
      </c>
      <c r="H3661" s="1" t="s">
        <v>180</v>
      </c>
      <c r="I3661" s="1">
        <v>4328.68</v>
      </c>
      <c r="J3661" s="1">
        <v>6</v>
      </c>
      <c r="K3661" s="1">
        <v>25972.080000000002</v>
      </c>
      <c r="L3661" s="1">
        <v>0</v>
      </c>
      <c r="M3661" s="1">
        <v>0</v>
      </c>
      <c r="N3661" s="1">
        <v>25972.080000000002</v>
      </c>
      <c r="O3661" s="1" t="s">
        <v>46</v>
      </c>
      <c r="P3661" s="1" t="s">
        <v>1955</v>
      </c>
      <c r="Q3661" s="1">
        <v>4</v>
      </c>
      <c r="R3661" s="1">
        <f>Retail_Sales_Analyis[[#This Row],[Final_Price]]-Retail_Sales_Analyis[[#This Row],[Total_Price]]</f>
        <v>0</v>
      </c>
      <c r="S36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2" spans="1:19" x14ac:dyDescent="0.25">
      <c r="A3662" s="1" t="s">
        <v>4779</v>
      </c>
      <c r="B3662" s="2">
        <v>45644</v>
      </c>
      <c r="C3662" s="1" t="s">
        <v>73</v>
      </c>
      <c r="D3662" s="1" t="s">
        <v>55</v>
      </c>
      <c r="E3662" s="1" t="s">
        <v>50</v>
      </c>
      <c r="F3662" s="1" t="s">
        <v>21</v>
      </c>
      <c r="G3662" s="1" t="s">
        <v>85</v>
      </c>
      <c r="H3662" s="1" t="s">
        <v>297</v>
      </c>
      <c r="I3662" s="1">
        <v>4322.12</v>
      </c>
      <c r="J3662" s="1">
        <v>6</v>
      </c>
      <c r="K3662" s="1">
        <v>25932.720000000001</v>
      </c>
      <c r="L3662" s="1">
        <v>15</v>
      </c>
      <c r="M3662" s="1">
        <v>3889.91</v>
      </c>
      <c r="N3662" s="1">
        <v>22042.81</v>
      </c>
      <c r="O3662" s="1" t="s">
        <v>46</v>
      </c>
      <c r="P3662" s="1" t="s">
        <v>1937</v>
      </c>
      <c r="Q3662" s="1">
        <v>4</v>
      </c>
      <c r="R3662" s="1">
        <f>Retail_Sales_Analyis[[#This Row],[Final_Price]]-Retail_Sales_Analyis[[#This Row],[Total_Price]]</f>
        <v>-3889.91</v>
      </c>
      <c r="S36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63" spans="1:19" x14ac:dyDescent="0.25">
      <c r="A3663" s="1" t="s">
        <v>4780</v>
      </c>
      <c r="B3663" s="2">
        <v>45359</v>
      </c>
      <c r="C3663" s="1" t="s">
        <v>61</v>
      </c>
      <c r="D3663" s="1" t="s">
        <v>144</v>
      </c>
      <c r="E3663" s="1" t="s">
        <v>29</v>
      </c>
      <c r="F3663" s="1" t="s">
        <v>30</v>
      </c>
      <c r="G3663" s="1" t="s">
        <v>57</v>
      </c>
      <c r="H3663" s="1" t="s">
        <v>122</v>
      </c>
      <c r="I3663" s="1">
        <v>996.57</v>
      </c>
      <c r="J3663" s="1">
        <v>8</v>
      </c>
      <c r="K3663" s="1">
        <v>7972.56</v>
      </c>
      <c r="L3663" s="1">
        <v>20</v>
      </c>
      <c r="M3663" s="1">
        <v>1594.51</v>
      </c>
      <c r="N3663" s="1">
        <v>6378.05</v>
      </c>
      <c r="O3663" s="1" t="s">
        <v>24</v>
      </c>
      <c r="P3663" s="1" t="s">
        <v>1121</v>
      </c>
      <c r="Q3663" s="1">
        <v>4</v>
      </c>
      <c r="R3663" s="1">
        <f>Retail_Sales_Analyis[[#This Row],[Final_Price]]-Retail_Sales_Analyis[[#This Row],[Total_Price]]</f>
        <v>-1594.5100000000002</v>
      </c>
      <c r="S36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64" spans="1:19" x14ac:dyDescent="0.25">
      <c r="A3664" s="1" t="s">
        <v>4781</v>
      </c>
      <c r="B3664" s="2">
        <v>45624</v>
      </c>
      <c r="C3664" s="1" t="s">
        <v>18</v>
      </c>
      <c r="D3664" s="1" t="s">
        <v>67</v>
      </c>
      <c r="E3664" s="1" t="s">
        <v>151</v>
      </c>
      <c r="F3664" s="1" t="s">
        <v>69</v>
      </c>
      <c r="G3664" s="1" t="s">
        <v>38</v>
      </c>
      <c r="H3664" s="1" t="s">
        <v>108</v>
      </c>
      <c r="I3664" s="1">
        <v>368.12</v>
      </c>
      <c r="J3664" s="1">
        <v>1</v>
      </c>
      <c r="K3664" s="1">
        <v>368.12</v>
      </c>
      <c r="L3664" s="1">
        <v>20</v>
      </c>
      <c r="M3664" s="1">
        <v>73.62</v>
      </c>
      <c r="N3664" s="1">
        <v>294.5</v>
      </c>
      <c r="O3664" s="1" t="s">
        <v>80</v>
      </c>
      <c r="P3664" s="1" t="s">
        <v>520</v>
      </c>
      <c r="Q3664" s="1">
        <v>3</v>
      </c>
      <c r="R3664" s="1">
        <f>Retail_Sales_Analyis[[#This Row],[Final_Price]]-Retail_Sales_Analyis[[#This Row],[Total_Price]]</f>
        <v>-73.62</v>
      </c>
      <c r="S366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65" spans="1:19" x14ac:dyDescent="0.25">
      <c r="A3665" s="1" t="s">
        <v>4782</v>
      </c>
      <c r="B3665" s="2">
        <v>45446</v>
      </c>
      <c r="C3665" s="1" t="s">
        <v>173</v>
      </c>
      <c r="D3665" s="1" t="s">
        <v>43</v>
      </c>
      <c r="E3665" s="1" t="s">
        <v>111</v>
      </c>
      <c r="F3665" s="1" t="s">
        <v>69</v>
      </c>
      <c r="G3665" s="1" t="s">
        <v>112</v>
      </c>
      <c r="H3665" s="1" t="s">
        <v>223</v>
      </c>
      <c r="I3665" s="1">
        <v>1125.68</v>
      </c>
      <c r="J3665" s="1">
        <v>4</v>
      </c>
      <c r="K3665" s="1">
        <v>4502.72</v>
      </c>
      <c r="L3665" s="1">
        <v>10</v>
      </c>
      <c r="M3665" s="1">
        <v>450.27</v>
      </c>
      <c r="N3665" s="1">
        <v>4052.45</v>
      </c>
      <c r="O3665" s="1" t="s">
        <v>80</v>
      </c>
      <c r="P3665" s="1" t="s">
        <v>1877</v>
      </c>
      <c r="Q3665" s="1">
        <v>1</v>
      </c>
      <c r="R3665" s="1">
        <f>Retail_Sales_Analyis[[#This Row],[Final_Price]]-Retail_Sales_Analyis[[#This Row],[Total_Price]]</f>
        <v>-450.27000000000044</v>
      </c>
      <c r="S36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66" spans="1:19" x14ac:dyDescent="0.25">
      <c r="A3666" s="1" t="s">
        <v>4783</v>
      </c>
      <c r="B3666" s="2">
        <v>45373</v>
      </c>
      <c r="C3666" s="1" t="s">
        <v>61</v>
      </c>
      <c r="D3666" s="1" t="s">
        <v>144</v>
      </c>
      <c r="E3666" s="1" t="s">
        <v>328</v>
      </c>
      <c r="F3666" s="1" t="s">
        <v>37</v>
      </c>
      <c r="G3666" s="1" t="s">
        <v>78</v>
      </c>
      <c r="H3666" s="1" t="s">
        <v>79</v>
      </c>
      <c r="I3666" s="1">
        <v>326.02999999999997</v>
      </c>
      <c r="J3666" s="1">
        <v>6</v>
      </c>
      <c r="K3666" s="1">
        <v>1956.18</v>
      </c>
      <c r="L3666" s="1">
        <v>0</v>
      </c>
      <c r="M3666" s="1">
        <v>0</v>
      </c>
      <c r="N3666" s="1">
        <v>1956.18</v>
      </c>
      <c r="O3666" s="1" t="s">
        <v>24</v>
      </c>
      <c r="P3666" s="1" t="s">
        <v>4784</v>
      </c>
      <c r="Q3666" s="1">
        <v>3</v>
      </c>
      <c r="R3666" s="1">
        <f>Retail_Sales_Analyis[[#This Row],[Final_Price]]-Retail_Sales_Analyis[[#This Row],[Total_Price]]</f>
        <v>0</v>
      </c>
      <c r="S36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7" spans="1:19" x14ac:dyDescent="0.25">
      <c r="A3667" s="1" t="s">
        <v>4785</v>
      </c>
      <c r="B3667" s="2">
        <v>45432</v>
      </c>
      <c r="C3667" s="1" t="s">
        <v>42</v>
      </c>
      <c r="D3667" s="1" t="s">
        <v>43</v>
      </c>
      <c r="E3667" s="1" t="s">
        <v>62</v>
      </c>
      <c r="F3667" s="1" t="s">
        <v>69</v>
      </c>
      <c r="G3667" s="1" t="s">
        <v>85</v>
      </c>
      <c r="H3667" s="1" t="s">
        <v>297</v>
      </c>
      <c r="I3667" s="1">
        <v>4650.5200000000004</v>
      </c>
      <c r="J3667" s="1">
        <v>3</v>
      </c>
      <c r="K3667" s="1">
        <v>13951.56</v>
      </c>
      <c r="L3667" s="1">
        <v>0</v>
      </c>
      <c r="M3667" s="1">
        <v>0</v>
      </c>
      <c r="N3667" s="1">
        <v>13951.56</v>
      </c>
      <c r="O3667" s="1" t="s">
        <v>24</v>
      </c>
      <c r="P3667" s="1" t="s">
        <v>1669</v>
      </c>
      <c r="Q3667" s="1">
        <v>4</v>
      </c>
      <c r="R3667" s="1">
        <f>Retail_Sales_Analyis[[#This Row],[Final_Price]]-Retail_Sales_Analyis[[#This Row],[Total_Price]]</f>
        <v>0</v>
      </c>
      <c r="S36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8" spans="1:19" x14ac:dyDescent="0.25">
      <c r="A3668" s="1" t="s">
        <v>4786</v>
      </c>
      <c r="B3668" s="2">
        <v>45339</v>
      </c>
      <c r="C3668" s="1" t="s">
        <v>27</v>
      </c>
      <c r="D3668" s="1" t="s">
        <v>19</v>
      </c>
      <c r="E3668" s="1" t="s">
        <v>104</v>
      </c>
      <c r="F3668" s="1" t="s">
        <v>37</v>
      </c>
      <c r="G3668" s="1" t="s">
        <v>22</v>
      </c>
      <c r="H3668" s="1" t="s">
        <v>187</v>
      </c>
      <c r="I3668" s="1">
        <v>233.28</v>
      </c>
      <c r="J3668" s="1">
        <v>10</v>
      </c>
      <c r="K3668" s="1">
        <v>2332.8000000000002</v>
      </c>
      <c r="L3668" s="1">
        <v>0</v>
      </c>
      <c r="M3668" s="1">
        <v>0</v>
      </c>
      <c r="N3668" s="1">
        <v>2332.8000000000002</v>
      </c>
      <c r="O3668" s="1" t="s">
        <v>33</v>
      </c>
      <c r="P3668" s="1" t="s">
        <v>4775</v>
      </c>
      <c r="Q3668" s="1">
        <v>3</v>
      </c>
      <c r="R3668" s="1">
        <f>Retail_Sales_Analyis[[#This Row],[Final_Price]]-Retail_Sales_Analyis[[#This Row],[Total_Price]]</f>
        <v>0</v>
      </c>
      <c r="S36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69" spans="1:19" x14ac:dyDescent="0.25">
      <c r="A3669" s="1" t="s">
        <v>4787</v>
      </c>
      <c r="B3669" s="2">
        <v>45627</v>
      </c>
      <c r="C3669" s="1" t="s">
        <v>73</v>
      </c>
      <c r="D3669" s="1" t="s">
        <v>49</v>
      </c>
      <c r="E3669" s="1" t="s">
        <v>207</v>
      </c>
      <c r="F3669" s="1" t="s">
        <v>30</v>
      </c>
      <c r="G3669" s="1" t="s">
        <v>78</v>
      </c>
      <c r="H3669" s="1" t="s">
        <v>323</v>
      </c>
      <c r="I3669" s="1">
        <v>204.83</v>
      </c>
      <c r="J3669" s="1">
        <v>4</v>
      </c>
      <c r="K3669" s="1">
        <v>819.32</v>
      </c>
      <c r="L3669" s="1">
        <v>15</v>
      </c>
      <c r="M3669" s="1">
        <v>122.9</v>
      </c>
      <c r="N3669" s="1">
        <v>696.42</v>
      </c>
      <c r="O3669" s="1" t="s">
        <v>64</v>
      </c>
      <c r="P3669" s="1" t="s">
        <v>3340</v>
      </c>
      <c r="Q3669" s="1">
        <v>4</v>
      </c>
      <c r="R3669" s="1">
        <f>Retail_Sales_Analyis[[#This Row],[Final_Price]]-Retail_Sales_Analyis[[#This Row],[Total_Price]]</f>
        <v>-122.90000000000009</v>
      </c>
      <c r="S36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70" spans="1:19" x14ac:dyDescent="0.25">
      <c r="A3670" s="1" t="s">
        <v>4788</v>
      </c>
      <c r="B3670" s="2">
        <v>45476</v>
      </c>
      <c r="C3670" s="1" t="s">
        <v>195</v>
      </c>
      <c r="D3670" s="1" t="s">
        <v>55</v>
      </c>
      <c r="E3670" s="1" t="s">
        <v>302</v>
      </c>
      <c r="F3670" s="1" t="s">
        <v>30</v>
      </c>
      <c r="G3670" s="1" t="s">
        <v>112</v>
      </c>
      <c r="H3670" s="1" t="s">
        <v>113</v>
      </c>
      <c r="I3670" s="1">
        <v>1276.83</v>
      </c>
      <c r="J3670" s="1">
        <v>10</v>
      </c>
      <c r="K3670" s="1">
        <v>12768.3</v>
      </c>
      <c r="L3670" s="1">
        <v>20</v>
      </c>
      <c r="M3670" s="1">
        <v>2553.66</v>
      </c>
      <c r="N3670" s="1">
        <v>10214.64</v>
      </c>
      <c r="O3670" s="1" t="s">
        <v>24</v>
      </c>
      <c r="P3670" s="1" t="s">
        <v>1292</v>
      </c>
      <c r="Q3670" s="1">
        <v>3</v>
      </c>
      <c r="R3670" s="1">
        <f>Retail_Sales_Analyis[[#This Row],[Final_Price]]-Retail_Sales_Analyis[[#This Row],[Total_Price]]</f>
        <v>-2553.66</v>
      </c>
      <c r="S36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71" spans="1:19" x14ac:dyDescent="0.25">
      <c r="A3671" s="1" t="s">
        <v>4789</v>
      </c>
      <c r="B3671" s="2">
        <v>45420</v>
      </c>
      <c r="C3671" s="1" t="s">
        <v>42</v>
      </c>
      <c r="D3671" s="1" t="s">
        <v>55</v>
      </c>
      <c r="E3671" s="1" t="s">
        <v>163</v>
      </c>
      <c r="F3671" s="1" t="s">
        <v>21</v>
      </c>
      <c r="G3671" s="1" t="s">
        <v>169</v>
      </c>
      <c r="H3671" s="1" t="s">
        <v>348</v>
      </c>
      <c r="I3671" s="1">
        <v>1076.1600000000001</v>
      </c>
      <c r="J3671" s="1">
        <v>2</v>
      </c>
      <c r="K3671" s="1">
        <v>2152.3200000000002</v>
      </c>
      <c r="L3671" s="1">
        <v>15</v>
      </c>
      <c r="M3671" s="1">
        <v>322.85000000000002</v>
      </c>
      <c r="N3671" s="1">
        <v>1829.47</v>
      </c>
      <c r="O3671" s="1" t="s">
        <v>46</v>
      </c>
      <c r="P3671" s="1" t="s">
        <v>2133</v>
      </c>
      <c r="Q3671" s="1">
        <v>4</v>
      </c>
      <c r="R3671" s="1">
        <f>Retail_Sales_Analyis[[#This Row],[Final_Price]]-Retail_Sales_Analyis[[#This Row],[Total_Price]]</f>
        <v>-322.85000000000014</v>
      </c>
      <c r="S367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72" spans="1:19" x14ac:dyDescent="0.25">
      <c r="A3672" s="1" t="s">
        <v>4790</v>
      </c>
      <c r="B3672" s="2">
        <v>45334</v>
      </c>
      <c r="C3672" s="1" t="s">
        <v>27</v>
      </c>
      <c r="D3672" s="1" t="s">
        <v>43</v>
      </c>
      <c r="E3672" s="1" t="s">
        <v>239</v>
      </c>
      <c r="F3672" s="1" t="s">
        <v>84</v>
      </c>
      <c r="G3672" s="1" t="s">
        <v>112</v>
      </c>
      <c r="H3672" s="1" t="s">
        <v>118</v>
      </c>
      <c r="I3672" s="1">
        <v>766.52</v>
      </c>
      <c r="J3672" s="1">
        <v>5</v>
      </c>
      <c r="K3672" s="1">
        <v>3832.6</v>
      </c>
      <c r="L3672" s="1">
        <v>10</v>
      </c>
      <c r="M3672" s="1">
        <v>383.26</v>
      </c>
      <c r="N3672" s="1">
        <v>3449.34</v>
      </c>
      <c r="O3672" s="1" t="s">
        <v>64</v>
      </c>
      <c r="P3672" s="1" t="s">
        <v>819</v>
      </c>
      <c r="Q3672" s="1">
        <v>2</v>
      </c>
      <c r="R3672" s="1">
        <f>Retail_Sales_Analyis[[#This Row],[Final_Price]]-Retail_Sales_Analyis[[#This Row],[Total_Price]]</f>
        <v>-383.25999999999976</v>
      </c>
      <c r="S36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73" spans="1:19" x14ac:dyDescent="0.25">
      <c r="A3673" s="1" t="s">
        <v>4791</v>
      </c>
      <c r="B3673" s="2">
        <v>45482</v>
      </c>
      <c r="C3673" s="1" t="s">
        <v>195</v>
      </c>
      <c r="D3673" s="1" t="s">
        <v>28</v>
      </c>
      <c r="E3673" s="1" t="s">
        <v>199</v>
      </c>
      <c r="F3673" s="1" t="s">
        <v>84</v>
      </c>
      <c r="G3673" s="1" t="s">
        <v>169</v>
      </c>
      <c r="H3673" s="1" t="s">
        <v>208</v>
      </c>
      <c r="I3673" s="1">
        <v>1080.49</v>
      </c>
      <c r="J3673" s="1">
        <v>3</v>
      </c>
      <c r="K3673" s="1">
        <v>3241.47</v>
      </c>
      <c r="L3673" s="1">
        <v>10</v>
      </c>
      <c r="M3673" s="1">
        <v>324.14999999999998</v>
      </c>
      <c r="N3673" s="1">
        <v>2917.32</v>
      </c>
      <c r="O3673" s="1" t="s">
        <v>80</v>
      </c>
      <c r="P3673" s="1" t="s">
        <v>653</v>
      </c>
      <c r="Q3673" s="1">
        <v>5</v>
      </c>
      <c r="R3673" s="1">
        <f>Retail_Sales_Analyis[[#This Row],[Final_Price]]-Retail_Sales_Analyis[[#This Row],[Total_Price]]</f>
        <v>-324.14999999999964</v>
      </c>
      <c r="S36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74" spans="1:19" x14ac:dyDescent="0.25">
      <c r="A3674" s="1" t="s">
        <v>4792</v>
      </c>
      <c r="B3674" s="2">
        <v>45632</v>
      </c>
      <c r="C3674" s="1" t="s">
        <v>73</v>
      </c>
      <c r="D3674" s="1" t="s">
        <v>144</v>
      </c>
      <c r="E3674" s="1" t="s">
        <v>168</v>
      </c>
      <c r="F3674" s="1" t="s">
        <v>69</v>
      </c>
      <c r="G3674" s="1" t="s">
        <v>38</v>
      </c>
      <c r="H3674" s="1" t="s">
        <v>39</v>
      </c>
      <c r="I3674" s="1">
        <v>298.97000000000003</v>
      </c>
      <c r="J3674" s="1">
        <v>2</v>
      </c>
      <c r="K3674" s="1">
        <v>597.94000000000005</v>
      </c>
      <c r="L3674" s="1">
        <v>0</v>
      </c>
      <c r="M3674" s="1">
        <v>0</v>
      </c>
      <c r="N3674" s="1">
        <v>597.94000000000005</v>
      </c>
      <c r="O3674" s="1" t="s">
        <v>80</v>
      </c>
      <c r="P3674" s="1" t="s">
        <v>748</v>
      </c>
      <c r="Q3674" s="1">
        <v>3</v>
      </c>
      <c r="R3674" s="1">
        <f>Retail_Sales_Analyis[[#This Row],[Final_Price]]-Retail_Sales_Analyis[[#This Row],[Total_Price]]</f>
        <v>0</v>
      </c>
      <c r="S36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75" spans="1:19" x14ac:dyDescent="0.25">
      <c r="A3675" s="1" t="s">
        <v>4793</v>
      </c>
      <c r="B3675" s="2">
        <v>45624</v>
      </c>
      <c r="C3675" s="1" t="s">
        <v>18</v>
      </c>
      <c r="D3675" s="1" t="s">
        <v>67</v>
      </c>
      <c r="E3675" s="1" t="s">
        <v>157</v>
      </c>
      <c r="F3675" s="1" t="s">
        <v>37</v>
      </c>
      <c r="G3675" s="1" t="s">
        <v>57</v>
      </c>
      <c r="H3675" s="1" t="s">
        <v>122</v>
      </c>
      <c r="I3675" s="1">
        <v>538.79</v>
      </c>
      <c r="J3675" s="1">
        <v>3</v>
      </c>
      <c r="K3675" s="1">
        <v>1616.37</v>
      </c>
      <c r="L3675" s="1">
        <v>5</v>
      </c>
      <c r="M3675" s="1">
        <v>80.819999999999993</v>
      </c>
      <c r="N3675" s="1">
        <v>1535.55</v>
      </c>
      <c r="O3675" s="1" t="s">
        <v>46</v>
      </c>
      <c r="P3675" s="1" t="s">
        <v>948</v>
      </c>
      <c r="Q3675" s="1">
        <v>2</v>
      </c>
      <c r="R3675" s="1">
        <f>Retail_Sales_Analyis[[#This Row],[Final_Price]]-Retail_Sales_Analyis[[#This Row],[Total_Price]]</f>
        <v>-80.819999999999936</v>
      </c>
      <c r="S36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76" spans="1:19" x14ac:dyDescent="0.25">
      <c r="A3676" s="1" t="s">
        <v>4794</v>
      </c>
      <c r="B3676" s="2">
        <v>45376</v>
      </c>
      <c r="C3676" s="1" t="s">
        <v>61</v>
      </c>
      <c r="D3676" s="1" t="s">
        <v>43</v>
      </c>
      <c r="E3676" s="1" t="s">
        <v>50</v>
      </c>
      <c r="F3676" s="1" t="s">
        <v>84</v>
      </c>
      <c r="G3676" s="1" t="s">
        <v>85</v>
      </c>
      <c r="H3676" s="1" t="s">
        <v>297</v>
      </c>
      <c r="I3676" s="1">
        <v>1432.29</v>
      </c>
      <c r="J3676" s="1">
        <v>5</v>
      </c>
      <c r="K3676" s="1">
        <v>7161.45</v>
      </c>
      <c r="L3676" s="1">
        <v>0</v>
      </c>
      <c r="M3676" s="1">
        <v>0</v>
      </c>
      <c r="N3676" s="1">
        <v>7161.45</v>
      </c>
      <c r="O3676" s="1" t="s">
        <v>64</v>
      </c>
      <c r="P3676" s="1" t="s">
        <v>1341</v>
      </c>
      <c r="Q3676" s="1">
        <v>1</v>
      </c>
      <c r="R3676" s="1">
        <f>Retail_Sales_Analyis[[#This Row],[Final_Price]]-Retail_Sales_Analyis[[#This Row],[Total_Price]]</f>
        <v>0</v>
      </c>
      <c r="S36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77" spans="1:19" x14ac:dyDescent="0.25">
      <c r="A3677" s="1" t="s">
        <v>4795</v>
      </c>
      <c r="B3677" s="2">
        <v>45318</v>
      </c>
      <c r="C3677" s="1" t="s">
        <v>36</v>
      </c>
      <c r="D3677" s="1" t="s">
        <v>19</v>
      </c>
      <c r="E3677" s="1" t="s">
        <v>207</v>
      </c>
      <c r="F3677" s="1" t="s">
        <v>30</v>
      </c>
      <c r="G3677" s="1" t="s">
        <v>38</v>
      </c>
      <c r="H3677" s="1" t="s">
        <v>422</v>
      </c>
      <c r="I3677" s="1">
        <v>405.09</v>
      </c>
      <c r="J3677" s="1">
        <v>9</v>
      </c>
      <c r="K3677" s="1">
        <v>3645.81</v>
      </c>
      <c r="L3677" s="1">
        <v>10</v>
      </c>
      <c r="M3677" s="1">
        <v>364.58</v>
      </c>
      <c r="N3677" s="1">
        <v>3281.23</v>
      </c>
      <c r="O3677" s="1" t="s">
        <v>80</v>
      </c>
      <c r="P3677" s="1" t="s">
        <v>2330</v>
      </c>
      <c r="Q3677" s="1">
        <v>4</v>
      </c>
      <c r="R3677" s="1">
        <f>Retail_Sales_Analyis[[#This Row],[Final_Price]]-Retail_Sales_Analyis[[#This Row],[Total_Price]]</f>
        <v>-364.57999999999993</v>
      </c>
      <c r="S36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78" spans="1:19" x14ac:dyDescent="0.25">
      <c r="A3678" s="1" t="s">
        <v>4796</v>
      </c>
      <c r="B3678" s="2">
        <v>45494</v>
      </c>
      <c r="C3678" s="1" t="s">
        <v>195</v>
      </c>
      <c r="D3678" s="1" t="s">
        <v>49</v>
      </c>
      <c r="E3678" s="1" t="s">
        <v>89</v>
      </c>
      <c r="F3678" s="1" t="s">
        <v>37</v>
      </c>
      <c r="G3678" s="1" t="s">
        <v>38</v>
      </c>
      <c r="H3678" s="1" t="s">
        <v>70</v>
      </c>
      <c r="I3678" s="1">
        <v>151.87</v>
      </c>
      <c r="J3678" s="1">
        <v>9</v>
      </c>
      <c r="K3678" s="1">
        <v>1366.83</v>
      </c>
      <c r="L3678" s="1">
        <v>0</v>
      </c>
      <c r="M3678" s="1">
        <v>0</v>
      </c>
      <c r="N3678" s="1">
        <v>1366.83</v>
      </c>
      <c r="O3678" s="1" t="s">
        <v>33</v>
      </c>
      <c r="P3678" s="1" t="s">
        <v>671</v>
      </c>
      <c r="Q3678" s="1">
        <v>2</v>
      </c>
      <c r="R3678" s="1">
        <f>Retail_Sales_Analyis[[#This Row],[Final_Price]]-Retail_Sales_Analyis[[#This Row],[Total_Price]]</f>
        <v>0</v>
      </c>
      <c r="S36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79" spans="1:19" x14ac:dyDescent="0.25">
      <c r="A3679" s="1" t="s">
        <v>4797</v>
      </c>
      <c r="B3679" s="2">
        <v>45612</v>
      </c>
      <c r="C3679" s="1" t="s">
        <v>18</v>
      </c>
      <c r="D3679" s="1" t="s">
        <v>19</v>
      </c>
      <c r="E3679" s="1" t="s">
        <v>351</v>
      </c>
      <c r="F3679" s="1" t="s">
        <v>30</v>
      </c>
      <c r="G3679" s="1" t="s">
        <v>22</v>
      </c>
      <c r="H3679" s="1" t="s">
        <v>51</v>
      </c>
      <c r="I3679" s="1">
        <v>909.53</v>
      </c>
      <c r="J3679" s="1">
        <v>6</v>
      </c>
      <c r="K3679" s="1">
        <v>5457.18</v>
      </c>
      <c r="L3679" s="1">
        <v>10</v>
      </c>
      <c r="M3679" s="1">
        <v>545.72</v>
      </c>
      <c r="N3679" s="1">
        <v>4911.46</v>
      </c>
      <c r="O3679" s="1" t="s">
        <v>24</v>
      </c>
      <c r="P3679" s="1" t="s">
        <v>445</v>
      </c>
      <c r="Q3679" s="1">
        <v>4</v>
      </c>
      <c r="R3679" s="1">
        <f>Retail_Sales_Analyis[[#This Row],[Final_Price]]-Retail_Sales_Analyis[[#This Row],[Total_Price]]</f>
        <v>-545.72000000000025</v>
      </c>
      <c r="S36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80" spans="1:19" x14ac:dyDescent="0.25">
      <c r="A3680" s="1" t="s">
        <v>4798</v>
      </c>
      <c r="B3680" s="2">
        <v>45448</v>
      </c>
      <c r="C3680" s="1" t="s">
        <v>173</v>
      </c>
      <c r="D3680" s="1" t="s">
        <v>55</v>
      </c>
      <c r="E3680" s="1" t="s">
        <v>20</v>
      </c>
      <c r="F3680" s="1" t="s">
        <v>37</v>
      </c>
      <c r="G3680" s="1" t="s">
        <v>169</v>
      </c>
      <c r="H3680" s="1" t="s">
        <v>175</v>
      </c>
      <c r="I3680" s="1">
        <v>529.66999999999996</v>
      </c>
      <c r="J3680" s="1">
        <v>3</v>
      </c>
      <c r="K3680" s="1">
        <v>1589.01</v>
      </c>
      <c r="L3680" s="1">
        <v>15</v>
      </c>
      <c r="M3680" s="1">
        <v>238.35</v>
      </c>
      <c r="N3680" s="1">
        <v>1350.66</v>
      </c>
      <c r="O3680" s="1" t="s">
        <v>24</v>
      </c>
      <c r="P3680" s="1" t="s">
        <v>4125</v>
      </c>
      <c r="Q3680" s="1">
        <v>5</v>
      </c>
      <c r="R3680" s="1">
        <f>Retail_Sales_Analyis[[#This Row],[Final_Price]]-Retail_Sales_Analyis[[#This Row],[Total_Price]]</f>
        <v>-238.34999999999991</v>
      </c>
      <c r="S36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81" spans="1:19" x14ac:dyDescent="0.25">
      <c r="A3681" s="1" t="s">
        <v>4799</v>
      </c>
      <c r="B3681" s="2">
        <v>45650</v>
      </c>
      <c r="C3681" s="1" t="s">
        <v>73</v>
      </c>
      <c r="D3681" s="1" t="s">
        <v>28</v>
      </c>
      <c r="E3681" s="1" t="s">
        <v>542</v>
      </c>
      <c r="F3681" s="1" t="s">
        <v>30</v>
      </c>
      <c r="G3681" s="1" t="s">
        <v>169</v>
      </c>
      <c r="H3681" s="1" t="s">
        <v>208</v>
      </c>
      <c r="I3681" s="1">
        <v>528.83000000000004</v>
      </c>
      <c r="J3681" s="1">
        <v>9</v>
      </c>
      <c r="K3681" s="1">
        <v>4759.47</v>
      </c>
      <c r="L3681" s="1">
        <v>0</v>
      </c>
      <c r="M3681" s="1">
        <v>0</v>
      </c>
      <c r="N3681" s="1">
        <v>4759.47</v>
      </c>
      <c r="O3681" s="1" t="s">
        <v>64</v>
      </c>
      <c r="P3681" s="1" t="s">
        <v>3286</v>
      </c>
      <c r="Q3681" s="1">
        <v>2</v>
      </c>
      <c r="R3681" s="1">
        <f>Retail_Sales_Analyis[[#This Row],[Final_Price]]-Retail_Sales_Analyis[[#This Row],[Total_Price]]</f>
        <v>0</v>
      </c>
      <c r="S36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82" spans="1:19" x14ac:dyDescent="0.25">
      <c r="A3682" s="1" t="s">
        <v>4800</v>
      </c>
      <c r="B3682" s="2">
        <v>45411</v>
      </c>
      <c r="C3682" s="1" t="s">
        <v>54</v>
      </c>
      <c r="D3682" s="1" t="s">
        <v>43</v>
      </c>
      <c r="E3682" s="1" t="s">
        <v>107</v>
      </c>
      <c r="F3682" s="1" t="s">
        <v>30</v>
      </c>
      <c r="G3682" s="1" t="s">
        <v>85</v>
      </c>
      <c r="H3682" s="1" t="s">
        <v>98</v>
      </c>
      <c r="I3682" s="1">
        <v>2159.2800000000002</v>
      </c>
      <c r="J3682" s="1">
        <v>9</v>
      </c>
      <c r="K3682" s="1">
        <v>19433.52</v>
      </c>
      <c r="L3682" s="1">
        <v>0</v>
      </c>
      <c r="M3682" s="1">
        <v>0</v>
      </c>
      <c r="N3682" s="1">
        <v>19433.52</v>
      </c>
      <c r="O3682" s="1" t="s">
        <v>24</v>
      </c>
      <c r="P3682" s="1" t="s">
        <v>765</v>
      </c>
      <c r="Q3682" s="1">
        <v>2</v>
      </c>
      <c r="R3682" s="1">
        <f>Retail_Sales_Analyis[[#This Row],[Final_Price]]-Retail_Sales_Analyis[[#This Row],[Total_Price]]</f>
        <v>0</v>
      </c>
      <c r="S36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83" spans="1:19" x14ac:dyDescent="0.25">
      <c r="A3683" s="1" t="s">
        <v>4801</v>
      </c>
      <c r="B3683" s="2">
        <v>45511</v>
      </c>
      <c r="C3683" s="1" t="s">
        <v>93</v>
      </c>
      <c r="D3683" s="1" t="s">
        <v>55</v>
      </c>
      <c r="E3683" s="1" t="s">
        <v>157</v>
      </c>
      <c r="F3683" s="1" t="s">
        <v>21</v>
      </c>
      <c r="G3683" s="1" t="s">
        <v>85</v>
      </c>
      <c r="H3683" s="1" t="s">
        <v>86</v>
      </c>
      <c r="I3683" s="1">
        <v>2906.45</v>
      </c>
      <c r="J3683" s="1">
        <v>2</v>
      </c>
      <c r="K3683" s="1">
        <v>5812.9</v>
      </c>
      <c r="L3683" s="1">
        <v>15</v>
      </c>
      <c r="M3683" s="1">
        <v>871.93</v>
      </c>
      <c r="N3683" s="1">
        <v>4940.97</v>
      </c>
      <c r="O3683" s="1" t="s">
        <v>64</v>
      </c>
      <c r="P3683" s="1" t="s">
        <v>1019</v>
      </c>
      <c r="Q3683" s="1">
        <v>2</v>
      </c>
      <c r="R3683" s="1">
        <f>Retail_Sales_Analyis[[#This Row],[Final_Price]]-Retail_Sales_Analyis[[#This Row],[Total_Price]]</f>
        <v>-871.92999999999938</v>
      </c>
      <c r="S36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84" spans="1:19" x14ac:dyDescent="0.25">
      <c r="A3684" s="1" t="s">
        <v>4802</v>
      </c>
      <c r="B3684" s="2">
        <v>45627</v>
      </c>
      <c r="C3684" s="1" t="s">
        <v>73</v>
      </c>
      <c r="D3684" s="1" t="s">
        <v>49</v>
      </c>
      <c r="E3684" s="1" t="s">
        <v>312</v>
      </c>
      <c r="F3684" s="1" t="s">
        <v>69</v>
      </c>
      <c r="G3684" s="1" t="s">
        <v>57</v>
      </c>
      <c r="H3684" s="1" t="s">
        <v>158</v>
      </c>
      <c r="I3684" s="1">
        <v>644.99</v>
      </c>
      <c r="J3684" s="1">
        <v>9</v>
      </c>
      <c r="K3684" s="1">
        <v>5804.91</v>
      </c>
      <c r="L3684" s="1">
        <v>5</v>
      </c>
      <c r="M3684" s="1">
        <v>290.25</v>
      </c>
      <c r="N3684" s="1">
        <v>5514.66</v>
      </c>
      <c r="O3684" s="1" t="s">
        <v>33</v>
      </c>
      <c r="P3684" s="1" t="s">
        <v>371</v>
      </c>
      <c r="Q3684" s="1">
        <v>1</v>
      </c>
      <c r="R3684" s="1">
        <f>Retail_Sales_Analyis[[#This Row],[Final_Price]]-Retail_Sales_Analyis[[#This Row],[Total_Price]]</f>
        <v>-290.25</v>
      </c>
      <c r="S36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685" spans="1:19" x14ac:dyDescent="0.25">
      <c r="A3685" s="1" t="s">
        <v>4803</v>
      </c>
      <c r="B3685" s="2">
        <v>45338</v>
      </c>
      <c r="C3685" s="1" t="s">
        <v>27</v>
      </c>
      <c r="D3685" s="1" t="s">
        <v>144</v>
      </c>
      <c r="E3685" s="1" t="s">
        <v>174</v>
      </c>
      <c r="F3685" s="1" t="s">
        <v>84</v>
      </c>
      <c r="G3685" s="1" t="s">
        <v>112</v>
      </c>
      <c r="H3685" s="1" t="s">
        <v>118</v>
      </c>
      <c r="I3685" s="1">
        <v>1659.14</v>
      </c>
      <c r="J3685" s="1">
        <v>10</v>
      </c>
      <c r="K3685" s="1">
        <v>16591.400000000001</v>
      </c>
      <c r="L3685" s="1">
        <v>15</v>
      </c>
      <c r="M3685" s="1">
        <v>2488.71</v>
      </c>
      <c r="N3685" s="1">
        <v>14102.69</v>
      </c>
      <c r="O3685" s="1" t="s">
        <v>64</v>
      </c>
      <c r="P3685" s="1" t="s">
        <v>1438</v>
      </c>
      <c r="Q3685" s="1">
        <v>5</v>
      </c>
      <c r="R3685" s="1">
        <f>Retail_Sales_Analyis[[#This Row],[Final_Price]]-Retail_Sales_Analyis[[#This Row],[Total_Price]]</f>
        <v>-2488.7100000000009</v>
      </c>
      <c r="S36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86" spans="1:19" x14ac:dyDescent="0.25">
      <c r="A3686" s="1" t="s">
        <v>4804</v>
      </c>
      <c r="B3686" s="2">
        <v>45652</v>
      </c>
      <c r="C3686" s="1" t="s">
        <v>73</v>
      </c>
      <c r="D3686" s="1" t="s">
        <v>67</v>
      </c>
      <c r="E3686" s="1" t="s">
        <v>44</v>
      </c>
      <c r="F3686" s="1" t="s">
        <v>21</v>
      </c>
      <c r="G3686" s="1" t="s">
        <v>22</v>
      </c>
      <c r="H3686" s="1" t="s">
        <v>51</v>
      </c>
      <c r="I3686" s="1">
        <v>927.96</v>
      </c>
      <c r="J3686" s="1">
        <v>5</v>
      </c>
      <c r="K3686" s="1">
        <v>4639.8</v>
      </c>
      <c r="L3686" s="1">
        <v>0</v>
      </c>
      <c r="M3686" s="1">
        <v>0</v>
      </c>
      <c r="N3686" s="1">
        <v>4639.8</v>
      </c>
      <c r="O3686" s="1" t="s">
        <v>80</v>
      </c>
      <c r="P3686" s="1" t="s">
        <v>2418</v>
      </c>
      <c r="Q3686" s="1">
        <v>4</v>
      </c>
      <c r="R3686" s="1">
        <f>Retail_Sales_Analyis[[#This Row],[Final_Price]]-Retail_Sales_Analyis[[#This Row],[Total_Price]]</f>
        <v>0</v>
      </c>
      <c r="S36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87" spans="1:19" x14ac:dyDescent="0.25">
      <c r="A3687" s="1" t="s">
        <v>4805</v>
      </c>
      <c r="B3687" s="2">
        <v>45340</v>
      </c>
      <c r="C3687" s="1" t="s">
        <v>27</v>
      </c>
      <c r="D3687" s="1" t="s">
        <v>49</v>
      </c>
      <c r="E3687" s="1" t="s">
        <v>337</v>
      </c>
      <c r="F3687" s="1" t="s">
        <v>21</v>
      </c>
      <c r="G3687" s="1" t="s">
        <v>112</v>
      </c>
      <c r="H3687" s="1" t="s">
        <v>288</v>
      </c>
      <c r="I3687" s="1">
        <v>1475.43</v>
      </c>
      <c r="J3687" s="1">
        <v>3</v>
      </c>
      <c r="K3687" s="1">
        <v>4426.29</v>
      </c>
      <c r="L3687" s="1">
        <v>20</v>
      </c>
      <c r="M3687" s="1">
        <v>885.26</v>
      </c>
      <c r="N3687" s="1">
        <v>3541.03</v>
      </c>
      <c r="O3687" s="1" t="s">
        <v>46</v>
      </c>
      <c r="P3687" s="1" t="s">
        <v>877</v>
      </c>
      <c r="Q3687" s="1">
        <v>1</v>
      </c>
      <c r="R3687" s="1">
        <f>Retail_Sales_Analyis[[#This Row],[Final_Price]]-Retail_Sales_Analyis[[#This Row],[Total_Price]]</f>
        <v>-885.25999999999976</v>
      </c>
      <c r="S36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88" spans="1:19" x14ac:dyDescent="0.25">
      <c r="A3688" s="1" t="s">
        <v>4806</v>
      </c>
      <c r="B3688" s="2">
        <v>45292</v>
      </c>
      <c r="C3688" s="1" t="s">
        <v>36</v>
      </c>
      <c r="D3688" s="1" t="s">
        <v>43</v>
      </c>
      <c r="E3688" s="1" t="s">
        <v>168</v>
      </c>
      <c r="F3688" s="1" t="s">
        <v>84</v>
      </c>
      <c r="G3688" s="1" t="s">
        <v>57</v>
      </c>
      <c r="H3688" s="1" t="s">
        <v>152</v>
      </c>
      <c r="I3688" s="1">
        <v>2670.92</v>
      </c>
      <c r="J3688" s="1">
        <v>6</v>
      </c>
      <c r="K3688" s="1">
        <v>16025.52</v>
      </c>
      <c r="L3688" s="1">
        <v>20</v>
      </c>
      <c r="M3688" s="1">
        <v>3205.1</v>
      </c>
      <c r="N3688" s="1">
        <v>12820.42</v>
      </c>
      <c r="O3688" s="1" t="s">
        <v>24</v>
      </c>
      <c r="P3688" s="1" t="s">
        <v>1647</v>
      </c>
      <c r="Q3688" s="1">
        <v>1</v>
      </c>
      <c r="R3688" s="1">
        <f>Retail_Sales_Analyis[[#This Row],[Final_Price]]-Retail_Sales_Analyis[[#This Row],[Total_Price]]</f>
        <v>-3205.1000000000004</v>
      </c>
      <c r="S36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89" spans="1:19" x14ac:dyDescent="0.25">
      <c r="A3689" s="1" t="s">
        <v>4807</v>
      </c>
      <c r="B3689" s="2">
        <v>45401</v>
      </c>
      <c r="C3689" s="1" t="s">
        <v>54</v>
      </c>
      <c r="D3689" s="1" t="s">
        <v>144</v>
      </c>
      <c r="E3689" s="1" t="s">
        <v>199</v>
      </c>
      <c r="F3689" s="1" t="s">
        <v>21</v>
      </c>
      <c r="G3689" s="1" t="s">
        <v>31</v>
      </c>
      <c r="H3689" s="1" t="s">
        <v>250</v>
      </c>
      <c r="I3689" s="1">
        <v>177.65</v>
      </c>
      <c r="J3689" s="1">
        <v>8</v>
      </c>
      <c r="K3689" s="1">
        <v>1421.2</v>
      </c>
      <c r="L3689" s="1">
        <v>20</v>
      </c>
      <c r="M3689" s="1">
        <v>284.24</v>
      </c>
      <c r="N3689" s="1">
        <v>1136.96</v>
      </c>
      <c r="O3689" s="1" t="s">
        <v>64</v>
      </c>
      <c r="P3689" s="1" t="s">
        <v>1059</v>
      </c>
      <c r="Q3689" s="1">
        <v>3</v>
      </c>
      <c r="R3689" s="1">
        <f>Retail_Sales_Analyis[[#This Row],[Final_Price]]-Retail_Sales_Analyis[[#This Row],[Total_Price]]</f>
        <v>-284.24</v>
      </c>
      <c r="S36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90" spans="1:19" x14ac:dyDescent="0.25">
      <c r="A3690" s="1" t="s">
        <v>4808</v>
      </c>
      <c r="B3690" s="2">
        <v>45536</v>
      </c>
      <c r="C3690" s="1" t="s">
        <v>116</v>
      </c>
      <c r="D3690" s="1" t="s">
        <v>49</v>
      </c>
      <c r="E3690" s="1" t="s">
        <v>104</v>
      </c>
      <c r="F3690" s="1" t="s">
        <v>21</v>
      </c>
      <c r="G3690" s="1" t="s">
        <v>78</v>
      </c>
      <c r="H3690" s="1" t="s">
        <v>323</v>
      </c>
      <c r="I3690" s="1">
        <v>548.41</v>
      </c>
      <c r="J3690" s="1">
        <v>7</v>
      </c>
      <c r="K3690" s="1">
        <v>3838.87</v>
      </c>
      <c r="L3690" s="1">
        <v>15</v>
      </c>
      <c r="M3690" s="1">
        <v>575.83000000000004</v>
      </c>
      <c r="N3690" s="1">
        <v>3263.04</v>
      </c>
      <c r="O3690" s="1" t="s">
        <v>80</v>
      </c>
      <c r="P3690" s="1" t="s">
        <v>641</v>
      </c>
      <c r="Q3690" s="1">
        <v>5</v>
      </c>
      <c r="R3690" s="1">
        <f>Retail_Sales_Analyis[[#This Row],[Final_Price]]-Retail_Sales_Analyis[[#This Row],[Total_Price]]</f>
        <v>-575.82999999999993</v>
      </c>
      <c r="S36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91" spans="1:19" x14ac:dyDescent="0.25">
      <c r="A3691" s="1" t="s">
        <v>4809</v>
      </c>
      <c r="B3691" s="2">
        <v>45331</v>
      </c>
      <c r="C3691" s="1" t="s">
        <v>27</v>
      </c>
      <c r="D3691" s="1" t="s">
        <v>144</v>
      </c>
      <c r="E3691" s="1" t="s">
        <v>163</v>
      </c>
      <c r="F3691" s="1" t="s">
        <v>30</v>
      </c>
      <c r="G3691" s="1" t="s">
        <v>85</v>
      </c>
      <c r="H3691" s="1" t="s">
        <v>86</v>
      </c>
      <c r="I3691" s="1">
        <v>4992.3599999999997</v>
      </c>
      <c r="J3691" s="1">
        <v>7</v>
      </c>
      <c r="K3691" s="1">
        <v>34946.519999999997</v>
      </c>
      <c r="L3691" s="1">
        <v>20</v>
      </c>
      <c r="M3691" s="1">
        <v>6989.3</v>
      </c>
      <c r="N3691" s="1">
        <v>27957.22</v>
      </c>
      <c r="O3691" s="1" t="s">
        <v>64</v>
      </c>
      <c r="P3691" s="1" t="s">
        <v>1657</v>
      </c>
      <c r="Q3691" s="1">
        <v>5</v>
      </c>
      <c r="R3691" s="1">
        <f>Retail_Sales_Analyis[[#This Row],[Final_Price]]-Retail_Sales_Analyis[[#This Row],[Total_Price]]</f>
        <v>-6989.2999999999956</v>
      </c>
      <c r="S36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92" spans="1:19" x14ac:dyDescent="0.25">
      <c r="A3692" s="1" t="s">
        <v>4810</v>
      </c>
      <c r="B3692" s="2">
        <v>45359</v>
      </c>
      <c r="C3692" s="1" t="s">
        <v>61</v>
      </c>
      <c r="D3692" s="1" t="s">
        <v>144</v>
      </c>
      <c r="E3692" s="1" t="s">
        <v>213</v>
      </c>
      <c r="F3692" s="1" t="s">
        <v>84</v>
      </c>
      <c r="G3692" s="1" t="s">
        <v>85</v>
      </c>
      <c r="H3692" s="1" t="s">
        <v>98</v>
      </c>
      <c r="I3692" s="1">
        <v>3222.2</v>
      </c>
      <c r="J3692" s="1">
        <v>2</v>
      </c>
      <c r="K3692" s="1">
        <v>6444.4</v>
      </c>
      <c r="L3692" s="1">
        <v>20</v>
      </c>
      <c r="M3692" s="1">
        <v>1288.8800000000001</v>
      </c>
      <c r="N3692" s="1">
        <v>5155.5200000000004</v>
      </c>
      <c r="O3692" s="1" t="s">
        <v>80</v>
      </c>
      <c r="P3692" s="1" t="s">
        <v>898</v>
      </c>
      <c r="Q3692" s="1">
        <v>2</v>
      </c>
      <c r="R3692" s="1">
        <f>Retail_Sales_Analyis[[#This Row],[Final_Price]]-Retail_Sales_Analyis[[#This Row],[Total_Price]]</f>
        <v>-1288.8799999999992</v>
      </c>
      <c r="S36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93" spans="1:19" x14ac:dyDescent="0.25">
      <c r="A3693" s="1" t="s">
        <v>4811</v>
      </c>
      <c r="B3693" s="2">
        <v>45595</v>
      </c>
      <c r="C3693" s="1" t="s">
        <v>76</v>
      </c>
      <c r="D3693" s="1" t="s">
        <v>55</v>
      </c>
      <c r="E3693" s="1" t="s">
        <v>20</v>
      </c>
      <c r="F3693" s="1" t="s">
        <v>69</v>
      </c>
      <c r="G3693" s="1" t="s">
        <v>22</v>
      </c>
      <c r="H3693" s="1" t="s">
        <v>23</v>
      </c>
      <c r="I3693" s="1">
        <v>976.2</v>
      </c>
      <c r="J3693" s="1">
        <v>3</v>
      </c>
      <c r="K3693" s="1">
        <v>2928.6</v>
      </c>
      <c r="L3693" s="1">
        <v>20</v>
      </c>
      <c r="M3693" s="1">
        <v>585.72</v>
      </c>
      <c r="N3693" s="1">
        <v>2342.88</v>
      </c>
      <c r="O3693" s="1" t="s">
        <v>33</v>
      </c>
      <c r="P3693" s="1" t="s">
        <v>1506</v>
      </c>
      <c r="Q3693" s="1">
        <v>5</v>
      </c>
      <c r="R3693" s="1">
        <f>Retail_Sales_Analyis[[#This Row],[Final_Price]]-Retail_Sales_Analyis[[#This Row],[Total_Price]]</f>
        <v>-585.7199999999998</v>
      </c>
      <c r="S36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94" spans="1:19" x14ac:dyDescent="0.25">
      <c r="A3694" s="1" t="s">
        <v>4812</v>
      </c>
      <c r="B3694" s="2">
        <v>45407</v>
      </c>
      <c r="C3694" s="1" t="s">
        <v>54</v>
      </c>
      <c r="D3694" s="1" t="s">
        <v>67</v>
      </c>
      <c r="E3694" s="1" t="s">
        <v>411</v>
      </c>
      <c r="F3694" s="1" t="s">
        <v>69</v>
      </c>
      <c r="G3694" s="1" t="s">
        <v>112</v>
      </c>
      <c r="H3694" s="1" t="s">
        <v>288</v>
      </c>
      <c r="I3694" s="1">
        <v>1826.96</v>
      </c>
      <c r="J3694" s="1">
        <v>1</v>
      </c>
      <c r="K3694" s="1">
        <v>1826.96</v>
      </c>
      <c r="L3694" s="1">
        <v>0</v>
      </c>
      <c r="M3694" s="1">
        <v>0</v>
      </c>
      <c r="N3694" s="1">
        <v>1826.96</v>
      </c>
      <c r="O3694" s="1" t="s">
        <v>64</v>
      </c>
      <c r="P3694" s="1" t="s">
        <v>2139</v>
      </c>
      <c r="Q3694" s="1">
        <v>2</v>
      </c>
      <c r="R3694" s="1">
        <f>Retail_Sales_Analyis[[#This Row],[Final_Price]]-Retail_Sales_Analyis[[#This Row],[Total_Price]]</f>
        <v>0</v>
      </c>
      <c r="S36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95" spans="1:19" x14ac:dyDescent="0.25">
      <c r="A3695" s="1" t="s">
        <v>4813</v>
      </c>
      <c r="B3695" s="2">
        <v>45557</v>
      </c>
      <c r="C3695" s="1" t="s">
        <v>116</v>
      </c>
      <c r="D3695" s="1" t="s">
        <v>49</v>
      </c>
      <c r="E3695" s="1" t="s">
        <v>192</v>
      </c>
      <c r="F3695" s="1" t="s">
        <v>37</v>
      </c>
      <c r="G3695" s="1" t="s">
        <v>57</v>
      </c>
      <c r="H3695" s="1" t="s">
        <v>152</v>
      </c>
      <c r="I3695" s="1">
        <v>1658.98</v>
      </c>
      <c r="J3695" s="1">
        <v>10</v>
      </c>
      <c r="K3695" s="1">
        <v>16589.8</v>
      </c>
      <c r="L3695" s="1">
        <v>0</v>
      </c>
      <c r="M3695" s="1">
        <v>0</v>
      </c>
      <c r="N3695" s="1">
        <v>16589.8</v>
      </c>
      <c r="O3695" s="1" t="s">
        <v>80</v>
      </c>
      <c r="P3695" s="1" t="s">
        <v>1977</v>
      </c>
      <c r="Q3695" s="1">
        <v>2</v>
      </c>
      <c r="R3695" s="1">
        <f>Retail_Sales_Analyis[[#This Row],[Final_Price]]-Retail_Sales_Analyis[[#This Row],[Total_Price]]</f>
        <v>0</v>
      </c>
      <c r="S36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696" spans="1:19" x14ac:dyDescent="0.25">
      <c r="A3696" s="1" t="s">
        <v>4814</v>
      </c>
      <c r="B3696" s="2">
        <v>45640</v>
      </c>
      <c r="C3696" s="1" t="s">
        <v>73</v>
      </c>
      <c r="D3696" s="1" t="s">
        <v>19</v>
      </c>
      <c r="E3696" s="1" t="s">
        <v>29</v>
      </c>
      <c r="F3696" s="1" t="s">
        <v>30</v>
      </c>
      <c r="G3696" s="1" t="s">
        <v>22</v>
      </c>
      <c r="H3696" s="1" t="s">
        <v>187</v>
      </c>
      <c r="I3696" s="1">
        <v>674.54</v>
      </c>
      <c r="J3696" s="1">
        <v>2</v>
      </c>
      <c r="K3696" s="1">
        <v>1349.08</v>
      </c>
      <c r="L3696" s="1">
        <v>15</v>
      </c>
      <c r="M3696" s="1">
        <v>202.36</v>
      </c>
      <c r="N3696" s="1">
        <v>1146.72</v>
      </c>
      <c r="O3696" s="1" t="s">
        <v>64</v>
      </c>
      <c r="P3696" s="1" t="s">
        <v>1230</v>
      </c>
      <c r="Q3696" s="1">
        <v>3</v>
      </c>
      <c r="R3696" s="1">
        <f>Retail_Sales_Analyis[[#This Row],[Final_Price]]-Retail_Sales_Analyis[[#This Row],[Total_Price]]</f>
        <v>-202.3599999999999</v>
      </c>
      <c r="S36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97" spans="1:19" x14ac:dyDescent="0.25">
      <c r="A3697" s="1" t="s">
        <v>4815</v>
      </c>
      <c r="B3697" s="2">
        <v>45519</v>
      </c>
      <c r="C3697" s="1" t="s">
        <v>93</v>
      </c>
      <c r="D3697" s="1" t="s">
        <v>67</v>
      </c>
      <c r="E3697" s="1" t="s">
        <v>83</v>
      </c>
      <c r="F3697" s="1" t="s">
        <v>30</v>
      </c>
      <c r="G3697" s="1" t="s">
        <v>31</v>
      </c>
      <c r="H3697" s="1" t="s">
        <v>329</v>
      </c>
      <c r="I3697" s="1">
        <v>205.78</v>
      </c>
      <c r="J3697" s="1">
        <v>8</v>
      </c>
      <c r="K3697" s="1">
        <v>1646.24</v>
      </c>
      <c r="L3697" s="1">
        <v>20</v>
      </c>
      <c r="M3697" s="1">
        <v>329.25</v>
      </c>
      <c r="N3697" s="1">
        <v>1316.99</v>
      </c>
      <c r="O3697" s="1" t="s">
        <v>24</v>
      </c>
      <c r="P3697" s="1" t="s">
        <v>1985</v>
      </c>
      <c r="Q3697" s="1">
        <v>4</v>
      </c>
      <c r="R3697" s="1">
        <f>Retail_Sales_Analyis[[#This Row],[Final_Price]]-Retail_Sales_Analyis[[#This Row],[Total_Price]]</f>
        <v>-329.25</v>
      </c>
      <c r="S36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698" spans="1:19" x14ac:dyDescent="0.25">
      <c r="A3698" s="1" t="s">
        <v>4816</v>
      </c>
      <c r="B3698" s="2">
        <v>45296</v>
      </c>
      <c r="C3698" s="1" t="s">
        <v>36</v>
      </c>
      <c r="D3698" s="1" t="s">
        <v>144</v>
      </c>
      <c r="E3698" s="1" t="s">
        <v>186</v>
      </c>
      <c r="F3698" s="1" t="s">
        <v>30</v>
      </c>
      <c r="G3698" s="1" t="s">
        <v>38</v>
      </c>
      <c r="H3698" s="1" t="s">
        <v>70</v>
      </c>
      <c r="I3698" s="1">
        <v>297.79000000000002</v>
      </c>
      <c r="J3698" s="1">
        <v>10</v>
      </c>
      <c r="K3698" s="1">
        <v>2977.9</v>
      </c>
      <c r="L3698" s="1">
        <v>10</v>
      </c>
      <c r="M3698" s="1">
        <v>297.79000000000002</v>
      </c>
      <c r="N3698" s="1">
        <v>2680.11</v>
      </c>
      <c r="O3698" s="1" t="s">
        <v>80</v>
      </c>
      <c r="P3698" s="1" t="s">
        <v>1884</v>
      </c>
      <c r="Q3698" s="1">
        <v>4</v>
      </c>
      <c r="R3698" s="1">
        <f>Retail_Sales_Analyis[[#This Row],[Final_Price]]-Retail_Sales_Analyis[[#This Row],[Total_Price]]</f>
        <v>-297.78999999999996</v>
      </c>
      <c r="S36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699" spans="1:19" x14ac:dyDescent="0.25">
      <c r="A3699" s="1" t="s">
        <v>4817</v>
      </c>
      <c r="B3699" s="2">
        <v>45296</v>
      </c>
      <c r="C3699" s="1" t="s">
        <v>36</v>
      </c>
      <c r="D3699" s="1" t="s">
        <v>144</v>
      </c>
      <c r="E3699" s="1" t="s">
        <v>141</v>
      </c>
      <c r="F3699" s="1" t="s">
        <v>37</v>
      </c>
      <c r="G3699" s="1" t="s">
        <v>22</v>
      </c>
      <c r="H3699" s="1" t="s">
        <v>187</v>
      </c>
      <c r="I3699" s="1">
        <v>532.91999999999996</v>
      </c>
      <c r="J3699" s="1">
        <v>7</v>
      </c>
      <c r="K3699" s="1">
        <v>3730.44</v>
      </c>
      <c r="L3699" s="1">
        <v>0</v>
      </c>
      <c r="M3699" s="1">
        <v>0</v>
      </c>
      <c r="N3699" s="1">
        <v>3730.44</v>
      </c>
      <c r="O3699" s="1" t="s">
        <v>24</v>
      </c>
      <c r="P3699" s="1" t="s">
        <v>2204</v>
      </c>
      <c r="Q3699" s="1">
        <v>2</v>
      </c>
      <c r="R3699" s="1">
        <f>Retail_Sales_Analyis[[#This Row],[Final_Price]]-Retail_Sales_Analyis[[#This Row],[Total_Price]]</f>
        <v>0</v>
      </c>
      <c r="S36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0" spans="1:19" x14ac:dyDescent="0.25">
      <c r="A3700" s="1" t="s">
        <v>4818</v>
      </c>
      <c r="B3700" s="2">
        <v>45648</v>
      </c>
      <c r="C3700" s="1" t="s">
        <v>73</v>
      </c>
      <c r="D3700" s="1" t="s">
        <v>49</v>
      </c>
      <c r="E3700" s="1" t="s">
        <v>199</v>
      </c>
      <c r="F3700" s="1" t="s">
        <v>30</v>
      </c>
      <c r="G3700" s="1" t="s">
        <v>78</v>
      </c>
      <c r="H3700" s="1" t="s">
        <v>126</v>
      </c>
      <c r="I3700" s="1">
        <v>311.27999999999997</v>
      </c>
      <c r="J3700" s="1">
        <v>10</v>
      </c>
      <c r="K3700" s="1">
        <v>3112.8</v>
      </c>
      <c r="L3700" s="1">
        <v>20</v>
      </c>
      <c r="M3700" s="1">
        <v>622.55999999999995</v>
      </c>
      <c r="N3700" s="1">
        <v>2490.2399999999998</v>
      </c>
      <c r="O3700" s="1" t="s">
        <v>46</v>
      </c>
      <c r="P3700" s="1" t="s">
        <v>1559</v>
      </c>
      <c r="Q3700" s="1">
        <v>5</v>
      </c>
      <c r="R3700" s="1">
        <f>Retail_Sales_Analyis[[#This Row],[Final_Price]]-Retail_Sales_Analyis[[#This Row],[Total_Price]]</f>
        <v>-622.5600000000004</v>
      </c>
      <c r="S37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01" spans="1:19" x14ac:dyDescent="0.25">
      <c r="A3701" s="1" t="s">
        <v>4819</v>
      </c>
      <c r="B3701" s="2">
        <v>45467</v>
      </c>
      <c r="C3701" s="1" t="s">
        <v>173</v>
      </c>
      <c r="D3701" s="1" t="s">
        <v>43</v>
      </c>
      <c r="E3701" s="1" t="s">
        <v>186</v>
      </c>
      <c r="F3701" s="1" t="s">
        <v>21</v>
      </c>
      <c r="G3701" s="1" t="s">
        <v>85</v>
      </c>
      <c r="H3701" s="1" t="s">
        <v>98</v>
      </c>
      <c r="I3701" s="1">
        <v>4600.8999999999996</v>
      </c>
      <c r="J3701" s="1">
        <v>10</v>
      </c>
      <c r="K3701" s="1">
        <v>46009</v>
      </c>
      <c r="L3701" s="1">
        <v>0</v>
      </c>
      <c r="M3701" s="1">
        <v>0</v>
      </c>
      <c r="N3701" s="1">
        <v>46009</v>
      </c>
      <c r="O3701" s="1" t="s">
        <v>46</v>
      </c>
      <c r="P3701" s="1" t="s">
        <v>1230</v>
      </c>
      <c r="Q3701" s="1">
        <v>1</v>
      </c>
      <c r="R3701" s="1">
        <f>Retail_Sales_Analyis[[#This Row],[Final_Price]]-Retail_Sales_Analyis[[#This Row],[Total_Price]]</f>
        <v>0</v>
      </c>
      <c r="S37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2" spans="1:19" x14ac:dyDescent="0.25">
      <c r="A3702" s="1" t="s">
        <v>4820</v>
      </c>
      <c r="B3702" s="2">
        <v>45353</v>
      </c>
      <c r="C3702" s="1" t="s">
        <v>61</v>
      </c>
      <c r="D3702" s="1" t="s">
        <v>19</v>
      </c>
      <c r="E3702" s="1" t="s">
        <v>261</v>
      </c>
      <c r="F3702" s="1" t="s">
        <v>21</v>
      </c>
      <c r="G3702" s="1" t="s">
        <v>112</v>
      </c>
      <c r="H3702" s="1" t="s">
        <v>118</v>
      </c>
      <c r="I3702" s="1">
        <v>1418.5</v>
      </c>
      <c r="J3702" s="1">
        <v>6</v>
      </c>
      <c r="K3702" s="1">
        <v>8511</v>
      </c>
      <c r="L3702" s="1">
        <v>0</v>
      </c>
      <c r="M3702" s="1">
        <v>0</v>
      </c>
      <c r="N3702" s="1">
        <v>8511</v>
      </c>
      <c r="O3702" s="1" t="s">
        <v>24</v>
      </c>
      <c r="P3702" s="1" t="s">
        <v>1477</v>
      </c>
      <c r="Q3702" s="1">
        <v>5</v>
      </c>
      <c r="R3702" s="1">
        <f>Retail_Sales_Analyis[[#This Row],[Final_Price]]-Retail_Sales_Analyis[[#This Row],[Total_Price]]</f>
        <v>0</v>
      </c>
      <c r="S37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3" spans="1:19" x14ac:dyDescent="0.25">
      <c r="A3703" s="1" t="s">
        <v>4821</v>
      </c>
      <c r="B3703" s="2">
        <v>45508</v>
      </c>
      <c r="C3703" s="1" t="s">
        <v>93</v>
      </c>
      <c r="D3703" s="1" t="s">
        <v>49</v>
      </c>
      <c r="E3703" s="1" t="s">
        <v>44</v>
      </c>
      <c r="F3703" s="1" t="s">
        <v>30</v>
      </c>
      <c r="G3703" s="1" t="s">
        <v>78</v>
      </c>
      <c r="H3703" s="1" t="s">
        <v>79</v>
      </c>
      <c r="I3703" s="1">
        <v>564.32000000000005</v>
      </c>
      <c r="J3703" s="1">
        <v>2</v>
      </c>
      <c r="K3703" s="1">
        <v>1128.6400000000001</v>
      </c>
      <c r="L3703" s="1">
        <v>0</v>
      </c>
      <c r="M3703" s="1">
        <v>0</v>
      </c>
      <c r="N3703" s="1">
        <v>1128.6400000000001</v>
      </c>
      <c r="O3703" s="1" t="s">
        <v>80</v>
      </c>
      <c r="P3703" s="1" t="s">
        <v>1798</v>
      </c>
      <c r="Q3703" s="1">
        <v>4</v>
      </c>
      <c r="R3703" s="1">
        <f>Retail_Sales_Analyis[[#This Row],[Final_Price]]-Retail_Sales_Analyis[[#This Row],[Total_Price]]</f>
        <v>0</v>
      </c>
      <c r="S37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4" spans="1:19" x14ac:dyDescent="0.25">
      <c r="A3704" s="1" t="s">
        <v>4822</v>
      </c>
      <c r="B3704" s="2">
        <v>45647</v>
      </c>
      <c r="C3704" s="1" t="s">
        <v>73</v>
      </c>
      <c r="D3704" s="1" t="s">
        <v>19</v>
      </c>
      <c r="E3704" s="1" t="s">
        <v>204</v>
      </c>
      <c r="F3704" s="1" t="s">
        <v>84</v>
      </c>
      <c r="G3704" s="1" t="s">
        <v>169</v>
      </c>
      <c r="H3704" s="1" t="s">
        <v>366</v>
      </c>
      <c r="I3704" s="1">
        <v>1472.79</v>
      </c>
      <c r="J3704" s="1">
        <v>7</v>
      </c>
      <c r="K3704" s="1">
        <v>10309.530000000001</v>
      </c>
      <c r="L3704" s="1">
        <v>0</v>
      </c>
      <c r="M3704" s="1">
        <v>0</v>
      </c>
      <c r="N3704" s="1">
        <v>10309.530000000001</v>
      </c>
      <c r="O3704" s="1" t="s">
        <v>33</v>
      </c>
      <c r="P3704" s="1" t="s">
        <v>1547</v>
      </c>
      <c r="Q3704" s="1">
        <v>3</v>
      </c>
      <c r="R3704" s="1">
        <f>Retail_Sales_Analyis[[#This Row],[Final_Price]]-Retail_Sales_Analyis[[#This Row],[Total_Price]]</f>
        <v>0</v>
      </c>
      <c r="S37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5" spans="1:19" x14ac:dyDescent="0.25">
      <c r="A3705" s="1" t="s">
        <v>4823</v>
      </c>
      <c r="B3705" s="2">
        <v>45359</v>
      </c>
      <c r="C3705" s="1" t="s">
        <v>61</v>
      </c>
      <c r="D3705" s="1" t="s">
        <v>144</v>
      </c>
      <c r="E3705" s="1" t="s">
        <v>107</v>
      </c>
      <c r="F3705" s="1" t="s">
        <v>21</v>
      </c>
      <c r="G3705" s="1" t="s">
        <v>78</v>
      </c>
      <c r="H3705" s="1" t="s">
        <v>79</v>
      </c>
      <c r="I3705" s="1">
        <v>263.31</v>
      </c>
      <c r="J3705" s="1">
        <v>8</v>
      </c>
      <c r="K3705" s="1">
        <v>2106.48</v>
      </c>
      <c r="L3705" s="1">
        <v>0</v>
      </c>
      <c r="M3705" s="1">
        <v>0</v>
      </c>
      <c r="N3705" s="1">
        <v>2106.48</v>
      </c>
      <c r="O3705" s="1" t="s">
        <v>33</v>
      </c>
      <c r="P3705" s="1" t="s">
        <v>1142</v>
      </c>
      <c r="Q3705" s="1">
        <v>2</v>
      </c>
      <c r="R3705" s="1">
        <f>Retail_Sales_Analyis[[#This Row],[Final_Price]]-Retail_Sales_Analyis[[#This Row],[Total_Price]]</f>
        <v>0</v>
      </c>
      <c r="S37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6" spans="1:19" x14ac:dyDescent="0.25">
      <c r="A3706" s="1" t="s">
        <v>4824</v>
      </c>
      <c r="B3706" s="2">
        <v>45536</v>
      </c>
      <c r="C3706" s="1" t="s">
        <v>116</v>
      </c>
      <c r="D3706" s="1" t="s">
        <v>49</v>
      </c>
      <c r="E3706" s="1" t="s">
        <v>342</v>
      </c>
      <c r="F3706" s="1" t="s">
        <v>21</v>
      </c>
      <c r="G3706" s="1" t="s">
        <v>85</v>
      </c>
      <c r="H3706" s="1" t="s">
        <v>86</v>
      </c>
      <c r="I3706" s="1">
        <v>4464.6899999999996</v>
      </c>
      <c r="J3706" s="1">
        <v>8</v>
      </c>
      <c r="K3706" s="1">
        <v>35717.519999999997</v>
      </c>
      <c r="L3706" s="1">
        <v>20</v>
      </c>
      <c r="M3706" s="1">
        <v>7143.5</v>
      </c>
      <c r="N3706" s="1">
        <v>28574.02</v>
      </c>
      <c r="O3706" s="1" t="s">
        <v>80</v>
      </c>
      <c r="P3706" s="1" t="s">
        <v>1008</v>
      </c>
      <c r="Q3706" s="1">
        <v>4</v>
      </c>
      <c r="R3706" s="1">
        <f>Retail_Sales_Analyis[[#This Row],[Final_Price]]-Retail_Sales_Analyis[[#This Row],[Total_Price]]</f>
        <v>-7143.4999999999964</v>
      </c>
      <c r="S37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07" spans="1:19" x14ac:dyDescent="0.25">
      <c r="A3707" s="1" t="s">
        <v>4825</v>
      </c>
      <c r="B3707" s="2">
        <v>45328</v>
      </c>
      <c r="C3707" s="1" t="s">
        <v>27</v>
      </c>
      <c r="D3707" s="1" t="s">
        <v>28</v>
      </c>
      <c r="E3707" s="1" t="s">
        <v>239</v>
      </c>
      <c r="F3707" s="1" t="s">
        <v>69</v>
      </c>
      <c r="G3707" s="1" t="s">
        <v>85</v>
      </c>
      <c r="H3707" s="1" t="s">
        <v>98</v>
      </c>
      <c r="I3707" s="1">
        <v>3533.2</v>
      </c>
      <c r="J3707" s="1">
        <v>9</v>
      </c>
      <c r="K3707" s="1">
        <v>31798.799999999999</v>
      </c>
      <c r="L3707" s="1">
        <v>0</v>
      </c>
      <c r="M3707" s="1">
        <v>0</v>
      </c>
      <c r="N3707" s="1">
        <v>31798.799999999999</v>
      </c>
      <c r="O3707" s="1" t="s">
        <v>64</v>
      </c>
      <c r="P3707" s="1" t="s">
        <v>2636</v>
      </c>
      <c r="Q3707" s="1">
        <v>5</v>
      </c>
      <c r="R3707" s="1">
        <f>Retail_Sales_Analyis[[#This Row],[Final_Price]]-Retail_Sales_Analyis[[#This Row],[Total_Price]]</f>
        <v>0</v>
      </c>
      <c r="S37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08" spans="1:19" x14ac:dyDescent="0.25">
      <c r="A3708" s="1" t="s">
        <v>4826</v>
      </c>
      <c r="B3708" s="2">
        <v>45409</v>
      </c>
      <c r="C3708" s="1" t="s">
        <v>54</v>
      </c>
      <c r="D3708" s="1" t="s">
        <v>19</v>
      </c>
      <c r="E3708" s="1" t="s">
        <v>68</v>
      </c>
      <c r="F3708" s="1" t="s">
        <v>37</v>
      </c>
      <c r="G3708" s="1" t="s">
        <v>57</v>
      </c>
      <c r="H3708" s="1" t="s">
        <v>158</v>
      </c>
      <c r="I3708" s="1">
        <v>2844.7</v>
      </c>
      <c r="J3708" s="1">
        <v>5</v>
      </c>
      <c r="K3708" s="1">
        <v>14223.5</v>
      </c>
      <c r="L3708" s="1">
        <v>15</v>
      </c>
      <c r="M3708" s="1">
        <v>2133.5300000000002</v>
      </c>
      <c r="N3708" s="1">
        <v>12089.97</v>
      </c>
      <c r="O3708" s="1" t="s">
        <v>33</v>
      </c>
      <c r="P3708" s="1" t="s">
        <v>1138</v>
      </c>
      <c r="Q3708" s="1">
        <v>3</v>
      </c>
      <c r="R3708" s="1">
        <f>Retail_Sales_Analyis[[#This Row],[Final_Price]]-Retail_Sales_Analyis[[#This Row],[Total_Price]]</f>
        <v>-2133.5300000000007</v>
      </c>
      <c r="S37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09" spans="1:19" x14ac:dyDescent="0.25">
      <c r="A3709" s="1" t="s">
        <v>4827</v>
      </c>
      <c r="B3709" s="2">
        <v>45488</v>
      </c>
      <c r="C3709" s="1" t="s">
        <v>195</v>
      </c>
      <c r="D3709" s="1" t="s">
        <v>43</v>
      </c>
      <c r="E3709" s="1" t="s">
        <v>145</v>
      </c>
      <c r="F3709" s="1" t="s">
        <v>37</v>
      </c>
      <c r="G3709" s="1" t="s">
        <v>85</v>
      </c>
      <c r="H3709" s="1" t="s">
        <v>86</v>
      </c>
      <c r="I3709" s="1">
        <v>3996.82</v>
      </c>
      <c r="J3709" s="1">
        <v>10</v>
      </c>
      <c r="K3709" s="1">
        <v>39968.199999999997</v>
      </c>
      <c r="L3709" s="1">
        <v>5</v>
      </c>
      <c r="M3709" s="1">
        <v>1998.41</v>
      </c>
      <c r="N3709" s="1">
        <v>37969.79</v>
      </c>
      <c r="O3709" s="1" t="s">
        <v>64</v>
      </c>
      <c r="P3709" s="1" t="s">
        <v>1280</v>
      </c>
      <c r="Q3709" s="1">
        <v>4</v>
      </c>
      <c r="R3709" s="1">
        <f>Retail_Sales_Analyis[[#This Row],[Final_Price]]-Retail_Sales_Analyis[[#This Row],[Total_Price]]</f>
        <v>-1998.4099999999962</v>
      </c>
      <c r="S37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10" spans="1:19" x14ac:dyDescent="0.25">
      <c r="A3710" s="1" t="s">
        <v>4828</v>
      </c>
      <c r="B3710" s="2">
        <v>45337</v>
      </c>
      <c r="C3710" s="1" t="s">
        <v>27</v>
      </c>
      <c r="D3710" s="1" t="s">
        <v>67</v>
      </c>
      <c r="E3710" s="1" t="s">
        <v>141</v>
      </c>
      <c r="F3710" s="1" t="s">
        <v>84</v>
      </c>
      <c r="G3710" s="1" t="s">
        <v>38</v>
      </c>
      <c r="H3710" s="1" t="s">
        <v>70</v>
      </c>
      <c r="I3710" s="1">
        <v>688.88</v>
      </c>
      <c r="J3710" s="1">
        <v>4</v>
      </c>
      <c r="K3710" s="1">
        <v>2755.52</v>
      </c>
      <c r="L3710" s="1">
        <v>0</v>
      </c>
      <c r="M3710" s="1">
        <v>0</v>
      </c>
      <c r="N3710" s="1">
        <v>2755.52</v>
      </c>
      <c r="O3710" s="1" t="s">
        <v>24</v>
      </c>
      <c r="P3710" s="1" t="s">
        <v>3286</v>
      </c>
      <c r="Q3710" s="1">
        <v>1</v>
      </c>
      <c r="R3710" s="1">
        <f>Retail_Sales_Analyis[[#This Row],[Final_Price]]-Retail_Sales_Analyis[[#This Row],[Total_Price]]</f>
        <v>0</v>
      </c>
      <c r="S37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1" spans="1:19" x14ac:dyDescent="0.25">
      <c r="A3711" s="1" t="s">
        <v>4829</v>
      </c>
      <c r="B3711" s="2">
        <v>45344</v>
      </c>
      <c r="C3711" s="1" t="s">
        <v>27</v>
      </c>
      <c r="D3711" s="1" t="s">
        <v>67</v>
      </c>
      <c r="E3711" s="1" t="s">
        <v>151</v>
      </c>
      <c r="F3711" s="1" t="s">
        <v>37</v>
      </c>
      <c r="G3711" s="1" t="s">
        <v>85</v>
      </c>
      <c r="H3711" s="1" t="s">
        <v>98</v>
      </c>
      <c r="I3711" s="1">
        <v>1215.3499999999999</v>
      </c>
      <c r="J3711" s="1">
        <v>7</v>
      </c>
      <c r="K3711" s="1">
        <v>8507.4500000000007</v>
      </c>
      <c r="L3711" s="1">
        <v>15</v>
      </c>
      <c r="M3711" s="1">
        <v>1276.1199999999999</v>
      </c>
      <c r="N3711" s="1">
        <v>7231.33</v>
      </c>
      <c r="O3711" s="1" t="s">
        <v>46</v>
      </c>
      <c r="P3711" s="1" t="s">
        <v>2110</v>
      </c>
      <c r="Q3711" s="1">
        <v>5</v>
      </c>
      <c r="R3711" s="1">
        <f>Retail_Sales_Analyis[[#This Row],[Final_Price]]-Retail_Sales_Analyis[[#This Row],[Total_Price]]</f>
        <v>-1276.1200000000008</v>
      </c>
      <c r="S37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12" spans="1:19" x14ac:dyDescent="0.25">
      <c r="A3712" s="1" t="s">
        <v>4830</v>
      </c>
      <c r="B3712" s="2">
        <v>45344</v>
      </c>
      <c r="C3712" s="1" t="s">
        <v>27</v>
      </c>
      <c r="D3712" s="1" t="s">
        <v>67</v>
      </c>
      <c r="E3712" s="1" t="s">
        <v>163</v>
      </c>
      <c r="F3712" s="1" t="s">
        <v>30</v>
      </c>
      <c r="G3712" s="1" t="s">
        <v>57</v>
      </c>
      <c r="H3712" s="1" t="s">
        <v>122</v>
      </c>
      <c r="I3712" s="1">
        <v>467.47</v>
      </c>
      <c r="J3712" s="1">
        <v>1</v>
      </c>
      <c r="K3712" s="1">
        <v>467.47</v>
      </c>
      <c r="L3712" s="1">
        <v>0</v>
      </c>
      <c r="M3712" s="1">
        <v>0</v>
      </c>
      <c r="N3712" s="1">
        <v>467.47</v>
      </c>
      <c r="O3712" s="1" t="s">
        <v>33</v>
      </c>
      <c r="P3712" s="1" t="s">
        <v>1052</v>
      </c>
      <c r="Q3712" s="1">
        <v>3</v>
      </c>
      <c r="R3712" s="1">
        <f>Retail_Sales_Analyis[[#This Row],[Final_Price]]-Retail_Sales_Analyis[[#This Row],[Total_Price]]</f>
        <v>0</v>
      </c>
      <c r="S37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3" spans="1:19" x14ac:dyDescent="0.25">
      <c r="A3713" s="1" t="s">
        <v>4831</v>
      </c>
      <c r="B3713" s="2">
        <v>45452</v>
      </c>
      <c r="C3713" s="1" t="s">
        <v>173</v>
      </c>
      <c r="D3713" s="1" t="s">
        <v>49</v>
      </c>
      <c r="E3713" s="1" t="s">
        <v>351</v>
      </c>
      <c r="F3713" s="1" t="s">
        <v>37</v>
      </c>
      <c r="G3713" s="1" t="s">
        <v>169</v>
      </c>
      <c r="H3713" s="1" t="s">
        <v>208</v>
      </c>
      <c r="I3713" s="1">
        <v>1401.23</v>
      </c>
      <c r="J3713" s="1">
        <v>3</v>
      </c>
      <c r="K3713" s="1">
        <v>4203.6899999999996</v>
      </c>
      <c r="L3713" s="1">
        <v>0</v>
      </c>
      <c r="M3713" s="1">
        <v>0</v>
      </c>
      <c r="N3713" s="1">
        <v>4203.6899999999996</v>
      </c>
      <c r="O3713" s="1" t="s">
        <v>80</v>
      </c>
      <c r="P3713" s="1" t="s">
        <v>1617</v>
      </c>
      <c r="Q3713" s="1">
        <v>2</v>
      </c>
      <c r="R3713" s="1">
        <f>Retail_Sales_Analyis[[#This Row],[Final_Price]]-Retail_Sales_Analyis[[#This Row],[Total_Price]]</f>
        <v>0</v>
      </c>
      <c r="S37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4" spans="1:19" x14ac:dyDescent="0.25">
      <c r="A3714" s="1" t="s">
        <v>4832</v>
      </c>
      <c r="B3714" s="2">
        <v>45480</v>
      </c>
      <c r="C3714" s="1" t="s">
        <v>195</v>
      </c>
      <c r="D3714" s="1" t="s">
        <v>49</v>
      </c>
      <c r="E3714" s="1" t="s">
        <v>151</v>
      </c>
      <c r="F3714" s="1" t="s">
        <v>69</v>
      </c>
      <c r="G3714" s="1" t="s">
        <v>38</v>
      </c>
      <c r="H3714" s="1" t="s">
        <v>39</v>
      </c>
      <c r="I3714" s="1">
        <v>480.78</v>
      </c>
      <c r="J3714" s="1">
        <v>8</v>
      </c>
      <c r="K3714" s="1">
        <v>3846.24</v>
      </c>
      <c r="L3714" s="1">
        <v>0</v>
      </c>
      <c r="M3714" s="1">
        <v>0</v>
      </c>
      <c r="N3714" s="1">
        <v>3846.24</v>
      </c>
      <c r="O3714" s="1" t="s">
        <v>64</v>
      </c>
      <c r="P3714" s="1" t="s">
        <v>2636</v>
      </c>
      <c r="Q3714" s="1">
        <v>5</v>
      </c>
      <c r="R3714" s="1">
        <f>Retail_Sales_Analyis[[#This Row],[Final_Price]]-Retail_Sales_Analyis[[#This Row],[Total_Price]]</f>
        <v>0</v>
      </c>
      <c r="S37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5" spans="1:19" x14ac:dyDescent="0.25">
      <c r="A3715" s="1" t="s">
        <v>4833</v>
      </c>
      <c r="B3715" s="2">
        <v>45445</v>
      </c>
      <c r="C3715" s="1" t="s">
        <v>173</v>
      </c>
      <c r="D3715" s="1" t="s">
        <v>49</v>
      </c>
      <c r="E3715" s="1" t="s">
        <v>174</v>
      </c>
      <c r="F3715" s="1" t="s">
        <v>37</v>
      </c>
      <c r="G3715" s="1" t="s">
        <v>22</v>
      </c>
      <c r="H3715" s="1" t="s">
        <v>187</v>
      </c>
      <c r="I3715" s="1">
        <v>576.47</v>
      </c>
      <c r="J3715" s="1">
        <v>8</v>
      </c>
      <c r="K3715" s="1">
        <v>4611.76</v>
      </c>
      <c r="L3715" s="1">
        <v>15</v>
      </c>
      <c r="M3715" s="1">
        <v>691.76</v>
      </c>
      <c r="N3715" s="1">
        <v>3920</v>
      </c>
      <c r="O3715" s="1" t="s">
        <v>64</v>
      </c>
      <c r="P3715" s="1" t="s">
        <v>2715</v>
      </c>
      <c r="Q3715" s="1">
        <v>2</v>
      </c>
      <c r="R3715" s="1">
        <f>Retail_Sales_Analyis[[#This Row],[Final_Price]]-Retail_Sales_Analyis[[#This Row],[Total_Price]]</f>
        <v>-691.76000000000022</v>
      </c>
      <c r="S371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16" spans="1:19" x14ac:dyDescent="0.25">
      <c r="A3716" s="1" t="s">
        <v>4834</v>
      </c>
      <c r="B3716" s="2">
        <v>45362</v>
      </c>
      <c r="C3716" s="1" t="s">
        <v>61</v>
      </c>
      <c r="D3716" s="1" t="s">
        <v>43</v>
      </c>
      <c r="E3716" s="1" t="s">
        <v>20</v>
      </c>
      <c r="F3716" s="1" t="s">
        <v>30</v>
      </c>
      <c r="G3716" s="1" t="s">
        <v>31</v>
      </c>
      <c r="H3716" s="1" t="s">
        <v>329</v>
      </c>
      <c r="I3716" s="1">
        <v>144.33000000000001</v>
      </c>
      <c r="J3716" s="1">
        <v>3</v>
      </c>
      <c r="K3716" s="1">
        <v>432.99</v>
      </c>
      <c r="L3716" s="1">
        <v>0</v>
      </c>
      <c r="M3716" s="1">
        <v>0</v>
      </c>
      <c r="N3716" s="1">
        <v>432.99</v>
      </c>
      <c r="O3716" s="1" t="s">
        <v>46</v>
      </c>
      <c r="P3716" s="1" t="s">
        <v>3689</v>
      </c>
      <c r="Q3716" s="1">
        <v>2</v>
      </c>
      <c r="R3716" s="1">
        <f>Retail_Sales_Analyis[[#This Row],[Final_Price]]-Retail_Sales_Analyis[[#This Row],[Total_Price]]</f>
        <v>0</v>
      </c>
      <c r="S37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7" spans="1:19" x14ac:dyDescent="0.25">
      <c r="A3717" s="1" t="s">
        <v>4835</v>
      </c>
      <c r="B3717" s="2">
        <v>45487</v>
      </c>
      <c r="C3717" s="1" t="s">
        <v>195</v>
      </c>
      <c r="D3717" s="1" t="s">
        <v>49</v>
      </c>
      <c r="E3717" s="1" t="s">
        <v>542</v>
      </c>
      <c r="F3717" s="1" t="s">
        <v>37</v>
      </c>
      <c r="G3717" s="1" t="s">
        <v>31</v>
      </c>
      <c r="H3717" s="1" t="s">
        <v>63</v>
      </c>
      <c r="I3717" s="1">
        <v>145.87</v>
      </c>
      <c r="J3717" s="1">
        <v>4</v>
      </c>
      <c r="K3717" s="1">
        <v>583.48</v>
      </c>
      <c r="L3717" s="1">
        <v>0</v>
      </c>
      <c r="M3717" s="1">
        <v>0</v>
      </c>
      <c r="N3717" s="1">
        <v>583.48</v>
      </c>
      <c r="O3717" s="1" t="s">
        <v>46</v>
      </c>
      <c r="P3717" s="1" t="s">
        <v>669</v>
      </c>
      <c r="Q3717" s="1">
        <v>2</v>
      </c>
      <c r="R3717" s="1">
        <f>Retail_Sales_Analyis[[#This Row],[Final_Price]]-Retail_Sales_Analyis[[#This Row],[Total_Price]]</f>
        <v>0</v>
      </c>
      <c r="S37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8" spans="1:19" x14ac:dyDescent="0.25">
      <c r="A3718" s="1" t="s">
        <v>4836</v>
      </c>
      <c r="B3718" s="2">
        <v>45360</v>
      </c>
      <c r="C3718" s="1" t="s">
        <v>61</v>
      </c>
      <c r="D3718" s="1" t="s">
        <v>19</v>
      </c>
      <c r="E3718" s="1" t="s">
        <v>192</v>
      </c>
      <c r="F3718" s="1" t="s">
        <v>37</v>
      </c>
      <c r="G3718" s="1" t="s">
        <v>78</v>
      </c>
      <c r="H3718" s="1" t="s">
        <v>79</v>
      </c>
      <c r="I3718" s="1">
        <v>541.85</v>
      </c>
      <c r="J3718" s="1">
        <v>1</v>
      </c>
      <c r="K3718" s="1">
        <v>541.85</v>
      </c>
      <c r="L3718" s="1">
        <v>0</v>
      </c>
      <c r="M3718" s="1">
        <v>0</v>
      </c>
      <c r="N3718" s="1">
        <v>541.85</v>
      </c>
      <c r="O3718" s="1" t="s">
        <v>33</v>
      </c>
      <c r="P3718" s="1" t="s">
        <v>3349</v>
      </c>
      <c r="Q3718" s="1">
        <v>1</v>
      </c>
      <c r="R3718" s="1">
        <f>Retail_Sales_Analyis[[#This Row],[Final_Price]]-Retail_Sales_Analyis[[#This Row],[Total_Price]]</f>
        <v>0</v>
      </c>
      <c r="S37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19" spans="1:19" x14ac:dyDescent="0.25">
      <c r="A3719" s="1" t="s">
        <v>4837</v>
      </c>
      <c r="B3719" s="2">
        <v>45620</v>
      </c>
      <c r="C3719" s="1" t="s">
        <v>18</v>
      </c>
      <c r="D3719" s="1" t="s">
        <v>49</v>
      </c>
      <c r="E3719" s="1" t="s">
        <v>117</v>
      </c>
      <c r="F3719" s="1" t="s">
        <v>69</v>
      </c>
      <c r="G3719" s="1" t="s">
        <v>38</v>
      </c>
      <c r="H3719" s="1" t="s">
        <v>39</v>
      </c>
      <c r="I3719" s="1">
        <v>239.49</v>
      </c>
      <c r="J3719" s="1">
        <v>4</v>
      </c>
      <c r="K3719" s="1">
        <v>957.96</v>
      </c>
      <c r="L3719" s="1">
        <v>0</v>
      </c>
      <c r="M3719" s="1">
        <v>0</v>
      </c>
      <c r="N3719" s="1">
        <v>957.96</v>
      </c>
      <c r="O3719" s="1" t="s">
        <v>46</v>
      </c>
      <c r="P3719" s="1" t="s">
        <v>2745</v>
      </c>
      <c r="Q3719" s="1">
        <v>3</v>
      </c>
      <c r="R3719" s="1">
        <f>Retail_Sales_Analyis[[#This Row],[Final_Price]]-Retail_Sales_Analyis[[#This Row],[Total_Price]]</f>
        <v>0</v>
      </c>
      <c r="S37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20" spans="1:19" x14ac:dyDescent="0.25">
      <c r="A3720" s="1" t="s">
        <v>4838</v>
      </c>
      <c r="B3720" s="2">
        <v>45638</v>
      </c>
      <c r="C3720" s="1" t="s">
        <v>73</v>
      </c>
      <c r="D3720" s="1" t="s">
        <v>67</v>
      </c>
      <c r="E3720" s="1" t="s">
        <v>285</v>
      </c>
      <c r="F3720" s="1" t="s">
        <v>21</v>
      </c>
      <c r="G3720" s="1" t="s">
        <v>38</v>
      </c>
      <c r="H3720" s="1" t="s">
        <v>214</v>
      </c>
      <c r="I3720" s="1">
        <v>133.13</v>
      </c>
      <c r="J3720" s="1">
        <v>8</v>
      </c>
      <c r="K3720" s="1">
        <v>1065.04</v>
      </c>
      <c r="L3720" s="1">
        <v>20</v>
      </c>
      <c r="M3720" s="1">
        <v>213.01</v>
      </c>
      <c r="N3720" s="1">
        <v>852.03</v>
      </c>
      <c r="O3720" s="1" t="s">
        <v>64</v>
      </c>
      <c r="P3720" s="1" t="s">
        <v>4839</v>
      </c>
      <c r="Q3720" s="1">
        <v>2</v>
      </c>
      <c r="R3720" s="1">
        <f>Retail_Sales_Analyis[[#This Row],[Final_Price]]-Retail_Sales_Analyis[[#This Row],[Total_Price]]</f>
        <v>-213.01</v>
      </c>
      <c r="S372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21" spans="1:19" x14ac:dyDescent="0.25">
      <c r="A3721" s="1" t="s">
        <v>4840</v>
      </c>
      <c r="B3721" s="2">
        <v>45365</v>
      </c>
      <c r="C3721" s="1" t="s">
        <v>61</v>
      </c>
      <c r="D3721" s="1" t="s">
        <v>67</v>
      </c>
      <c r="E3721" s="1" t="s">
        <v>121</v>
      </c>
      <c r="F3721" s="1" t="s">
        <v>37</v>
      </c>
      <c r="G3721" s="1" t="s">
        <v>78</v>
      </c>
      <c r="H3721" s="1" t="s">
        <v>136</v>
      </c>
      <c r="I3721" s="1">
        <v>489.76</v>
      </c>
      <c r="J3721" s="1">
        <v>8</v>
      </c>
      <c r="K3721" s="1">
        <v>3918.08</v>
      </c>
      <c r="L3721" s="1">
        <v>0</v>
      </c>
      <c r="M3721" s="1">
        <v>0</v>
      </c>
      <c r="N3721" s="1">
        <v>3918.08</v>
      </c>
      <c r="O3721" s="1" t="s">
        <v>24</v>
      </c>
      <c r="P3721" s="1" t="s">
        <v>332</v>
      </c>
      <c r="Q3721" s="1">
        <v>4</v>
      </c>
      <c r="R3721" s="1">
        <f>Retail_Sales_Analyis[[#This Row],[Final_Price]]-Retail_Sales_Analyis[[#This Row],[Total_Price]]</f>
        <v>0</v>
      </c>
      <c r="S37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22" spans="1:19" x14ac:dyDescent="0.25">
      <c r="A3722" s="1" t="s">
        <v>4841</v>
      </c>
      <c r="B3722" s="2">
        <v>45327</v>
      </c>
      <c r="C3722" s="1" t="s">
        <v>27</v>
      </c>
      <c r="D3722" s="1" t="s">
        <v>43</v>
      </c>
      <c r="E3722" s="1" t="s">
        <v>117</v>
      </c>
      <c r="F3722" s="1" t="s">
        <v>69</v>
      </c>
      <c r="G3722" s="1" t="s">
        <v>31</v>
      </c>
      <c r="H3722" s="1" t="s">
        <v>45</v>
      </c>
      <c r="I3722" s="1">
        <v>457.8</v>
      </c>
      <c r="J3722" s="1">
        <v>8</v>
      </c>
      <c r="K3722" s="1">
        <v>3662.4</v>
      </c>
      <c r="L3722" s="1">
        <v>5</v>
      </c>
      <c r="M3722" s="1">
        <v>183.12</v>
      </c>
      <c r="N3722" s="1">
        <v>3479.28</v>
      </c>
      <c r="O3722" s="1" t="s">
        <v>33</v>
      </c>
      <c r="P3722" s="1" t="s">
        <v>1931</v>
      </c>
      <c r="Q3722" s="1">
        <v>4</v>
      </c>
      <c r="R3722" s="1">
        <f>Retail_Sales_Analyis[[#This Row],[Final_Price]]-Retail_Sales_Analyis[[#This Row],[Total_Price]]</f>
        <v>-183.11999999999989</v>
      </c>
      <c r="S372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23" spans="1:19" x14ac:dyDescent="0.25">
      <c r="A3723" s="1" t="s">
        <v>4842</v>
      </c>
      <c r="B3723" s="2">
        <v>45563</v>
      </c>
      <c r="C3723" s="1" t="s">
        <v>116</v>
      </c>
      <c r="D3723" s="1" t="s">
        <v>19</v>
      </c>
      <c r="E3723" s="1" t="s">
        <v>145</v>
      </c>
      <c r="F3723" s="1" t="s">
        <v>84</v>
      </c>
      <c r="G3723" s="1" t="s">
        <v>78</v>
      </c>
      <c r="H3723" s="1" t="s">
        <v>79</v>
      </c>
      <c r="I3723" s="1">
        <v>247.98</v>
      </c>
      <c r="J3723" s="1">
        <v>8</v>
      </c>
      <c r="K3723" s="1">
        <v>1983.84</v>
      </c>
      <c r="L3723" s="1">
        <v>5</v>
      </c>
      <c r="M3723" s="1">
        <v>99.19</v>
      </c>
      <c r="N3723" s="1">
        <v>1884.65</v>
      </c>
      <c r="O3723" s="1" t="s">
        <v>24</v>
      </c>
      <c r="P3723" s="1" t="s">
        <v>2934</v>
      </c>
      <c r="Q3723" s="1">
        <v>2</v>
      </c>
      <c r="R3723" s="1">
        <f>Retail_Sales_Analyis[[#This Row],[Final_Price]]-Retail_Sales_Analyis[[#This Row],[Total_Price]]</f>
        <v>-99.189999999999827</v>
      </c>
      <c r="S37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24" spans="1:19" x14ac:dyDescent="0.25">
      <c r="A3724" s="1" t="s">
        <v>4843</v>
      </c>
      <c r="B3724" s="2">
        <v>45580</v>
      </c>
      <c r="C3724" s="1" t="s">
        <v>76</v>
      </c>
      <c r="D3724" s="1" t="s">
        <v>28</v>
      </c>
      <c r="E3724" s="1" t="s">
        <v>342</v>
      </c>
      <c r="F3724" s="1" t="s">
        <v>30</v>
      </c>
      <c r="G3724" s="1" t="s">
        <v>169</v>
      </c>
      <c r="H3724" s="1" t="s">
        <v>170</v>
      </c>
      <c r="I3724" s="1">
        <v>1465.15</v>
      </c>
      <c r="J3724" s="1">
        <v>4</v>
      </c>
      <c r="K3724" s="1">
        <v>5860.6</v>
      </c>
      <c r="L3724" s="1">
        <v>10</v>
      </c>
      <c r="M3724" s="1">
        <v>586.05999999999995</v>
      </c>
      <c r="N3724" s="1">
        <v>5274.54</v>
      </c>
      <c r="O3724" s="1" t="s">
        <v>33</v>
      </c>
      <c r="P3724" s="1" t="s">
        <v>830</v>
      </c>
      <c r="Q3724" s="1">
        <v>2</v>
      </c>
      <c r="R3724" s="1">
        <f>Retail_Sales_Analyis[[#This Row],[Final_Price]]-Retail_Sales_Analyis[[#This Row],[Total_Price]]</f>
        <v>-586.0600000000004</v>
      </c>
      <c r="S37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25" spans="1:19" x14ac:dyDescent="0.25">
      <c r="A3725" s="1" t="s">
        <v>4844</v>
      </c>
      <c r="B3725" s="2">
        <v>45296</v>
      </c>
      <c r="C3725" s="1" t="s">
        <v>36</v>
      </c>
      <c r="D3725" s="1" t="s">
        <v>144</v>
      </c>
      <c r="E3725" s="1" t="s">
        <v>166</v>
      </c>
      <c r="F3725" s="1" t="s">
        <v>30</v>
      </c>
      <c r="G3725" s="1" t="s">
        <v>31</v>
      </c>
      <c r="H3725" s="1" t="s">
        <v>250</v>
      </c>
      <c r="I3725" s="1">
        <v>67.48</v>
      </c>
      <c r="J3725" s="1">
        <v>6</v>
      </c>
      <c r="K3725" s="1">
        <v>404.88</v>
      </c>
      <c r="L3725" s="1">
        <v>0</v>
      </c>
      <c r="M3725" s="1">
        <v>0</v>
      </c>
      <c r="N3725" s="1">
        <v>404.88</v>
      </c>
      <c r="O3725" s="1" t="s">
        <v>80</v>
      </c>
      <c r="P3725" s="1" t="s">
        <v>4784</v>
      </c>
      <c r="Q3725" s="1">
        <v>3</v>
      </c>
      <c r="R3725" s="1">
        <f>Retail_Sales_Analyis[[#This Row],[Final_Price]]-Retail_Sales_Analyis[[#This Row],[Total_Price]]</f>
        <v>0</v>
      </c>
      <c r="S37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26" spans="1:19" x14ac:dyDescent="0.25">
      <c r="A3726" s="1" t="s">
        <v>4845</v>
      </c>
      <c r="B3726" s="2">
        <v>45604</v>
      </c>
      <c r="C3726" s="1" t="s">
        <v>18</v>
      </c>
      <c r="D3726" s="1" t="s">
        <v>144</v>
      </c>
      <c r="E3726" s="1" t="s">
        <v>199</v>
      </c>
      <c r="F3726" s="1" t="s">
        <v>37</v>
      </c>
      <c r="G3726" s="1" t="s">
        <v>22</v>
      </c>
      <c r="H3726" s="1" t="s">
        <v>187</v>
      </c>
      <c r="I3726" s="1">
        <v>846.79</v>
      </c>
      <c r="J3726" s="1">
        <v>2</v>
      </c>
      <c r="K3726" s="1">
        <v>1693.58</v>
      </c>
      <c r="L3726" s="1">
        <v>15</v>
      </c>
      <c r="M3726" s="1">
        <v>254.04</v>
      </c>
      <c r="N3726" s="1">
        <v>1439.54</v>
      </c>
      <c r="O3726" s="1" t="s">
        <v>33</v>
      </c>
      <c r="P3726" s="1" t="s">
        <v>995</v>
      </c>
      <c r="Q3726" s="1">
        <v>2</v>
      </c>
      <c r="R3726" s="1">
        <f>Retail_Sales_Analyis[[#This Row],[Final_Price]]-Retail_Sales_Analyis[[#This Row],[Total_Price]]</f>
        <v>-254.03999999999996</v>
      </c>
      <c r="S37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27" spans="1:19" x14ac:dyDescent="0.25">
      <c r="A3727" s="1" t="s">
        <v>4846</v>
      </c>
      <c r="B3727" s="2">
        <v>45624</v>
      </c>
      <c r="C3727" s="1" t="s">
        <v>18</v>
      </c>
      <c r="D3727" s="1" t="s">
        <v>67</v>
      </c>
      <c r="E3727" s="1" t="s">
        <v>204</v>
      </c>
      <c r="F3727" s="1" t="s">
        <v>37</v>
      </c>
      <c r="G3727" s="1" t="s">
        <v>112</v>
      </c>
      <c r="H3727" s="1" t="s">
        <v>288</v>
      </c>
      <c r="I3727" s="1">
        <v>1942.76</v>
      </c>
      <c r="J3727" s="1">
        <v>10</v>
      </c>
      <c r="K3727" s="1">
        <v>19427.599999999999</v>
      </c>
      <c r="L3727" s="1">
        <v>15</v>
      </c>
      <c r="M3727" s="1">
        <v>2914.14</v>
      </c>
      <c r="N3727" s="1">
        <v>16513.46</v>
      </c>
      <c r="O3727" s="1" t="s">
        <v>33</v>
      </c>
      <c r="P3727" s="1" t="s">
        <v>671</v>
      </c>
      <c r="Q3727" s="1">
        <v>3</v>
      </c>
      <c r="R3727" s="1">
        <f>Retail_Sales_Analyis[[#This Row],[Final_Price]]-Retail_Sales_Analyis[[#This Row],[Total_Price]]</f>
        <v>-2914.1399999999994</v>
      </c>
      <c r="S37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28" spans="1:19" x14ac:dyDescent="0.25">
      <c r="A3728" s="1" t="s">
        <v>4847</v>
      </c>
      <c r="B3728" s="2">
        <v>45376</v>
      </c>
      <c r="C3728" s="1" t="s">
        <v>61</v>
      </c>
      <c r="D3728" s="1" t="s">
        <v>43</v>
      </c>
      <c r="E3728" s="1" t="s">
        <v>186</v>
      </c>
      <c r="F3728" s="1" t="s">
        <v>84</v>
      </c>
      <c r="G3728" s="1" t="s">
        <v>169</v>
      </c>
      <c r="H3728" s="1" t="s">
        <v>175</v>
      </c>
      <c r="I3728" s="1">
        <v>1351.65</v>
      </c>
      <c r="J3728" s="1">
        <v>6</v>
      </c>
      <c r="K3728" s="1">
        <v>8109.9</v>
      </c>
      <c r="L3728" s="1">
        <v>10</v>
      </c>
      <c r="M3728" s="1">
        <v>810.99</v>
      </c>
      <c r="N3728" s="1">
        <v>7298.91</v>
      </c>
      <c r="O3728" s="1" t="s">
        <v>46</v>
      </c>
      <c r="P3728" s="1" t="s">
        <v>2454</v>
      </c>
      <c r="Q3728" s="1">
        <v>5</v>
      </c>
      <c r="R3728" s="1">
        <f>Retail_Sales_Analyis[[#This Row],[Final_Price]]-Retail_Sales_Analyis[[#This Row],[Total_Price]]</f>
        <v>-810.98999999999978</v>
      </c>
      <c r="S37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29" spans="1:19" x14ac:dyDescent="0.25">
      <c r="A3729" s="1" t="s">
        <v>4848</v>
      </c>
      <c r="B3729" s="2">
        <v>45517</v>
      </c>
      <c r="C3729" s="1" t="s">
        <v>93</v>
      </c>
      <c r="D3729" s="1" t="s">
        <v>28</v>
      </c>
      <c r="E3729" s="1" t="s">
        <v>351</v>
      </c>
      <c r="F3729" s="1" t="s">
        <v>84</v>
      </c>
      <c r="G3729" s="1" t="s">
        <v>78</v>
      </c>
      <c r="H3729" s="1" t="s">
        <v>146</v>
      </c>
      <c r="I3729" s="1">
        <v>447.75</v>
      </c>
      <c r="J3729" s="1">
        <v>3</v>
      </c>
      <c r="K3729" s="1">
        <v>1343.25</v>
      </c>
      <c r="L3729" s="1">
        <v>0</v>
      </c>
      <c r="M3729" s="1">
        <v>0</v>
      </c>
      <c r="N3729" s="1">
        <v>1343.25</v>
      </c>
      <c r="O3729" s="1" t="s">
        <v>46</v>
      </c>
      <c r="P3729" s="1" t="s">
        <v>898</v>
      </c>
      <c r="Q3729" s="1">
        <v>3</v>
      </c>
      <c r="R3729" s="1">
        <f>Retail_Sales_Analyis[[#This Row],[Final_Price]]-Retail_Sales_Analyis[[#This Row],[Total_Price]]</f>
        <v>0</v>
      </c>
      <c r="S37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30" spans="1:19" x14ac:dyDescent="0.25">
      <c r="A3730" s="1" t="s">
        <v>4849</v>
      </c>
      <c r="B3730" s="2">
        <v>45471</v>
      </c>
      <c r="C3730" s="1" t="s">
        <v>173</v>
      </c>
      <c r="D3730" s="1" t="s">
        <v>144</v>
      </c>
      <c r="E3730" s="1" t="s">
        <v>151</v>
      </c>
      <c r="F3730" s="1" t="s">
        <v>37</v>
      </c>
      <c r="G3730" s="1" t="s">
        <v>57</v>
      </c>
      <c r="H3730" s="1" t="s">
        <v>122</v>
      </c>
      <c r="I3730" s="1">
        <v>711.56</v>
      </c>
      <c r="J3730" s="1">
        <v>2</v>
      </c>
      <c r="K3730" s="1">
        <v>1423.12</v>
      </c>
      <c r="L3730" s="1">
        <v>15</v>
      </c>
      <c r="M3730" s="1">
        <v>213.47</v>
      </c>
      <c r="N3730" s="1">
        <v>1209.6500000000001</v>
      </c>
      <c r="O3730" s="1" t="s">
        <v>80</v>
      </c>
      <c r="P3730" s="1" t="s">
        <v>1273</v>
      </c>
      <c r="Q3730" s="1">
        <v>3</v>
      </c>
      <c r="R3730" s="1">
        <f>Retail_Sales_Analyis[[#This Row],[Final_Price]]-Retail_Sales_Analyis[[#This Row],[Total_Price]]</f>
        <v>-213.4699999999998</v>
      </c>
      <c r="S37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1" spans="1:19" x14ac:dyDescent="0.25">
      <c r="A3731" s="1" t="s">
        <v>4850</v>
      </c>
      <c r="B3731" s="2">
        <v>45401</v>
      </c>
      <c r="C3731" s="1" t="s">
        <v>54</v>
      </c>
      <c r="D3731" s="1" t="s">
        <v>144</v>
      </c>
      <c r="E3731" s="1" t="s">
        <v>111</v>
      </c>
      <c r="F3731" s="1" t="s">
        <v>69</v>
      </c>
      <c r="G3731" s="1" t="s">
        <v>22</v>
      </c>
      <c r="H3731" s="1" t="s">
        <v>23</v>
      </c>
      <c r="I3731" s="1">
        <v>613.25</v>
      </c>
      <c r="J3731" s="1">
        <v>7</v>
      </c>
      <c r="K3731" s="1">
        <v>4292.75</v>
      </c>
      <c r="L3731" s="1">
        <v>5</v>
      </c>
      <c r="M3731" s="1">
        <v>214.64</v>
      </c>
      <c r="N3731" s="1">
        <v>4078.11</v>
      </c>
      <c r="O3731" s="1" t="s">
        <v>24</v>
      </c>
      <c r="P3731" s="1" t="s">
        <v>821</v>
      </c>
      <c r="Q3731" s="1">
        <v>2</v>
      </c>
      <c r="R3731" s="1">
        <f>Retail_Sales_Analyis[[#This Row],[Final_Price]]-Retail_Sales_Analyis[[#This Row],[Total_Price]]</f>
        <v>-214.63999999999987</v>
      </c>
      <c r="S37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32" spans="1:19" x14ac:dyDescent="0.25">
      <c r="A3732" s="1" t="s">
        <v>4851</v>
      </c>
      <c r="B3732" s="2">
        <v>45613</v>
      </c>
      <c r="C3732" s="1" t="s">
        <v>18</v>
      </c>
      <c r="D3732" s="1" t="s">
        <v>49</v>
      </c>
      <c r="E3732" s="1" t="s">
        <v>111</v>
      </c>
      <c r="F3732" s="1" t="s">
        <v>30</v>
      </c>
      <c r="G3732" s="1" t="s">
        <v>169</v>
      </c>
      <c r="H3732" s="1" t="s">
        <v>175</v>
      </c>
      <c r="I3732" s="1">
        <v>536.66</v>
      </c>
      <c r="J3732" s="1">
        <v>9</v>
      </c>
      <c r="K3732" s="1">
        <v>4829.9399999999996</v>
      </c>
      <c r="L3732" s="1">
        <v>15</v>
      </c>
      <c r="M3732" s="1">
        <v>724.49</v>
      </c>
      <c r="N3732" s="1">
        <v>4105.45</v>
      </c>
      <c r="O3732" s="1" t="s">
        <v>46</v>
      </c>
      <c r="P3732" s="1" t="s">
        <v>472</v>
      </c>
      <c r="Q3732" s="1">
        <v>2</v>
      </c>
      <c r="R3732" s="1">
        <f>Retail_Sales_Analyis[[#This Row],[Final_Price]]-Retail_Sales_Analyis[[#This Row],[Total_Price]]</f>
        <v>-724.48999999999978</v>
      </c>
      <c r="S37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3" spans="1:19" x14ac:dyDescent="0.25">
      <c r="A3733" s="1" t="s">
        <v>4852</v>
      </c>
      <c r="B3733" s="2">
        <v>45369</v>
      </c>
      <c r="C3733" s="1" t="s">
        <v>61</v>
      </c>
      <c r="D3733" s="1" t="s">
        <v>43</v>
      </c>
      <c r="E3733" s="1" t="s">
        <v>312</v>
      </c>
      <c r="F3733" s="1" t="s">
        <v>84</v>
      </c>
      <c r="G3733" s="1" t="s">
        <v>78</v>
      </c>
      <c r="H3733" s="1" t="s">
        <v>323</v>
      </c>
      <c r="I3733" s="1">
        <v>490.09</v>
      </c>
      <c r="J3733" s="1">
        <v>6</v>
      </c>
      <c r="K3733" s="1">
        <v>2940.54</v>
      </c>
      <c r="L3733" s="1">
        <v>0</v>
      </c>
      <c r="M3733" s="1">
        <v>0</v>
      </c>
      <c r="N3733" s="1">
        <v>2940.54</v>
      </c>
      <c r="O3733" s="1" t="s">
        <v>46</v>
      </c>
      <c r="P3733" s="1" t="s">
        <v>3680</v>
      </c>
      <c r="Q3733" s="1">
        <v>1</v>
      </c>
      <c r="R3733" s="1">
        <f>Retail_Sales_Analyis[[#This Row],[Final_Price]]-Retail_Sales_Analyis[[#This Row],[Total_Price]]</f>
        <v>0</v>
      </c>
      <c r="S37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34" spans="1:19" x14ac:dyDescent="0.25">
      <c r="A3734" s="1" t="s">
        <v>4853</v>
      </c>
      <c r="B3734" s="2">
        <v>45502</v>
      </c>
      <c r="C3734" s="1" t="s">
        <v>195</v>
      </c>
      <c r="D3734" s="1" t="s">
        <v>43</v>
      </c>
      <c r="E3734" s="1" t="s">
        <v>132</v>
      </c>
      <c r="F3734" s="1" t="s">
        <v>21</v>
      </c>
      <c r="G3734" s="1" t="s">
        <v>22</v>
      </c>
      <c r="H3734" s="1" t="s">
        <v>51</v>
      </c>
      <c r="I3734" s="1">
        <v>574.39</v>
      </c>
      <c r="J3734" s="1">
        <v>9</v>
      </c>
      <c r="K3734" s="1">
        <v>5169.51</v>
      </c>
      <c r="L3734" s="1">
        <v>20</v>
      </c>
      <c r="M3734" s="1">
        <v>1033.9000000000001</v>
      </c>
      <c r="N3734" s="1">
        <v>4135.6099999999997</v>
      </c>
      <c r="O3734" s="1" t="s">
        <v>80</v>
      </c>
      <c r="P3734" s="1" t="s">
        <v>967</v>
      </c>
      <c r="Q3734" s="1">
        <v>5</v>
      </c>
      <c r="R3734" s="1">
        <f>Retail_Sales_Analyis[[#This Row],[Final_Price]]-Retail_Sales_Analyis[[#This Row],[Total_Price]]</f>
        <v>-1033.9000000000005</v>
      </c>
      <c r="S373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35" spans="1:19" x14ac:dyDescent="0.25">
      <c r="A3735" s="1" t="s">
        <v>4854</v>
      </c>
      <c r="B3735" s="2">
        <v>45607</v>
      </c>
      <c r="C3735" s="1" t="s">
        <v>18</v>
      </c>
      <c r="D3735" s="1" t="s">
        <v>43</v>
      </c>
      <c r="E3735" s="1" t="s">
        <v>77</v>
      </c>
      <c r="F3735" s="1" t="s">
        <v>21</v>
      </c>
      <c r="G3735" s="1" t="s">
        <v>85</v>
      </c>
      <c r="H3735" s="1" t="s">
        <v>297</v>
      </c>
      <c r="I3735" s="1">
        <v>4049.14</v>
      </c>
      <c r="J3735" s="1">
        <v>1</v>
      </c>
      <c r="K3735" s="1">
        <v>4049.14</v>
      </c>
      <c r="L3735" s="1">
        <v>15</v>
      </c>
      <c r="M3735" s="1">
        <v>607.37</v>
      </c>
      <c r="N3735" s="1">
        <v>3441.77</v>
      </c>
      <c r="O3735" s="1" t="s">
        <v>24</v>
      </c>
      <c r="P3735" s="1" t="s">
        <v>3770</v>
      </c>
      <c r="Q3735" s="1">
        <v>4</v>
      </c>
      <c r="R3735" s="1">
        <f>Retail_Sales_Analyis[[#This Row],[Final_Price]]-Retail_Sales_Analyis[[#This Row],[Total_Price]]</f>
        <v>-607.36999999999989</v>
      </c>
      <c r="S37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6" spans="1:19" x14ac:dyDescent="0.25">
      <c r="A3736" s="1" t="s">
        <v>4855</v>
      </c>
      <c r="B3736" s="2">
        <v>45643</v>
      </c>
      <c r="C3736" s="1" t="s">
        <v>73</v>
      </c>
      <c r="D3736" s="1" t="s">
        <v>28</v>
      </c>
      <c r="E3736" s="1" t="s">
        <v>322</v>
      </c>
      <c r="F3736" s="1" t="s">
        <v>21</v>
      </c>
      <c r="G3736" s="1" t="s">
        <v>112</v>
      </c>
      <c r="H3736" s="1" t="s">
        <v>118</v>
      </c>
      <c r="I3736" s="1">
        <v>532.5</v>
      </c>
      <c r="J3736" s="1">
        <v>10</v>
      </c>
      <c r="K3736" s="1">
        <v>5325</v>
      </c>
      <c r="L3736" s="1">
        <v>0</v>
      </c>
      <c r="M3736" s="1">
        <v>0</v>
      </c>
      <c r="N3736" s="1">
        <v>5325</v>
      </c>
      <c r="O3736" s="1" t="s">
        <v>33</v>
      </c>
      <c r="P3736" s="1" t="s">
        <v>4472</v>
      </c>
      <c r="Q3736" s="1">
        <v>1</v>
      </c>
      <c r="R3736" s="1">
        <f>Retail_Sales_Analyis[[#This Row],[Final_Price]]-Retail_Sales_Analyis[[#This Row],[Total_Price]]</f>
        <v>0</v>
      </c>
      <c r="S37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37" spans="1:19" x14ac:dyDescent="0.25">
      <c r="A3737" s="1" t="s">
        <v>4856</v>
      </c>
      <c r="B3737" s="2">
        <v>45518</v>
      </c>
      <c r="C3737" s="1" t="s">
        <v>93</v>
      </c>
      <c r="D3737" s="1" t="s">
        <v>55</v>
      </c>
      <c r="E3737" s="1" t="s">
        <v>168</v>
      </c>
      <c r="F3737" s="1" t="s">
        <v>37</v>
      </c>
      <c r="G3737" s="1" t="s">
        <v>22</v>
      </c>
      <c r="H3737" s="1" t="s">
        <v>133</v>
      </c>
      <c r="I3737" s="1">
        <v>750.47</v>
      </c>
      <c r="J3737" s="1">
        <v>6</v>
      </c>
      <c r="K3737" s="1">
        <v>4502.82</v>
      </c>
      <c r="L3737" s="1">
        <v>15</v>
      </c>
      <c r="M3737" s="1">
        <v>675.42</v>
      </c>
      <c r="N3737" s="1">
        <v>3827.4</v>
      </c>
      <c r="O3737" s="1" t="s">
        <v>33</v>
      </c>
      <c r="P3737" s="1" t="s">
        <v>4125</v>
      </c>
      <c r="Q3737" s="1">
        <v>5</v>
      </c>
      <c r="R3737" s="1">
        <f>Retail_Sales_Analyis[[#This Row],[Final_Price]]-Retail_Sales_Analyis[[#This Row],[Total_Price]]</f>
        <v>-675.41999999999962</v>
      </c>
      <c r="S37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8" spans="1:19" x14ac:dyDescent="0.25">
      <c r="A3738" s="1" t="s">
        <v>4857</v>
      </c>
      <c r="B3738" s="2">
        <v>45403</v>
      </c>
      <c r="C3738" s="1" t="s">
        <v>54</v>
      </c>
      <c r="D3738" s="1" t="s">
        <v>49</v>
      </c>
      <c r="E3738" s="1" t="s">
        <v>302</v>
      </c>
      <c r="F3738" s="1" t="s">
        <v>69</v>
      </c>
      <c r="G3738" s="1" t="s">
        <v>38</v>
      </c>
      <c r="H3738" s="1" t="s">
        <v>39</v>
      </c>
      <c r="I3738" s="1">
        <v>759.83</v>
      </c>
      <c r="J3738" s="1">
        <v>1</v>
      </c>
      <c r="K3738" s="1">
        <v>759.83</v>
      </c>
      <c r="L3738" s="1">
        <v>15</v>
      </c>
      <c r="M3738" s="1">
        <v>113.97</v>
      </c>
      <c r="N3738" s="1">
        <v>645.86</v>
      </c>
      <c r="O3738" s="1" t="s">
        <v>46</v>
      </c>
      <c r="P3738" s="1" t="s">
        <v>699</v>
      </c>
      <c r="Q3738" s="1">
        <v>5</v>
      </c>
      <c r="R3738" s="1">
        <f>Retail_Sales_Analyis[[#This Row],[Final_Price]]-Retail_Sales_Analyis[[#This Row],[Total_Price]]</f>
        <v>-113.97000000000003</v>
      </c>
      <c r="S37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39" spans="1:19" x14ac:dyDescent="0.25">
      <c r="A3739" s="1" t="s">
        <v>4858</v>
      </c>
      <c r="B3739" s="2">
        <v>45336</v>
      </c>
      <c r="C3739" s="1" t="s">
        <v>27</v>
      </c>
      <c r="D3739" s="1" t="s">
        <v>55</v>
      </c>
      <c r="E3739" s="1" t="s">
        <v>77</v>
      </c>
      <c r="F3739" s="1" t="s">
        <v>30</v>
      </c>
      <c r="G3739" s="1" t="s">
        <v>169</v>
      </c>
      <c r="H3739" s="1" t="s">
        <v>170</v>
      </c>
      <c r="I3739" s="1">
        <v>802.13</v>
      </c>
      <c r="J3739" s="1">
        <v>5</v>
      </c>
      <c r="K3739" s="1">
        <v>4010.65</v>
      </c>
      <c r="L3739" s="1">
        <v>0</v>
      </c>
      <c r="M3739" s="1">
        <v>0</v>
      </c>
      <c r="N3739" s="1">
        <v>4010.65</v>
      </c>
      <c r="O3739" s="1" t="s">
        <v>33</v>
      </c>
      <c r="P3739" s="1" t="s">
        <v>725</v>
      </c>
      <c r="Q3739" s="1">
        <v>2</v>
      </c>
      <c r="R3739" s="1">
        <f>Retail_Sales_Analyis[[#This Row],[Final_Price]]-Retail_Sales_Analyis[[#This Row],[Total_Price]]</f>
        <v>0</v>
      </c>
      <c r="S37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0" spans="1:19" x14ac:dyDescent="0.25">
      <c r="A3740" s="1" t="s">
        <v>4859</v>
      </c>
      <c r="B3740" s="2">
        <v>45343</v>
      </c>
      <c r="C3740" s="1" t="s">
        <v>27</v>
      </c>
      <c r="D3740" s="1" t="s">
        <v>55</v>
      </c>
      <c r="E3740" s="1" t="s">
        <v>239</v>
      </c>
      <c r="F3740" s="1" t="s">
        <v>37</v>
      </c>
      <c r="G3740" s="1" t="s">
        <v>31</v>
      </c>
      <c r="H3740" s="1" t="s">
        <v>329</v>
      </c>
      <c r="I3740" s="1">
        <v>363.07</v>
      </c>
      <c r="J3740" s="1">
        <v>10</v>
      </c>
      <c r="K3740" s="1">
        <v>3630.7</v>
      </c>
      <c r="L3740" s="1">
        <v>10</v>
      </c>
      <c r="M3740" s="1">
        <v>363.07</v>
      </c>
      <c r="N3740" s="1">
        <v>3267.63</v>
      </c>
      <c r="O3740" s="1" t="s">
        <v>33</v>
      </c>
      <c r="P3740" s="1" t="s">
        <v>95</v>
      </c>
      <c r="Q3740" s="1">
        <v>4</v>
      </c>
      <c r="R3740" s="1">
        <f>Retail_Sales_Analyis[[#This Row],[Final_Price]]-Retail_Sales_Analyis[[#This Row],[Total_Price]]</f>
        <v>-363.06999999999971</v>
      </c>
      <c r="S37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41" spans="1:19" x14ac:dyDescent="0.25">
      <c r="A3741" s="1" t="s">
        <v>4860</v>
      </c>
      <c r="B3741" s="2">
        <v>45363</v>
      </c>
      <c r="C3741" s="1" t="s">
        <v>61</v>
      </c>
      <c r="D3741" s="1" t="s">
        <v>28</v>
      </c>
      <c r="E3741" s="1" t="s">
        <v>29</v>
      </c>
      <c r="F3741" s="1" t="s">
        <v>21</v>
      </c>
      <c r="G3741" s="1" t="s">
        <v>112</v>
      </c>
      <c r="H3741" s="1" t="s">
        <v>223</v>
      </c>
      <c r="I3741" s="1">
        <v>1253.1199999999999</v>
      </c>
      <c r="J3741" s="1">
        <v>8</v>
      </c>
      <c r="K3741" s="1">
        <v>10024.959999999999</v>
      </c>
      <c r="L3741" s="1">
        <v>20</v>
      </c>
      <c r="M3741" s="1">
        <v>2004.99</v>
      </c>
      <c r="N3741" s="1">
        <v>8019.97</v>
      </c>
      <c r="O3741" s="1" t="s">
        <v>24</v>
      </c>
      <c r="P3741" s="1" t="s">
        <v>429</v>
      </c>
      <c r="Q3741" s="1">
        <v>2</v>
      </c>
      <c r="R3741" s="1">
        <f>Retail_Sales_Analyis[[#This Row],[Final_Price]]-Retail_Sales_Analyis[[#This Row],[Total_Price]]</f>
        <v>-2004.9899999999989</v>
      </c>
      <c r="S37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42" spans="1:19" x14ac:dyDescent="0.25">
      <c r="A3742" s="1" t="s">
        <v>4861</v>
      </c>
      <c r="B3742" s="2">
        <v>45355</v>
      </c>
      <c r="C3742" s="1" t="s">
        <v>61</v>
      </c>
      <c r="D3742" s="1" t="s">
        <v>43</v>
      </c>
      <c r="E3742" s="1" t="s">
        <v>29</v>
      </c>
      <c r="F3742" s="1" t="s">
        <v>21</v>
      </c>
      <c r="G3742" s="1" t="s">
        <v>31</v>
      </c>
      <c r="H3742" s="1" t="s">
        <v>329</v>
      </c>
      <c r="I3742" s="1">
        <v>361.82</v>
      </c>
      <c r="J3742" s="1">
        <v>5</v>
      </c>
      <c r="K3742" s="1">
        <v>1809.1</v>
      </c>
      <c r="L3742" s="1">
        <v>0</v>
      </c>
      <c r="M3742" s="1">
        <v>0</v>
      </c>
      <c r="N3742" s="1">
        <v>1809.1</v>
      </c>
      <c r="O3742" s="1" t="s">
        <v>24</v>
      </c>
      <c r="P3742" s="1" t="s">
        <v>513</v>
      </c>
      <c r="Q3742" s="1">
        <v>4</v>
      </c>
      <c r="R3742" s="1">
        <f>Retail_Sales_Analyis[[#This Row],[Final_Price]]-Retail_Sales_Analyis[[#This Row],[Total_Price]]</f>
        <v>0</v>
      </c>
      <c r="S37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3" spans="1:19" x14ac:dyDescent="0.25">
      <c r="A3743" s="1" t="s">
        <v>4862</v>
      </c>
      <c r="B3743" s="2">
        <v>45593</v>
      </c>
      <c r="C3743" s="1" t="s">
        <v>76</v>
      </c>
      <c r="D3743" s="1" t="s">
        <v>43</v>
      </c>
      <c r="E3743" s="1" t="s">
        <v>89</v>
      </c>
      <c r="F3743" s="1" t="s">
        <v>37</v>
      </c>
      <c r="G3743" s="1" t="s">
        <v>22</v>
      </c>
      <c r="H3743" s="1" t="s">
        <v>51</v>
      </c>
      <c r="I3743" s="1">
        <v>818.14</v>
      </c>
      <c r="J3743" s="1">
        <v>10</v>
      </c>
      <c r="K3743" s="1">
        <v>8181.4</v>
      </c>
      <c r="L3743" s="1">
        <v>10</v>
      </c>
      <c r="M3743" s="1">
        <v>818.14</v>
      </c>
      <c r="N3743" s="1">
        <v>7363.26</v>
      </c>
      <c r="O3743" s="1" t="s">
        <v>33</v>
      </c>
      <c r="P3743" s="1" t="s">
        <v>2271</v>
      </c>
      <c r="Q3743" s="1">
        <v>3</v>
      </c>
      <c r="R3743" s="1">
        <f>Retail_Sales_Analyis[[#This Row],[Final_Price]]-Retail_Sales_Analyis[[#This Row],[Total_Price]]</f>
        <v>-818.13999999999942</v>
      </c>
      <c r="S37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44" spans="1:19" x14ac:dyDescent="0.25">
      <c r="A3744" s="1" t="s">
        <v>4863</v>
      </c>
      <c r="B3744" s="2">
        <v>45488</v>
      </c>
      <c r="C3744" s="1" t="s">
        <v>195</v>
      </c>
      <c r="D3744" s="1" t="s">
        <v>43</v>
      </c>
      <c r="E3744" s="1" t="s">
        <v>312</v>
      </c>
      <c r="F3744" s="1" t="s">
        <v>84</v>
      </c>
      <c r="G3744" s="1" t="s">
        <v>57</v>
      </c>
      <c r="H3744" s="1" t="s">
        <v>152</v>
      </c>
      <c r="I3744" s="1">
        <v>930.19</v>
      </c>
      <c r="J3744" s="1">
        <v>4</v>
      </c>
      <c r="K3744" s="1">
        <v>3720.76</v>
      </c>
      <c r="L3744" s="1">
        <v>10</v>
      </c>
      <c r="M3744" s="1">
        <v>372.08</v>
      </c>
      <c r="N3744" s="1">
        <v>3348.68</v>
      </c>
      <c r="O3744" s="1" t="s">
        <v>24</v>
      </c>
      <c r="P3744" s="1" t="s">
        <v>767</v>
      </c>
      <c r="Q3744" s="1">
        <v>4</v>
      </c>
      <c r="R3744" s="1">
        <f>Retail_Sales_Analyis[[#This Row],[Final_Price]]-Retail_Sales_Analyis[[#This Row],[Total_Price]]</f>
        <v>-372.08000000000038</v>
      </c>
      <c r="S37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45" spans="1:19" x14ac:dyDescent="0.25">
      <c r="A3745" s="1" t="s">
        <v>4864</v>
      </c>
      <c r="B3745" s="2">
        <v>45471</v>
      </c>
      <c r="C3745" s="1" t="s">
        <v>173</v>
      </c>
      <c r="D3745" s="1" t="s">
        <v>144</v>
      </c>
      <c r="E3745" s="1" t="s">
        <v>337</v>
      </c>
      <c r="F3745" s="1" t="s">
        <v>30</v>
      </c>
      <c r="G3745" s="1" t="s">
        <v>85</v>
      </c>
      <c r="H3745" s="1" t="s">
        <v>180</v>
      </c>
      <c r="I3745" s="1">
        <v>2615.77</v>
      </c>
      <c r="J3745" s="1">
        <v>10</v>
      </c>
      <c r="K3745" s="1">
        <v>26157.7</v>
      </c>
      <c r="L3745" s="1">
        <v>0</v>
      </c>
      <c r="M3745" s="1">
        <v>0</v>
      </c>
      <c r="N3745" s="1">
        <v>26157.7</v>
      </c>
      <c r="O3745" s="1" t="s">
        <v>46</v>
      </c>
      <c r="P3745" s="1" t="s">
        <v>259</v>
      </c>
      <c r="Q3745" s="1">
        <v>4</v>
      </c>
      <c r="R3745" s="1">
        <f>Retail_Sales_Analyis[[#This Row],[Final_Price]]-Retail_Sales_Analyis[[#This Row],[Total_Price]]</f>
        <v>0</v>
      </c>
      <c r="S37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6" spans="1:19" x14ac:dyDescent="0.25">
      <c r="A3746" s="1" t="s">
        <v>4865</v>
      </c>
      <c r="B3746" s="2">
        <v>45511</v>
      </c>
      <c r="C3746" s="1" t="s">
        <v>93</v>
      </c>
      <c r="D3746" s="1" t="s">
        <v>55</v>
      </c>
      <c r="E3746" s="1" t="s">
        <v>302</v>
      </c>
      <c r="F3746" s="1" t="s">
        <v>30</v>
      </c>
      <c r="G3746" s="1" t="s">
        <v>169</v>
      </c>
      <c r="H3746" s="1" t="s">
        <v>208</v>
      </c>
      <c r="I3746" s="1">
        <v>1414.91</v>
      </c>
      <c r="J3746" s="1">
        <v>4</v>
      </c>
      <c r="K3746" s="1">
        <v>5659.64</v>
      </c>
      <c r="L3746" s="1">
        <v>0</v>
      </c>
      <c r="M3746" s="1">
        <v>0</v>
      </c>
      <c r="N3746" s="1">
        <v>5659.64</v>
      </c>
      <c r="O3746" s="1" t="s">
        <v>24</v>
      </c>
      <c r="P3746" s="1" t="s">
        <v>2911</v>
      </c>
      <c r="Q3746" s="1">
        <v>5</v>
      </c>
      <c r="R3746" s="1">
        <f>Retail_Sales_Analyis[[#This Row],[Final_Price]]-Retail_Sales_Analyis[[#This Row],[Total_Price]]</f>
        <v>0</v>
      </c>
      <c r="S37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7" spans="1:19" x14ac:dyDescent="0.25">
      <c r="A3747" s="1" t="s">
        <v>4866</v>
      </c>
      <c r="B3747" s="2">
        <v>45453</v>
      </c>
      <c r="C3747" s="1" t="s">
        <v>173</v>
      </c>
      <c r="D3747" s="1" t="s">
        <v>43</v>
      </c>
      <c r="E3747" s="1" t="s">
        <v>542</v>
      </c>
      <c r="F3747" s="1" t="s">
        <v>84</v>
      </c>
      <c r="G3747" s="1" t="s">
        <v>85</v>
      </c>
      <c r="H3747" s="1" t="s">
        <v>98</v>
      </c>
      <c r="I3747" s="1">
        <v>1334.95</v>
      </c>
      <c r="J3747" s="1">
        <v>5</v>
      </c>
      <c r="K3747" s="1">
        <v>6674.75</v>
      </c>
      <c r="L3747" s="1">
        <v>0</v>
      </c>
      <c r="M3747" s="1">
        <v>0</v>
      </c>
      <c r="N3747" s="1">
        <v>6674.75</v>
      </c>
      <c r="O3747" s="1" t="s">
        <v>33</v>
      </c>
      <c r="P3747" s="1" t="s">
        <v>633</v>
      </c>
      <c r="Q3747" s="1">
        <v>3</v>
      </c>
      <c r="R3747" s="1">
        <f>Retail_Sales_Analyis[[#This Row],[Final_Price]]-Retail_Sales_Analyis[[#This Row],[Total_Price]]</f>
        <v>0</v>
      </c>
      <c r="S37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8" spans="1:19" x14ac:dyDescent="0.25">
      <c r="A3748" s="1" t="s">
        <v>4867</v>
      </c>
      <c r="B3748" s="2">
        <v>45363</v>
      </c>
      <c r="C3748" s="1" t="s">
        <v>61</v>
      </c>
      <c r="D3748" s="1" t="s">
        <v>28</v>
      </c>
      <c r="E3748" s="1" t="s">
        <v>337</v>
      </c>
      <c r="F3748" s="1" t="s">
        <v>21</v>
      </c>
      <c r="G3748" s="1" t="s">
        <v>169</v>
      </c>
      <c r="H3748" s="1" t="s">
        <v>366</v>
      </c>
      <c r="I3748" s="1">
        <v>856.46</v>
      </c>
      <c r="J3748" s="1">
        <v>10</v>
      </c>
      <c r="K3748" s="1">
        <v>8564.6</v>
      </c>
      <c r="L3748" s="1">
        <v>0</v>
      </c>
      <c r="M3748" s="1">
        <v>0</v>
      </c>
      <c r="N3748" s="1">
        <v>8564.6</v>
      </c>
      <c r="O3748" s="1" t="s">
        <v>33</v>
      </c>
      <c r="P3748" s="1" t="s">
        <v>2948</v>
      </c>
      <c r="Q3748" s="1">
        <v>1</v>
      </c>
      <c r="R3748" s="1">
        <f>Retail_Sales_Analyis[[#This Row],[Final_Price]]-Retail_Sales_Analyis[[#This Row],[Total_Price]]</f>
        <v>0</v>
      </c>
      <c r="S37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49" spans="1:19" x14ac:dyDescent="0.25">
      <c r="A3749" s="1" t="s">
        <v>4868</v>
      </c>
      <c r="B3749" s="2">
        <v>45418</v>
      </c>
      <c r="C3749" s="1" t="s">
        <v>42</v>
      </c>
      <c r="D3749" s="1" t="s">
        <v>43</v>
      </c>
      <c r="E3749" s="1" t="s">
        <v>94</v>
      </c>
      <c r="F3749" s="1" t="s">
        <v>37</v>
      </c>
      <c r="G3749" s="1" t="s">
        <v>57</v>
      </c>
      <c r="H3749" s="1" t="s">
        <v>58</v>
      </c>
      <c r="I3749" s="1">
        <v>958.27</v>
      </c>
      <c r="J3749" s="1">
        <v>3</v>
      </c>
      <c r="K3749" s="1">
        <v>2874.81</v>
      </c>
      <c r="L3749" s="1">
        <v>0</v>
      </c>
      <c r="M3749" s="1">
        <v>0</v>
      </c>
      <c r="N3749" s="1">
        <v>2874.81</v>
      </c>
      <c r="O3749" s="1" t="s">
        <v>33</v>
      </c>
      <c r="P3749" s="1" t="s">
        <v>2062</v>
      </c>
      <c r="Q3749" s="1">
        <v>4</v>
      </c>
      <c r="R3749" s="1">
        <f>Retail_Sales_Analyis[[#This Row],[Final_Price]]-Retail_Sales_Analyis[[#This Row],[Total_Price]]</f>
        <v>0</v>
      </c>
      <c r="S37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0" spans="1:19" x14ac:dyDescent="0.25">
      <c r="A3750" s="1" t="s">
        <v>4869</v>
      </c>
      <c r="B3750" s="2">
        <v>45433</v>
      </c>
      <c r="C3750" s="1" t="s">
        <v>42</v>
      </c>
      <c r="D3750" s="1" t="s">
        <v>28</v>
      </c>
      <c r="E3750" s="1" t="s">
        <v>322</v>
      </c>
      <c r="F3750" s="1" t="s">
        <v>37</v>
      </c>
      <c r="G3750" s="1" t="s">
        <v>78</v>
      </c>
      <c r="H3750" s="1" t="s">
        <v>146</v>
      </c>
      <c r="I3750" s="1">
        <v>320.97000000000003</v>
      </c>
      <c r="J3750" s="1">
        <v>6</v>
      </c>
      <c r="K3750" s="1">
        <v>1925.82</v>
      </c>
      <c r="L3750" s="1">
        <v>0</v>
      </c>
      <c r="M3750" s="1">
        <v>0</v>
      </c>
      <c r="N3750" s="1">
        <v>1925.82</v>
      </c>
      <c r="O3750" s="1" t="s">
        <v>64</v>
      </c>
      <c r="P3750" s="1" t="s">
        <v>1219</v>
      </c>
      <c r="Q3750" s="1">
        <v>2</v>
      </c>
      <c r="R3750" s="1">
        <f>Retail_Sales_Analyis[[#This Row],[Final_Price]]-Retail_Sales_Analyis[[#This Row],[Total_Price]]</f>
        <v>0</v>
      </c>
      <c r="S37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1" spans="1:19" x14ac:dyDescent="0.25">
      <c r="A3751" s="1" t="s">
        <v>4870</v>
      </c>
      <c r="B3751" s="2">
        <v>45622</v>
      </c>
      <c r="C3751" s="1" t="s">
        <v>18</v>
      </c>
      <c r="D3751" s="1" t="s">
        <v>28</v>
      </c>
      <c r="E3751" s="1" t="s">
        <v>328</v>
      </c>
      <c r="F3751" s="1" t="s">
        <v>21</v>
      </c>
      <c r="G3751" s="1" t="s">
        <v>78</v>
      </c>
      <c r="H3751" s="1" t="s">
        <v>323</v>
      </c>
      <c r="I3751" s="1">
        <v>199.15</v>
      </c>
      <c r="J3751" s="1">
        <v>2</v>
      </c>
      <c r="K3751" s="1">
        <v>398.3</v>
      </c>
      <c r="L3751" s="1">
        <v>0</v>
      </c>
      <c r="M3751" s="1">
        <v>0</v>
      </c>
      <c r="N3751" s="1">
        <v>398.3</v>
      </c>
      <c r="O3751" s="1" t="s">
        <v>80</v>
      </c>
      <c r="P3751" s="1" t="s">
        <v>784</v>
      </c>
      <c r="Q3751" s="1">
        <v>1</v>
      </c>
      <c r="R3751" s="1">
        <f>Retail_Sales_Analyis[[#This Row],[Final_Price]]-Retail_Sales_Analyis[[#This Row],[Total_Price]]</f>
        <v>0</v>
      </c>
      <c r="S37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2" spans="1:19" x14ac:dyDescent="0.25">
      <c r="A3752" s="1" t="s">
        <v>4871</v>
      </c>
      <c r="B3752" s="2">
        <v>45335</v>
      </c>
      <c r="C3752" s="1" t="s">
        <v>27</v>
      </c>
      <c r="D3752" s="1" t="s">
        <v>28</v>
      </c>
      <c r="E3752" s="1" t="s">
        <v>145</v>
      </c>
      <c r="F3752" s="1" t="s">
        <v>37</v>
      </c>
      <c r="G3752" s="1" t="s">
        <v>22</v>
      </c>
      <c r="H3752" s="1" t="s">
        <v>133</v>
      </c>
      <c r="I3752" s="1">
        <v>591.04</v>
      </c>
      <c r="J3752" s="1">
        <v>4</v>
      </c>
      <c r="K3752" s="1">
        <v>2364.16</v>
      </c>
      <c r="L3752" s="1">
        <v>15</v>
      </c>
      <c r="M3752" s="1">
        <v>354.62</v>
      </c>
      <c r="N3752" s="1">
        <v>2009.54</v>
      </c>
      <c r="O3752" s="1" t="s">
        <v>33</v>
      </c>
      <c r="P3752" s="1" t="s">
        <v>262</v>
      </c>
      <c r="Q3752" s="1">
        <v>5</v>
      </c>
      <c r="R3752" s="1">
        <f>Retail_Sales_Analyis[[#This Row],[Final_Price]]-Retail_Sales_Analyis[[#This Row],[Total_Price]]</f>
        <v>-354.61999999999989</v>
      </c>
      <c r="S37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53" spans="1:19" x14ac:dyDescent="0.25">
      <c r="A3753" s="1" t="s">
        <v>4872</v>
      </c>
      <c r="B3753" s="2">
        <v>45419</v>
      </c>
      <c r="C3753" s="1" t="s">
        <v>42</v>
      </c>
      <c r="D3753" s="1" t="s">
        <v>28</v>
      </c>
      <c r="E3753" s="1" t="s">
        <v>236</v>
      </c>
      <c r="F3753" s="1" t="s">
        <v>69</v>
      </c>
      <c r="G3753" s="1" t="s">
        <v>112</v>
      </c>
      <c r="H3753" s="1" t="s">
        <v>118</v>
      </c>
      <c r="I3753" s="1">
        <v>1806.71</v>
      </c>
      <c r="J3753" s="1">
        <v>3</v>
      </c>
      <c r="K3753" s="1">
        <v>5420.13</v>
      </c>
      <c r="L3753" s="1">
        <v>0</v>
      </c>
      <c r="M3753" s="1">
        <v>0</v>
      </c>
      <c r="N3753" s="1">
        <v>5420.13</v>
      </c>
      <c r="O3753" s="1" t="s">
        <v>46</v>
      </c>
      <c r="P3753" s="1" t="s">
        <v>262</v>
      </c>
      <c r="Q3753" s="1">
        <v>3</v>
      </c>
      <c r="R3753" s="1">
        <f>Retail_Sales_Analyis[[#This Row],[Final_Price]]-Retail_Sales_Analyis[[#This Row],[Total_Price]]</f>
        <v>0</v>
      </c>
      <c r="S37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4" spans="1:19" x14ac:dyDescent="0.25">
      <c r="A3754" s="1" t="s">
        <v>4873</v>
      </c>
      <c r="B3754" s="2">
        <v>45575</v>
      </c>
      <c r="C3754" s="1" t="s">
        <v>76</v>
      </c>
      <c r="D3754" s="1" t="s">
        <v>67</v>
      </c>
      <c r="E3754" s="1" t="s">
        <v>151</v>
      </c>
      <c r="F3754" s="1" t="s">
        <v>21</v>
      </c>
      <c r="G3754" s="1" t="s">
        <v>31</v>
      </c>
      <c r="H3754" s="1" t="s">
        <v>250</v>
      </c>
      <c r="I3754" s="1">
        <v>386.72</v>
      </c>
      <c r="J3754" s="1">
        <v>6</v>
      </c>
      <c r="K3754" s="1">
        <v>2320.3200000000002</v>
      </c>
      <c r="L3754" s="1">
        <v>20</v>
      </c>
      <c r="M3754" s="1">
        <v>464.06</v>
      </c>
      <c r="N3754" s="1">
        <v>1856.26</v>
      </c>
      <c r="O3754" s="1" t="s">
        <v>64</v>
      </c>
      <c r="P3754" s="1" t="s">
        <v>2891</v>
      </c>
      <c r="Q3754" s="1">
        <v>5</v>
      </c>
      <c r="R3754" s="1">
        <f>Retail_Sales_Analyis[[#This Row],[Final_Price]]-Retail_Sales_Analyis[[#This Row],[Total_Price]]</f>
        <v>-464.06000000000017</v>
      </c>
      <c r="S37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55" spans="1:19" x14ac:dyDescent="0.25">
      <c r="A3755" s="1" t="s">
        <v>4874</v>
      </c>
      <c r="B3755" s="2">
        <v>45599</v>
      </c>
      <c r="C3755" s="1" t="s">
        <v>18</v>
      </c>
      <c r="D3755" s="1" t="s">
        <v>49</v>
      </c>
      <c r="E3755" s="1" t="s">
        <v>196</v>
      </c>
      <c r="F3755" s="1" t="s">
        <v>84</v>
      </c>
      <c r="G3755" s="1" t="s">
        <v>22</v>
      </c>
      <c r="H3755" s="1" t="s">
        <v>133</v>
      </c>
      <c r="I3755" s="1">
        <v>298.95</v>
      </c>
      <c r="J3755" s="1">
        <v>7</v>
      </c>
      <c r="K3755" s="1">
        <v>2092.65</v>
      </c>
      <c r="L3755" s="1">
        <v>0</v>
      </c>
      <c r="M3755" s="1">
        <v>0</v>
      </c>
      <c r="N3755" s="1">
        <v>2092.65</v>
      </c>
      <c r="O3755" s="1" t="s">
        <v>46</v>
      </c>
      <c r="P3755" s="1" t="s">
        <v>1178</v>
      </c>
      <c r="Q3755" s="1">
        <v>5</v>
      </c>
      <c r="R3755" s="1">
        <f>Retail_Sales_Analyis[[#This Row],[Final_Price]]-Retail_Sales_Analyis[[#This Row],[Total_Price]]</f>
        <v>0</v>
      </c>
      <c r="S37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56" spans="1:19" x14ac:dyDescent="0.25">
      <c r="A3756" s="1" t="s">
        <v>4875</v>
      </c>
      <c r="B3756" s="2">
        <v>45599</v>
      </c>
      <c r="C3756" s="1" t="s">
        <v>18</v>
      </c>
      <c r="D3756" s="1" t="s">
        <v>49</v>
      </c>
      <c r="E3756" s="1" t="s">
        <v>166</v>
      </c>
      <c r="F3756" s="1" t="s">
        <v>21</v>
      </c>
      <c r="G3756" s="1" t="s">
        <v>38</v>
      </c>
      <c r="H3756" s="1" t="s">
        <v>214</v>
      </c>
      <c r="I3756" s="1">
        <v>389.16</v>
      </c>
      <c r="J3756" s="1">
        <v>2</v>
      </c>
      <c r="K3756" s="1">
        <v>778.32</v>
      </c>
      <c r="L3756" s="1">
        <v>10</v>
      </c>
      <c r="M3756" s="1">
        <v>77.83</v>
      </c>
      <c r="N3756" s="1">
        <v>700.49</v>
      </c>
      <c r="O3756" s="1" t="s">
        <v>46</v>
      </c>
      <c r="P3756" s="1" t="s">
        <v>2335</v>
      </c>
      <c r="Q3756" s="1">
        <v>3</v>
      </c>
      <c r="R3756" s="1">
        <f>Retail_Sales_Analyis[[#This Row],[Final_Price]]-Retail_Sales_Analyis[[#This Row],[Total_Price]]</f>
        <v>-77.830000000000041</v>
      </c>
      <c r="S37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57" spans="1:19" x14ac:dyDescent="0.25">
      <c r="A3757" s="1" t="s">
        <v>4876</v>
      </c>
      <c r="B3757" s="2">
        <v>45603</v>
      </c>
      <c r="C3757" s="1" t="s">
        <v>18</v>
      </c>
      <c r="D3757" s="1" t="s">
        <v>67</v>
      </c>
      <c r="E3757" s="1" t="s">
        <v>307</v>
      </c>
      <c r="F3757" s="1" t="s">
        <v>37</v>
      </c>
      <c r="G3757" s="1" t="s">
        <v>78</v>
      </c>
      <c r="H3757" s="1" t="s">
        <v>126</v>
      </c>
      <c r="I3757" s="1">
        <v>587.04999999999995</v>
      </c>
      <c r="J3757" s="1">
        <v>7</v>
      </c>
      <c r="K3757" s="1">
        <v>4109.3500000000004</v>
      </c>
      <c r="L3757" s="1">
        <v>10</v>
      </c>
      <c r="M3757" s="1">
        <v>410.94</v>
      </c>
      <c r="N3757" s="1">
        <v>3698.41</v>
      </c>
      <c r="O3757" s="1" t="s">
        <v>64</v>
      </c>
      <c r="P3757" s="1" t="s">
        <v>3206</v>
      </c>
      <c r="Q3757" s="1">
        <v>5</v>
      </c>
      <c r="R3757" s="1">
        <f>Retail_Sales_Analyis[[#This Row],[Final_Price]]-Retail_Sales_Analyis[[#This Row],[Total_Price]]</f>
        <v>-410.94000000000051</v>
      </c>
      <c r="S37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58" spans="1:19" x14ac:dyDescent="0.25">
      <c r="A3758" s="1" t="s">
        <v>4877</v>
      </c>
      <c r="B3758" s="2">
        <v>45437</v>
      </c>
      <c r="C3758" s="1" t="s">
        <v>42</v>
      </c>
      <c r="D3758" s="1" t="s">
        <v>19</v>
      </c>
      <c r="E3758" s="1" t="s">
        <v>129</v>
      </c>
      <c r="F3758" s="1" t="s">
        <v>21</v>
      </c>
      <c r="G3758" s="1" t="s">
        <v>169</v>
      </c>
      <c r="H3758" s="1" t="s">
        <v>175</v>
      </c>
      <c r="I3758" s="1">
        <v>1321.82</v>
      </c>
      <c r="J3758" s="1">
        <v>10</v>
      </c>
      <c r="K3758" s="1">
        <v>13218.2</v>
      </c>
      <c r="L3758" s="1">
        <v>20</v>
      </c>
      <c r="M3758" s="1">
        <v>2643.64</v>
      </c>
      <c r="N3758" s="1">
        <v>10574.56</v>
      </c>
      <c r="O3758" s="1" t="s">
        <v>46</v>
      </c>
      <c r="P3758" s="1" t="s">
        <v>2127</v>
      </c>
      <c r="Q3758" s="1">
        <v>1</v>
      </c>
      <c r="R3758" s="1">
        <f>Retail_Sales_Analyis[[#This Row],[Final_Price]]-Retail_Sales_Analyis[[#This Row],[Total_Price]]</f>
        <v>-2643.6400000000012</v>
      </c>
      <c r="S375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59" spans="1:19" x14ac:dyDescent="0.25">
      <c r="A3759" s="1" t="s">
        <v>4878</v>
      </c>
      <c r="B3759" s="2">
        <v>45645</v>
      </c>
      <c r="C3759" s="1" t="s">
        <v>73</v>
      </c>
      <c r="D3759" s="1" t="s">
        <v>67</v>
      </c>
      <c r="E3759" s="1" t="s">
        <v>111</v>
      </c>
      <c r="F3759" s="1" t="s">
        <v>21</v>
      </c>
      <c r="G3759" s="1" t="s">
        <v>57</v>
      </c>
      <c r="H3759" s="1" t="s">
        <v>158</v>
      </c>
      <c r="I3759" s="1">
        <v>1754.45</v>
      </c>
      <c r="J3759" s="1">
        <v>10</v>
      </c>
      <c r="K3759" s="1">
        <v>17544.5</v>
      </c>
      <c r="L3759" s="1">
        <v>0</v>
      </c>
      <c r="M3759" s="1">
        <v>0</v>
      </c>
      <c r="N3759" s="1">
        <v>17544.5</v>
      </c>
      <c r="O3759" s="1" t="s">
        <v>46</v>
      </c>
      <c r="P3759" s="1" t="s">
        <v>217</v>
      </c>
      <c r="Q3759" s="1">
        <v>5</v>
      </c>
      <c r="R3759" s="1">
        <f>Retail_Sales_Analyis[[#This Row],[Final_Price]]-Retail_Sales_Analyis[[#This Row],[Total_Price]]</f>
        <v>0</v>
      </c>
      <c r="S37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0" spans="1:19" x14ac:dyDescent="0.25">
      <c r="A3760" s="1" t="s">
        <v>4879</v>
      </c>
      <c r="B3760" s="2">
        <v>45305</v>
      </c>
      <c r="C3760" s="1" t="s">
        <v>36</v>
      </c>
      <c r="D3760" s="1" t="s">
        <v>49</v>
      </c>
      <c r="E3760" s="1" t="s">
        <v>166</v>
      </c>
      <c r="F3760" s="1" t="s">
        <v>37</v>
      </c>
      <c r="G3760" s="1" t="s">
        <v>78</v>
      </c>
      <c r="H3760" s="1" t="s">
        <v>146</v>
      </c>
      <c r="I3760" s="1">
        <v>378.59</v>
      </c>
      <c r="J3760" s="1">
        <v>1</v>
      </c>
      <c r="K3760" s="1">
        <v>378.59</v>
      </c>
      <c r="L3760" s="1">
        <v>0</v>
      </c>
      <c r="M3760" s="1">
        <v>0</v>
      </c>
      <c r="N3760" s="1">
        <v>378.59</v>
      </c>
      <c r="O3760" s="1" t="s">
        <v>24</v>
      </c>
      <c r="P3760" s="1" t="s">
        <v>461</v>
      </c>
      <c r="Q3760" s="1">
        <v>4</v>
      </c>
      <c r="R3760" s="1">
        <f>Retail_Sales_Analyis[[#This Row],[Final_Price]]-Retail_Sales_Analyis[[#This Row],[Total_Price]]</f>
        <v>0</v>
      </c>
      <c r="S37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1" spans="1:19" x14ac:dyDescent="0.25">
      <c r="A3761" s="1" t="s">
        <v>4880</v>
      </c>
      <c r="B3761" s="2">
        <v>45629</v>
      </c>
      <c r="C3761" s="1" t="s">
        <v>73</v>
      </c>
      <c r="D3761" s="1" t="s">
        <v>28</v>
      </c>
      <c r="E3761" s="1" t="s">
        <v>151</v>
      </c>
      <c r="F3761" s="1" t="s">
        <v>30</v>
      </c>
      <c r="G3761" s="1" t="s">
        <v>31</v>
      </c>
      <c r="H3761" s="1" t="s">
        <v>45</v>
      </c>
      <c r="I3761" s="1">
        <v>89.61</v>
      </c>
      <c r="J3761" s="1">
        <v>8</v>
      </c>
      <c r="K3761" s="1">
        <v>716.88</v>
      </c>
      <c r="L3761" s="1">
        <v>20</v>
      </c>
      <c r="M3761" s="1">
        <v>143.38</v>
      </c>
      <c r="N3761" s="1">
        <v>573.5</v>
      </c>
      <c r="O3761" s="1" t="s">
        <v>64</v>
      </c>
      <c r="P3761" s="1" t="s">
        <v>1955</v>
      </c>
      <c r="Q3761" s="1">
        <v>3</v>
      </c>
      <c r="R3761" s="1">
        <f>Retail_Sales_Analyis[[#This Row],[Final_Price]]-Retail_Sales_Analyis[[#This Row],[Total_Price]]</f>
        <v>-143.38</v>
      </c>
      <c r="S37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62" spans="1:19" x14ac:dyDescent="0.25">
      <c r="A3762" s="1" t="s">
        <v>4881</v>
      </c>
      <c r="B3762" s="2">
        <v>45446</v>
      </c>
      <c r="C3762" s="1" t="s">
        <v>173</v>
      </c>
      <c r="D3762" s="1" t="s">
        <v>43</v>
      </c>
      <c r="E3762" s="1" t="s">
        <v>151</v>
      </c>
      <c r="F3762" s="1" t="s">
        <v>30</v>
      </c>
      <c r="G3762" s="1" t="s">
        <v>85</v>
      </c>
      <c r="H3762" s="1" t="s">
        <v>180</v>
      </c>
      <c r="I3762" s="1">
        <v>1723.34</v>
      </c>
      <c r="J3762" s="1">
        <v>8</v>
      </c>
      <c r="K3762" s="1">
        <v>13786.72</v>
      </c>
      <c r="L3762" s="1">
        <v>5</v>
      </c>
      <c r="M3762" s="1">
        <v>689.34</v>
      </c>
      <c r="N3762" s="1">
        <v>13097.38</v>
      </c>
      <c r="O3762" s="1" t="s">
        <v>33</v>
      </c>
      <c r="P3762" s="1" t="s">
        <v>2347</v>
      </c>
      <c r="Q3762" s="1">
        <v>4</v>
      </c>
      <c r="R3762" s="1">
        <f>Retail_Sales_Analyis[[#This Row],[Final_Price]]-Retail_Sales_Analyis[[#This Row],[Total_Price]]</f>
        <v>-689.34000000000015</v>
      </c>
      <c r="S37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63" spans="1:19" x14ac:dyDescent="0.25">
      <c r="A3763" s="1" t="s">
        <v>4882</v>
      </c>
      <c r="B3763" s="2">
        <v>45397</v>
      </c>
      <c r="C3763" s="1" t="s">
        <v>54</v>
      </c>
      <c r="D3763" s="1" t="s">
        <v>43</v>
      </c>
      <c r="E3763" s="1" t="s">
        <v>302</v>
      </c>
      <c r="F3763" s="1" t="s">
        <v>30</v>
      </c>
      <c r="G3763" s="1" t="s">
        <v>38</v>
      </c>
      <c r="H3763" s="1" t="s">
        <v>70</v>
      </c>
      <c r="I3763" s="1">
        <v>373.36</v>
      </c>
      <c r="J3763" s="1">
        <v>10</v>
      </c>
      <c r="K3763" s="1">
        <v>3733.6</v>
      </c>
      <c r="L3763" s="1">
        <v>0</v>
      </c>
      <c r="M3763" s="1">
        <v>0</v>
      </c>
      <c r="N3763" s="1">
        <v>3733.6</v>
      </c>
      <c r="O3763" s="1" t="s">
        <v>24</v>
      </c>
      <c r="P3763" s="1" t="s">
        <v>1039</v>
      </c>
      <c r="Q3763" s="1">
        <v>3</v>
      </c>
      <c r="R3763" s="1">
        <f>Retail_Sales_Analyis[[#This Row],[Final_Price]]-Retail_Sales_Analyis[[#This Row],[Total_Price]]</f>
        <v>0</v>
      </c>
      <c r="S37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4" spans="1:19" x14ac:dyDescent="0.25">
      <c r="A3764" s="1" t="s">
        <v>4883</v>
      </c>
      <c r="B3764" s="2">
        <v>45557</v>
      </c>
      <c r="C3764" s="1" t="s">
        <v>116</v>
      </c>
      <c r="D3764" s="1" t="s">
        <v>49</v>
      </c>
      <c r="E3764" s="1" t="s">
        <v>68</v>
      </c>
      <c r="F3764" s="1" t="s">
        <v>69</v>
      </c>
      <c r="G3764" s="1" t="s">
        <v>112</v>
      </c>
      <c r="H3764" s="1" t="s">
        <v>223</v>
      </c>
      <c r="I3764" s="1">
        <v>1152.1400000000001</v>
      </c>
      <c r="J3764" s="1">
        <v>7</v>
      </c>
      <c r="K3764" s="1">
        <v>8064.98</v>
      </c>
      <c r="L3764" s="1">
        <v>10</v>
      </c>
      <c r="M3764" s="1">
        <v>806.5</v>
      </c>
      <c r="N3764" s="1">
        <v>7258.48</v>
      </c>
      <c r="O3764" s="1" t="s">
        <v>80</v>
      </c>
      <c r="P3764" s="1" t="s">
        <v>826</v>
      </c>
      <c r="Q3764" s="1">
        <v>5</v>
      </c>
      <c r="R3764" s="1">
        <f>Retail_Sales_Analyis[[#This Row],[Final_Price]]-Retail_Sales_Analyis[[#This Row],[Total_Price]]</f>
        <v>-806.5</v>
      </c>
      <c r="S37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65" spans="1:19" x14ac:dyDescent="0.25">
      <c r="A3765" s="1" t="s">
        <v>4884</v>
      </c>
      <c r="B3765" s="2">
        <v>45602</v>
      </c>
      <c r="C3765" s="1" t="s">
        <v>18</v>
      </c>
      <c r="D3765" s="1" t="s">
        <v>55</v>
      </c>
      <c r="E3765" s="1" t="s">
        <v>44</v>
      </c>
      <c r="F3765" s="1" t="s">
        <v>69</v>
      </c>
      <c r="G3765" s="1" t="s">
        <v>22</v>
      </c>
      <c r="H3765" s="1" t="s">
        <v>23</v>
      </c>
      <c r="I3765" s="1">
        <v>968.23</v>
      </c>
      <c r="J3765" s="1">
        <v>8</v>
      </c>
      <c r="K3765" s="1">
        <v>7745.84</v>
      </c>
      <c r="L3765" s="1">
        <v>0</v>
      </c>
      <c r="M3765" s="1">
        <v>0</v>
      </c>
      <c r="N3765" s="1">
        <v>7745.84</v>
      </c>
      <c r="O3765" s="1" t="s">
        <v>46</v>
      </c>
      <c r="P3765" s="1" t="s">
        <v>641</v>
      </c>
      <c r="Q3765" s="1">
        <v>2</v>
      </c>
      <c r="R3765" s="1">
        <f>Retail_Sales_Analyis[[#This Row],[Final_Price]]-Retail_Sales_Analyis[[#This Row],[Total_Price]]</f>
        <v>0</v>
      </c>
      <c r="S37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6" spans="1:19" x14ac:dyDescent="0.25">
      <c r="A3766" s="1" t="s">
        <v>4885</v>
      </c>
      <c r="B3766" s="2">
        <v>45552</v>
      </c>
      <c r="C3766" s="1" t="s">
        <v>116</v>
      </c>
      <c r="D3766" s="1" t="s">
        <v>28</v>
      </c>
      <c r="E3766" s="1" t="s">
        <v>132</v>
      </c>
      <c r="F3766" s="1" t="s">
        <v>37</v>
      </c>
      <c r="G3766" s="1" t="s">
        <v>57</v>
      </c>
      <c r="H3766" s="1" t="s">
        <v>122</v>
      </c>
      <c r="I3766" s="1">
        <v>1184.58</v>
      </c>
      <c r="J3766" s="1">
        <v>5</v>
      </c>
      <c r="K3766" s="1">
        <v>5922.9</v>
      </c>
      <c r="L3766" s="1">
        <v>15</v>
      </c>
      <c r="M3766" s="1">
        <v>888.43</v>
      </c>
      <c r="N3766" s="1">
        <v>5034.47</v>
      </c>
      <c r="O3766" s="1" t="s">
        <v>33</v>
      </c>
      <c r="P3766" s="1" t="s">
        <v>629</v>
      </c>
      <c r="Q3766" s="1">
        <v>1</v>
      </c>
      <c r="R3766" s="1">
        <f>Retail_Sales_Analyis[[#This Row],[Final_Price]]-Retail_Sales_Analyis[[#This Row],[Total_Price]]</f>
        <v>-888.42999999999938</v>
      </c>
      <c r="S37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67" spans="1:19" x14ac:dyDescent="0.25">
      <c r="A3767" s="1" t="s">
        <v>4886</v>
      </c>
      <c r="B3767" s="2">
        <v>45388</v>
      </c>
      <c r="C3767" s="1" t="s">
        <v>54</v>
      </c>
      <c r="D3767" s="1" t="s">
        <v>19</v>
      </c>
      <c r="E3767" s="1" t="s">
        <v>307</v>
      </c>
      <c r="F3767" s="1" t="s">
        <v>30</v>
      </c>
      <c r="G3767" s="1" t="s">
        <v>169</v>
      </c>
      <c r="H3767" s="1" t="s">
        <v>208</v>
      </c>
      <c r="I3767" s="1">
        <v>1363.14</v>
      </c>
      <c r="J3767" s="1">
        <v>5</v>
      </c>
      <c r="K3767" s="1">
        <v>6815.7</v>
      </c>
      <c r="L3767" s="1">
        <v>0</v>
      </c>
      <c r="M3767" s="1">
        <v>0</v>
      </c>
      <c r="N3767" s="1">
        <v>6815.7</v>
      </c>
      <c r="O3767" s="1" t="s">
        <v>33</v>
      </c>
      <c r="P3767" s="1" t="s">
        <v>4887</v>
      </c>
      <c r="Q3767" s="1">
        <v>2</v>
      </c>
      <c r="R3767" s="1">
        <f>Retail_Sales_Analyis[[#This Row],[Final_Price]]-Retail_Sales_Analyis[[#This Row],[Total_Price]]</f>
        <v>0</v>
      </c>
      <c r="S37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8" spans="1:19" x14ac:dyDescent="0.25">
      <c r="A3768" s="1" t="s">
        <v>4888</v>
      </c>
      <c r="B3768" s="2">
        <v>45492</v>
      </c>
      <c r="C3768" s="1" t="s">
        <v>195</v>
      </c>
      <c r="D3768" s="1" t="s">
        <v>144</v>
      </c>
      <c r="E3768" s="1" t="s">
        <v>196</v>
      </c>
      <c r="F3768" s="1" t="s">
        <v>84</v>
      </c>
      <c r="G3768" s="1" t="s">
        <v>78</v>
      </c>
      <c r="H3768" s="1" t="s">
        <v>146</v>
      </c>
      <c r="I3768" s="1">
        <v>421.37</v>
      </c>
      <c r="J3768" s="1">
        <v>1</v>
      </c>
      <c r="K3768" s="1">
        <v>421.37</v>
      </c>
      <c r="L3768" s="1">
        <v>0</v>
      </c>
      <c r="M3768" s="1">
        <v>0</v>
      </c>
      <c r="N3768" s="1">
        <v>421.37</v>
      </c>
      <c r="O3768" s="1" t="s">
        <v>33</v>
      </c>
      <c r="P3768" s="1" t="s">
        <v>4889</v>
      </c>
      <c r="Q3768" s="1">
        <v>1</v>
      </c>
      <c r="R3768" s="1">
        <f>Retail_Sales_Analyis[[#This Row],[Final_Price]]-Retail_Sales_Analyis[[#This Row],[Total_Price]]</f>
        <v>0</v>
      </c>
      <c r="S37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69" spans="1:19" x14ac:dyDescent="0.25">
      <c r="A3769" s="1" t="s">
        <v>4890</v>
      </c>
      <c r="B3769" s="2">
        <v>45443</v>
      </c>
      <c r="C3769" s="1" t="s">
        <v>42</v>
      </c>
      <c r="D3769" s="1" t="s">
        <v>144</v>
      </c>
      <c r="E3769" s="1" t="s">
        <v>196</v>
      </c>
      <c r="F3769" s="1" t="s">
        <v>21</v>
      </c>
      <c r="G3769" s="1" t="s">
        <v>57</v>
      </c>
      <c r="H3769" s="1" t="s">
        <v>101</v>
      </c>
      <c r="I3769" s="1">
        <v>2558.7399999999998</v>
      </c>
      <c r="J3769" s="1">
        <v>5</v>
      </c>
      <c r="K3769" s="1">
        <v>12793.7</v>
      </c>
      <c r="L3769" s="1">
        <v>5</v>
      </c>
      <c r="M3769" s="1">
        <v>639.69000000000005</v>
      </c>
      <c r="N3769" s="1">
        <v>12154.01</v>
      </c>
      <c r="O3769" s="1" t="s">
        <v>24</v>
      </c>
      <c r="P3769" s="1" t="s">
        <v>1456</v>
      </c>
      <c r="Q3769" s="1">
        <v>4</v>
      </c>
      <c r="R3769" s="1">
        <f>Retail_Sales_Analyis[[#This Row],[Final_Price]]-Retail_Sales_Analyis[[#This Row],[Total_Price]]</f>
        <v>-639.69000000000051</v>
      </c>
      <c r="S37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70" spans="1:19" x14ac:dyDescent="0.25">
      <c r="A3770" s="1" t="s">
        <v>4891</v>
      </c>
      <c r="B3770" s="2">
        <v>45622</v>
      </c>
      <c r="C3770" s="1" t="s">
        <v>18</v>
      </c>
      <c r="D3770" s="1" t="s">
        <v>28</v>
      </c>
      <c r="E3770" s="1" t="s">
        <v>186</v>
      </c>
      <c r="F3770" s="1" t="s">
        <v>37</v>
      </c>
      <c r="G3770" s="1" t="s">
        <v>85</v>
      </c>
      <c r="H3770" s="1" t="s">
        <v>180</v>
      </c>
      <c r="I3770" s="1">
        <v>3673.72</v>
      </c>
      <c r="J3770" s="1">
        <v>2</v>
      </c>
      <c r="K3770" s="1">
        <v>7347.44</v>
      </c>
      <c r="L3770" s="1">
        <v>15</v>
      </c>
      <c r="M3770" s="1">
        <v>1102.1199999999999</v>
      </c>
      <c r="N3770" s="1">
        <v>6245.32</v>
      </c>
      <c r="O3770" s="1" t="s">
        <v>33</v>
      </c>
      <c r="P3770" s="1" t="s">
        <v>4285</v>
      </c>
      <c r="Q3770" s="1">
        <v>3</v>
      </c>
      <c r="R3770" s="1">
        <f>Retail_Sales_Analyis[[#This Row],[Final_Price]]-Retail_Sales_Analyis[[#This Row],[Total_Price]]</f>
        <v>-1102.1199999999999</v>
      </c>
      <c r="S37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71" spans="1:19" x14ac:dyDescent="0.25">
      <c r="A3771" s="1" t="s">
        <v>4892</v>
      </c>
      <c r="B3771" s="2">
        <v>45319</v>
      </c>
      <c r="C3771" s="1" t="s">
        <v>36</v>
      </c>
      <c r="D3771" s="1" t="s">
        <v>49</v>
      </c>
      <c r="E3771" s="1" t="s">
        <v>351</v>
      </c>
      <c r="F3771" s="1" t="s">
        <v>21</v>
      </c>
      <c r="G3771" s="1" t="s">
        <v>22</v>
      </c>
      <c r="H3771" s="1" t="s">
        <v>133</v>
      </c>
      <c r="I3771" s="1">
        <v>374.09</v>
      </c>
      <c r="J3771" s="1">
        <v>6</v>
      </c>
      <c r="K3771" s="1">
        <v>2244.54</v>
      </c>
      <c r="L3771" s="1">
        <v>0</v>
      </c>
      <c r="M3771" s="1">
        <v>0</v>
      </c>
      <c r="N3771" s="1">
        <v>2244.54</v>
      </c>
      <c r="O3771" s="1" t="s">
        <v>64</v>
      </c>
      <c r="P3771" s="1" t="s">
        <v>105</v>
      </c>
      <c r="Q3771" s="1">
        <v>5</v>
      </c>
      <c r="R3771" s="1">
        <f>Retail_Sales_Analyis[[#This Row],[Final_Price]]-Retail_Sales_Analyis[[#This Row],[Total_Price]]</f>
        <v>0</v>
      </c>
      <c r="S37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72" spans="1:19" x14ac:dyDescent="0.25">
      <c r="A3772" s="1" t="s">
        <v>4893</v>
      </c>
      <c r="B3772" s="2">
        <v>45414</v>
      </c>
      <c r="C3772" s="1" t="s">
        <v>42</v>
      </c>
      <c r="D3772" s="1" t="s">
        <v>67</v>
      </c>
      <c r="E3772" s="1" t="s">
        <v>107</v>
      </c>
      <c r="F3772" s="1" t="s">
        <v>21</v>
      </c>
      <c r="G3772" s="1" t="s">
        <v>38</v>
      </c>
      <c r="H3772" s="1" t="s">
        <v>422</v>
      </c>
      <c r="I3772" s="1">
        <v>756.48</v>
      </c>
      <c r="J3772" s="1">
        <v>8</v>
      </c>
      <c r="K3772" s="1">
        <v>6051.84</v>
      </c>
      <c r="L3772" s="1">
        <v>10</v>
      </c>
      <c r="M3772" s="1">
        <v>605.17999999999995</v>
      </c>
      <c r="N3772" s="1">
        <v>5446.66</v>
      </c>
      <c r="O3772" s="1" t="s">
        <v>80</v>
      </c>
      <c r="P3772" s="1" t="s">
        <v>3703</v>
      </c>
      <c r="Q3772" s="1">
        <v>3</v>
      </c>
      <c r="R3772" s="1">
        <f>Retail_Sales_Analyis[[#This Row],[Final_Price]]-Retail_Sales_Analyis[[#This Row],[Total_Price]]</f>
        <v>-605.18000000000029</v>
      </c>
      <c r="S37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73" spans="1:19" x14ac:dyDescent="0.25">
      <c r="A3773" s="1" t="s">
        <v>4894</v>
      </c>
      <c r="B3773" s="2">
        <v>45545</v>
      </c>
      <c r="C3773" s="1" t="s">
        <v>116</v>
      </c>
      <c r="D3773" s="1" t="s">
        <v>28</v>
      </c>
      <c r="E3773" s="1" t="s">
        <v>62</v>
      </c>
      <c r="F3773" s="1" t="s">
        <v>30</v>
      </c>
      <c r="G3773" s="1" t="s">
        <v>169</v>
      </c>
      <c r="H3773" s="1" t="s">
        <v>348</v>
      </c>
      <c r="I3773" s="1">
        <v>1009.84</v>
      </c>
      <c r="J3773" s="1">
        <v>5</v>
      </c>
      <c r="K3773" s="1">
        <v>5049.2</v>
      </c>
      <c r="L3773" s="1">
        <v>10</v>
      </c>
      <c r="M3773" s="1">
        <v>504.92</v>
      </c>
      <c r="N3773" s="1">
        <v>4544.28</v>
      </c>
      <c r="O3773" s="1" t="s">
        <v>33</v>
      </c>
      <c r="P3773" s="1" t="s">
        <v>1675</v>
      </c>
      <c r="Q3773" s="1">
        <v>3</v>
      </c>
      <c r="R3773" s="1">
        <f>Retail_Sales_Analyis[[#This Row],[Final_Price]]-Retail_Sales_Analyis[[#This Row],[Total_Price]]</f>
        <v>-504.92000000000007</v>
      </c>
      <c r="S37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74" spans="1:19" x14ac:dyDescent="0.25">
      <c r="A3774" s="1" t="s">
        <v>4895</v>
      </c>
      <c r="B3774" s="2">
        <v>45489</v>
      </c>
      <c r="C3774" s="1" t="s">
        <v>195</v>
      </c>
      <c r="D3774" s="1" t="s">
        <v>28</v>
      </c>
      <c r="E3774" s="1" t="s">
        <v>129</v>
      </c>
      <c r="F3774" s="1" t="s">
        <v>69</v>
      </c>
      <c r="G3774" s="1" t="s">
        <v>78</v>
      </c>
      <c r="H3774" s="1" t="s">
        <v>126</v>
      </c>
      <c r="I3774" s="1">
        <v>309.32</v>
      </c>
      <c r="J3774" s="1">
        <v>8</v>
      </c>
      <c r="K3774" s="1">
        <v>2474.56</v>
      </c>
      <c r="L3774" s="1">
        <v>15</v>
      </c>
      <c r="M3774" s="1">
        <v>371.18</v>
      </c>
      <c r="N3774" s="1">
        <v>2103.38</v>
      </c>
      <c r="O3774" s="1" t="s">
        <v>80</v>
      </c>
      <c r="P3774" s="1" t="s">
        <v>1977</v>
      </c>
      <c r="Q3774" s="1">
        <v>1</v>
      </c>
      <c r="R3774" s="1">
        <f>Retail_Sales_Analyis[[#This Row],[Final_Price]]-Retail_Sales_Analyis[[#This Row],[Total_Price]]</f>
        <v>-371.17999999999984</v>
      </c>
      <c r="S37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75" spans="1:19" x14ac:dyDescent="0.25">
      <c r="A3775" s="1" t="s">
        <v>4896</v>
      </c>
      <c r="B3775" s="2">
        <v>45349</v>
      </c>
      <c r="C3775" s="1" t="s">
        <v>27</v>
      </c>
      <c r="D3775" s="1" t="s">
        <v>28</v>
      </c>
      <c r="E3775" s="1" t="s">
        <v>204</v>
      </c>
      <c r="F3775" s="1" t="s">
        <v>37</v>
      </c>
      <c r="G3775" s="1" t="s">
        <v>57</v>
      </c>
      <c r="H3775" s="1" t="s">
        <v>152</v>
      </c>
      <c r="I3775" s="1">
        <v>1580.43</v>
      </c>
      <c r="J3775" s="1">
        <v>5</v>
      </c>
      <c r="K3775" s="1">
        <v>7902.15</v>
      </c>
      <c r="L3775" s="1">
        <v>15</v>
      </c>
      <c r="M3775" s="1">
        <v>1185.32</v>
      </c>
      <c r="N3775" s="1">
        <v>6716.83</v>
      </c>
      <c r="O3775" s="1" t="s">
        <v>64</v>
      </c>
      <c r="P3775" s="1" t="s">
        <v>4775</v>
      </c>
      <c r="Q3775" s="1">
        <v>4</v>
      </c>
      <c r="R3775" s="1">
        <f>Retail_Sales_Analyis[[#This Row],[Final_Price]]-Retail_Sales_Analyis[[#This Row],[Total_Price]]</f>
        <v>-1185.3199999999997</v>
      </c>
      <c r="S37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76" spans="1:19" x14ac:dyDescent="0.25">
      <c r="A3776" s="1" t="s">
        <v>4897</v>
      </c>
      <c r="B3776" s="2">
        <v>45415</v>
      </c>
      <c r="C3776" s="1" t="s">
        <v>42</v>
      </c>
      <c r="D3776" s="1" t="s">
        <v>144</v>
      </c>
      <c r="E3776" s="1" t="s">
        <v>89</v>
      </c>
      <c r="F3776" s="1" t="s">
        <v>21</v>
      </c>
      <c r="G3776" s="1" t="s">
        <v>57</v>
      </c>
      <c r="H3776" s="1" t="s">
        <v>101</v>
      </c>
      <c r="I3776" s="1">
        <v>2580.02</v>
      </c>
      <c r="J3776" s="1">
        <v>5</v>
      </c>
      <c r="K3776" s="1">
        <v>12900.1</v>
      </c>
      <c r="L3776" s="1">
        <v>0</v>
      </c>
      <c r="M3776" s="1">
        <v>0</v>
      </c>
      <c r="N3776" s="1">
        <v>12900.1</v>
      </c>
      <c r="O3776" s="1" t="s">
        <v>64</v>
      </c>
      <c r="P3776" s="1" t="s">
        <v>1246</v>
      </c>
      <c r="Q3776" s="1">
        <v>2</v>
      </c>
      <c r="R3776" s="1">
        <f>Retail_Sales_Analyis[[#This Row],[Final_Price]]-Retail_Sales_Analyis[[#This Row],[Total_Price]]</f>
        <v>0</v>
      </c>
      <c r="S37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77" spans="1:19" x14ac:dyDescent="0.25">
      <c r="A3777" s="1" t="s">
        <v>4898</v>
      </c>
      <c r="B3777" s="2">
        <v>45547</v>
      </c>
      <c r="C3777" s="1" t="s">
        <v>116</v>
      </c>
      <c r="D3777" s="1" t="s">
        <v>67</v>
      </c>
      <c r="E3777" s="1" t="s">
        <v>77</v>
      </c>
      <c r="F3777" s="1" t="s">
        <v>30</v>
      </c>
      <c r="G3777" s="1" t="s">
        <v>85</v>
      </c>
      <c r="H3777" s="1" t="s">
        <v>86</v>
      </c>
      <c r="I3777" s="1">
        <v>2549.85</v>
      </c>
      <c r="J3777" s="1">
        <v>8</v>
      </c>
      <c r="K3777" s="1">
        <v>20398.8</v>
      </c>
      <c r="L3777" s="1">
        <v>5</v>
      </c>
      <c r="M3777" s="1">
        <v>1019.94</v>
      </c>
      <c r="N3777" s="1">
        <v>19378.86</v>
      </c>
      <c r="O3777" s="1" t="s">
        <v>46</v>
      </c>
      <c r="P3777" s="1" t="s">
        <v>673</v>
      </c>
      <c r="Q3777" s="1">
        <v>1</v>
      </c>
      <c r="R3777" s="1">
        <f>Retail_Sales_Analyis[[#This Row],[Final_Price]]-Retail_Sales_Analyis[[#This Row],[Total_Price]]</f>
        <v>-1019.9399999999987</v>
      </c>
      <c r="S37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78" spans="1:19" x14ac:dyDescent="0.25">
      <c r="A3778" s="1" t="s">
        <v>4899</v>
      </c>
      <c r="B3778" s="2">
        <v>45618</v>
      </c>
      <c r="C3778" s="1" t="s">
        <v>18</v>
      </c>
      <c r="D3778" s="1" t="s">
        <v>144</v>
      </c>
      <c r="E3778" s="1" t="s">
        <v>163</v>
      </c>
      <c r="F3778" s="1" t="s">
        <v>69</v>
      </c>
      <c r="G3778" s="1" t="s">
        <v>38</v>
      </c>
      <c r="H3778" s="1" t="s">
        <v>108</v>
      </c>
      <c r="I3778" s="1">
        <v>335.45</v>
      </c>
      <c r="J3778" s="1">
        <v>6</v>
      </c>
      <c r="K3778" s="1">
        <v>2012.7</v>
      </c>
      <c r="L3778" s="1">
        <v>0</v>
      </c>
      <c r="M3778" s="1">
        <v>0</v>
      </c>
      <c r="N3778" s="1">
        <v>2012.7</v>
      </c>
      <c r="O3778" s="1" t="s">
        <v>24</v>
      </c>
      <c r="P3778" s="1" t="s">
        <v>1399</v>
      </c>
      <c r="Q3778" s="1">
        <v>2</v>
      </c>
      <c r="R3778" s="1">
        <f>Retail_Sales_Analyis[[#This Row],[Final_Price]]-Retail_Sales_Analyis[[#This Row],[Total_Price]]</f>
        <v>0</v>
      </c>
      <c r="S37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79" spans="1:19" x14ac:dyDescent="0.25">
      <c r="A3779" s="1" t="s">
        <v>4900</v>
      </c>
      <c r="B3779" s="2">
        <v>45596</v>
      </c>
      <c r="C3779" s="1" t="s">
        <v>76</v>
      </c>
      <c r="D3779" s="1" t="s">
        <v>67</v>
      </c>
      <c r="E3779" s="1" t="s">
        <v>141</v>
      </c>
      <c r="F3779" s="1" t="s">
        <v>84</v>
      </c>
      <c r="G3779" s="1" t="s">
        <v>169</v>
      </c>
      <c r="H3779" s="1" t="s">
        <v>208</v>
      </c>
      <c r="I3779" s="1">
        <v>1457.79</v>
      </c>
      <c r="J3779" s="1">
        <v>6</v>
      </c>
      <c r="K3779" s="1">
        <v>8746.74</v>
      </c>
      <c r="L3779" s="1">
        <v>0</v>
      </c>
      <c r="M3779" s="1">
        <v>0</v>
      </c>
      <c r="N3779" s="1">
        <v>8746.74</v>
      </c>
      <c r="O3779" s="1" t="s">
        <v>64</v>
      </c>
      <c r="P3779" s="1" t="s">
        <v>1254</v>
      </c>
      <c r="Q3779" s="1">
        <v>2</v>
      </c>
      <c r="R3779" s="1">
        <f>Retail_Sales_Analyis[[#This Row],[Final_Price]]-Retail_Sales_Analyis[[#This Row],[Total_Price]]</f>
        <v>0</v>
      </c>
      <c r="S37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80" spans="1:19" x14ac:dyDescent="0.25">
      <c r="A3780" s="1" t="s">
        <v>4901</v>
      </c>
      <c r="B3780" s="2">
        <v>45328</v>
      </c>
      <c r="C3780" s="1" t="s">
        <v>27</v>
      </c>
      <c r="D3780" s="1" t="s">
        <v>28</v>
      </c>
      <c r="E3780" s="1" t="s">
        <v>411</v>
      </c>
      <c r="F3780" s="1" t="s">
        <v>21</v>
      </c>
      <c r="G3780" s="1" t="s">
        <v>112</v>
      </c>
      <c r="H3780" s="1" t="s">
        <v>288</v>
      </c>
      <c r="I3780" s="1">
        <v>1662.42</v>
      </c>
      <c r="J3780" s="1">
        <v>5</v>
      </c>
      <c r="K3780" s="1">
        <v>8312.1</v>
      </c>
      <c r="L3780" s="1">
        <v>15</v>
      </c>
      <c r="M3780" s="1">
        <v>1246.82</v>
      </c>
      <c r="N3780" s="1">
        <v>7065.28</v>
      </c>
      <c r="O3780" s="1" t="s">
        <v>46</v>
      </c>
      <c r="P3780" s="1" t="s">
        <v>1418</v>
      </c>
      <c r="Q3780" s="1">
        <v>5</v>
      </c>
      <c r="R3780" s="1">
        <f>Retail_Sales_Analyis[[#This Row],[Final_Price]]-Retail_Sales_Analyis[[#This Row],[Total_Price]]</f>
        <v>-1246.8200000000006</v>
      </c>
      <c r="S37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81" spans="1:19" x14ac:dyDescent="0.25">
      <c r="A3781" s="1" t="s">
        <v>4902</v>
      </c>
      <c r="B3781" s="2">
        <v>45562</v>
      </c>
      <c r="C3781" s="1" t="s">
        <v>116</v>
      </c>
      <c r="D3781" s="1" t="s">
        <v>144</v>
      </c>
      <c r="E3781" s="1" t="s">
        <v>129</v>
      </c>
      <c r="F3781" s="1" t="s">
        <v>21</v>
      </c>
      <c r="G3781" s="1" t="s">
        <v>85</v>
      </c>
      <c r="H3781" s="1" t="s">
        <v>86</v>
      </c>
      <c r="I3781" s="1">
        <v>4119.37</v>
      </c>
      <c r="J3781" s="1">
        <v>7</v>
      </c>
      <c r="K3781" s="1">
        <v>28835.59</v>
      </c>
      <c r="L3781" s="1">
        <v>5</v>
      </c>
      <c r="M3781" s="1">
        <v>1441.78</v>
      </c>
      <c r="N3781" s="1">
        <v>27393.81</v>
      </c>
      <c r="O3781" s="1" t="s">
        <v>33</v>
      </c>
      <c r="P3781" s="1" t="s">
        <v>2330</v>
      </c>
      <c r="Q3781" s="1">
        <v>3</v>
      </c>
      <c r="R3781" s="1">
        <f>Retail_Sales_Analyis[[#This Row],[Final_Price]]-Retail_Sales_Analyis[[#This Row],[Total_Price]]</f>
        <v>-1441.7799999999988</v>
      </c>
      <c r="S378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82" spans="1:19" x14ac:dyDescent="0.25">
      <c r="A3782" s="1" t="s">
        <v>4903</v>
      </c>
      <c r="B3782" s="2">
        <v>45298</v>
      </c>
      <c r="C3782" s="1" t="s">
        <v>36</v>
      </c>
      <c r="D3782" s="1" t="s">
        <v>49</v>
      </c>
      <c r="E3782" s="1" t="s">
        <v>186</v>
      </c>
      <c r="F3782" s="1" t="s">
        <v>21</v>
      </c>
      <c r="G3782" s="1" t="s">
        <v>57</v>
      </c>
      <c r="H3782" s="1" t="s">
        <v>158</v>
      </c>
      <c r="I3782" s="1">
        <v>2157.79</v>
      </c>
      <c r="J3782" s="1">
        <v>4</v>
      </c>
      <c r="K3782" s="1">
        <v>8631.16</v>
      </c>
      <c r="L3782" s="1">
        <v>20</v>
      </c>
      <c r="M3782" s="1">
        <v>1726.23</v>
      </c>
      <c r="N3782" s="1">
        <v>6904.93</v>
      </c>
      <c r="O3782" s="1" t="s">
        <v>64</v>
      </c>
      <c r="P3782" s="1" t="s">
        <v>1052</v>
      </c>
      <c r="Q3782" s="1">
        <v>4</v>
      </c>
      <c r="R3782" s="1">
        <f>Retail_Sales_Analyis[[#This Row],[Final_Price]]-Retail_Sales_Analyis[[#This Row],[Total_Price]]</f>
        <v>-1726.2299999999996</v>
      </c>
      <c r="S378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83" spans="1:19" x14ac:dyDescent="0.25">
      <c r="A3783" s="1" t="s">
        <v>4904</v>
      </c>
      <c r="B3783" s="2">
        <v>45476</v>
      </c>
      <c r="C3783" s="1" t="s">
        <v>195</v>
      </c>
      <c r="D3783" s="1" t="s">
        <v>55</v>
      </c>
      <c r="E3783" s="1" t="s">
        <v>239</v>
      </c>
      <c r="F3783" s="1" t="s">
        <v>30</v>
      </c>
      <c r="G3783" s="1" t="s">
        <v>31</v>
      </c>
      <c r="H3783" s="1" t="s">
        <v>45</v>
      </c>
      <c r="I3783" s="1">
        <v>483.53</v>
      </c>
      <c r="J3783" s="1">
        <v>10</v>
      </c>
      <c r="K3783" s="1">
        <v>4835.3</v>
      </c>
      <c r="L3783" s="1">
        <v>5</v>
      </c>
      <c r="M3783" s="1">
        <v>241.77</v>
      </c>
      <c r="N3783" s="1">
        <v>4593.53</v>
      </c>
      <c r="O3783" s="1" t="s">
        <v>80</v>
      </c>
      <c r="P3783" s="1" t="s">
        <v>130</v>
      </c>
      <c r="Q3783" s="1">
        <v>2</v>
      </c>
      <c r="R3783" s="1">
        <f>Retail_Sales_Analyis[[#This Row],[Final_Price]]-Retail_Sales_Analyis[[#This Row],[Total_Price]]</f>
        <v>-241.77000000000044</v>
      </c>
      <c r="S37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84" spans="1:19" x14ac:dyDescent="0.25">
      <c r="A3784" s="1" t="s">
        <v>4905</v>
      </c>
      <c r="B3784" s="2">
        <v>45454</v>
      </c>
      <c r="C3784" s="1" t="s">
        <v>173</v>
      </c>
      <c r="D3784" s="1" t="s">
        <v>28</v>
      </c>
      <c r="E3784" s="1" t="s">
        <v>192</v>
      </c>
      <c r="F3784" s="1" t="s">
        <v>30</v>
      </c>
      <c r="G3784" s="1" t="s">
        <v>112</v>
      </c>
      <c r="H3784" s="1" t="s">
        <v>223</v>
      </c>
      <c r="I3784" s="1">
        <v>706.93</v>
      </c>
      <c r="J3784" s="1">
        <v>1</v>
      </c>
      <c r="K3784" s="1">
        <v>706.93</v>
      </c>
      <c r="L3784" s="1">
        <v>5</v>
      </c>
      <c r="M3784" s="1">
        <v>35.35</v>
      </c>
      <c r="N3784" s="1">
        <v>671.58</v>
      </c>
      <c r="O3784" s="1" t="s">
        <v>33</v>
      </c>
      <c r="P3784" s="1" t="s">
        <v>1479</v>
      </c>
      <c r="Q3784" s="1">
        <v>2</v>
      </c>
      <c r="R3784" s="1">
        <f>Retail_Sales_Analyis[[#This Row],[Final_Price]]-Retail_Sales_Analyis[[#This Row],[Total_Price]]</f>
        <v>-35.349999999999909</v>
      </c>
      <c r="S37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85" spans="1:19" x14ac:dyDescent="0.25">
      <c r="A3785" s="1" t="s">
        <v>4906</v>
      </c>
      <c r="B3785" s="2">
        <v>45359</v>
      </c>
      <c r="C3785" s="1" t="s">
        <v>61</v>
      </c>
      <c r="D3785" s="1" t="s">
        <v>144</v>
      </c>
      <c r="E3785" s="1" t="s">
        <v>145</v>
      </c>
      <c r="F3785" s="1" t="s">
        <v>69</v>
      </c>
      <c r="G3785" s="1" t="s">
        <v>38</v>
      </c>
      <c r="H3785" s="1" t="s">
        <v>70</v>
      </c>
      <c r="I3785" s="1">
        <v>369.76</v>
      </c>
      <c r="J3785" s="1">
        <v>10</v>
      </c>
      <c r="K3785" s="1">
        <v>3697.6</v>
      </c>
      <c r="L3785" s="1">
        <v>15</v>
      </c>
      <c r="M3785" s="1">
        <v>554.64</v>
      </c>
      <c r="N3785" s="1">
        <v>3142.96</v>
      </c>
      <c r="O3785" s="1" t="s">
        <v>33</v>
      </c>
      <c r="P3785" s="1" t="s">
        <v>2543</v>
      </c>
      <c r="Q3785" s="1">
        <v>3</v>
      </c>
      <c r="R3785" s="1">
        <f>Retail_Sales_Analyis[[#This Row],[Final_Price]]-Retail_Sales_Analyis[[#This Row],[Total_Price]]</f>
        <v>-554.63999999999987</v>
      </c>
      <c r="S37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86" spans="1:19" x14ac:dyDescent="0.25">
      <c r="A3786" s="1" t="s">
        <v>4907</v>
      </c>
      <c r="B3786" s="2">
        <v>45490</v>
      </c>
      <c r="C3786" s="1" t="s">
        <v>195</v>
      </c>
      <c r="D3786" s="1" t="s">
        <v>55</v>
      </c>
      <c r="E3786" s="1" t="s">
        <v>157</v>
      </c>
      <c r="F3786" s="1" t="s">
        <v>84</v>
      </c>
      <c r="G3786" s="1" t="s">
        <v>78</v>
      </c>
      <c r="H3786" s="1" t="s">
        <v>323</v>
      </c>
      <c r="I3786" s="1">
        <v>364.38</v>
      </c>
      <c r="J3786" s="1">
        <v>2</v>
      </c>
      <c r="K3786" s="1">
        <v>728.76</v>
      </c>
      <c r="L3786" s="1">
        <v>0</v>
      </c>
      <c r="M3786" s="1">
        <v>0</v>
      </c>
      <c r="N3786" s="1">
        <v>728.76</v>
      </c>
      <c r="O3786" s="1" t="s">
        <v>46</v>
      </c>
      <c r="P3786" s="1" t="s">
        <v>1789</v>
      </c>
      <c r="Q3786" s="1">
        <v>2</v>
      </c>
      <c r="R3786" s="1">
        <f>Retail_Sales_Analyis[[#This Row],[Final_Price]]-Retail_Sales_Analyis[[#This Row],[Total_Price]]</f>
        <v>0</v>
      </c>
      <c r="S37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87" spans="1:19" x14ac:dyDescent="0.25">
      <c r="A3787" s="1" t="s">
        <v>4908</v>
      </c>
      <c r="B3787" s="2">
        <v>45583</v>
      </c>
      <c r="C3787" s="1" t="s">
        <v>76</v>
      </c>
      <c r="D3787" s="1" t="s">
        <v>144</v>
      </c>
      <c r="E3787" s="1" t="s">
        <v>111</v>
      </c>
      <c r="F3787" s="1" t="s">
        <v>69</v>
      </c>
      <c r="G3787" s="1" t="s">
        <v>57</v>
      </c>
      <c r="H3787" s="1" t="s">
        <v>152</v>
      </c>
      <c r="I3787" s="1">
        <v>1757.12</v>
      </c>
      <c r="J3787" s="1">
        <v>4</v>
      </c>
      <c r="K3787" s="1">
        <v>7028.48</v>
      </c>
      <c r="L3787" s="1">
        <v>0</v>
      </c>
      <c r="M3787" s="1">
        <v>0</v>
      </c>
      <c r="N3787" s="1">
        <v>7028.48</v>
      </c>
      <c r="O3787" s="1" t="s">
        <v>80</v>
      </c>
      <c r="P3787" s="1" t="s">
        <v>2526</v>
      </c>
      <c r="Q3787" s="1">
        <v>3</v>
      </c>
      <c r="R3787" s="1">
        <f>Retail_Sales_Analyis[[#This Row],[Final_Price]]-Retail_Sales_Analyis[[#This Row],[Total_Price]]</f>
        <v>0</v>
      </c>
      <c r="S37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88" spans="1:19" x14ac:dyDescent="0.25">
      <c r="A3788" s="1" t="s">
        <v>4909</v>
      </c>
      <c r="B3788" s="2">
        <v>45507</v>
      </c>
      <c r="C3788" s="1" t="s">
        <v>93</v>
      </c>
      <c r="D3788" s="1" t="s">
        <v>19</v>
      </c>
      <c r="E3788" s="1" t="s">
        <v>83</v>
      </c>
      <c r="F3788" s="1" t="s">
        <v>21</v>
      </c>
      <c r="G3788" s="1" t="s">
        <v>57</v>
      </c>
      <c r="H3788" s="1" t="s">
        <v>101</v>
      </c>
      <c r="I3788" s="1">
        <v>1507.8</v>
      </c>
      <c r="J3788" s="1">
        <v>4</v>
      </c>
      <c r="K3788" s="1">
        <v>6031.2</v>
      </c>
      <c r="L3788" s="1">
        <v>0</v>
      </c>
      <c r="M3788" s="1">
        <v>0</v>
      </c>
      <c r="N3788" s="1">
        <v>6031.2</v>
      </c>
      <c r="O3788" s="1" t="s">
        <v>64</v>
      </c>
      <c r="P3788" s="1" t="s">
        <v>907</v>
      </c>
      <c r="Q3788" s="1">
        <v>5</v>
      </c>
      <c r="R3788" s="1">
        <f>Retail_Sales_Analyis[[#This Row],[Final_Price]]-Retail_Sales_Analyis[[#This Row],[Total_Price]]</f>
        <v>0</v>
      </c>
      <c r="S37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89" spans="1:19" x14ac:dyDescent="0.25">
      <c r="A3789" s="1" t="s">
        <v>4910</v>
      </c>
      <c r="B3789" s="2">
        <v>45479</v>
      </c>
      <c r="C3789" s="1" t="s">
        <v>195</v>
      </c>
      <c r="D3789" s="1" t="s">
        <v>19</v>
      </c>
      <c r="E3789" s="1" t="s">
        <v>285</v>
      </c>
      <c r="F3789" s="1" t="s">
        <v>69</v>
      </c>
      <c r="G3789" s="1" t="s">
        <v>38</v>
      </c>
      <c r="H3789" s="1" t="s">
        <v>39</v>
      </c>
      <c r="I3789" s="1">
        <v>619.45000000000005</v>
      </c>
      <c r="J3789" s="1">
        <v>9</v>
      </c>
      <c r="K3789" s="1">
        <v>5575.05</v>
      </c>
      <c r="L3789" s="1">
        <v>0</v>
      </c>
      <c r="M3789" s="1">
        <v>0</v>
      </c>
      <c r="N3789" s="1">
        <v>5575.05</v>
      </c>
      <c r="O3789" s="1" t="s">
        <v>24</v>
      </c>
      <c r="P3789" s="1" t="s">
        <v>2800</v>
      </c>
      <c r="Q3789" s="1">
        <v>2</v>
      </c>
      <c r="R3789" s="1">
        <f>Retail_Sales_Analyis[[#This Row],[Final_Price]]-Retail_Sales_Analyis[[#This Row],[Total_Price]]</f>
        <v>0</v>
      </c>
      <c r="S37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790" spans="1:19" x14ac:dyDescent="0.25">
      <c r="A3790" s="1" t="s">
        <v>4911</v>
      </c>
      <c r="B3790" s="2">
        <v>45571</v>
      </c>
      <c r="C3790" s="1" t="s">
        <v>76</v>
      </c>
      <c r="D3790" s="1" t="s">
        <v>49</v>
      </c>
      <c r="E3790" s="1" t="s">
        <v>141</v>
      </c>
      <c r="F3790" s="1" t="s">
        <v>37</v>
      </c>
      <c r="G3790" s="1" t="s">
        <v>78</v>
      </c>
      <c r="H3790" s="1" t="s">
        <v>126</v>
      </c>
      <c r="I3790" s="1">
        <v>437.51</v>
      </c>
      <c r="J3790" s="1">
        <v>1</v>
      </c>
      <c r="K3790" s="1">
        <v>437.51</v>
      </c>
      <c r="L3790" s="1">
        <v>10</v>
      </c>
      <c r="M3790" s="1">
        <v>43.75</v>
      </c>
      <c r="N3790" s="1">
        <v>393.76</v>
      </c>
      <c r="O3790" s="1" t="s">
        <v>64</v>
      </c>
      <c r="P3790" s="1" t="s">
        <v>389</v>
      </c>
      <c r="Q3790" s="1">
        <v>4</v>
      </c>
      <c r="R3790" s="1">
        <f>Retail_Sales_Analyis[[#This Row],[Final_Price]]-Retail_Sales_Analyis[[#This Row],[Total_Price]]</f>
        <v>-43.75</v>
      </c>
      <c r="S37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91" spans="1:19" x14ac:dyDescent="0.25">
      <c r="A3791" s="1" t="s">
        <v>4912</v>
      </c>
      <c r="B3791" s="2">
        <v>45641</v>
      </c>
      <c r="C3791" s="1" t="s">
        <v>73</v>
      </c>
      <c r="D3791" s="1" t="s">
        <v>49</v>
      </c>
      <c r="E3791" s="1" t="s">
        <v>236</v>
      </c>
      <c r="F3791" s="1" t="s">
        <v>37</v>
      </c>
      <c r="G3791" s="1" t="s">
        <v>112</v>
      </c>
      <c r="H3791" s="1" t="s">
        <v>288</v>
      </c>
      <c r="I3791" s="1">
        <v>726.11</v>
      </c>
      <c r="J3791" s="1">
        <v>1</v>
      </c>
      <c r="K3791" s="1">
        <v>726.11</v>
      </c>
      <c r="L3791" s="1">
        <v>10</v>
      </c>
      <c r="M3791" s="1">
        <v>72.61</v>
      </c>
      <c r="N3791" s="1">
        <v>653.5</v>
      </c>
      <c r="O3791" s="1" t="s">
        <v>33</v>
      </c>
      <c r="P3791" s="1" t="s">
        <v>805</v>
      </c>
      <c r="Q3791" s="1">
        <v>1</v>
      </c>
      <c r="R3791" s="1">
        <f>Retail_Sales_Analyis[[#This Row],[Final_Price]]-Retail_Sales_Analyis[[#This Row],[Total_Price]]</f>
        <v>-72.610000000000014</v>
      </c>
      <c r="S37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92" spans="1:19" x14ac:dyDescent="0.25">
      <c r="A3792" s="1" t="s">
        <v>4913</v>
      </c>
      <c r="B3792" s="2">
        <v>45380</v>
      </c>
      <c r="C3792" s="1" t="s">
        <v>61</v>
      </c>
      <c r="D3792" s="1" t="s">
        <v>144</v>
      </c>
      <c r="E3792" s="1" t="s">
        <v>261</v>
      </c>
      <c r="F3792" s="1" t="s">
        <v>37</v>
      </c>
      <c r="G3792" s="1" t="s">
        <v>38</v>
      </c>
      <c r="H3792" s="1" t="s">
        <v>422</v>
      </c>
      <c r="I3792" s="1">
        <v>225.99</v>
      </c>
      <c r="J3792" s="1">
        <v>10</v>
      </c>
      <c r="K3792" s="1">
        <v>2259.9</v>
      </c>
      <c r="L3792" s="1">
        <v>15</v>
      </c>
      <c r="M3792" s="1">
        <v>338.99</v>
      </c>
      <c r="N3792" s="1">
        <v>1920.91</v>
      </c>
      <c r="O3792" s="1" t="s">
        <v>46</v>
      </c>
      <c r="P3792" s="1" t="s">
        <v>1259</v>
      </c>
      <c r="Q3792" s="1">
        <v>5</v>
      </c>
      <c r="R3792" s="1">
        <f>Retail_Sales_Analyis[[#This Row],[Final_Price]]-Retail_Sales_Analyis[[#This Row],[Total_Price]]</f>
        <v>-338.99</v>
      </c>
      <c r="S37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93" spans="1:19" x14ac:dyDescent="0.25">
      <c r="A3793" s="1" t="s">
        <v>4914</v>
      </c>
      <c r="B3793" s="2">
        <v>45533</v>
      </c>
      <c r="C3793" s="1" t="s">
        <v>93</v>
      </c>
      <c r="D3793" s="1" t="s">
        <v>67</v>
      </c>
      <c r="E3793" s="1" t="s">
        <v>139</v>
      </c>
      <c r="F3793" s="1" t="s">
        <v>69</v>
      </c>
      <c r="G3793" s="1" t="s">
        <v>57</v>
      </c>
      <c r="H3793" s="1" t="s">
        <v>101</v>
      </c>
      <c r="I3793" s="1">
        <v>411.08</v>
      </c>
      <c r="J3793" s="1">
        <v>6</v>
      </c>
      <c r="K3793" s="1">
        <v>2466.48</v>
      </c>
      <c r="L3793" s="1">
        <v>20</v>
      </c>
      <c r="M3793" s="1">
        <v>493.3</v>
      </c>
      <c r="N3793" s="1">
        <v>1973.18</v>
      </c>
      <c r="O3793" s="1" t="s">
        <v>80</v>
      </c>
      <c r="P3793" s="1" t="s">
        <v>1428</v>
      </c>
      <c r="Q3793" s="1">
        <v>5</v>
      </c>
      <c r="R3793" s="1">
        <f>Retail_Sales_Analyis[[#This Row],[Final_Price]]-Retail_Sales_Analyis[[#This Row],[Total_Price]]</f>
        <v>-493.29999999999995</v>
      </c>
      <c r="S37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94" spans="1:19" x14ac:dyDescent="0.25">
      <c r="A3794" s="1" t="s">
        <v>4915</v>
      </c>
      <c r="B3794" s="2">
        <v>45329</v>
      </c>
      <c r="C3794" s="1" t="s">
        <v>27</v>
      </c>
      <c r="D3794" s="1" t="s">
        <v>55</v>
      </c>
      <c r="E3794" s="1" t="s">
        <v>186</v>
      </c>
      <c r="F3794" s="1" t="s">
        <v>21</v>
      </c>
      <c r="G3794" s="1" t="s">
        <v>78</v>
      </c>
      <c r="H3794" s="1" t="s">
        <v>79</v>
      </c>
      <c r="I3794" s="1">
        <v>357.11</v>
      </c>
      <c r="J3794" s="1">
        <v>8</v>
      </c>
      <c r="K3794" s="1">
        <v>2856.88</v>
      </c>
      <c r="L3794" s="1">
        <v>20</v>
      </c>
      <c r="M3794" s="1">
        <v>571.38</v>
      </c>
      <c r="N3794" s="1">
        <v>2285.5</v>
      </c>
      <c r="O3794" s="1" t="s">
        <v>80</v>
      </c>
      <c r="P3794" s="1" t="s">
        <v>1065</v>
      </c>
      <c r="Q3794" s="1">
        <v>1</v>
      </c>
      <c r="R3794" s="1">
        <f>Retail_Sales_Analyis[[#This Row],[Final_Price]]-Retail_Sales_Analyis[[#This Row],[Total_Price]]</f>
        <v>-571.38000000000011</v>
      </c>
      <c r="S37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95" spans="1:19" x14ac:dyDescent="0.25">
      <c r="A3795" s="1" t="s">
        <v>4916</v>
      </c>
      <c r="B3795" s="2">
        <v>45300</v>
      </c>
      <c r="C3795" s="1" t="s">
        <v>36</v>
      </c>
      <c r="D3795" s="1" t="s">
        <v>28</v>
      </c>
      <c r="E3795" s="1" t="s">
        <v>89</v>
      </c>
      <c r="F3795" s="1" t="s">
        <v>30</v>
      </c>
      <c r="G3795" s="1" t="s">
        <v>112</v>
      </c>
      <c r="H3795" s="1" t="s">
        <v>183</v>
      </c>
      <c r="I3795" s="1">
        <v>1288.6600000000001</v>
      </c>
      <c r="J3795" s="1">
        <v>1</v>
      </c>
      <c r="K3795" s="1">
        <v>1288.6600000000001</v>
      </c>
      <c r="L3795" s="1">
        <v>20</v>
      </c>
      <c r="M3795" s="1">
        <v>257.73</v>
      </c>
      <c r="N3795" s="1">
        <v>1030.93</v>
      </c>
      <c r="O3795" s="1" t="s">
        <v>33</v>
      </c>
      <c r="P3795" s="1" t="s">
        <v>480</v>
      </c>
      <c r="Q3795" s="1">
        <v>1</v>
      </c>
      <c r="R3795" s="1">
        <f>Retail_Sales_Analyis[[#This Row],[Final_Price]]-Retail_Sales_Analyis[[#This Row],[Total_Price]]</f>
        <v>-257.73</v>
      </c>
      <c r="S379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96" spans="1:19" x14ac:dyDescent="0.25">
      <c r="A3796" s="1" t="s">
        <v>4917</v>
      </c>
      <c r="B3796" s="2">
        <v>45592</v>
      </c>
      <c r="C3796" s="1" t="s">
        <v>76</v>
      </c>
      <c r="D3796" s="1" t="s">
        <v>49</v>
      </c>
      <c r="E3796" s="1" t="s">
        <v>125</v>
      </c>
      <c r="F3796" s="1" t="s">
        <v>37</v>
      </c>
      <c r="G3796" s="1" t="s">
        <v>169</v>
      </c>
      <c r="H3796" s="1" t="s">
        <v>348</v>
      </c>
      <c r="I3796" s="1">
        <v>703.46</v>
      </c>
      <c r="J3796" s="1">
        <v>3</v>
      </c>
      <c r="K3796" s="1">
        <v>2110.38</v>
      </c>
      <c r="L3796" s="1">
        <v>20</v>
      </c>
      <c r="M3796" s="1">
        <v>422.08</v>
      </c>
      <c r="N3796" s="1">
        <v>1688.3</v>
      </c>
      <c r="O3796" s="1" t="s">
        <v>46</v>
      </c>
      <c r="P3796" s="1" t="s">
        <v>3768</v>
      </c>
      <c r="Q3796" s="1">
        <v>1</v>
      </c>
      <c r="R3796" s="1">
        <f>Retail_Sales_Analyis[[#This Row],[Final_Price]]-Retail_Sales_Analyis[[#This Row],[Total_Price]]</f>
        <v>-422.08000000000015</v>
      </c>
      <c r="S37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797" spans="1:19" x14ac:dyDescent="0.25">
      <c r="A3797" s="1" t="s">
        <v>4918</v>
      </c>
      <c r="B3797" s="2">
        <v>45326</v>
      </c>
      <c r="C3797" s="1" t="s">
        <v>27</v>
      </c>
      <c r="D3797" s="1" t="s">
        <v>49</v>
      </c>
      <c r="E3797" s="1" t="s">
        <v>168</v>
      </c>
      <c r="F3797" s="1" t="s">
        <v>69</v>
      </c>
      <c r="G3797" s="1" t="s">
        <v>31</v>
      </c>
      <c r="H3797" s="1" t="s">
        <v>45</v>
      </c>
      <c r="I3797" s="1">
        <v>331.37</v>
      </c>
      <c r="J3797" s="1">
        <v>7</v>
      </c>
      <c r="K3797" s="1">
        <v>2319.59</v>
      </c>
      <c r="L3797" s="1">
        <v>5</v>
      </c>
      <c r="M3797" s="1">
        <v>115.98</v>
      </c>
      <c r="N3797" s="1">
        <v>2203.61</v>
      </c>
      <c r="O3797" s="1" t="s">
        <v>46</v>
      </c>
      <c r="P3797" s="1" t="s">
        <v>377</v>
      </c>
      <c r="Q3797" s="1">
        <v>5</v>
      </c>
      <c r="R3797" s="1">
        <f>Retail_Sales_Analyis[[#This Row],[Final_Price]]-Retail_Sales_Analyis[[#This Row],[Total_Price]]</f>
        <v>-115.98000000000002</v>
      </c>
      <c r="S379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798" spans="1:19" x14ac:dyDescent="0.25">
      <c r="A3798" s="1" t="s">
        <v>4919</v>
      </c>
      <c r="B3798" s="2">
        <v>45299</v>
      </c>
      <c r="C3798" s="1" t="s">
        <v>36</v>
      </c>
      <c r="D3798" s="1" t="s">
        <v>43</v>
      </c>
      <c r="E3798" s="1" t="s">
        <v>174</v>
      </c>
      <c r="F3798" s="1" t="s">
        <v>37</v>
      </c>
      <c r="G3798" s="1" t="s">
        <v>78</v>
      </c>
      <c r="H3798" s="1" t="s">
        <v>126</v>
      </c>
      <c r="I3798" s="1">
        <v>302.14</v>
      </c>
      <c r="J3798" s="1">
        <v>1</v>
      </c>
      <c r="K3798" s="1">
        <v>302.14</v>
      </c>
      <c r="L3798" s="1">
        <v>10</v>
      </c>
      <c r="M3798" s="1">
        <v>30.21</v>
      </c>
      <c r="N3798" s="1">
        <v>271.93</v>
      </c>
      <c r="O3798" s="1" t="s">
        <v>46</v>
      </c>
      <c r="P3798" s="1" t="s">
        <v>469</v>
      </c>
      <c r="Q3798" s="1">
        <v>5</v>
      </c>
      <c r="R3798" s="1">
        <f>Retail_Sales_Analyis[[#This Row],[Final_Price]]-Retail_Sales_Analyis[[#This Row],[Total_Price]]</f>
        <v>-30.20999999999998</v>
      </c>
      <c r="S37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799" spans="1:19" x14ac:dyDescent="0.25">
      <c r="A3799" s="1" t="s">
        <v>4920</v>
      </c>
      <c r="B3799" s="2">
        <v>45426</v>
      </c>
      <c r="C3799" s="1" t="s">
        <v>42</v>
      </c>
      <c r="D3799" s="1" t="s">
        <v>28</v>
      </c>
      <c r="E3799" s="1" t="s">
        <v>261</v>
      </c>
      <c r="F3799" s="1" t="s">
        <v>84</v>
      </c>
      <c r="G3799" s="1" t="s">
        <v>78</v>
      </c>
      <c r="H3799" s="1" t="s">
        <v>79</v>
      </c>
      <c r="I3799" s="1">
        <v>283.5</v>
      </c>
      <c r="J3799" s="1">
        <v>8</v>
      </c>
      <c r="K3799" s="1">
        <v>2268</v>
      </c>
      <c r="L3799" s="1">
        <v>0</v>
      </c>
      <c r="M3799" s="1">
        <v>0</v>
      </c>
      <c r="N3799" s="1">
        <v>2268</v>
      </c>
      <c r="O3799" s="1" t="s">
        <v>64</v>
      </c>
      <c r="P3799" s="1" t="s">
        <v>2876</v>
      </c>
      <c r="Q3799" s="1">
        <v>4</v>
      </c>
      <c r="R3799" s="1">
        <f>Retail_Sales_Analyis[[#This Row],[Final_Price]]-Retail_Sales_Analyis[[#This Row],[Total_Price]]</f>
        <v>0</v>
      </c>
      <c r="S37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00" spans="1:19" x14ac:dyDescent="0.25">
      <c r="A3800" s="1" t="s">
        <v>4921</v>
      </c>
      <c r="B3800" s="2">
        <v>45402</v>
      </c>
      <c r="C3800" s="1" t="s">
        <v>54</v>
      </c>
      <c r="D3800" s="1" t="s">
        <v>19</v>
      </c>
      <c r="E3800" s="1" t="s">
        <v>141</v>
      </c>
      <c r="F3800" s="1" t="s">
        <v>37</v>
      </c>
      <c r="G3800" s="1" t="s">
        <v>22</v>
      </c>
      <c r="H3800" s="1" t="s">
        <v>23</v>
      </c>
      <c r="I3800" s="1">
        <v>556.25</v>
      </c>
      <c r="J3800" s="1">
        <v>9</v>
      </c>
      <c r="K3800" s="1">
        <v>5006.25</v>
      </c>
      <c r="L3800" s="1">
        <v>5</v>
      </c>
      <c r="M3800" s="1">
        <v>250.31</v>
      </c>
      <c r="N3800" s="1">
        <v>4755.9399999999996</v>
      </c>
      <c r="O3800" s="1" t="s">
        <v>46</v>
      </c>
      <c r="P3800" s="1" t="s">
        <v>2137</v>
      </c>
      <c r="Q3800" s="1">
        <v>1</v>
      </c>
      <c r="R3800" s="1">
        <f>Retail_Sales_Analyis[[#This Row],[Final_Price]]-Retail_Sales_Analyis[[#This Row],[Total_Price]]</f>
        <v>-250.3100000000004</v>
      </c>
      <c r="S38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01" spans="1:19" x14ac:dyDescent="0.25">
      <c r="A3801" s="1" t="s">
        <v>4922</v>
      </c>
      <c r="B3801" s="2">
        <v>45312</v>
      </c>
      <c r="C3801" s="1" t="s">
        <v>36</v>
      </c>
      <c r="D3801" s="1" t="s">
        <v>49</v>
      </c>
      <c r="E3801" s="1" t="s">
        <v>174</v>
      </c>
      <c r="F3801" s="1" t="s">
        <v>30</v>
      </c>
      <c r="G3801" s="1" t="s">
        <v>85</v>
      </c>
      <c r="H3801" s="1" t="s">
        <v>297</v>
      </c>
      <c r="I3801" s="1">
        <v>2233.86</v>
      </c>
      <c r="J3801" s="1">
        <v>4</v>
      </c>
      <c r="K3801" s="1">
        <v>8935.44</v>
      </c>
      <c r="L3801" s="1">
        <v>15</v>
      </c>
      <c r="M3801" s="1">
        <v>1340.32</v>
      </c>
      <c r="N3801" s="1">
        <v>7595.12</v>
      </c>
      <c r="O3801" s="1" t="s">
        <v>80</v>
      </c>
      <c r="P3801" s="1" t="s">
        <v>1858</v>
      </c>
      <c r="Q3801" s="1">
        <v>3</v>
      </c>
      <c r="R3801" s="1">
        <f>Retail_Sales_Analyis[[#This Row],[Final_Price]]-Retail_Sales_Analyis[[#This Row],[Total_Price]]</f>
        <v>-1340.3200000000006</v>
      </c>
      <c r="S38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02" spans="1:19" x14ac:dyDescent="0.25">
      <c r="A3802" s="1" t="s">
        <v>4923</v>
      </c>
      <c r="B3802" s="2">
        <v>45322</v>
      </c>
      <c r="C3802" s="1" t="s">
        <v>36</v>
      </c>
      <c r="D3802" s="1" t="s">
        <v>55</v>
      </c>
      <c r="E3802" s="1" t="s">
        <v>151</v>
      </c>
      <c r="F3802" s="1" t="s">
        <v>21</v>
      </c>
      <c r="G3802" s="1" t="s">
        <v>112</v>
      </c>
      <c r="H3802" s="1" t="s">
        <v>118</v>
      </c>
      <c r="I3802" s="1">
        <v>1860</v>
      </c>
      <c r="J3802" s="1">
        <v>3</v>
      </c>
      <c r="K3802" s="1">
        <v>5580</v>
      </c>
      <c r="L3802" s="1">
        <v>0</v>
      </c>
      <c r="M3802" s="1">
        <v>0</v>
      </c>
      <c r="N3802" s="1">
        <v>5580</v>
      </c>
      <c r="O3802" s="1" t="s">
        <v>33</v>
      </c>
      <c r="P3802" s="1" t="s">
        <v>2241</v>
      </c>
      <c r="Q3802" s="1">
        <v>4</v>
      </c>
      <c r="R3802" s="1">
        <f>Retail_Sales_Analyis[[#This Row],[Final_Price]]-Retail_Sales_Analyis[[#This Row],[Total_Price]]</f>
        <v>0</v>
      </c>
      <c r="S38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03" spans="1:19" x14ac:dyDescent="0.25">
      <c r="A3803" s="1" t="s">
        <v>4924</v>
      </c>
      <c r="B3803" s="2">
        <v>45495</v>
      </c>
      <c r="C3803" s="1" t="s">
        <v>195</v>
      </c>
      <c r="D3803" s="1" t="s">
        <v>43</v>
      </c>
      <c r="E3803" s="1" t="s">
        <v>97</v>
      </c>
      <c r="F3803" s="1" t="s">
        <v>69</v>
      </c>
      <c r="G3803" s="1" t="s">
        <v>38</v>
      </c>
      <c r="H3803" s="1" t="s">
        <v>70</v>
      </c>
      <c r="I3803" s="1">
        <v>708.87</v>
      </c>
      <c r="J3803" s="1">
        <v>10</v>
      </c>
      <c r="K3803" s="1">
        <v>7088.7</v>
      </c>
      <c r="L3803" s="1">
        <v>0</v>
      </c>
      <c r="M3803" s="1">
        <v>0</v>
      </c>
      <c r="N3803" s="1">
        <v>7088.7</v>
      </c>
      <c r="O3803" s="1" t="s">
        <v>24</v>
      </c>
      <c r="P3803" s="1" t="s">
        <v>240</v>
      </c>
      <c r="Q3803" s="1">
        <v>4</v>
      </c>
      <c r="R3803" s="1">
        <f>Retail_Sales_Analyis[[#This Row],[Final_Price]]-Retail_Sales_Analyis[[#This Row],[Total_Price]]</f>
        <v>0</v>
      </c>
      <c r="S38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04" spans="1:19" x14ac:dyDescent="0.25">
      <c r="A3804" s="1" t="s">
        <v>4925</v>
      </c>
      <c r="B3804" s="2">
        <v>45551</v>
      </c>
      <c r="C3804" s="1" t="s">
        <v>116</v>
      </c>
      <c r="D3804" s="1" t="s">
        <v>43</v>
      </c>
      <c r="E3804" s="1" t="s">
        <v>213</v>
      </c>
      <c r="F3804" s="1" t="s">
        <v>30</v>
      </c>
      <c r="G3804" s="1" t="s">
        <v>38</v>
      </c>
      <c r="H3804" s="1" t="s">
        <v>39</v>
      </c>
      <c r="I3804" s="1">
        <v>409.13</v>
      </c>
      <c r="J3804" s="1">
        <v>9</v>
      </c>
      <c r="K3804" s="1">
        <v>3682.17</v>
      </c>
      <c r="L3804" s="1">
        <v>15</v>
      </c>
      <c r="M3804" s="1">
        <v>552.33000000000004</v>
      </c>
      <c r="N3804" s="1">
        <v>3129.84</v>
      </c>
      <c r="O3804" s="1" t="s">
        <v>33</v>
      </c>
      <c r="P3804" s="1" t="s">
        <v>1011</v>
      </c>
      <c r="Q3804" s="1">
        <v>5</v>
      </c>
      <c r="R3804" s="1">
        <f>Retail_Sales_Analyis[[#This Row],[Final_Price]]-Retail_Sales_Analyis[[#This Row],[Total_Price]]</f>
        <v>-552.32999999999993</v>
      </c>
      <c r="S38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05" spans="1:19" x14ac:dyDescent="0.25">
      <c r="A3805" s="1" t="s">
        <v>4926</v>
      </c>
      <c r="B3805" s="2">
        <v>45438</v>
      </c>
      <c r="C3805" s="1" t="s">
        <v>42</v>
      </c>
      <c r="D3805" s="1" t="s">
        <v>49</v>
      </c>
      <c r="E3805" s="1" t="s">
        <v>207</v>
      </c>
      <c r="F3805" s="1" t="s">
        <v>69</v>
      </c>
      <c r="G3805" s="1" t="s">
        <v>78</v>
      </c>
      <c r="H3805" s="1" t="s">
        <v>136</v>
      </c>
      <c r="I3805" s="1">
        <v>271.83</v>
      </c>
      <c r="J3805" s="1">
        <v>2</v>
      </c>
      <c r="K3805" s="1">
        <v>543.66</v>
      </c>
      <c r="L3805" s="1">
        <v>20</v>
      </c>
      <c r="M3805" s="1">
        <v>108.73</v>
      </c>
      <c r="N3805" s="1">
        <v>434.93</v>
      </c>
      <c r="O3805" s="1" t="s">
        <v>24</v>
      </c>
      <c r="P3805" s="1" t="s">
        <v>81</v>
      </c>
      <c r="Q3805" s="1">
        <v>1</v>
      </c>
      <c r="R3805" s="1">
        <f>Retail_Sales_Analyis[[#This Row],[Final_Price]]-Retail_Sales_Analyis[[#This Row],[Total_Price]]</f>
        <v>-108.72999999999996</v>
      </c>
      <c r="S38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06" spans="1:19" x14ac:dyDescent="0.25">
      <c r="A3806" s="1" t="s">
        <v>4927</v>
      </c>
      <c r="B3806" s="2">
        <v>45613</v>
      </c>
      <c r="C3806" s="1" t="s">
        <v>18</v>
      </c>
      <c r="D3806" s="1" t="s">
        <v>49</v>
      </c>
      <c r="E3806" s="1" t="s">
        <v>29</v>
      </c>
      <c r="F3806" s="1" t="s">
        <v>84</v>
      </c>
      <c r="G3806" s="1" t="s">
        <v>85</v>
      </c>
      <c r="H3806" s="1" t="s">
        <v>86</v>
      </c>
      <c r="I3806" s="1">
        <v>2158.79</v>
      </c>
      <c r="J3806" s="1">
        <v>2</v>
      </c>
      <c r="K3806" s="1">
        <v>4317.58</v>
      </c>
      <c r="L3806" s="1">
        <v>10</v>
      </c>
      <c r="M3806" s="1">
        <v>431.76</v>
      </c>
      <c r="N3806" s="1">
        <v>3885.82</v>
      </c>
      <c r="O3806" s="1" t="s">
        <v>33</v>
      </c>
      <c r="P3806" s="1" t="s">
        <v>3906</v>
      </c>
      <c r="Q3806" s="1">
        <v>5</v>
      </c>
      <c r="R3806" s="1">
        <f>Retail_Sales_Analyis[[#This Row],[Final_Price]]-Retail_Sales_Analyis[[#This Row],[Total_Price]]</f>
        <v>-431.75999999999976</v>
      </c>
      <c r="S38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07" spans="1:19" x14ac:dyDescent="0.25">
      <c r="A3807" s="1" t="s">
        <v>4928</v>
      </c>
      <c r="B3807" s="2">
        <v>45656</v>
      </c>
      <c r="C3807" s="1" t="s">
        <v>73</v>
      </c>
      <c r="D3807" s="1" t="s">
        <v>43</v>
      </c>
      <c r="E3807" s="1" t="s">
        <v>196</v>
      </c>
      <c r="F3807" s="1" t="s">
        <v>21</v>
      </c>
      <c r="G3807" s="1" t="s">
        <v>78</v>
      </c>
      <c r="H3807" s="1" t="s">
        <v>146</v>
      </c>
      <c r="I3807" s="1">
        <v>354.53</v>
      </c>
      <c r="J3807" s="1">
        <v>1</v>
      </c>
      <c r="K3807" s="1">
        <v>354.53</v>
      </c>
      <c r="L3807" s="1">
        <v>0</v>
      </c>
      <c r="M3807" s="1">
        <v>0</v>
      </c>
      <c r="N3807" s="1">
        <v>354.53</v>
      </c>
      <c r="O3807" s="1" t="s">
        <v>64</v>
      </c>
      <c r="P3807" s="1" t="s">
        <v>2423</v>
      </c>
      <c r="Q3807" s="1">
        <v>3</v>
      </c>
      <c r="R3807" s="1">
        <f>Retail_Sales_Analyis[[#This Row],[Final_Price]]-Retail_Sales_Analyis[[#This Row],[Total_Price]]</f>
        <v>0</v>
      </c>
      <c r="S38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08" spans="1:19" x14ac:dyDescent="0.25">
      <c r="A3808" s="1" t="s">
        <v>4929</v>
      </c>
      <c r="B3808" s="2">
        <v>45548</v>
      </c>
      <c r="C3808" s="1" t="s">
        <v>116</v>
      </c>
      <c r="D3808" s="1" t="s">
        <v>144</v>
      </c>
      <c r="E3808" s="1" t="s">
        <v>107</v>
      </c>
      <c r="F3808" s="1" t="s">
        <v>30</v>
      </c>
      <c r="G3808" s="1" t="s">
        <v>169</v>
      </c>
      <c r="H3808" s="1" t="s">
        <v>348</v>
      </c>
      <c r="I3808" s="1">
        <v>1188.6400000000001</v>
      </c>
      <c r="J3808" s="1">
        <v>6</v>
      </c>
      <c r="K3808" s="1">
        <v>7131.84</v>
      </c>
      <c r="L3808" s="1">
        <v>15</v>
      </c>
      <c r="M3808" s="1">
        <v>1069.78</v>
      </c>
      <c r="N3808" s="1">
        <v>6062.06</v>
      </c>
      <c r="O3808" s="1" t="s">
        <v>80</v>
      </c>
      <c r="P3808" s="1" t="s">
        <v>2044</v>
      </c>
      <c r="Q3808" s="1">
        <v>5</v>
      </c>
      <c r="R3808" s="1">
        <f>Retail_Sales_Analyis[[#This Row],[Final_Price]]-Retail_Sales_Analyis[[#This Row],[Total_Price]]</f>
        <v>-1069.7799999999997</v>
      </c>
      <c r="S38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09" spans="1:19" x14ac:dyDescent="0.25">
      <c r="A3809" s="1" t="s">
        <v>4930</v>
      </c>
      <c r="B3809" s="2">
        <v>45504</v>
      </c>
      <c r="C3809" s="1" t="s">
        <v>195</v>
      </c>
      <c r="D3809" s="1" t="s">
        <v>55</v>
      </c>
      <c r="E3809" s="1" t="s">
        <v>83</v>
      </c>
      <c r="F3809" s="1" t="s">
        <v>84</v>
      </c>
      <c r="G3809" s="1" t="s">
        <v>31</v>
      </c>
      <c r="H3809" s="1" t="s">
        <v>45</v>
      </c>
      <c r="I3809" s="1">
        <v>56.57</v>
      </c>
      <c r="J3809" s="1">
        <v>8</v>
      </c>
      <c r="K3809" s="1">
        <v>452.56</v>
      </c>
      <c r="L3809" s="1">
        <v>0</v>
      </c>
      <c r="M3809" s="1">
        <v>0</v>
      </c>
      <c r="N3809" s="1">
        <v>452.56</v>
      </c>
      <c r="O3809" s="1" t="s">
        <v>46</v>
      </c>
      <c r="P3809" s="1" t="s">
        <v>1979</v>
      </c>
      <c r="Q3809" s="1">
        <v>1</v>
      </c>
      <c r="R3809" s="1">
        <f>Retail_Sales_Analyis[[#This Row],[Final_Price]]-Retail_Sales_Analyis[[#This Row],[Total_Price]]</f>
        <v>0</v>
      </c>
      <c r="S38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10" spans="1:19" x14ac:dyDescent="0.25">
      <c r="A3810" s="1" t="s">
        <v>4931</v>
      </c>
      <c r="B3810" s="2">
        <v>45508</v>
      </c>
      <c r="C3810" s="1" t="s">
        <v>93</v>
      </c>
      <c r="D3810" s="1" t="s">
        <v>49</v>
      </c>
      <c r="E3810" s="1" t="s">
        <v>207</v>
      </c>
      <c r="F3810" s="1" t="s">
        <v>84</v>
      </c>
      <c r="G3810" s="1" t="s">
        <v>22</v>
      </c>
      <c r="H3810" s="1" t="s">
        <v>277</v>
      </c>
      <c r="I3810" s="1">
        <v>254.62</v>
      </c>
      <c r="J3810" s="1">
        <v>9</v>
      </c>
      <c r="K3810" s="1">
        <v>2291.58</v>
      </c>
      <c r="L3810" s="1">
        <v>20</v>
      </c>
      <c r="M3810" s="1">
        <v>458.32</v>
      </c>
      <c r="N3810" s="1">
        <v>1833.26</v>
      </c>
      <c r="O3810" s="1" t="s">
        <v>33</v>
      </c>
      <c r="P3810" s="1" t="s">
        <v>395</v>
      </c>
      <c r="Q3810" s="1">
        <v>3</v>
      </c>
      <c r="R3810" s="1">
        <f>Retail_Sales_Analyis[[#This Row],[Final_Price]]-Retail_Sales_Analyis[[#This Row],[Total_Price]]</f>
        <v>-458.31999999999994</v>
      </c>
      <c r="S38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11" spans="1:19" x14ac:dyDescent="0.25">
      <c r="A3811" s="1" t="s">
        <v>4932</v>
      </c>
      <c r="B3811" s="2">
        <v>45651</v>
      </c>
      <c r="C3811" s="1" t="s">
        <v>73</v>
      </c>
      <c r="D3811" s="1" t="s">
        <v>55</v>
      </c>
      <c r="E3811" s="1" t="s">
        <v>83</v>
      </c>
      <c r="F3811" s="1" t="s">
        <v>21</v>
      </c>
      <c r="G3811" s="1" t="s">
        <v>22</v>
      </c>
      <c r="H3811" s="1" t="s">
        <v>187</v>
      </c>
      <c r="I3811" s="1">
        <v>311.64999999999998</v>
      </c>
      <c r="J3811" s="1">
        <v>1</v>
      </c>
      <c r="K3811" s="1">
        <v>311.64999999999998</v>
      </c>
      <c r="L3811" s="1">
        <v>20</v>
      </c>
      <c r="M3811" s="1">
        <v>62.33</v>
      </c>
      <c r="N3811" s="1">
        <v>249.32</v>
      </c>
      <c r="O3811" s="1" t="s">
        <v>64</v>
      </c>
      <c r="P3811" s="1" t="s">
        <v>1240</v>
      </c>
      <c r="Q3811" s="1">
        <v>2</v>
      </c>
      <c r="R3811" s="1">
        <f>Retail_Sales_Analyis[[#This Row],[Final_Price]]-Retail_Sales_Analyis[[#This Row],[Total_Price]]</f>
        <v>-62.329999999999984</v>
      </c>
      <c r="S381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12" spans="1:19" x14ac:dyDescent="0.25">
      <c r="A3812" s="1" t="s">
        <v>4933</v>
      </c>
      <c r="B3812" s="2">
        <v>45497</v>
      </c>
      <c r="C3812" s="1" t="s">
        <v>195</v>
      </c>
      <c r="D3812" s="1" t="s">
        <v>55</v>
      </c>
      <c r="E3812" s="1" t="s">
        <v>192</v>
      </c>
      <c r="F3812" s="1" t="s">
        <v>21</v>
      </c>
      <c r="G3812" s="1" t="s">
        <v>78</v>
      </c>
      <c r="H3812" s="1" t="s">
        <v>136</v>
      </c>
      <c r="I3812" s="1">
        <v>203.01</v>
      </c>
      <c r="J3812" s="1">
        <v>6</v>
      </c>
      <c r="K3812" s="1">
        <v>1218.06</v>
      </c>
      <c r="L3812" s="1">
        <v>5</v>
      </c>
      <c r="M3812" s="1">
        <v>60.9</v>
      </c>
      <c r="N3812" s="1">
        <v>1157.1600000000001</v>
      </c>
      <c r="O3812" s="1" t="s">
        <v>33</v>
      </c>
      <c r="P3812" s="1" t="s">
        <v>2256</v>
      </c>
      <c r="Q3812" s="1">
        <v>2</v>
      </c>
      <c r="R3812" s="1">
        <f>Retail_Sales_Analyis[[#This Row],[Final_Price]]-Retail_Sales_Analyis[[#This Row],[Total_Price]]</f>
        <v>-60.899999999999864</v>
      </c>
      <c r="S38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13" spans="1:19" x14ac:dyDescent="0.25">
      <c r="A3813" s="1" t="s">
        <v>4934</v>
      </c>
      <c r="B3813" s="2">
        <v>45334</v>
      </c>
      <c r="C3813" s="1" t="s">
        <v>27</v>
      </c>
      <c r="D3813" s="1" t="s">
        <v>43</v>
      </c>
      <c r="E3813" s="1" t="s">
        <v>411</v>
      </c>
      <c r="F3813" s="1" t="s">
        <v>84</v>
      </c>
      <c r="G3813" s="1" t="s">
        <v>57</v>
      </c>
      <c r="H3813" s="1" t="s">
        <v>152</v>
      </c>
      <c r="I3813" s="1">
        <v>275.22000000000003</v>
      </c>
      <c r="J3813" s="1">
        <v>6</v>
      </c>
      <c r="K3813" s="1">
        <v>1651.32</v>
      </c>
      <c r="L3813" s="1">
        <v>5</v>
      </c>
      <c r="M3813" s="1">
        <v>82.57</v>
      </c>
      <c r="N3813" s="1">
        <v>1568.75</v>
      </c>
      <c r="O3813" s="1" t="s">
        <v>80</v>
      </c>
      <c r="P3813" s="1" t="s">
        <v>2721</v>
      </c>
      <c r="Q3813" s="1">
        <v>5</v>
      </c>
      <c r="R3813" s="1">
        <f>Retail_Sales_Analyis[[#This Row],[Final_Price]]-Retail_Sales_Analyis[[#This Row],[Total_Price]]</f>
        <v>-82.569999999999936</v>
      </c>
      <c r="S38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14" spans="1:19" x14ac:dyDescent="0.25">
      <c r="A3814" s="1" t="s">
        <v>4935</v>
      </c>
      <c r="B3814" s="2">
        <v>45619</v>
      </c>
      <c r="C3814" s="1" t="s">
        <v>18</v>
      </c>
      <c r="D3814" s="1" t="s">
        <v>19</v>
      </c>
      <c r="E3814" s="1" t="s">
        <v>121</v>
      </c>
      <c r="F3814" s="1" t="s">
        <v>37</v>
      </c>
      <c r="G3814" s="1" t="s">
        <v>78</v>
      </c>
      <c r="H3814" s="1" t="s">
        <v>146</v>
      </c>
      <c r="I3814" s="1">
        <v>213.84</v>
      </c>
      <c r="J3814" s="1">
        <v>5</v>
      </c>
      <c r="K3814" s="1">
        <v>1069.2</v>
      </c>
      <c r="L3814" s="1">
        <v>0</v>
      </c>
      <c r="M3814" s="1">
        <v>0</v>
      </c>
      <c r="N3814" s="1">
        <v>1069.2</v>
      </c>
      <c r="O3814" s="1" t="s">
        <v>46</v>
      </c>
      <c r="P3814" s="1" t="s">
        <v>2823</v>
      </c>
      <c r="Q3814" s="1">
        <v>4</v>
      </c>
      <c r="R3814" s="1">
        <f>Retail_Sales_Analyis[[#This Row],[Final_Price]]-Retail_Sales_Analyis[[#This Row],[Total_Price]]</f>
        <v>0</v>
      </c>
      <c r="S38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15" spans="1:19" x14ac:dyDescent="0.25">
      <c r="A3815" s="1" t="s">
        <v>4936</v>
      </c>
      <c r="B3815" s="2">
        <v>45566</v>
      </c>
      <c r="C3815" s="1" t="s">
        <v>76</v>
      </c>
      <c r="D3815" s="1" t="s">
        <v>28</v>
      </c>
      <c r="E3815" s="1" t="s">
        <v>342</v>
      </c>
      <c r="F3815" s="1" t="s">
        <v>21</v>
      </c>
      <c r="G3815" s="1" t="s">
        <v>112</v>
      </c>
      <c r="H3815" s="1" t="s">
        <v>118</v>
      </c>
      <c r="I3815" s="1">
        <v>1875.31</v>
      </c>
      <c r="J3815" s="1">
        <v>9</v>
      </c>
      <c r="K3815" s="1">
        <v>16877.79</v>
      </c>
      <c r="L3815" s="1">
        <v>0</v>
      </c>
      <c r="M3815" s="1">
        <v>0</v>
      </c>
      <c r="N3815" s="1">
        <v>16877.79</v>
      </c>
      <c r="O3815" s="1" t="s">
        <v>33</v>
      </c>
      <c r="P3815" s="1" t="s">
        <v>1948</v>
      </c>
      <c r="Q3815" s="1">
        <v>5</v>
      </c>
      <c r="R3815" s="1">
        <f>Retail_Sales_Analyis[[#This Row],[Final_Price]]-Retail_Sales_Analyis[[#This Row],[Total_Price]]</f>
        <v>0</v>
      </c>
      <c r="S38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16" spans="1:19" x14ac:dyDescent="0.25">
      <c r="A3816" s="1" t="s">
        <v>4937</v>
      </c>
      <c r="B3816" s="2">
        <v>45567</v>
      </c>
      <c r="C3816" s="1" t="s">
        <v>76</v>
      </c>
      <c r="D3816" s="1" t="s">
        <v>55</v>
      </c>
      <c r="E3816" s="1" t="s">
        <v>20</v>
      </c>
      <c r="F3816" s="1" t="s">
        <v>21</v>
      </c>
      <c r="G3816" s="1" t="s">
        <v>57</v>
      </c>
      <c r="H3816" s="1" t="s">
        <v>158</v>
      </c>
      <c r="I3816" s="1">
        <v>404.89</v>
      </c>
      <c r="J3816" s="1">
        <v>4</v>
      </c>
      <c r="K3816" s="1">
        <v>1619.56</v>
      </c>
      <c r="L3816" s="1">
        <v>20</v>
      </c>
      <c r="M3816" s="1">
        <v>323.91000000000003</v>
      </c>
      <c r="N3816" s="1">
        <v>1295.6500000000001</v>
      </c>
      <c r="O3816" s="1" t="s">
        <v>33</v>
      </c>
      <c r="P3816" s="1" t="s">
        <v>3081</v>
      </c>
      <c r="Q3816" s="1">
        <v>3</v>
      </c>
      <c r="R3816" s="1">
        <f>Retail_Sales_Analyis[[#This Row],[Final_Price]]-Retail_Sales_Analyis[[#This Row],[Total_Price]]</f>
        <v>-323.90999999999985</v>
      </c>
      <c r="S38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17" spans="1:19" x14ac:dyDescent="0.25">
      <c r="A3817" s="1" t="s">
        <v>4938</v>
      </c>
      <c r="B3817" s="2">
        <v>45607</v>
      </c>
      <c r="C3817" s="1" t="s">
        <v>18</v>
      </c>
      <c r="D3817" s="1" t="s">
        <v>43</v>
      </c>
      <c r="E3817" s="1" t="s">
        <v>312</v>
      </c>
      <c r="F3817" s="1" t="s">
        <v>69</v>
      </c>
      <c r="G3817" s="1" t="s">
        <v>78</v>
      </c>
      <c r="H3817" s="1" t="s">
        <v>136</v>
      </c>
      <c r="I3817" s="1">
        <v>479.52</v>
      </c>
      <c r="J3817" s="1">
        <v>9</v>
      </c>
      <c r="K3817" s="1">
        <v>4315.68</v>
      </c>
      <c r="L3817" s="1">
        <v>0</v>
      </c>
      <c r="M3817" s="1">
        <v>0</v>
      </c>
      <c r="N3817" s="1">
        <v>4315.68</v>
      </c>
      <c r="O3817" s="1" t="s">
        <v>80</v>
      </c>
      <c r="P3817" s="1" t="s">
        <v>896</v>
      </c>
      <c r="Q3817" s="1">
        <v>5</v>
      </c>
      <c r="R3817" s="1">
        <f>Retail_Sales_Analyis[[#This Row],[Final_Price]]-Retail_Sales_Analyis[[#This Row],[Total_Price]]</f>
        <v>0</v>
      </c>
      <c r="S38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18" spans="1:19" x14ac:dyDescent="0.25">
      <c r="A3818" s="1" t="s">
        <v>4939</v>
      </c>
      <c r="B3818" s="2">
        <v>45370</v>
      </c>
      <c r="C3818" s="1" t="s">
        <v>61</v>
      </c>
      <c r="D3818" s="1" t="s">
        <v>28</v>
      </c>
      <c r="E3818" s="1" t="s">
        <v>199</v>
      </c>
      <c r="F3818" s="1" t="s">
        <v>69</v>
      </c>
      <c r="G3818" s="1" t="s">
        <v>112</v>
      </c>
      <c r="H3818" s="1" t="s">
        <v>288</v>
      </c>
      <c r="I3818" s="1">
        <v>1701.9</v>
      </c>
      <c r="J3818" s="1">
        <v>7</v>
      </c>
      <c r="K3818" s="1">
        <v>11913.3</v>
      </c>
      <c r="L3818" s="1">
        <v>0</v>
      </c>
      <c r="M3818" s="1">
        <v>0</v>
      </c>
      <c r="N3818" s="1">
        <v>11913.3</v>
      </c>
      <c r="O3818" s="1" t="s">
        <v>24</v>
      </c>
      <c r="P3818" s="1" t="s">
        <v>1913</v>
      </c>
      <c r="Q3818" s="1">
        <v>4</v>
      </c>
      <c r="R3818" s="1">
        <f>Retail_Sales_Analyis[[#This Row],[Final_Price]]-Retail_Sales_Analyis[[#This Row],[Total_Price]]</f>
        <v>0</v>
      </c>
      <c r="S38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19" spans="1:19" x14ac:dyDescent="0.25">
      <c r="A3819" s="1" t="s">
        <v>4940</v>
      </c>
      <c r="B3819" s="2">
        <v>45434</v>
      </c>
      <c r="C3819" s="1" t="s">
        <v>42</v>
      </c>
      <c r="D3819" s="1" t="s">
        <v>55</v>
      </c>
      <c r="E3819" s="1" t="s">
        <v>204</v>
      </c>
      <c r="F3819" s="1" t="s">
        <v>84</v>
      </c>
      <c r="G3819" s="1" t="s">
        <v>38</v>
      </c>
      <c r="H3819" s="1" t="s">
        <v>214</v>
      </c>
      <c r="I3819" s="1">
        <v>273.26</v>
      </c>
      <c r="J3819" s="1">
        <v>8</v>
      </c>
      <c r="K3819" s="1">
        <v>2186.08</v>
      </c>
      <c r="L3819" s="1">
        <v>0</v>
      </c>
      <c r="M3819" s="1">
        <v>0</v>
      </c>
      <c r="N3819" s="1">
        <v>2186.08</v>
      </c>
      <c r="O3819" s="1" t="s">
        <v>24</v>
      </c>
      <c r="P3819" s="1" t="s">
        <v>2175</v>
      </c>
      <c r="Q3819" s="1">
        <v>3</v>
      </c>
      <c r="R3819" s="1">
        <f>Retail_Sales_Analyis[[#This Row],[Final_Price]]-Retail_Sales_Analyis[[#This Row],[Total_Price]]</f>
        <v>0</v>
      </c>
      <c r="S38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0" spans="1:19" x14ac:dyDescent="0.25">
      <c r="A3820" s="1" t="s">
        <v>4941</v>
      </c>
      <c r="B3820" s="2">
        <v>45334</v>
      </c>
      <c r="C3820" s="1" t="s">
        <v>27</v>
      </c>
      <c r="D3820" s="1" t="s">
        <v>43</v>
      </c>
      <c r="E3820" s="1" t="s">
        <v>312</v>
      </c>
      <c r="F3820" s="1" t="s">
        <v>37</v>
      </c>
      <c r="G3820" s="1" t="s">
        <v>31</v>
      </c>
      <c r="H3820" s="1" t="s">
        <v>63</v>
      </c>
      <c r="I3820" s="1">
        <v>451.28</v>
      </c>
      <c r="J3820" s="1">
        <v>5</v>
      </c>
      <c r="K3820" s="1">
        <v>2256.4</v>
      </c>
      <c r="L3820" s="1">
        <v>0</v>
      </c>
      <c r="M3820" s="1">
        <v>0</v>
      </c>
      <c r="N3820" s="1">
        <v>2256.4</v>
      </c>
      <c r="O3820" s="1" t="s">
        <v>33</v>
      </c>
      <c r="P3820" s="1" t="s">
        <v>613</v>
      </c>
      <c r="Q3820" s="1">
        <v>5</v>
      </c>
      <c r="R3820" s="1">
        <f>Retail_Sales_Analyis[[#This Row],[Final_Price]]-Retail_Sales_Analyis[[#This Row],[Total_Price]]</f>
        <v>0</v>
      </c>
      <c r="S38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1" spans="1:19" x14ac:dyDescent="0.25">
      <c r="A3821" s="1" t="s">
        <v>4942</v>
      </c>
      <c r="B3821" s="2">
        <v>45450</v>
      </c>
      <c r="C3821" s="1" t="s">
        <v>173</v>
      </c>
      <c r="D3821" s="1" t="s">
        <v>144</v>
      </c>
      <c r="E3821" s="1" t="s">
        <v>411</v>
      </c>
      <c r="F3821" s="1" t="s">
        <v>69</v>
      </c>
      <c r="G3821" s="1" t="s">
        <v>22</v>
      </c>
      <c r="H3821" s="1" t="s">
        <v>23</v>
      </c>
      <c r="I3821" s="1">
        <v>602.99</v>
      </c>
      <c r="J3821" s="1">
        <v>8</v>
      </c>
      <c r="K3821" s="1">
        <v>4823.92</v>
      </c>
      <c r="L3821" s="1">
        <v>5</v>
      </c>
      <c r="M3821" s="1">
        <v>241.2</v>
      </c>
      <c r="N3821" s="1">
        <v>4582.72</v>
      </c>
      <c r="O3821" s="1" t="s">
        <v>64</v>
      </c>
      <c r="P3821" s="1" t="s">
        <v>1230</v>
      </c>
      <c r="Q3821" s="1">
        <v>1</v>
      </c>
      <c r="R3821" s="1">
        <f>Retail_Sales_Analyis[[#This Row],[Final_Price]]-Retail_Sales_Analyis[[#This Row],[Total_Price]]</f>
        <v>-241.19999999999982</v>
      </c>
      <c r="S38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22" spans="1:19" x14ac:dyDescent="0.25">
      <c r="A3822" s="1" t="s">
        <v>4943</v>
      </c>
      <c r="B3822" s="2">
        <v>45332</v>
      </c>
      <c r="C3822" s="1" t="s">
        <v>27</v>
      </c>
      <c r="D3822" s="1" t="s">
        <v>19</v>
      </c>
      <c r="E3822" s="1" t="s">
        <v>302</v>
      </c>
      <c r="F3822" s="1" t="s">
        <v>69</v>
      </c>
      <c r="G3822" s="1" t="s">
        <v>31</v>
      </c>
      <c r="H3822" s="1" t="s">
        <v>63</v>
      </c>
      <c r="I3822" s="1">
        <v>424.6</v>
      </c>
      <c r="J3822" s="1">
        <v>6</v>
      </c>
      <c r="K3822" s="1">
        <v>2547.6</v>
      </c>
      <c r="L3822" s="1">
        <v>0</v>
      </c>
      <c r="M3822" s="1">
        <v>0</v>
      </c>
      <c r="N3822" s="1">
        <v>2547.6</v>
      </c>
      <c r="O3822" s="1" t="s">
        <v>46</v>
      </c>
      <c r="P3822" s="1" t="s">
        <v>623</v>
      </c>
      <c r="Q3822" s="1">
        <v>5</v>
      </c>
      <c r="R3822" s="1">
        <f>Retail_Sales_Analyis[[#This Row],[Final_Price]]-Retail_Sales_Analyis[[#This Row],[Total_Price]]</f>
        <v>0</v>
      </c>
      <c r="S38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3" spans="1:19" x14ac:dyDescent="0.25">
      <c r="A3823" s="1" t="s">
        <v>4944</v>
      </c>
      <c r="B3823" s="2">
        <v>45553</v>
      </c>
      <c r="C3823" s="1" t="s">
        <v>116</v>
      </c>
      <c r="D3823" s="1" t="s">
        <v>55</v>
      </c>
      <c r="E3823" s="1" t="s">
        <v>236</v>
      </c>
      <c r="F3823" s="1" t="s">
        <v>69</v>
      </c>
      <c r="G3823" s="1" t="s">
        <v>85</v>
      </c>
      <c r="H3823" s="1" t="s">
        <v>180</v>
      </c>
      <c r="I3823" s="1">
        <v>4041.25</v>
      </c>
      <c r="J3823" s="1">
        <v>8</v>
      </c>
      <c r="K3823" s="1">
        <v>32330</v>
      </c>
      <c r="L3823" s="1">
        <v>0</v>
      </c>
      <c r="M3823" s="1">
        <v>0</v>
      </c>
      <c r="N3823" s="1">
        <v>32330</v>
      </c>
      <c r="O3823" s="1" t="s">
        <v>24</v>
      </c>
      <c r="P3823" s="1" t="s">
        <v>830</v>
      </c>
      <c r="Q3823" s="1">
        <v>3</v>
      </c>
      <c r="R3823" s="1">
        <f>Retail_Sales_Analyis[[#This Row],[Final_Price]]-Retail_Sales_Analyis[[#This Row],[Total_Price]]</f>
        <v>0</v>
      </c>
      <c r="S38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4" spans="1:19" x14ac:dyDescent="0.25">
      <c r="A3824" s="1" t="s">
        <v>4945</v>
      </c>
      <c r="B3824" s="2">
        <v>45396</v>
      </c>
      <c r="C3824" s="1" t="s">
        <v>54</v>
      </c>
      <c r="D3824" s="1" t="s">
        <v>49</v>
      </c>
      <c r="E3824" s="1" t="s">
        <v>213</v>
      </c>
      <c r="F3824" s="1" t="s">
        <v>69</v>
      </c>
      <c r="G3824" s="1" t="s">
        <v>78</v>
      </c>
      <c r="H3824" s="1" t="s">
        <v>146</v>
      </c>
      <c r="I3824" s="1">
        <v>432.5</v>
      </c>
      <c r="J3824" s="1">
        <v>5</v>
      </c>
      <c r="K3824" s="1">
        <v>2162.5</v>
      </c>
      <c r="L3824" s="1">
        <v>0</v>
      </c>
      <c r="M3824" s="1">
        <v>0</v>
      </c>
      <c r="N3824" s="1">
        <v>2162.5</v>
      </c>
      <c r="O3824" s="1" t="s">
        <v>80</v>
      </c>
      <c r="P3824" s="1" t="s">
        <v>2863</v>
      </c>
      <c r="Q3824" s="1">
        <v>5</v>
      </c>
      <c r="R3824" s="1">
        <f>Retail_Sales_Analyis[[#This Row],[Final_Price]]-Retail_Sales_Analyis[[#This Row],[Total_Price]]</f>
        <v>0</v>
      </c>
      <c r="S38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5" spans="1:19" x14ac:dyDescent="0.25">
      <c r="A3825" s="1" t="s">
        <v>4946</v>
      </c>
      <c r="B3825" s="2">
        <v>45371</v>
      </c>
      <c r="C3825" s="1" t="s">
        <v>61</v>
      </c>
      <c r="D3825" s="1" t="s">
        <v>55</v>
      </c>
      <c r="E3825" s="1" t="s">
        <v>68</v>
      </c>
      <c r="F3825" s="1" t="s">
        <v>21</v>
      </c>
      <c r="G3825" s="1" t="s">
        <v>22</v>
      </c>
      <c r="H3825" s="1" t="s">
        <v>23</v>
      </c>
      <c r="I3825" s="1">
        <v>767.04</v>
      </c>
      <c r="J3825" s="1">
        <v>10</v>
      </c>
      <c r="K3825" s="1">
        <v>7670.4</v>
      </c>
      <c r="L3825" s="1">
        <v>0</v>
      </c>
      <c r="M3825" s="1">
        <v>0</v>
      </c>
      <c r="N3825" s="1">
        <v>7670.4</v>
      </c>
      <c r="O3825" s="1" t="s">
        <v>24</v>
      </c>
      <c r="P3825" s="1" t="s">
        <v>848</v>
      </c>
      <c r="Q3825" s="1">
        <v>2</v>
      </c>
      <c r="R3825" s="1">
        <f>Retail_Sales_Analyis[[#This Row],[Final_Price]]-Retail_Sales_Analyis[[#This Row],[Total_Price]]</f>
        <v>0</v>
      </c>
      <c r="S38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6" spans="1:19" x14ac:dyDescent="0.25">
      <c r="A3826" s="1" t="s">
        <v>4947</v>
      </c>
      <c r="B3826" s="2">
        <v>45566</v>
      </c>
      <c r="C3826" s="1" t="s">
        <v>76</v>
      </c>
      <c r="D3826" s="1" t="s">
        <v>28</v>
      </c>
      <c r="E3826" s="1" t="s">
        <v>166</v>
      </c>
      <c r="F3826" s="1" t="s">
        <v>84</v>
      </c>
      <c r="G3826" s="1" t="s">
        <v>57</v>
      </c>
      <c r="H3826" s="1" t="s">
        <v>122</v>
      </c>
      <c r="I3826" s="1">
        <v>2634.65</v>
      </c>
      <c r="J3826" s="1">
        <v>9</v>
      </c>
      <c r="K3826" s="1">
        <v>23711.85</v>
      </c>
      <c r="L3826" s="1">
        <v>20</v>
      </c>
      <c r="M3826" s="1">
        <v>4742.37</v>
      </c>
      <c r="N3826" s="1">
        <v>18969.48</v>
      </c>
      <c r="O3826" s="1" t="s">
        <v>64</v>
      </c>
      <c r="P3826" s="1" t="s">
        <v>1063</v>
      </c>
      <c r="Q3826" s="1">
        <v>1</v>
      </c>
      <c r="R3826" s="1">
        <f>Retail_Sales_Analyis[[#This Row],[Final_Price]]-Retail_Sales_Analyis[[#This Row],[Total_Price]]</f>
        <v>-4742.369999999999</v>
      </c>
      <c r="S38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27" spans="1:19" x14ac:dyDescent="0.25">
      <c r="A3827" s="1" t="s">
        <v>4948</v>
      </c>
      <c r="B3827" s="2">
        <v>45459</v>
      </c>
      <c r="C3827" s="1" t="s">
        <v>173</v>
      </c>
      <c r="D3827" s="1" t="s">
        <v>49</v>
      </c>
      <c r="E3827" s="1" t="s">
        <v>94</v>
      </c>
      <c r="F3827" s="1" t="s">
        <v>30</v>
      </c>
      <c r="G3827" s="1" t="s">
        <v>112</v>
      </c>
      <c r="H3827" s="1" t="s">
        <v>223</v>
      </c>
      <c r="I3827" s="1">
        <v>1191.54</v>
      </c>
      <c r="J3827" s="1">
        <v>2</v>
      </c>
      <c r="K3827" s="1">
        <v>2383.08</v>
      </c>
      <c r="L3827" s="1">
        <v>0</v>
      </c>
      <c r="M3827" s="1">
        <v>0</v>
      </c>
      <c r="N3827" s="1">
        <v>2383.08</v>
      </c>
      <c r="O3827" s="1" t="s">
        <v>64</v>
      </c>
      <c r="P3827" s="1" t="s">
        <v>3294</v>
      </c>
      <c r="Q3827" s="1">
        <v>1</v>
      </c>
      <c r="R3827" s="1">
        <f>Retail_Sales_Analyis[[#This Row],[Final_Price]]-Retail_Sales_Analyis[[#This Row],[Total_Price]]</f>
        <v>0</v>
      </c>
      <c r="S38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8" spans="1:19" x14ac:dyDescent="0.25">
      <c r="A3828" s="1" t="s">
        <v>4949</v>
      </c>
      <c r="B3828" s="2">
        <v>45492</v>
      </c>
      <c r="C3828" s="1" t="s">
        <v>195</v>
      </c>
      <c r="D3828" s="1" t="s">
        <v>144</v>
      </c>
      <c r="E3828" s="1" t="s">
        <v>322</v>
      </c>
      <c r="F3828" s="1" t="s">
        <v>69</v>
      </c>
      <c r="G3828" s="1" t="s">
        <v>38</v>
      </c>
      <c r="H3828" s="1" t="s">
        <v>422</v>
      </c>
      <c r="I3828" s="1">
        <v>393.94</v>
      </c>
      <c r="J3828" s="1">
        <v>8</v>
      </c>
      <c r="K3828" s="1">
        <v>3151.52</v>
      </c>
      <c r="L3828" s="1">
        <v>0</v>
      </c>
      <c r="M3828" s="1">
        <v>0</v>
      </c>
      <c r="N3828" s="1">
        <v>3151.52</v>
      </c>
      <c r="O3828" s="1" t="s">
        <v>46</v>
      </c>
      <c r="P3828" s="1" t="s">
        <v>2581</v>
      </c>
      <c r="Q3828" s="1">
        <v>3</v>
      </c>
      <c r="R3828" s="1">
        <f>Retail_Sales_Analyis[[#This Row],[Final_Price]]-Retail_Sales_Analyis[[#This Row],[Total_Price]]</f>
        <v>0</v>
      </c>
      <c r="S38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29" spans="1:19" x14ac:dyDescent="0.25">
      <c r="A3829" s="1" t="s">
        <v>4950</v>
      </c>
      <c r="B3829" s="2">
        <v>45592</v>
      </c>
      <c r="C3829" s="1" t="s">
        <v>76</v>
      </c>
      <c r="D3829" s="1" t="s">
        <v>49</v>
      </c>
      <c r="E3829" s="1" t="s">
        <v>125</v>
      </c>
      <c r="F3829" s="1" t="s">
        <v>84</v>
      </c>
      <c r="G3829" s="1" t="s">
        <v>22</v>
      </c>
      <c r="H3829" s="1" t="s">
        <v>51</v>
      </c>
      <c r="I3829" s="1">
        <v>205.65</v>
      </c>
      <c r="J3829" s="1">
        <v>6</v>
      </c>
      <c r="K3829" s="1">
        <v>1233.9000000000001</v>
      </c>
      <c r="L3829" s="1">
        <v>5</v>
      </c>
      <c r="M3829" s="1">
        <v>61.7</v>
      </c>
      <c r="N3829" s="1">
        <v>1172.2</v>
      </c>
      <c r="O3829" s="1" t="s">
        <v>80</v>
      </c>
      <c r="P3829" s="1" t="s">
        <v>597</v>
      </c>
      <c r="Q3829" s="1">
        <v>5</v>
      </c>
      <c r="R3829" s="1">
        <f>Retail_Sales_Analyis[[#This Row],[Final_Price]]-Retail_Sales_Analyis[[#This Row],[Total_Price]]</f>
        <v>-61.700000000000045</v>
      </c>
      <c r="S38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30" spans="1:19" x14ac:dyDescent="0.25">
      <c r="A3830" s="1" t="s">
        <v>4951</v>
      </c>
      <c r="B3830" s="2">
        <v>45616</v>
      </c>
      <c r="C3830" s="1" t="s">
        <v>18</v>
      </c>
      <c r="D3830" s="1" t="s">
        <v>55</v>
      </c>
      <c r="E3830" s="1" t="s">
        <v>44</v>
      </c>
      <c r="F3830" s="1" t="s">
        <v>69</v>
      </c>
      <c r="G3830" s="1" t="s">
        <v>169</v>
      </c>
      <c r="H3830" s="1" t="s">
        <v>348</v>
      </c>
      <c r="I3830" s="1">
        <v>1122.75</v>
      </c>
      <c r="J3830" s="1">
        <v>5</v>
      </c>
      <c r="K3830" s="1">
        <v>5613.75</v>
      </c>
      <c r="L3830" s="1">
        <v>0</v>
      </c>
      <c r="M3830" s="1">
        <v>0</v>
      </c>
      <c r="N3830" s="1">
        <v>5613.75</v>
      </c>
      <c r="O3830" s="1" t="s">
        <v>33</v>
      </c>
      <c r="P3830" s="1" t="s">
        <v>3184</v>
      </c>
      <c r="Q3830" s="1">
        <v>4</v>
      </c>
      <c r="R3830" s="1">
        <f>Retail_Sales_Analyis[[#This Row],[Final_Price]]-Retail_Sales_Analyis[[#This Row],[Total_Price]]</f>
        <v>0</v>
      </c>
      <c r="S38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1" spans="1:19" x14ac:dyDescent="0.25">
      <c r="A3831" s="1" t="s">
        <v>4952</v>
      </c>
      <c r="B3831" s="2">
        <v>45624</v>
      </c>
      <c r="C3831" s="1" t="s">
        <v>18</v>
      </c>
      <c r="D3831" s="1" t="s">
        <v>67</v>
      </c>
      <c r="E3831" s="1" t="s">
        <v>83</v>
      </c>
      <c r="F3831" s="1" t="s">
        <v>69</v>
      </c>
      <c r="G3831" s="1" t="s">
        <v>22</v>
      </c>
      <c r="H3831" s="1" t="s">
        <v>277</v>
      </c>
      <c r="I3831" s="1">
        <v>853.14</v>
      </c>
      <c r="J3831" s="1">
        <v>7</v>
      </c>
      <c r="K3831" s="1">
        <v>5971.98</v>
      </c>
      <c r="L3831" s="1">
        <v>5</v>
      </c>
      <c r="M3831" s="1">
        <v>298.60000000000002</v>
      </c>
      <c r="N3831" s="1">
        <v>5673.38</v>
      </c>
      <c r="O3831" s="1" t="s">
        <v>33</v>
      </c>
      <c r="P3831" s="1" t="s">
        <v>2718</v>
      </c>
      <c r="Q3831" s="1">
        <v>3</v>
      </c>
      <c r="R3831" s="1">
        <f>Retail_Sales_Analyis[[#This Row],[Final_Price]]-Retail_Sales_Analyis[[#This Row],[Total_Price]]</f>
        <v>-298.59999999999945</v>
      </c>
      <c r="S38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32" spans="1:19" x14ac:dyDescent="0.25">
      <c r="A3832" s="1" t="s">
        <v>4953</v>
      </c>
      <c r="B3832" s="2">
        <v>45640</v>
      </c>
      <c r="C3832" s="1" t="s">
        <v>73</v>
      </c>
      <c r="D3832" s="1" t="s">
        <v>19</v>
      </c>
      <c r="E3832" s="1" t="s">
        <v>302</v>
      </c>
      <c r="F3832" s="1" t="s">
        <v>30</v>
      </c>
      <c r="G3832" s="1" t="s">
        <v>78</v>
      </c>
      <c r="H3832" s="1" t="s">
        <v>146</v>
      </c>
      <c r="I3832" s="1">
        <v>153.79</v>
      </c>
      <c r="J3832" s="1">
        <v>6</v>
      </c>
      <c r="K3832" s="1">
        <v>922.74</v>
      </c>
      <c r="L3832" s="1">
        <v>20</v>
      </c>
      <c r="M3832" s="1">
        <v>184.55</v>
      </c>
      <c r="N3832" s="1">
        <v>738.19</v>
      </c>
      <c r="O3832" s="1" t="s">
        <v>64</v>
      </c>
      <c r="P3832" s="1" t="s">
        <v>1633</v>
      </c>
      <c r="Q3832" s="1">
        <v>5</v>
      </c>
      <c r="R3832" s="1">
        <f>Retail_Sales_Analyis[[#This Row],[Final_Price]]-Retail_Sales_Analyis[[#This Row],[Total_Price]]</f>
        <v>-184.54999999999995</v>
      </c>
      <c r="S38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33" spans="1:19" x14ac:dyDescent="0.25">
      <c r="A3833" s="1" t="s">
        <v>4954</v>
      </c>
      <c r="B3833" s="2">
        <v>45621</v>
      </c>
      <c r="C3833" s="1" t="s">
        <v>18</v>
      </c>
      <c r="D3833" s="1" t="s">
        <v>43</v>
      </c>
      <c r="E3833" s="1" t="s">
        <v>50</v>
      </c>
      <c r="F3833" s="1" t="s">
        <v>84</v>
      </c>
      <c r="G3833" s="1" t="s">
        <v>78</v>
      </c>
      <c r="H3833" s="1" t="s">
        <v>146</v>
      </c>
      <c r="I3833" s="1">
        <v>181.77</v>
      </c>
      <c r="J3833" s="1">
        <v>6</v>
      </c>
      <c r="K3833" s="1">
        <v>1090.6199999999999</v>
      </c>
      <c r="L3833" s="1">
        <v>0</v>
      </c>
      <c r="M3833" s="1">
        <v>0</v>
      </c>
      <c r="N3833" s="1">
        <v>1090.6199999999999</v>
      </c>
      <c r="O3833" s="1" t="s">
        <v>46</v>
      </c>
      <c r="P3833" s="1" t="s">
        <v>1664</v>
      </c>
      <c r="Q3833" s="1">
        <v>5</v>
      </c>
      <c r="R3833" s="1">
        <f>Retail_Sales_Analyis[[#This Row],[Final_Price]]-Retail_Sales_Analyis[[#This Row],[Total_Price]]</f>
        <v>0</v>
      </c>
      <c r="S38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4" spans="1:19" x14ac:dyDescent="0.25">
      <c r="A3834" s="1" t="s">
        <v>4955</v>
      </c>
      <c r="B3834" s="2">
        <v>45325</v>
      </c>
      <c r="C3834" s="1" t="s">
        <v>27</v>
      </c>
      <c r="D3834" s="1" t="s">
        <v>19</v>
      </c>
      <c r="E3834" s="1" t="s">
        <v>56</v>
      </c>
      <c r="F3834" s="1" t="s">
        <v>30</v>
      </c>
      <c r="G3834" s="1" t="s">
        <v>31</v>
      </c>
      <c r="H3834" s="1" t="s">
        <v>45</v>
      </c>
      <c r="I3834" s="1">
        <v>110.46</v>
      </c>
      <c r="J3834" s="1">
        <v>9</v>
      </c>
      <c r="K3834" s="1">
        <v>994.14</v>
      </c>
      <c r="L3834" s="1">
        <v>10</v>
      </c>
      <c r="M3834" s="1">
        <v>99.41</v>
      </c>
      <c r="N3834" s="1">
        <v>894.73</v>
      </c>
      <c r="O3834" s="1" t="s">
        <v>33</v>
      </c>
      <c r="P3834" s="1" t="s">
        <v>627</v>
      </c>
      <c r="Q3834" s="1">
        <v>2</v>
      </c>
      <c r="R3834" s="1">
        <f>Retail_Sales_Analyis[[#This Row],[Final_Price]]-Retail_Sales_Analyis[[#This Row],[Total_Price]]</f>
        <v>-99.409999999999968</v>
      </c>
      <c r="S38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35" spans="1:19" x14ac:dyDescent="0.25">
      <c r="A3835" s="1" t="s">
        <v>4956</v>
      </c>
      <c r="B3835" s="2">
        <v>45450</v>
      </c>
      <c r="C3835" s="1" t="s">
        <v>173</v>
      </c>
      <c r="D3835" s="1" t="s">
        <v>144</v>
      </c>
      <c r="E3835" s="1" t="s">
        <v>168</v>
      </c>
      <c r="F3835" s="1" t="s">
        <v>37</v>
      </c>
      <c r="G3835" s="1" t="s">
        <v>38</v>
      </c>
      <c r="H3835" s="1" t="s">
        <v>214</v>
      </c>
      <c r="I3835" s="1">
        <v>216.63</v>
      </c>
      <c r="J3835" s="1">
        <v>7</v>
      </c>
      <c r="K3835" s="1">
        <v>1516.41</v>
      </c>
      <c r="L3835" s="1">
        <v>0</v>
      </c>
      <c r="M3835" s="1">
        <v>0</v>
      </c>
      <c r="N3835" s="1">
        <v>1516.41</v>
      </c>
      <c r="O3835" s="1" t="s">
        <v>80</v>
      </c>
      <c r="P3835" s="1" t="s">
        <v>1865</v>
      </c>
      <c r="Q3835" s="1">
        <v>3</v>
      </c>
      <c r="R3835" s="1">
        <f>Retail_Sales_Analyis[[#This Row],[Final_Price]]-Retail_Sales_Analyis[[#This Row],[Total_Price]]</f>
        <v>0</v>
      </c>
      <c r="S38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6" spans="1:19" x14ac:dyDescent="0.25">
      <c r="A3836" s="1" t="s">
        <v>4957</v>
      </c>
      <c r="B3836" s="2">
        <v>45649</v>
      </c>
      <c r="C3836" s="1" t="s">
        <v>73</v>
      </c>
      <c r="D3836" s="1" t="s">
        <v>43</v>
      </c>
      <c r="E3836" s="1" t="s">
        <v>302</v>
      </c>
      <c r="F3836" s="1" t="s">
        <v>30</v>
      </c>
      <c r="G3836" s="1" t="s">
        <v>85</v>
      </c>
      <c r="H3836" s="1" t="s">
        <v>90</v>
      </c>
      <c r="I3836" s="1">
        <v>4307.4799999999996</v>
      </c>
      <c r="J3836" s="1">
        <v>8</v>
      </c>
      <c r="K3836" s="1">
        <v>34459.839999999997</v>
      </c>
      <c r="L3836" s="1">
        <v>20</v>
      </c>
      <c r="M3836" s="1">
        <v>6891.97</v>
      </c>
      <c r="N3836" s="1">
        <v>27567.87</v>
      </c>
      <c r="O3836" s="1" t="s">
        <v>64</v>
      </c>
      <c r="P3836" s="1" t="s">
        <v>823</v>
      </c>
      <c r="Q3836" s="1">
        <v>5</v>
      </c>
      <c r="R3836" s="1">
        <f>Retail_Sales_Analyis[[#This Row],[Final_Price]]-Retail_Sales_Analyis[[#This Row],[Total_Price]]</f>
        <v>-6891.9699999999975</v>
      </c>
      <c r="S38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37" spans="1:19" x14ac:dyDescent="0.25">
      <c r="A3837" s="1" t="s">
        <v>4958</v>
      </c>
      <c r="B3837" s="2">
        <v>45515</v>
      </c>
      <c r="C3837" s="1" t="s">
        <v>93</v>
      </c>
      <c r="D3837" s="1" t="s">
        <v>49</v>
      </c>
      <c r="E3837" s="1" t="s">
        <v>186</v>
      </c>
      <c r="F3837" s="1" t="s">
        <v>84</v>
      </c>
      <c r="G3837" s="1" t="s">
        <v>112</v>
      </c>
      <c r="H3837" s="1" t="s">
        <v>288</v>
      </c>
      <c r="I3837" s="1">
        <v>1700.61</v>
      </c>
      <c r="J3837" s="1">
        <v>3</v>
      </c>
      <c r="K3837" s="1">
        <v>5101.83</v>
      </c>
      <c r="L3837" s="1">
        <v>0</v>
      </c>
      <c r="M3837" s="1">
        <v>0</v>
      </c>
      <c r="N3837" s="1">
        <v>5101.83</v>
      </c>
      <c r="O3837" s="1" t="s">
        <v>33</v>
      </c>
      <c r="P3837" s="1" t="s">
        <v>425</v>
      </c>
      <c r="Q3837" s="1">
        <v>4</v>
      </c>
      <c r="R3837" s="1">
        <f>Retail_Sales_Analyis[[#This Row],[Final_Price]]-Retail_Sales_Analyis[[#This Row],[Total_Price]]</f>
        <v>0</v>
      </c>
      <c r="S38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8" spans="1:19" x14ac:dyDescent="0.25">
      <c r="A3838" s="1" t="s">
        <v>4959</v>
      </c>
      <c r="B3838" s="2">
        <v>45414</v>
      </c>
      <c r="C3838" s="1" t="s">
        <v>42</v>
      </c>
      <c r="D3838" s="1" t="s">
        <v>67</v>
      </c>
      <c r="E3838" s="1" t="s">
        <v>186</v>
      </c>
      <c r="F3838" s="1" t="s">
        <v>37</v>
      </c>
      <c r="G3838" s="1" t="s">
        <v>57</v>
      </c>
      <c r="H3838" s="1" t="s">
        <v>101</v>
      </c>
      <c r="I3838" s="1">
        <v>2440.2800000000002</v>
      </c>
      <c r="J3838" s="1">
        <v>2</v>
      </c>
      <c r="K3838" s="1">
        <v>4880.5600000000004</v>
      </c>
      <c r="L3838" s="1">
        <v>0</v>
      </c>
      <c r="M3838" s="1">
        <v>0</v>
      </c>
      <c r="N3838" s="1">
        <v>4880.5600000000004</v>
      </c>
      <c r="O3838" s="1" t="s">
        <v>64</v>
      </c>
      <c r="P3838" s="1" t="s">
        <v>2909</v>
      </c>
      <c r="Q3838" s="1">
        <v>1</v>
      </c>
      <c r="R3838" s="1">
        <f>Retail_Sales_Analyis[[#This Row],[Final_Price]]-Retail_Sales_Analyis[[#This Row],[Total_Price]]</f>
        <v>0</v>
      </c>
      <c r="S38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39" spans="1:19" x14ac:dyDescent="0.25">
      <c r="A3839" s="1" t="s">
        <v>4960</v>
      </c>
      <c r="B3839" s="2">
        <v>45321</v>
      </c>
      <c r="C3839" s="1" t="s">
        <v>36</v>
      </c>
      <c r="D3839" s="1" t="s">
        <v>28</v>
      </c>
      <c r="E3839" s="1" t="s">
        <v>542</v>
      </c>
      <c r="F3839" s="1" t="s">
        <v>37</v>
      </c>
      <c r="G3839" s="1" t="s">
        <v>57</v>
      </c>
      <c r="H3839" s="1" t="s">
        <v>122</v>
      </c>
      <c r="I3839" s="1">
        <v>2498.13</v>
      </c>
      <c r="J3839" s="1">
        <v>4</v>
      </c>
      <c r="K3839" s="1">
        <v>9992.52</v>
      </c>
      <c r="L3839" s="1">
        <v>0</v>
      </c>
      <c r="M3839" s="1">
        <v>0</v>
      </c>
      <c r="N3839" s="1">
        <v>9992.52</v>
      </c>
      <c r="O3839" s="1" t="s">
        <v>24</v>
      </c>
      <c r="P3839" s="1" t="s">
        <v>1532</v>
      </c>
      <c r="Q3839" s="1">
        <v>1</v>
      </c>
      <c r="R3839" s="1">
        <f>Retail_Sales_Analyis[[#This Row],[Final_Price]]-Retail_Sales_Analyis[[#This Row],[Total_Price]]</f>
        <v>0</v>
      </c>
      <c r="S38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40" spans="1:19" x14ac:dyDescent="0.25">
      <c r="A3840" s="1" t="s">
        <v>4961</v>
      </c>
      <c r="B3840" s="2">
        <v>45417</v>
      </c>
      <c r="C3840" s="1" t="s">
        <v>42</v>
      </c>
      <c r="D3840" s="1" t="s">
        <v>49</v>
      </c>
      <c r="E3840" s="1" t="s">
        <v>62</v>
      </c>
      <c r="F3840" s="1" t="s">
        <v>84</v>
      </c>
      <c r="G3840" s="1" t="s">
        <v>38</v>
      </c>
      <c r="H3840" s="1" t="s">
        <v>39</v>
      </c>
      <c r="I3840" s="1">
        <v>380.34</v>
      </c>
      <c r="J3840" s="1">
        <v>5</v>
      </c>
      <c r="K3840" s="1">
        <v>1901.7</v>
      </c>
      <c r="L3840" s="1">
        <v>10</v>
      </c>
      <c r="M3840" s="1">
        <v>190.17</v>
      </c>
      <c r="N3840" s="1">
        <v>1711.53</v>
      </c>
      <c r="O3840" s="1" t="s">
        <v>80</v>
      </c>
      <c r="P3840" s="1" t="s">
        <v>293</v>
      </c>
      <c r="Q3840" s="1">
        <v>3</v>
      </c>
      <c r="R3840" s="1">
        <f>Retail_Sales_Analyis[[#This Row],[Final_Price]]-Retail_Sales_Analyis[[#This Row],[Total_Price]]</f>
        <v>-190.17000000000007</v>
      </c>
      <c r="S38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41" spans="1:19" x14ac:dyDescent="0.25">
      <c r="A3841" s="1" t="s">
        <v>4962</v>
      </c>
      <c r="B3841" s="2">
        <v>45336</v>
      </c>
      <c r="C3841" s="1" t="s">
        <v>27</v>
      </c>
      <c r="D3841" s="1" t="s">
        <v>55</v>
      </c>
      <c r="E3841" s="1" t="s">
        <v>207</v>
      </c>
      <c r="F3841" s="1" t="s">
        <v>37</v>
      </c>
      <c r="G3841" s="1" t="s">
        <v>78</v>
      </c>
      <c r="H3841" s="1" t="s">
        <v>323</v>
      </c>
      <c r="I3841" s="1">
        <v>210.04</v>
      </c>
      <c r="J3841" s="1">
        <v>5</v>
      </c>
      <c r="K3841" s="1">
        <v>1050.2</v>
      </c>
      <c r="L3841" s="1">
        <v>0</v>
      </c>
      <c r="M3841" s="1">
        <v>0</v>
      </c>
      <c r="N3841" s="1">
        <v>1050.2</v>
      </c>
      <c r="O3841" s="1" t="s">
        <v>64</v>
      </c>
      <c r="P3841" s="1" t="s">
        <v>4963</v>
      </c>
      <c r="Q3841" s="1">
        <v>5</v>
      </c>
      <c r="R3841" s="1">
        <f>Retail_Sales_Analyis[[#This Row],[Final_Price]]-Retail_Sales_Analyis[[#This Row],[Total_Price]]</f>
        <v>0</v>
      </c>
      <c r="S38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42" spans="1:19" x14ac:dyDescent="0.25">
      <c r="A3842" s="1" t="s">
        <v>4964</v>
      </c>
      <c r="B3842" s="2">
        <v>45514</v>
      </c>
      <c r="C3842" s="1" t="s">
        <v>93</v>
      </c>
      <c r="D3842" s="1" t="s">
        <v>19</v>
      </c>
      <c r="E3842" s="1" t="s">
        <v>56</v>
      </c>
      <c r="F3842" s="1" t="s">
        <v>84</v>
      </c>
      <c r="G3842" s="1" t="s">
        <v>169</v>
      </c>
      <c r="H3842" s="1" t="s">
        <v>175</v>
      </c>
      <c r="I3842" s="1">
        <v>531.42999999999995</v>
      </c>
      <c r="J3842" s="1">
        <v>10</v>
      </c>
      <c r="K3842" s="1">
        <v>5314.3</v>
      </c>
      <c r="L3842" s="1">
        <v>5</v>
      </c>
      <c r="M3842" s="1">
        <v>265.72000000000003</v>
      </c>
      <c r="N3842" s="1">
        <v>5048.58</v>
      </c>
      <c r="O3842" s="1" t="s">
        <v>46</v>
      </c>
      <c r="P3842" s="1" t="s">
        <v>184</v>
      </c>
      <c r="Q3842" s="1">
        <v>3</v>
      </c>
      <c r="R3842" s="1">
        <f>Retail_Sales_Analyis[[#This Row],[Final_Price]]-Retail_Sales_Analyis[[#This Row],[Total_Price]]</f>
        <v>-265.72000000000025</v>
      </c>
      <c r="S38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43" spans="1:19" x14ac:dyDescent="0.25">
      <c r="A3843" s="1" t="s">
        <v>4965</v>
      </c>
      <c r="B3843" s="2">
        <v>45351</v>
      </c>
      <c r="C3843" s="1" t="s">
        <v>27</v>
      </c>
      <c r="D3843" s="1" t="s">
        <v>67</v>
      </c>
      <c r="E3843" s="1" t="s">
        <v>56</v>
      </c>
      <c r="F3843" s="1" t="s">
        <v>37</v>
      </c>
      <c r="G3843" s="1" t="s">
        <v>78</v>
      </c>
      <c r="H3843" s="1" t="s">
        <v>79</v>
      </c>
      <c r="I3843" s="1">
        <v>571.86</v>
      </c>
      <c r="J3843" s="1">
        <v>10</v>
      </c>
      <c r="K3843" s="1">
        <v>5718.6</v>
      </c>
      <c r="L3843" s="1">
        <v>10</v>
      </c>
      <c r="M3843" s="1">
        <v>571.86</v>
      </c>
      <c r="N3843" s="1">
        <v>5146.74</v>
      </c>
      <c r="O3843" s="1" t="s">
        <v>64</v>
      </c>
      <c r="P3843" s="1" t="s">
        <v>3499</v>
      </c>
      <c r="Q3843" s="1">
        <v>5</v>
      </c>
      <c r="R3843" s="1">
        <f>Retail_Sales_Analyis[[#This Row],[Final_Price]]-Retail_Sales_Analyis[[#This Row],[Total_Price]]</f>
        <v>-571.86000000000058</v>
      </c>
      <c r="S38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44" spans="1:19" x14ac:dyDescent="0.25">
      <c r="A3844" s="1" t="s">
        <v>4966</v>
      </c>
      <c r="B3844" s="2">
        <v>45524</v>
      </c>
      <c r="C3844" s="1" t="s">
        <v>93</v>
      </c>
      <c r="D3844" s="1" t="s">
        <v>28</v>
      </c>
      <c r="E3844" s="1" t="s">
        <v>29</v>
      </c>
      <c r="F3844" s="1" t="s">
        <v>21</v>
      </c>
      <c r="G3844" s="1" t="s">
        <v>57</v>
      </c>
      <c r="H3844" s="1" t="s">
        <v>158</v>
      </c>
      <c r="I3844" s="1">
        <v>1177.47</v>
      </c>
      <c r="J3844" s="1">
        <v>7</v>
      </c>
      <c r="K3844" s="1">
        <v>8242.2900000000009</v>
      </c>
      <c r="L3844" s="1">
        <v>5</v>
      </c>
      <c r="M3844" s="1">
        <v>412.11</v>
      </c>
      <c r="N3844" s="1">
        <v>7830.18</v>
      </c>
      <c r="O3844" s="1" t="s">
        <v>80</v>
      </c>
      <c r="P3844" s="1" t="s">
        <v>2480</v>
      </c>
      <c r="Q3844" s="1">
        <v>4</v>
      </c>
      <c r="R3844" s="1">
        <f>Retail_Sales_Analyis[[#This Row],[Final_Price]]-Retail_Sales_Analyis[[#This Row],[Total_Price]]</f>
        <v>-412.11000000000058</v>
      </c>
      <c r="S384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45" spans="1:19" x14ac:dyDescent="0.25">
      <c r="A3845" s="1" t="s">
        <v>4967</v>
      </c>
      <c r="B3845" s="2">
        <v>45605</v>
      </c>
      <c r="C3845" s="1" t="s">
        <v>18</v>
      </c>
      <c r="D3845" s="1" t="s">
        <v>19</v>
      </c>
      <c r="E3845" s="1" t="s">
        <v>107</v>
      </c>
      <c r="F3845" s="1" t="s">
        <v>30</v>
      </c>
      <c r="G3845" s="1" t="s">
        <v>78</v>
      </c>
      <c r="H3845" s="1" t="s">
        <v>126</v>
      </c>
      <c r="I3845" s="1">
        <v>346.81</v>
      </c>
      <c r="J3845" s="1">
        <v>5</v>
      </c>
      <c r="K3845" s="1">
        <v>1734.05</v>
      </c>
      <c r="L3845" s="1">
        <v>0</v>
      </c>
      <c r="M3845" s="1">
        <v>0</v>
      </c>
      <c r="N3845" s="1">
        <v>1734.05</v>
      </c>
      <c r="O3845" s="1" t="s">
        <v>33</v>
      </c>
      <c r="P3845" s="1" t="s">
        <v>1210</v>
      </c>
      <c r="Q3845" s="1">
        <v>5</v>
      </c>
      <c r="R3845" s="1">
        <f>Retail_Sales_Analyis[[#This Row],[Final_Price]]-Retail_Sales_Analyis[[#This Row],[Total_Price]]</f>
        <v>0</v>
      </c>
      <c r="S38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46" spans="1:19" x14ac:dyDescent="0.25">
      <c r="A3846" s="1" t="s">
        <v>4968</v>
      </c>
      <c r="B3846" s="2">
        <v>45603</v>
      </c>
      <c r="C3846" s="1" t="s">
        <v>18</v>
      </c>
      <c r="D3846" s="1" t="s">
        <v>67</v>
      </c>
      <c r="E3846" s="1" t="s">
        <v>77</v>
      </c>
      <c r="F3846" s="1" t="s">
        <v>69</v>
      </c>
      <c r="G3846" s="1" t="s">
        <v>22</v>
      </c>
      <c r="H3846" s="1" t="s">
        <v>133</v>
      </c>
      <c r="I3846" s="1">
        <v>754</v>
      </c>
      <c r="J3846" s="1">
        <v>10</v>
      </c>
      <c r="K3846" s="1">
        <v>7540</v>
      </c>
      <c r="L3846" s="1">
        <v>10</v>
      </c>
      <c r="M3846" s="1">
        <v>754</v>
      </c>
      <c r="N3846" s="1">
        <v>6786</v>
      </c>
      <c r="O3846" s="1" t="s">
        <v>80</v>
      </c>
      <c r="P3846" s="1" t="s">
        <v>953</v>
      </c>
      <c r="Q3846" s="1">
        <v>1</v>
      </c>
      <c r="R3846" s="1">
        <f>Retail_Sales_Analyis[[#This Row],[Final_Price]]-Retail_Sales_Analyis[[#This Row],[Total_Price]]</f>
        <v>-754</v>
      </c>
      <c r="S38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47" spans="1:19" x14ac:dyDescent="0.25">
      <c r="A3847" s="1" t="s">
        <v>4969</v>
      </c>
      <c r="B3847" s="2">
        <v>45320</v>
      </c>
      <c r="C3847" s="1" t="s">
        <v>36</v>
      </c>
      <c r="D3847" s="1" t="s">
        <v>43</v>
      </c>
      <c r="E3847" s="1" t="s">
        <v>97</v>
      </c>
      <c r="F3847" s="1" t="s">
        <v>21</v>
      </c>
      <c r="G3847" s="1" t="s">
        <v>38</v>
      </c>
      <c r="H3847" s="1" t="s">
        <v>108</v>
      </c>
      <c r="I3847" s="1">
        <v>753.99</v>
      </c>
      <c r="J3847" s="1">
        <v>5</v>
      </c>
      <c r="K3847" s="1">
        <v>3769.95</v>
      </c>
      <c r="L3847" s="1">
        <v>15</v>
      </c>
      <c r="M3847" s="1">
        <v>565.49</v>
      </c>
      <c r="N3847" s="1">
        <v>3204.46</v>
      </c>
      <c r="O3847" s="1" t="s">
        <v>33</v>
      </c>
      <c r="P3847" s="1" t="s">
        <v>659</v>
      </c>
      <c r="Q3847" s="1">
        <v>4</v>
      </c>
      <c r="R3847" s="1">
        <f>Retail_Sales_Analyis[[#This Row],[Final_Price]]-Retail_Sales_Analyis[[#This Row],[Total_Price]]</f>
        <v>-565.48999999999978</v>
      </c>
      <c r="S38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48" spans="1:19" x14ac:dyDescent="0.25">
      <c r="A3848" s="1" t="s">
        <v>4970</v>
      </c>
      <c r="B3848" s="2">
        <v>45450</v>
      </c>
      <c r="C3848" s="1" t="s">
        <v>173</v>
      </c>
      <c r="D3848" s="1" t="s">
        <v>144</v>
      </c>
      <c r="E3848" s="1" t="s">
        <v>139</v>
      </c>
      <c r="F3848" s="1" t="s">
        <v>30</v>
      </c>
      <c r="G3848" s="1" t="s">
        <v>57</v>
      </c>
      <c r="H3848" s="1" t="s">
        <v>58</v>
      </c>
      <c r="I3848" s="1">
        <v>2444.7800000000002</v>
      </c>
      <c r="J3848" s="1">
        <v>9</v>
      </c>
      <c r="K3848" s="1">
        <v>22003.02</v>
      </c>
      <c r="L3848" s="1">
        <v>0</v>
      </c>
      <c r="M3848" s="1">
        <v>0</v>
      </c>
      <c r="N3848" s="1">
        <v>22003.02</v>
      </c>
      <c r="O3848" s="1" t="s">
        <v>64</v>
      </c>
      <c r="P3848" s="1" t="s">
        <v>1098</v>
      </c>
      <c r="Q3848" s="1">
        <v>4</v>
      </c>
      <c r="R3848" s="1">
        <f>Retail_Sales_Analyis[[#This Row],[Final_Price]]-Retail_Sales_Analyis[[#This Row],[Total_Price]]</f>
        <v>0</v>
      </c>
      <c r="S38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49" spans="1:19" x14ac:dyDescent="0.25">
      <c r="A3849" s="1" t="s">
        <v>4971</v>
      </c>
      <c r="B3849" s="2">
        <v>45633</v>
      </c>
      <c r="C3849" s="1" t="s">
        <v>73</v>
      </c>
      <c r="D3849" s="1" t="s">
        <v>19</v>
      </c>
      <c r="E3849" s="1" t="s">
        <v>196</v>
      </c>
      <c r="F3849" s="1" t="s">
        <v>84</v>
      </c>
      <c r="G3849" s="1" t="s">
        <v>169</v>
      </c>
      <c r="H3849" s="1" t="s">
        <v>348</v>
      </c>
      <c r="I3849" s="1">
        <v>1459.32</v>
      </c>
      <c r="J3849" s="1">
        <v>8</v>
      </c>
      <c r="K3849" s="1">
        <v>11674.56</v>
      </c>
      <c r="L3849" s="1">
        <v>0</v>
      </c>
      <c r="M3849" s="1">
        <v>0</v>
      </c>
      <c r="N3849" s="1">
        <v>11674.56</v>
      </c>
      <c r="O3849" s="1" t="s">
        <v>33</v>
      </c>
      <c r="P3849" s="1" t="s">
        <v>2074</v>
      </c>
      <c r="Q3849" s="1">
        <v>4</v>
      </c>
      <c r="R3849" s="1">
        <f>Retail_Sales_Analyis[[#This Row],[Final_Price]]-Retail_Sales_Analyis[[#This Row],[Total_Price]]</f>
        <v>0</v>
      </c>
      <c r="S38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0" spans="1:19" x14ac:dyDescent="0.25">
      <c r="A3850" s="1" t="s">
        <v>4972</v>
      </c>
      <c r="B3850" s="2">
        <v>45628</v>
      </c>
      <c r="C3850" s="1" t="s">
        <v>73</v>
      </c>
      <c r="D3850" s="1" t="s">
        <v>43</v>
      </c>
      <c r="E3850" s="1" t="s">
        <v>89</v>
      </c>
      <c r="F3850" s="1" t="s">
        <v>37</v>
      </c>
      <c r="G3850" s="1" t="s">
        <v>112</v>
      </c>
      <c r="H3850" s="1" t="s">
        <v>223</v>
      </c>
      <c r="I3850" s="1">
        <v>1718.98</v>
      </c>
      <c r="J3850" s="1">
        <v>1</v>
      </c>
      <c r="K3850" s="1">
        <v>1718.98</v>
      </c>
      <c r="L3850" s="1">
        <v>0</v>
      </c>
      <c r="M3850" s="1">
        <v>0</v>
      </c>
      <c r="N3850" s="1">
        <v>1718.98</v>
      </c>
      <c r="O3850" s="1" t="s">
        <v>33</v>
      </c>
      <c r="P3850" s="1" t="s">
        <v>3770</v>
      </c>
      <c r="Q3850" s="1">
        <v>1</v>
      </c>
      <c r="R3850" s="1">
        <f>Retail_Sales_Analyis[[#This Row],[Final_Price]]-Retail_Sales_Analyis[[#This Row],[Total_Price]]</f>
        <v>0</v>
      </c>
      <c r="S38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1" spans="1:19" x14ac:dyDescent="0.25">
      <c r="A3851" s="1" t="s">
        <v>4973</v>
      </c>
      <c r="B3851" s="2">
        <v>45381</v>
      </c>
      <c r="C3851" s="1" t="s">
        <v>61</v>
      </c>
      <c r="D3851" s="1" t="s">
        <v>19</v>
      </c>
      <c r="E3851" s="1" t="s">
        <v>542</v>
      </c>
      <c r="F3851" s="1" t="s">
        <v>21</v>
      </c>
      <c r="G3851" s="1" t="s">
        <v>78</v>
      </c>
      <c r="H3851" s="1" t="s">
        <v>146</v>
      </c>
      <c r="I3851" s="1">
        <v>526.51</v>
      </c>
      <c r="J3851" s="1">
        <v>4</v>
      </c>
      <c r="K3851" s="1">
        <v>2106.04</v>
      </c>
      <c r="L3851" s="1">
        <v>10</v>
      </c>
      <c r="M3851" s="1">
        <v>210.6</v>
      </c>
      <c r="N3851" s="1">
        <v>1895.44</v>
      </c>
      <c r="O3851" s="1" t="s">
        <v>33</v>
      </c>
      <c r="P3851" s="1" t="s">
        <v>2152</v>
      </c>
      <c r="Q3851" s="1">
        <v>2</v>
      </c>
      <c r="R3851" s="1">
        <f>Retail_Sales_Analyis[[#This Row],[Final_Price]]-Retail_Sales_Analyis[[#This Row],[Total_Price]]</f>
        <v>-210.59999999999991</v>
      </c>
      <c r="S38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52" spans="1:19" x14ac:dyDescent="0.25">
      <c r="A3852" s="1" t="s">
        <v>4974</v>
      </c>
      <c r="B3852" s="2">
        <v>45353</v>
      </c>
      <c r="C3852" s="1" t="s">
        <v>61</v>
      </c>
      <c r="D3852" s="1" t="s">
        <v>19</v>
      </c>
      <c r="E3852" s="1" t="s">
        <v>351</v>
      </c>
      <c r="F3852" s="1" t="s">
        <v>30</v>
      </c>
      <c r="G3852" s="1" t="s">
        <v>78</v>
      </c>
      <c r="H3852" s="1" t="s">
        <v>79</v>
      </c>
      <c r="I3852" s="1">
        <v>407.46</v>
      </c>
      <c r="J3852" s="1">
        <v>5</v>
      </c>
      <c r="K3852" s="1">
        <v>2037.3</v>
      </c>
      <c r="L3852" s="1">
        <v>0</v>
      </c>
      <c r="M3852" s="1">
        <v>0</v>
      </c>
      <c r="N3852" s="1">
        <v>2037.3</v>
      </c>
      <c r="O3852" s="1" t="s">
        <v>33</v>
      </c>
      <c r="P3852" s="1" t="s">
        <v>2236</v>
      </c>
      <c r="Q3852" s="1">
        <v>2</v>
      </c>
      <c r="R3852" s="1">
        <f>Retail_Sales_Analyis[[#This Row],[Final_Price]]-Retail_Sales_Analyis[[#This Row],[Total_Price]]</f>
        <v>0</v>
      </c>
      <c r="S38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3" spans="1:19" x14ac:dyDescent="0.25">
      <c r="A3853" s="1" t="s">
        <v>4975</v>
      </c>
      <c r="B3853" s="2">
        <v>45298</v>
      </c>
      <c r="C3853" s="1" t="s">
        <v>36</v>
      </c>
      <c r="D3853" s="1" t="s">
        <v>49</v>
      </c>
      <c r="E3853" s="1" t="s">
        <v>145</v>
      </c>
      <c r="F3853" s="1" t="s">
        <v>21</v>
      </c>
      <c r="G3853" s="1" t="s">
        <v>85</v>
      </c>
      <c r="H3853" s="1" t="s">
        <v>98</v>
      </c>
      <c r="I3853" s="1">
        <v>1142.6099999999999</v>
      </c>
      <c r="J3853" s="1">
        <v>7</v>
      </c>
      <c r="K3853" s="1">
        <v>7998.27</v>
      </c>
      <c r="L3853" s="1">
        <v>0</v>
      </c>
      <c r="M3853" s="1">
        <v>0</v>
      </c>
      <c r="N3853" s="1">
        <v>7998.27</v>
      </c>
      <c r="O3853" s="1" t="s">
        <v>33</v>
      </c>
      <c r="P3853" s="1" t="s">
        <v>955</v>
      </c>
      <c r="Q3853" s="1">
        <v>4</v>
      </c>
      <c r="R3853" s="1">
        <f>Retail_Sales_Analyis[[#This Row],[Final_Price]]-Retail_Sales_Analyis[[#This Row],[Total_Price]]</f>
        <v>0</v>
      </c>
      <c r="S38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4" spans="1:19" x14ac:dyDescent="0.25">
      <c r="A3854" s="1" t="s">
        <v>4976</v>
      </c>
      <c r="B3854" s="2">
        <v>45654</v>
      </c>
      <c r="C3854" s="1" t="s">
        <v>73</v>
      </c>
      <c r="D3854" s="1" t="s">
        <v>19</v>
      </c>
      <c r="E3854" s="1" t="s">
        <v>121</v>
      </c>
      <c r="F3854" s="1" t="s">
        <v>21</v>
      </c>
      <c r="G3854" s="1" t="s">
        <v>57</v>
      </c>
      <c r="H3854" s="1" t="s">
        <v>158</v>
      </c>
      <c r="I3854" s="1">
        <v>302.11</v>
      </c>
      <c r="J3854" s="1">
        <v>3</v>
      </c>
      <c r="K3854" s="1">
        <v>906.33</v>
      </c>
      <c r="L3854" s="1">
        <v>0</v>
      </c>
      <c r="M3854" s="1">
        <v>0</v>
      </c>
      <c r="N3854" s="1">
        <v>906.33</v>
      </c>
      <c r="O3854" s="1" t="s">
        <v>64</v>
      </c>
      <c r="P3854" s="1" t="s">
        <v>871</v>
      </c>
      <c r="Q3854" s="1">
        <v>2</v>
      </c>
      <c r="R3854" s="1">
        <f>Retail_Sales_Analyis[[#This Row],[Final_Price]]-Retail_Sales_Analyis[[#This Row],[Total_Price]]</f>
        <v>0</v>
      </c>
      <c r="S38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5" spans="1:19" x14ac:dyDescent="0.25">
      <c r="A3855" s="1" t="s">
        <v>4977</v>
      </c>
      <c r="B3855" s="2">
        <v>45362</v>
      </c>
      <c r="C3855" s="1" t="s">
        <v>61</v>
      </c>
      <c r="D3855" s="1" t="s">
        <v>43</v>
      </c>
      <c r="E3855" s="1" t="s">
        <v>20</v>
      </c>
      <c r="F3855" s="1" t="s">
        <v>69</v>
      </c>
      <c r="G3855" s="1" t="s">
        <v>57</v>
      </c>
      <c r="H3855" s="1" t="s">
        <v>122</v>
      </c>
      <c r="I3855" s="1">
        <v>455.76</v>
      </c>
      <c r="J3855" s="1">
        <v>5</v>
      </c>
      <c r="K3855" s="1">
        <v>2278.8000000000002</v>
      </c>
      <c r="L3855" s="1">
        <v>0</v>
      </c>
      <c r="M3855" s="1">
        <v>0</v>
      </c>
      <c r="N3855" s="1">
        <v>2278.8000000000002</v>
      </c>
      <c r="O3855" s="1" t="s">
        <v>64</v>
      </c>
      <c r="P3855" s="1" t="s">
        <v>812</v>
      </c>
      <c r="Q3855" s="1">
        <v>1</v>
      </c>
      <c r="R3855" s="1">
        <f>Retail_Sales_Analyis[[#This Row],[Final_Price]]-Retail_Sales_Analyis[[#This Row],[Total_Price]]</f>
        <v>0</v>
      </c>
      <c r="S38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6" spans="1:19" x14ac:dyDescent="0.25">
      <c r="A3856" s="1" t="s">
        <v>4978</v>
      </c>
      <c r="B3856" s="2">
        <v>45651</v>
      </c>
      <c r="C3856" s="1" t="s">
        <v>73</v>
      </c>
      <c r="D3856" s="1" t="s">
        <v>55</v>
      </c>
      <c r="E3856" s="1" t="s">
        <v>111</v>
      </c>
      <c r="F3856" s="1" t="s">
        <v>21</v>
      </c>
      <c r="G3856" s="1" t="s">
        <v>78</v>
      </c>
      <c r="H3856" s="1" t="s">
        <v>126</v>
      </c>
      <c r="I3856" s="1">
        <v>490.52</v>
      </c>
      <c r="J3856" s="1">
        <v>5</v>
      </c>
      <c r="K3856" s="1">
        <v>2452.6</v>
      </c>
      <c r="L3856" s="1">
        <v>0</v>
      </c>
      <c r="M3856" s="1">
        <v>0</v>
      </c>
      <c r="N3856" s="1">
        <v>2452.6</v>
      </c>
      <c r="O3856" s="1" t="s">
        <v>46</v>
      </c>
      <c r="P3856" s="1" t="s">
        <v>815</v>
      </c>
      <c r="Q3856" s="1">
        <v>2</v>
      </c>
      <c r="R3856" s="1">
        <f>Retail_Sales_Analyis[[#This Row],[Final_Price]]-Retail_Sales_Analyis[[#This Row],[Total_Price]]</f>
        <v>0</v>
      </c>
      <c r="S38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7" spans="1:19" x14ac:dyDescent="0.25">
      <c r="A3857" s="1" t="s">
        <v>4979</v>
      </c>
      <c r="B3857" s="2">
        <v>45297</v>
      </c>
      <c r="C3857" s="1" t="s">
        <v>36</v>
      </c>
      <c r="D3857" s="1" t="s">
        <v>19</v>
      </c>
      <c r="E3857" s="1" t="s">
        <v>307</v>
      </c>
      <c r="F3857" s="1" t="s">
        <v>37</v>
      </c>
      <c r="G3857" s="1" t="s">
        <v>38</v>
      </c>
      <c r="H3857" s="1" t="s">
        <v>70</v>
      </c>
      <c r="I3857" s="1">
        <v>308.27</v>
      </c>
      <c r="J3857" s="1">
        <v>6</v>
      </c>
      <c r="K3857" s="1">
        <v>1849.62</v>
      </c>
      <c r="L3857" s="1">
        <v>0</v>
      </c>
      <c r="M3857" s="1">
        <v>0</v>
      </c>
      <c r="N3857" s="1">
        <v>1849.62</v>
      </c>
      <c r="O3857" s="1" t="s">
        <v>33</v>
      </c>
      <c r="P3857" s="1" t="s">
        <v>1652</v>
      </c>
      <c r="Q3857" s="1">
        <v>3</v>
      </c>
      <c r="R3857" s="1">
        <f>Retail_Sales_Analyis[[#This Row],[Final_Price]]-Retail_Sales_Analyis[[#This Row],[Total_Price]]</f>
        <v>0</v>
      </c>
      <c r="S38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8" spans="1:19" x14ac:dyDescent="0.25">
      <c r="A3858" s="1" t="s">
        <v>4980</v>
      </c>
      <c r="B3858" s="2">
        <v>45375</v>
      </c>
      <c r="C3858" s="1" t="s">
        <v>61</v>
      </c>
      <c r="D3858" s="1" t="s">
        <v>49</v>
      </c>
      <c r="E3858" s="1" t="s">
        <v>89</v>
      </c>
      <c r="F3858" s="1" t="s">
        <v>69</v>
      </c>
      <c r="G3858" s="1" t="s">
        <v>57</v>
      </c>
      <c r="H3858" s="1" t="s">
        <v>101</v>
      </c>
      <c r="I3858" s="1">
        <v>2836.65</v>
      </c>
      <c r="J3858" s="1">
        <v>9</v>
      </c>
      <c r="K3858" s="1">
        <v>25529.85</v>
      </c>
      <c r="L3858" s="1">
        <v>0</v>
      </c>
      <c r="M3858" s="1">
        <v>0</v>
      </c>
      <c r="N3858" s="1">
        <v>25529.85</v>
      </c>
      <c r="O3858" s="1" t="s">
        <v>80</v>
      </c>
      <c r="P3858" s="1" t="s">
        <v>528</v>
      </c>
      <c r="Q3858" s="1">
        <v>5</v>
      </c>
      <c r="R3858" s="1">
        <f>Retail_Sales_Analyis[[#This Row],[Final_Price]]-Retail_Sales_Analyis[[#This Row],[Total_Price]]</f>
        <v>0</v>
      </c>
      <c r="S38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59" spans="1:19" x14ac:dyDescent="0.25">
      <c r="A3859" s="1" t="s">
        <v>4981</v>
      </c>
      <c r="B3859" s="2">
        <v>45546</v>
      </c>
      <c r="C3859" s="1" t="s">
        <v>116</v>
      </c>
      <c r="D3859" s="1" t="s">
        <v>55</v>
      </c>
      <c r="E3859" s="1" t="s">
        <v>337</v>
      </c>
      <c r="F3859" s="1" t="s">
        <v>84</v>
      </c>
      <c r="G3859" s="1" t="s">
        <v>85</v>
      </c>
      <c r="H3859" s="1" t="s">
        <v>180</v>
      </c>
      <c r="I3859" s="1">
        <v>2079.3200000000002</v>
      </c>
      <c r="J3859" s="1">
        <v>5</v>
      </c>
      <c r="K3859" s="1">
        <v>10396.6</v>
      </c>
      <c r="L3859" s="1">
        <v>20</v>
      </c>
      <c r="M3859" s="1">
        <v>2079.3200000000002</v>
      </c>
      <c r="N3859" s="1">
        <v>8317.2800000000007</v>
      </c>
      <c r="O3859" s="1" t="s">
        <v>64</v>
      </c>
      <c r="P3859" s="1" t="s">
        <v>1757</v>
      </c>
      <c r="Q3859" s="1">
        <v>1</v>
      </c>
      <c r="R3859" s="1">
        <f>Retail_Sales_Analyis[[#This Row],[Final_Price]]-Retail_Sales_Analyis[[#This Row],[Total_Price]]</f>
        <v>-2079.3199999999997</v>
      </c>
      <c r="S38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60" spans="1:19" x14ac:dyDescent="0.25">
      <c r="A3860" s="1" t="s">
        <v>4982</v>
      </c>
      <c r="B3860" s="2">
        <v>45469</v>
      </c>
      <c r="C3860" s="1" t="s">
        <v>173</v>
      </c>
      <c r="D3860" s="1" t="s">
        <v>55</v>
      </c>
      <c r="E3860" s="1" t="s">
        <v>168</v>
      </c>
      <c r="F3860" s="1" t="s">
        <v>21</v>
      </c>
      <c r="G3860" s="1" t="s">
        <v>31</v>
      </c>
      <c r="H3860" s="1" t="s">
        <v>32</v>
      </c>
      <c r="I3860" s="1">
        <v>93.29</v>
      </c>
      <c r="J3860" s="1">
        <v>9</v>
      </c>
      <c r="K3860" s="1">
        <v>839.61</v>
      </c>
      <c r="L3860" s="1">
        <v>0</v>
      </c>
      <c r="M3860" s="1">
        <v>0</v>
      </c>
      <c r="N3860" s="1">
        <v>839.61</v>
      </c>
      <c r="O3860" s="1" t="s">
        <v>64</v>
      </c>
      <c r="P3860" s="1" t="s">
        <v>480</v>
      </c>
      <c r="Q3860" s="1">
        <v>3</v>
      </c>
      <c r="R3860" s="1">
        <f>Retail_Sales_Analyis[[#This Row],[Final_Price]]-Retail_Sales_Analyis[[#This Row],[Total_Price]]</f>
        <v>0</v>
      </c>
      <c r="S38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61" spans="1:19" x14ac:dyDescent="0.25">
      <c r="A3861" s="1" t="s">
        <v>4983</v>
      </c>
      <c r="B3861" s="2">
        <v>45559</v>
      </c>
      <c r="C3861" s="1" t="s">
        <v>116</v>
      </c>
      <c r="D3861" s="1" t="s">
        <v>28</v>
      </c>
      <c r="E3861" s="1" t="s">
        <v>62</v>
      </c>
      <c r="F3861" s="1" t="s">
        <v>30</v>
      </c>
      <c r="G3861" s="1" t="s">
        <v>85</v>
      </c>
      <c r="H3861" s="1" t="s">
        <v>86</v>
      </c>
      <c r="I3861" s="1">
        <v>2898.86</v>
      </c>
      <c r="J3861" s="1">
        <v>4</v>
      </c>
      <c r="K3861" s="1">
        <v>11595.44</v>
      </c>
      <c r="L3861" s="1">
        <v>5</v>
      </c>
      <c r="M3861" s="1">
        <v>579.77</v>
      </c>
      <c r="N3861" s="1">
        <v>11015.67</v>
      </c>
      <c r="O3861" s="1" t="s">
        <v>33</v>
      </c>
      <c r="P3861" s="1" t="s">
        <v>2306</v>
      </c>
      <c r="Q3861" s="1">
        <v>3</v>
      </c>
      <c r="R3861" s="1">
        <f>Retail_Sales_Analyis[[#This Row],[Final_Price]]-Retail_Sales_Analyis[[#This Row],[Total_Price]]</f>
        <v>-579.77000000000044</v>
      </c>
      <c r="S38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62" spans="1:19" x14ac:dyDescent="0.25">
      <c r="A3862" s="1" t="s">
        <v>4984</v>
      </c>
      <c r="B3862" s="2">
        <v>45556</v>
      </c>
      <c r="C3862" s="1" t="s">
        <v>116</v>
      </c>
      <c r="D3862" s="1" t="s">
        <v>19</v>
      </c>
      <c r="E3862" s="1" t="s">
        <v>62</v>
      </c>
      <c r="F3862" s="1" t="s">
        <v>30</v>
      </c>
      <c r="G3862" s="1" t="s">
        <v>22</v>
      </c>
      <c r="H3862" s="1" t="s">
        <v>133</v>
      </c>
      <c r="I3862" s="1">
        <v>550.05999999999995</v>
      </c>
      <c r="J3862" s="1">
        <v>8</v>
      </c>
      <c r="K3862" s="1">
        <v>4400.4799999999996</v>
      </c>
      <c r="L3862" s="1">
        <v>0</v>
      </c>
      <c r="M3862" s="1">
        <v>0</v>
      </c>
      <c r="N3862" s="1">
        <v>4400.4799999999996</v>
      </c>
      <c r="O3862" s="1" t="s">
        <v>33</v>
      </c>
      <c r="P3862" s="1" t="s">
        <v>2076</v>
      </c>
      <c r="Q3862" s="1">
        <v>2</v>
      </c>
      <c r="R3862" s="1">
        <f>Retail_Sales_Analyis[[#This Row],[Final_Price]]-Retail_Sales_Analyis[[#This Row],[Total_Price]]</f>
        <v>0</v>
      </c>
      <c r="S38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63" spans="1:19" x14ac:dyDescent="0.25">
      <c r="A3863" s="1" t="s">
        <v>4985</v>
      </c>
      <c r="B3863" s="2">
        <v>45424</v>
      </c>
      <c r="C3863" s="1" t="s">
        <v>42</v>
      </c>
      <c r="D3863" s="1" t="s">
        <v>49</v>
      </c>
      <c r="E3863" s="1" t="s">
        <v>302</v>
      </c>
      <c r="F3863" s="1" t="s">
        <v>37</v>
      </c>
      <c r="G3863" s="1" t="s">
        <v>169</v>
      </c>
      <c r="H3863" s="1" t="s">
        <v>175</v>
      </c>
      <c r="I3863" s="1">
        <v>861.78</v>
      </c>
      <c r="J3863" s="1">
        <v>2</v>
      </c>
      <c r="K3863" s="1">
        <v>1723.56</v>
      </c>
      <c r="L3863" s="1">
        <v>0</v>
      </c>
      <c r="M3863" s="1">
        <v>0</v>
      </c>
      <c r="N3863" s="1">
        <v>1723.56</v>
      </c>
      <c r="O3863" s="1" t="s">
        <v>33</v>
      </c>
      <c r="P3863" s="1" t="s">
        <v>1073</v>
      </c>
      <c r="Q3863" s="1">
        <v>4</v>
      </c>
      <c r="R3863" s="1">
        <f>Retail_Sales_Analyis[[#This Row],[Final_Price]]-Retail_Sales_Analyis[[#This Row],[Total_Price]]</f>
        <v>0</v>
      </c>
      <c r="S38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64" spans="1:19" x14ac:dyDescent="0.25">
      <c r="A3864" s="1" t="s">
        <v>4986</v>
      </c>
      <c r="B3864" s="2">
        <v>45377</v>
      </c>
      <c r="C3864" s="1" t="s">
        <v>61</v>
      </c>
      <c r="D3864" s="1" t="s">
        <v>28</v>
      </c>
      <c r="E3864" s="1" t="s">
        <v>199</v>
      </c>
      <c r="F3864" s="1" t="s">
        <v>21</v>
      </c>
      <c r="G3864" s="1" t="s">
        <v>57</v>
      </c>
      <c r="H3864" s="1" t="s">
        <v>122</v>
      </c>
      <c r="I3864" s="1">
        <v>808.04</v>
      </c>
      <c r="J3864" s="1">
        <v>10</v>
      </c>
      <c r="K3864" s="1">
        <v>8080.4</v>
      </c>
      <c r="L3864" s="1">
        <v>15</v>
      </c>
      <c r="M3864" s="1">
        <v>1212.06</v>
      </c>
      <c r="N3864" s="1">
        <v>6868.34</v>
      </c>
      <c r="O3864" s="1" t="s">
        <v>64</v>
      </c>
      <c r="P3864" s="1" t="s">
        <v>1572</v>
      </c>
      <c r="Q3864" s="1">
        <v>5</v>
      </c>
      <c r="R3864" s="1">
        <f>Retail_Sales_Analyis[[#This Row],[Final_Price]]-Retail_Sales_Analyis[[#This Row],[Total_Price]]</f>
        <v>-1212.0599999999995</v>
      </c>
      <c r="S38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65" spans="1:19" x14ac:dyDescent="0.25">
      <c r="A3865" s="1" t="s">
        <v>4987</v>
      </c>
      <c r="B3865" s="2">
        <v>45482</v>
      </c>
      <c r="C3865" s="1" t="s">
        <v>195</v>
      </c>
      <c r="D3865" s="1" t="s">
        <v>28</v>
      </c>
      <c r="E3865" s="1" t="s">
        <v>151</v>
      </c>
      <c r="F3865" s="1" t="s">
        <v>21</v>
      </c>
      <c r="G3865" s="1" t="s">
        <v>112</v>
      </c>
      <c r="H3865" s="1" t="s">
        <v>113</v>
      </c>
      <c r="I3865" s="1">
        <v>1942.58</v>
      </c>
      <c r="J3865" s="1">
        <v>6</v>
      </c>
      <c r="K3865" s="1">
        <v>11655.48</v>
      </c>
      <c r="L3865" s="1">
        <v>0</v>
      </c>
      <c r="M3865" s="1">
        <v>0</v>
      </c>
      <c r="N3865" s="1">
        <v>11655.48</v>
      </c>
      <c r="O3865" s="1" t="s">
        <v>24</v>
      </c>
      <c r="P3865" s="1" t="s">
        <v>3820</v>
      </c>
      <c r="Q3865" s="1">
        <v>2</v>
      </c>
      <c r="R3865" s="1">
        <f>Retail_Sales_Analyis[[#This Row],[Final_Price]]-Retail_Sales_Analyis[[#This Row],[Total_Price]]</f>
        <v>0</v>
      </c>
      <c r="S38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66" spans="1:19" x14ac:dyDescent="0.25">
      <c r="A3866" s="1" t="s">
        <v>4988</v>
      </c>
      <c r="B3866" s="2">
        <v>45356</v>
      </c>
      <c r="C3866" s="1" t="s">
        <v>61</v>
      </c>
      <c r="D3866" s="1" t="s">
        <v>28</v>
      </c>
      <c r="E3866" s="1" t="s">
        <v>50</v>
      </c>
      <c r="F3866" s="1" t="s">
        <v>30</v>
      </c>
      <c r="G3866" s="1" t="s">
        <v>57</v>
      </c>
      <c r="H3866" s="1" t="s">
        <v>122</v>
      </c>
      <c r="I3866" s="1">
        <v>341.51</v>
      </c>
      <c r="J3866" s="1">
        <v>3</v>
      </c>
      <c r="K3866" s="1">
        <v>1024.53</v>
      </c>
      <c r="L3866" s="1">
        <v>5</v>
      </c>
      <c r="M3866" s="1">
        <v>51.23</v>
      </c>
      <c r="N3866" s="1">
        <v>973.3</v>
      </c>
      <c r="O3866" s="1" t="s">
        <v>80</v>
      </c>
      <c r="P3866" s="1" t="s">
        <v>91</v>
      </c>
      <c r="Q3866" s="1">
        <v>5</v>
      </c>
      <c r="R3866" s="1">
        <f>Retail_Sales_Analyis[[#This Row],[Final_Price]]-Retail_Sales_Analyis[[#This Row],[Total_Price]]</f>
        <v>-51.230000000000018</v>
      </c>
      <c r="S38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867" spans="1:19" x14ac:dyDescent="0.25">
      <c r="A3867" s="1" t="s">
        <v>4989</v>
      </c>
      <c r="B3867" s="2">
        <v>45429</v>
      </c>
      <c r="C3867" s="1" t="s">
        <v>42</v>
      </c>
      <c r="D3867" s="1" t="s">
        <v>144</v>
      </c>
      <c r="E3867" s="1" t="s">
        <v>192</v>
      </c>
      <c r="F3867" s="1" t="s">
        <v>21</v>
      </c>
      <c r="G3867" s="1" t="s">
        <v>85</v>
      </c>
      <c r="H3867" s="1" t="s">
        <v>180</v>
      </c>
      <c r="I3867" s="1">
        <v>4249.42</v>
      </c>
      <c r="J3867" s="1">
        <v>8</v>
      </c>
      <c r="K3867" s="1">
        <v>33995.360000000001</v>
      </c>
      <c r="L3867" s="1">
        <v>0</v>
      </c>
      <c r="M3867" s="1">
        <v>0</v>
      </c>
      <c r="N3867" s="1">
        <v>33995.360000000001</v>
      </c>
      <c r="O3867" s="1" t="s">
        <v>64</v>
      </c>
      <c r="P3867" s="1" t="s">
        <v>2268</v>
      </c>
      <c r="Q3867" s="1">
        <v>5</v>
      </c>
      <c r="R3867" s="1">
        <f>Retail_Sales_Analyis[[#This Row],[Final_Price]]-Retail_Sales_Analyis[[#This Row],[Total_Price]]</f>
        <v>0</v>
      </c>
      <c r="S38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68" spans="1:19" x14ac:dyDescent="0.25">
      <c r="A3868" s="1" t="s">
        <v>4990</v>
      </c>
      <c r="B3868" s="2">
        <v>45352</v>
      </c>
      <c r="C3868" s="1" t="s">
        <v>61</v>
      </c>
      <c r="D3868" s="1" t="s">
        <v>144</v>
      </c>
      <c r="E3868" s="1" t="s">
        <v>107</v>
      </c>
      <c r="F3868" s="1" t="s">
        <v>69</v>
      </c>
      <c r="G3868" s="1" t="s">
        <v>112</v>
      </c>
      <c r="H3868" s="1" t="s">
        <v>113</v>
      </c>
      <c r="I3868" s="1">
        <v>1174.8800000000001</v>
      </c>
      <c r="J3868" s="1">
        <v>2</v>
      </c>
      <c r="K3868" s="1">
        <v>2349.7600000000002</v>
      </c>
      <c r="L3868" s="1">
        <v>15</v>
      </c>
      <c r="M3868" s="1">
        <v>352.46</v>
      </c>
      <c r="N3868" s="1">
        <v>1997.3</v>
      </c>
      <c r="O3868" s="1" t="s">
        <v>80</v>
      </c>
      <c r="P3868" s="1" t="s">
        <v>3968</v>
      </c>
      <c r="Q3868" s="1">
        <v>1</v>
      </c>
      <c r="R3868" s="1">
        <f>Retail_Sales_Analyis[[#This Row],[Final_Price]]-Retail_Sales_Analyis[[#This Row],[Total_Price]]</f>
        <v>-352.46000000000026</v>
      </c>
      <c r="S38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69" spans="1:19" x14ac:dyDescent="0.25">
      <c r="A3869" s="1" t="s">
        <v>4991</v>
      </c>
      <c r="B3869" s="2">
        <v>45307</v>
      </c>
      <c r="C3869" s="1" t="s">
        <v>36</v>
      </c>
      <c r="D3869" s="1" t="s">
        <v>28</v>
      </c>
      <c r="E3869" s="1" t="s">
        <v>94</v>
      </c>
      <c r="F3869" s="1" t="s">
        <v>21</v>
      </c>
      <c r="G3869" s="1" t="s">
        <v>57</v>
      </c>
      <c r="H3869" s="1" t="s">
        <v>122</v>
      </c>
      <c r="I3869" s="1">
        <v>2151.09</v>
      </c>
      <c r="J3869" s="1">
        <v>6</v>
      </c>
      <c r="K3869" s="1">
        <v>12906.54</v>
      </c>
      <c r="L3869" s="1">
        <v>0</v>
      </c>
      <c r="M3869" s="1">
        <v>0</v>
      </c>
      <c r="N3869" s="1">
        <v>12906.54</v>
      </c>
      <c r="O3869" s="1" t="s">
        <v>33</v>
      </c>
      <c r="P3869" s="1" t="s">
        <v>597</v>
      </c>
      <c r="Q3869" s="1">
        <v>1</v>
      </c>
      <c r="R3869" s="1">
        <f>Retail_Sales_Analyis[[#This Row],[Final_Price]]-Retail_Sales_Analyis[[#This Row],[Total_Price]]</f>
        <v>0</v>
      </c>
      <c r="S38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0" spans="1:19" x14ac:dyDescent="0.25">
      <c r="A3870" s="1" t="s">
        <v>4992</v>
      </c>
      <c r="B3870" s="2">
        <v>45463</v>
      </c>
      <c r="C3870" s="1" t="s">
        <v>173</v>
      </c>
      <c r="D3870" s="1" t="s">
        <v>67</v>
      </c>
      <c r="E3870" s="1" t="s">
        <v>20</v>
      </c>
      <c r="F3870" s="1" t="s">
        <v>30</v>
      </c>
      <c r="G3870" s="1" t="s">
        <v>169</v>
      </c>
      <c r="H3870" s="1" t="s">
        <v>348</v>
      </c>
      <c r="I3870" s="1">
        <v>1428.49</v>
      </c>
      <c r="J3870" s="1">
        <v>3</v>
      </c>
      <c r="K3870" s="1">
        <v>4285.47</v>
      </c>
      <c r="L3870" s="1">
        <v>0</v>
      </c>
      <c r="M3870" s="1">
        <v>0</v>
      </c>
      <c r="N3870" s="1">
        <v>4285.47</v>
      </c>
      <c r="O3870" s="1" t="s">
        <v>24</v>
      </c>
      <c r="P3870" s="1" t="s">
        <v>718</v>
      </c>
      <c r="Q3870" s="1">
        <v>4</v>
      </c>
      <c r="R3870" s="1">
        <f>Retail_Sales_Analyis[[#This Row],[Final_Price]]-Retail_Sales_Analyis[[#This Row],[Total_Price]]</f>
        <v>0</v>
      </c>
      <c r="S38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1" spans="1:19" x14ac:dyDescent="0.25">
      <c r="A3871" s="1" t="s">
        <v>4993</v>
      </c>
      <c r="B3871" s="2">
        <v>45511</v>
      </c>
      <c r="C3871" s="1" t="s">
        <v>93</v>
      </c>
      <c r="D3871" s="1" t="s">
        <v>55</v>
      </c>
      <c r="E3871" s="1" t="s">
        <v>207</v>
      </c>
      <c r="F3871" s="1" t="s">
        <v>30</v>
      </c>
      <c r="G3871" s="1" t="s">
        <v>169</v>
      </c>
      <c r="H3871" s="1" t="s">
        <v>208</v>
      </c>
      <c r="I3871" s="1">
        <v>304.63</v>
      </c>
      <c r="J3871" s="1">
        <v>5</v>
      </c>
      <c r="K3871" s="1">
        <v>1523.15</v>
      </c>
      <c r="L3871" s="1">
        <v>20</v>
      </c>
      <c r="M3871" s="1">
        <v>304.63</v>
      </c>
      <c r="N3871" s="1">
        <v>1218.52</v>
      </c>
      <c r="O3871" s="1" t="s">
        <v>46</v>
      </c>
      <c r="P3871" s="1" t="s">
        <v>3644</v>
      </c>
      <c r="Q3871" s="1">
        <v>2</v>
      </c>
      <c r="R3871" s="1">
        <f>Retail_Sales_Analyis[[#This Row],[Final_Price]]-Retail_Sales_Analyis[[#This Row],[Total_Price]]</f>
        <v>-304.63000000000011</v>
      </c>
      <c r="S387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72" spans="1:19" x14ac:dyDescent="0.25">
      <c r="A3872" s="1" t="s">
        <v>4994</v>
      </c>
      <c r="B3872" s="2">
        <v>45431</v>
      </c>
      <c r="C3872" s="1" t="s">
        <v>42</v>
      </c>
      <c r="D3872" s="1" t="s">
        <v>49</v>
      </c>
      <c r="E3872" s="1" t="s">
        <v>261</v>
      </c>
      <c r="F3872" s="1" t="s">
        <v>84</v>
      </c>
      <c r="G3872" s="1" t="s">
        <v>57</v>
      </c>
      <c r="H3872" s="1" t="s">
        <v>58</v>
      </c>
      <c r="I3872" s="1">
        <v>947.73</v>
      </c>
      <c r="J3872" s="1">
        <v>5</v>
      </c>
      <c r="K3872" s="1">
        <v>4738.6499999999996</v>
      </c>
      <c r="L3872" s="1">
        <v>0</v>
      </c>
      <c r="M3872" s="1">
        <v>0</v>
      </c>
      <c r="N3872" s="1">
        <v>4738.6499999999996</v>
      </c>
      <c r="O3872" s="1" t="s">
        <v>64</v>
      </c>
      <c r="P3872" s="1" t="s">
        <v>248</v>
      </c>
      <c r="Q3872" s="1">
        <v>5</v>
      </c>
      <c r="R3872" s="1">
        <f>Retail_Sales_Analyis[[#This Row],[Final_Price]]-Retail_Sales_Analyis[[#This Row],[Total_Price]]</f>
        <v>0</v>
      </c>
      <c r="S38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3" spans="1:19" x14ac:dyDescent="0.25">
      <c r="A3873" s="1" t="s">
        <v>4995</v>
      </c>
      <c r="B3873" s="2">
        <v>45560</v>
      </c>
      <c r="C3873" s="1" t="s">
        <v>116</v>
      </c>
      <c r="D3873" s="1" t="s">
        <v>55</v>
      </c>
      <c r="E3873" s="1" t="s">
        <v>328</v>
      </c>
      <c r="F3873" s="1" t="s">
        <v>21</v>
      </c>
      <c r="G3873" s="1" t="s">
        <v>38</v>
      </c>
      <c r="H3873" s="1" t="s">
        <v>214</v>
      </c>
      <c r="I3873" s="1">
        <v>209.42</v>
      </c>
      <c r="J3873" s="1">
        <v>1</v>
      </c>
      <c r="K3873" s="1">
        <v>209.42</v>
      </c>
      <c r="L3873" s="1">
        <v>15</v>
      </c>
      <c r="M3873" s="1">
        <v>31.41</v>
      </c>
      <c r="N3873" s="1">
        <v>178.01</v>
      </c>
      <c r="O3873" s="1" t="s">
        <v>24</v>
      </c>
      <c r="P3873" s="1" t="s">
        <v>2220</v>
      </c>
      <c r="Q3873" s="1">
        <v>4</v>
      </c>
      <c r="R3873" s="1">
        <f>Retail_Sales_Analyis[[#This Row],[Final_Price]]-Retail_Sales_Analyis[[#This Row],[Total_Price]]</f>
        <v>-31.409999999999997</v>
      </c>
      <c r="S38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74" spans="1:19" x14ac:dyDescent="0.25">
      <c r="A3874" s="1" t="s">
        <v>4996</v>
      </c>
      <c r="B3874" s="2">
        <v>45324</v>
      </c>
      <c r="C3874" s="1" t="s">
        <v>27</v>
      </c>
      <c r="D3874" s="1" t="s">
        <v>144</v>
      </c>
      <c r="E3874" s="1" t="s">
        <v>213</v>
      </c>
      <c r="F3874" s="1" t="s">
        <v>37</v>
      </c>
      <c r="G3874" s="1" t="s">
        <v>31</v>
      </c>
      <c r="H3874" s="1" t="s">
        <v>32</v>
      </c>
      <c r="I3874" s="1">
        <v>373.01</v>
      </c>
      <c r="J3874" s="1">
        <v>4</v>
      </c>
      <c r="K3874" s="1">
        <v>1492.04</v>
      </c>
      <c r="L3874" s="1">
        <v>0</v>
      </c>
      <c r="M3874" s="1">
        <v>0</v>
      </c>
      <c r="N3874" s="1">
        <v>1492.04</v>
      </c>
      <c r="O3874" s="1" t="s">
        <v>64</v>
      </c>
      <c r="P3874" s="1" t="s">
        <v>582</v>
      </c>
      <c r="Q3874" s="1">
        <v>4</v>
      </c>
      <c r="R3874" s="1">
        <f>Retail_Sales_Analyis[[#This Row],[Final_Price]]-Retail_Sales_Analyis[[#This Row],[Total_Price]]</f>
        <v>0</v>
      </c>
      <c r="S38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5" spans="1:19" x14ac:dyDescent="0.25">
      <c r="A3875" s="1" t="s">
        <v>4997</v>
      </c>
      <c r="B3875" s="2">
        <v>45426</v>
      </c>
      <c r="C3875" s="1" t="s">
        <v>42</v>
      </c>
      <c r="D3875" s="1" t="s">
        <v>28</v>
      </c>
      <c r="E3875" s="1" t="s">
        <v>145</v>
      </c>
      <c r="F3875" s="1" t="s">
        <v>21</v>
      </c>
      <c r="G3875" s="1" t="s">
        <v>31</v>
      </c>
      <c r="H3875" s="1" t="s">
        <v>45</v>
      </c>
      <c r="I3875" s="1">
        <v>193.82</v>
      </c>
      <c r="J3875" s="1">
        <v>8</v>
      </c>
      <c r="K3875" s="1">
        <v>1550.56</v>
      </c>
      <c r="L3875" s="1">
        <v>0</v>
      </c>
      <c r="M3875" s="1">
        <v>0</v>
      </c>
      <c r="N3875" s="1">
        <v>1550.56</v>
      </c>
      <c r="O3875" s="1" t="s">
        <v>24</v>
      </c>
      <c r="P3875" s="1" t="s">
        <v>984</v>
      </c>
      <c r="Q3875" s="1">
        <v>5</v>
      </c>
      <c r="R3875" s="1">
        <f>Retail_Sales_Analyis[[#This Row],[Final_Price]]-Retail_Sales_Analyis[[#This Row],[Total_Price]]</f>
        <v>0</v>
      </c>
      <c r="S38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6" spans="1:19" x14ac:dyDescent="0.25">
      <c r="A3876" s="1" t="s">
        <v>4998</v>
      </c>
      <c r="B3876" s="2">
        <v>45656</v>
      </c>
      <c r="C3876" s="1" t="s">
        <v>73</v>
      </c>
      <c r="D3876" s="1" t="s">
        <v>43</v>
      </c>
      <c r="E3876" s="1" t="s">
        <v>104</v>
      </c>
      <c r="F3876" s="1" t="s">
        <v>69</v>
      </c>
      <c r="G3876" s="1" t="s">
        <v>78</v>
      </c>
      <c r="H3876" s="1" t="s">
        <v>146</v>
      </c>
      <c r="I3876" s="1">
        <v>167.77</v>
      </c>
      <c r="J3876" s="1">
        <v>1</v>
      </c>
      <c r="K3876" s="1">
        <v>167.77</v>
      </c>
      <c r="L3876" s="1">
        <v>10</v>
      </c>
      <c r="M3876" s="1">
        <v>16.78</v>
      </c>
      <c r="N3876" s="1">
        <v>150.99</v>
      </c>
      <c r="O3876" s="1" t="s">
        <v>24</v>
      </c>
      <c r="P3876" s="1" t="s">
        <v>184</v>
      </c>
      <c r="Q3876" s="1">
        <v>1</v>
      </c>
      <c r="R3876" s="1">
        <f>Retail_Sales_Analyis[[#This Row],[Final_Price]]-Retail_Sales_Analyis[[#This Row],[Total_Price]]</f>
        <v>-16.78</v>
      </c>
      <c r="S38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77" spans="1:19" x14ac:dyDescent="0.25">
      <c r="A3877" s="1" t="s">
        <v>4999</v>
      </c>
      <c r="B3877" s="2">
        <v>45587</v>
      </c>
      <c r="C3877" s="1" t="s">
        <v>76</v>
      </c>
      <c r="D3877" s="1" t="s">
        <v>28</v>
      </c>
      <c r="E3877" s="1" t="s">
        <v>62</v>
      </c>
      <c r="F3877" s="1" t="s">
        <v>30</v>
      </c>
      <c r="G3877" s="1" t="s">
        <v>85</v>
      </c>
      <c r="H3877" s="1" t="s">
        <v>180</v>
      </c>
      <c r="I3877" s="1">
        <v>3057.92</v>
      </c>
      <c r="J3877" s="1">
        <v>7</v>
      </c>
      <c r="K3877" s="1">
        <v>21405.439999999999</v>
      </c>
      <c r="L3877" s="1">
        <v>15</v>
      </c>
      <c r="M3877" s="1">
        <v>3210.82</v>
      </c>
      <c r="N3877" s="1">
        <v>18194.62</v>
      </c>
      <c r="O3877" s="1" t="s">
        <v>33</v>
      </c>
      <c r="P3877" s="1" t="s">
        <v>3286</v>
      </c>
      <c r="Q3877" s="1">
        <v>4</v>
      </c>
      <c r="R3877" s="1">
        <f>Retail_Sales_Analyis[[#This Row],[Final_Price]]-Retail_Sales_Analyis[[#This Row],[Total_Price]]</f>
        <v>-3210.8199999999997</v>
      </c>
      <c r="S38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78" spans="1:19" x14ac:dyDescent="0.25">
      <c r="A3878" s="1" t="s">
        <v>5000</v>
      </c>
      <c r="B3878" s="2">
        <v>45613</v>
      </c>
      <c r="C3878" s="1" t="s">
        <v>18</v>
      </c>
      <c r="D3878" s="1" t="s">
        <v>49</v>
      </c>
      <c r="E3878" s="1" t="s">
        <v>56</v>
      </c>
      <c r="F3878" s="1" t="s">
        <v>37</v>
      </c>
      <c r="G3878" s="1" t="s">
        <v>78</v>
      </c>
      <c r="H3878" s="1" t="s">
        <v>126</v>
      </c>
      <c r="I3878" s="1">
        <v>335.93</v>
      </c>
      <c r="J3878" s="1">
        <v>8</v>
      </c>
      <c r="K3878" s="1">
        <v>2687.44</v>
      </c>
      <c r="L3878" s="1">
        <v>0</v>
      </c>
      <c r="M3878" s="1">
        <v>0</v>
      </c>
      <c r="N3878" s="1">
        <v>2687.44</v>
      </c>
      <c r="O3878" s="1" t="s">
        <v>80</v>
      </c>
      <c r="P3878" s="1" t="s">
        <v>5001</v>
      </c>
      <c r="Q3878" s="1">
        <v>3</v>
      </c>
      <c r="R3878" s="1">
        <f>Retail_Sales_Analyis[[#This Row],[Final_Price]]-Retail_Sales_Analyis[[#This Row],[Total_Price]]</f>
        <v>0</v>
      </c>
      <c r="S38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79" spans="1:19" x14ac:dyDescent="0.25">
      <c r="A3879" s="1" t="s">
        <v>5002</v>
      </c>
      <c r="B3879" s="2">
        <v>45331</v>
      </c>
      <c r="C3879" s="1" t="s">
        <v>27</v>
      </c>
      <c r="D3879" s="1" t="s">
        <v>144</v>
      </c>
      <c r="E3879" s="1" t="s">
        <v>121</v>
      </c>
      <c r="F3879" s="1" t="s">
        <v>30</v>
      </c>
      <c r="G3879" s="1" t="s">
        <v>38</v>
      </c>
      <c r="H3879" s="1" t="s">
        <v>422</v>
      </c>
      <c r="I3879" s="1">
        <v>662.4</v>
      </c>
      <c r="J3879" s="1">
        <v>4</v>
      </c>
      <c r="K3879" s="1">
        <v>2649.6</v>
      </c>
      <c r="L3879" s="1">
        <v>0</v>
      </c>
      <c r="M3879" s="1">
        <v>0</v>
      </c>
      <c r="N3879" s="1">
        <v>2649.6</v>
      </c>
      <c r="O3879" s="1" t="s">
        <v>64</v>
      </c>
      <c r="P3879" s="1" t="s">
        <v>685</v>
      </c>
      <c r="Q3879" s="1">
        <v>3</v>
      </c>
      <c r="R3879" s="1">
        <f>Retail_Sales_Analyis[[#This Row],[Final_Price]]-Retail_Sales_Analyis[[#This Row],[Total_Price]]</f>
        <v>0</v>
      </c>
      <c r="S38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0" spans="1:19" x14ac:dyDescent="0.25">
      <c r="A3880" s="1" t="s">
        <v>5003</v>
      </c>
      <c r="B3880" s="2">
        <v>45546</v>
      </c>
      <c r="C3880" s="1" t="s">
        <v>116</v>
      </c>
      <c r="D3880" s="1" t="s">
        <v>55</v>
      </c>
      <c r="E3880" s="1" t="s">
        <v>117</v>
      </c>
      <c r="F3880" s="1" t="s">
        <v>21</v>
      </c>
      <c r="G3880" s="1" t="s">
        <v>22</v>
      </c>
      <c r="H3880" s="1" t="s">
        <v>187</v>
      </c>
      <c r="I3880" s="1">
        <v>428.04</v>
      </c>
      <c r="J3880" s="1">
        <v>2</v>
      </c>
      <c r="K3880" s="1">
        <v>856.08</v>
      </c>
      <c r="L3880" s="1">
        <v>0</v>
      </c>
      <c r="M3880" s="1">
        <v>0</v>
      </c>
      <c r="N3880" s="1">
        <v>856.08</v>
      </c>
      <c r="O3880" s="1" t="s">
        <v>46</v>
      </c>
      <c r="P3880" s="1" t="s">
        <v>545</v>
      </c>
      <c r="Q3880" s="1">
        <v>4</v>
      </c>
      <c r="R3880" s="1">
        <f>Retail_Sales_Analyis[[#This Row],[Final_Price]]-Retail_Sales_Analyis[[#This Row],[Total_Price]]</f>
        <v>0</v>
      </c>
      <c r="S38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1" spans="1:19" x14ac:dyDescent="0.25">
      <c r="A3881" s="1" t="s">
        <v>5004</v>
      </c>
      <c r="B3881" s="2">
        <v>45525</v>
      </c>
      <c r="C3881" s="1" t="s">
        <v>93</v>
      </c>
      <c r="D3881" s="1" t="s">
        <v>55</v>
      </c>
      <c r="E3881" s="1" t="s">
        <v>307</v>
      </c>
      <c r="F3881" s="1" t="s">
        <v>37</v>
      </c>
      <c r="G3881" s="1" t="s">
        <v>169</v>
      </c>
      <c r="H3881" s="1" t="s">
        <v>348</v>
      </c>
      <c r="I3881" s="1">
        <v>675.13</v>
      </c>
      <c r="J3881" s="1">
        <v>4</v>
      </c>
      <c r="K3881" s="1">
        <v>2700.52</v>
      </c>
      <c r="L3881" s="1">
        <v>0</v>
      </c>
      <c r="M3881" s="1">
        <v>0</v>
      </c>
      <c r="N3881" s="1">
        <v>2700.52</v>
      </c>
      <c r="O3881" s="1" t="s">
        <v>24</v>
      </c>
      <c r="P3881" s="1" t="s">
        <v>633</v>
      </c>
      <c r="Q3881" s="1">
        <v>5</v>
      </c>
      <c r="R3881" s="1">
        <f>Retail_Sales_Analyis[[#This Row],[Final_Price]]-Retail_Sales_Analyis[[#This Row],[Total_Price]]</f>
        <v>0</v>
      </c>
      <c r="S38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2" spans="1:19" x14ac:dyDescent="0.25">
      <c r="A3882" s="1" t="s">
        <v>5005</v>
      </c>
      <c r="B3882" s="2">
        <v>45553</v>
      </c>
      <c r="C3882" s="1" t="s">
        <v>116</v>
      </c>
      <c r="D3882" s="1" t="s">
        <v>55</v>
      </c>
      <c r="E3882" s="1" t="s">
        <v>132</v>
      </c>
      <c r="F3882" s="1" t="s">
        <v>69</v>
      </c>
      <c r="G3882" s="1" t="s">
        <v>31</v>
      </c>
      <c r="H3882" s="1" t="s">
        <v>32</v>
      </c>
      <c r="I3882" s="1">
        <v>306</v>
      </c>
      <c r="J3882" s="1">
        <v>7</v>
      </c>
      <c r="K3882" s="1">
        <v>2142</v>
      </c>
      <c r="L3882" s="1">
        <v>0</v>
      </c>
      <c r="M3882" s="1">
        <v>0</v>
      </c>
      <c r="N3882" s="1">
        <v>2142</v>
      </c>
      <c r="O3882" s="1" t="s">
        <v>80</v>
      </c>
      <c r="P3882" s="1" t="s">
        <v>1835</v>
      </c>
      <c r="Q3882" s="1">
        <v>3</v>
      </c>
      <c r="R3882" s="1">
        <f>Retail_Sales_Analyis[[#This Row],[Final_Price]]-Retail_Sales_Analyis[[#This Row],[Total_Price]]</f>
        <v>0</v>
      </c>
      <c r="S38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3" spans="1:19" x14ac:dyDescent="0.25">
      <c r="A3883" s="1" t="s">
        <v>5006</v>
      </c>
      <c r="B3883" s="2">
        <v>45476</v>
      </c>
      <c r="C3883" s="1" t="s">
        <v>195</v>
      </c>
      <c r="D3883" s="1" t="s">
        <v>55</v>
      </c>
      <c r="E3883" s="1" t="s">
        <v>117</v>
      </c>
      <c r="F3883" s="1" t="s">
        <v>30</v>
      </c>
      <c r="G3883" s="1" t="s">
        <v>22</v>
      </c>
      <c r="H3883" s="1" t="s">
        <v>133</v>
      </c>
      <c r="I3883" s="1">
        <v>233.42</v>
      </c>
      <c r="J3883" s="1">
        <v>4</v>
      </c>
      <c r="K3883" s="1">
        <v>933.68</v>
      </c>
      <c r="L3883" s="1">
        <v>15</v>
      </c>
      <c r="M3883" s="1">
        <v>140.05000000000001</v>
      </c>
      <c r="N3883" s="1">
        <v>793.63</v>
      </c>
      <c r="O3883" s="1" t="s">
        <v>64</v>
      </c>
      <c r="P3883" s="1" t="s">
        <v>1096</v>
      </c>
      <c r="Q3883" s="1">
        <v>4</v>
      </c>
      <c r="R3883" s="1">
        <f>Retail_Sales_Analyis[[#This Row],[Final_Price]]-Retail_Sales_Analyis[[#This Row],[Total_Price]]</f>
        <v>-140.04999999999995</v>
      </c>
      <c r="S38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84" spans="1:19" x14ac:dyDescent="0.25">
      <c r="A3884" s="1" t="s">
        <v>5007</v>
      </c>
      <c r="B3884" s="2">
        <v>45320</v>
      </c>
      <c r="C3884" s="1" t="s">
        <v>36</v>
      </c>
      <c r="D3884" s="1" t="s">
        <v>43</v>
      </c>
      <c r="E3884" s="1" t="s">
        <v>239</v>
      </c>
      <c r="F3884" s="1" t="s">
        <v>37</v>
      </c>
      <c r="G3884" s="1" t="s">
        <v>85</v>
      </c>
      <c r="H3884" s="1" t="s">
        <v>90</v>
      </c>
      <c r="I3884" s="1">
        <v>4372.03</v>
      </c>
      <c r="J3884" s="1">
        <v>5</v>
      </c>
      <c r="K3884" s="1">
        <v>21860.15</v>
      </c>
      <c r="L3884" s="1">
        <v>10</v>
      </c>
      <c r="M3884" s="1">
        <v>2186.02</v>
      </c>
      <c r="N3884" s="1">
        <v>19674.13</v>
      </c>
      <c r="O3884" s="1" t="s">
        <v>46</v>
      </c>
      <c r="P3884" s="1" t="s">
        <v>1493</v>
      </c>
      <c r="Q3884" s="1">
        <v>2</v>
      </c>
      <c r="R3884" s="1">
        <f>Retail_Sales_Analyis[[#This Row],[Final_Price]]-Retail_Sales_Analyis[[#This Row],[Total_Price]]</f>
        <v>-2186.0200000000004</v>
      </c>
      <c r="S38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85" spans="1:19" x14ac:dyDescent="0.25">
      <c r="A3885" s="1" t="s">
        <v>5008</v>
      </c>
      <c r="B3885" s="2">
        <v>45547</v>
      </c>
      <c r="C3885" s="1" t="s">
        <v>116</v>
      </c>
      <c r="D3885" s="1" t="s">
        <v>67</v>
      </c>
      <c r="E3885" s="1" t="s">
        <v>62</v>
      </c>
      <c r="F3885" s="1" t="s">
        <v>30</v>
      </c>
      <c r="G3885" s="1" t="s">
        <v>85</v>
      </c>
      <c r="H3885" s="1" t="s">
        <v>98</v>
      </c>
      <c r="I3885" s="1">
        <v>4883.05</v>
      </c>
      <c r="J3885" s="1">
        <v>3</v>
      </c>
      <c r="K3885" s="1">
        <v>14649.15</v>
      </c>
      <c r="L3885" s="1">
        <v>0</v>
      </c>
      <c r="M3885" s="1">
        <v>0</v>
      </c>
      <c r="N3885" s="1">
        <v>14649.15</v>
      </c>
      <c r="O3885" s="1" t="s">
        <v>24</v>
      </c>
      <c r="P3885" s="1" t="s">
        <v>1311</v>
      </c>
      <c r="Q3885" s="1">
        <v>3</v>
      </c>
      <c r="R3885" s="1">
        <f>Retail_Sales_Analyis[[#This Row],[Final_Price]]-Retail_Sales_Analyis[[#This Row],[Total_Price]]</f>
        <v>0</v>
      </c>
      <c r="S38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6" spans="1:19" x14ac:dyDescent="0.25">
      <c r="A3886" s="1" t="s">
        <v>5009</v>
      </c>
      <c r="B3886" s="2">
        <v>45582</v>
      </c>
      <c r="C3886" s="1" t="s">
        <v>76</v>
      </c>
      <c r="D3886" s="1" t="s">
        <v>67</v>
      </c>
      <c r="E3886" s="1" t="s">
        <v>261</v>
      </c>
      <c r="F3886" s="1" t="s">
        <v>37</v>
      </c>
      <c r="G3886" s="1" t="s">
        <v>78</v>
      </c>
      <c r="H3886" s="1" t="s">
        <v>146</v>
      </c>
      <c r="I3886" s="1">
        <v>353.92</v>
      </c>
      <c r="J3886" s="1">
        <v>3</v>
      </c>
      <c r="K3886" s="1">
        <v>1061.76</v>
      </c>
      <c r="L3886" s="1">
        <v>0</v>
      </c>
      <c r="M3886" s="1">
        <v>0</v>
      </c>
      <c r="N3886" s="1">
        <v>1061.76</v>
      </c>
      <c r="O3886" s="1" t="s">
        <v>33</v>
      </c>
      <c r="P3886" s="1" t="s">
        <v>2085</v>
      </c>
      <c r="Q3886" s="1">
        <v>4</v>
      </c>
      <c r="R3886" s="1">
        <f>Retail_Sales_Analyis[[#This Row],[Final_Price]]-Retail_Sales_Analyis[[#This Row],[Total_Price]]</f>
        <v>0</v>
      </c>
      <c r="S38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7" spans="1:19" x14ac:dyDescent="0.25">
      <c r="A3887" s="1" t="s">
        <v>5010</v>
      </c>
      <c r="B3887" s="2">
        <v>45377</v>
      </c>
      <c r="C3887" s="1" t="s">
        <v>61</v>
      </c>
      <c r="D3887" s="1" t="s">
        <v>28</v>
      </c>
      <c r="E3887" s="1" t="s">
        <v>129</v>
      </c>
      <c r="F3887" s="1" t="s">
        <v>84</v>
      </c>
      <c r="G3887" s="1" t="s">
        <v>169</v>
      </c>
      <c r="H3887" s="1" t="s">
        <v>175</v>
      </c>
      <c r="I3887" s="1">
        <v>472.71</v>
      </c>
      <c r="J3887" s="1">
        <v>7</v>
      </c>
      <c r="K3887" s="1">
        <v>3308.97</v>
      </c>
      <c r="L3887" s="1">
        <v>0</v>
      </c>
      <c r="M3887" s="1">
        <v>0</v>
      </c>
      <c r="N3887" s="1">
        <v>3308.97</v>
      </c>
      <c r="O3887" s="1" t="s">
        <v>64</v>
      </c>
      <c r="P3887" s="1" t="s">
        <v>739</v>
      </c>
      <c r="Q3887" s="1">
        <v>1</v>
      </c>
      <c r="R3887" s="1">
        <f>Retail_Sales_Analyis[[#This Row],[Final_Price]]-Retail_Sales_Analyis[[#This Row],[Total_Price]]</f>
        <v>0</v>
      </c>
      <c r="S388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88" spans="1:19" x14ac:dyDescent="0.25">
      <c r="A3888" s="1" t="s">
        <v>5011</v>
      </c>
      <c r="B3888" s="2">
        <v>45480</v>
      </c>
      <c r="C3888" s="1" t="s">
        <v>195</v>
      </c>
      <c r="D3888" s="1" t="s">
        <v>49</v>
      </c>
      <c r="E3888" s="1" t="s">
        <v>129</v>
      </c>
      <c r="F3888" s="1" t="s">
        <v>84</v>
      </c>
      <c r="G3888" s="1" t="s">
        <v>31</v>
      </c>
      <c r="H3888" s="1" t="s">
        <v>329</v>
      </c>
      <c r="I3888" s="1">
        <v>295.31</v>
      </c>
      <c r="J3888" s="1">
        <v>4</v>
      </c>
      <c r="K3888" s="1">
        <v>1181.24</v>
      </c>
      <c r="L3888" s="1">
        <v>20</v>
      </c>
      <c r="M3888" s="1">
        <v>236.25</v>
      </c>
      <c r="N3888" s="1">
        <v>944.99</v>
      </c>
      <c r="O3888" s="1" t="s">
        <v>33</v>
      </c>
      <c r="P3888" s="1" t="s">
        <v>2090</v>
      </c>
      <c r="Q3888" s="1">
        <v>2</v>
      </c>
      <c r="R3888" s="1">
        <f>Retail_Sales_Analyis[[#This Row],[Final_Price]]-Retail_Sales_Analyis[[#This Row],[Total_Price]]</f>
        <v>-236.25</v>
      </c>
      <c r="S38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89" spans="1:19" x14ac:dyDescent="0.25">
      <c r="A3889" s="1" t="s">
        <v>5012</v>
      </c>
      <c r="B3889" s="2">
        <v>45372</v>
      </c>
      <c r="C3889" s="1" t="s">
        <v>61</v>
      </c>
      <c r="D3889" s="1" t="s">
        <v>67</v>
      </c>
      <c r="E3889" s="1" t="s">
        <v>104</v>
      </c>
      <c r="F3889" s="1" t="s">
        <v>21</v>
      </c>
      <c r="G3889" s="1" t="s">
        <v>85</v>
      </c>
      <c r="H3889" s="1" t="s">
        <v>297</v>
      </c>
      <c r="I3889" s="1">
        <v>1064.56</v>
      </c>
      <c r="J3889" s="1">
        <v>4</v>
      </c>
      <c r="K3889" s="1">
        <v>4258.24</v>
      </c>
      <c r="L3889" s="1">
        <v>0</v>
      </c>
      <c r="M3889" s="1">
        <v>0</v>
      </c>
      <c r="N3889" s="1">
        <v>4258.24</v>
      </c>
      <c r="O3889" s="1" t="s">
        <v>64</v>
      </c>
      <c r="P3889" s="1" t="s">
        <v>280</v>
      </c>
      <c r="Q3889" s="1">
        <v>3</v>
      </c>
      <c r="R3889" s="1">
        <f>Retail_Sales_Analyis[[#This Row],[Final_Price]]-Retail_Sales_Analyis[[#This Row],[Total_Price]]</f>
        <v>0</v>
      </c>
      <c r="S38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0" spans="1:19" x14ac:dyDescent="0.25">
      <c r="A3890" s="1" t="s">
        <v>5013</v>
      </c>
      <c r="B3890" s="2">
        <v>45422</v>
      </c>
      <c r="C3890" s="1" t="s">
        <v>42</v>
      </c>
      <c r="D3890" s="1" t="s">
        <v>144</v>
      </c>
      <c r="E3890" s="1" t="s">
        <v>196</v>
      </c>
      <c r="F3890" s="1" t="s">
        <v>69</v>
      </c>
      <c r="G3890" s="1" t="s">
        <v>85</v>
      </c>
      <c r="H3890" s="1" t="s">
        <v>98</v>
      </c>
      <c r="I3890" s="1">
        <v>3429.42</v>
      </c>
      <c r="J3890" s="1">
        <v>6</v>
      </c>
      <c r="K3890" s="1">
        <v>20576.52</v>
      </c>
      <c r="L3890" s="1">
        <v>0</v>
      </c>
      <c r="M3890" s="1">
        <v>0</v>
      </c>
      <c r="N3890" s="1">
        <v>20576.52</v>
      </c>
      <c r="O3890" s="1" t="s">
        <v>24</v>
      </c>
      <c r="P3890" s="1" t="s">
        <v>504</v>
      </c>
      <c r="Q3890" s="1">
        <v>3</v>
      </c>
      <c r="R3890" s="1">
        <f>Retail_Sales_Analyis[[#This Row],[Final_Price]]-Retail_Sales_Analyis[[#This Row],[Total_Price]]</f>
        <v>0</v>
      </c>
      <c r="S38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1" spans="1:19" x14ac:dyDescent="0.25">
      <c r="A3891" s="1" t="s">
        <v>5014</v>
      </c>
      <c r="B3891" s="2">
        <v>45344</v>
      </c>
      <c r="C3891" s="1" t="s">
        <v>27</v>
      </c>
      <c r="D3891" s="1" t="s">
        <v>67</v>
      </c>
      <c r="E3891" s="1" t="s">
        <v>62</v>
      </c>
      <c r="F3891" s="1" t="s">
        <v>21</v>
      </c>
      <c r="G3891" s="1" t="s">
        <v>85</v>
      </c>
      <c r="H3891" s="1" t="s">
        <v>90</v>
      </c>
      <c r="I3891" s="1">
        <v>2041.2</v>
      </c>
      <c r="J3891" s="1">
        <v>8</v>
      </c>
      <c r="K3891" s="1">
        <v>16329.6</v>
      </c>
      <c r="L3891" s="1">
        <v>20</v>
      </c>
      <c r="M3891" s="1">
        <v>3265.92</v>
      </c>
      <c r="N3891" s="1">
        <v>13063.68</v>
      </c>
      <c r="O3891" s="1" t="s">
        <v>33</v>
      </c>
      <c r="P3891" s="1" t="s">
        <v>2268</v>
      </c>
      <c r="Q3891" s="1">
        <v>5</v>
      </c>
      <c r="R3891" s="1">
        <f>Retail_Sales_Analyis[[#This Row],[Final_Price]]-Retail_Sales_Analyis[[#This Row],[Total_Price]]</f>
        <v>-3265.92</v>
      </c>
      <c r="S38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892" spans="1:19" x14ac:dyDescent="0.25">
      <c r="A3892" s="1" t="s">
        <v>5015</v>
      </c>
      <c r="B3892" s="2">
        <v>45585</v>
      </c>
      <c r="C3892" s="1" t="s">
        <v>76</v>
      </c>
      <c r="D3892" s="1" t="s">
        <v>49</v>
      </c>
      <c r="E3892" s="1" t="s">
        <v>207</v>
      </c>
      <c r="F3892" s="1" t="s">
        <v>69</v>
      </c>
      <c r="G3892" s="1" t="s">
        <v>112</v>
      </c>
      <c r="H3892" s="1" t="s">
        <v>183</v>
      </c>
      <c r="I3892" s="1">
        <v>1201.76</v>
      </c>
      <c r="J3892" s="1">
        <v>4</v>
      </c>
      <c r="K3892" s="1">
        <v>4807.04</v>
      </c>
      <c r="L3892" s="1">
        <v>15</v>
      </c>
      <c r="M3892" s="1">
        <v>721.06</v>
      </c>
      <c r="N3892" s="1">
        <v>4085.98</v>
      </c>
      <c r="O3892" s="1" t="s">
        <v>46</v>
      </c>
      <c r="P3892" s="1" t="s">
        <v>1228</v>
      </c>
      <c r="Q3892" s="1">
        <v>4</v>
      </c>
      <c r="R3892" s="1">
        <f>Retail_Sales_Analyis[[#This Row],[Final_Price]]-Retail_Sales_Analyis[[#This Row],[Total_Price]]</f>
        <v>-721.06</v>
      </c>
      <c r="S38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93" spans="1:19" x14ac:dyDescent="0.25">
      <c r="A3893" s="1" t="s">
        <v>5016</v>
      </c>
      <c r="B3893" s="2">
        <v>45637</v>
      </c>
      <c r="C3893" s="1" t="s">
        <v>73</v>
      </c>
      <c r="D3893" s="1" t="s">
        <v>55</v>
      </c>
      <c r="E3893" s="1" t="s">
        <v>351</v>
      </c>
      <c r="F3893" s="1" t="s">
        <v>69</v>
      </c>
      <c r="G3893" s="1" t="s">
        <v>112</v>
      </c>
      <c r="H3893" s="1" t="s">
        <v>223</v>
      </c>
      <c r="I3893" s="1">
        <v>1926.33</v>
      </c>
      <c r="J3893" s="1">
        <v>8</v>
      </c>
      <c r="K3893" s="1">
        <v>15410.64</v>
      </c>
      <c r="L3893" s="1">
        <v>10</v>
      </c>
      <c r="M3893" s="1">
        <v>1541.06</v>
      </c>
      <c r="N3893" s="1">
        <v>13869.58</v>
      </c>
      <c r="O3893" s="1" t="s">
        <v>64</v>
      </c>
      <c r="P3893" s="1" t="s">
        <v>2353</v>
      </c>
      <c r="Q3893" s="1">
        <v>3</v>
      </c>
      <c r="R3893" s="1">
        <f>Retail_Sales_Analyis[[#This Row],[Final_Price]]-Retail_Sales_Analyis[[#This Row],[Total_Price]]</f>
        <v>-1541.0599999999995</v>
      </c>
      <c r="S38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94" spans="1:19" x14ac:dyDescent="0.25">
      <c r="A3894" s="1" t="s">
        <v>5017</v>
      </c>
      <c r="B3894" s="2">
        <v>45351</v>
      </c>
      <c r="C3894" s="1" t="s">
        <v>27</v>
      </c>
      <c r="D3894" s="1" t="s">
        <v>67</v>
      </c>
      <c r="E3894" s="1" t="s">
        <v>285</v>
      </c>
      <c r="F3894" s="1" t="s">
        <v>84</v>
      </c>
      <c r="G3894" s="1" t="s">
        <v>22</v>
      </c>
      <c r="H3894" s="1" t="s">
        <v>51</v>
      </c>
      <c r="I3894" s="1">
        <v>686.05</v>
      </c>
      <c r="J3894" s="1">
        <v>9</v>
      </c>
      <c r="K3894" s="1">
        <v>6174.45</v>
      </c>
      <c r="L3894" s="1">
        <v>0</v>
      </c>
      <c r="M3894" s="1">
        <v>0</v>
      </c>
      <c r="N3894" s="1">
        <v>6174.45</v>
      </c>
      <c r="O3894" s="1" t="s">
        <v>33</v>
      </c>
      <c r="P3894" s="1" t="s">
        <v>2959</v>
      </c>
      <c r="Q3894" s="1">
        <v>1</v>
      </c>
      <c r="R3894" s="1">
        <f>Retail_Sales_Analyis[[#This Row],[Final_Price]]-Retail_Sales_Analyis[[#This Row],[Total_Price]]</f>
        <v>0</v>
      </c>
      <c r="S38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5" spans="1:19" x14ac:dyDescent="0.25">
      <c r="A3895" s="1" t="s">
        <v>5018</v>
      </c>
      <c r="B3895" s="2">
        <v>45408</v>
      </c>
      <c r="C3895" s="1" t="s">
        <v>54</v>
      </c>
      <c r="D3895" s="1" t="s">
        <v>144</v>
      </c>
      <c r="E3895" s="1" t="s">
        <v>139</v>
      </c>
      <c r="F3895" s="1" t="s">
        <v>30</v>
      </c>
      <c r="G3895" s="1" t="s">
        <v>38</v>
      </c>
      <c r="H3895" s="1" t="s">
        <v>214</v>
      </c>
      <c r="I3895" s="1">
        <v>462.63</v>
      </c>
      <c r="J3895" s="1">
        <v>9</v>
      </c>
      <c r="K3895" s="1">
        <v>4163.67</v>
      </c>
      <c r="L3895" s="1">
        <v>0</v>
      </c>
      <c r="M3895" s="1">
        <v>0</v>
      </c>
      <c r="N3895" s="1">
        <v>4163.67</v>
      </c>
      <c r="O3895" s="1" t="s">
        <v>46</v>
      </c>
      <c r="P3895" s="1" t="s">
        <v>1981</v>
      </c>
      <c r="Q3895" s="1">
        <v>1</v>
      </c>
      <c r="R3895" s="1">
        <f>Retail_Sales_Analyis[[#This Row],[Final_Price]]-Retail_Sales_Analyis[[#This Row],[Total_Price]]</f>
        <v>0</v>
      </c>
      <c r="S38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6" spans="1:19" x14ac:dyDescent="0.25">
      <c r="A3896" s="1" t="s">
        <v>5019</v>
      </c>
      <c r="B3896" s="2">
        <v>45552</v>
      </c>
      <c r="C3896" s="1" t="s">
        <v>116</v>
      </c>
      <c r="D3896" s="1" t="s">
        <v>28</v>
      </c>
      <c r="E3896" s="1" t="s">
        <v>129</v>
      </c>
      <c r="F3896" s="1" t="s">
        <v>69</v>
      </c>
      <c r="G3896" s="1" t="s">
        <v>85</v>
      </c>
      <c r="H3896" s="1" t="s">
        <v>180</v>
      </c>
      <c r="I3896" s="1">
        <v>4148.5200000000004</v>
      </c>
      <c r="J3896" s="1">
        <v>7</v>
      </c>
      <c r="K3896" s="1">
        <v>29039.64</v>
      </c>
      <c r="L3896" s="1">
        <v>0</v>
      </c>
      <c r="M3896" s="1">
        <v>0</v>
      </c>
      <c r="N3896" s="1">
        <v>29039.64</v>
      </c>
      <c r="O3896" s="1" t="s">
        <v>80</v>
      </c>
      <c r="P3896" s="1" t="s">
        <v>786</v>
      </c>
      <c r="Q3896" s="1">
        <v>4</v>
      </c>
      <c r="R3896" s="1">
        <f>Retail_Sales_Analyis[[#This Row],[Final_Price]]-Retail_Sales_Analyis[[#This Row],[Total_Price]]</f>
        <v>0</v>
      </c>
      <c r="S38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7" spans="1:19" x14ac:dyDescent="0.25">
      <c r="A3897" s="1" t="s">
        <v>5020</v>
      </c>
      <c r="B3897" s="2">
        <v>45293</v>
      </c>
      <c r="C3897" s="1" t="s">
        <v>36</v>
      </c>
      <c r="D3897" s="1" t="s">
        <v>28</v>
      </c>
      <c r="E3897" s="1" t="s">
        <v>44</v>
      </c>
      <c r="F3897" s="1" t="s">
        <v>21</v>
      </c>
      <c r="G3897" s="1" t="s">
        <v>85</v>
      </c>
      <c r="H3897" s="1" t="s">
        <v>98</v>
      </c>
      <c r="I3897" s="1">
        <v>4228.78</v>
      </c>
      <c r="J3897" s="1">
        <v>3</v>
      </c>
      <c r="K3897" s="1">
        <v>12686.34</v>
      </c>
      <c r="L3897" s="1">
        <v>0</v>
      </c>
      <c r="M3897" s="1">
        <v>0</v>
      </c>
      <c r="N3897" s="1">
        <v>12686.34</v>
      </c>
      <c r="O3897" s="1" t="s">
        <v>33</v>
      </c>
      <c r="P3897" s="1" t="s">
        <v>99</v>
      </c>
      <c r="Q3897" s="1">
        <v>2</v>
      </c>
      <c r="R3897" s="1">
        <f>Retail_Sales_Analyis[[#This Row],[Final_Price]]-Retail_Sales_Analyis[[#This Row],[Total_Price]]</f>
        <v>0</v>
      </c>
      <c r="S38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898" spans="1:19" x14ac:dyDescent="0.25">
      <c r="A3898" s="1" t="s">
        <v>5021</v>
      </c>
      <c r="B3898" s="2">
        <v>45314</v>
      </c>
      <c r="C3898" s="1" t="s">
        <v>36</v>
      </c>
      <c r="D3898" s="1" t="s">
        <v>28</v>
      </c>
      <c r="E3898" s="1" t="s">
        <v>111</v>
      </c>
      <c r="F3898" s="1" t="s">
        <v>30</v>
      </c>
      <c r="G3898" s="1" t="s">
        <v>38</v>
      </c>
      <c r="H3898" s="1" t="s">
        <v>108</v>
      </c>
      <c r="I3898" s="1">
        <v>745.27</v>
      </c>
      <c r="J3898" s="1">
        <v>10</v>
      </c>
      <c r="K3898" s="1">
        <v>7452.7</v>
      </c>
      <c r="L3898" s="1">
        <v>15</v>
      </c>
      <c r="M3898" s="1">
        <v>1117.9000000000001</v>
      </c>
      <c r="N3898" s="1">
        <v>6334.8</v>
      </c>
      <c r="O3898" s="1" t="s">
        <v>64</v>
      </c>
      <c r="P3898" s="1" t="s">
        <v>1710</v>
      </c>
      <c r="Q3898" s="1">
        <v>4</v>
      </c>
      <c r="R3898" s="1">
        <f>Retail_Sales_Analyis[[#This Row],[Final_Price]]-Retail_Sales_Analyis[[#This Row],[Total_Price]]</f>
        <v>-1117.8999999999996</v>
      </c>
      <c r="S38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899" spans="1:19" x14ac:dyDescent="0.25">
      <c r="A3899" s="1" t="s">
        <v>5022</v>
      </c>
      <c r="B3899" s="2">
        <v>45298</v>
      </c>
      <c r="C3899" s="1" t="s">
        <v>36</v>
      </c>
      <c r="D3899" s="1" t="s">
        <v>49</v>
      </c>
      <c r="E3899" s="1" t="s">
        <v>261</v>
      </c>
      <c r="F3899" s="1" t="s">
        <v>69</v>
      </c>
      <c r="G3899" s="1" t="s">
        <v>85</v>
      </c>
      <c r="H3899" s="1" t="s">
        <v>98</v>
      </c>
      <c r="I3899" s="1">
        <v>4123.83</v>
      </c>
      <c r="J3899" s="1">
        <v>4</v>
      </c>
      <c r="K3899" s="1">
        <v>16495.32</v>
      </c>
      <c r="L3899" s="1">
        <v>0</v>
      </c>
      <c r="M3899" s="1">
        <v>0</v>
      </c>
      <c r="N3899" s="1">
        <v>16495.32</v>
      </c>
      <c r="O3899" s="1" t="s">
        <v>46</v>
      </c>
      <c r="P3899" s="1" t="s">
        <v>922</v>
      </c>
      <c r="Q3899" s="1">
        <v>4</v>
      </c>
      <c r="R3899" s="1">
        <f>Retail_Sales_Analyis[[#This Row],[Final_Price]]-Retail_Sales_Analyis[[#This Row],[Total_Price]]</f>
        <v>0</v>
      </c>
      <c r="S38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0" spans="1:19" x14ac:dyDescent="0.25">
      <c r="A3900" s="1" t="s">
        <v>5023</v>
      </c>
      <c r="B3900" s="2">
        <v>45417</v>
      </c>
      <c r="C3900" s="1" t="s">
        <v>42</v>
      </c>
      <c r="D3900" s="1" t="s">
        <v>49</v>
      </c>
      <c r="E3900" s="1" t="s">
        <v>141</v>
      </c>
      <c r="F3900" s="1" t="s">
        <v>37</v>
      </c>
      <c r="G3900" s="1" t="s">
        <v>112</v>
      </c>
      <c r="H3900" s="1" t="s">
        <v>118</v>
      </c>
      <c r="I3900" s="1">
        <v>650.20000000000005</v>
      </c>
      <c r="J3900" s="1">
        <v>5</v>
      </c>
      <c r="K3900" s="1">
        <v>3251</v>
      </c>
      <c r="L3900" s="1">
        <v>10</v>
      </c>
      <c r="M3900" s="1">
        <v>325.10000000000002</v>
      </c>
      <c r="N3900" s="1">
        <v>2925.9</v>
      </c>
      <c r="O3900" s="1" t="s">
        <v>33</v>
      </c>
      <c r="P3900" s="1" t="s">
        <v>244</v>
      </c>
      <c r="Q3900" s="1">
        <v>1</v>
      </c>
      <c r="R3900" s="1">
        <f>Retail_Sales_Analyis[[#This Row],[Final_Price]]-Retail_Sales_Analyis[[#This Row],[Total_Price]]</f>
        <v>-325.09999999999991</v>
      </c>
      <c r="S39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01" spans="1:19" x14ac:dyDescent="0.25">
      <c r="A3901" s="1" t="s">
        <v>5024</v>
      </c>
      <c r="B3901" s="2">
        <v>45315</v>
      </c>
      <c r="C3901" s="1" t="s">
        <v>36</v>
      </c>
      <c r="D3901" s="1" t="s">
        <v>55</v>
      </c>
      <c r="E3901" s="1" t="s">
        <v>83</v>
      </c>
      <c r="F3901" s="1" t="s">
        <v>84</v>
      </c>
      <c r="G3901" s="1" t="s">
        <v>22</v>
      </c>
      <c r="H3901" s="1" t="s">
        <v>23</v>
      </c>
      <c r="I3901" s="1">
        <v>601.72</v>
      </c>
      <c r="J3901" s="1">
        <v>9</v>
      </c>
      <c r="K3901" s="1">
        <v>5415.48</v>
      </c>
      <c r="L3901" s="1">
        <v>5</v>
      </c>
      <c r="M3901" s="1">
        <v>270.77</v>
      </c>
      <c r="N3901" s="1">
        <v>5144.71</v>
      </c>
      <c r="O3901" s="1" t="s">
        <v>80</v>
      </c>
      <c r="P3901" s="1" t="s">
        <v>1000</v>
      </c>
      <c r="Q3901" s="1">
        <v>5</v>
      </c>
      <c r="R3901" s="1">
        <f>Retail_Sales_Analyis[[#This Row],[Final_Price]]-Retail_Sales_Analyis[[#This Row],[Total_Price]]</f>
        <v>-270.76999999999953</v>
      </c>
      <c r="S39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02" spans="1:19" x14ac:dyDescent="0.25">
      <c r="A3902" s="1" t="s">
        <v>5025</v>
      </c>
      <c r="B3902" s="2">
        <v>45533</v>
      </c>
      <c r="C3902" s="1" t="s">
        <v>93</v>
      </c>
      <c r="D3902" s="1" t="s">
        <v>67</v>
      </c>
      <c r="E3902" s="1" t="s">
        <v>285</v>
      </c>
      <c r="F3902" s="1" t="s">
        <v>84</v>
      </c>
      <c r="G3902" s="1" t="s">
        <v>85</v>
      </c>
      <c r="H3902" s="1" t="s">
        <v>180</v>
      </c>
      <c r="I3902" s="1">
        <v>4887.45</v>
      </c>
      <c r="J3902" s="1">
        <v>10</v>
      </c>
      <c r="K3902" s="1">
        <v>48874.5</v>
      </c>
      <c r="L3902" s="1">
        <v>0</v>
      </c>
      <c r="M3902" s="1">
        <v>0</v>
      </c>
      <c r="N3902" s="1">
        <v>48874.5</v>
      </c>
      <c r="O3902" s="1" t="s">
        <v>24</v>
      </c>
      <c r="P3902" s="1" t="s">
        <v>4179</v>
      </c>
      <c r="Q3902" s="1">
        <v>2</v>
      </c>
      <c r="R3902" s="1">
        <f>Retail_Sales_Analyis[[#This Row],[Final_Price]]-Retail_Sales_Analyis[[#This Row],[Total_Price]]</f>
        <v>0</v>
      </c>
      <c r="S39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3" spans="1:19" x14ac:dyDescent="0.25">
      <c r="A3903" s="1" t="s">
        <v>5026</v>
      </c>
      <c r="B3903" s="2">
        <v>45478</v>
      </c>
      <c r="C3903" s="1" t="s">
        <v>195</v>
      </c>
      <c r="D3903" s="1" t="s">
        <v>144</v>
      </c>
      <c r="E3903" s="1" t="s">
        <v>239</v>
      </c>
      <c r="F3903" s="1" t="s">
        <v>21</v>
      </c>
      <c r="G3903" s="1" t="s">
        <v>169</v>
      </c>
      <c r="H3903" s="1" t="s">
        <v>170</v>
      </c>
      <c r="I3903" s="1">
        <v>1448.49</v>
      </c>
      <c r="J3903" s="1">
        <v>10</v>
      </c>
      <c r="K3903" s="1">
        <v>14484.9</v>
      </c>
      <c r="L3903" s="1">
        <v>15</v>
      </c>
      <c r="M3903" s="1">
        <v>2172.73</v>
      </c>
      <c r="N3903" s="1">
        <v>12312.17</v>
      </c>
      <c r="O3903" s="1" t="s">
        <v>46</v>
      </c>
      <c r="P3903" s="1" t="s">
        <v>500</v>
      </c>
      <c r="Q3903" s="1">
        <v>4</v>
      </c>
      <c r="R3903" s="1">
        <f>Retail_Sales_Analyis[[#This Row],[Final_Price]]-Retail_Sales_Analyis[[#This Row],[Total_Price]]</f>
        <v>-2172.7299999999996</v>
      </c>
      <c r="S39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04" spans="1:19" x14ac:dyDescent="0.25">
      <c r="A3904" s="1" t="s">
        <v>5027</v>
      </c>
      <c r="B3904" s="2">
        <v>45488</v>
      </c>
      <c r="C3904" s="1" t="s">
        <v>195</v>
      </c>
      <c r="D3904" s="1" t="s">
        <v>43</v>
      </c>
      <c r="E3904" s="1" t="s">
        <v>542</v>
      </c>
      <c r="F3904" s="1" t="s">
        <v>84</v>
      </c>
      <c r="G3904" s="1" t="s">
        <v>38</v>
      </c>
      <c r="H3904" s="1" t="s">
        <v>422</v>
      </c>
      <c r="I3904" s="1">
        <v>132.93</v>
      </c>
      <c r="J3904" s="1">
        <v>9</v>
      </c>
      <c r="K3904" s="1">
        <v>1196.3699999999999</v>
      </c>
      <c r="L3904" s="1">
        <v>10</v>
      </c>
      <c r="M3904" s="1">
        <v>119.64</v>
      </c>
      <c r="N3904" s="1">
        <v>1076.73</v>
      </c>
      <c r="O3904" s="1" t="s">
        <v>64</v>
      </c>
      <c r="P3904" s="1" t="s">
        <v>671</v>
      </c>
      <c r="Q3904" s="1">
        <v>2</v>
      </c>
      <c r="R3904" s="1">
        <f>Retail_Sales_Analyis[[#This Row],[Final_Price]]-Retail_Sales_Analyis[[#This Row],[Total_Price]]</f>
        <v>-119.63999999999987</v>
      </c>
      <c r="S39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05" spans="1:19" x14ac:dyDescent="0.25">
      <c r="A3905" s="1" t="s">
        <v>5028</v>
      </c>
      <c r="B3905" s="2">
        <v>45368</v>
      </c>
      <c r="C3905" s="1" t="s">
        <v>61</v>
      </c>
      <c r="D3905" s="1" t="s">
        <v>49</v>
      </c>
      <c r="E3905" s="1" t="s">
        <v>132</v>
      </c>
      <c r="F3905" s="1" t="s">
        <v>37</v>
      </c>
      <c r="G3905" s="1" t="s">
        <v>112</v>
      </c>
      <c r="H3905" s="1" t="s">
        <v>223</v>
      </c>
      <c r="I3905" s="1">
        <v>1092.56</v>
      </c>
      <c r="J3905" s="1">
        <v>4</v>
      </c>
      <c r="K3905" s="1">
        <v>4370.24</v>
      </c>
      <c r="L3905" s="1">
        <v>0</v>
      </c>
      <c r="M3905" s="1">
        <v>0</v>
      </c>
      <c r="N3905" s="1">
        <v>4370.24</v>
      </c>
      <c r="O3905" s="1" t="s">
        <v>33</v>
      </c>
      <c r="P3905" s="1" t="s">
        <v>2216</v>
      </c>
      <c r="Q3905" s="1">
        <v>4</v>
      </c>
      <c r="R3905" s="1">
        <f>Retail_Sales_Analyis[[#This Row],[Final_Price]]-Retail_Sales_Analyis[[#This Row],[Total_Price]]</f>
        <v>0</v>
      </c>
      <c r="S39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6" spans="1:19" x14ac:dyDescent="0.25">
      <c r="A3906" s="1" t="s">
        <v>5029</v>
      </c>
      <c r="B3906" s="2">
        <v>45383</v>
      </c>
      <c r="C3906" s="1" t="s">
        <v>54</v>
      </c>
      <c r="D3906" s="1" t="s">
        <v>43</v>
      </c>
      <c r="E3906" s="1" t="s">
        <v>163</v>
      </c>
      <c r="F3906" s="1" t="s">
        <v>37</v>
      </c>
      <c r="G3906" s="1" t="s">
        <v>85</v>
      </c>
      <c r="H3906" s="1" t="s">
        <v>98</v>
      </c>
      <c r="I3906" s="1">
        <v>2975.84</v>
      </c>
      <c r="J3906" s="1">
        <v>8</v>
      </c>
      <c r="K3906" s="1">
        <v>23806.720000000001</v>
      </c>
      <c r="L3906" s="1">
        <v>10</v>
      </c>
      <c r="M3906" s="1">
        <v>2380.67</v>
      </c>
      <c r="N3906" s="1">
        <v>21426.05</v>
      </c>
      <c r="O3906" s="1" t="s">
        <v>64</v>
      </c>
      <c r="P3906" s="1" t="s">
        <v>1677</v>
      </c>
      <c r="Q3906" s="1">
        <v>5</v>
      </c>
      <c r="R3906" s="1">
        <f>Retail_Sales_Analyis[[#This Row],[Final_Price]]-Retail_Sales_Analyis[[#This Row],[Total_Price]]</f>
        <v>-2380.6700000000019</v>
      </c>
      <c r="S390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07" spans="1:19" x14ac:dyDescent="0.25">
      <c r="A3907" s="1" t="s">
        <v>5030</v>
      </c>
      <c r="B3907" s="2">
        <v>45310</v>
      </c>
      <c r="C3907" s="1" t="s">
        <v>36</v>
      </c>
      <c r="D3907" s="1" t="s">
        <v>144</v>
      </c>
      <c r="E3907" s="1" t="s">
        <v>542</v>
      </c>
      <c r="F3907" s="1" t="s">
        <v>84</v>
      </c>
      <c r="G3907" s="1" t="s">
        <v>85</v>
      </c>
      <c r="H3907" s="1" t="s">
        <v>98</v>
      </c>
      <c r="I3907" s="1">
        <v>4721.5200000000004</v>
      </c>
      <c r="J3907" s="1">
        <v>1</v>
      </c>
      <c r="K3907" s="1">
        <v>4721.5200000000004</v>
      </c>
      <c r="L3907" s="1">
        <v>0</v>
      </c>
      <c r="M3907" s="1">
        <v>0</v>
      </c>
      <c r="N3907" s="1">
        <v>4721.5200000000004</v>
      </c>
      <c r="O3907" s="1" t="s">
        <v>33</v>
      </c>
      <c r="P3907" s="1" t="s">
        <v>300</v>
      </c>
      <c r="Q3907" s="1">
        <v>2</v>
      </c>
      <c r="R3907" s="1">
        <f>Retail_Sales_Analyis[[#This Row],[Final_Price]]-Retail_Sales_Analyis[[#This Row],[Total_Price]]</f>
        <v>0</v>
      </c>
      <c r="S39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8" spans="1:19" x14ac:dyDescent="0.25">
      <c r="A3908" s="1" t="s">
        <v>5031</v>
      </c>
      <c r="B3908" s="2">
        <v>45575</v>
      </c>
      <c r="C3908" s="1" t="s">
        <v>76</v>
      </c>
      <c r="D3908" s="1" t="s">
        <v>67</v>
      </c>
      <c r="E3908" s="1" t="s">
        <v>307</v>
      </c>
      <c r="F3908" s="1" t="s">
        <v>21</v>
      </c>
      <c r="G3908" s="1" t="s">
        <v>78</v>
      </c>
      <c r="H3908" s="1" t="s">
        <v>146</v>
      </c>
      <c r="I3908" s="1">
        <v>163.99</v>
      </c>
      <c r="J3908" s="1">
        <v>3</v>
      </c>
      <c r="K3908" s="1">
        <v>491.97</v>
      </c>
      <c r="L3908" s="1">
        <v>0</v>
      </c>
      <c r="M3908" s="1">
        <v>0</v>
      </c>
      <c r="N3908" s="1">
        <v>491.97</v>
      </c>
      <c r="O3908" s="1" t="s">
        <v>80</v>
      </c>
      <c r="P3908" s="1" t="s">
        <v>1215</v>
      </c>
      <c r="Q3908" s="1">
        <v>1</v>
      </c>
      <c r="R3908" s="1">
        <f>Retail_Sales_Analyis[[#This Row],[Final_Price]]-Retail_Sales_Analyis[[#This Row],[Total_Price]]</f>
        <v>0</v>
      </c>
      <c r="S39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09" spans="1:19" x14ac:dyDescent="0.25">
      <c r="A3909" s="1" t="s">
        <v>5032</v>
      </c>
      <c r="B3909" s="2">
        <v>45657</v>
      </c>
      <c r="C3909" s="1" t="s">
        <v>73</v>
      </c>
      <c r="D3909" s="1" t="s">
        <v>28</v>
      </c>
      <c r="E3909" s="1" t="s">
        <v>94</v>
      </c>
      <c r="F3909" s="1" t="s">
        <v>37</v>
      </c>
      <c r="G3909" s="1" t="s">
        <v>169</v>
      </c>
      <c r="H3909" s="1" t="s">
        <v>366</v>
      </c>
      <c r="I3909" s="1">
        <v>590.84</v>
      </c>
      <c r="J3909" s="1">
        <v>7</v>
      </c>
      <c r="K3909" s="1">
        <v>4135.88</v>
      </c>
      <c r="L3909" s="1">
        <v>15</v>
      </c>
      <c r="M3909" s="1">
        <v>620.38</v>
      </c>
      <c r="N3909" s="1">
        <v>3515.5</v>
      </c>
      <c r="O3909" s="1" t="s">
        <v>64</v>
      </c>
      <c r="P3909" s="1" t="s">
        <v>641</v>
      </c>
      <c r="Q3909" s="1">
        <v>1</v>
      </c>
      <c r="R3909" s="1">
        <f>Retail_Sales_Analyis[[#This Row],[Final_Price]]-Retail_Sales_Analyis[[#This Row],[Total_Price]]</f>
        <v>-620.38000000000011</v>
      </c>
      <c r="S39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10" spans="1:19" x14ac:dyDescent="0.25">
      <c r="A3910" s="1" t="s">
        <v>5033</v>
      </c>
      <c r="B3910" s="2">
        <v>45627</v>
      </c>
      <c r="C3910" s="1" t="s">
        <v>73</v>
      </c>
      <c r="D3910" s="1" t="s">
        <v>49</v>
      </c>
      <c r="E3910" s="1" t="s">
        <v>163</v>
      </c>
      <c r="F3910" s="1" t="s">
        <v>84</v>
      </c>
      <c r="G3910" s="1" t="s">
        <v>85</v>
      </c>
      <c r="H3910" s="1" t="s">
        <v>297</v>
      </c>
      <c r="I3910" s="1">
        <v>1671.85</v>
      </c>
      <c r="J3910" s="1">
        <v>1</v>
      </c>
      <c r="K3910" s="1">
        <v>1671.85</v>
      </c>
      <c r="L3910" s="1">
        <v>0</v>
      </c>
      <c r="M3910" s="1">
        <v>0</v>
      </c>
      <c r="N3910" s="1">
        <v>1671.85</v>
      </c>
      <c r="O3910" s="1" t="s">
        <v>64</v>
      </c>
      <c r="P3910" s="1" t="s">
        <v>3323</v>
      </c>
      <c r="Q3910" s="1">
        <v>1</v>
      </c>
      <c r="R3910" s="1">
        <f>Retail_Sales_Analyis[[#This Row],[Final_Price]]-Retail_Sales_Analyis[[#This Row],[Total_Price]]</f>
        <v>0</v>
      </c>
      <c r="S39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1" spans="1:19" x14ac:dyDescent="0.25">
      <c r="A3911" s="1" t="s">
        <v>5034</v>
      </c>
      <c r="B3911" s="2">
        <v>45506</v>
      </c>
      <c r="C3911" s="1" t="s">
        <v>93</v>
      </c>
      <c r="D3911" s="1" t="s">
        <v>144</v>
      </c>
      <c r="E3911" s="1" t="s">
        <v>89</v>
      </c>
      <c r="F3911" s="1" t="s">
        <v>37</v>
      </c>
      <c r="G3911" s="1" t="s">
        <v>22</v>
      </c>
      <c r="H3911" s="1" t="s">
        <v>51</v>
      </c>
      <c r="I3911" s="1">
        <v>349.84</v>
      </c>
      <c r="J3911" s="1">
        <v>2</v>
      </c>
      <c r="K3911" s="1">
        <v>699.68</v>
      </c>
      <c r="L3911" s="1">
        <v>0</v>
      </c>
      <c r="M3911" s="1">
        <v>0</v>
      </c>
      <c r="N3911" s="1">
        <v>699.68</v>
      </c>
      <c r="O3911" s="1" t="s">
        <v>80</v>
      </c>
      <c r="P3911" s="1" t="s">
        <v>504</v>
      </c>
      <c r="Q3911" s="1">
        <v>3</v>
      </c>
      <c r="R3911" s="1">
        <f>Retail_Sales_Analyis[[#This Row],[Final_Price]]-Retail_Sales_Analyis[[#This Row],[Total_Price]]</f>
        <v>0</v>
      </c>
      <c r="S39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2" spans="1:19" x14ac:dyDescent="0.25">
      <c r="A3912" s="1" t="s">
        <v>5035</v>
      </c>
      <c r="B3912" s="2">
        <v>45406</v>
      </c>
      <c r="C3912" s="1" t="s">
        <v>54</v>
      </c>
      <c r="D3912" s="1" t="s">
        <v>55</v>
      </c>
      <c r="E3912" s="1" t="s">
        <v>196</v>
      </c>
      <c r="F3912" s="1" t="s">
        <v>37</v>
      </c>
      <c r="G3912" s="1" t="s">
        <v>57</v>
      </c>
      <c r="H3912" s="1" t="s">
        <v>152</v>
      </c>
      <c r="I3912" s="1">
        <v>2056.64</v>
      </c>
      <c r="J3912" s="1">
        <v>8</v>
      </c>
      <c r="K3912" s="1">
        <v>16453.12</v>
      </c>
      <c r="L3912" s="1">
        <v>5</v>
      </c>
      <c r="M3912" s="1">
        <v>822.66</v>
      </c>
      <c r="N3912" s="1">
        <v>15630.46</v>
      </c>
      <c r="O3912" s="1" t="s">
        <v>46</v>
      </c>
      <c r="P3912" s="1" t="s">
        <v>2823</v>
      </c>
      <c r="Q3912" s="1">
        <v>4</v>
      </c>
      <c r="R3912" s="1">
        <f>Retail_Sales_Analyis[[#This Row],[Final_Price]]-Retail_Sales_Analyis[[#This Row],[Total_Price]]</f>
        <v>-822.65999999999985</v>
      </c>
      <c r="S39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13" spans="1:19" x14ac:dyDescent="0.25">
      <c r="A3913" s="1" t="s">
        <v>5036</v>
      </c>
      <c r="B3913" s="2">
        <v>45456</v>
      </c>
      <c r="C3913" s="1" t="s">
        <v>173</v>
      </c>
      <c r="D3913" s="1" t="s">
        <v>67</v>
      </c>
      <c r="E3913" s="1" t="s">
        <v>145</v>
      </c>
      <c r="F3913" s="1" t="s">
        <v>21</v>
      </c>
      <c r="G3913" s="1" t="s">
        <v>112</v>
      </c>
      <c r="H3913" s="1" t="s">
        <v>223</v>
      </c>
      <c r="I3913" s="1">
        <v>1484.24</v>
      </c>
      <c r="J3913" s="1">
        <v>2</v>
      </c>
      <c r="K3913" s="1">
        <v>2968.48</v>
      </c>
      <c r="L3913" s="1">
        <v>5</v>
      </c>
      <c r="M3913" s="1">
        <v>148.41999999999999</v>
      </c>
      <c r="N3913" s="1">
        <v>2820.06</v>
      </c>
      <c r="O3913" s="1" t="s">
        <v>33</v>
      </c>
      <c r="P3913" s="1" t="s">
        <v>480</v>
      </c>
      <c r="Q3913" s="1">
        <v>3</v>
      </c>
      <c r="R3913" s="1">
        <f>Retail_Sales_Analyis[[#This Row],[Final_Price]]-Retail_Sales_Analyis[[#This Row],[Total_Price]]</f>
        <v>-148.42000000000007</v>
      </c>
      <c r="S391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14" spans="1:19" x14ac:dyDescent="0.25">
      <c r="A3914" s="1" t="s">
        <v>5037</v>
      </c>
      <c r="B3914" s="2">
        <v>45419</v>
      </c>
      <c r="C3914" s="1" t="s">
        <v>42</v>
      </c>
      <c r="D3914" s="1" t="s">
        <v>28</v>
      </c>
      <c r="E3914" s="1" t="s">
        <v>322</v>
      </c>
      <c r="F3914" s="1" t="s">
        <v>30</v>
      </c>
      <c r="G3914" s="1" t="s">
        <v>38</v>
      </c>
      <c r="H3914" s="1" t="s">
        <v>422</v>
      </c>
      <c r="I3914" s="1">
        <v>470.72</v>
      </c>
      <c r="J3914" s="1">
        <v>5</v>
      </c>
      <c r="K3914" s="1">
        <v>2353.6</v>
      </c>
      <c r="L3914" s="1">
        <v>0</v>
      </c>
      <c r="M3914" s="1">
        <v>0</v>
      </c>
      <c r="N3914" s="1">
        <v>2353.6</v>
      </c>
      <c r="O3914" s="1" t="s">
        <v>80</v>
      </c>
      <c r="P3914" s="1" t="s">
        <v>1858</v>
      </c>
      <c r="Q3914" s="1">
        <v>4</v>
      </c>
      <c r="R3914" s="1">
        <f>Retail_Sales_Analyis[[#This Row],[Final_Price]]-Retail_Sales_Analyis[[#This Row],[Total_Price]]</f>
        <v>0</v>
      </c>
      <c r="S39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5" spans="1:19" x14ac:dyDescent="0.25">
      <c r="A3915" s="1" t="s">
        <v>5038</v>
      </c>
      <c r="B3915" s="2">
        <v>45505</v>
      </c>
      <c r="C3915" s="1" t="s">
        <v>93</v>
      </c>
      <c r="D3915" s="1" t="s">
        <v>67</v>
      </c>
      <c r="E3915" s="1" t="s">
        <v>322</v>
      </c>
      <c r="F3915" s="1" t="s">
        <v>37</v>
      </c>
      <c r="G3915" s="1" t="s">
        <v>169</v>
      </c>
      <c r="H3915" s="1" t="s">
        <v>175</v>
      </c>
      <c r="I3915" s="1">
        <v>641.61</v>
      </c>
      <c r="J3915" s="1">
        <v>8</v>
      </c>
      <c r="K3915" s="1">
        <v>5132.88</v>
      </c>
      <c r="L3915" s="1">
        <v>0</v>
      </c>
      <c r="M3915" s="1">
        <v>0</v>
      </c>
      <c r="N3915" s="1">
        <v>5132.88</v>
      </c>
      <c r="O3915" s="1" t="s">
        <v>33</v>
      </c>
      <c r="P3915" s="1" t="s">
        <v>3116</v>
      </c>
      <c r="Q3915" s="1">
        <v>5</v>
      </c>
      <c r="R3915" s="1">
        <f>Retail_Sales_Analyis[[#This Row],[Final_Price]]-Retail_Sales_Analyis[[#This Row],[Total_Price]]</f>
        <v>0</v>
      </c>
      <c r="S39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6" spans="1:19" x14ac:dyDescent="0.25">
      <c r="A3916" s="1" t="s">
        <v>5039</v>
      </c>
      <c r="B3916" s="2">
        <v>45455</v>
      </c>
      <c r="C3916" s="1" t="s">
        <v>173</v>
      </c>
      <c r="D3916" s="1" t="s">
        <v>55</v>
      </c>
      <c r="E3916" s="1" t="s">
        <v>129</v>
      </c>
      <c r="F3916" s="1" t="s">
        <v>37</v>
      </c>
      <c r="G3916" s="1" t="s">
        <v>112</v>
      </c>
      <c r="H3916" s="1" t="s">
        <v>183</v>
      </c>
      <c r="I3916" s="1">
        <v>1178.29</v>
      </c>
      <c r="J3916" s="1">
        <v>3</v>
      </c>
      <c r="K3916" s="1">
        <v>3534.87</v>
      </c>
      <c r="L3916" s="1">
        <v>5</v>
      </c>
      <c r="M3916" s="1">
        <v>176.74</v>
      </c>
      <c r="N3916" s="1">
        <v>3358.13</v>
      </c>
      <c r="O3916" s="1" t="s">
        <v>64</v>
      </c>
      <c r="P3916" s="1" t="s">
        <v>945</v>
      </c>
      <c r="Q3916" s="1">
        <v>5</v>
      </c>
      <c r="R3916" s="1">
        <f>Retail_Sales_Analyis[[#This Row],[Final_Price]]-Retail_Sales_Analyis[[#This Row],[Total_Price]]</f>
        <v>-176.73999999999978</v>
      </c>
      <c r="S39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17" spans="1:19" x14ac:dyDescent="0.25">
      <c r="A3917" s="1" t="s">
        <v>5040</v>
      </c>
      <c r="B3917" s="2">
        <v>45430</v>
      </c>
      <c r="C3917" s="1" t="s">
        <v>42</v>
      </c>
      <c r="D3917" s="1" t="s">
        <v>19</v>
      </c>
      <c r="E3917" s="1" t="s">
        <v>141</v>
      </c>
      <c r="F3917" s="1" t="s">
        <v>21</v>
      </c>
      <c r="G3917" s="1" t="s">
        <v>38</v>
      </c>
      <c r="H3917" s="1" t="s">
        <v>39</v>
      </c>
      <c r="I3917" s="1">
        <v>132.61000000000001</v>
      </c>
      <c r="J3917" s="1">
        <v>4</v>
      </c>
      <c r="K3917" s="1">
        <v>530.44000000000005</v>
      </c>
      <c r="L3917" s="1">
        <v>15</v>
      </c>
      <c r="M3917" s="1">
        <v>79.569999999999993</v>
      </c>
      <c r="N3917" s="1">
        <v>450.87</v>
      </c>
      <c r="O3917" s="1" t="s">
        <v>80</v>
      </c>
      <c r="P3917" s="1" t="s">
        <v>393</v>
      </c>
      <c r="Q3917" s="1">
        <v>1</v>
      </c>
      <c r="R3917" s="1">
        <f>Retail_Sales_Analyis[[#This Row],[Final_Price]]-Retail_Sales_Analyis[[#This Row],[Total_Price]]</f>
        <v>-79.57000000000005</v>
      </c>
      <c r="S39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18" spans="1:19" x14ac:dyDescent="0.25">
      <c r="A3918" s="1" t="s">
        <v>5041</v>
      </c>
      <c r="B3918" s="2">
        <v>45331</v>
      </c>
      <c r="C3918" s="1" t="s">
        <v>27</v>
      </c>
      <c r="D3918" s="1" t="s">
        <v>144</v>
      </c>
      <c r="E3918" s="1" t="s">
        <v>337</v>
      </c>
      <c r="F3918" s="1" t="s">
        <v>30</v>
      </c>
      <c r="G3918" s="1" t="s">
        <v>169</v>
      </c>
      <c r="H3918" s="1" t="s">
        <v>366</v>
      </c>
      <c r="I3918" s="1">
        <v>1304.8499999999999</v>
      </c>
      <c r="J3918" s="1">
        <v>3</v>
      </c>
      <c r="K3918" s="1">
        <v>3914.55</v>
      </c>
      <c r="L3918" s="1">
        <v>0</v>
      </c>
      <c r="M3918" s="1">
        <v>0</v>
      </c>
      <c r="N3918" s="1">
        <v>3914.55</v>
      </c>
      <c r="O3918" s="1" t="s">
        <v>33</v>
      </c>
      <c r="P3918" s="1" t="s">
        <v>343</v>
      </c>
      <c r="Q3918" s="1">
        <v>1</v>
      </c>
      <c r="R3918" s="1">
        <f>Retail_Sales_Analyis[[#This Row],[Final_Price]]-Retail_Sales_Analyis[[#This Row],[Total_Price]]</f>
        <v>0</v>
      </c>
      <c r="S39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19" spans="1:19" x14ac:dyDescent="0.25">
      <c r="A3919" s="1" t="s">
        <v>5042</v>
      </c>
      <c r="B3919" s="2">
        <v>45584</v>
      </c>
      <c r="C3919" s="1" t="s">
        <v>76</v>
      </c>
      <c r="D3919" s="1" t="s">
        <v>19</v>
      </c>
      <c r="E3919" s="1" t="s">
        <v>285</v>
      </c>
      <c r="F3919" s="1" t="s">
        <v>30</v>
      </c>
      <c r="G3919" s="1" t="s">
        <v>57</v>
      </c>
      <c r="H3919" s="1" t="s">
        <v>101</v>
      </c>
      <c r="I3919" s="1">
        <v>942.84</v>
      </c>
      <c r="J3919" s="1">
        <v>2</v>
      </c>
      <c r="K3919" s="1">
        <v>1885.68</v>
      </c>
      <c r="L3919" s="1">
        <v>10</v>
      </c>
      <c r="M3919" s="1">
        <v>188.57</v>
      </c>
      <c r="N3919" s="1">
        <v>1697.11</v>
      </c>
      <c r="O3919" s="1" t="s">
        <v>64</v>
      </c>
      <c r="P3919" s="1" t="s">
        <v>2124</v>
      </c>
      <c r="Q3919" s="1">
        <v>2</v>
      </c>
      <c r="R3919" s="1">
        <f>Retail_Sales_Analyis[[#This Row],[Final_Price]]-Retail_Sales_Analyis[[#This Row],[Total_Price]]</f>
        <v>-188.57000000000016</v>
      </c>
      <c r="S39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20" spans="1:19" x14ac:dyDescent="0.25">
      <c r="A3920" s="1" t="s">
        <v>5043</v>
      </c>
      <c r="B3920" s="2">
        <v>45482</v>
      </c>
      <c r="C3920" s="1" t="s">
        <v>195</v>
      </c>
      <c r="D3920" s="1" t="s">
        <v>28</v>
      </c>
      <c r="E3920" s="1" t="s">
        <v>239</v>
      </c>
      <c r="F3920" s="1" t="s">
        <v>21</v>
      </c>
      <c r="G3920" s="1" t="s">
        <v>31</v>
      </c>
      <c r="H3920" s="1" t="s">
        <v>32</v>
      </c>
      <c r="I3920" s="1">
        <v>122.08</v>
      </c>
      <c r="J3920" s="1">
        <v>3</v>
      </c>
      <c r="K3920" s="1">
        <v>366.24</v>
      </c>
      <c r="L3920" s="1">
        <v>15</v>
      </c>
      <c r="M3920" s="1">
        <v>54.94</v>
      </c>
      <c r="N3920" s="1">
        <v>311.3</v>
      </c>
      <c r="O3920" s="1" t="s">
        <v>24</v>
      </c>
      <c r="P3920" s="1" t="s">
        <v>691</v>
      </c>
      <c r="Q3920" s="1">
        <v>2</v>
      </c>
      <c r="R3920" s="1">
        <f>Retail_Sales_Analyis[[#This Row],[Final_Price]]-Retail_Sales_Analyis[[#This Row],[Total_Price]]</f>
        <v>-54.94</v>
      </c>
      <c r="S39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21" spans="1:19" x14ac:dyDescent="0.25">
      <c r="A3921" s="1" t="s">
        <v>5044</v>
      </c>
      <c r="B3921" s="2">
        <v>45353</v>
      </c>
      <c r="C3921" s="1" t="s">
        <v>61</v>
      </c>
      <c r="D3921" s="1" t="s">
        <v>19</v>
      </c>
      <c r="E3921" s="1" t="s">
        <v>139</v>
      </c>
      <c r="F3921" s="1" t="s">
        <v>21</v>
      </c>
      <c r="G3921" s="1" t="s">
        <v>169</v>
      </c>
      <c r="H3921" s="1" t="s">
        <v>348</v>
      </c>
      <c r="I3921" s="1">
        <v>860.79</v>
      </c>
      <c r="J3921" s="1">
        <v>6</v>
      </c>
      <c r="K3921" s="1">
        <v>5164.74</v>
      </c>
      <c r="L3921" s="1">
        <v>15</v>
      </c>
      <c r="M3921" s="1">
        <v>774.71</v>
      </c>
      <c r="N3921" s="1">
        <v>4390.03</v>
      </c>
      <c r="O3921" s="1" t="s">
        <v>46</v>
      </c>
      <c r="P3921" s="1" t="s">
        <v>5045</v>
      </c>
      <c r="Q3921" s="1">
        <v>2</v>
      </c>
      <c r="R3921" s="1">
        <f>Retail_Sales_Analyis[[#This Row],[Final_Price]]-Retail_Sales_Analyis[[#This Row],[Total_Price]]</f>
        <v>-774.71</v>
      </c>
      <c r="S39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22" spans="1:19" x14ac:dyDescent="0.25">
      <c r="A3922" s="1" t="s">
        <v>5046</v>
      </c>
      <c r="B3922" s="2">
        <v>45549</v>
      </c>
      <c r="C3922" s="1" t="s">
        <v>116</v>
      </c>
      <c r="D3922" s="1" t="s">
        <v>19</v>
      </c>
      <c r="E3922" s="1" t="s">
        <v>312</v>
      </c>
      <c r="F3922" s="1" t="s">
        <v>84</v>
      </c>
      <c r="G3922" s="1" t="s">
        <v>22</v>
      </c>
      <c r="H3922" s="1" t="s">
        <v>51</v>
      </c>
      <c r="I3922" s="1">
        <v>743.71</v>
      </c>
      <c r="J3922" s="1">
        <v>2</v>
      </c>
      <c r="K3922" s="1">
        <v>1487.42</v>
      </c>
      <c r="L3922" s="1">
        <v>15</v>
      </c>
      <c r="M3922" s="1">
        <v>223.11</v>
      </c>
      <c r="N3922" s="1">
        <v>1264.31</v>
      </c>
      <c r="O3922" s="1" t="s">
        <v>24</v>
      </c>
      <c r="P3922" s="1" t="s">
        <v>1002</v>
      </c>
      <c r="Q3922" s="1">
        <v>4</v>
      </c>
      <c r="R3922" s="1">
        <f>Retail_Sales_Analyis[[#This Row],[Final_Price]]-Retail_Sales_Analyis[[#This Row],[Total_Price]]</f>
        <v>-223.11000000000013</v>
      </c>
      <c r="S39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23" spans="1:19" x14ac:dyDescent="0.25">
      <c r="A3923" s="1" t="s">
        <v>5047</v>
      </c>
      <c r="B3923" s="2">
        <v>45636</v>
      </c>
      <c r="C3923" s="1" t="s">
        <v>73</v>
      </c>
      <c r="D3923" s="1" t="s">
        <v>28</v>
      </c>
      <c r="E3923" s="1" t="s">
        <v>117</v>
      </c>
      <c r="F3923" s="1" t="s">
        <v>21</v>
      </c>
      <c r="G3923" s="1" t="s">
        <v>169</v>
      </c>
      <c r="H3923" s="1" t="s">
        <v>348</v>
      </c>
      <c r="I3923" s="1">
        <v>1484.66</v>
      </c>
      <c r="J3923" s="1">
        <v>8</v>
      </c>
      <c r="K3923" s="1">
        <v>11877.28</v>
      </c>
      <c r="L3923" s="1">
        <v>20</v>
      </c>
      <c r="M3923" s="1">
        <v>2375.46</v>
      </c>
      <c r="N3923" s="1">
        <v>9501.82</v>
      </c>
      <c r="O3923" s="1" t="s">
        <v>80</v>
      </c>
      <c r="P3923" s="1" t="s">
        <v>1242</v>
      </c>
      <c r="Q3923" s="1">
        <v>4</v>
      </c>
      <c r="R3923" s="1">
        <f>Retail_Sales_Analyis[[#This Row],[Final_Price]]-Retail_Sales_Analyis[[#This Row],[Total_Price]]</f>
        <v>-2375.4600000000009</v>
      </c>
      <c r="S39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24" spans="1:19" x14ac:dyDescent="0.25">
      <c r="A3924" s="1" t="s">
        <v>5048</v>
      </c>
      <c r="B3924" s="2">
        <v>45318</v>
      </c>
      <c r="C3924" s="1" t="s">
        <v>36</v>
      </c>
      <c r="D3924" s="1" t="s">
        <v>19</v>
      </c>
      <c r="E3924" s="1" t="s">
        <v>151</v>
      </c>
      <c r="F3924" s="1" t="s">
        <v>21</v>
      </c>
      <c r="G3924" s="1" t="s">
        <v>112</v>
      </c>
      <c r="H3924" s="1" t="s">
        <v>113</v>
      </c>
      <c r="I3924" s="1">
        <v>979.79</v>
      </c>
      <c r="J3924" s="1">
        <v>6</v>
      </c>
      <c r="K3924" s="1">
        <v>5878.74</v>
      </c>
      <c r="L3924" s="1">
        <v>0</v>
      </c>
      <c r="M3924" s="1">
        <v>0</v>
      </c>
      <c r="N3924" s="1">
        <v>5878.74</v>
      </c>
      <c r="O3924" s="1" t="s">
        <v>80</v>
      </c>
      <c r="P3924" s="1" t="s">
        <v>1059</v>
      </c>
      <c r="Q3924" s="1">
        <v>4</v>
      </c>
      <c r="R3924" s="1">
        <f>Retail_Sales_Analyis[[#This Row],[Final_Price]]-Retail_Sales_Analyis[[#This Row],[Total_Price]]</f>
        <v>0</v>
      </c>
      <c r="S39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25" spans="1:19" x14ac:dyDescent="0.25">
      <c r="A3925" s="1" t="s">
        <v>5049</v>
      </c>
      <c r="B3925" s="2">
        <v>45383</v>
      </c>
      <c r="C3925" s="1" t="s">
        <v>54</v>
      </c>
      <c r="D3925" s="1" t="s">
        <v>43</v>
      </c>
      <c r="E3925" s="1" t="s">
        <v>196</v>
      </c>
      <c r="F3925" s="1" t="s">
        <v>30</v>
      </c>
      <c r="G3925" s="1" t="s">
        <v>31</v>
      </c>
      <c r="H3925" s="1" t="s">
        <v>250</v>
      </c>
      <c r="I3925" s="1">
        <v>400.87</v>
      </c>
      <c r="J3925" s="1">
        <v>3</v>
      </c>
      <c r="K3925" s="1">
        <v>1202.6099999999999</v>
      </c>
      <c r="L3925" s="1">
        <v>0</v>
      </c>
      <c r="M3925" s="1">
        <v>0</v>
      </c>
      <c r="N3925" s="1">
        <v>1202.6099999999999</v>
      </c>
      <c r="O3925" s="1" t="s">
        <v>24</v>
      </c>
      <c r="P3925" s="1" t="s">
        <v>2333</v>
      </c>
      <c r="Q3925" s="1">
        <v>5</v>
      </c>
      <c r="R3925" s="1">
        <f>Retail_Sales_Analyis[[#This Row],[Final_Price]]-Retail_Sales_Analyis[[#This Row],[Total_Price]]</f>
        <v>0</v>
      </c>
      <c r="S39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26" spans="1:19" x14ac:dyDescent="0.25">
      <c r="A3926" s="1" t="s">
        <v>5050</v>
      </c>
      <c r="B3926" s="2">
        <v>45406</v>
      </c>
      <c r="C3926" s="1" t="s">
        <v>54</v>
      </c>
      <c r="D3926" s="1" t="s">
        <v>55</v>
      </c>
      <c r="E3926" s="1" t="s">
        <v>186</v>
      </c>
      <c r="F3926" s="1" t="s">
        <v>37</v>
      </c>
      <c r="G3926" s="1" t="s">
        <v>31</v>
      </c>
      <c r="H3926" s="1" t="s">
        <v>63</v>
      </c>
      <c r="I3926" s="1">
        <v>143.91999999999999</v>
      </c>
      <c r="J3926" s="1">
        <v>1</v>
      </c>
      <c r="K3926" s="1">
        <v>143.91999999999999</v>
      </c>
      <c r="L3926" s="1">
        <v>0</v>
      </c>
      <c r="M3926" s="1">
        <v>0</v>
      </c>
      <c r="N3926" s="1">
        <v>143.91999999999999</v>
      </c>
      <c r="O3926" s="1" t="s">
        <v>24</v>
      </c>
      <c r="P3926" s="1" t="s">
        <v>1690</v>
      </c>
      <c r="Q3926" s="1">
        <v>3</v>
      </c>
      <c r="R3926" s="1">
        <f>Retail_Sales_Analyis[[#This Row],[Final_Price]]-Retail_Sales_Analyis[[#This Row],[Total_Price]]</f>
        <v>0</v>
      </c>
      <c r="S39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27" spans="1:19" x14ac:dyDescent="0.25">
      <c r="A3927" s="1" t="s">
        <v>5051</v>
      </c>
      <c r="B3927" s="2">
        <v>45556</v>
      </c>
      <c r="C3927" s="1" t="s">
        <v>116</v>
      </c>
      <c r="D3927" s="1" t="s">
        <v>19</v>
      </c>
      <c r="E3927" s="1" t="s">
        <v>166</v>
      </c>
      <c r="F3927" s="1" t="s">
        <v>37</v>
      </c>
      <c r="G3927" s="1" t="s">
        <v>38</v>
      </c>
      <c r="H3927" s="1" t="s">
        <v>39</v>
      </c>
      <c r="I3927" s="1">
        <v>142.44999999999999</v>
      </c>
      <c r="J3927" s="1">
        <v>6</v>
      </c>
      <c r="K3927" s="1">
        <v>854.7</v>
      </c>
      <c r="L3927" s="1">
        <v>0</v>
      </c>
      <c r="M3927" s="1">
        <v>0</v>
      </c>
      <c r="N3927" s="1">
        <v>854.7</v>
      </c>
      <c r="O3927" s="1" t="s">
        <v>33</v>
      </c>
      <c r="P3927" s="1" t="s">
        <v>4744</v>
      </c>
      <c r="Q3927" s="1">
        <v>3</v>
      </c>
      <c r="R3927" s="1">
        <f>Retail_Sales_Analyis[[#This Row],[Final_Price]]-Retail_Sales_Analyis[[#This Row],[Total_Price]]</f>
        <v>0</v>
      </c>
      <c r="S39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28" spans="1:19" x14ac:dyDescent="0.25">
      <c r="A3928" s="1" t="s">
        <v>5052</v>
      </c>
      <c r="B3928" s="2">
        <v>45315</v>
      </c>
      <c r="C3928" s="1" t="s">
        <v>36</v>
      </c>
      <c r="D3928" s="1" t="s">
        <v>55</v>
      </c>
      <c r="E3928" s="1" t="s">
        <v>312</v>
      </c>
      <c r="F3928" s="1" t="s">
        <v>37</v>
      </c>
      <c r="G3928" s="1" t="s">
        <v>38</v>
      </c>
      <c r="H3928" s="1" t="s">
        <v>70</v>
      </c>
      <c r="I3928" s="1">
        <v>323.94</v>
      </c>
      <c r="J3928" s="1">
        <v>9</v>
      </c>
      <c r="K3928" s="1">
        <v>2915.46</v>
      </c>
      <c r="L3928" s="1">
        <v>0</v>
      </c>
      <c r="M3928" s="1">
        <v>0</v>
      </c>
      <c r="N3928" s="1">
        <v>2915.46</v>
      </c>
      <c r="O3928" s="1" t="s">
        <v>33</v>
      </c>
      <c r="P3928" s="1" t="s">
        <v>364</v>
      </c>
      <c r="Q3928" s="1">
        <v>4</v>
      </c>
      <c r="R3928" s="1">
        <f>Retail_Sales_Analyis[[#This Row],[Final_Price]]-Retail_Sales_Analyis[[#This Row],[Total_Price]]</f>
        <v>0</v>
      </c>
      <c r="S39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29" spans="1:19" x14ac:dyDescent="0.25">
      <c r="A3929" s="1" t="s">
        <v>5053</v>
      </c>
      <c r="B3929" s="2">
        <v>45497</v>
      </c>
      <c r="C3929" s="1" t="s">
        <v>195</v>
      </c>
      <c r="D3929" s="1" t="s">
        <v>55</v>
      </c>
      <c r="E3929" s="1" t="s">
        <v>204</v>
      </c>
      <c r="F3929" s="1" t="s">
        <v>37</v>
      </c>
      <c r="G3929" s="1" t="s">
        <v>31</v>
      </c>
      <c r="H3929" s="1" t="s">
        <v>45</v>
      </c>
      <c r="I3929" s="1">
        <v>162.72999999999999</v>
      </c>
      <c r="J3929" s="1">
        <v>8</v>
      </c>
      <c r="K3929" s="1">
        <v>1301.8399999999999</v>
      </c>
      <c r="L3929" s="1">
        <v>10</v>
      </c>
      <c r="M3929" s="1">
        <v>130.18</v>
      </c>
      <c r="N3929" s="1">
        <v>1171.6600000000001</v>
      </c>
      <c r="O3929" s="1" t="s">
        <v>33</v>
      </c>
      <c r="P3929" s="1" t="s">
        <v>2090</v>
      </c>
      <c r="Q3929" s="1">
        <v>1</v>
      </c>
      <c r="R3929" s="1">
        <f>Retail_Sales_Analyis[[#This Row],[Final_Price]]-Retail_Sales_Analyis[[#This Row],[Total_Price]]</f>
        <v>-130.17999999999984</v>
      </c>
      <c r="S39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30" spans="1:19" x14ac:dyDescent="0.25">
      <c r="A3930" s="1" t="s">
        <v>5054</v>
      </c>
      <c r="B3930" s="2">
        <v>45327</v>
      </c>
      <c r="C3930" s="1" t="s">
        <v>27</v>
      </c>
      <c r="D3930" s="1" t="s">
        <v>43</v>
      </c>
      <c r="E3930" s="1" t="s">
        <v>62</v>
      </c>
      <c r="F3930" s="1" t="s">
        <v>84</v>
      </c>
      <c r="G3930" s="1" t="s">
        <v>57</v>
      </c>
      <c r="H3930" s="1" t="s">
        <v>152</v>
      </c>
      <c r="I3930" s="1">
        <v>2021.15</v>
      </c>
      <c r="J3930" s="1">
        <v>7</v>
      </c>
      <c r="K3930" s="1">
        <v>14148.05</v>
      </c>
      <c r="L3930" s="1">
        <v>0</v>
      </c>
      <c r="M3930" s="1">
        <v>0</v>
      </c>
      <c r="N3930" s="1">
        <v>14148.05</v>
      </c>
      <c r="O3930" s="1" t="s">
        <v>46</v>
      </c>
      <c r="P3930" s="1" t="s">
        <v>905</v>
      </c>
      <c r="Q3930" s="1">
        <v>1</v>
      </c>
      <c r="R3930" s="1">
        <f>Retail_Sales_Analyis[[#This Row],[Final_Price]]-Retail_Sales_Analyis[[#This Row],[Total_Price]]</f>
        <v>0</v>
      </c>
      <c r="S39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1" spans="1:19" x14ac:dyDescent="0.25">
      <c r="A3931" s="1" t="s">
        <v>5055</v>
      </c>
      <c r="B3931" s="2">
        <v>45530</v>
      </c>
      <c r="C3931" s="1" t="s">
        <v>93</v>
      </c>
      <c r="D3931" s="1" t="s">
        <v>43</v>
      </c>
      <c r="E3931" s="1" t="s">
        <v>312</v>
      </c>
      <c r="F3931" s="1" t="s">
        <v>21</v>
      </c>
      <c r="G3931" s="1" t="s">
        <v>78</v>
      </c>
      <c r="H3931" s="1" t="s">
        <v>323</v>
      </c>
      <c r="I3931" s="1">
        <v>473.05</v>
      </c>
      <c r="J3931" s="1">
        <v>1</v>
      </c>
      <c r="K3931" s="1">
        <v>473.05</v>
      </c>
      <c r="L3931" s="1">
        <v>0</v>
      </c>
      <c r="M3931" s="1">
        <v>0</v>
      </c>
      <c r="N3931" s="1">
        <v>473.05</v>
      </c>
      <c r="O3931" s="1" t="s">
        <v>33</v>
      </c>
      <c r="P3931" s="1" t="s">
        <v>1307</v>
      </c>
      <c r="Q3931" s="1">
        <v>2</v>
      </c>
      <c r="R3931" s="1">
        <f>Retail_Sales_Analyis[[#This Row],[Final_Price]]-Retail_Sales_Analyis[[#This Row],[Total_Price]]</f>
        <v>0</v>
      </c>
      <c r="S39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2" spans="1:19" x14ac:dyDescent="0.25">
      <c r="A3932" s="1" t="s">
        <v>5056</v>
      </c>
      <c r="B3932" s="2">
        <v>45436</v>
      </c>
      <c r="C3932" s="1" t="s">
        <v>42</v>
      </c>
      <c r="D3932" s="1" t="s">
        <v>144</v>
      </c>
      <c r="E3932" s="1" t="s">
        <v>337</v>
      </c>
      <c r="F3932" s="1" t="s">
        <v>37</v>
      </c>
      <c r="G3932" s="1" t="s">
        <v>31</v>
      </c>
      <c r="H3932" s="1" t="s">
        <v>250</v>
      </c>
      <c r="I3932" s="1">
        <v>468.43</v>
      </c>
      <c r="J3932" s="1">
        <v>3</v>
      </c>
      <c r="K3932" s="1">
        <v>1405.29</v>
      </c>
      <c r="L3932" s="1">
        <v>10</v>
      </c>
      <c r="M3932" s="1">
        <v>140.53</v>
      </c>
      <c r="N3932" s="1">
        <v>1264.76</v>
      </c>
      <c r="O3932" s="1" t="s">
        <v>64</v>
      </c>
      <c r="P3932" s="1" t="s">
        <v>582</v>
      </c>
      <c r="Q3932" s="1">
        <v>5</v>
      </c>
      <c r="R3932" s="1">
        <f>Retail_Sales_Analyis[[#This Row],[Final_Price]]-Retail_Sales_Analyis[[#This Row],[Total_Price]]</f>
        <v>-140.52999999999997</v>
      </c>
      <c r="S39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33" spans="1:19" x14ac:dyDescent="0.25">
      <c r="A3933" s="1" t="s">
        <v>5057</v>
      </c>
      <c r="B3933" s="2">
        <v>45451</v>
      </c>
      <c r="C3933" s="1" t="s">
        <v>173</v>
      </c>
      <c r="D3933" s="1" t="s">
        <v>19</v>
      </c>
      <c r="E3933" s="1" t="s">
        <v>186</v>
      </c>
      <c r="F3933" s="1" t="s">
        <v>30</v>
      </c>
      <c r="G3933" s="1" t="s">
        <v>57</v>
      </c>
      <c r="H3933" s="1" t="s">
        <v>101</v>
      </c>
      <c r="I3933" s="1">
        <v>230.47</v>
      </c>
      <c r="J3933" s="1">
        <v>2</v>
      </c>
      <c r="K3933" s="1">
        <v>460.94</v>
      </c>
      <c r="L3933" s="1">
        <v>0</v>
      </c>
      <c r="M3933" s="1">
        <v>0</v>
      </c>
      <c r="N3933" s="1">
        <v>460.94</v>
      </c>
      <c r="O3933" s="1" t="s">
        <v>64</v>
      </c>
      <c r="P3933" s="1" t="s">
        <v>784</v>
      </c>
      <c r="Q3933" s="1">
        <v>1</v>
      </c>
      <c r="R3933" s="1">
        <f>Retail_Sales_Analyis[[#This Row],[Final_Price]]-Retail_Sales_Analyis[[#This Row],[Total_Price]]</f>
        <v>0</v>
      </c>
      <c r="S39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4" spans="1:19" x14ac:dyDescent="0.25">
      <c r="A3934" s="1" t="s">
        <v>5058</v>
      </c>
      <c r="B3934" s="2">
        <v>45459</v>
      </c>
      <c r="C3934" s="1" t="s">
        <v>173</v>
      </c>
      <c r="D3934" s="1" t="s">
        <v>49</v>
      </c>
      <c r="E3934" s="1" t="s">
        <v>89</v>
      </c>
      <c r="F3934" s="1" t="s">
        <v>37</v>
      </c>
      <c r="G3934" s="1" t="s">
        <v>22</v>
      </c>
      <c r="H3934" s="1" t="s">
        <v>23</v>
      </c>
      <c r="I3934" s="1">
        <v>879.87</v>
      </c>
      <c r="J3934" s="1">
        <v>9</v>
      </c>
      <c r="K3934" s="1">
        <v>7918.83</v>
      </c>
      <c r="L3934" s="1">
        <v>0</v>
      </c>
      <c r="M3934" s="1">
        <v>0</v>
      </c>
      <c r="N3934" s="1">
        <v>7918.83</v>
      </c>
      <c r="O3934" s="1" t="s">
        <v>24</v>
      </c>
      <c r="P3934" s="1" t="s">
        <v>1276</v>
      </c>
      <c r="Q3934" s="1">
        <v>5</v>
      </c>
      <c r="R3934" s="1">
        <f>Retail_Sales_Analyis[[#This Row],[Final_Price]]-Retail_Sales_Analyis[[#This Row],[Total_Price]]</f>
        <v>0</v>
      </c>
      <c r="S39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5" spans="1:19" x14ac:dyDescent="0.25">
      <c r="A3935" s="1" t="s">
        <v>5059</v>
      </c>
      <c r="B3935" s="2">
        <v>45336</v>
      </c>
      <c r="C3935" s="1" t="s">
        <v>27</v>
      </c>
      <c r="D3935" s="1" t="s">
        <v>55</v>
      </c>
      <c r="E3935" s="1" t="s">
        <v>285</v>
      </c>
      <c r="F3935" s="1" t="s">
        <v>69</v>
      </c>
      <c r="G3935" s="1" t="s">
        <v>112</v>
      </c>
      <c r="H3935" s="1" t="s">
        <v>113</v>
      </c>
      <c r="I3935" s="1">
        <v>954.27</v>
      </c>
      <c r="J3935" s="1">
        <v>7</v>
      </c>
      <c r="K3935" s="1">
        <v>6679.89</v>
      </c>
      <c r="L3935" s="1">
        <v>0</v>
      </c>
      <c r="M3935" s="1">
        <v>0</v>
      </c>
      <c r="N3935" s="1">
        <v>6679.89</v>
      </c>
      <c r="O3935" s="1" t="s">
        <v>24</v>
      </c>
      <c r="P3935" s="1" t="s">
        <v>2104</v>
      </c>
      <c r="Q3935" s="1">
        <v>1</v>
      </c>
      <c r="R3935" s="1">
        <f>Retail_Sales_Analyis[[#This Row],[Final_Price]]-Retail_Sales_Analyis[[#This Row],[Total_Price]]</f>
        <v>0</v>
      </c>
      <c r="S39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6" spans="1:19" x14ac:dyDescent="0.25">
      <c r="A3936" s="1" t="s">
        <v>5060</v>
      </c>
      <c r="B3936" s="2">
        <v>45575</v>
      </c>
      <c r="C3936" s="1" t="s">
        <v>76</v>
      </c>
      <c r="D3936" s="1" t="s">
        <v>67</v>
      </c>
      <c r="E3936" s="1" t="s">
        <v>199</v>
      </c>
      <c r="F3936" s="1" t="s">
        <v>84</v>
      </c>
      <c r="G3936" s="1" t="s">
        <v>38</v>
      </c>
      <c r="H3936" s="1" t="s">
        <v>108</v>
      </c>
      <c r="I3936" s="1">
        <v>661.38</v>
      </c>
      <c r="J3936" s="1">
        <v>2</v>
      </c>
      <c r="K3936" s="1">
        <v>1322.76</v>
      </c>
      <c r="L3936" s="1">
        <v>5</v>
      </c>
      <c r="M3936" s="1">
        <v>66.14</v>
      </c>
      <c r="N3936" s="1">
        <v>1256.6199999999999</v>
      </c>
      <c r="O3936" s="1" t="s">
        <v>24</v>
      </c>
      <c r="P3936" s="1" t="s">
        <v>750</v>
      </c>
      <c r="Q3936" s="1">
        <v>4</v>
      </c>
      <c r="R3936" s="1">
        <f>Retail_Sales_Analyis[[#This Row],[Final_Price]]-Retail_Sales_Analyis[[#This Row],[Total_Price]]</f>
        <v>-66.1400000000001</v>
      </c>
      <c r="S393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37" spans="1:19" x14ac:dyDescent="0.25">
      <c r="A3937" s="1" t="s">
        <v>5061</v>
      </c>
      <c r="B3937" s="2">
        <v>45525</v>
      </c>
      <c r="C3937" s="1" t="s">
        <v>93</v>
      </c>
      <c r="D3937" s="1" t="s">
        <v>55</v>
      </c>
      <c r="E3937" s="1" t="s">
        <v>328</v>
      </c>
      <c r="F3937" s="1" t="s">
        <v>37</v>
      </c>
      <c r="G3937" s="1" t="s">
        <v>31</v>
      </c>
      <c r="H3937" s="1" t="s">
        <v>45</v>
      </c>
      <c r="I3937" s="1">
        <v>246.03</v>
      </c>
      <c r="J3937" s="1">
        <v>9</v>
      </c>
      <c r="K3937" s="1">
        <v>2214.27</v>
      </c>
      <c r="L3937" s="1">
        <v>10</v>
      </c>
      <c r="M3937" s="1">
        <v>221.43</v>
      </c>
      <c r="N3937" s="1">
        <v>1992.84</v>
      </c>
      <c r="O3937" s="1" t="s">
        <v>33</v>
      </c>
      <c r="P3937" s="1" t="s">
        <v>3095</v>
      </c>
      <c r="Q3937" s="1">
        <v>2</v>
      </c>
      <c r="R3937" s="1">
        <f>Retail_Sales_Analyis[[#This Row],[Final_Price]]-Retail_Sales_Analyis[[#This Row],[Total_Price]]</f>
        <v>-221.43000000000006</v>
      </c>
      <c r="S39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38" spans="1:19" x14ac:dyDescent="0.25">
      <c r="A3938" s="1" t="s">
        <v>5062</v>
      </c>
      <c r="B3938" s="2">
        <v>45296</v>
      </c>
      <c r="C3938" s="1" t="s">
        <v>36</v>
      </c>
      <c r="D3938" s="1" t="s">
        <v>144</v>
      </c>
      <c r="E3938" s="1" t="s">
        <v>141</v>
      </c>
      <c r="F3938" s="1" t="s">
        <v>37</v>
      </c>
      <c r="G3938" s="1" t="s">
        <v>38</v>
      </c>
      <c r="H3938" s="1" t="s">
        <v>39</v>
      </c>
      <c r="I3938" s="1">
        <v>413.48</v>
      </c>
      <c r="J3938" s="1">
        <v>10</v>
      </c>
      <c r="K3938" s="1">
        <v>4134.8</v>
      </c>
      <c r="L3938" s="1">
        <v>0</v>
      </c>
      <c r="M3938" s="1">
        <v>0</v>
      </c>
      <c r="N3938" s="1">
        <v>4134.8</v>
      </c>
      <c r="O3938" s="1" t="s">
        <v>46</v>
      </c>
      <c r="P3938" s="1" t="s">
        <v>303</v>
      </c>
      <c r="Q3938" s="1">
        <v>3</v>
      </c>
      <c r="R3938" s="1">
        <f>Retail_Sales_Analyis[[#This Row],[Final_Price]]-Retail_Sales_Analyis[[#This Row],[Total_Price]]</f>
        <v>0</v>
      </c>
      <c r="S39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39" spans="1:19" x14ac:dyDescent="0.25">
      <c r="A3939" s="1" t="s">
        <v>5063</v>
      </c>
      <c r="B3939" s="2">
        <v>45480</v>
      </c>
      <c r="C3939" s="1" t="s">
        <v>195</v>
      </c>
      <c r="D3939" s="1" t="s">
        <v>49</v>
      </c>
      <c r="E3939" s="1" t="s">
        <v>322</v>
      </c>
      <c r="F3939" s="1" t="s">
        <v>37</v>
      </c>
      <c r="G3939" s="1" t="s">
        <v>57</v>
      </c>
      <c r="H3939" s="1" t="s">
        <v>122</v>
      </c>
      <c r="I3939" s="1">
        <v>2951.46</v>
      </c>
      <c r="J3939" s="1">
        <v>9</v>
      </c>
      <c r="K3939" s="1">
        <v>26563.14</v>
      </c>
      <c r="L3939" s="1">
        <v>0</v>
      </c>
      <c r="M3939" s="1">
        <v>0</v>
      </c>
      <c r="N3939" s="1">
        <v>26563.14</v>
      </c>
      <c r="O3939" s="1" t="s">
        <v>80</v>
      </c>
      <c r="P3939" s="1" t="s">
        <v>2584</v>
      </c>
      <c r="Q3939" s="1">
        <v>1</v>
      </c>
      <c r="R3939" s="1">
        <f>Retail_Sales_Analyis[[#This Row],[Final_Price]]-Retail_Sales_Analyis[[#This Row],[Total_Price]]</f>
        <v>0</v>
      </c>
      <c r="S39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40" spans="1:19" x14ac:dyDescent="0.25">
      <c r="A3940" s="1" t="s">
        <v>5064</v>
      </c>
      <c r="B3940" s="2">
        <v>45394</v>
      </c>
      <c r="C3940" s="1" t="s">
        <v>54</v>
      </c>
      <c r="D3940" s="1" t="s">
        <v>144</v>
      </c>
      <c r="E3940" s="1" t="s">
        <v>312</v>
      </c>
      <c r="F3940" s="1" t="s">
        <v>69</v>
      </c>
      <c r="G3940" s="1" t="s">
        <v>38</v>
      </c>
      <c r="H3940" s="1" t="s">
        <v>422</v>
      </c>
      <c r="I3940" s="1">
        <v>589.09</v>
      </c>
      <c r="J3940" s="1">
        <v>8</v>
      </c>
      <c r="K3940" s="1">
        <v>4712.72</v>
      </c>
      <c r="L3940" s="1">
        <v>20</v>
      </c>
      <c r="M3940" s="1">
        <v>942.54</v>
      </c>
      <c r="N3940" s="1">
        <v>3770.18</v>
      </c>
      <c r="O3940" s="1" t="s">
        <v>33</v>
      </c>
      <c r="P3940" s="1" t="s">
        <v>993</v>
      </c>
      <c r="Q3940" s="1">
        <v>4</v>
      </c>
      <c r="R3940" s="1">
        <f>Retail_Sales_Analyis[[#This Row],[Final_Price]]-Retail_Sales_Analyis[[#This Row],[Total_Price]]</f>
        <v>-942.54000000000042</v>
      </c>
      <c r="S39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41" spans="1:19" x14ac:dyDescent="0.25">
      <c r="A3941" s="1" t="s">
        <v>5065</v>
      </c>
      <c r="B3941" s="2">
        <v>45441</v>
      </c>
      <c r="C3941" s="1" t="s">
        <v>42</v>
      </c>
      <c r="D3941" s="1" t="s">
        <v>55</v>
      </c>
      <c r="E3941" s="1" t="s">
        <v>117</v>
      </c>
      <c r="F3941" s="1" t="s">
        <v>37</v>
      </c>
      <c r="G3941" s="1" t="s">
        <v>169</v>
      </c>
      <c r="H3941" s="1" t="s">
        <v>170</v>
      </c>
      <c r="I3941" s="1">
        <v>1332.61</v>
      </c>
      <c r="J3941" s="1">
        <v>3</v>
      </c>
      <c r="K3941" s="1">
        <v>3997.83</v>
      </c>
      <c r="L3941" s="1">
        <v>0</v>
      </c>
      <c r="M3941" s="1">
        <v>0</v>
      </c>
      <c r="N3941" s="1">
        <v>3997.83</v>
      </c>
      <c r="O3941" s="1" t="s">
        <v>80</v>
      </c>
      <c r="P3941" s="1" t="s">
        <v>246</v>
      </c>
      <c r="Q3941" s="1">
        <v>4</v>
      </c>
      <c r="R3941" s="1">
        <f>Retail_Sales_Analyis[[#This Row],[Final_Price]]-Retail_Sales_Analyis[[#This Row],[Total_Price]]</f>
        <v>0</v>
      </c>
      <c r="S39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42" spans="1:19" x14ac:dyDescent="0.25">
      <c r="A3942" s="1" t="s">
        <v>5066</v>
      </c>
      <c r="B3942" s="2">
        <v>45580</v>
      </c>
      <c r="C3942" s="1" t="s">
        <v>76</v>
      </c>
      <c r="D3942" s="1" t="s">
        <v>28</v>
      </c>
      <c r="E3942" s="1" t="s">
        <v>62</v>
      </c>
      <c r="F3942" s="1" t="s">
        <v>37</v>
      </c>
      <c r="G3942" s="1" t="s">
        <v>31</v>
      </c>
      <c r="H3942" s="1" t="s">
        <v>329</v>
      </c>
      <c r="I3942" s="1">
        <v>305.70999999999998</v>
      </c>
      <c r="J3942" s="1">
        <v>2</v>
      </c>
      <c r="K3942" s="1">
        <v>611.41999999999996</v>
      </c>
      <c r="L3942" s="1">
        <v>5</v>
      </c>
      <c r="M3942" s="1">
        <v>30.57</v>
      </c>
      <c r="N3942" s="1">
        <v>580.85</v>
      </c>
      <c r="O3942" s="1" t="s">
        <v>33</v>
      </c>
      <c r="P3942" s="1" t="s">
        <v>693</v>
      </c>
      <c r="Q3942" s="1">
        <v>3</v>
      </c>
      <c r="R3942" s="1">
        <f>Retail_Sales_Analyis[[#This Row],[Final_Price]]-Retail_Sales_Analyis[[#This Row],[Total_Price]]</f>
        <v>-30.569999999999936</v>
      </c>
      <c r="S39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43" spans="1:19" x14ac:dyDescent="0.25">
      <c r="A3943" s="1" t="s">
        <v>5067</v>
      </c>
      <c r="B3943" s="2">
        <v>45447</v>
      </c>
      <c r="C3943" s="1" t="s">
        <v>173</v>
      </c>
      <c r="D3943" s="1" t="s">
        <v>28</v>
      </c>
      <c r="E3943" s="1" t="s">
        <v>163</v>
      </c>
      <c r="F3943" s="1" t="s">
        <v>37</v>
      </c>
      <c r="G3943" s="1" t="s">
        <v>31</v>
      </c>
      <c r="H3943" s="1" t="s">
        <v>32</v>
      </c>
      <c r="I3943" s="1">
        <v>391.27</v>
      </c>
      <c r="J3943" s="1">
        <v>1</v>
      </c>
      <c r="K3943" s="1">
        <v>391.27</v>
      </c>
      <c r="L3943" s="1">
        <v>0</v>
      </c>
      <c r="M3943" s="1">
        <v>0</v>
      </c>
      <c r="N3943" s="1">
        <v>391.27</v>
      </c>
      <c r="O3943" s="1" t="s">
        <v>64</v>
      </c>
      <c r="P3943" s="1" t="s">
        <v>2143</v>
      </c>
      <c r="Q3943" s="1">
        <v>2</v>
      </c>
      <c r="R3943" s="1">
        <f>Retail_Sales_Analyis[[#This Row],[Final_Price]]-Retail_Sales_Analyis[[#This Row],[Total_Price]]</f>
        <v>0</v>
      </c>
      <c r="S39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44" spans="1:19" x14ac:dyDescent="0.25">
      <c r="A3944" s="1" t="s">
        <v>5068</v>
      </c>
      <c r="B3944" s="2">
        <v>45610</v>
      </c>
      <c r="C3944" s="1" t="s">
        <v>18</v>
      </c>
      <c r="D3944" s="1" t="s">
        <v>67</v>
      </c>
      <c r="E3944" s="1" t="s">
        <v>56</v>
      </c>
      <c r="F3944" s="1" t="s">
        <v>21</v>
      </c>
      <c r="G3944" s="1" t="s">
        <v>78</v>
      </c>
      <c r="H3944" s="1" t="s">
        <v>146</v>
      </c>
      <c r="I3944" s="1">
        <v>287.39999999999998</v>
      </c>
      <c r="J3944" s="1">
        <v>9</v>
      </c>
      <c r="K3944" s="1">
        <v>2586.6</v>
      </c>
      <c r="L3944" s="1">
        <v>20</v>
      </c>
      <c r="M3944" s="1">
        <v>517.32000000000005</v>
      </c>
      <c r="N3944" s="1">
        <v>2069.2800000000002</v>
      </c>
      <c r="O3944" s="1" t="s">
        <v>64</v>
      </c>
      <c r="P3944" s="1" t="s">
        <v>871</v>
      </c>
      <c r="Q3944" s="1">
        <v>4</v>
      </c>
      <c r="R3944" s="1">
        <f>Retail_Sales_Analyis[[#This Row],[Final_Price]]-Retail_Sales_Analyis[[#This Row],[Total_Price]]</f>
        <v>-517.31999999999971</v>
      </c>
      <c r="S394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45" spans="1:19" x14ac:dyDescent="0.25">
      <c r="A3945" s="1" t="s">
        <v>5069</v>
      </c>
      <c r="B3945" s="2">
        <v>45416</v>
      </c>
      <c r="C3945" s="1" t="s">
        <v>42</v>
      </c>
      <c r="D3945" s="1" t="s">
        <v>19</v>
      </c>
      <c r="E3945" s="1" t="s">
        <v>141</v>
      </c>
      <c r="F3945" s="1" t="s">
        <v>30</v>
      </c>
      <c r="G3945" s="1" t="s">
        <v>57</v>
      </c>
      <c r="H3945" s="1" t="s">
        <v>101</v>
      </c>
      <c r="I3945" s="1">
        <v>366.09</v>
      </c>
      <c r="J3945" s="1">
        <v>6</v>
      </c>
      <c r="K3945" s="1">
        <v>2196.54</v>
      </c>
      <c r="L3945" s="1">
        <v>15</v>
      </c>
      <c r="M3945" s="1">
        <v>329.48</v>
      </c>
      <c r="N3945" s="1">
        <v>1867.06</v>
      </c>
      <c r="O3945" s="1" t="s">
        <v>80</v>
      </c>
      <c r="P3945" s="1" t="s">
        <v>338</v>
      </c>
      <c r="Q3945" s="1">
        <v>2</v>
      </c>
      <c r="R3945" s="1">
        <f>Retail_Sales_Analyis[[#This Row],[Final_Price]]-Retail_Sales_Analyis[[#This Row],[Total_Price]]</f>
        <v>-329.48</v>
      </c>
      <c r="S39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46" spans="1:19" x14ac:dyDescent="0.25">
      <c r="A3946" s="1" t="s">
        <v>5070</v>
      </c>
      <c r="B3946" s="2">
        <v>45529</v>
      </c>
      <c r="C3946" s="1" t="s">
        <v>93</v>
      </c>
      <c r="D3946" s="1" t="s">
        <v>49</v>
      </c>
      <c r="E3946" s="1" t="s">
        <v>236</v>
      </c>
      <c r="F3946" s="1" t="s">
        <v>84</v>
      </c>
      <c r="G3946" s="1" t="s">
        <v>31</v>
      </c>
      <c r="H3946" s="1" t="s">
        <v>250</v>
      </c>
      <c r="I3946" s="1">
        <v>212.34</v>
      </c>
      <c r="J3946" s="1">
        <v>9</v>
      </c>
      <c r="K3946" s="1">
        <v>1911.06</v>
      </c>
      <c r="L3946" s="1">
        <v>5</v>
      </c>
      <c r="M3946" s="1">
        <v>95.55</v>
      </c>
      <c r="N3946" s="1">
        <v>1815.51</v>
      </c>
      <c r="O3946" s="1" t="s">
        <v>64</v>
      </c>
      <c r="P3946" s="1" t="s">
        <v>1690</v>
      </c>
      <c r="Q3946" s="1">
        <v>4</v>
      </c>
      <c r="R3946" s="1">
        <f>Retail_Sales_Analyis[[#This Row],[Final_Price]]-Retail_Sales_Analyis[[#This Row],[Total_Price]]</f>
        <v>-95.549999999999955</v>
      </c>
      <c r="S39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47" spans="1:19" x14ac:dyDescent="0.25">
      <c r="A3947" s="1" t="s">
        <v>5071</v>
      </c>
      <c r="B3947" s="2">
        <v>45480</v>
      </c>
      <c r="C3947" s="1" t="s">
        <v>195</v>
      </c>
      <c r="D3947" s="1" t="s">
        <v>49</v>
      </c>
      <c r="E3947" s="1" t="s">
        <v>236</v>
      </c>
      <c r="F3947" s="1" t="s">
        <v>30</v>
      </c>
      <c r="G3947" s="1" t="s">
        <v>57</v>
      </c>
      <c r="H3947" s="1" t="s">
        <v>101</v>
      </c>
      <c r="I3947" s="1">
        <v>1960.14</v>
      </c>
      <c r="J3947" s="1">
        <v>6</v>
      </c>
      <c r="K3947" s="1">
        <v>11760.84</v>
      </c>
      <c r="L3947" s="1">
        <v>15</v>
      </c>
      <c r="M3947" s="1">
        <v>1764.13</v>
      </c>
      <c r="N3947" s="1">
        <v>9996.7099999999991</v>
      </c>
      <c r="O3947" s="1" t="s">
        <v>33</v>
      </c>
      <c r="P3947" s="1" t="s">
        <v>1155</v>
      </c>
      <c r="Q3947" s="1">
        <v>1</v>
      </c>
      <c r="R3947" s="1">
        <f>Retail_Sales_Analyis[[#This Row],[Final_Price]]-Retail_Sales_Analyis[[#This Row],[Total_Price]]</f>
        <v>-1764.130000000001</v>
      </c>
      <c r="S39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48" spans="1:19" x14ac:dyDescent="0.25">
      <c r="A3948" s="1" t="s">
        <v>5072</v>
      </c>
      <c r="B3948" s="2">
        <v>45594</v>
      </c>
      <c r="C3948" s="1" t="s">
        <v>76</v>
      </c>
      <c r="D3948" s="1" t="s">
        <v>28</v>
      </c>
      <c r="E3948" s="1" t="s">
        <v>351</v>
      </c>
      <c r="F3948" s="1" t="s">
        <v>69</v>
      </c>
      <c r="G3948" s="1" t="s">
        <v>57</v>
      </c>
      <c r="H3948" s="1" t="s">
        <v>122</v>
      </c>
      <c r="I3948" s="1">
        <v>1608.48</v>
      </c>
      <c r="J3948" s="1">
        <v>7</v>
      </c>
      <c r="K3948" s="1">
        <v>11259.36</v>
      </c>
      <c r="L3948" s="1">
        <v>0</v>
      </c>
      <c r="M3948" s="1">
        <v>0</v>
      </c>
      <c r="N3948" s="1">
        <v>11259.36</v>
      </c>
      <c r="O3948" s="1" t="s">
        <v>80</v>
      </c>
      <c r="P3948" s="1" t="s">
        <v>271</v>
      </c>
      <c r="Q3948" s="1">
        <v>5</v>
      </c>
      <c r="R3948" s="1">
        <f>Retail_Sales_Analyis[[#This Row],[Final_Price]]-Retail_Sales_Analyis[[#This Row],[Total_Price]]</f>
        <v>0</v>
      </c>
      <c r="S39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49" spans="1:19" x14ac:dyDescent="0.25">
      <c r="A3949" s="1" t="s">
        <v>5073</v>
      </c>
      <c r="B3949" s="2">
        <v>45544</v>
      </c>
      <c r="C3949" s="1" t="s">
        <v>116</v>
      </c>
      <c r="D3949" s="1" t="s">
        <v>43</v>
      </c>
      <c r="E3949" s="1" t="s">
        <v>125</v>
      </c>
      <c r="F3949" s="1" t="s">
        <v>30</v>
      </c>
      <c r="G3949" s="1" t="s">
        <v>38</v>
      </c>
      <c r="H3949" s="1" t="s">
        <v>422</v>
      </c>
      <c r="I3949" s="1">
        <v>194.72</v>
      </c>
      <c r="J3949" s="1">
        <v>8</v>
      </c>
      <c r="K3949" s="1">
        <v>1557.76</v>
      </c>
      <c r="L3949" s="1">
        <v>0</v>
      </c>
      <c r="M3949" s="1">
        <v>0</v>
      </c>
      <c r="N3949" s="1">
        <v>1557.76</v>
      </c>
      <c r="O3949" s="1" t="s">
        <v>80</v>
      </c>
      <c r="P3949" s="1" t="s">
        <v>2838</v>
      </c>
      <c r="Q3949" s="1">
        <v>5</v>
      </c>
      <c r="R3949" s="1">
        <f>Retail_Sales_Analyis[[#This Row],[Final_Price]]-Retail_Sales_Analyis[[#This Row],[Total_Price]]</f>
        <v>0</v>
      </c>
      <c r="S39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0" spans="1:19" x14ac:dyDescent="0.25">
      <c r="A3950" s="1" t="s">
        <v>5074</v>
      </c>
      <c r="B3950" s="2">
        <v>45392</v>
      </c>
      <c r="C3950" s="1" t="s">
        <v>54</v>
      </c>
      <c r="D3950" s="1" t="s">
        <v>55</v>
      </c>
      <c r="E3950" s="1" t="s">
        <v>204</v>
      </c>
      <c r="F3950" s="1" t="s">
        <v>84</v>
      </c>
      <c r="G3950" s="1" t="s">
        <v>22</v>
      </c>
      <c r="H3950" s="1" t="s">
        <v>277</v>
      </c>
      <c r="I3950" s="1">
        <v>304.7</v>
      </c>
      <c r="J3950" s="1">
        <v>4</v>
      </c>
      <c r="K3950" s="1">
        <v>1218.8</v>
      </c>
      <c r="L3950" s="1">
        <v>10</v>
      </c>
      <c r="M3950" s="1">
        <v>121.88</v>
      </c>
      <c r="N3950" s="1">
        <v>1096.92</v>
      </c>
      <c r="O3950" s="1" t="s">
        <v>24</v>
      </c>
      <c r="P3950" s="1" t="s">
        <v>890</v>
      </c>
      <c r="Q3950" s="1">
        <v>5</v>
      </c>
      <c r="R3950" s="1">
        <f>Retail_Sales_Analyis[[#This Row],[Final_Price]]-Retail_Sales_Analyis[[#This Row],[Total_Price]]</f>
        <v>-121.87999999999988</v>
      </c>
      <c r="S39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51" spans="1:19" x14ac:dyDescent="0.25">
      <c r="A3951" s="1" t="s">
        <v>5075</v>
      </c>
      <c r="B3951" s="2">
        <v>45571</v>
      </c>
      <c r="C3951" s="1" t="s">
        <v>76</v>
      </c>
      <c r="D3951" s="1" t="s">
        <v>49</v>
      </c>
      <c r="E3951" s="1" t="s">
        <v>125</v>
      </c>
      <c r="F3951" s="1" t="s">
        <v>21</v>
      </c>
      <c r="G3951" s="1" t="s">
        <v>31</v>
      </c>
      <c r="H3951" s="1" t="s">
        <v>32</v>
      </c>
      <c r="I3951" s="1">
        <v>124.71</v>
      </c>
      <c r="J3951" s="1">
        <v>3</v>
      </c>
      <c r="K3951" s="1">
        <v>374.13</v>
      </c>
      <c r="L3951" s="1">
        <v>5</v>
      </c>
      <c r="M3951" s="1">
        <v>18.71</v>
      </c>
      <c r="N3951" s="1">
        <v>355.42</v>
      </c>
      <c r="O3951" s="1" t="s">
        <v>64</v>
      </c>
      <c r="P3951" s="1" t="s">
        <v>2760</v>
      </c>
      <c r="Q3951" s="1">
        <v>3</v>
      </c>
      <c r="R3951" s="1">
        <f>Retail_Sales_Analyis[[#This Row],[Final_Price]]-Retail_Sales_Analyis[[#This Row],[Total_Price]]</f>
        <v>-18.70999999999998</v>
      </c>
      <c r="S39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52" spans="1:19" x14ac:dyDescent="0.25">
      <c r="A3952" s="1" t="s">
        <v>5076</v>
      </c>
      <c r="B3952" s="2">
        <v>45417</v>
      </c>
      <c r="C3952" s="1" t="s">
        <v>42</v>
      </c>
      <c r="D3952" s="1" t="s">
        <v>49</v>
      </c>
      <c r="E3952" s="1" t="s">
        <v>302</v>
      </c>
      <c r="F3952" s="1" t="s">
        <v>21</v>
      </c>
      <c r="G3952" s="1" t="s">
        <v>38</v>
      </c>
      <c r="H3952" s="1" t="s">
        <v>39</v>
      </c>
      <c r="I3952" s="1">
        <v>757.35</v>
      </c>
      <c r="J3952" s="1">
        <v>3</v>
      </c>
      <c r="K3952" s="1">
        <v>2272.0500000000002</v>
      </c>
      <c r="L3952" s="1">
        <v>0</v>
      </c>
      <c r="M3952" s="1">
        <v>0</v>
      </c>
      <c r="N3952" s="1">
        <v>2272.0500000000002</v>
      </c>
      <c r="O3952" s="1" t="s">
        <v>24</v>
      </c>
      <c r="P3952" s="1" t="s">
        <v>1423</v>
      </c>
      <c r="Q3952" s="1">
        <v>4</v>
      </c>
      <c r="R3952" s="1">
        <f>Retail_Sales_Analyis[[#This Row],[Final_Price]]-Retail_Sales_Analyis[[#This Row],[Total_Price]]</f>
        <v>0</v>
      </c>
      <c r="S39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3" spans="1:19" x14ac:dyDescent="0.25">
      <c r="A3953" s="1" t="s">
        <v>5077</v>
      </c>
      <c r="B3953" s="2">
        <v>45369</v>
      </c>
      <c r="C3953" s="1" t="s">
        <v>61</v>
      </c>
      <c r="D3953" s="1" t="s">
        <v>43</v>
      </c>
      <c r="E3953" s="1" t="s">
        <v>168</v>
      </c>
      <c r="F3953" s="1" t="s">
        <v>21</v>
      </c>
      <c r="G3953" s="1" t="s">
        <v>38</v>
      </c>
      <c r="H3953" s="1" t="s">
        <v>39</v>
      </c>
      <c r="I3953" s="1">
        <v>181.68</v>
      </c>
      <c r="J3953" s="1">
        <v>3</v>
      </c>
      <c r="K3953" s="1">
        <v>545.04</v>
      </c>
      <c r="L3953" s="1">
        <v>0</v>
      </c>
      <c r="M3953" s="1">
        <v>0</v>
      </c>
      <c r="N3953" s="1">
        <v>545.04</v>
      </c>
      <c r="O3953" s="1" t="s">
        <v>46</v>
      </c>
      <c r="P3953" s="1" t="s">
        <v>2376</v>
      </c>
      <c r="Q3953" s="1">
        <v>4</v>
      </c>
      <c r="R3953" s="1">
        <f>Retail_Sales_Analyis[[#This Row],[Final_Price]]-Retail_Sales_Analyis[[#This Row],[Total_Price]]</f>
        <v>0</v>
      </c>
      <c r="S39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4" spans="1:19" x14ac:dyDescent="0.25">
      <c r="A3954" s="1" t="s">
        <v>5078</v>
      </c>
      <c r="B3954" s="2">
        <v>45295</v>
      </c>
      <c r="C3954" s="1" t="s">
        <v>36</v>
      </c>
      <c r="D3954" s="1" t="s">
        <v>67</v>
      </c>
      <c r="E3954" s="1" t="s">
        <v>139</v>
      </c>
      <c r="F3954" s="1" t="s">
        <v>84</v>
      </c>
      <c r="G3954" s="1" t="s">
        <v>78</v>
      </c>
      <c r="H3954" s="1" t="s">
        <v>146</v>
      </c>
      <c r="I3954" s="1">
        <v>587.53</v>
      </c>
      <c r="J3954" s="1">
        <v>7</v>
      </c>
      <c r="K3954" s="1">
        <v>4112.71</v>
      </c>
      <c r="L3954" s="1">
        <v>0</v>
      </c>
      <c r="M3954" s="1">
        <v>0</v>
      </c>
      <c r="N3954" s="1">
        <v>4112.71</v>
      </c>
      <c r="O3954" s="1" t="s">
        <v>33</v>
      </c>
      <c r="P3954" s="1" t="s">
        <v>732</v>
      </c>
      <c r="Q3954" s="1">
        <v>2</v>
      </c>
      <c r="R3954" s="1">
        <f>Retail_Sales_Analyis[[#This Row],[Final_Price]]-Retail_Sales_Analyis[[#This Row],[Total_Price]]</f>
        <v>0</v>
      </c>
      <c r="S39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5" spans="1:19" x14ac:dyDescent="0.25">
      <c r="A3955" s="1" t="s">
        <v>5079</v>
      </c>
      <c r="B3955" s="2">
        <v>45501</v>
      </c>
      <c r="C3955" s="1" t="s">
        <v>195</v>
      </c>
      <c r="D3955" s="1" t="s">
        <v>49</v>
      </c>
      <c r="E3955" s="1" t="s">
        <v>199</v>
      </c>
      <c r="F3955" s="1" t="s">
        <v>30</v>
      </c>
      <c r="G3955" s="1" t="s">
        <v>85</v>
      </c>
      <c r="H3955" s="1" t="s">
        <v>98</v>
      </c>
      <c r="I3955" s="1">
        <v>1779.83</v>
      </c>
      <c r="J3955" s="1">
        <v>8</v>
      </c>
      <c r="K3955" s="1">
        <v>14238.64</v>
      </c>
      <c r="L3955" s="1">
        <v>0</v>
      </c>
      <c r="M3955" s="1">
        <v>0</v>
      </c>
      <c r="N3955" s="1">
        <v>14238.64</v>
      </c>
      <c r="O3955" s="1" t="s">
        <v>46</v>
      </c>
      <c r="P3955" s="1" t="s">
        <v>1223</v>
      </c>
      <c r="Q3955" s="1">
        <v>3</v>
      </c>
      <c r="R3955" s="1">
        <f>Retail_Sales_Analyis[[#This Row],[Final_Price]]-Retail_Sales_Analyis[[#This Row],[Total_Price]]</f>
        <v>0</v>
      </c>
      <c r="S39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6" spans="1:19" x14ac:dyDescent="0.25">
      <c r="A3956" s="1" t="s">
        <v>5080</v>
      </c>
      <c r="B3956" s="2">
        <v>45304</v>
      </c>
      <c r="C3956" s="1" t="s">
        <v>36</v>
      </c>
      <c r="D3956" s="1" t="s">
        <v>19</v>
      </c>
      <c r="E3956" s="1" t="s">
        <v>542</v>
      </c>
      <c r="F3956" s="1" t="s">
        <v>69</v>
      </c>
      <c r="G3956" s="1" t="s">
        <v>169</v>
      </c>
      <c r="H3956" s="1" t="s">
        <v>175</v>
      </c>
      <c r="I3956" s="1">
        <v>544.05999999999995</v>
      </c>
      <c r="J3956" s="1">
        <v>5</v>
      </c>
      <c r="K3956" s="1">
        <v>2720.3</v>
      </c>
      <c r="L3956" s="1">
        <v>0</v>
      </c>
      <c r="M3956" s="1">
        <v>0</v>
      </c>
      <c r="N3956" s="1">
        <v>2720.3</v>
      </c>
      <c r="O3956" s="1" t="s">
        <v>24</v>
      </c>
      <c r="P3956" s="1" t="s">
        <v>1073</v>
      </c>
      <c r="Q3956" s="1">
        <v>1</v>
      </c>
      <c r="R3956" s="1">
        <f>Retail_Sales_Analyis[[#This Row],[Final_Price]]-Retail_Sales_Analyis[[#This Row],[Total_Price]]</f>
        <v>0</v>
      </c>
      <c r="S39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7" spans="1:19" x14ac:dyDescent="0.25">
      <c r="A3957" s="1" t="s">
        <v>5081</v>
      </c>
      <c r="B3957" s="2">
        <v>45411</v>
      </c>
      <c r="C3957" s="1" t="s">
        <v>54</v>
      </c>
      <c r="D3957" s="1" t="s">
        <v>43</v>
      </c>
      <c r="E3957" s="1" t="s">
        <v>236</v>
      </c>
      <c r="F3957" s="1" t="s">
        <v>37</v>
      </c>
      <c r="G3957" s="1" t="s">
        <v>38</v>
      </c>
      <c r="H3957" s="1" t="s">
        <v>70</v>
      </c>
      <c r="I3957" s="1">
        <v>285.48</v>
      </c>
      <c r="J3957" s="1">
        <v>10</v>
      </c>
      <c r="K3957" s="1">
        <v>2854.8</v>
      </c>
      <c r="L3957" s="1">
        <v>0</v>
      </c>
      <c r="M3957" s="1">
        <v>0</v>
      </c>
      <c r="N3957" s="1">
        <v>2854.8</v>
      </c>
      <c r="O3957" s="1" t="s">
        <v>33</v>
      </c>
      <c r="P3957" s="1" t="s">
        <v>1410</v>
      </c>
      <c r="Q3957" s="1">
        <v>3</v>
      </c>
      <c r="R3957" s="1">
        <f>Retail_Sales_Analyis[[#This Row],[Final_Price]]-Retail_Sales_Analyis[[#This Row],[Total_Price]]</f>
        <v>0</v>
      </c>
      <c r="S39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58" spans="1:19" x14ac:dyDescent="0.25">
      <c r="A3958" s="1" t="s">
        <v>5082</v>
      </c>
      <c r="B3958" s="2">
        <v>45569</v>
      </c>
      <c r="C3958" s="1" t="s">
        <v>76</v>
      </c>
      <c r="D3958" s="1" t="s">
        <v>144</v>
      </c>
      <c r="E3958" s="1" t="s">
        <v>322</v>
      </c>
      <c r="F3958" s="1" t="s">
        <v>30</v>
      </c>
      <c r="G3958" s="1" t="s">
        <v>38</v>
      </c>
      <c r="H3958" s="1" t="s">
        <v>214</v>
      </c>
      <c r="I3958" s="1">
        <v>699.41</v>
      </c>
      <c r="J3958" s="1">
        <v>5</v>
      </c>
      <c r="K3958" s="1">
        <v>3497.05</v>
      </c>
      <c r="L3958" s="1">
        <v>5</v>
      </c>
      <c r="M3958" s="1">
        <v>174.85</v>
      </c>
      <c r="N3958" s="1">
        <v>3322.2</v>
      </c>
      <c r="O3958" s="1" t="s">
        <v>64</v>
      </c>
      <c r="P3958" s="1" t="s">
        <v>2418</v>
      </c>
      <c r="Q3958" s="1">
        <v>5</v>
      </c>
      <c r="R3958" s="1">
        <f>Retail_Sales_Analyis[[#This Row],[Final_Price]]-Retail_Sales_Analyis[[#This Row],[Total_Price]]</f>
        <v>-174.85000000000036</v>
      </c>
      <c r="S39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59" spans="1:19" x14ac:dyDescent="0.25">
      <c r="A3959" s="1" t="s">
        <v>5083</v>
      </c>
      <c r="B3959" s="2">
        <v>45469</v>
      </c>
      <c r="C3959" s="1" t="s">
        <v>173</v>
      </c>
      <c r="D3959" s="1" t="s">
        <v>55</v>
      </c>
      <c r="E3959" s="1" t="s">
        <v>129</v>
      </c>
      <c r="F3959" s="1" t="s">
        <v>30</v>
      </c>
      <c r="G3959" s="1" t="s">
        <v>85</v>
      </c>
      <c r="H3959" s="1" t="s">
        <v>90</v>
      </c>
      <c r="I3959" s="1">
        <v>1444.97</v>
      </c>
      <c r="J3959" s="1">
        <v>7</v>
      </c>
      <c r="K3959" s="1">
        <v>10114.790000000001</v>
      </c>
      <c r="L3959" s="1">
        <v>0</v>
      </c>
      <c r="M3959" s="1">
        <v>0</v>
      </c>
      <c r="N3959" s="1">
        <v>10114.790000000001</v>
      </c>
      <c r="O3959" s="1" t="s">
        <v>33</v>
      </c>
      <c r="P3959" s="1" t="s">
        <v>613</v>
      </c>
      <c r="Q3959" s="1">
        <v>5</v>
      </c>
      <c r="R3959" s="1">
        <f>Retail_Sales_Analyis[[#This Row],[Final_Price]]-Retail_Sales_Analyis[[#This Row],[Total_Price]]</f>
        <v>0</v>
      </c>
      <c r="S39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60" spans="1:19" x14ac:dyDescent="0.25">
      <c r="A3960" s="1" t="s">
        <v>5084</v>
      </c>
      <c r="B3960" s="2">
        <v>45617</v>
      </c>
      <c r="C3960" s="1" t="s">
        <v>18</v>
      </c>
      <c r="D3960" s="1" t="s">
        <v>67</v>
      </c>
      <c r="E3960" s="1" t="s">
        <v>151</v>
      </c>
      <c r="F3960" s="1" t="s">
        <v>69</v>
      </c>
      <c r="G3960" s="1" t="s">
        <v>22</v>
      </c>
      <c r="H3960" s="1" t="s">
        <v>277</v>
      </c>
      <c r="I3960" s="1">
        <v>342.43</v>
      </c>
      <c r="J3960" s="1">
        <v>10</v>
      </c>
      <c r="K3960" s="1">
        <v>3424.3</v>
      </c>
      <c r="L3960" s="1">
        <v>10</v>
      </c>
      <c r="M3960" s="1">
        <v>342.43</v>
      </c>
      <c r="N3960" s="1">
        <v>3081.87</v>
      </c>
      <c r="O3960" s="1" t="s">
        <v>33</v>
      </c>
      <c r="P3960" s="1" t="s">
        <v>2463</v>
      </c>
      <c r="Q3960" s="1">
        <v>2</v>
      </c>
      <c r="R3960" s="1">
        <f>Retail_Sales_Analyis[[#This Row],[Final_Price]]-Retail_Sales_Analyis[[#This Row],[Total_Price]]</f>
        <v>-342.43000000000029</v>
      </c>
      <c r="S39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61" spans="1:19" x14ac:dyDescent="0.25">
      <c r="A3961" s="1" t="s">
        <v>5085</v>
      </c>
      <c r="B3961" s="2">
        <v>45647</v>
      </c>
      <c r="C3961" s="1" t="s">
        <v>73</v>
      </c>
      <c r="D3961" s="1" t="s">
        <v>19</v>
      </c>
      <c r="E3961" s="1" t="s">
        <v>307</v>
      </c>
      <c r="F3961" s="1" t="s">
        <v>84</v>
      </c>
      <c r="G3961" s="1" t="s">
        <v>57</v>
      </c>
      <c r="H3961" s="1" t="s">
        <v>158</v>
      </c>
      <c r="I3961" s="1">
        <v>800.34</v>
      </c>
      <c r="J3961" s="1">
        <v>10</v>
      </c>
      <c r="K3961" s="1">
        <v>8003.4</v>
      </c>
      <c r="L3961" s="1">
        <v>10</v>
      </c>
      <c r="M3961" s="1">
        <v>800.34</v>
      </c>
      <c r="N3961" s="1">
        <v>7203.06</v>
      </c>
      <c r="O3961" s="1" t="s">
        <v>80</v>
      </c>
      <c r="P3961" s="1" t="s">
        <v>2204</v>
      </c>
      <c r="Q3961" s="1">
        <v>4</v>
      </c>
      <c r="R3961" s="1">
        <f>Retail_Sales_Analyis[[#This Row],[Final_Price]]-Retail_Sales_Analyis[[#This Row],[Total_Price]]</f>
        <v>-800.33999999999924</v>
      </c>
      <c r="S39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62" spans="1:19" x14ac:dyDescent="0.25">
      <c r="A3962" s="1" t="s">
        <v>5086</v>
      </c>
      <c r="B3962" s="2">
        <v>45296</v>
      </c>
      <c r="C3962" s="1" t="s">
        <v>36</v>
      </c>
      <c r="D3962" s="1" t="s">
        <v>144</v>
      </c>
      <c r="E3962" s="1" t="s">
        <v>322</v>
      </c>
      <c r="F3962" s="1" t="s">
        <v>30</v>
      </c>
      <c r="G3962" s="1" t="s">
        <v>169</v>
      </c>
      <c r="H3962" s="1" t="s">
        <v>175</v>
      </c>
      <c r="I3962" s="1">
        <v>587.84</v>
      </c>
      <c r="J3962" s="1">
        <v>1</v>
      </c>
      <c r="K3962" s="1">
        <v>587.84</v>
      </c>
      <c r="L3962" s="1">
        <v>0</v>
      </c>
      <c r="M3962" s="1">
        <v>0</v>
      </c>
      <c r="N3962" s="1">
        <v>587.84</v>
      </c>
      <c r="O3962" s="1" t="s">
        <v>33</v>
      </c>
      <c r="P3962" s="1" t="s">
        <v>1109</v>
      </c>
      <c r="Q3962" s="1">
        <v>3</v>
      </c>
      <c r="R3962" s="1">
        <f>Retail_Sales_Analyis[[#This Row],[Final_Price]]-Retail_Sales_Analyis[[#This Row],[Total_Price]]</f>
        <v>0</v>
      </c>
      <c r="S39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63" spans="1:19" x14ac:dyDescent="0.25">
      <c r="A3963" s="1" t="s">
        <v>5087</v>
      </c>
      <c r="B3963" s="2">
        <v>45463</v>
      </c>
      <c r="C3963" s="1" t="s">
        <v>173</v>
      </c>
      <c r="D3963" s="1" t="s">
        <v>67</v>
      </c>
      <c r="E3963" s="1" t="s">
        <v>285</v>
      </c>
      <c r="F3963" s="1" t="s">
        <v>21</v>
      </c>
      <c r="G3963" s="1" t="s">
        <v>169</v>
      </c>
      <c r="H3963" s="1" t="s">
        <v>170</v>
      </c>
      <c r="I3963" s="1">
        <v>564.29</v>
      </c>
      <c r="J3963" s="1">
        <v>5</v>
      </c>
      <c r="K3963" s="1">
        <v>2821.45</v>
      </c>
      <c r="L3963" s="1">
        <v>5</v>
      </c>
      <c r="M3963" s="1">
        <v>141.07</v>
      </c>
      <c r="N3963" s="1">
        <v>2680.38</v>
      </c>
      <c r="O3963" s="1" t="s">
        <v>80</v>
      </c>
      <c r="P3963" s="1" t="s">
        <v>959</v>
      </c>
      <c r="Q3963" s="1">
        <v>2</v>
      </c>
      <c r="R3963" s="1">
        <f>Retail_Sales_Analyis[[#This Row],[Final_Price]]-Retail_Sales_Analyis[[#This Row],[Total_Price]]</f>
        <v>-141.06999999999971</v>
      </c>
      <c r="S39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64" spans="1:19" x14ac:dyDescent="0.25">
      <c r="A3964" s="1" t="s">
        <v>5088</v>
      </c>
      <c r="B3964" s="2">
        <v>45292</v>
      </c>
      <c r="C3964" s="1" t="s">
        <v>36</v>
      </c>
      <c r="D3964" s="1" t="s">
        <v>43</v>
      </c>
      <c r="E3964" s="1" t="s">
        <v>117</v>
      </c>
      <c r="F3964" s="1" t="s">
        <v>21</v>
      </c>
      <c r="G3964" s="1" t="s">
        <v>78</v>
      </c>
      <c r="H3964" s="1" t="s">
        <v>136</v>
      </c>
      <c r="I3964" s="1">
        <v>515.75</v>
      </c>
      <c r="J3964" s="1">
        <v>9</v>
      </c>
      <c r="K3964" s="1">
        <v>4641.75</v>
      </c>
      <c r="L3964" s="1">
        <v>0</v>
      </c>
      <c r="M3964" s="1">
        <v>0</v>
      </c>
      <c r="N3964" s="1">
        <v>4641.75</v>
      </c>
      <c r="O3964" s="1" t="s">
        <v>46</v>
      </c>
      <c r="P3964" s="1" t="s">
        <v>1090</v>
      </c>
      <c r="Q3964" s="1">
        <v>3</v>
      </c>
      <c r="R3964" s="1">
        <f>Retail_Sales_Analyis[[#This Row],[Final_Price]]-Retail_Sales_Analyis[[#This Row],[Total_Price]]</f>
        <v>0</v>
      </c>
      <c r="S39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65" spans="1:19" x14ac:dyDescent="0.25">
      <c r="A3965" s="1" t="s">
        <v>5089</v>
      </c>
      <c r="B3965" s="2">
        <v>45628</v>
      </c>
      <c r="C3965" s="1" t="s">
        <v>73</v>
      </c>
      <c r="D3965" s="1" t="s">
        <v>43</v>
      </c>
      <c r="E3965" s="1" t="s">
        <v>117</v>
      </c>
      <c r="F3965" s="1" t="s">
        <v>69</v>
      </c>
      <c r="G3965" s="1" t="s">
        <v>112</v>
      </c>
      <c r="H3965" s="1" t="s">
        <v>183</v>
      </c>
      <c r="I3965" s="1">
        <v>637.69000000000005</v>
      </c>
      <c r="J3965" s="1">
        <v>5</v>
      </c>
      <c r="K3965" s="1">
        <v>3188.45</v>
      </c>
      <c r="L3965" s="1">
        <v>5</v>
      </c>
      <c r="M3965" s="1">
        <v>159.41999999999999</v>
      </c>
      <c r="N3965" s="1">
        <v>3029.03</v>
      </c>
      <c r="O3965" s="1" t="s">
        <v>46</v>
      </c>
      <c r="P3965" s="1" t="s">
        <v>1961</v>
      </c>
      <c r="Q3965" s="1">
        <v>2</v>
      </c>
      <c r="R3965" s="1">
        <f>Retail_Sales_Analyis[[#This Row],[Final_Price]]-Retail_Sales_Analyis[[#This Row],[Total_Price]]</f>
        <v>-159.41999999999962</v>
      </c>
      <c r="S396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66" spans="1:19" x14ac:dyDescent="0.25">
      <c r="A3966" s="1" t="s">
        <v>5090</v>
      </c>
      <c r="B3966" s="2">
        <v>45484</v>
      </c>
      <c r="C3966" s="1" t="s">
        <v>195</v>
      </c>
      <c r="D3966" s="1" t="s">
        <v>67</v>
      </c>
      <c r="E3966" s="1" t="s">
        <v>328</v>
      </c>
      <c r="F3966" s="1" t="s">
        <v>69</v>
      </c>
      <c r="G3966" s="1" t="s">
        <v>22</v>
      </c>
      <c r="H3966" s="1" t="s">
        <v>23</v>
      </c>
      <c r="I3966" s="1">
        <v>446.83</v>
      </c>
      <c r="J3966" s="1">
        <v>1</v>
      </c>
      <c r="K3966" s="1">
        <v>446.83</v>
      </c>
      <c r="L3966" s="1">
        <v>20</v>
      </c>
      <c r="M3966" s="1">
        <v>89.37</v>
      </c>
      <c r="N3966" s="1">
        <v>357.46</v>
      </c>
      <c r="O3966" s="1" t="s">
        <v>24</v>
      </c>
      <c r="P3966" s="1" t="s">
        <v>1906</v>
      </c>
      <c r="Q3966" s="1">
        <v>3</v>
      </c>
      <c r="R3966" s="1">
        <f>Retail_Sales_Analyis[[#This Row],[Final_Price]]-Retail_Sales_Analyis[[#This Row],[Total_Price]]</f>
        <v>-89.37</v>
      </c>
      <c r="S39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67" spans="1:19" x14ac:dyDescent="0.25">
      <c r="A3967" s="1" t="s">
        <v>5091</v>
      </c>
      <c r="B3967" s="2">
        <v>45449</v>
      </c>
      <c r="C3967" s="1" t="s">
        <v>173</v>
      </c>
      <c r="D3967" s="1" t="s">
        <v>67</v>
      </c>
      <c r="E3967" s="1" t="s">
        <v>121</v>
      </c>
      <c r="F3967" s="1" t="s">
        <v>84</v>
      </c>
      <c r="G3967" s="1" t="s">
        <v>22</v>
      </c>
      <c r="H3967" s="1" t="s">
        <v>51</v>
      </c>
      <c r="I3967" s="1">
        <v>789.11</v>
      </c>
      <c r="J3967" s="1">
        <v>10</v>
      </c>
      <c r="K3967" s="1">
        <v>7891.1</v>
      </c>
      <c r="L3967" s="1">
        <v>5</v>
      </c>
      <c r="M3967" s="1">
        <v>394.56</v>
      </c>
      <c r="N3967" s="1">
        <v>7496.54</v>
      </c>
      <c r="O3967" s="1" t="s">
        <v>24</v>
      </c>
      <c r="P3967" s="1" t="s">
        <v>1153</v>
      </c>
      <c r="Q3967" s="1">
        <v>1</v>
      </c>
      <c r="R3967" s="1">
        <f>Retail_Sales_Analyis[[#This Row],[Final_Price]]-Retail_Sales_Analyis[[#This Row],[Total_Price]]</f>
        <v>-394.5600000000004</v>
      </c>
      <c r="S39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68" spans="1:19" x14ac:dyDescent="0.25">
      <c r="A3968" s="1" t="s">
        <v>5092</v>
      </c>
      <c r="B3968" s="2">
        <v>45345</v>
      </c>
      <c r="C3968" s="1" t="s">
        <v>27</v>
      </c>
      <c r="D3968" s="1" t="s">
        <v>144</v>
      </c>
      <c r="E3968" s="1" t="s">
        <v>192</v>
      </c>
      <c r="F3968" s="1" t="s">
        <v>84</v>
      </c>
      <c r="G3968" s="1" t="s">
        <v>22</v>
      </c>
      <c r="H3968" s="1" t="s">
        <v>23</v>
      </c>
      <c r="I3968" s="1">
        <v>799.96</v>
      </c>
      <c r="J3968" s="1">
        <v>5</v>
      </c>
      <c r="K3968" s="1">
        <v>3999.8</v>
      </c>
      <c r="L3968" s="1">
        <v>10</v>
      </c>
      <c r="M3968" s="1">
        <v>399.98</v>
      </c>
      <c r="N3968" s="1">
        <v>3599.82</v>
      </c>
      <c r="O3968" s="1" t="s">
        <v>24</v>
      </c>
      <c r="P3968" s="1" t="s">
        <v>1067</v>
      </c>
      <c r="Q3968" s="1">
        <v>2</v>
      </c>
      <c r="R3968" s="1">
        <f>Retail_Sales_Analyis[[#This Row],[Final_Price]]-Retail_Sales_Analyis[[#This Row],[Total_Price]]</f>
        <v>-399.98</v>
      </c>
      <c r="S39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69" spans="1:19" x14ac:dyDescent="0.25">
      <c r="A3969" s="1" t="s">
        <v>5093</v>
      </c>
      <c r="B3969" s="2">
        <v>45397</v>
      </c>
      <c r="C3969" s="1" t="s">
        <v>54</v>
      </c>
      <c r="D3969" s="1" t="s">
        <v>43</v>
      </c>
      <c r="E3969" s="1" t="s">
        <v>302</v>
      </c>
      <c r="F3969" s="1" t="s">
        <v>37</v>
      </c>
      <c r="G3969" s="1" t="s">
        <v>31</v>
      </c>
      <c r="H3969" s="1" t="s">
        <v>45</v>
      </c>
      <c r="I3969" s="1">
        <v>480.09</v>
      </c>
      <c r="J3969" s="1">
        <v>1</v>
      </c>
      <c r="K3969" s="1">
        <v>480.09</v>
      </c>
      <c r="L3969" s="1">
        <v>5</v>
      </c>
      <c r="M3969" s="1">
        <v>24</v>
      </c>
      <c r="N3969" s="1">
        <v>456.09</v>
      </c>
      <c r="O3969" s="1" t="s">
        <v>46</v>
      </c>
      <c r="P3969" s="1" t="s">
        <v>3554</v>
      </c>
      <c r="Q3969" s="1">
        <v>1</v>
      </c>
      <c r="R3969" s="1">
        <f>Retail_Sales_Analyis[[#This Row],[Final_Price]]-Retail_Sales_Analyis[[#This Row],[Total_Price]]</f>
        <v>-24</v>
      </c>
      <c r="S39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70" spans="1:19" x14ac:dyDescent="0.25">
      <c r="A3970" s="1" t="s">
        <v>5094</v>
      </c>
      <c r="B3970" s="2">
        <v>45563</v>
      </c>
      <c r="C3970" s="1" t="s">
        <v>116</v>
      </c>
      <c r="D3970" s="1" t="s">
        <v>19</v>
      </c>
      <c r="E3970" s="1" t="s">
        <v>236</v>
      </c>
      <c r="F3970" s="1" t="s">
        <v>30</v>
      </c>
      <c r="G3970" s="1" t="s">
        <v>38</v>
      </c>
      <c r="H3970" s="1" t="s">
        <v>108</v>
      </c>
      <c r="I3970" s="1">
        <v>158.47</v>
      </c>
      <c r="J3970" s="1">
        <v>10</v>
      </c>
      <c r="K3970" s="1">
        <v>1584.7</v>
      </c>
      <c r="L3970" s="1">
        <v>0</v>
      </c>
      <c r="M3970" s="1">
        <v>0</v>
      </c>
      <c r="N3970" s="1">
        <v>1584.7</v>
      </c>
      <c r="O3970" s="1" t="s">
        <v>24</v>
      </c>
      <c r="P3970" s="1" t="s">
        <v>2737</v>
      </c>
      <c r="Q3970" s="1">
        <v>1</v>
      </c>
      <c r="R3970" s="1">
        <f>Retail_Sales_Analyis[[#This Row],[Final_Price]]-Retail_Sales_Analyis[[#This Row],[Total_Price]]</f>
        <v>0</v>
      </c>
      <c r="S39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1" spans="1:19" x14ac:dyDescent="0.25">
      <c r="A3971" s="1" t="s">
        <v>5095</v>
      </c>
      <c r="B3971" s="2">
        <v>45413</v>
      </c>
      <c r="C3971" s="1" t="s">
        <v>42</v>
      </c>
      <c r="D3971" s="1" t="s">
        <v>55</v>
      </c>
      <c r="E3971" s="1" t="s">
        <v>129</v>
      </c>
      <c r="F3971" s="1" t="s">
        <v>69</v>
      </c>
      <c r="G3971" s="1" t="s">
        <v>85</v>
      </c>
      <c r="H3971" s="1" t="s">
        <v>98</v>
      </c>
      <c r="I3971" s="1">
        <v>1325.59</v>
      </c>
      <c r="J3971" s="1">
        <v>1</v>
      </c>
      <c r="K3971" s="1">
        <v>1325.59</v>
      </c>
      <c r="L3971" s="1">
        <v>0</v>
      </c>
      <c r="M3971" s="1">
        <v>0</v>
      </c>
      <c r="N3971" s="1">
        <v>1325.59</v>
      </c>
      <c r="O3971" s="1" t="s">
        <v>46</v>
      </c>
      <c r="P3971" s="1" t="s">
        <v>2220</v>
      </c>
      <c r="Q3971" s="1">
        <v>1</v>
      </c>
      <c r="R3971" s="1">
        <f>Retail_Sales_Analyis[[#This Row],[Final_Price]]-Retail_Sales_Analyis[[#This Row],[Total_Price]]</f>
        <v>0</v>
      </c>
      <c r="S39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2" spans="1:19" x14ac:dyDescent="0.25">
      <c r="A3972" s="1" t="s">
        <v>5096</v>
      </c>
      <c r="B3972" s="2">
        <v>45506</v>
      </c>
      <c r="C3972" s="1" t="s">
        <v>93</v>
      </c>
      <c r="D3972" s="1" t="s">
        <v>144</v>
      </c>
      <c r="E3972" s="1" t="s">
        <v>163</v>
      </c>
      <c r="F3972" s="1" t="s">
        <v>69</v>
      </c>
      <c r="G3972" s="1" t="s">
        <v>22</v>
      </c>
      <c r="H3972" s="1" t="s">
        <v>187</v>
      </c>
      <c r="I3972" s="1">
        <v>969.54</v>
      </c>
      <c r="J3972" s="1">
        <v>3</v>
      </c>
      <c r="K3972" s="1">
        <v>2908.62</v>
      </c>
      <c r="L3972" s="1">
        <v>0</v>
      </c>
      <c r="M3972" s="1">
        <v>0</v>
      </c>
      <c r="N3972" s="1">
        <v>2908.62</v>
      </c>
      <c r="O3972" s="1" t="s">
        <v>64</v>
      </c>
      <c r="P3972" s="1" t="s">
        <v>682</v>
      </c>
      <c r="Q3972" s="1">
        <v>1</v>
      </c>
      <c r="R3972" s="1">
        <f>Retail_Sales_Analyis[[#This Row],[Final_Price]]-Retail_Sales_Analyis[[#This Row],[Total_Price]]</f>
        <v>0</v>
      </c>
      <c r="S39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3" spans="1:19" x14ac:dyDescent="0.25">
      <c r="A3973" s="1" t="s">
        <v>5097</v>
      </c>
      <c r="B3973" s="2">
        <v>45543</v>
      </c>
      <c r="C3973" s="1" t="s">
        <v>116</v>
      </c>
      <c r="D3973" s="1" t="s">
        <v>49</v>
      </c>
      <c r="E3973" s="1" t="s">
        <v>307</v>
      </c>
      <c r="F3973" s="1" t="s">
        <v>37</v>
      </c>
      <c r="G3973" s="1" t="s">
        <v>169</v>
      </c>
      <c r="H3973" s="1" t="s">
        <v>175</v>
      </c>
      <c r="I3973" s="1">
        <v>1197.04</v>
      </c>
      <c r="J3973" s="1">
        <v>10</v>
      </c>
      <c r="K3973" s="1">
        <v>11970.4</v>
      </c>
      <c r="L3973" s="1">
        <v>10</v>
      </c>
      <c r="M3973" s="1">
        <v>1197.04</v>
      </c>
      <c r="N3973" s="1">
        <v>10773.36</v>
      </c>
      <c r="O3973" s="1" t="s">
        <v>46</v>
      </c>
      <c r="P3973" s="1" t="s">
        <v>3366</v>
      </c>
      <c r="Q3973" s="1">
        <v>2</v>
      </c>
      <c r="R3973" s="1">
        <f>Retail_Sales_Analyis[[#This Row],[Final_Price]]-Retail_Sales_Analyis[[#This Row],[Total_Price]]</f>
        <v>-1197.0399999999991</v>
      </c>
      <c r="S39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74" spans="1:19" x14ac:dyDescent="0.25">
      <c r="A3974" s="1" t="s">
        <v>5098</v>
      </c>
      <c r="B3974" s="2">
        <v>45322</v>
      </c>
      <c r="C3974" s="1" t="s">
        <v>36</v>
      </c>
      <c r="D3974" s="1" t="s">
        <v>55</v>
      </c>
      <c r="E3974" s="1" t="s">
        <v>213</v>
      </c>
      <c r="F3974" s="1" t="s">
        <v>30</v>
      </c>
      <c r="G3974" s="1" t="s">
        <v>31</v>
      </c>
      <c r="H3974" s="1" t="s">
        <v>45</v>
      </c>
      <c r="I3974" s="1">
        <v>227.76</v>
      </c>
      <c r="J3974" s="1">
        <v>7</v>
      </c>
      <c r="K3974" s="1">
        <v>1594.32</v>
      </c>
      <c r="L3974" s="1">
        <v>10</v>
      </c>
      <c r="M3974" s="1">
        <v>159.43</v>
      </c>
      <c r="N3974" s="1">
        <v>1434.89</v>
      </c>
      <c r="O3974" s="1" t="s">
        <v>80</v>
      </c>
      <c r="P3974" s="1" t="s">
        <v>3095</v>
      </c>
      <c r="Q3974" s="1">
        <v>4</v>
      </c>
      <c r="R3974" s="1">
        <f>Retail_Sales_Analyis[[#This Row],[Final_Price]]-Retail_Sales_Analyis[[#This Row],[Total_Price]]</f>
        <v>-159.42999999999984</v>
      </c>
      <c r="S39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75" spans="1:19" x14ac:dyDescent="0.25">
      <c r="A3975" s="1" t="s">
        <v>5099</v>
      </c>
      <c r="B3975" s="2">
        <v>45364</v>
      </c>
      <c r="C3975" s="1" t="s">
        <v>61</v>
      </c>
      <c r="D3975" s="1" t="s">
        <v>55</v>
      </c>
      <c r="E3975" s="1" t="s">
        <v>68</v>
      </c>
      <c r="F3975" s="1" t="s">
        <v>30</v>
      </c>
      <c r="G3975" s="1" t="s">
        <v>112</v>
      </c>
      <c r="H3975" s="1" t="s">
        <v>223</v>
      </c>
      <c r="I3975" s="1">
        <v>1471</v>
      </c>
      <c r="J3975" s="1">
        <v>5</v>
      </c>
      <c r="K3975" s="1">
        <v>7355</v>
      </c>
      <c r="L3975" s="1">
        <v>0</v>
      </c>
      <c r="M3975" s="1">
        <v>0</v>
      </c>
      <c r="N3975" s="1">
        <v>7355</v>
      </c>
      <c r="O3975" s="1" t="s">
        <v>46</v>
      </c>
      <c r="P3975" s="1" t="s">
        <v>1462</v>
      </c>
      <c r="Q3975" s="1">
        <v>3</v>
      </c>
      <c r="R3975" s="1">
        <f>Retail_Sales_Analyis[[#This Row],[Final_Price]]-Retail_Sales_Analyis[[#This Row],[Total_Price]]</f>
        <v>0</v>
      </c>
      <c r="S39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6" spans="1:19" x14ac:dyDescent="0.25">
      <c r="A3976" s="1" t="s">
        <v>5100</v>
      </c>
      <c r="B3976" s="2">
        <v>45656</v>
      </c>
      <c r="C3976" s="1" t="s">
        <v>73</v>
      </c>
      <c r="D3976" s="1" t="s">
        <v>43</v>
      </c>
      <c r="E3976" s="1" t="s">
        <v>302</v>
      </c>
      <c r="F3976" s="1" t="s">
        <v>37</v>
      </c>
      <c r="G3976" s="1" t="s">
        <v>112</v>
      </c>
      <c r="H3976" s="1" t="s">
        <v>288</v>
      </c>
      <c r="I3976" s="1">
        <v>834.26</v>
      </c>
      <c r="J3976" s="1">
        <v>8</v>
      </c>
      <c r="K3976" s="1">
        <v>6674.08</v>
      </c>
      <c r="L3976" s="1">
        <v>0</v>
      </c>
      <c r="M3976" s="1">
        <v>0</v>
      </c>
      <c r="N3976" s="1">
        <v>6674.08</v>
      </c>
      <c r="O3976" s="1" t="s">
        <v>64</v>
      </c>
      <c r="P3976" s="1" t="s">
        <v>399</v>
      </c>
      <c r="Q3976" s="1">
        <v>5</v>
      </c>
      <c r="R3976" s="1">
        <f>Retail_Sales_Analyis[[#This Row],[Final_Price]]-Retail_Sales_Analyis[[#This Row],[Total_Price]]</f>
        <v>0</v>
      </c>
      <c r="S39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7" spans="1:19" x14ac:dyDescent="0.25">
      <c r="A3977" s="1" t="s">
        <v>5101</v>
      </c>
      <c r="B3977" s="2">
        <v>45435</v>
      </c>
      <c r="C3977" s="1" t="s">
        <v>42</v>
      </c>
      <c r="D3977" s="1" t="s">
        <v>67</v>
      </c>
      <c r="E3977" s="1" t="s">
        <v>97</v>
      </c>
      <c r="F3977" s="1" t="s">
        <v>84</v>
      </c>
      <c r="G3977" s="1" t="s">
        <v>78</v>
      </c>
      <c r="H3977" s="1" t="s">
        <v>126</v>
      </c>
      <c r="I3977" s="1">
        <v>315.7</v>
      </c>
      <c r="J3977" s="1">
        <v>9</v>
      </c>
      <c r="K3977" s="1">
        <v>2841.3</v>
      </c>
      <c r="L3977" s="1">
        <v>15</v>
      </c>
      <c r="M3977" s="1">
        <v>426.19</v>
      </c>
      <c r="N3977" s="1">
        <v>2415.11</v>
      </c>
      <c r="O3977" s="1" t="s">
        <v>46</v>
      </c>
      <c r="P3977" s="1" t="s">
        <v>2085</v>
      </c>
      <c r="Q3977" s="1">
        <v>5</v>
      </c>
      <c r="R3977" s="1">
        <f>Retail_Sales_Analyis[[#This Row],[Final_Price]]-Retail_Sales_Analyis[[#This Row],[Total_Price]]</f>
        <v>-426.19000000000005</v>
      </c>
      <c r="S39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78" spans="1:19" x14ac:dyDescent="0.25">
      <c r="A3978" s="1" t="s">
        <v>5102</v>
      </c>
      <c r="B3978" s="2">
        <v>45339</v>
      </c>
      <c r="C3978" s="1" t="s">
        <v>27</v>
      </c>
      <c r="D3978" s="1" t="s">
        <v>19</v>
      </c>
      <c r="E3978" s="1" t="s">
        <v>213</v>
      </c>
      <c r="F3978" s="1" t="s">
        <v>21</v>
      </c>
      <c r="G3978" s="1" t="s">
        <v>31</v>
      </c>
      <c r="H3978" s="1" t="s">
        <v>63</v>
      </c>
      <c r="I3978" s="1">
        <v>346.86</v>
      </c>
      <c r="J3978" s="1">
        <v>7</v>
      </c>
      <c r="K3978" s="1">
        <v>2428.02</v>
      </c>
      <c r="L3978" s="1">
        <v>0</v>
      </c>
      <c r="M3978" s="1">
        <v>0</v>
      </c>
      <c r="N3978" s="1">
        <v>2428.02</v>
      </c>
      <c r="O3978" s="1" t="s">
        <v>33</v>
      </c>
      <c r="P3978" s="1" t="s">
        <v>641</v>
      </c>
      <c r="Q3978" s="1">
        <v>5</v>
      </c>
      <c r="R3978" s="1">
        <f>Retail_Sales_Analyis[[#This Row],[Final_Price]]-Retail_Sales_Analyis[[#This Row],[Total_Price]]</f>
        <v>0</v>
      </c>
      <c r="S39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79" spans="1:19" x14ac:dyDescent="0.25">
      <c r="A3979" s="1" t="s">
        <v>5103</v>
      </c>
      <c r="B3979" s="2">
        <v>45314</v>
      </c>
      <c r="C3979" s="1" t="s">
        <v>36</v>
      </c>
      <c r="D3979" s="1" t="s">
        <v>28</v>
      </c>
      <c r="E3979" s="1" t="s">
        <v>104</v>
      </c>
      <c r="F3979" s="1" t="s">
        <v>84</v>
      </c>
      <c r="G3979" s="1" t="s">
        <v>57</v>
      </c>
      <c r="H3979" s="1" t="s">
        <v>152</v>
      </c>
      <c r="I3979" s="1">
        <v>1152.04</v>
      </c>
      <c r="J3979" s="1">
        <v>8</v>
      </c>
      <c r="K3979" s="1">
        <v>9216.32</v>
      </c>
      <c r="L3979" s="1">
        <v>5</v>
      </c>
      <c r="M3979" s="1">
        <v>460.82</v>
      </c>
      <c r="N3979" s="1">
        <v>8755.5</v>
      </c>
      <c r="O3979" s="1" t="s">
        <v>80</v>
      </c>
      <c r="P3979" s="1" t="s">
        <v>1672</v>
      </c>
      <c r="Q3979" s="1">
        <v>4</v>
      </c>
      <c r="R3979" s="1">
        <f>Retail_Sales_Analyis[[#This Row],[Final_Price]]-Retail_Sales_Analyis[[#This Row],[Total_Price]]</f>
        <v>-460.81999999999971</v>
      </c>
      <c r="S397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80" spans="1:19" x14ac:dyDescent="0.25">
      <c r="A3980" s="1" t="s">
        <v>5104</v>
      </c>
      <c r="B3980" s="2">
        <v>45410</v>
      </c>
      <c r="C3980" s="1" t="s">
        <v>54</v>
      </c>
      <c r="D3980" s="1" t="s">
        <v>49</v>
      </c>
      <c r="E3980" s="1" t="s">
        <v>342</v>
      </c>
      <c r="F3980" s="1" t="s">
        <v>30</v>
      </c>
      <c r="G3980" s="1" t="s">
        <v>57</v>
      </c>
      <c r="H3980" s="1" t="s">
        <v>58</v>
      </c>
      <c r="I3980" s="1">
        <v>1442.02</v>
      </c>
      <c r="J3980" s="1">
        <v>1</v>
      </c>
      <c r="K3980" s="1">
        <v>1442.02</v>
      </c>
      <c r="L3980" s="1">
        <v>5</v>
      </c>
      <c r="M3980" s="1">
        <v>72.099999999999994</v>
      </c>
      <c r="N3980" s="1">
        <v>1369.92</v>
      </c>
      <c r="O3980" s="1" t="s">
        <v>46</v>
      </c>
      <c r="P3980" s="1" t="s">
        <v>1032</v>
      </c>
      <c r="Q3980" s="1">
        <v>1</v>
      </c>
      <c r="R3980" s="1">
        <f>Retail_Sales_Analyis[[#This Row],[Final_Price]]-Retail_Sales_Analyis[[#This Row],[Total_Price]]</f>
        <v>-72.099999999999909</v>
      </c>
      <c r="S398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81" spans="1:19" x14ac:dyDescent="0.25">
      <c r="A3981" s="1" t="s">
        <v>5105</v>
      </c>
      <c r="B3981" s="2">
        <v>45558</v>
      </c>
      <c r="C3981" s="1" t="s">
        <v>116</v>
      </c>
      <c r="D3981" s="1" t="s">
        <v>43</v>
      </c>
      <c r="E3981" s="1" t="s">
        <v>77</v>
      </c>
      <c r="F3981" s="1" t="s">
        <v>30</v>
      </c>
      <c r="G3981" s="1" t="s">
        <v>57</v>
      </c>
      <c r="H3981" s="1" t="s">
        <v>122</v>
      </c>
      <c r="I3981" s="1">
        <v>963.26</v>
      </c>
      <c r="J3981" s="1">
        <v>9</v>
      </c>
      <c r="K3981" s="1">
        <v>8669.34</v>
      </c>
      <c r="L3981" s="1">
        <v>0</v>
      </c>
      <c r="M3981" s="1">
        <v>0</v>
      </c>
      <c r="N3981" s="1">
        <v>8669.34</v>
      </c>
      <c r="O3981" s="1" t="s">
        <v>46</v>
      </c>
      <c r="P3981" s="1" t="s">
        <v>1339</v>
      </c>
      <c r="Q3981" s="1">
        <v>1</v>
      </c>
      <c r="R3981" s="1">
        <f>Retail_Sales_Analyis[[#This Row],[Final_Price]]-Retail_Sales_Analyis[[#This Row],[Total_Price]]</f>
        <v>0</v>
      </c>
      <c r="S39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82" spans="1:19" x14ac:dyDescent="0.25">
      <c r="A3982" s="1" t="s">
        <v>5106</v>
      </c>
      <c r="B3982" s="2">
        <v>45503</v>
      </c>
      <c r="C3982" s="1" t="s">
        <v>195</v>
      </c>
      <c r="D3982" s="1" t="s">
        <v>28</v>
      </c>
      <c r="E3982" s="1" t="s">
        <v>68</v>
      </c>
      <c r="F3982" s="1" t="s">
        <v>84</v>
      </c>
      <c r="G3982" s="1" t="s">
        <v>57</v>
      </c>
      <c r="H3982" s="1" t="s">
        <v>122</v>
      </c>
      <c r="I3982" s="1">
        <v>355.89</v>
      </c>
      <c r="J3982" s="1">
        <v>4</v>
      </c>
      <c r="K3982" s="1">
        <v>1423.56</v>
      </c>
      <c r="L3982" s="1">
        <v>0</v>
      </c>
      <c r="M3982" s="1">
        <v>0</v>
      </c>
      <c r="N3982" s="1">
        <v>1423.56</v>
      </c>
      <c r="O3982" s="1" t="s">
        <v>33</v>
      </c>
      <c r="P3982" s="1" t="s">
        <v>295</v>
      </c>
      <c r="Q3982" s="1">
        <v>1</v>
      </c>
      <c r="R3982" s="1">
        <f>Retail_Sales_Analyis[[#This Row],[Final_Price]]-Retail_Sales_Analyis[[#This Row],[Total_Price]]</f>
        <v>0</v>
      </c>
      <c r="S39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83" spans="1:19" x14ac:dyDescent="0.25">
      <c r="A3983" s="1" t="s">
        <v>5107</v>
      </c>
      <c r="B3983" s="2">
        <v>45650</v>
      </c>
      <c r="C3983" s="1" t="s">
        <v>73</v>
      </c>
      <c r="D3983" s="1" t="s">
        <v>28</v>
      </c>
      <c r="E3983" s="1" t="s">
        <v>261</v>
      </c>
      <c r="F3983" s="1" t="s">
        <v>21</v>
      </c>
      <c r="G3983" s="1" t="s">
        <v>22</v>
      </c>
      <c r="H3983" s="1" t="s">
        <v>187</v>
      </c>
      <c r="I3983" s="1">
        <v>706.18</v>
      </c>
      <c r="J3983" s="1">
        <v>7</v>
      </c>
      <c r="K3983" s="1">
        <v>4943.26</v>
      </c>
      <c r="L3983" s="1">
        <v>5</v>
      </c>
      <c r="M3983" s="1">
        <v>247.16</v>
      </c>
      <c r="N3983" s="1">
        <v>4696.1000000000004</v>
      </c>
      <c r="O3983" s="1" t="s">
        <v>24</v>
      </c>
      <c r="P3983" s="1" t="s">
        <v>915</v>
      </c>
      <c r="Q3983" s="1">
        <v>5</v>
      </c>
      <c r="R3983" s="1">
        <f>Retail_Sales_Analyis[[#This Row],[Final_Price]]-Retail_Sales_Analyis[[#This Row],[Total_Price]]</f>
        <v>-247.15999999999985</v>
      </c>
      <c r="S39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84" spans="1:19" x14ac:dyDescent="0.25">
      <c r="A3984" s="1" t="s">
        <v>5108</v>
      </c>
      <c r="B3984" s="2">
        <v>45482</v>
      </c>
      <c r="C3984" s="1" t="s">
        <v>195</v>
      </c>
      <c r="D3984" s="1" t="s">
        <v>28</v>
      </c>
      <c r="E3984" s="1" t="s">
        <v>239</v>
      </c>
      <c r="F3984" s="1" t="s">
        <v>21</v>
      </c>
      <c r="G3984" s="1" t="s">
        <v>38</v>
      </c>
      <c r="H3984" s="1" t="s">
        <v>108</v>
      </c>
      <c r="I3984" s="1">
        <v>735.04</v>
      </c>
      <c r="J3984" s="1">
        <v>7</v>
      </c>
      <c r="K3984" s="1">
        <v>5145.28</v>
      </c>
      <c r="L3984" s="1">
        <v>0</v>
      </c>
      <c r="M3984" s="1">
        <v>0</v>
      </c>
      <c r="N3984" s="1">
        <v>5145.28</v>
      </c>
      <c r="O3984" s="1" t="s">
        <v>33</v>
      </c>
      <c r="P3984" s="1" t="s">
        <v>1280</v>
      </c>
      <c r="Q3984" s="1">
        <v>3</v>
      </c>
      <c r="R3984" s="1">
        <f>Retail_Sales_Analyis[[#This Row],[Final_Price]]-Retail_Sales_Analyis[[#This Row],[Total_Price]]</f>
        <v>0</v>
      </c>
      <c r="S39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85" spans="1:19" x14ac:dyDescent="0.25">
      <c r="A3985" s="1" t="s">
        <v>5109</v>
      </c>
      <c r="B3985" s="2">
        <v>45526</v>
      </c>
      <c r="C3985" s="1" t="s">
        <v>93</v>
      </c>
      <c r="D3985" s="1" t="s">
        <v>67</v>
      </c>
      <c r="E3985" s="1" t="s">
        <v>121</v>
      </c>
      <c r="F3985" s="1" t="s">
        <v>30</v>
      </c>
      <c r="G3985" s="1" t="s">
        <v>112</v>
      </c>
      <c r="H3985" s="1" t="s">
        <v>223</v>
      </c>
      <c r="I3985" s="1">
        <v>1250.6099999999999</v>
      </c>
      <c r="J3985" s="1">
        <v>3</v>
      </c>
      <c r="K3985" s="1">
        <v>3751.83</v>
      </c>
      <c r="L3985" s="1">
        <v>5</v>
      </c>
      <c r="M3985" s="1">
        <v>187.59</v>
      </c>
      <c r="N3985" s="1">
        <v>3564.24</v>
      </c>
      <c r="O3985" s="1" t="s">
        <v>64</v>
      </c>
      <c r="P3985" s="1" t="s">
        <v>2373</v>
      </c>
      <c r="Q3985" s="1">
        <v>2</v>
      </c>
      <c r="R3985" s="1">
        <f>Retail_Sales_Analyis[[#This Row],[Final_Price]]-Retail_Sales_Analyis[[#This Row],[Total_Price]]</f>
        <v>-187.59000000000015</v>
      </c>
      <c r="S398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86" spans="1:19" x14ac:dyDescent="0.25">
      <c r="A3986" s="1" t="s">
        <v>5110</v>
      </c>
      <c r="B3986" s="2">
        <v>45335</v>
      </c>
      <c r="C3986" s="1" t="s">
        <v>27</v>
      </c>
      <c r="D3986" s="1" t="s">
        <v>28</v>
      </c>
      <c r="E3986" s="1" t="s">
        <v>132</v>
      </c>
      <c r="F3986" s="1" t="s">
        <v>30</v>
      </c>
      <c r="G3986" s="1" t="s">
        <v>38</v>
      </c>
      <c r="H3986" s="1" t="s">
        <v>39</v>
      </c>
      <c r="I3986" s="1">
        <v>468.48</v>
      </c>
      <c r="J3986" s="1">
        <v>3</v>
      </c>
      <c r="K3986" s="1">
        <v>1405.44</v>
      </c>
      <c r="L3986" s="1">
        <v>20</v>
      </c>
      <c r="M3986" s="1">
        <v>281.08999999999997</v>
      </c>
      <c r="N3986" s="1">
        <v>1124.3499999999999</v>
      </c>
      <c r="O3986" s="1" t="s">
        <v>46</v>
      </c>
      <c r="P3986" s="1" t="s">
        <v>2997</v>
      </c>
      <c r="Q3986" s="1">
        <v>3</v>
      </c>
      <c r="R3986" s="1">
        <f>Retail_Sales_Analyis[[#This Row],[Final_Price]]-Retail_Sales_Analyis[[#This Row],[Total_Price]]</f>
        <v>-281.09000000000015</v>
      </c>
      <c r="S39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87" spans="1:19" x14ac:dyDescent="0.25">
      <c r="A3987" s="1" t="s">
        <v>5111</v>
      </c>
      <c r="B3987" s="2">
        <v>45589</v>
      </c>
      <c r="C3987" s="1" t="s">
        <v>76</v>
      </c>
      <c r="D3987" s="1" t="s">
        <v>67</v>
      </c>
      <c r="E3987" s="1" t="s">
        <v>62</v>
      </c>
      <c r="F3987" s="1" t="s">
        <v>21</v>
      </c>
      <c r="G3987" s="1" t="s">
        <v>78</v>
      </c>
      <c r="H3987" s="1" t="s">
        <v>126</v>
      </c>
      <c r="I3987" s="1">
        <v>434.94</v>
      </c>
      <c r="J3987" s="1">
        <v>6</v>
      </c>
      <c r="K3987" s="1">
        <v>2609.64</v>
      </c>
      <c r="L3987" s="1">
        <v>5</v>
      </c>
      <c r="M3987" s="1">
        <v>130.47999999999999</v>
      </c>
      <c r="N3987" s="1">
        <v>2479.16</v>
      </c>
      <c r="O3987" s="1" t="s">
        <v>46</v>
      </c>
      <c r="P3987" s="1" t="s">
        <v>1532</v>
      </c>
      <c r="Q3987" s="1">
        <v>2</v>
      </c>
      <c r="R3987" s="1">
        <f>Retail_Sales_Analyis[[#This Row],[Final_Price]]-Retail_Sales_Analyis[[#This Row],[Total_Price]]</f>
        <v>-130.48000000000002</v>
      </c>
      <c r="S39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88" spans="1:19" x14ac:dyDescent="0.25">
      <c r="A3988" s="1" t="s">
        <v>5112</v>
      </c>
      <c r="B3988" s="2">
        <v>45340</v>
      </c>
      <c r="C3988" s="1" t="s">
        <v>27</v>
      </c>
      <c r="D3988" s="1" t="s">
        <v>49</v>
      </c>
      <c r="E3988" s="1" t="s">
        <v>342</v>
      </c>
      <c r="F3988" s="1" t="s">
        <v>69</v>
      </c>
      <c r="G3988" s="1" t="s">
        <v>38</v>
      </c>
      <c r="H3988" s="1" t="s">
        <v>214</v>
      </c>
      <c r="I3988" s="1">
        <v>429.44</v>
      </c>
      <c r="J3988" s="1">
        <v>8</v>
      </c>
      <c r="K3988" s="1">
        <v>3435.52</v>
      </c>
      <c r="L3988" s="1">
        <v>20</v>
      </c>
      <c r="M3988" s="1">
        <v>687.1</v>
      </c>
      <c r="N3988" s="1">
        <v>2748.42</v>
      </c>
      <c r="O3988" s="1" t="s">
        <v>80</v>
      </c>
      <c r="P3988" s="1" t="s">
        <v>2838</v>
      </c>
      <c r="Q3988" s="1">
        <v>3</v>
      </c>
      <c r="R3988" s="1">
        <f>Retail_Sales_Analyis[[#This Row],[Final_Price]]-Retail_Sales_Analyis[[#This Row],[Total_Price]]</f>
        <v>-687.09999999999991</v>
      </c>
      <c r="S39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89" spans="1:19" x14ac:dyDescent="0.25">
      <c r="A3989" s="1" t="s">
        <v>5113</v>
      </c>
      <c r="B3989" s="2">
        <v>45550</v>
      </c>
      <c r="C3989" s="1" t="s">
        <v>116</v>
      </c>
      <c r="D3989" s="1" t="s">
        <v>49</v>
      </c>
      <c r="E3989" s="1" t="s">
        <v>151</v>
      </c>
      <c r="F3989" s="1" t="s">
        <v>84</v>
      </c>
      <c r="G3989" s="1" t="s">
        <v>22</v>
      </c>
      <c r="H3989" s="1" t="s">
        <v>277</v>
      </c>
      <c r="I3989" s="1">
        <v>818.75</v>
      </c>
      <c r="J3989" s="1">
        <v>6</v>
      </c>
      <c r="K3989" s="1">
        <v>4912.5</v>
      </c>
      <c r="L3989" s="1">
        <v>5</v>
      </c>
      <c r="M3989" s="1">
        <v>245.62</v>
      </c>
      <c r="N3989" s="1">
        <v>4666.88</v>
      </c>
      <c r="O3989" s="1" t="s">
        <v>64</v>
      </c>
      <c r="P3989" s="1" t="s">
        <v>2204</v>
      </c>
      <c r="Q3989" s="1">
        <v>4</v>
      </c>
      <c r="R3989" s="1">
        <f>Retail_Sales_Analyis[[#This Row],[Final_Price]]-Retail_Sales_Analyis[[#This Row],[Total_Price]]</f>
        <v>-245.61999999999989</v>
      </c>
      <c r="S39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3990" spans="1:19" x14ac:dyDescent="0.25">
      <c r="A3990" s="1" t="s">
        <v>5114</v>
      </c>
      <c r="B3990" s="2">
        <v>45360</v>
      </c>
      <c r="C3990" s="1" t="s">
        <v>61</v>
      </c>
      <c r="D3990" s="1" t="s">
        <v>19</v>
      </c>
      <c r="E3990" s="1" t="s">
        <v>94</v>
      </c>
      <c r="F3990" s="1" t="s">
        <v>69</v>
      </c>
      <c r="G3990" s="1" t="s">
        <v>78</v>
      </c>
      <c r="H3990" s="1" t="s">
        <v>146</v>
      </c>
      <c r="I3990" s="1">
        <v>298.62</v>
      </c>
      <c r="J3990" s="1">
        <v>3</v>
      </c>
      <c r="K3990" s="1">
        <v>895.86</v>
      </c>
      <c r="L3990" s="1">
        <v>0</v>
      </c>
      <c r="M3990" s="1">
        <v>0</v>
      </c>
      <c r="N3990" s="1">
        <v>895.86</v>
      </c>
      <c r="O3990" s="1" t="s">
        <v>46</v>
      </c>
      <c r="P3990" s="1" t="s">
        <v>81</v>
      </c>
      <c r="Q3990" s="1">
        <v>5</v>
      </c>
      <c r="R3990" s="1">
        <f>Retail_Sales_Analyis[[#This Row],[Final_Price]]-Retail_Sales_Analyis[[#This Row],[Total_Price]]</f>
        <v>0</v>
      </c>
      <c r="S39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91" spans="1:19" x14ac:dyDescent="0.25">
      <c r="A3991" s="1" t="s">
        <v>5115</v>
      </c>
      <c r="B3991" s="2">
        <v>45618</v>
      </c>
      <c r="C3991" s="1" t="s">
        <v>18</v>
      </c>
      <c r="D3991" s="1" t="s">
        <v>144</v>
      </c>
      <c r="E3991" s="1" t="s">
        <v>83</v>
      </c>
      <c r="F3991" s="1" t="s">
        <v>84</v>
      </c>
      <c r="G3991" s="1" t="s">
        <v>112</v>
      </c>
      <c r="H3991" s="1" t="s">
        <v>223</v>
      </c>
      <c r="I3991" s="1">
        <v>1489.51</v>
      </c>
      <c r="J3991" s="1">
        <v>6</v>
      </c>
      <c r="K3991" s="1">
        <v>8937.06</v>
      </c>
      <c r="L3991" s="1">
        <v>20</v>
      </c>
      <c r="M3991" s="1">
        <v>1787.41</v>
      </c>
      <c r="N3991" s="1">
        <v>7149.65</v>
      </c>
      <c r="O3991" s="1" t="s">
        <v>64</v>
      </c>
      <c r="P3991" s="1" t="s">
        <v>3184</v>
      </c>
      <c r="Q3991" s="1">
        <v>2</v>
      </c>
      <c r="R3991" s="1">
        <f>Retail_Sales_Analyis[[#This Row],[Final_Price]]-Retail_Sales_Analyis[[#This Row],[Total_Price]]</f>
        <v>-1787.4099999999999</v>
      </c>
      <c r="S39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3992" spans="1:19" x14ac:dyDescent="0.25">
      <c r="A3992" s="1" t="s">
        <v>5116</v>
      </c>
      <c r="B3992" s="2">
        <v>45493</v>
      </c>
      <c r="C3992" s="1" t="s">
        <v>195</v>
      </c>
      <c r="D3992" s="1" t="s">
        <v>19</v>
      </c>
      <c r="E3992" s="1" t="s">
        <v>50</v>
      </c>
      <c r="F3992" s="1" t="s">
        <v>69</v>
      </c>
      <c r="G3992" s="1" t="s">
        <v>85</v>
      </c>
      <c r="H3992" s="1" t="s">
        <v>90</v>
      </c>
      <c r="I3992" s="1">
        <v>2095</v>
      </c>
      <c r="J3992" s="1">
        <v>7</v>
      </c>
      <c r="K3992" s="1">
        <v>14665</v>
      </c>
      <c r="L3992" s="1">
        <v>0</v>
      </c>
      <c r="M3992" s="1">
        <v>0</v>
      </c>
      <c r="N3992" s="1">
        <v>14665</v>
      </c>
      <c r="O3992" s="1" t="s">
        <v>64</v>
      </c>
      <c r="P3992" s="1" t="s">
        <v>2060</v>
      </c>
      <c r="Q3992" s="1">
        <v>2</v>
      </c>
      <c r="R3992" s="1">
        <f>Retail_Sales_Analyis[[#This Row],[Final_Price]]-Retail_Sales_Analyis[[#This Row],[Total_Price]]</f>
        <v>0</v>
      </c>
      <c r="S39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93" spans="1:19" x14ac:dyDescent="0.25">
      <c r="A3993" s="1" t="s">
        <v>5117</v>
      </c>
      <c r="B3993" s="2">
        <v>45330</v>
      </c>
      <c r="C3993" s="1" t="s">
        <v>27</v>
      </c>
      <c r="D3993" s="1" t="s">
        <v>67</v>
      </c>
      <c r="E3993" s="1" t="s">
        <v>111</v>
      </c>
      <c r="F3993" s="1" t="s">
        <v>21</v>
      </c>
      <c r="G3993" s="1" t="s">
        <v>38</v>
      </c>
      <c r="H3993" s="1" t="s">
        <v>70</v>
      </c>
      <c r="I3993" s="1">
        <v>765.15</v>
      </c>
      <c r="J3993" s="1">
        <v>10</v>
      </c>
      <c r="K3993" s="1">
        <v>7651.5</v>
      </c>
      <c r="L3993" s="1">
        <v>10</v>
      </c>
      <c r="M3993" s="1">
        <v>765.15</v>
      </c>
      <c r="N3993" s="1">
        <v>6886.35</v>
      </c>
      <c r="O3993" s="1" t="s">
        <v>24</v>
      </c>
      <c r="P3993" s="1" t="s">
        <v>3689</v>
      </c>
      <c r="Q3993" s="1">
        <v>2</v>
      </c>
      <c r="R3993" s="1">
        <f>Retail_Sales_Analyis[[#This Row],[Final_Price]]-Retail_Sales_Analyis[[#This Row],[Total_Price]]</f>
        <v>-765.14999999999964</v>
      </c>
      <c r="S39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94" spans="1:19" x14ac:dyDescent="0.25">
      <c r="A3994" s="1" t="s">
        <v>5118</v>
      </c>
      <c r="B3994" s="2">
        <v>45595</v>
      </c>
      <c r="C3994" s="1" t="s">
        <v>76</v>
      </c>
      <c r="D3994" s="1" t="s">
        <v>55</v>
      </c>
      <c r="E3994" s="1" t="s">
        <v>174</v>
      </c>
      <c r="F3994" s="1" t="s">
        <v>37</v>
      </c>
      <c r="G3994" s="1" t="s">
        <v>78</v>
      </c>
      <c r="H3994" s="1" t="s">
        <v>323</v>
      </c>
      <c r="I3994" s="1">
        <v>167.12</v>
      </c>
      <c r="J3994" s="1">
        <v>1</v>
      </c>
      <c r="K3994" s="1">
        <v>167.12</v>
      </c>
      <c r="L3994" s="1">
        <v>0</v>
      </c>
      <c r="M3994" s="1">
        <v>0</v>
      </c>
      <c r="N3994" s="1">
        <v>167.12</v>
      </c>
      <c r="O3994" s="1" t="s">
        <v>80</v>
      </c>
      <c r="P3994" s="1" t="s">
        <v>1798</v>
      </c>
      <c r="Q3994" s="1">
        <v>3</v>
      </c>
      <c r="R3994" s="1">
        <f>Retail_Sales_Analyis[[#This Row],[Final_Price]]-Retail_Sales_Analyis[[#This Row],[Total_Price]]</f>
        <v>0</v>
      </c>
      <c r="S39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95" spans="1:19" x14ac:dyDescent="0.25">
      <c r="A3995" s="1" t="s">
        <v>5119</v>
      </c>
      <c r="B3995" s="2">
        <v>45582</v>
      </c>
      <c r="C3995" s="1" t="s">
        <v>76</v>
      </c>
      <c r="D3995" s="1" t="s">
        <v>67</v>
      </c>
      <c r="E3995" s="1" t="s">
        <v>166</v>
      </c>
      <c r="F3995" s="1" t="s">
        <v>21</v>
      </c>
      <c r="G3995" s="1" t="s">
        <v>169</v>
      </c>
      <c r="H3995" s="1" t="s">
        <v>366</v>
      </c>
      <c r="I3995" s="1">
        <v>639.44000000000005</v>
      </c>
      <c r="J3995" s="1">
        <v>7</v>
      </c>
      <c r="K3995" s="1">
        <v>4476.08</v>
      </c>
      <c r="L3995" s="1">
        <v>10</v>
      </c>
      <c r="M3995" s="1">
        <v>447.61</v>
      </c>
      <c r="N3995" s="1">
        <v>4028.47</v>
      </c>
      <c r="O3995" s="1" t="s">
        <v>46</v>
      </c>
      <c r="P3995" s="1" t="s">
        <v>1181</v>
      </c>
      <c r="Q3995" s="1">
        <v>4</v>
      </c>
      <c r="R3995" s="1">
        <f>Retail_Sales_Analyis[[#This Row],[Final_Price]]-Retail_Sales_Analyis[[#This Row],[Total_Price]]</f>
        <v>-447.61000000000013</v>
      </c>
      <c r="S39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96" spans="1:19" x14ac:dyDescent="0.25">
      <c r="A3996" s="1" t="s">
        <v>5120</v>
      </c>
      <c r="B3996" s="2">
        <v>45323</v>
      </c>
      <c r="C3996" s="1" t="s">
        <v>27</v>
      </c>
      <c r="D3996" s="1" t="s">
        <v>67</v>
      </c>
      <c r="E3996" s="1" t="s">
        <v>121</v>
      </c>
      <c r="F3996" s="1" t="s">
        <v>21</v>
      </c>
      <c r="G3996" s="1" t="s">
        <v>78</v>
      </c>
      <c r="H3996" s="1" t="s">
        <v>79</v>
      </c>
      <c r="I3996" s="1">
        <v>468.22</v>
      </c>
      <c r="J3996" s="1">
        <v>4</v>
      </c>
      <c r="K3996" s="1">
        <v>1872.88</v>
      </c>
      <c r="L3996" s="1">
        <v>15</v>
      </c>
      <c r="M3996" s="1">
        <v>280.93</v>
      </c>
      <c r="N3996" s="1">
        <v>1591.95</v>
      </c>
      <c r="O3996" s="1" t="s">
        <v>80</v>
      </c>
      <c r="P3996" s="1" t="s">
        <v>1134</v>
      </c>
      <c r="Q3996" s="1">
        <v>4</v>
      </c>
      <c r="R3996" s="1">
        <f>Retail_Sales_Analyis[[#This Row],[Final_Price]]-Retail_Sales_Analyis[[#This Row],[Total_Price]]</f>
        <v>-280.93000000000006</v>
      </c>
      <c r="S39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3997" spans="1:19" x14ac:dyDescent="0.25">
      <c r="A3997" s="1" t="s">
        <v>5121</v>
      </c>
      <c r="B3997" s="2">
        <v>45514</v>
      </c>
      <c r="C3997" s="1" t="s">
        <v>93</v>
      </c>
      <c r="D3997" s="1" t="s">
        <v>19</v>
      </c>
      <c r="E3997" s="1" t="s">
        <v>117</v>
      </c>
      <c r="F3997" s="1" t="s">
        <v>21</v>
      </c>
      <c r="G3997" s="1" t="s">
        <v>85</v>
      </c>
      <c r="H3997" s="1" t="s">
        <v>90</v>
      </c>
      <c r="I3997" s="1">
        <v>2137.2800000000002</v>
      </c>
      <c r="J3997" s="1">
        <v>2</v>
      </c>
      <c r="K3997" s="1">
        <v>4274.5600000000004</v>
      </c>
      <c r="L3997" s="1">
        <v>0</v>
      </c>
      <c r="M3997" s="1">
        <v>0</v>
      </c>
      <c r="N3997" s="1">
        <v>4274.5600000000004</v>
      </c>
      <c r="O3997" s="1" t="s">
        <v>64</v>
      </c>
      <c r="P3997" s="1" t="s">
        <v>695</v>
      </c>
      <c r="Q3997" s="1">
        <v>4</v>
      </c>
      <c r="R3997" s="1">
        <f>Retail_Sales_Analyis[[#This Row],[Final_Price]]-Retail_Sales_Analyis[[#This Row],[Total_Price]]</f>
        <v>0</v>
      </c>
      <c r="S39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98" spans="1:19" x14ac:dyDescent="0.25">
      <c r="A3998" s="1" t="s">
        <v>5122</v>
      </c>
      <c r="B3998" s="2">
        <v>45631</v>
      </c>
      <c r="C3998" s="1" t="s">
        <v>73</v>
      </c>
      <c r="D3998" s="1" t="s">
        <v>67</v>
      </c>
      <c r="E3998" s="1" t="s">
        <v>145</v>
      </c>
      <c r="F3998" s="1" t="s">
        <v>30</v>
      </c>
      <c r="G3998" s="1" t="s">
        <v>38</v>
      </c>
      <c r="H3998" s="1" t="s">
        <v>39</v>
      </c>
      <c r="I3998" s="1">
        <v>457.79</v>
      </c>
      <c r="J3998" s="1">
        <v>3</v>
      </c>
      <c r="K3998" s="1">
        <v>1373.37</v>
      </c>
      <c r="L3998" s="1">
        <v>0</v>
      </c>
      <c r="M3998" s="1">
        <v>0</v>
      </c>
      <c r="N3998" s="1">
        <v>1373.37</v>
      </c>
      <c r="O3998" s="1" t="s">
        <v>33</v>
      </c>
      <c r="P3998" s="1" t="s">
        <v>1305</v>
      </c>
      <c r="Q3998" s="1">
        <v>2</v>
      </c>
      <c r="R3998" s="1">
        <f>Retail_Sales_Analyis[[#This Row],[Final_Price]]-Retail_Sales_Analyis[[#This Row],[Total_Price]]</f>
        <v>0</v>
      </c>
      <c r="S39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3999" spans="1:19" x14ac:dyDescent="0.25">
      <c r="A3999" s="1" t="s">
        <v>5123</v>
      </c>
      <c r="B3999" s="2">
        <v>45358</v>
      </c>
      <c r="C3999" s="1" t="s">
        <v>61</v>
      </c>
      <c r="D3999" s="1" t="s">
        <v>67</v>
      </c>
      <c r="E3999" s="1" t="s">
        <v>186</v>
      </c>
      <c r="F3999" s="1" t="s">
        <v>69</v>
      </c>
      <c r="G3999" s="1" t="s">
        <v>22</v>
      </c>
      <c r="H3999" s="1" t="s">
        <v>133</v>
      </c>
      <c r="I3999" s="1">
        <v>255.16</v>
      </c>
      <c r="J3999" s="1">
        <v>10</v>
      </c>
      <c r="K3999" s="1">
        <v>2551.6</v>
      </c>
      <c r="L3999" s="1">
        <v>5</v>
      </c>
      <c r="M3999" s="1">
        <v>127.58</v>
      </c>
      <c r="N3999" s="1">
        <v>2424.02</v>
      </c>
      <c r="O3999" s="1" t="s">
        <v>80</v>
      </c>
      <c r="P3999" s="1" t="s">
        <v>1937</v>
      </c>
      <c r="Q3999" s="1">
        <v>4</v>
      </c>
      <c r="R3999" s="1">
        <f>Retail_Sales_Analyis[[#This Row],[Final_Price]]-Retail_Sales_Analyis[[#This Row],[Total_Price]]</f>
        <v>-127.57999999999993</v>
      </c>
      <c r="S39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00" spans="1:19" x14ac:dyDescent="0.25">
      <c r="A4000" s="1" t="s">
        <v>5124</v>
      </c>
      <c r="B4000" s="2">
        <v>45413</v>
      </c>
      <c r="C4000" s="1" t="s">
        <v>42</v>
      </c>
      <c r="D4000" s="1" t="s">
        <v>55</v>
      </c>
      <c r="E4000" s="1" t="s">
        <v>168</v>
      </c>
      <c r="F4000" s="1" t="s">
        <v>84</v>
      </c>
      <c r="G4000" s="1" t="s">
        <v>85</v>
      </c>
      <c r="H4000" s="1" t="s">
        <v>86</v>
      </c>
      <c r="I4000" s="1">
        <v>4607.74</v>
      </c>
      <c r="J4000" s="1">
        <v>10</v>
      </c>
      <c r="K4000" s="1">
        <v>46077.4</v>
      </c>
      <c r="L4000" s="1">
        <v>20</v>
      </c>
      <c r="M4000" s="1">
        <v>9215.48</v>
      </c>
      <c r="N4000" s="1">
        <v>36861.919999999998</v>
      </c>
      <c r="O4000" s="1" t="s">
        <v>64</v>
      </c>
      <c r="P4000" s="1" t="s">
        <v>181</v>
      </c>
      <c r="Q4000" s="1">
        <v>2</v>
      </c>
      <c r="R4000" s="1">
        <f>Retail_Sales_Analyis[[#This Row],[Final_Price]]-Retail_Sales_Analyis[[#This Row],[Total_Price]]</f>
        <v>-9215.4800000000032</v>
      </c>
      <c r="S40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01" spans="1:19" x14ac:dyDescent="0.25">
      <c r="A4001" s="1" t="s">
        <v>5125</v>
      </c>
      <c r="B4001" s="2">
        <v>45441</v>
      </c>
      <c r="C4001" s="1" t="s">
        <v>42</v>
      </c>
      <c r="D4001" s="1" t="s">
        <v>55</v>
      </c>
      <c r="E4001" s="1" t="s">
        <v>121</v>
      </c>
      <c r="F4001" s="1" t="s">
        <v>37</v>
      </c>
      <c r="G4001" s="1" t="s">
        <v>38</v>
      </c>
      <c r="H4001" s="1" t="s">
        <v>39</v>
      </c>
      <c r="I4001" s="1">
        <v>598.33000000000004</v>
      </c>
      <c r="J4001" s="1">
        <v>10</v>
      </c>
      <c r="K4001" s="1">
        <v>5983.3</v>
      </c>
      <c r="L4001" s="1">
        <v>0</v>
      </c>
      <c r="M4001" s="1">
        <v>0</v>
      </c>
      <c r="N4001" s="1">
        <v>5983.3</v>
      </c>
      <c r="O4001" s="1" t="s">
        <v>33</v>
      </c>
      <c r="P4001" s="1" t="s">
        <v>1423</v>
      </c>
      <c r="Q4001" s="1">
        <v>1</v>
      </c>
      <c r="R4001" s="1">
        <f>Retail_Sales_Analyis[[#This Row],[Final_Price]]-Retail_Sales_Analyis[[#This Row],[Total_Price]]</f>
        <v>0</v>
      </c>
      <c r="S40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02" spans="1:19" x14ac:dyDescent="0.25">
      <c r="A4002" s="1" t="s">
        <v>5126</v>
      </c>
      <c r="B4002" s="2">
        <v>45425</v>
      </c>
      <c r="C4002" s="1" t="s">
        <v>42</v>
      </c>
      <c r="D4002" s="1" t="s">
        <v>43</v>
      </c>
      <c r="E4002" s="1" t="s">
        <v>139</v>
      </c>
      <c r="F4002" s="1" t="s">
        <v>30</v>
      </c>
      <c r="G4002" s="1" t="s">
        <v>57</v>
      </c>
      <c r="H4002" s="1" t="s">
        <v>101</v>
      </c>
      <c r="I4002" s="1">
        <v>371.23</v>
      </c>
      <c r="J4002" s="1">
        <v>6</v>
      </c>
      <c r="K4002" s="1">
        <v>2227.38</v>
      </c>
      <c r="L4002" s="1">
        <v>0</v>
      </c>
      <c r="M4002" s="1">
        <v>0</v>
      </c>
      <c r="N4002" s="1">
        <v>2227.38</v>
      </c>
      <c r="O4002" s="1" t="s">
        <v>46</v>
      </c>
      <c r="P4002" s="1" t="s">
        <v>1830</v>
      </c>
      <c r="Q4002" s="1">
        <v>1</v>
      </c>
      <c r="R4002" s="1">
        <f>Retail_Sales_Analyis[[#This Row],[Final_Price]]-Retail_Sales_Analyis[[#This Row],[Total_Price]]</f>
        <v>0</v>
      </c>
      <c r="S40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03" spans="1:19" x14ac:dyDescent="0.25">
      <c r="A4003" s="1" t="s">
        <v>5127</v>
      </c>
      <c r="B4003" s="2">
        <v>45453</v>
      </c>
      <c r="C4003" s="1" t="s">
        <v>173</v>
      </c>
      <c r="D4003" s="1" t="s">
        <v>43</v>
      </c>
      <c r="E4003" s="1" t="s">
        <v>186</v>
      </c>
      <c r="F4003" s="1" t="s">
        <v>37</v>
      </c>
      <c r="G4003" s="1" t="s">
        <v>22</v>
      </c>
      <c r="H4003" s="1" t="s">
        <v>51</v>
      </c>
      <c r="I4003" s="1">
        <v>243.38</v>
      </c>
      <c r="J4003" s="1">
        <v>3</v>
      </c>
      <c r="K4003" s="1">
        <v>730.14</v>
      </c>
      <c r="L4003" s="1">
        <v>15</v>
      </c>
      <c r="M4003" s="1">
        <v>109.52</v>
      </c>
      <c r="N4003" s="1">
        <v>620.62</v>
      </c>
      <c r="O4003" s="1" t="s">
        <v>24</v>
      </c>
      <c r="P4003" s="1" t="s">
        <v>431</v>
      </c>
      <c r="Q4003" s="1">
        <v>5</v>
      </c>
      <c r="R4003" s="1">
        <f>Retail_Sales_Analyis[[#This Row],[Final_Price]]-Retail_Sales_Analyis[[#This Row],[Total_Price]]</f>
        <v>-109.51999999999998</v>
      </c>
      <c r="S40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04" spans="1:19" x14ac:dyDescent="0.25">
      <c r="A4004" s="1" t="s">
        <v>5128</v>
      </c>
      <c r="B4004" s="2">
        <v>45493</v>
      </c>
      <c r="C4004" s="1" t="s">
        <v>195</v>
      </c>
      <c r="D4004" s="1" t="s">
        <v>19</v>
      </c>
      <c r="E4004" s="1" t="s">
        <v>132</v>
      </c>
      <c r="F4004" s="1" t="s">
        <v>21</v>
      </c>
      <c r="G4004" s="1" t="s">
        <v>31</v>
      </c>
      <c r="H4004" s="1" t="s">
        <v>45</v>
      </c>
      <c r="I4004" s="1">
        <v>293.13</v>
      </c>
      <c r="J4004" s="1">
        <v>3</v>
      </c>
      <c r="K4004" s="1">
        <v>879.39</v>
      </c>
      <c r="L4004" s="1">
        <v>15</v>
      </c>
      <c r="M4004" s="1">
        <v>131.91</v>
      </c>
      <c r="N4004" s="1">
        <v>747.48</v>
      </c>
      <c r="O4004" s="1" t="s">
        <v>24</v>
      </c>
      <c r="P4004" s="1" t="s">
        <v>2520</v>
      </c>
      <c r="Q4004" s="1">
        <v>1</v>
      </c>
      <c r="R4004" s="1">
        <f>Retail_Sales_Analyis[[#This Row],[Final_Price]]-Retail_Sales_Analyis[[#This Row],[Total_Price]]</f>
        <v>-131.90999999999997</v>
      </c>
      <c r="S40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05" spans="1:19" x14ac:dyDescent="0.25">
      <c r="A4005" s="1" t="s">
        <v>5129</v>
      </c>
      <c r="B4005" s="2">
        <v>45650</v>
      </c>
      <c r="C4005" s="1" t="s">
        <v>73</v>
      </c>
      <c r="D4005" s="1" t="s">
        <v>28</v>
      </c>
      <c r="E4005" s="1" t="s">
        <v>56</v>
      </c>
      <c r="F4005" s="1" t="s">
        <v>21</v>
      </c>
      <c r="G4005" s="1" t="s">
        <v>22</v>
      </c>
      <c r="H4005" s="1" t="s">
        <v>51</v>
      </c>
      <c r="I4005" s="1">
        <v>779.89</v>
      </c>
      <c r="J4005" s="1">
        <v>7</v>
      </c>
      <c r="K4005" s="1">
        <v>5459.23</v>
      </c>
      <c r="L4005" s="1">
        <v>5</v>
      </c>
      <c r="M4005" s="1">
        <v>272.95999999999998</v>
      </c>
      <c r="N4005" s="1">
        <v>5186.2700000000004</v>
      </c>
      <c r="O4005" s="1" t="s">
        <v>33</v>
      </c>
      <c r="P4005" s="1" t="s">
        <v>2256</v>
      </c>
      <c r="Q4005" s="1">
        <v>4</v>
      </c>
      <c r="R4005" s="1">
        <f>Retail_Sales_Analyis[[#This Row],[Final_Price]]-Retail_Sales_Analyis[[#This Row],[Total_Price]]</f>
        <v>-272.95999999999913</v>
      </c>
      <c r="S400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06" spans="1:19" x14ac:dyDescent="0.25">
      <c r="A4006" s="1" t="s">
        <v>5130</v>
      </c>
      <c r="B4006" s="2">
        <v>45459</v>
      </c>
      <c r="C4006" s="1" t="s">
        <v>173</v>
      </c>
      <c r="D4006" s="1" t="s">
        <v>49</v>
      </c>
      <c r="E4006" s="1" t="s">
        <v>411</v>
      </c>
      <c r="F4006" s="1" t="s">
        <v>30</v>
      </c>
      <c r="G4006" s="1" t="s">
        <v>22</v>
      </c>
      <c r="H4006" s="1" t="s">
        <v>277</v>
      </c>
      <c r="I4006" s="1">
        <v>812.2</v>
      </c>
      <c r="J4006" s="1">
        <v>8</v>
      </c>
      <c r="K4006" s="1">
        <v>6497.6</v>
      </c>
      <c r="L4006" s="1">
        <v>5</v>
      </c>
      <c r="M4006" s="1">
        <v>324.88</v>
      </c>
      <c r="N4006" s="1">
        <v>6172.72</v>
      </c>
      <c r="O4006" s="1" t="s">
        <v>46</v>
      </c>
      <c r="P4006" s="1" t="s">
        <v>2621</v>
      </c>
      <c r="Q4006" s="1">
        <v>3</v>
      </c>
      <c r="R4006" s="1">
        <f>Retail_Sales_Analyis[[#This Row],[Final_Price]]-Retail_Sales_Analyis[[#This Row],[Total_Price]]</f>
        <v>-324.88000000000011</v>
      </c>
      <c r="S40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07" spans="1:19" x14ac:dyDescent="0.25">
      <c r="A4007" s="1" t="s">
        <v>5131</v>
      </c>
      <c r="B4007" s="2">
        <v>45454</v>
      </c>
      <c r="C4007" s="1" t="s">
        <v>173</v>
      </c>
      <c r="D4007" s="1" t="s">
        <v>28</v>
      </c>
      <c r="E4007" s="1" t="s">
        <v>168</v>
      </c>
      <c r="F4007" s="1" t="s">
        <v>30</v>
      </c>
      <c r="G4007" s="1" t="s">
        <v>112</v>
      </c>
      <c r="H4007" s="1" t="s">
        <v>113</v>
      </c>
      <c r="I4007" s="1">
        <v>875.29</v>
      </c>
      <c r="J4007" s="1">
        <v>9</v>
      </c>
      <c r="K4007" s="1">
        <v>7877.61</v>
      </c>
      <c r="L4007" s="1">
        <v>0</v>
      </c>
      <c r="M4007" s="1">
        <v>0</v>
      </c>
      <c r="N4007" s="1">
        <v>7877.61</v>
      </c>
      <c r="O4007" s="1" t="s">
        <v>80</v>
      </c>
      <c r="P4007" s="1" t="s">
        <v>1853</v>
      </c>
      <c r="Q4007" s="1">
        <v>3</v>
      </c>
      <c r="R4007" s="1">
        <f>Retail_Sales_Analyis[[#This Row],[Final_Price]]-Retail_Sales_Analyis[[#This Row],[Total_Price]]</f>
        <v>0</v>
      </c>
      <c r="S40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08" spans="1:19" x14ac:dyDescent="0.25">
      <c r="A4008" s="1" t="s">
        <v>5132</v>
      </c>
      <c r="B4008" s="2">
        <v>45523</v>
      </c>
      <c r="C4008" s="1" t="s">
        <v>93</v>
      </c>
      <c r="D4008" s="1" t="s">
        <v>43</v>
      </c>
      <c r="E4008" s="1" t="s">
        <v>145</v>
      </c>
      <c r="F4008" s="1" t="s">
        <v>84</v>
      </c>
      <c r="G4008" s="1" t="s">
        <v>78</v>
      </c>
      <c r="H4008" s="1" t="s">
        <v>79</v>
      </c>
      <c r="I4008" s="1">
        <v>198.55</v>
      </c>
      <c r="J4008" s="1">
        <v>1</v>
      </c>
      <c r="K4008" s="1">
        <v>198.55</v>
      </c>
      <c r="L4008" s="1">
        <v>0</v>
      </c>
      <c r="M4008" s="1">
        <v>0</v>
      </c>
      <c r="N4008" s="1">
        <v>198.55</v>
      </c>
      <c r="O4008" s="1" t="s">
        <v>33</v>
      </c>
      <c r="P4008" s="1" t="s">
        <v>1159</v>
      </c>
      <c r="Q4008" s="1">
        <v>5</v>
      </c>
      <c r="R4008" s="1">
        <f>Retail_Sales_Analyis[[#This Row],[Final_Price]]-Retail_Sales_Analyis[[#This Row],[Total_Price]]</f>
        <v>0</v>
      </c>
      <c r="S40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09" spans="1:19" x14ac:dyDescent="0.25">
      <c r="A4009" s="1" t="s">
        <v>5133</v>
      </c>
      <c r="B4009" s="2">
        <v>45431</v>
      </c>
      <c r="C4009" s="1" t="s">
        <v>42</v>
      </c>
      <c r="D4009" s="1" t="s">
        <v>49</v>
      </c>
      <c r="E4009" s="1" t="s">
        <v>186</v>
      </c>
      <c r="F4009" s="1" t="s">
        <v>21</v>
      </c>
      <c r="G4009" s="1" t="s">
        <v>78</v>
      </c>
      <c r="H4009" s="1" t="s">
        <v>146</v>
      </c>
      <c r="I4009" s="1">
        <v>255.77</v>
      </c>
      <c r="J4009" s="1">
        <v>1</v>
      </c>
      <c r="K4009" s="1">
        <v>255.77</v>
      </c>
      <c r="L4009" s="1">
        <v>10</v>
      </c>
      <c r="M4009" s="1">
        <v>25.58</v>
      </c>
      <c r="N4009" s="1">
        <v>230.19</v>
      </c>
      <c r="O4009" s="1" t="s">
        <v>80</v>
      </c>
      <c r="P4009" s="1" t="s">
        <v>1770</v>
      </c>
      <c r="Q4009" s="1">
        <v>2</v>
      </c>
      <c r="R4009" s="1">
        <f>Retail_Sales_Analyis[[#This Row],[Final_Price]]-Retail_Sales_Analyis[[#This Row],[Total_Price]]</f>
        <v>-25.580000000000013</v>
      </c>
      <c r="S40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10" spans="1:19" x14ac:dyDescent="0.25">
      <c r="A4010" s="1" t="s">
        <v>5134</v>
      </c>
      <c r="B4010" s="2">
        <v>45411</v>
      </c>
      <c r="C4010" s="1" t="s">
        <v>54</v>
      </c>
      <c r="D4010" s="1" t="s">
        <v>43</v>
      </c>
      <c r="E4010" s="1" t="s">
        <v>62</v>
      </c>
      <c r="F4010" s="1" t="s">
        <v>37</v>
      </c>
      <c r="G4010" s="1" t="s">
        <v>169</v>
      </c>
      <c r="H4010" s="1" t="s">
        <v>366</v>
      </c>
      <c r="I4010" s="1">
        <v>738.27</v>
      </c>
      <c r="J4010" s="1">
        <v>2</v>
      </c>
      <c r="K4010" s="1">
        <v>1476.54</v>
      </c>
      <c r="L4010" s="1">
        <v>0</v>
      </c>
      <c r="M4010" s="1">
        <v>0</v>
      </c>
      <c r="N4010" s="1">
        <v>1476.54</v>
      </c>
      <c r="O4010" s="1" t="s">
        <v>80</v>
      </c>
      <c r="P4010" s="1" t="s">
        <v>601</v>
      </c>
      <c r="Q4010" s="1">
        <v>3</v>
      </c>
      <c r="R4010" s="1">
        <f>Retail_Sales_Analyis[[#This Row],[Final_Price]]-Retail_Sales_Analyis[[#This Row],[Total_Price]]</f>
        <v>0</v>
      </c>
      <c r="S40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11" spans="1:19" x14ac:dyDescent="0.25">
      <c r="A4011" s="1" t="s">
        <v>5135</v>
      </c>
      <c r="B4011" s="2">
        <v>45330</v>
      </c>
      <c r="C4011" s="1" t="s">
        <v>27</v>
      </c>
      <c r="D4011" s="1" t="s">
        <v>67</v>
      </c>
      <c r="E4011" s="1" t="s">
        <v>157</v>
      </c>
      <c r="F4011" s="1" t="s">
        <v>69</v>
      </c>
      <c r="G4011" s="1" t="s">
        <v>112</v>
      </c>
      <c r="H4011" s="1" t="s">
        <v>113</v>
      </c>
      <c r="I4011" s="1">
        <v>1064.77</v>
      </c>
      <c r="J4011" s="1">
        <v>1</v>
      </c>
      <c r="K4011" s="1">
        <v>1064.77</v>
      </c>
      <c r="L4011" s="1">
        <v>5</v>
      </c>
      <c r="M4011" s="1">
        <v>53.24</v>
      </c>
      <c r="N4011" s="1">
        <v>1011.53</v>
      </c>
      <c r="O4011" s="1" t="s">
        <v>64</v>
      </c>
      <c r="P4011" s="1" t="s">
        <v>951</v>
      </c>
      <c r="Q4011" s="1">
        <v>4</v>
      </c>
      <c r="R4011" s="1">
        <f>Retail_Sales_Analyis[[#This Row],[Final_Price]]-Retail_Sales_Analyis[[#This Row],[Total_Price]]</f>
        <v>-53.240000000000009</v>
      </c>
      <c r="S40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12" spans="1:19" x14ac:dyDescent="0.25">
      <c r="A4012" s="1" t="s">
        <v>5136</v>
      </c>
      <c r="B4012" s="2">
        <v>45395</v>
      </c>
      <c r="C4012" s="1" t="s">
        <v>54</v>
      </c>
      <c r="D4012" s="1" t="s">
        <v>19</v>
      </c>
      <c r="E4012" s="1" t="s">
        <v>213</v>
      </c>
      <c r="F4012" s="1" t="s">
        <v>69</v>
      </c>
      <c r="G4012" s="1" t="s">
        <v>38</v>
      </c>
      <c r="H4012" s="1" t="s">
        <v>39</v>
      </c>
      <c r="I4012" s="1">
        <v>323.88</v>
      </c>
      <c r="J4012" s="1">
        <v>2</v>
      </c>
      <c r="K4012" s="1">
        <v>647.76</v>
      </c>
      <c r="L4012" s="1">
        <v>15</v>
      </c>
      <c r="M4012" s="1">
        <v>97.16</v>
      </c>
      <c r="N4012" s="1">
        <v>550.6</v>
      </c>
      <c r="O4012" s="1" t="s">
        <v>46</v>
      </c>
      <c r="P4012" s="1" t="s">
        <v>354</v>
      </c>
      <c r="Q4012" s="1">
        <v>3</v>
      </c>
      <c r="R4012" s="1">
        <f>Retail_Sales_Analyis[[#This Row],[Final_Price]]-Retail_Sales_Analyis[[#This Row],[Total_Price]]</f>
        <v>-97.159999999999968</v>
      </c>
      <c r="S401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13" spans="1:19" x14ac:dyDescent="0.25">
      <c r="A4013" s="1" t="s">
        <v>5137</v>
      </c>
      <c r="B4013" s="2">
        <v>45361</v>
      </c>
      <c r="C4013" s="1" t="s">
        <v>61</v>
      </c>
      <c r="D4013" s="1" t="s">
        <v>49</v>
      </c>
      <c r="E4013" s="1" t="s">
        <v>117</v>
      </c>
      <c r="F4013" s="1" t="s">
        <v>30</v>
      </c>
      <c r="G4013" s="1" t="s">
        <v>85</v>
      </c>
      <c r="H4013" s="1" t="s">
        <v>297</v>
      </c>
      <c r="I4013" s="1">
        <v>4730.18</v>
      </c>
      <c r="J4013" s="1">
        <v>7</v>
      </c>
      <c r="K4013" s="1">
        <v>33111.26</v>
      </c>
      <c r="L4013" s="1">
        <v>0</v>
      </c>
      <c r="M4013" s="1">
        <v>0</v>
      </c>
      <c r="N4013" s="1">
        <v>33111.26</v>
      </c>
      <c r="O4013" s="1" t="s">
        <v>80</v>
      </c>
      <c r="P4013" s="1" t="s">
        <v>613</v>
      </c>
      <c r="Q4013" s="1">
        <v>2</v>
      </c>
      <c r="R4013" s="1">
        <f>Retail_Sales_Analyis[[#This Row],[Final_Price]]-Retail_Sales_Analyis[[#This Row],[Total_Price]]</f>
        <v>0</v>
      </c>
      <c r="S40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14" spans="1:19" x14ac:dyDescent="0.25">
      <c r="A4014" s="1" t="s">
        <v>5138</v>
      </c>
      <c r="B4014" s="2">
        <v>45591</v>
      </c>
      <c r="C4014" s="1" t="s">
        <v>76</v>
      </c>
      <c r="D4014" s="1" t="s">
        <v>19</v>
      </c>
      <c r="E4014" s="1" t="s">
        <v>129</v>
      </c>
      <c r="F4014" s="1" t="s">
        <v>84</v>
      </c>
      <c r="G4014" s="1" t="s">
        <v>85</v>
      </c>
      <c r="H4014" s="1" t="s">
        <v>86</v>
      </c>
      <c r="I4014" s="1">
        <v>3789.05</v>
      </c>
      <c r="J4014" s="1">
        <v>10</v>
      </c>
      <c r="K4014" s="1">
        <v>37890.5</v>
      </c>
      <c r="L4014" s="1">
        <v>5</v>
      </c>
      <c r="M4014" s="1">
        <v>1894.53</v>
      </c>
      <c r="N4014" s="1">
        <v>35995.97</v>
      </c>
      <c r="O4014" s="1" t="s">
        <v>64</v>
      </c>
      <c r="P4014" s="1" t="s">
        <v>2715</v>
      </c>
      <c r="Q4014" s="1">
        <v>1</v>
      </c>
      <c r="R4014" s="1">
        <f>Retail_Sales_Analyis[[#This Row],[Final_Price]]-Retail_Sales_Analyis[[#This Row],[Total_Price]]</f>
        <v>-1894.5299999999988</v>
      </c>
      <c r="S40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15" spans="1:19" x14ac:dyDescent="0.25">
      <c r="A4015" s="1" t="s">
        <v>5139</v>
      </c>
      <c r="B4015" s="2">
        <v>45347</v>
      </c>
      <c r="C4015" s="1" t="s">
        <v>27</v>
      </c>
      <c r="D4015" s="1" t="s">
        <v>49</v>
      </c>
      <c r="E4015" s="1" t="s">
        <v>104</v>
      </c>
      <c r="F4015" s="1" t="s">
        <v>37</v>
      </c>
      <c r="G4015" s="1" t="s">
        <v>112</v>
      </c>
      <c r="H4015" s="1" t="s">
        <v>288</v>
      </c>
      <c r="I4015" s="1">
        <v>1350.18</v>
      </c>
      <c r="J4015" s="1">
        <v>8</v>
      </c>
      <c r="K4015" s="1">
        <v>10801.44</v>
      </c>
      <c r="L4015" s="1">
        <v>0</v>
      </c>
      <c r="M4015" s="1">
        <v>0</v>
      </c>
      <c r="N4015" s="1">
        <v>10801.44</v>
      </c>
      <c r="O4015" s="1" t="s">
        <v>46</v>
      </c>
      <c r="P4015" s="1" t="s">
        <v>230</v>
      </c>
      <c r="Q4015" s="1">
        <v>2</v>
      </c>
      <c r="R4015" s="1">
        <f>Retail_Sales_Analyis[[#This Row],[Final_Price]]-Retail_Sales_Analyis[[#This Row],[Total_Price]]</f>
        <v>0</v>
      </c>
      <c r="S40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16" spans="1:19" x14ac:dyDescent="0.25">
      <c r="A4016" s="1" t="s">
        <v>5140</v>
      </c>
      <c r="B4016" s="2">
        <v>45371</v>
      </c>
      <c r="C4016" s="1" t="s">
        <v>61</v>
      </c>
      <c r="D4016" s="1" t="s">
        <v>55</v>
      </c>
      <c r="E4016" s="1" t="s">
        <v>236</v>
      </c>
      <c r="F4016" s="1" t="s">
        <v>30</v>
      </c>
      <c r="G4016" s="1" t="s">
        <v>57</v>
      </c>
      <c r="H4016" s="1" t="s">
        <v>158</v>
      </c>
      <c r="I4016" s="1">
        <v>1620.29</v>
      </c>
      <c r="J4016" s="1">
        <v>4</v>
      </c>
      <c r="K4016" s="1">
        <v>6481.16</v>
      </c>
      <c r="L4016" s="1">
        <v>5</v>
      </c>
      <c r="M4016" s="1">
        <v>324.06</v>
      </c>
      <c r="N4016" s="1">
        <v>6157.1</v>
      </c>
      <c r="O4016" s="1" t="s">
        <v>33</v>
      </c>
      <c r="P4016" s="1" t="s">
        <v>447</v>
      </c>
      <c r="Q4016" s="1">
        <v>1</v>
      </c>
      <c r="R4016" s="1">
        <f>Retail_Sales_Analyis[[#This Row],[Final_Price]]-Retail_Sales_Analyis[[#This Row],[Total_Price]]</f>
        <v>-324.05999999999949</v>
      </c>
      <c r="S40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17" spans="1:19" x14ac:dyDescent="0.25">
      <c r="A4017" s="1" t="s">
        <v>5141</v>
      </c>
      <c r="B4017" s="2">
        <v>45346</v>
      </c>
      <c r="C4017" s="1" t="s">
        <v>27</v>
      </c>
      <c r="D4017" s="1" t="s">
        <v>19</v>
      </c>
      <c r="E4017" s="1" t="s">
        <v>104</v>
      </c>
      <c r="F4017" s="1" t="s">
        <v>84</v>
      </c>
      <c r="G4017" s="1" t="s">
        <v>85</v>
      </c>
      <c r="H4017" s="1" t="s">
        <v>90</v>
      </c>
      <c r="I4017" s="1">
        <v>2057.87</v>
      </c>
      <c r="J4017" s="1">
        <v>9</v>
      </c>
      <c r="K4017" s="1">
        <v>18520.830000000002</v>
      </c>
      <c r="L4017" s="1">
        <v>10</v>
      </c>
      <c r="M4017" s="1">
        <v>1852.08</v>
      </c>
      <c r="N4017" s="1">
        <v>16668.75</v>
      </c>
      <c r="O4017" s="1" t="s">
        <v>24</v>
      </c>
      <c r="P4017" s="1" t="s">
        <v>3876</v>
      </c>
      <c r="Q4017" s="1">
        <v>5</v>
      </c>
      <c r="R4017" s="1">
        <f>Retail_Sales_Analyis[[#This Row],[Final_Price]]-Retail_Sales_Analyis[[#This Row],[Total_Price]]</f>
        <v>-1852.0800000000017</v>
      </c>
      <c r="S40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18" spans="1:19" x14ac:dyDescent="0.25">
      <c r="A4018" s="1" t="s">
        <v>5142</v>
      </c>
      <c r="B4018" s="2">
        <v>45376</v>
      </c>
      <c r="C4018" s="1" t="s">
        <v>61</v>
      </c>
      <c r="D4018" s="1" t="s">
        <v>43</v>
      </c>
      <c r="E4018" s="1" t="s">
        <v>132</v>
      </c>
      <c r="F4018" s="1" t="s">
        <v>37</v>
      </c>
      <c r="G4018" s="1" t="s">
        <v>38</v>
      </c>
      <c r="H4018" s="1" t="s">
        <v>70</v>
      </c>
      <c r="I4018" s="1">
        <v>350.77</v>
      </c>
      <c r="J4018" s="1">
        <v>2</v>
      </c>
      <c r="K4018" s="1">
        <v>701.54</v>
      </c>
      <c r="L4018" s="1">
        <v>5</v>
      </c>
      <c r="M4018" s="1">
        <v>35.08</v>
      </c>
      <c r="N4018" s="1">
        <v>666.46</v>
      </c>
      <c r="O4018" s="1" t="s">
        <v>46</v>
      </c>
      <c r="P4018" s="1" t="s">
        <v>1238</v>
      </c>
      <c r="Q4018" s="1">
        <v>5</v>
      </c>
      <c r="R4018" s="1">
        <f>Retail_Sales_Analyis[[#This Row],[Final_Price]]-Retail_Sales_Analyis[[#This Row],[Total_Price]]</f>
        <v>-35.079999999999927</v>
      </c>
      <c r="S40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19" spans="1:19" x14ac:dyDescent="0.25">
      <c r="A4019" s="1" t="s">
        <v>5143</v>
      </c>
      <c r="B4019" s="2">
        <v>45522</v>
      </c>
      <c r="C4019" s="1" t="s">
        <v>93</v>
      </c>
      <c r="D4019" s="1" t="s">
        <v>49</v>
      </c>
      <c r="E4019" s="1" t="s">
        <v>302</v>
      </c>
      <c r="F4019" s="1" t="s">
        <v>30</v>
      </c>
      <c r="G4019" s="1" t="s">
        <v>38</v>
      </c>
      <c r="H4019" s="1" t="s">
        <v>422</v>
      </c>
      <c r="I4019" s="1">
        <v>685.35</v>
      </c>
      <c r="J4019" s="1">
        <v>7</v>
      </c>
      <c r="K4019" s="1">
        <v>4797.45</v>
      </c>
      <c r="L4019" s="1">
        <v>15</v>
      </c>
      <c r="M4019" s="1">
        <v>719.62</v>
      </c>
      <c r="N4019" s="1">
        <v>4077.83</v>
      </c>
      <c r="O4019" s="1" t="s">
        <v>46</v>
      </c>
      <c r="P4019" s="1" t="s">
        <v>1100</v>
      </c>
      <c r="Q4019" s="1">
        <v>3</v>
      </c>
      <c r="R4019" s="1">
        <f>Retail_Sales_Analyis[[#This Row],[Final_Price]]-Retail_Sales_Analyis[[#This Row],[Total_Price]]</f>
        <v>-719.61999999999989</v>
      </c>
      <c r="S40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20" spans="1:19" x14ac:dyDescent="0.25">
      <c r="A4020" s="1" t="s">
        <v>5144</v>
      </c>
      <c r="B4020" s="2">
        <v>45530</v>
      </c>
      <c r="C4020" s="1" t="s">
        <v>93</v>
      </c>
      <c r="D4020" s="1" t="s">
        <v>43</v>
      </c>
      <c r="E4020" s="1" t="s">
        <v>192</v>
      </c>
      <c r="F4020" s="1" t="s">
        <v>30</v>
      </c>
      <c r="G4020" s="1" t="s">
        <v>78</v>
      </c>
      <c r="H4020" s="1" t="s">
        <v>146</v>
      </c>
      <c r="I4020" s="1">
        <v>257.22000000000003</v>
      </c>
      <c r="J4020" s="1">
        <v>10</v>
      </c>
      <c r="K4020" s="1">
        <v>2572.1999999999998</v>
      </c>
      <c r="L4020" s="1">
        <v>0</v>
      </c>
      <c r="M4020" s="1">
        <v>0</v>
      </c>
      <c r="N4020" s="1">
        <v>2572.1999999999998</v>
      </c>
      <c r="O4020" s="1" t="s">
        <v>24</v>
      </c>
      <c r="P4020" s="1" t="s">
        <v>3536</v>
      </c>
      <c r="Q4020" s="1">
        <v>3</v>
      </c>
      <c r="R4020" s="1">
        <f>Retail_Sales_Analyis[[#This Row],[Final_Price]]-Retail_Sales_Analyis[[#This Row],[Total_Price]]</f>
        <v>0</v>
      </c>
      <c r="S40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21" spans="1:19" x14ac:dyDescent="0.25">
      <c r="A4021" s="1" t="s">
        <v>5145</v>
      </c>
      <c r="B4021" s="2">
        <v>45452</v>
      </c>
      <c r="C4021" s="1" t="s">
        <v>173</v>
      </c>
      <c r="D4021" s="1" t="s">
        <v>49</v>
      </c>
      <c r="E4021" s="1" t="s">
        <v>307</v>
      </c>
      <c r="F4021" s="1" t="s">
        <v>30</v>
      </c>
      <c r="G4021" s="1" t="s">
        <v>38</v>
      </c>
      <c r="H4021" s="1" t="s">
        <v>214</v>
      </c>
      <c r="I4021" s="1">
        <v>784.81</v>
      </c>
      <c r="J4021" s="1">
        <v>9</v>
      </c>
      <c r="K4021" s="1">
        <v>7063.29</v>
      </c>
      <c r="L4021" s="1">
        <v>5</v>
      </c>
      <c r="M4021" s="1">
        <v>353.16</v>
      </c>
      <c r="N4021" s="1">
        <v>6710.13</v>
      </c>
      <c r="O4021" s="1" t="s">
        <v>33</v>
      </c>
      <c r="P4021" s="1" t="s">
        <v>2376</v>
      </c>
      <c r="Q4021" s="1">
        <v>5</v>
      </c>
      <c r="R4021" s="1">
        <f>Retail_Sales_Analyis[[#This Row],[Final_Price]]-Retail_Sales_Analyis[[#This Row],[Total_Price]]</f>
        <v>-353.15999999999985</v>
      </c>
      <c r="S40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22" spans="1:19" x14ac:dyDescent="0.25">
      <c r="A4022" s="1" t="s">
        <v>5146</v>
      </c>
      <c r="B4022" s="2">
        <v>45500</v>
      </c>
      <c r="C4022" s="1" t="s">
        <v>195</v>
      </c>
      <c r="D4022" s="1" t="s">
        <v>19</v>
      </c>
      <c r="E4022" s="1" t="s">
        <v>89</v>
      </c>
      <c r="F4022" s="1" t="s">
        <v>30</v>
      </c>
      <c r="G4022" s="1" t="s">
        <v>31</v>
      </c>
      <c r="H4022" s="1" t="s">
        <v>329</v>
      </c>
      <c r="I4022" s="1">
        <v>404.36</v>
      </c>
      <c r="J4022" s="1">
        <v>9</v>
      </c>
      <c r="K4022" s="1">
        <v>3639.24</v>
      </c>
      <c r="L4022" s="1">
        <v>10</v>
      </c>
      <c r="M4022" s="1">
        <v>363.92</v>
      </c>
      <c r="N4022" s="1">
        <v>3275.32</v>
      </c>
      <c r="O4022" s="1" t="s">
        <v>33</v>
      </c>
      <c r="P4022" s="1" t="s">
        <v>300</v>
      </c>
      <c r="Q4022" s="1">
        <v>4</v>
      </c>
      <c r="R4022" s="1">
        <f>Retail_Sales_Analyis[[#This Row],[Final_Price]]-Retail_Sales_Analyis[[#This Row],[Total_Price]]</f>
        <v>-363.91999999999962</v>
      </c>
      <c r="S40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23" spans="1:19" x14ac:dyDescent="0.25">
      <c r="A4023" s="1" t="s">
        <v>5147</v>
      </c>
      <c r="B4023" s="2">
        <v>45353</v>
      </c>
      <c r="C4023" s="1" t="s">
        <v>61</v>
      </c>
      <c r="D4023" s="1" t="s">
        <v>19</v>
      </c>
      <c r="E4023" s="1" t="s">
        <v>117</v>
      </c>
      <c r="F4023" s="1" t="s">
        <v>84</v>
      </c>
      <c r="G4023" s="1" t="s">
        <v>112</v>
      </c>
      <c r="H4023" s="1" t="s">
        <v>223</v>
      </c>
      <c r="I4023" s="1">
        <v>1839.94</v>
      </c>
      <c r="J4023" s="1">
        <v>5</v>
      </c>
      <c r="K4023" s="1">
        <v>9199.7000000000007</v>
      </c>
      <c r="L4023" s="1">
        <v>5</v>
      </c>
      <c r="M4023" s="1">
        <v>459.99</v>
      </c>
      <c r="N4023" s="1">
        <v>8739.7099999999991</v>
      </c>
      <c r="O4023" s="1" t="s">
        <v>33</v>
      </c>
      <c r="P4023" s="1" t="s">
        <v>3770</v>
      </c>
      <c r="Q4023" s="1">
        <v>1</v>
      </c>
      <c r="R4023" s="1">
        <f>Retail_Sales_Analyis[[#This Row],[Final_Price]]-Retail_Sales_Analyis[[#This Row],[Total_Price]]</f>
        <v>-459.9900000000016</v>
      </c>
      <c r="S40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24" spans="1:19" x14ac:dyDescent="0.25">
      <c r="A4024" s="1" t="s">
        <v>5148</v>
      </c>
      <c r="B4024" s="2">
        <v>45566</v>
      </c>
      <c r="C4024" s="1" t="s">
        <v>76</v>
      </c>
      <c r="D4024" s="1" t="s">
        <v>28</v>
      </c>
      <c r="E4024" s="1" t="s">
        <v>168</v>
      </c>
      <c r="F4024" s="1" t="s">
        <v>37</v>
      </c>
      <c r="G4024" s="1" t="s">
        <v>57</v>
      </c>
      <c r="H4024" s="1" t="s">
        <v>58</v>
      </c>
      <c r="I4024" s="1">
        <v>1572.26</v>
      </c>
      <c r="J4024" s="1">
        <v>6</v>
      </c>
      <c r="K4024" s="1">
        <v>9433.56</v>
      </c>
      <c r="L4024" s="1">
        <v>0</v>
      </c>
      <c r="M4024" s="1">
        <v>0</v>
      </c>
      <c r="N4024" s="1">
        <v>9433.56</v>
      </c>
      <c r="O4024" s="1" t="s">
        <v>64</v>
      </c>
      <c r="P4024" s="1" t="s">
        <v>1248</v>
      </c>
      <c r="Q4024" s="1">
        <v>5</v>
      </c>
      <c r="R4024" s="1">
        <f>Retail_Sales_Analyis[[#This Row],[Final_Price]]-Retail_Sales_Analyis[[#This Row],[Total_Price]]</f>
        <v>0</v>
      </c>
      <c r="S40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25" spans="1:19" x14ac:dyDescent="0.25">
      <c r="A4025" s="1" t="s">
        <v>5149</v>
      </c>
      <c r="B4025" s="2">
        <v>45475</v>
      </c>
      <c r="C4025" s="1" t="s">
        <v>195</v>
      </c>
      <c r="D4025" s="1" t="s">
        <v>28</v>
      </c>
      <c r="E4025" s="1" t="s">
        <v>199</v>
      </c>
      <c r="F4025" s="1" t="s">
        <v>69</v>
      </c>
      <c r="G4025" s="1" t="s">
        <v>38</v>
      </c>
      <c r="H4025" s="1" t="s">
        <v>39</v>
      </c>
      <c r="I4025" s="1">
        <v>423</v>
      </c>
      <c r="J4025" s="1">
        <v>1</v>
      </c>
      <c r="K4025" s="1">
        <v>423</v>
      </c>
      <c r="L4025" s="1">
        <v>20</v>
      </c>
      <c r="M4025" s="1">
        <v>84.6</v>
      </c>
      <c r="N4025" s="1">
        <v>338.4</v>
      </c>
      <c r="O4025" s="1" t="s">
        <v>33</v>
      </c>
      <c r="P4025" s="1" t="s">
        <v>745</v>
      </c>
      <c r="Q4025" s="1">
        <v>2</v>
      </c>
      <c r="R4025" s="1">
        <f>Retail_Sales_Analyis[[#This Row],[Final_Price]]-Retail_Sales_Analyis[[#This Row],[Total_Price]]</f>
        <v>-84.600000000000023</v>
      </c>
      <c r="S40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26" spans="1:19" x14ac:dyDescent="0.25">
      <c r="A4026" s="1" t="s">
        <v>5150</v>
      </c>
      <c r="B4026" s="2">
        <v>45398</v>
      </c>
      <c r="C4026" s="1" t="s">
        <v>54</v>
      </c>
      <c r="D4026" s="1" t="s">
        <v>28</v>
      </c>
      <c r="E4026" s="1" t="s">
        <v>117</v>
      </c>
      <c r="F4026" s="1" t="s">
        <v>69</v>
      </c>
      <c r="G4026" s="1" t="s">
        <v>57</v>
      </c>
      <c r="H4026" s="1" t="s">
        <v>152</v>
      </c>
      <c r="I4026" s="1">
        <v>1358.1</v>
      </c>
      <c r="J4026" s="1">
        <v>4</v>
      </c>
      <c r="K4026" s="1">
        <v>5432.4</v>
      </c>
      <c r="L4026" s="1">
        <v>15</v>
      </c>
      <c r="M4026" s="1">
        <v>814.86</v>
      </c>
      <c r="N4026" s="1">
        <v>4617.54</v>
      </c>
      <c r="O4026" s="1" t="s">
        <v>46</v>
      </c>
      <c r="P4026" s="1" t="s">
        <v>2228</v>
      </c>
      <c r="Q4026" s="1">
        <v>1</v>
      </c>
      <c r="R4026" s="1">
        <f>Retail_Sales_Analyis[[#This Row],[Final_Price]]-Retail_Sales_Analyis[[#This Row],[Total_Price]]</f>
        <v>-814.85999999999967</v>
      </c>
      <c r="S40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27" spans="1:19" x14ac:dyDescent="0.25">
      <c r="A4027" s="1" t="s">
        <v>5151</v>
      </c>
      <c r="B4027" s="2">
        <v>45523</v>
      </c>
      <c r="C4027" s="1" t="s">
        <v>93</v>
      </c>
      <c r="D4027" s="1" t="s">
        <v>43</v>
      </c>
      <c r="E4027" s="1" t="s">
        <v>129</v>
      </c>
      <c r="F4027" s="1" t="s">
        <v>69</v>
      </c>
      <c r="G4027" s="1" t="s">
        <v>85</v>
      </c>
      <c r="H4027" s="1" t="s">
        <v>297</v>
      </c>
      <c r="I4027" s="1">
        <v>2541.36</v>
      </c>
      <c r="J4027" s="1">
        <v>5</v>
      </c>
      <c r="K4027" s="1">
        <v>12706.8</v>
      </c>
      <c r="L4027" s="1">
        <v>0</v>
      </c>
      <c r="M4027" s="1">
        <v>0</v>
      </c>
      <c r="N4027" s="1">
        <v>12706.8</v>
      </c>
      <c r="O4027" s="1" t="s">
        <v>33</v>
      </c>
      <c r="P4027" s="1" t="s">
        <v>3228</v>
      </c>
      <c r="Q4027" s="1">
        <v>3</v>
      </c>
      <c r="R4027" s="1">
        <f>Retail_Sales_Analyis[[#This Row],[Final_Price]]-Retail_Sales_Analyis[[#This Row],[Total_Price]]</f>
        <v>0</v>
      </c>
      <c r="S40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28" spans="1:19" x14ac:dyDescent="0.25">
      <c r="A4028" s="1" t="s">
        <v>5152</v>
      </c>
      <c r="B4028" s="2">
        <v>45449</v>
      </c>
      <c r="C4028" s="1" t="s">
        <v>173</v>
      </c>
      <c r="D4028" s="1" t="s">
        <v>67</v>
      </c>
      <c r="E4028" s="1" t="s">
        <v>174</v>
      </c>
      <c r="F4028" s="1" t="s">
        <v>69</v>
      </c>
      <c r="G4028" s="1" t="s">
        <v>38</v>
      </c>
      <c r="H4028" s="1" t="s">
        <v>214</v>
      </c>
      <c r="I4028" s="1">
        <v>602.29</v>
      </c>
      <c r="J4028" s="1">
        <v>4</v>
      </c>
      <c r="K4028" s="1">
        <v>2409.16</v>
      </c>
      <c r="L4028" s="1">
        <v>20</v>
      </c>
      <c r="M4028" s="1">
        <v>481.83</v>
      </c>
      <c r="N4028" s="1">
        <v>1927.33</v>
      </c>
      <c r="O4028" s="1" t="s">
        <v>64</v>
      </c>
      <c r="P4028" s="1" t="s">
        <v>1683</v>
      </c>
      <c r="Q4028" s="1">
        <v>5</v>
      </c>
      <c r="R4028" s="1">
        <f>Retail_Sales_Analyis[[#This Row],[Final_Price]]-Retail_Sales_Analyis[[#This Row],[Total_Price]]</f>
        <v>-481.82999999999993</v>
      </c>
      <c r="S402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29" spans="1:19" x14ac:dyDescent="0.25">
      <c r="A4029" s="1" t="s">
        <v>5153</v>
      </c>
      <c r="B4029" s="2">
        <v>45529</v>
      </c>
      <c r="C4029" s="1" t="s">
        <v>93</v>
      </c>
      <c r="D4029" s="1" t="s">
        <v>49</v>
      </c>
      <c r="E4029" s="1" t="s">
        <v>213</v>
      </c>
      <c r="F4029" s="1" t="s">
        <v>37</v>
      </c>
      <c r="G4029" s="1" t="s">
        <v>78</v>
      </c>
      <c r="H4029" s="1" t="s">
        <v>79</v>
      </c>
      <c r="I4029" s="1">
        <v>581.76</v>
      </c>
      <c r="J4029" s="1">
        <v>1</v>
      </c>
      <c r="K4029" s="1">
        <v>581.76</v>
      </c>
      <c r="L4029" s="1">
        <v>5</v>
      </c>
      <c r="M4029" s="1">
        <v>29.09</v>
      </c>
      <c r="N4029" s="1">
        <v>552.66999999999996</v>
      </c>
      <c r="O4029" s="1" t="s">
        <v>33</v>
      </c>
      <c r="P4029" s="1" t="s">
        <v>800</v>
      </c>
      <c r="Q4029" s="1">
        <v>5</v>
      </c>
      <c r="R4029" s="1">
        <f>Retail_Sales_Analyis[[#This Row],[Final_Price]]-Retail_Sales_Analyis[[#This Row],[Total_Price]]</f>
        <v>-29.090000000000032</v>
      </c>
      <c r="S40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30" spans="1:19" x14ac:dyDescent="0.25">
      <c r="A4030" s="1" t="s">
        <v>5154</v>
      </c>
      <c r="B4030" s="2">
        <v>45427</v>
      </c>
      <c r="C4030" s="1" t="s">
        <v>42</v>
      </c>
      <c r="D4030" s="1" t="s">
        <v>55</v>
      </c>
      <c r="E4030" s="1" t="s">
        <v>239</v>
      </c>
      <c r="F4030" s="1" t="s">
        <v>69</v>
      </c>
      <c r="G4030" s="1" t="s">
        <v>78</v>
      </c>
      <c r="H4030" s="1" t="s">
        <v>136</v>
      </c>
      <c r="I4030" s="1">
        <v>199.42</v>
      </c>
      <c r="J4030" s="1">
        <v>6</v>
      </c>
      <c r="K4030" s="1">
        <v>1196.52</v>
      </c>
      <c r="L4030" s="1">
        <v>0</v>
      </c>
      <c r="M4030" s="1">
        <v>0</v>
      </c>
      <c r="N4030" s="1">
        <v>1196.52</v>
      </c>
      <c r="O4030" s="1" t="s">
        <v>33</v>
      </c>
      <c r="P4030" s="1" t="s">
        <v>1865</v>
      </c>
      <c r="Q4030" s="1">
        <v>4</v>
      </c>
      <c r="R4030" s="1">
        <f>Retail_Sales_Analyis[[#This Row],[Final_Price]]-Retail_Sales_Analyis[[#This Row],[Total_Price]]</f>
        <v>0</v>
      </c>
      <c r="S40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31" spans="1:19" x14ac:dyDescent="0.25">
      <c r="A4031" s="1" t="s">
        <v>5155</v>
      </c>
      <c r="B4031" s="2">
        <v>45353</v>
      </c>
      <c r="C4031" s="1" t="s">
        <v>61</v>
      </c>
      <c r="D4031" s="1" t="s">
        <v>19</v>
      </c>
      <c r="E4031" s="1" t="s">
        <v>151</v>
      </c>
      <c r="F4031" s="1" t="s">
        <v>69</v>
      </c>
      <c r="G4031" s="1" t="s">
        <v>38</v>
      </c>
      <c r="H4031" s="1" t="s">
        <v>39</v>
      </c>
      <c r="I4031" s="1">
        <v>495.97</v>
      </c>
      <c r="J4031" s="1">
        <v>7</v>
      </c>
      <c r="K4031" s="1">
        <v>3471.79</v>
      </c>
      <c r="L4031" s="1">
        <v>15</v>
      </c>
      <c r="M4031" s="1">
        <v>520.77</v>
      </c>
      <c r="N4031" s="1">
        <v>2951.02</v>
      </c>
      <c r="O4031" s="1" t="s">
        <v>64</v>
      </c>
      <c r="P4031" s="1" t="s">
        <v>2371</v>
      </c>
      <c r="Q4031" s="1">
        <v>4</v>
      </c>
      <c r="R4031" s="1">
        <f>Retail_Sales_Analyis[[#This Row],[Final_Price]]-Retail_Sales_Analyis[[#This Row],[Total_Price]]</f>
        <v>-520.77</v>
      </c>
      <c r="S40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32" spans="1:19" x14ac:dyDescent="0.25">
      <c r="A4032" s="1" t="s">
        <v>5156</v>
      </c>
      <c r="B4032" s="2">
        <v>45338</v>
      </c>
      <c r="C4032" s="1" t="s">
        <v>27</v>
      </c>
      <c r="D4032" s="1" t="s">
        <v>144</v>
      </c>
      <c r="E4032" s="1" t="s">
        <v>322</v>
      </c>
      <c r="F4032" s="1" t="s">
        <v>37</v>
      </c>
      <c r="G4032" s="1" t="s">
        <v>112</v>
      </c>
      <c r="H4032" s="1" t="s">
        <v>118</v>
      </c>
      <c r="I4032" s="1">
        <v>1353.01</v>
      </c>
      <c r="J4032" s="1">
        <v>6</v>
      </c>
      <c r="K4032" s="1">
        <v>8118.06</v>
      </c>
      <c r="L4032" s="1">
        <v>0</v>
      </c>
      <c r="M4032" s="1">
        <v>0</v>
      </c>
      <c r="N4032" s="1">
        <v>8118.06</v>
      </c>
      <c r="O4032" s="1" t="s">
        <v>24</v>
      </c>
      <c r="P4032" s="1" t="s">
        <v>1037</v>
      </c>
      <c r="Q4032" s="1">
        <v>4</v>
      </c>
      <c r="R4032" s="1">
        <f>Retail_Sales_Analyis[[#This Row],[Final_Price]]-Retail_Sales_Analyis[[#This Row],[Total_Price]]</f>
        <v>0</v>
      </c>
      <c r="S40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33" spans="1:19" x14ac:dyDescent="0.25">
      <c r="A4033" s="1" t="s">
        <v>5157</v>
      </c>
      <c r="B4033" s="2">
        <v>45372</v>
      </c>
      <c r="C4033" s="1" t="s">
        <v>61</v>
      </c>
      <c r="D4033" s="1" t="s">
        <v>67</v>
      </c>
      <c r="E4033" s="1" t="s">
        <v>307</v>
      </c>
      <c r="F4033" s="1" t="s">
        <v>37</v>
      </c>
      <c r="G4033" s="1" t="s">
        <v>57</v>
      </c>
      <c r="H4033" s="1" t="s">
        <v>122</v>
      </c>
      <c r="I4033" s="1">
        <v>1135.82</v>
      </c>
      <c r="J4033" s="1">
        <v>4</v>
      </c>
      <c r="K4033" s="1">
        <v>4543.28</v>
      </c>
      <c r="L4033" s="1">
        <v>0</v>
      </c>
      <c r="M4033" s="1">
        <v>0</v>
      </c>
      <c r="N4033" s="1">
        <v>4543.28</v>
      </c>
      <c r="O4033" s="1" t="s">
        <v>64</v>
      </c>
      <c r="P4033" s="1" t="s">
        <v>1584</v>
      </c>
      <c r="Q4033" s="1">
        <v>3</v>
      </c>
      <c r="R4033" s="1">
        <f>Retail_Sales_Analyis[[#This Row],[Final_Price]]-Retail_Sales_Analyis[[#This Row],[Total_Price]]</f>
        <v>0</v>
      </c>
      <c r="S40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34" spans="1:19" x14ac:dyDescent="0.25">
      <c r="A4034" s="1" t="s">
        <v>5158</v>
      </c>
      <c r="B4034" s="2">
        <v>45643</v>
      </c>
      <c r="C4034" s="1" t="s">
        <v>73</v>
      </c>
      <c r="D4034" s="1" t="s">
        <v>28</v>
      </c>
      <c r="E4034" s="1" t="s">
        <v>239</v>
      </c>
      <c r="F4034" s="1" t="s">
        <v>21</v>
      </c>
      <c r="G4034" s="1" t="s">
        <v>85</v>
      </c>
      <c r="H4034" s="1" t="s">
        <v>180</v>
      </c>
      <c r="I4034" s="1">
        <v>2579.71</v>
      </c>
      <c r="J4034" s="1">
        <v>7</v>
      </c>
      <c r="K4034" s="1">
        <v>18057.97</v>
      </c>
      <c r="L4034" s="1">
        <v>0</v>
      </c>
      <c r="M4034" s="1">
        <v>0</v>
      </c>
      <c r="N4034" s="1">
        <v>18057.97</v>
      </c>
      <c r="O4034" s="1" t="s">
        <v>80</v>
      </c>
      <c r="P4034" s="1" t="s">
        <v>1672</v>
      </c>
      <c r="Q4034" s="1">
        <v>2</v>
      </c>
      <c r="R4034" s="1">
        <f>Retail_Sales_Analyis[[#This Row],[Final_Price]]-Retail_Sales_Analyis[[#This Row],[Total_Price]]</f>
        <v>0</v>
      </c>
      <c r="S40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35" spans="1:19" x14ac:dyDescent="0.25">
      <c r="A4035" s="1" t="s">
        <v>5159</v>
      </c>
      <c r="B4035" s="2">
        <v>45447</v>
      </c>
      <c r="C4035" s="1" t="s">
        <v>173</v>
      </c>
      <c r="D4035" s="1" t="s">
        <v>28</v>
      </c>
      <c r="E4035" s="1" t="s">
        <v>44</v>
      </c>
      <c r="F4035" s="1" t="s">
        <v>84</v>
      </c>
      <c r="G4035" s="1" t="s">
        <v>22</v>
      </c>
      <c r="H4035" s="1" t="s">
        <v>187</v>
      </c>
      <c r="I4035" s="1">
        <v>560.84</v>
      </c>
      <c r="J4035" s="1">
        <v>5</v>
      </c>
      <c r="K4035" s="1">
        <v>2804.2</v>
      </c>
      <c r="L4035" s="1">
        <v>10</v>
      </c>
      <c r="M4035" s="1">
        <v>280.42</v>
      </c>
      <c r="N4035" s="1">
        <v>2523.7800000000002</v>
      </c>
      <c r="O4035" s="1" t="s">
        <v>33</v>
      </c>
      <c r="P4035" s="1" t="s">
        <v>4128</v>
      </c>
      <c r="Q4035" s="1">
        <v>5</v>
      </c>
      <c r="R4035" s="1">
        <f>Retail_Sales_Analyis[[#This Row],[Final_Price]]-Retail_Sales_Analyis[[#This Row],[Total_Price]]</f>
        <v>-280.41999999999962</v>
      </c>
      <c r="S40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36" spans="1:19" x14ac:dyDescent="0.25">
      <c r="A4036" s="1" t="s">
        <v>5160</v>
      </c>
      <c r="B4036" s="2">
        <v>45652</v>
      </c>
      <c r="C4036" s="1" t="s">
        <v>73</v>
      </c>
      <c r="D4036" s="1" t="s">
        <v>67</v>
      </c>
      <c r="E4036" s="1" t="s">
        <v>117</v>
      </c>
      <c r="F4036" s="1" t="s">
        <v>21</v>
      </c>
      <c r="G4036" s="1" t="s">
        <v>31</v>
      </c>
      <c r="H4036" s="1" t="s">
        <v>45</v>
      </c>
      <c r="I4036" s="1">
        <v>389.15</v>
      </c>
      <c r="J4036" s="1">
        <v>9</v>
      </c>
      <c r="K4036" s="1">
        <v>3502.35</v>
      </c>
      <c r="L4036" s="1">
        <v>15</v>
      </c>
      <c r="M4036" s="1">
        <v>525.35</v>
      </c>
      <c r="N4036" s="1">
        <v>2977</v>
      </c>
      <c r="O4036" s="1" t="s">
        <v>80</v>
      </c>
      <c r="P4036" s="1" t="s">
        <v>1568</v>
      </c>
      <c r="Q4036" s="1">
        <v>4</v>
      </c>
      <c r="R4036" s="1">
        <f>Retail_Sales_Analyis[[#This Row],[Final_Price]]-Retail_Sales_Analyis[[#This Row],[Total_Price]]</f>
        <v>-525.34999999999991</v>
      </c>
      <c r="S40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37" spans="1:19" x14ac:dyDescent="0.25">
      <c r="A4037" s="1" t="s">
        <v>5161</v>
      </c>
      <c r="B4037" s="2">
        <v>45648</v>
      </c>
      <c r="C4037" s="1" t="s">
        <v>73</v>
      </c>
      <c r="D4037" s="1" t="s">
        <v>49</v>
      </c>
      <c r="E4037" s="1" t="s">
        <v>97</v>
      </c>
      <c r="F4037" s="1" t="s">
        <v>21</v>
      </c>
      <c r="G4037" s="1" t="s">
        <v>22</v>
      </c>
      <c r="H4037" s="1" t="s">
        <v>23</v>
      </c>
      <c r="I4037" s="1">
        <v>246.76</v>
      </c>
      <c r="J4037" s="1">
        <v>3</v>
      </c>
      <c r="K4037" s="1">
        <v>740.28</v>
      </c>
      <c r="L4037" s="1">
        <v>5</v>
      </c>
      <c r="M4037" s="1">
        <v>37.01</v>
      </c>
      <c r="N4037" s="1">
        <v>703.27</v>
      </c>
      <c r="O4037" s="1" t="s">
        <v>24</v>
      </c>
      <c r="P4037" s="1" t="s">
        <v>119</v>
      </c>
      <c r="Q4037" s="1">
        <v>3</v>
      </c>
      <c r="R4037" s="1">
        <f>Retail_Sales_Analyis[[#This Row],[Final_Price]]-Retail_Sales_Analyis[[#This Row],[Total_Price]]</f>
        <v>-37.009999999999991</v>
      </c>
      <c r="S403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38" spans="1:19" x14ac:dyDescent="0.25">
      <c r="A4038" s="1" t="s">
        <v>5162</v>
      </c>
      <c r="B4038" s="2">
        <v>45600</v>
      </c>
      <c r="C4038" s="1" t="s">
        <v>18</v>
      </c>
      <c r="D4038" s="1" t="s">
        <v>43</v>
      </c>
      <c r="E4038" s="1" t="s">
        <v>151</v>
      </c>
      <c r="F4038" s="1" t="s">
        <v>21</v>
      </c>
      <c r="G4038" s="1" t="s">
        <v>85</v>
      </c>
      <c r="H4038" s="1" t="s">
        <v>98</v>
      </c>
      <c r="I4038" s="1">
        <v>4047.67</v>
      </c>
      <c r="J4038" s="1">
        <v>10</v>
      </c>
      <c r="K4038" s="1">
        <v>40476.699999999997</v>
      </c>
      <c r="L4038" s="1">
        <v>15</v>
      </c>
      <c r="M4038" s="1">
        <v>6071.5</v>
      </c>
      <c r="N4038" s="1">
        <v>34405.199999999997</v>
      </c>
      <c r="O4038" s="1" t="s">
        <v>24</v>
      </c>
      <c r="P4038" s="1" t="s">
        <v>2039</v>
      </c>
      <c r="Q4038" s="1">
        <v>4</v>
      </c>
      <c r="R4038" s="1">
        <f>Retail_Sales_Analyis[[#This Row],[Final_Price]]-Retail_Sales_Analyis[[#This Row],[Total_Price]]</f>
        <v>-6071.5</v>
      </c>
      <c r="S40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39" spans="1:19" x14ac:dyDescent="0.25">
      <c r="A4039" s="1" t="s">
        <v>5163</v>
      </c>
      <c r="B4039" s="2">
        <v>45312</v>
      </c>
      <c r="C4039" s="1" t="s">
        <v>36</v>
      </c>
      <c r="D4039" s="1" t="s">
        <v>49</v>
      </c>
      <c r="E4039" s="1" t="s">
        <v>322</v>
      </c>
      <c r="F4039" s="1" t="s">
        <v>69</v>
      </c>
      <c r="G4039" s="1" t="s">
        <v>112</v>
      </c>
      <c r="H4039" s="1" t="s">
        <v>223</v>
      </c>
      <c r="I4039" s="1">
        <v>701.21</v>
      </c>
      <c r="J4039" s="1">
        <v>5</v>
      </c>
      <c r="K4039" s="1">
        <v>3506.05</v>
      </c>
      <c r="L4039" s="1">
        <v>5</v>
      </c>
      <c r="M4039" s="1">
        <v>175.3</v>
      </c>
      <c r="N4039" s="1">
        <v>3330.75</v>
      </c>
      <c r="O4039" s="1" t="s">
        <v>80</v>
      </c>
      <c r="P4039" s="1" t="s">
        <v>2979</v>
      </c>
      <c r="Q4039" s="1">
        <v>1</v>
      </c>
      <c r="R4039" s="1">
        <f>Retail_Sales_Analyis[[#This Row],[Final_Price]]-Retail_Sales_Analyis[[#This Row],[Total_Price]]</f>
        <v>-175.30000000000018</v>
      </c>
      <c r="S40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40" spans="1:19" x14ac:dyDescent="0.25">
      <c r="A4040" s="1" t="s">
        <v>5164</v>
      </c>
      <c r="B4040" s="2">
        <v>45402</v>
      </c>
      <c r="C4040" s="1" t="s">
        <v>54</v>
      </c>
      <c r="D4040" s="1" t="s">
        <v>19</v>
      </c>
      <c r="E4040" s="1" t="s">
        <v>29</v>
      </c>
      <c r="F4040" s="1" t="s">
        <v>69</v>
      </c>
      <c r="G4040" s="1" t="s">
        <v>57</v>
      </c>
      <c r="H4040" s="1" t="s">
        <v>152</v>
      </c>
      <c r="I4040" s="1">
        <v>2308.81</v>
      </c>
      <c r="J4040" s="1">
        <v>2</v>
      </c>
      <c r="K4040" s="1">
        <v>4617.62</v>
      </c>
      <c r="L4040" s="1">
        <v>10</v>
      </c>
      <c r="M4040" s="1">
        <v>461.76</v>
      </c>
      <c r="N4040" s="1">
        <v>4155.8599999999997</v>
      </c>
      <c r="O4040" s="1" t="s">
        <v>80</v>
      </c>
      <c r="P4040" s="1" t="s">
        <v>1779</v>
      </c>
      <c r="Q4040" s="1">
        <v>4</v>
      </c>
      <c r="R4040" s="1">
        <f>Retail_Sales_Analyis[[#This Row],[Final_Price]]-Retail_Sales_Analyis[[#This Row],[Total_Price]]</f>
        <v>-461.76000000000022</v>
      </c>
      <c r="S40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41" spans="1:19" x14ac:dyDescent="0.25">
      <c r="A4041" s="1" t="s">
        <v>5165</v>
      </c>
      <c r="B4041" s="2">
        <v>45459</v>
      </c>
      <c r="C4041" s="1" t="s">
        <v>173</v>
      </c>
      <c r="D4041" s="1" t="s">
        <v>49</v>
      </c>
      <c r="E4041" s="1" t="s">
        <v>261</v>
      </c>
      <c r="F4041" s="1" t="s">
        <v>21</v>
      </c>
      <c r="G4041" s="1" t="s">
        <v>112</v>
      </c>
      <c r="H4041" s="1" t="s">
        <v>183</v>
      </c>
      <c r="I4041" s="1">
        <v>1044.23</v>
      </c>
      <c r="J4041" s="1">
        <v>6</v>
      </c>
      <c r="K4041" s="1">
        <v>6265.38</v>
      </c>
      <c r="L4041" s="1">
        <v>0</v>
      </c>
      <c r="M4041" s="1">
        <v>0</v>
      </c>
      <c r="N4041" s="1">
        <v>6265.38</v>
      </c>
      <c r="O4041" s="1" t="s">
        <v>33</v>
      </c>
      <c r="P4041" s="1" t="s">
        <v>2863</v>
      </c>
      <c r="Q4041" s="1">
        <v>1</v>
      </c>
      <c r="R4041" s="1">
        <f>Retail_Sales_Analyis[[#This Row],[Final_Price]]-Retail_Sales_Analyis[[#This Row],[Total_Price]]</f>
        <v>0</v>
      </c>
      <c r="S40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42" spans="1:19" x14ac:dyDescent="0.25">
      <c r="A4042" s="1" t="s">
        <v>5166</v>
      </c>
      <c r="B4042" s="2">
        <v>45367</v>
      </c>
      <c r="C4042" s="1" t="s">
        <v>61</v>
      </c>
      <c r="D4042" s="1" t="s">
        <v>19</v>
      </c>
      <c r="E4042" s="1" t="s">
        <v>20</v>
      </c>
      <c r="F4042" s="1" t="s">
        <v>30</v>
      </c>
      <c r="G4042" s="1" t="s">
        <v>57</v>
      </c>
      <c r="H4042" s="1" t="s">
        <v>152</v>
      </c>
      <c r="I4042" s="1">
        <v>1357.04</v>
      </c>
      <c r="J4042" s="1">
        <v>6</v>
      </c>
      <c r="K4042" s="1">
        <v>8142.24</v>
      </c>
      <c r="L4042" s="1">
        <v>5</v>
      </c>
      <c r="M4042" s="1">
        <v>407.11</v>
      </c>
      <c r="N4042" s="1">
        <v>7735.13</v>
      </c>
      <c r="O4042" s="1" t="s">
        <v>33</v>
      </c>
      <c r="P4042" s="1" t="s">
        <v>2813</v>
      </c>
      <c r="Q4042" s="1">
        <v>2</v>
      </c>
      <c r="R4042" s="1">
        <f>Retail_Sales_Analyis[[#This Row],[Final_Price]]-Retail_Sales_Analyis[[#This Row],[Total_Price]]</f>
        <v>-407.10999999999967</v>
      </c>
      <c r="S404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43" spans="1:19" x14ac:dyDescent="0.25">
      <c r="A4043" s="1" t="s">
        <v>5167</v>
      </c>
      <c r="B4043" s="2">
        <v>45338</v>
      </c>
      <c r="C4043" s="1" t="s">
        <v>27</v>
      </c>
      <c r="D4043" s="1" t="s">
        <v>144</v>
      </c>
      <c r="E4043" s="1" t="s">
        <v>351</v>
      </c>
      <c r="F4043" s="1" t="s">
        <v>37</v>
      </c>
      <c r="G4043" s="1" t="s">
        <v>31</v>
      </c>
      <c r="H4043" s="1" t="s">
        <v>63</v>
      </c>
      <c r="I4043" s="1">
        <v>226.22</v>
      </c>
      <c r="J4043" s="1">
        <v>5</v>
      </c>
      <c r="K4043" s="1">
        <v>1131.0999999999999</v>
      </c>
      <c r="L4043" s="1">
        <v>0</v>
      </c>
      <c r="M4043" s="1">
        <v>0</v>
      </c>
      <c r="N4043" s="1">
        <v>1131.0999999999999</v>
      </c>
      <c r="O4043" s="1" t="s">
        <v>80</v>
      </c>
      <c r="P4043" s="1" t="s">
        <v>1296</v>
      </c>
      <c r="Q4043" s="1">
        <v>5</v>
      </c>
      <c r="R4043" s="1">
        <f>Retail_Sales_Analyis[[#This Row],[Final_Price]]-Retail_Sales_Analyis[[#This Row],[Total_Price]]</f>
        <v>0</v>
      </c>
      <c r="S40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44" spans="1:19" x14ac:dyDescent="0.25">
      <c r="A4044" s="1" t="s">
        <v>5168</v>
      </c>
      <c r="B4044" s="2">
        <v>45656</v>
      </c>
      <c r="C4044" s="1" t="s">
        <v>73</v>
      </c>
      <c r="D4044" s="1" t="s">
        <v>43</v>
      </c>
      <c r="E4044" s="1" t="s">
        <v>145</v>
      </c>
      <c r="F4044" s="1" t="s">
        <v>37</v>
      </c>
      <c r="G4044" s="1" t="s">
        <v>38</v>
      </c>
      <c r="H4044" s="1" t="s">
        <v>39</v>
      </c>
      <c r="I4044" s="1">
        <v>686.67</v>
      </c>
      <c r="J4044" s="1">
        <v>1</v>
      </c>
      <c r="K4044" s="1">
        <v>686.67</v>
      </c>
      <c r="L4044" s="1">
        <v>0</v>
      </c>
      <c r="M4044" s="1">
        <v>0</v>
      </c>
      <c r="N4044" s="1">
        <v>686.67</v>
      </c>
      <c r="O4044" s="1" t="s">
        <v>64</v>
      </c>
      <c r="P4044" s="1" t="s">
        <v>3218</v>
      </c>
      <c r="Q4044" s="1">
        <v>4</v>
      </c>
      <c r="R4044" s="1">
        <f>Retail_Sales_Analyis[[#This Row],[Final_Price]]-Retail_Sales_Analyis[[#This Row],[Total_Price]]</f>
        <v>0</v>
      </c>
      <c r="S40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45" spans="1:19" x14ac:dyDescent="0.25">
      <c r="A4045" s="1" t="s">
        <v>5169</v>
      </c>
      <c r="B4045" s="2">
        <v>45419</v>
      </c>
      <c r="C4045" s="1" t="s">
        <v>42</v>
      </c>
      <c r="D4045" s="1" t="s">
        <v>28</v>
      </c>
      <c r="E4045" s="1" t="s">
        <v>168</v>
      </c>
      <c r="F4045" s="1" t="s">
        <v>69</v>
      </c>
      <c r="G4045" s="1" t="s">
        <v>85</v>
      </c>
      <c r="H4045" s="1" t="s">
        <v>180</v>
      </c>
      <c r="I4045" s="1">
        <v>4067.96</v>
      </c>
      <c r="J4045" s="1">
        <v>3</v>
      </c>
      <c r="K4045" s="1">
        <v>12203.88</v>
      </c>
      <c r="L4045" s="1">
        <v>15</v>
      </c>
      <c r="M4045" s="1">
        <v>1830.58</v>
      </c>
      <c r="N4045" s="1">
        <v>10373.299999999999</v>
      </c>
      <c r="O4045" s="1" t="s">
        <v>33</v>
      </c>
      <c r="P4045" s="1" t="s">
        <v>1776</v>
      </c>
      <c r="Q4045" s="1">
        <v>3</v>
      </c>
      <c r="R4045" s="1">
        <f>Retail_Sales_Analyis[[#This Row],[Final_Price]]-Retail_Sales_Analyis[[#This Row],[Total_Price]]</f>
        <v>-1830.58</v>
      </c>
      <c r="S40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46" spans="1:19" x14ac:dyDescent="0.25">
      <c r="A4046" s="1" t="s">
        <v>5170</v>
      </c>
      <c r="B4046" s="2">
        <v>45474</v>
      </c>
      <c r="C4046" s="1" t="s">
        <v>195</v>
      </c>
      <c r="D4046" s="1" t="s">
        <v>43</v>
      </c>
      <c r="E4046" s="1" t="s">
        <v>239</v>
      </c>
      <c r="F4046" s="1" t="s">
        <v>37</v>
      </c>
      <c r="G4046" s="1" t="s">
        <v>78</v>
      </c>
      <c r="H4046" s="1" t="s">
        <v>146</v>
      </c>
      <c r="I4046" s="1">
        <v>457.58</v>
      </c>
      <c r="J4046" s="1">
        <v>4</v>
      </c>
      <c r="K4046" s="1">
        <v>1830.32</v>
      </c>
      <c r="L4046" s="1">
        <v>20</v>
      </c>
      <c r="M4046" s="1">
        <v>366.06</v>
      </c>
      <c r="N4046" s="1">
        <v>1464.26</v>
      </c>
      <c r="O4046" s="1" t="s">
        <v>46</v>
      </c>
      <c r="P4046" s="1" t="s">
        <v>467</v>
      </c>
      <c r="Q4046" s="1">
        <v>4</v>
      </c>
      <c r="R4046" s="1">
        <f>Retail_Sales_Analyis[[#This Row],[Final_Price]]-Retail_Sales_Analyis[[#This Row],[Total_Price]]</f>
        <v>-366.05999999999995</v>
      </c>
      <c r="S404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47" spans="1:19" x14ac:dyDescent="0.25">
      <c r="A4047" s="1" t="s">
        <v>5171</v>
      </c>
      <c r="B4047" s="2">
        <v>45494</v>
      </c>
      <c r="C4047" s="1" t="s">
        <v>195</v>
      </c>
      <c r="D4047" s="1" t="s">
        <v>49</v>
      </c>
      <c r="E4047" s="1" t="s">
        <v>62</v>
      </c>
      <c r="F4047" s="1" t="s">
        <v>84</v>
      </c>
      <c r="G4047" s="1" t="s">
        <v>85</v>
      </c>
      <c r="H4047" s="1" t="s">
        <v>297</v>
      </c>
      <c r="I4047" s="1">
        <v>4861.37</v>
      </c>
      <c r="J4047" s="1">
        <v>9</v>
      </c>
      <c r="K4047" s="1">
        <v>43752.33</v>
      </c>
      <c r="L4047" s="1">
        <v>0</v>
      </c>
      <c r="M4047" s="1">
        <v>0</v>
      </c>
      <c r="N4047" s="1">
        <v>43752.33</v>
      </c>
      <c r="O4047" s="1" t="s">
        <v>33</v>
      </c>
      <c r="P4047" s="1" t="s">
        <v>2755</v>
      </c>
      <c r="Q4047" s="1">
        <v>5</v>
      </c>
      <c r="R4047" s="1">
        <f>Retail_Sales_Analyis[[#This Row],[Final_Price]]-Retail_Sales_Analyis[[#This Row],[Total_Price]]</f>
        <v>0</v>
      </c>
      <c r="S40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48" spans="1:19" x14ac:dyDescent="0.25">
      <c r="A4048" s="1" t="s">
        <v>5172</v>
      </c>
      <c r="B4048" s="2">
        <v>45554</v>
      </c>
      <c r="C4048" s="1" t="s">
        <v>116</v>
      </c>
      <c r="D4048" s="1" t="s">
        <v>67</v>
      </c>
      <c r="E4048" s="1" t="s">
        <v>97</v>
      </c>
      <c r="F4048" s="1" t="s">
        <v>37</v>
      </c>
      <c r="G4048" s="1" t="s">
        <v>22</v>
      </c>
      <c r="H4048" s="1" t="s">
        <v>23</v>
      </c>
      <c r="I4048" s="1">
        <v>729.05</v>
      </c>
      <c r="J4048" s="1">
        <v>9</v>
      </c>
      <c r="K4048" s="1">
        <v>6561.45</v>
      </c>
      <c r="L4048" s="1">
        <v>0</v>
      </c>
      <c r="M4048" s="1">
        <v>0</v>
      </c>
      <c r="N4048" s="1">
        <v>6561.45</v>
      </c>
      <c r="O4048" s="1" t="s">
        <v>64</v>
      </c>
      <c r="P4048" s="1" t="s">
        <v>1687</v>
      </c>
      <c r="Q4048" s="1">
        <v>1</v>
      </c>
      <c r="R4048" s="1">
        <f>Retail_Sales_Analyis[[#This Row],[Final_Price]]-Retail_Sales_Analyis[[#This Row],[Total_Price]]</f>
        <v>0</v>
      </c>
      <c r="S40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49" spans="1:19" x14ac:dyDescent="0.25">
      <c r="A4049" s="1" t="s">
        <v>5173</v>
      </c>
      <c r="B4049" s="2">
        <v>45317</v>
      </c>
      <c r="C4049" s="1" t="s">
        <v>36</v>
      </c>
      <c r="D4049" s="1" t="s">
        <v>144</v>
      </c>
      <c r="E4049" s="1" t="s">
        <v>145</v>
      </c>
      <c r="F4049" s="1" t="s">
        <v>69</v>
      </c>
      <c r="G4049" s="1" t="s">
        <v>85</v>
      </c>
      <c r="H4049" s="1" t="s">
        <v>90</v>
      </c>
      <c r="I4049" s="1">
        <v>4048.43</v>
      </c>
      <c r="J4049" s="1">
        <v>8</v>
      </c>
      <c r="K4049" s="1">
        <v>32387.439999999999</v>
      </c>
      <c r="L4049" s="1">
        <v>5</v>
      </c>
      <c r="M4049" s="1">
        <v>1619.37</v>
      </c>
      <c r="N4049" s="1">
        <v>30768.07</v>
      </c>
      <c r="O4049" s="1" t="s">
        <v>80</v>
      </c>
      <c r="P4049" s="1" t="s">
        <v>580</v>
      </c>
      <c r="Q4049" s="1">
        <v>1</v>
      </c>
      <c r="R4049" s="1">
        <f>Retail_Sales_Analyis[[#This Row],[Final_Price]]-Retail_Sales_Analyis[[#This Row],[Total_Price]]</f>
        <v>-1619.369999999999</v>
      </c>
      <c r="S40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50" spans="1:19" x14ac:dyDescent="0.25">
      <c r="A4050" s="1" t="s">
        <v>5174</v>
      </c>
      <c r="B4050" s="2">
        <v>45638</v>
      </c>
      <c r="C4050" s="1" t="s">
        <v>73</v>
      </c>
      <c r="D4050" s="1" t="s">
        <v>67</v>
      </c>
      <c r="E4050" s="1" t="s">
        <v>213</v>
      </c>
      <c r="F4050" s="1" t="s">
        <v>37</v>
      </c>
      <c r="G4050" s="1" t="s">
        <v>22</v>
      </c>
      <c r="H4050" s="1" t="s">
        <v>51</v>
      </c>
      <c r="I4050" s="1">
        <v>382.83</v>
      </c>
      <c r="J4050" s="1">
        <v>10</v>
      </c>
      <c r="K4050" s="1">
        <v>3828.3</v>
      </c>
      <c r="L4050" s="1">
        <v>0</v>
      </c>
      <c r="M4050" s="1">
        <v>0</v>
      </c>
      <c r="N4050" s="1">
        <v>3828.3</v>
      </c>
      <c r="O4050" s="1" t="s">
        <v>33</v>
      </c>
      <c r="P4050" s="1" t="s">
        <v>2581</v>
      </c>
      <c r="Q4050" s="1">
        <v>2</v>
      </c>
      <c r="R4050" s="1">
        <f>Retail_Sales_Analyis[[#This Row],[Final_Price]]-Retail_Sales_Analyis[[#This Row],[Total_Price]]</f>
        <v>0</v>
      </c>
      <c r="S40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51" spans="1:19" x14ac:dyDescent="0.25">
      <c r="A4051" s="1" t="s">
        <v>5175</v>
      </c>
      <c r="B4051" s="2">
        <v>45445</v>
      </c>
      <c r="C4051" s="1" t="s">
        <v>173</v>
      </c>
      <c r="D4051" s="1" t="s">
        <v>49</v>
      </c>
      <c r="E4051" s="1" t="s">
        <v>62</v>
      </c>
      <c r="F4051" s="1" t="s">
        <v>37</v>
      </c>
      <c r="G4051" s="1" t="s">
        <v>57</v>
      </c>
      <c r="H4051" s="1" t="s">
        <v>101</v>
      </c>
      <c r="I4051" s="1">
        <v>1359.61</v>
      </c>
      <c r="J4051" s="1">
        <v>6</v>
      </c>
      <c r="K4051" s="1">
        <v>8157.66</v>
      </c>
      <c r="L4051" s="1">
        <v>10</v>
      </c>
      <c r="M4051" s="1">
        <v>815.77</v>
      </c>
      <c r="N4051" s="1">
        <v>7341.89</v>
      </c>
      <c r="O4051" s="1" t="s">
        <v>80</v>
      </c>
      <c r="P4051" s="1" t="s">
        <v>1282</v>
      </c>
      <c r="Q4051" s="1">
        <v>3</v>
      </c>
      <c r="R4051" s="1">
        <f>Retail_Sales_Analyis[[#This Row],[Final_Price]]-Retail_Sales_Analyis[[#This Row],[Total_Price]]</f>
        <v>-815.76999999999953</v>
      </c>
      <c r="S40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52" spans="1:19" x14ac:dyDescent="0.25">
      <c r="A4052" s="1" t="s">
        <v>5176</v>
      </c>
      <c r="B4052" s="2">
        <v>45425</v>
      </c>
      <c r="C4052" s="1" t="s">
        <v>42</v>
      </c>
      <c r="D4052" s="1" t="s">
        <v>43</v>
      </c>
      <c r="E4052" s="1" t="s">
        <v>337</v>
      </c>
      <c r="F4052" s="1" t="s">
        <v>21</v>
      </c>
      <c r="G4052" s="1" t="s">
        <v>57</v>
      </c>
      <c r="H4052" s="1" t="s">
        <v>58</v>
      </c>
      <c r="I4052" s="1">
        <v>1911.11</v>
      </c>
      <c r="J4052" s="1">
        <v>3</v>
      </c>
      <c r="K4052" s="1">
        <v>5733.33</v>
      </c>
      <c r="L4052" s="1">
        <v>15</v>
      </c>
      <c r="M4052" s="1">
        <v>860</v>
      </c>
      <c r="N4052" s="1">
        <v>4873.33</v>
      </c>
      <c r="O4052" s="1" t="s">
        <v>80</v>
      </c>
      <c r="P4052" s="1" t="s">
        <v>2813</v>
      </c>
      <c r="Q4052" s="1">
        <v>3</v>
      </c>
      <c r="R4052" s="1">
        <f>Retail_Sales_Analyis[[#This Row],[Final_Price]]-Retail_Sales_Analyis[[#This Row],[Total_Price]]</f>
        <v>-860</v>
      </c>
      <c r="S40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53" spans="1:19" x14ac:dyDescent="0.25">
      <c r="A4053" s="1" t="s">
        <v>5177</v>
      </c>
      <c r="B4053" s="2">
        <v>45381</v>
      </c>
      <c r="C4053" s="1" t="s">
        <v>61</v>
      </c>
      <c r="D4053" s="1" t="s">
        <v>19</v>
      </c>
      <c r="E4053" s="1" t="s">
        <v>107</v>
      </c>
      <c r="F4053" s="1" t="s">
        <v>30</v>
      </c>
      <c r="G4053" s="1" t="s">
        <v>78</v>
      </c>
      <c r="H4053" s="1" t="s">
        <v>146</v>
      </c>
      <c r="I4053" s="1">
        <v>305.27</v>
      </c>
      <c r="J4053" s="1">
        <v>4</v>
      </c>
      <c r="K4053" s="1">
        <v>1221.08</v>
      </c>
      <c r="L4053" s="1">
        <v>15</v>
      </c>
      <c r="M4053" s="1">
        <v>183.16</v>
      </c>
      <c r="N4053" s="1">
        <v>1037.92</v>
      </c>
      <c r="O4053" s="1" t="s">
        <v>24</v>
      </c>
      <c r="P4053" s="1" t="s">
        <v>4784</v>
      </c>
      <c r="Q4053" s="1">
        <v>2</v>
      </c>
      <c r="R4053" s="1">
        <f>Retail_Sales_Analyis[[#This Row],[Final_Price]]-Retail_Sales_Analyis[[#This Row],[Total_Price]]</f>
        <v>-183.15999999999985</v>
      </c>
      <c r="S405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54" spans="1:19" x14ac:dyDescent="0.25">
      <c r="A4054" s="1" t="s">
        <v>5178</v>
      </c>
      <c r="B4054" s="2">
        <v>45307</v>
      </c>
      <c r="C4054" s="1" t="s">
        <v>36</v>
      </c>
      <c r="D4054" s="1" t="s">
        <v>28</v>
      </c>
      <c r="E4054" s="1" t="s">
        <v>312</v>
      </c>
      <c r="F4054" s="1" t="s">
        <v>37</v>
      </c>
      <c r="G4054" s="1" t="s">
        <v>78</v>
      </c>
      <c r="H4054" s="1" t="s">
        <v>146</v>
      </c>
      <c r="I4054" s="1">
        <v>530.44000000000005</v>
      </c>
      <c r="J4054" s="1">
        <v>8</v>
      </c>
      <c r="K4054" s="1">
        <v>4243.5200000000004</v>
      </c>
      <c r="L4054" s="1">
        <v>15</v>
      </c>
      <c r="M4054" s="1">
        <v>636.53</v>
      </c>
      <c r="N4054" s="1">
        <v>3606.99</v>
      </c>
      <c r="O4054" s="1" t="s">
        <v>46</v>
      </c>
      <c r="P4054" s="1" t="s">
        <v>846</v>
      </c>
      <c r="Q4054" s="1">
        <v>4</v>
      </c>
      <c r="R4054" s="1">
        <f>Retail_Sales_Analyis[[#This Row],[Final_Price]]-Retail_Sales_Analyis[[#This Row],[Total_Price]]</f>
        <v>-636.53000000000065</v>
      </c>
      <c r="S40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55" spans="1:19" x14ac:dyDescent="0.25">
      <c r="A4055" s="1" t="s">
        <v>5179</v>
      </c>
      <c r="B4055" s="2">
        <v>45499</v>
      </c>
      <c r="C4055" s="1" t="s">
        <v>195</v>
      </c>
      <c r="D4055" s="1" t="s">
        <v>144</v>
      </c>
      <c r="E4055" s="1" t="s">
        <v>213</v>
      </c>
      <c r="F4055" s="1" t="s">
        <v>69</v>
      </c>
      <c r="G4055" s="1" t="s">
        <v>78</v>
      </c>
      <c r="H4055" s="1" t="s">
        <v>79</v>
      </c>
      <c r="I4055" s="1">
        <v>515.98</v>
      </c>
      <c r="J4055" s="1">
        <v>4</v>
      </c>
      <c r="K4055" s="1">
        <v>2063.92</v>
      </c>
      <c r="L4055" s="1">
        <v>0</v>
      </c>
      <c r="M4055" s="1">
        <v>0</v>
      </c>
      <c r="N4055" s="1">
        <v>2063.92</v>
      </c>
      <c r="O4055" s="1" t="s">
        <v>46</v>
      </c>
      <c r="P4055" s="1" t="s">
        <v>574</v>
      </c>
      <c r="Q4055" s="1">
        <v>4</v>
      </c>
      <c r="R4055" s="1">
        <f>Retail_Sales_Analyis[[#This Row],[Final_Price]]-Retail_Sales_Analyis[[#This Row],[Total_Price]]</f>
        <v>0</v>
      </c>
      <c r="S40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56" spans="1:19" x14ac:dyDescent="0.25">
      <c r="A4056" s="1" t="s">
        <v>5180</v>
      </c>
      <c r="B4056" s="2">
        <v>45523</v>
      </c>
      <c r="C4056" s="1" t="s">
        <v>93</v>
      </c>
      <c r="D4056" s="1" t="s">
        <v>43</v>
      </c>
      <c r="E4056" s="1" t="s">
        <v>107</v>
      </c>
      <c r="F4056" s="1" t="s">
        <v>30</v>
      </c>
      <c r="G4056" s="1" t="s">
        <v>112</v>
      </c>
      <c r="H4056" s="1" t="s">
        <v>288</v>
      </c>
      <c r="I4056" s="1">
        <v>1684.53</v>
      </c>
      <c r="J4056" s="1">
        <v>3</v>
      </c>
      <c r="K4056" s="1">
        <v>5053.59</v>
      </c>
      <c r="L4056" s="1">
        <v>15</v>
      </c>
      <c r="M4056" s="1">
        <v>758.04</v>
      </c>
      <c r="N4056" s="1">
        <v>4295.55</v>
      </c>
      <c r="O4056" s="1" t="s">
        <v>33</v>
      </c>
      <c r="P4056" s="1" t="s">
        <v>3554</v>
      </c>
      <c r="Q4056" s="1">
        <v>3</v>
      </c>
      <c r="R4056" s="1">
        <f>Retail_Sales_Analyis[[#This Row],[Final_Price]]-Retail_Sales_Analyis[[#This Row],[Total_Price]]</f>
        <v>-758.04</v>
      </c>
      <c r="S40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57" spans="1:19" x14ac:dyDescent="0.25">
      <c r="A4057" s="1" t="s">
        <v>5181</v>
      </c>
      <c r="B4057" s="2">
        <v>45576</v>
      </c>
      <c r="C4057" s="1" t="s">
        <v>76</v>
      </c>
      <c r="D4057" s="1" t="s">
        <v>144</v>
      </c>
      <c r="E4057" s="1" t="s">
        <v>213</v>
      </c>
      <c r="F4057" s="1" t="s">
        <v>21</v>
      </c>
      <c r="G4057" s="1" t="s">
        <v>38</v>
      </c>
      <c r="H4057" s="1" t="s">
        <v>70</v>
      </c>
      <c r="I4057" s="1">
        <v>522.54</v>
      </c>
      <c r="J4057" s="1">
        <v>9</v>
      </c>
      <c r="K4057" s="1">
        <v>4702.8599999999997</v>
      </c>
      <c r="L4057" s="1">
        <v>0</v>
      </c>
      <c r="M4057" s="1">
        <v>0</v>
      </c>
      <c r="N4057" s="1">
        <v>4702.8599999999997</v>
      </c>
      <c r="O4057" s="1" t="s">
        <v>64</v>
      </c>
      <c r="P4057" s="1" t="s">
        <v>1393</v>
      </c>
      <c r="Q4057" s="1">
        <v>5</v>
      </c>
      <c r="R4057" s="1">
        <f>Retail_Sales_Analyis[[#This Row],[Final_Price]]-Retail_Sales_Analyis[[#This Row],[Total_Price]]</f>
        <v>0</v>
      </c>
      <c r="S40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58" spans="1:19" x14ac:dyDescent="0.25">
      <c r="A4058" s="1" t="s">
        <v>5182</v>
      </c>
      <c r="B4058" s="2">
        <v>45573</v>
      </c>
      <c r="C4058" s="1" t="s">
        <v>76</v>
      </c>
      <c r="D4058" s="1" t="s">
        <v>28</v>
      </c>
      <c r="E4058" s="1" t="s">
        <v>132</v>
      </c>
      <c r="F4058" s="1" t="s">
        <v>69</v>
      </c>
      <c r="G4058" s="1" t="s">
        <v>85</v>
      </c>
      <c r="H4058" s="1" t="s">
        <v>297</v>
      </c>
      <c r="I4058" s="1">
        <v>4627.74</v>
      </c>
      <c r="J4058" s="1">
        <v>2</v>
      </c>
      <c r="K4058" s="1">
        <v>9255.48</v>
      </c>
      <c r="L4058" s="1">
        <v>0</v>
      </c>
      <c r="M4058" s="1">
        <v>0</v>
      </c>
      <c r="N4058" s="1">
        <v>9255.48</v>
      </c>
      <c r="O4058" s="1" t="s">
        <v>24</v>
      </c>
      <c r="P4058" s="1" t="s">
        <v>3467</v>
      </c>
      <c r="Q4058" s="1">
        <v>3</v>
      </c>
      <c r="R4058" s="1">
        <f>Retail_Sales_Analyis[[#This Row],[Final_Price]]-Retail_Sales_Analyis[[#This Row],[Total_Price]]</f>
        <v>0</v>
      </c>
      <c r="S40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59" spans="1:19" x14ac:dyDescent="0.25">
      <c r="A4059" s="1" t="s">
        <v>5183</v>
      </c>
      <c r="B4059" s="2">
        <v>45419</v>
      </c>
      <c r="C4059" s="1" t="s">
        <v>42</v>
      </c>
      <c r="D4059" s="1" t="s">
        <v>28</v>
      </c>
      <c r="E4059" s="1" t="s">
        <v>261</v>
      </c>
      <c r="F4059" s="1" t="s">
        <v>30</v>
      </c>
      <c r="G4059" s="1" t="s">
        <v>31</v>
      </c>
      <c r="H4059" s="1" t="s">
        <v>32</v>
      </c>
      <c r="I4059" s="1">
        <v>170.71</v>
      </c>
      <c r="J4059" s="1">
        <v>2</v>
      </c>
      <c r="K4059" s="1">
        <v>341.42</v>
      </c>
      <c r="L4059" s="1">
        <v>0</v>
      </c>
      <c r="M4059" s="1">
        <v>0</v>
      </c>
      <c r="N4059" s="1">
        <v>341.42</v>
      </c>
      <c r="O4059" s="1" t="s">
        <v>33</v>
      </c>
      <c r="P4059" s="1" t="s">
        <v>2306</v>
      </c>
      <c r="Q4059" s="1">
        <v>1</v>
      </c>
      <c r="R4059" s="1">
        <f>Retail_Sales_Analyis[[#This Row],[Final_Price]]-Retail_Sales_Analyis[[#This Row],[Total_Price]]</f>
        <v>0</v>
      </c>
      <c r="S405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60" spans="1:19" x14ac:dyDescent="0.25">
      <c r="A4060" s="1" t="s">
        <v>5184</v>
      </c>
      <c r="B4060" s="2">
        <v>45340</v>
      </c>
      <c r="C4060" s="1" t="s">
        <v>27</v>
      </c>
      <c r="D4060" s="1" t="s">
        <v>49</v>
      </c>
      <c r="E4060" s="1" t="s">
        <v>196</v>
      </c>
      <c r="F4060" s="1" t="s">
        <v>30</v>
      </c>
      <c r="G4060" s="1" t="s">
        <v>22</v>
      </c>
      <c r="H4060" s="1" t="s">
        <v>277</v>
      </c>
      <c r="I4060" s="1">
        <v>310.13</v>
      </c>
      <c r="J4060" s="1">
        <v>3</v>
      </c>
      <c r="K4060" s="1">
        <v>930.39</v>
      </c>
      <c r="L4060" s="1">
        <v>0</v>
      </c>
      <c r="M4060" s="1">
        <v>0</v>
      </c>
      <c r="N4060" s="1">
        <v>930.39</v>
      </c>
      <c r="O4060" s="1" t="s">
        <v>33</v>
      </c>
      <c r="P4060" s="1" t="s">
        <v>3499</v>
      </c>
      <c r="Q4060" s="1">
        <v>1</v>
      </c>
      <c r="R4060" s="1">
        <f>Retail_Sales_Analyis[[#This Row],[Final_Price]]-Retail_Sales_Analyis[[#This Row],[Total_Price]]</f>
        <v>0</v>
      </c>
      <c r="S40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61" spans="1:19" x14ac:dyDescent="0.25">
      <c r="A4061" s="1" t="s">
        <v>5185</v>
      </c>
      <c r="B4061" s="2">
        <v>45528</v>
      </c>
      <c r="C4061" s="1" t="s">
        <v>93</v>
      </c>
      <c r="D4061" s="1" t="s">
        <v>19</v>
      </c>
      <c r="E4061" s="1" t="s">
        <v>351</v>
      </c>
      <c r="F4061" s="1" t="s">
        <v>84</v>
      </c>
      <c r="G4061" s="1" t="s">
        <v>38</v>
      </c>
      <c r="H4061" s="1" t="s">
        <v>70</v>
      </c>
      <c r="I4061" s="1">
        <v>566.49</v>
      </c>
      <c r="J4061" s="1">
        <v>1</v>
      </c>
      <c r="K4061" s="1">
        <v>566.49</v>
      </c>
      <c r="L4061" s="1">
        <v>20</v>
      </c>
      <c r="M4061" s="1">
        <v>113.3</v>
      </c>
      <c r="N4061" s="1">
        <v>453.19</v>
      </c>
      <c r="O4061" s="1" t="s">
        <v>64</v>
      </c>
      <c r="P4061" s="1" t="s">
        <v>315</v>
      </c>
      <c r="Q4061" s="1">
        <v>5</v>
      </c>
      <c r="R4061" s="1">
        <f>Retail_Sales_Analyis[[#This Row],[Final_Price]]-Retail_Sales_Analyis[[#This Row],[Total_Price]]</f>
        <v>-113.30000000000001</v>
      </c>
      <c r="S40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62" spans="1:19" x14ac:dyDescent="0.25">
      <c r="A4062" s="1" t="s">
        <v>5186</v>
      </c>
      <c r="B4062" s="2">
        <v>45344</v>
      </c>
      <c r="C4062" s="1" t="s">
        <v>27</v>
      </c>
      <c r="D4062" s="1" t="s">
        <v>67</v>
      </c>
      <c r="E4062" s="1" t="s">
        <v>56</v>
      </c>
      <c r="F4062" s="1" t="s">
        <v>69</v>
      </c>
      <c r="G4062" s="1" t="s">
        <v>38</v>
      </c>
      <c r="H4062" s="1" t="s">
        <v>70</v>
      </c>
      <c r="I4062" s="1">
        <v>645.09</v>
      </c>
      <c r="J4062" s="1">
        <v>4</v>
      </c>
      <c r="K4062" s="1">
        <v>2580.36</v>
      </c>
      <c r="L4062" s="1">
        <v>15</v>
      </c>
      <c r="M4062" s="1">
        <v>387.05</v>
      </c>
      <c r="N4062" s="1">
        <v>2193.31</v>
      </c>
      <c r="O4062" s="1" t="s">
        <v>46</v>
      </c>
      <c r="P4062" s="1" t="s">
        <v>1597</v>
      </c>
      <c r="Q4062" s="1">
        <v>3</v>
      </c>
      <c r="R4062" s="1">
        <f>Retail_Sales_Analyis[[#This Row],[Final_Price]]-Retail_Sales_Analyis[[#This Row],[Total_Price]]</f>
        <v>-387.05000000000018</v>
      </c>
      <c r="S40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63" spans="1:19" x14ac:dyDescent="0.25">
      <c r="A4063" s="1" t="s">
        <v>5187</v>
      </c>
      <c r="B4063" s="2">
        <v>45363</v>
      </c>
      <c r="C4063" s="1" t="s">
        <v>61</v>
      </c>
      <c r="D4063" s="1" t="s">
        <v>28</v>
      </c>
      <c r="E4063" s="1" t="s">
        <v>62</v>
      </c>
      <c r="F4063" s="1" t="s">
        <v>30</v>
      </c>
      <c r="G4063" s="1" t="s">
        <v>22</v>
      </c>
      <c r="H4063" s="1" t="s">
        <v>51</v>
      </c>
      <c r="I4063" s="1">
        <v>261.45999999999998</v>
      </c>
      <c r="J4063" s="1">
        <v>4</v>
      </c>
      <c r="K4063" s="1">
        <v>1045.8399999999999</v>
      </c>
      <c r="L4063" s="1">
        <v>10</v>
      </c>
      <c r="M4063" s="1">
        <v>104.58</v>
      </c>
      <c r="N4063" s="1">
        <v>941.26</v>
      </c>
      <c r="O4063" s="1" t="s">
        <v>80</v>
      </c>
      <c r="P4063" s="1" t="s">
        <v>2035</v>
      </c>
      <c r="Q4063" s="1">
        <v>4</v>
      </c>
      <c r="R4063" s="1">
        <f>Retail_Sales_Analyis[[#This Row],[Final_Price]]-Retail_Sales_Analyis[[#This Row],[Total_Price]]</f>
        <v>-104.57999999999993</v>
      </c>
      <c r="S40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64" spans="1:19" x14ac:dyDescent="0.25">
      <c r="A4064" s="1" t="s">
        <v>5188</v>
      </c>
      <c r="B4064" s="2">
        <v>45354</v>
      </c>
      <c r="C4064" s="1" t="s">
        <v>61</v>
      </c>
      <c r="D4064" s="1" t="s">
        <v>49</v>
      </c>
      <c r="E4064" s="1" t="s">
        <v>117</v>
      </c>
      <c r="F4064" s="1" t="s">
        <v>69</v>
      </c>
      <c r="G4064" s="1" t="s">
        <v>112</v>
      </c>
      <c r="H4064" s="1" t="s">
        <v>183</v>
      </c>
      <c r="I4064" s="1">
        <v>1776.22</v>
      </c>
      <c r="J4064" s="1">
        <v>6</v>
      </c>
      <c r="K4064" s="1">
        <v>10657.32</v>
      </c>
      <c r="L4064" s="1">
        <v>10</v>
      </c>
      <c r="M4064" s="1">
        <v>1065.73</v>
      </c>
      <c r="N4064" s="1">
        <v>9591.59</v>
      </c>
      <c r="O4064" s="1" t="s">
        <v>46</v>
      </c>
      <c r="P4064" s="1" t="s">
        <v>621</v>
      </c>
      <c r="Q4064" s="1">
        <v>4</v>
      </c>
      <c r="R4064" s="1">
        <f>Retail_Sales_Analyis[[#This Row],[Final_Price]]-Retail_Sales_Analyis[[#This Row],[Total_Price]]</f>
        <v>-1065.7299999999996</v>
      </c>
      <c r="S40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65" spans="1:19" x14ac:dyDescent="0.25">
      <c r="A4065" s="1" t="s">
        <v>5189</v>
      </c>
      <c r="B4065" s="2">
        <v>45298</v>
      </c>
      <c r="C4065" s="1" t="s">
        <v>36</v>
      </c>
      <c r="D4065" s="1" t="s">
        <v>49</v>
      </c>
      <c r="E4065" s="1" t="s">
        <v>174</v>
      </c>
      <c r="F4065" s="1" t="s">
        <v>21</v>
      </c>
      <c r="G4065" s="1" t="s">
        <v>57</v>
      </c>
      <c r="H4065" s="1" t="s">
        <v>101</v>
      </c>
      <c r="I4065" s="1">
        <v>2849.05</v>
      </c>
      <c r="J4065" s="1">
        <v>10</v>
      </c>
      <c r="K4065" s="1">
        <v>28490.5</v>
      </c>
      <c r="L4065" s="1">
        <v>15</v>
      </c>
      <c r="M4065" s="1">
        <v>4273.57</v>
      </c>
      <c r="N4065" s="1">
        <v>24216.93</v>
      </c>
      <c r="O4065" s="1" t="s">
        <v>46</v>
      </c>
      <c r="P4065" s="1" t="s">
        <v>3139</v>
      </c>
      <c r="Q4065" s="1">
        <v>5</v>
      </c>
      <c r="R4065" s="1">
        <f>Retail_Sales_Analyis[[#This Row],[Final_Price]]-Retail_Sales_Analyis[[#This Row],[Total_Price]]</f>
        <v>-4273.57</v>
      </c>
      <c r="S40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66" spans="1:19" x14ac:dyDescent="0.25">
      <c r="A4066" s="1" t="s">
        <v>5190</v>
      </c>
      <c r="B4066" s="2">
        <v>45323</v>
      </c>
      <c r="C4066" s="1" t="s">
        <v>27</v>
      </c>
      <c r="D4066" s="1" t="s">
        <v>67</v>
      </c>
      <c r="E4066" s="1" t="s">
        <v>337</v>
      </c>
      <c r="F4066" s="1" t="s">
        <v>69</v>
      </c>
      <c r="G4066" s="1" t="s">
        <v>112</v>
      </c>
      <c r="H4066" s="1" t="s">
        <v>223</v>
      </c>
      <c r="I4066" s="1">
        <v>1368.76</v>
      </c>
      <c r="J4066" s="1">
        <v>5</v>
      </c>
      <c r="K4066" s="1">
        <v>6843.8</v>
      </c>
      <c r="L4066" s="1">
        <v>0</v>
      </c>
      <c r="M4066" s="1">
        <v>0</v>
      </c>
      <c r="N4066" s="1">
        <v>6843.8</v>
      </c>
      <c r="O4066" s="1" t="s">
        <v>64</v>
      </c>
      <c r="P4066" s="1" t="s">
        <v>3139</v>
      </c>
      <c r="Q4066" s="1">
        <v>4</v>
      </c>
      <c r="R4066" s="1">
        <f>Retail_Sales_Analyis[[#This Row],[Final_Price]]-Retail_Sales_Analyis[[#This Row],[Total_Price]]</f>
        <v>0</v>
      </c>
      <c r="S40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67" spans="1:19" x14ac:dyDescent="0.25">
      <c r="A4067" s="1" t="s">
        <v>5191</v>
      </c>
      <c r="B4067" s="2">
        <v>45405</v>
      </c>
      <c r="C4067" s="1" t="s">
        <v>54</v>
      </c>
      <c r="D4067" s="1" t="s">
        <v>28</v>
      </c>
      <c r="E4067" s="1" t="s">
        <v>44</v>
      </c>
      <c r="F4067" s="1" t="s">
        <v>84</v>
      </c>
      <c r="G4067" s="1" t="s">
        <v>169</v>
      </c>
      <c r="H4067" s="1" t="s">
        <v>170</v>
      </c>
      <c r="I4067" s="1">
        <v>1230</v>
      </c>
      <c r="J4067" s="1">
        <v>4</v>
      </c>
      <c r="K4067" s="1">
        <v>4920</v>
      </c>
      <c r="L4067" s="1">
        <v>5</v>
      </c>
      <c r="M4067" s="1">
        <v>246</v>
      </c>
      <c r="N4067" s="1">
        <v>4674</v>
      </c>
      <c r="O4067" s="1" t="s">
        <v>24</v>
      </c>
      <c r="P4067" s="1" t="s">
        <v>181</v>
      </c>
      <c r="Q4067" s="1">
        <v>5</v>
      </c>
      <c r="R4067" s="1">
        <f>Retail_Sales_Analyis[[#This Row],[Final_Price]]-Retail_Sales_Analyis[[#This Row],[Total_Price]]</f>
        <v>-246</v>
      </c>
      <c r="S40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68" spans="1:19" x14ac:dyDescent="0.25">
      <c r="A4068" s="1" t="s">
        <v>5192</v>
      </c>
      <c r="B4068" s="2">
        <v>45358</v>
      </c>
      <c r="C4068" s="1" t="s">
        <v>61</v>
      </c>
      <c r="D4068" s="1" t="s">
        <v>67</v>
      </c>
      <c r="E4068" s="1" t="s">
        <v>163</v>
      </c>
      <c r="F4068" s="1" t="s">
        <v>84</v>
      </c>
      <c r="G4068" s="1" t="s">
        <v>31</v>
      </c>
      <c r="H4068" s="1" t="s">
        <v>250</v>
      </c>
      <c r="I4068" s="1">
        <v>50.32</v>
      </c>
      <c r="J4068" s="1">
        <v>3</v>
      </c>
      <c r="K4068" s="1">
        <v>150.96</v>
      </c>
      <c r="L4068" s="1">
        <v>0</v>
      </c>
      <c r="M4068" s="1">
        <v>0</v>
      </c>
      <c r="N4068" s="1">
        <v>150.96</v>
      </c>
      <c r="O4068" s="1" t="s">
        <v>64</v>
      </c>
      <c r="P4068" s="1" t="s">
        <v>265</v>
      </c>
      <c r="Q4068" s="1">
        <v>2</v>
      </c>
      <c r="R4068" s="1">
        <f>Retail_Sales_Analyis[[#This Row],[Final_Price]]-Retail_Sales_Analyis[[#This Row],[Total_Price]]</f>
        <v>0</v>
      </c>
      <c r="S40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69" spans="1:19" x14ac:dyDescent="0.25">
      <c r="A4069" s="1" t="s">
        <v>5193</v>
      </c>
      <c r="B4069" s="2">
        <v>45393</v>
      </c>
      <c r="C4069" s="1" t="s">
        <v>54</v>
      </c>
      <c r="D4069" s="1" t="s">
        <v>67</v>
      </c>
      <c r="E4069" s="1" t="s">
        <v>83</v>
      </c>
      <c r="F4069" s="1" t="s">
        <v>69</v>
      </c>
      <c r="G4069" s="1" t="s">
        <v>169</v>
      </c>
      <c r="H4069" s="1" t="s">
        <v>366</v>
      </c>
      <c r="I4069" s="1">
        <v>313.69</v>
      </c>
      <c r="J4069" s="1">
        <v>10</v>
      </c>
      <c r="K4069" s="1">
        <v>3136.9</v>
      </c>
      <c r="L4069" s="1">
        <v>10</v>
      </c>
      <c r="M4069" s="1">
        <v>313.69</v>
      </c>
      <c r="N4069" s="1">
        <v>2823.21</v>
      </c>
      <c r="O4069" s="1" t="s">
        <v>33</v>
      </c>
      <c r="P4069" s="1" t="s">
        <v>667</v>
      </c>
      <c r="Q4069" s="1">
        <v>4</v>
      </c>
      <c r="R4069" s="1">
        <f>Retail_Sales_Analyis[[#This Row],[Final_Price]]-Retail_Sales_Analyis[[#This Row],[Total_Price]]</f>
        <v>-313.69000000000005</v>
      </c>
      <c r="S40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70" spans="1:19" x14ac:dyDescent="0.25">
      <c r="A4070" s="1" t="s">
        <v>5194</v>
      </c>
      <c r="B4070" s="2">
        <v>45497</v>
      </c>
      <c r="C4070" s="1" t="s">
        <v>195</v>
      </c>
      <c r="D4070" s="1" t="s">
        <v>55</v>
      </c>
      <c r="E4070" s="1" t="s">
        <v>94</v>
      </c>
      <c r="F4070" s="1" t="s">
        <v>30</v>
      </c>
      <c r="G4070" s="1" t="s">
        <v>31</v>
      </c>
      <c r="H4070" s="1" t="s">
        <v>250</v>
      </c>
      <c r="I4070" s="1">
        <v>474.92</v>
      </c>
      <c r="J4070" s="1">
        <v>4</v>
      </c>
      <c r="K4070" s="1">
        <v>1899.68</v>
      </c>
      <c r="L4070" s="1">
        <v>15</v>
      </c>
      <c r="M4070" s="1">
        <v>284.95</v>
      </c>
      <c r="N4070" s="1">
        <v>1614.73</v>
      </c>
      <c r="O4070" s="1" t="s">
        <v>33</v>
      </c>
      <c r="P4070" s="1" t="s">
        <v>102</v>
      </c>
      <c r="Q4070" s="1">
        <v>2</v>
      </c>
      <c r="R4070" s="1">
        <f>Retail_Sales_Analyis[[#This Row],[Final_Price]]-Retail_Sales_Analyis[[#This Row],[Total_Price]]</f>
        <v>-284.95000000000005</v>
      </c>
      <c r="S40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71" spans="1:19" x14ac:dyDescent="0.25">
      <c r="A4071" s="1" t="s">
        <v>5195</v>
      </c>
      <c r="B4071" s="2">
        <v>45482</v>
      </c>
      <c r="C4071" s="1" t="s">
        <v>195</v>
      </c>
      <c r="D4071" s="1" t="s">
        <v>28</v>
      </c>
      <c r="E4071" s="1" t="s">
        <v>132</v>
      </c>
      <c r="F4071" s="1" t="s">
        <v>37</v>
      </c>
      <c r="G4071" s="1" t="s">
        <v>57</v>
      </c>
      <c r="H4071" s="1" t="s">
        <v>58</v>
      </c>
      <c r="I4071" s="1">
        <v>1212.47</v>
      </c>
      <c r="J4071" s="1">
        <v>8</v>
      </c>
      <c r="K4071" s="1">
        <v>9699.76</v>
      </c>
      <c r="L4071" s="1">
        <v>0</v>
      </c>
      <c r="M4071" s="1">
        <v>0</v>
      </c>
      <c r="N4071" s="1">
        <v>9699.76</v>
      </c>
      <c r="O4071" s="1" t="s">
        <v>33</v>
      </c>
      <c r="P4071" s="1" t="s">
        <v>800</v>
      </c>
      <c r="Q4071" s="1">
        <v>1</v>
      </c>
      <c r="R4071" s="1">
        <f>Retail_Sales_Analyis[[#This Row],[Final_Price]]-Retail_Sales_Analyis[[#This Row],[Total_Price]]</f>
        <v>0</v>
      </c>
      <c r="S40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2" spans="1:19" x14ac:dyDescent="0.25">
      <c r="A4072" s="1" t="s">
        <v>5196</v>
      </c>
      <c r="B4072" s="2">
        <v>45643</v>
      </c>
      <c r="C4072" s="1" t="s">
        <v>73</v>
      </c>
      <c r="D4072" s="1" t="s">
        <v>28</v>
      </c>
      <c r="E4072" s="1" t="s">
        <v>261</v>
      </c>
      <c r="F4072" s="1" t="s">
        <v>69</v>
      </c>
      <c r="G4072" s="1" t="s">
        <v>22</v>
      </c>
      <c r="H4072" s="1" t="s">
        <v>277</v>
      </c>
      <c r="I4072" s="1">
        <v>592.30999999999995</v>
      </c>
      <c r="J4072" s="1">
        <v>5</v>
      </c>
      <c r="K4072" s="1">
        <v>2961.55</v>
      </c>
      <c r="L4072" s="1">
        <v>20</v>
      </c>
      <c r="M4072" s="1">
        <v>592.30999999999995</v>
      </c>
      <c r="N4072" s="1">
        <v>2369.2399999999998</v>
      </c>
      <c r="O4072" s="1" t="s">
        <v>64</v>
      </c>
      <c r="P4072" s="1" t="s">
        <v>2440</v>
      </c>
      <c r="Q4072" s="1">
        <v>5</v>
      </c>
      <c r="R4072" s="1">
        <f>Retail_Sales_Analyis[[#This Row],[Final_Price]]-Retail_Sales_Analyis[[#This Row],[Total_Price]]</f>
        <v>-592.3100000000004</v>
      </c>
      <c r="S407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073" spans="1:19" x14ac:dyDescent="0.25">
      <c r="A4073" s="1" t="s">
        <v>5197</v>
      </c>
      <c r="B4073" s="2">
        <v>45614</v>
      </c>
      <c r="C4073" s="1" t="s">
        <v>18</v>
      </c>
      <c r="D4073" s="1" t="s">
        <v>43</v>
      </c>
      <c r="E4073" s="1" t="s">
        <v>192</v>
      </c>
      <c r="F4073" s="1" t="s">
        <v>69</v>
      </c>
      <c r="G4073" s="1" t="s">
        <v>112</v>
      </c>
      <c r="H4073" s="1" t="s">
        <v>118</v>
      </c>
      <c r="I4073" s="1">
        <v>890.96</v>
      </c>
      <c r="J4073" s="1">
        <v>8</v>
      </c>
      <c r="K4073" s="1">
        <v>7127.68</v>
      </c>
      <c r="L4073" s="1">
        <v>0</v>
      </c>
      <c r="M4073" s="1">
        <v>0</v>
      </c>
      <c r="N4073" s="1">
        <v>7127.68</v>
      </c>
      <c r="O4073" s="1" t="s">
        <v>80</v>
      </c>
      <c r="P4073" s="1" t="s">
        <v>2143</v>
      </c>
      <c r="Q4073" s="1">
        <v>2</v>
      </c>
      <c r="R4073" s="1">
        <f>Retail_Sales_Analyis[[#This Row],[Final_Price]]-Retail_Sales_Analyis[[#This Row],[Total_Price]]</f>
        <v>0</v>
      </c>
      <c r="S40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4" spans="1:19" x14ac:dyDescent="0.25">
      <c r="A4074" s="1" t="s">
        <v>5198</v>
      </c>
      <c r="B4074" s="2">
        <v>45622</v>
      </c>
      <c r="C4074" s="1" t="s">
        <v>18</v>
      </c>
      <c r="D4074" s="1" t="s">
        <v>28</v>
      </c>
      <c r="E4074" s="1" t="s">
        <v>20</v>
      </c>
      <c r="F4074" s="1" t="s">
        <v>84</v>
      </c>
      <c r="G4074" s="1" t="s">
        <v>112</v>
      </c>
      <c r="H4074" s="1" t="s">
        <v>183</v>
      </c>
      <c r="I4074" s="1">
        <v>1919.41</v>
      </c>
      <c r="J4074" s="1">
        <v>6</v>
      </c>
      <c r="K4074" s="1">
        <v>11516.46</v>
      </c>
      <c r="L4074" s="1">
        <v>0</v>
      </c>
      <c r="M4074" s="1">
        <v>0</v>
      </c>
      <c r="N4074" s="1">
        <v>11516.46</v>
      </c>
      <c r="O4074" s="1" t="s">
        <v>33</v>
      </c>
      <c r="P4074" s="1" t="s">
        <v>2102</v>
      </c>
      <c r="Q4074" s="1">
        <v>5</v>
      </c>
      <c r="R4074" s="1">
        <f>Retail_Sales_Analyis[[#This Row],[Final_Price]]-Retail_Sales_Analyis[[#This Row],[Total_Price]]</f>
        <v>0</v>
      </c>
      <c r="S40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5" spans="1:19" x14ac:dyDescent="0.25">
      <c r="A4075" s="1" t="s">
        <v>5199</v>
      </c>
      <c r="B4075" s="2">
        <v>45335</v>
      </c>
      <c r="C4075" s="1" t="s">
        <v>27</v>
      </c>
      <c r="D4075" s="1" t="s">
        <v>28</v>
      </c>
      <c r="E4075" s="1" t="s">
        <v>322</v>
      </c>
      <c r="F4075" s="1" t="s">
        <v>37</v>
      </c>
      <c r="G4075" s="1" t="s">
        <v>57</v>
      </c>
      <c r="H4075" s="1" t="s">
        <v>152</v>
      </c>
      <c r="I4075" s="1">
        <v>2314.15</v>
      </c>
      <c r="J4075" s="1">
        <v>9</v>
      </c>
      <c r="K4075" s="1">
        <v>20827.349999999999</v>
      </c>
      <c r="L4075" s="1">
        <v>10</v>
      </c>
      <c r="M4075" s="1">
        <v>2082.7399999999998</v>
      </c>
      <c r="N4075" s="1">
        <v>18744.61</v>
      </c>
      <c r="O4075" s="1" t="s">
        <v>33</v>
      </c>
      <c r="P4075" s="1" t="s">
        <v>3366</v>
      </c>
      <c r="Q4075" s="1">
        <v>5</v>
      </c>
      <c r="R4075" s="1">
        <f>Retail_Sales_Analyis[[#This Row],[Final_Price]]-Retail_Sales_Analyis[[#This Row],[Total_Price]]</f>
        <v>-2082.739999999998</v>
      </c>
      <c r="S40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76" spans="1:19" x14ac:dyDescent="0.25">
      <c r="A4076" s="1" t="s">
        <v>5200</v>
      </c>
      <c r="B4076" s="2">
        <v>45590</v>
      </c>
      <c r="C4076" s="1" t="s">
        <v>76</v>
      </c>
      <c r="D4076" s="1" t="s">
        <v>144</v>
      </c>
      <c r="E4076" s="1" t="s">
        <v>302</v>
      </c>
      <c r="F4076" s="1" t="s">
        <v>69</v>
      </c>
      <c r="G4076" s="1" t="s">
        <v>85</v>
      </c>
      <c r="H4076" s="1" t="s">
        <v>180</v>
      </c>
      <c r="I4076" s="1">
        <v>1849.38</v>
      </c>
      <c r="J4076" s="1">
        <v>2</v>
      </c>
      <c r="K4076" s="1">
        <v>3698.76</v>
      </c>
      <c r="L4076" s="1">
        <v>0</v>
      </c>
      <c r="M4076" s="1">
        <v>0</v>
      </c>
      <c r="N4076" s="1">
        <v>3698.76</v>
      </c>
      <c r="O4076" s="1" t="s">
        <v>80</v>
      </c>
      <c r="P4076" s="1" t="s">
        <v>234</v>
      </c>
      <c r="Q4076" s="1">
        <v>2</v>
      </c>
      <c r="R4076" s="1">
        <f>Retail_Sales_Analyis[[#This Row],[Final_Price]]-Retail_Sales_Analyis[[#This Row],[Total_Price]]</f>
        <v>0</v>
      </c>
      <c r="S40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7" spans="1:19" x14ac:dyDescent="0.25">
      <c r="A4077" s="1" t="s">
        <v>5201</v>
      </c>
      <c r="B4077" s="2">
        <v>45592</v>
      </c>
      <c r="C4077" s="1" t="s">
        <v>76</v>
      </c>
      <c r="D4077" s="1" t="s">
        <v>49</v>
      </c>
      <c r="E4077" s="1" t="s">
        <v>166</v>
      </c>
      <c r="F4077" s="1" t="s">
        <v>84</v>
      </c>
      <c r="G4077" s="1" t="s">
        <v>78</v>
      </c>
      <c r="H4077" s="1" t="s">
        <v>323</v>
      </c>
      <c r="I4077" s="1">
        <v>593</v>
      </c>
      <c r="J4077" s="1">
        <v>9</v>
      </c>
      <c r="K4077" s="1">
        <v>5337</v>
      </c>
      <c r="L4077" s="1">
        <v>0</v>
      </c>
      <c r="M4077" s="1">
        <v>0</v>
      </c>
      <c r="N4077" s="1">
        <v>5337</v>
      </c>
      <c r="O4077" s="1" t="s">
        <v>24</v>
      </c>
      <c r="P4077" s="1" t="s">
        <v>2208</v>
      </c>
      <c r="Q4077" s="1">
        <v>5</v>
      </c>
      <c r="R4077" s="1">
        <f>Retail_Sales_Analyis[[#This Row],[Final_Price]]-Retail_Sales_Analyis[[#This Row],[Total_Price]]</f>
        <v>0</v>
      </c>
      <c r="S40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78" spans="1:19" x14ac:dyDescent="0.25">
      <c r="A4078" s="1" t="s">
        <v>5202</v>
      </c>
      <c r="B4078" s="2">
        <v>45424</v>
      </c>
      <c r="C4078" s="1" t="s">
        <v>42</v>
      </c>
      <c r="D4078" s="1" t="s">
        <v>49</v>
      </c>
      <c r="E4078" s="1" t="s">
        <v>89</v>
      </c>
      <c r="F4078" s="1" t="s">
        <v>69</v>
      </c>
      <c r="G4078" s="1" t="s">
        <v>38</v>
      </c>
      <c r="H4078" s="1" t="s">
        <v>39</v>
      </c>
      <c r="I4078" s="1">
        <v>694.59</v>
      </c>
      <c r="J4078" s="1">
        <v>5</v>
      </c>
      <c r="K4078" s="1">
        <v>3472.95</v>
      </c>
      <c r="L4078" s="1">
        <v>5</v>
      </c>
      <c r="M4078" s="1">
        <v>173.65</v>
      </c>
      <c r="N4078" s="1">
        <v>3299.3</v>
      </c>
      <c r="O4078" s="1" t="s">
        <v>24</v>
      </c>
      <c r="P4078" s="1" t="s">
        <v>1350</v>
      </c>
      <c r="Q4078" s="1">
        <v>3</v>
      </c>
      <c r="R4078" s="1">
        <f>Retail_Sales_Analyis[[#This Row],[Final_Price]]-Retail_Sales_Analyis[[#This Row],[Total_Price]]</f>
        <v>-173.64999999999964</v>
      </c>
      <c r="S407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79" spans="1:19" x14ac:dyDescent="0.25">
      <c r="A4079" s="1" t="s">
        <v>5203</v>
      </c>
      <c r="B4079" s="2">
        <v>45330</v>
      </c>
      <c r="C4079" s="1" t="s">
        <v>27</v>
      </c>
      <c r="D4079" s="1" t="s">
        <v>67</v>
      </c>
      <c r="E4079" s="1" t="s">
        <v>312</v>
      </c>
      <c r="F4079" s="1" t="s">
        <v>21</v>
      </c>
      <c r="G4079" s="1" t="s">
        <v>112</v>
      </c>
      <c r="H4079" s="1" t="s">
        <v>223</v>
      </c>
      <c r="I4079" s="1">
        <v>538.36</v>
      </c>
      <c r="J4079" s="1">
        <v>10</v>
      </c>
      <c r="K4079" s="1">
        <v>5383.6</v>
      </c>
      <c r="L4079" s="1">
        <v>15</v>
      </c>
      <c r="M4079" s="1">
        <v>807.54</v>
      </c>
      <c r="N4079" s="1">
        <v>4576.0600000000004</v>
      </c>
      <c r="O4079" s="1" t="s">
        <v>24</v>
      </c>
      <c r="P4079" s="1" t="s">
        <v>1664</v>
      </c>
      <c r="Q4079" s="1">
        <v>1</v>
      </c>
      <c r="R4079" s="1">
        <f>Retail_Sales_Analyis[[#This Row],[Final_Price]]-Retail_Sales_Analyis[[#This Row],[Total_Price]]</f>
        <v>-807.54</v>
      </c>
      <c r="S40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0" spans="1:19" x14ac:dyDescent="0.25">
      <c r="A4080" s="1" t="s">
        <v>5204</v>
      </c>
      <c r="B4080" s="2">
        <v>45303</v>
      </c>
      <c r="C4080" s="1" t="s">
        <v>36</v>
      </c>
      <c r="D4080" s="1" t="s">
        <v>144</v>
      </c>
      <c r="E4080" s="1" t="s">
        <v>94</v>
      </c>
      <c r="F4080" s="1" t="s">
        <v>21</v>
      </c>
      <c r="G4080" s="1" t="s">
        <v>78</v>
      </c>
      <c r="H4080" s="1" t="s">
        <v>323</v>
      </c>
      <c r="I4080" s="1">
        <v>326.62</v>
      </c>
      <c r="J4080" s="1">
        <v>4</v>
      </c>
      <c r="K4080" s="1">
        <v>1306.48</v>
      </c>
      <c r="L4080" s="1">
        <v>15</v>
      </c>
      <c r="M4080" s="1">
        <v>195.97</v>
      </c>
      <c r="N4080" s="1">
        <v>1110.51</v>
      </c>
      <c r="O4080" s="1" t="s">
        <v>46</v>
      </c>
      <c r="P4080" s="1" t="s">
        <v>945</v>
      </c>
      <c r="Q4080" s="1">
        <v>4</v>
      </c>
      <c r="R4080" s="1">
        <f>Retail_Sales_Analyis[[#This Row],[Final_Price]]-Retail_Sales_Analyis[[#This Row],[Total_Price]]</f>
        <v>-195.97000000000003</v>
      </c>
      <c r="S408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1" spans="1:19" x14ac:dyDescent="0.25">
      <c r="A4081" s="1" t="s">
        <v>5205</v>
      </c>
      <c r="B4081" s="2">
        <v>45325</v>
      </c>
      <c r="C4081" s="1" t="s">
        <v>27</v>
      </c>
      <c r="D4081" s="1" t="s">
        <v>19</v>
      </c>
      <c r="E4081" s="1" t="s">
        <v>89</v>
      </c>
      <c r="F4081" s="1" t="s">
        <v>30</v>
      </c>
      <c r="G4081" s="1" t="s">
        <v>22</v>
      </c>
      <c r="H4081" s="1" t="s">
        <v>187</v>
      </c>
      <c r="I4081" s="1">
        <v>385.58</v>
      </c>
      <c r="J4081" s="1">
        <v>10</v>
      </c>
      <c r="K4081" s="1">
        <v>3855.8</v>
      </c>
      <c r="L4081" s="1">
        <v>15</v>
      </c>
      <c r="M4081" s="1">
        <v>578.37</v>
      </c>
      <c r="N4081" s="1">
        <v>3277.43</v>
      </c>
      <c r="O4081" s="1" t="s">
        <v>24</v>
      </c>
      <c r="P4081" s="1" t="s">
        <v>922</v>
      </c>
      <c r="Q4081" s="1">
        <v>5</v>
      </c>
      <c r="R4081" s="1">
        <f>Retail_Sales_Analyis[[#This Row],[Final_Price]]-Retail_Sales_Analyis[[#This Row],[Total_Price]]</f>
        <v>-578.37000000000035</v>
      </c>
      <c r="S40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2" spans="1:19" x14ac:dyDescent="0.25">
      <c r="A4082" s="1" t="s">
        <v>5206</v>
      </c>
      <c r="B4082" s="2">
        <v>45393</v>
      </c>
      <c r="C4082" s="1" t="s">
        <v>54</v>
      </c>
      <c r="D4082" s="1" t="s">
        <v>67</v>
      </c>
      <c r="E4082" s="1" t="s">
        <v>192</v>
      </c>
      <c r="F4082" s="1" t="s">
        <v>84</v>
      </c>
      <c r="G4082" s="1" t="s">
        <v>57</v>
      </c>
      <c r="H4082" s="1" t="s">
        <v>152</v>
      </c>
      <c r="I4082" s="1">
        <v>1808.26</v>
      </c>
      <c r="J4082" s="1">
        <v>6</v>
      </c>
      <c r="K4082" s="1">
        <v>10849.56</v>
      </c>
      <c r="L4082" s="1">
        <v>10</v>
      </c>
      <c r="M4082" s="1">
        <v>1084.96</v>
      </c>
      <c r="N4082" s="1">
        <v>9764.6</v>
      </c>
      <c r="O4082" s="1" t="s">
        <v>33</v>
      </c>
      <c r="P4082" s="1" t="s">
        <v>1037</v>
      </c>
      <c r="Q4082" s="1">
        <v>4</v>
      </c>
      <c r="R4082" s="1">
        <f>Retail_Sales_Analyis[[#This Row],[Final_Price]]-Retail_Sales_Analyis[[#This Row],[Total_Price]]</f>
        <v>-1084.9599999999991</v>
      </c>
      <c r="S40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3" spans="1:19" x14ac:dyDescent="0.25">
      <c r="A4083" s="1" t="s">
        <v>5207</v>
      </c>
      <c r="B4083" s="2">
        <v>45622</v>
      </c>
      <c r="C4083" s="1" t="s">
        <v>18</v>
      </c>
      <c r="D4083" s="1" t="s">
        <v>28</v>
      </c>
      <c r="E4083" s="1" t="s">
        <v>104</v>
      </c>
      <c r="F4083" s="1" t="s">
        <v>84</v>
      </c>
      <c r="G4083" s="1" t="s">
        <v>85</v>
      </c>
      <c r="H4083" s="1" t="s">
        <v>297</v>
      </c>
      <c r="I4083" s="1">
        <v>1804.51</v>
      </c>
      <c r="J4083" s="1">
        <v>1</v>
      </c>
      <c r="K4083" s="1">
        <v>1804.51</v>
      </c>
      <c r="L4083" s="1">
        <v>0</v>
      </c>
      <c r="M4083" s="1">
        <v>0</v>
      </c>
      <c r="N4083" s="1">
        <v>1804.51</v>
      </c>
      <c r="O4083" s="1" t="s">
        <v>46</v>
      </c>
      <c r="P4083" s="1" t="s">
        <v>1464</v>
      </c>
      <c r="Q4083" s="1">
        <v>2</v>
      </c>
      <c r="R4083" s="1">
        <f>Retail_Sales_Analyis[[#This Row],[Final_Price]]-Retail_Sales_Analyis[[#This Row],[Total_Price]]</f>
        <v>0</v>
      </c>
      <c r="S40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84" spans="1:19" x14ac:dyDescent="0.25">
      <c r="A4084" s="1" t="s">
        <v>5208</v>
      </c>
      <c r="B4084" s="2">
        <v>45519</v>
      </c>
      <c r="C4084" s="1" t="s">
        <v>93</v>
      </c>
      <c r="D4084" s="1" t="s">
        <v>67</v>
      </c>
      <c r="E4084" s="1" t="s">
        <v>20</v>
      </c>
      <c r="F4084" s="1" t="s">
        <v>37</v>
      </c>
      <c r="G4084" s="1" t="s">
        <v>38</v>
      </c>
      <c r="H4084" s="1" t="s">
        <v>214</v>
      </c>
      <c r="I4084" s="1">
        <v>350.92</v>
      </c>
      <c r="J4084" s="1">
        <v>2</v>
      </c>
      <c r="K4084" s="1">
        <v>701.84</v>
      </c>
      <c r="L4084" s="1">
        <v>0</v>
      </c>
      <c r="M4084" s="1">
        <v>0</v>
      </c>
      <c r="N4084" s="1">
        <v>701.84</v>
      </c>
      <c r="O4084" s="1" t="s">
        <v>24</v>
      </c>
      <c r="P4084" s="1" t="s">
        <v>1065</v>
      </c>
      <c r="Q4084" s="1">
        <v>5</v>
      </c>
      <c r="R4084" s="1">
        <f>Retail_Sales_Analyis[[#This Row],[Final_Price]]-Retail_Sales_Analyis[[#This Row],[Total_Price]]</f>
        <v>0</v>
      </c>
      <c r="S40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85" spans="1:19" x14ac:dyDescent="0.25">
      <c r="A4085" s="1" t="s">
        <v>5209</v>
      </c>
      <c r="B4085" s="2">
        <v>45357</v>
      </c>
      <c r="C4085" s="1" t="s">
        <v>61</v>
      </c>
      <c r="D4085" s="1" t="s">
        <v>55</v>
      </c>
      <c r="E4085" s="1" t="s">
        <v>104</v>
      </c>
      <c r="F4085" s="1" t="s">
        <v>84</v>
      </c>
      <c r="G4085" s="1" t="s">
        <v>78</v>
      </c>
      <c r="H4085" s="1" t="s">
        <v>126</v>
      </c>
      <c r="I4085" s="1">
        <v>285.10000000000002</v>
      </c>
      <c r="J4085" s="1">
        <v>1</v>
      </c>
      <c r="K4085" s="1">
        <v>285.10000000000002</v>
      </c>
      <c r="L4085" s="1">
        <v>10</v>
      </c>
      <c r="M4085" s="1">
        <v>28.51</v>
      </c>
      <c r="N4085" s="1">
        <v>256.58999999999997</v>
      </c>
      <c r="O4085" s="1" t="s">
        <v>46</v>
      </c>
      <c r="P4085" s="1" t="s">
        <v>393</v>
      </c>
      <c r="Q4085" s="1">
        <v>2</v>
      </c>
      <c r="R4085" s="1">
        <f>Retail_Sales_Analyis[[#This Row],[Final_Price]]-Retail_Sales_Analyis[[#This Row],[Total_Price]]</f>
        <v>-28.510000000000048</v>
      </c>
      <c r="S40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6" spans="1:19" x14ac:dyDescent="0.25">
      <c r="A4086" s="1" t="s">
        <v>5210</v>
      </c>
      <c r="B4086" s="2">
        <v>45339</v>
      </c>
      <c r="C4086" s="1" t="s">
        <v>27</v>
      </c>
      <c r="D4086" s="1" t="s">
        <v>19</v>
      </c>
      <c r="E4086" s="1" t="s">
        <v>342</v>
      </c>
      <c r="F4086" s="1" t="s">
        <v>21</v>
      </c>
      <c r="G4086" s="1" t="s">
        <v>169</v>
      </c>
      <c r="H4086" s="1" t="s">
        <v>366</v>
      </c>
      <c r="I4086" s="1">
        <v>676.22</v>
      </c>
      <c r="J4086" s="1">
        <v>8</v>
      </c>
      <c r="K4086" s="1">
        <v>5409.76</v>
      </c>
      <c r="L4086" s="1">
        <v>10</v>
      </c>
      <c r="M4086" s="1">
        <v>540.98</v>
      </c>
      <c r="N4086" s="1">
        <v>4868.78</v>
      </c>
      <c r="O4086" s="1" t="s">
        <v>80</v>
      </c>
      <c r="P4086" s="1" t="s">
        <v>1652</v>
      </c>
      <c r="Q4086" s="1">
        <v>5</v>
      </c>
      <c r="R4086" s="1">
        <f>Retail_Sales_Analyis[[#This Row],[Final_Price]]-Retail_Sales_Analyis[[#This Row],[Total_Price]]</f>
        <v>-540.98000000000047</v>
      </c>
      <c r="S40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7" spans="1:19" x14ac:dyDescent="0.25">
      <c r="A4087" s="1" t="s">
        <v>5211</v>
      </c>
      <c r="B4087" s="2">
        <v>45461</v>
      </c>
      <c r="C4087" s="1" t="s">
        <v>173</v>
      </c>
      <c r="D4087" s="1" t="s">
        <v>28</v>
      </c>
      <c r="E4087" s="1" t="s">
        <v>121</v>
      </c>
      <c r="F4087" s="1" t="s">
        <v>69</v>
      </c>
      <c r="G4087" s="1" t="s">
        <v>85</v>
      </c>
      <c r="H4087" s="1" t="s">
        <v>98</v>
      </c>
      <c r="I4087" s="1">
        <v>3231.29</v>
      </c>
      <c r="J4087" s="1">
        <v>8</v>
      </c>
      <c r="K4087" s="1">
        <v>25850.32</v>
      </c>
      <c r="L4087" s="1">
        <v>15</v>
      </c>
      <c r="M4087" s="1">
        <v>3877.55</v>
      </c>
      <c r="N4087" s="1">
        <v>21972.77</v>
      </c>
      <c r="O4087" s="1" t="s">
        <v>33</v>
      </c>
      <c r="P4087" s="1" t="s">
        <v>1707</v>
      </c>
      <c r="Q4087" s="1">
        <v>4</v>
      </c>
      <c r="R4087" s="1">
        <f>Retail_Sales_Analyis[[#This Row],[Final_Price]]-Retail_Sales_Analyis[[#This Row],[Total_Price]]</f>
        <v>-3877.5499999999993</v>
      </c>
      <c r="S40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8" spans="1:19" x14ac:dyDescent="0.25">
      <c r="A4088" s="1" t="s">
        <v>5212</v>
      </c>
      <c r="B4088" s="2">
        <v>45354</v>
      </c>
      <c r="C4088" s="1" t="s">
        <v>61</v>
      </c>
      <c r="D4088" s="1" t="s">
        <v>49</v>
      </c>
      <c r="E4088" s="1" t="s">
        <v>186</v>
      </c>
      <c r="F4088" s="1" t="s">
        <v>30</v>
      </c>
      <c r="G4088" s="1" t="s">
        <v>22</v>
      </c>
      <c r="H4088" s="1" t="s">
        <v>23</v>
      </c>
      <c r="I4088" s="1">
        <v>873.23</v>
      </c>
      <c r="J4088" s="1">
        <v>9</v>
      </c>
      <c r="K4088" s="1">
        <v>7859.07</v>
      </c>
      <c r="L4088" s="1">
        <v>10</v>
      </c>
      <c r="M4088" s="1">
        <v>785.91</v>
      </c>
      <c r="N4088" s="1">
        <v>7073.16</v>
      </c>
      <c r="O4088" s="1" t="s">
        <v>46</v>
      </c>
      <c r="P4088" s="1" t="s">
        <v>1164</v>
      </c>
      <c r="Q4088" s="1">
        <v>1</v>
      </c>
      <c r="R4088" s="1">
        <f>Retail_Sales_Analyis[[#This Row],[Final_Price]]-Retail_Sales_Analyis[[#This Row],[Total_Price]]</f>
        <v>-785.90999999999985</v>
      </c>
      <c r="S40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89" spans="1:19" x14ac:dyDescent="0.25">
      <c r="A4089" s="1" t="s">
        <v>5213</v>
      </c>
      <c r="B4089" s="2">
        <v>45313</v>
      </c>
      <c r="C4089" s="1" t="s">
        <v>36</v>
      </c>
      <c r="D4089" s="1" t="s">
        <v>43</v>
      </c>
      <c r="E4089" s="1" t="s">
        <v>56</v>
      </c>
      <c r="F4089" s="1" t="s">
        <v>30</v>
      </c>
      <c r="G4089" s="1" t="s">
        <v>57</v>
      </c>
      <c r="H4089" s="1" t="s">
        <v>122</v>
      </c>
      <c r="I4089" s="1">
        <v>1913.3</v>
      </c>
      <c r="J4089" s="1">
        <v>8</v>
      </c>
      <c r="K4089" s="1">
        <v>15306.4</v>
      </c>
      <c r="L4089" s="1">
        <v>10</v>
      </c>
      <c r="M4089" s="1">
        <v>1530.64</v>
      </c>
      <c r="N4089" s="1">
        <v>13775.76</v>
      </c>
      <c r="O4089" s="1" t="s">
        <v>64</v>
      </c>
      <c r="P4089" s="1" t="s">
        <v>2659</v>
      </c>
      <c r="Q4089" s="1">
        <v>5</v>
      </c>
      <c r="R4089" s="1">
        <f>Retail_Sales_Analyis[[#This Row],[Final_Price]]-Retail_Sales_Analyis[[#This Row],[Total_Price]]</f>
        <v>-1530.6399999999994</v>
      </c>
      <c r="S40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90" spans="1:19" x14ac:dyDescent="0.25">
      <c r="A4090" s="1" t="s">
        <v>5214</v>
      </c>
      <c r="B4090" s="2">
        <v>45528</v>
      </c>
      <c r="C4090" s="1" t="s">
        <v>93</v>
      </c>
      <c r="D4090" s="1" t="s">
        <v>19</v>
      </c>
      <c r="E4090" s="1" t="s">
        <v>236</v>
      </c>
      <c r="F4090" s="1" t="s">
        <v>84</v>
      </c>
      <c r="G4090" s="1" t="s">
        <v>57</v>
      </c>
      <c r="H4090" s="1" t="s">
        <v>152</v>
      </c>
      <c r="I4090" s="1">
        <v>1678.53</v>
      </c>
      <c r="J4090" s="1">
        <v>9</v>
      </c>
      <c r="K4090" s="1">
        <v>15106.77</v>
      </c>
      <c r="L4090" s="1">
        <v>0</v>
      </c>
      <c r="M4090" s="1">
        <v>0</v>
      </c>
      <c r="N4090" s="1">
        <v>15106.77</v>
      </c>
      <c r="O4090" s="1" t="s">
        <v>33</v>
      </c>
      <c r="P4090" s="1" t="s">
        <v>3689</v>
      </c>
      <c r="Q4090" s="1">
        <v>2</v>
      </c>
      <c r="R4090" s="1">
        <f>Retail_Sales_Analyis[[#This Row],[Final_Price]]-Retail_Sales_Analyis[[#This Row],[Total_Price]]</f>
        <v>0</v>
      </c>
      <c r="S40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1" spans="1:19" x14ac:dyDescent="0.25">
      <c r="A4091" s="1" t="s">
        <v>5215</v>
      </c>
      <c r="B4091" s="2">
        <v>45317</v>
      </c>
      <c r="C4091" s="1" t="s">
        <v>36</v>
      </c>
      <c r="D4091" s="1" t="s">
        <v>144</v>
      </c>
      <c r="E4091" s="1" t="s">
        <v>121</v>
      </c>
      <c r="F4091" s="1" t="s">
        <v>69</v>
      </c>
      <c r="G4091" s="1" t="s">
        <v>57</v>
      </c>
      <c r="H4091" s="1" t="s">
        <v>122</v>
      </c>
      <c r="I4091" s="1">
        <v>2643.27</v>
      </c>
      <c r="J4091" s="1">
        <v>8</v>
      </c>
      <c r="K4091" s="1">
        <v>21146.16</v>
      </c>
      <c r="L4091" s="1">
        <v>15</v>
      </c>
      <c r="M4091" s="1">
        <v>3171.92</v>
      </c>
      <c r="N4091" s="1">
        <v>17974.240000000002</v>
      </c>
      <c r="O4091" s="1" t="s">
        <v>24</v>
      </c>
      <c r="P4091" s="1" t="s">
        <v>636</v>
      </c>
      <c r="Q4091" s="1">
        <v>2</v>
      </c>
      <c r="R4091" s="1">
        <f>Retail_Sales_Analyis[[#This Row],[Final_Price]]-Retail_Sales_Analyis[[#This Row],[Total_Price]]</f>
        <v>-3171.9199999999983</v>
      </c>
      <c r="S40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92" spans="1:19" x14ac:dyDescent="0.25">
      <c r="A4092" s="1" t="s">
        <v>5216</v>
      </c>
      <c r="B4092" s="2">
        <v>45378</v>
      </c>
      <c r="C4092" s="1" t="s">
        <v>61</v>
      </c>
      <c r="D4092" s="1" t="s">
        <v>55</v>
      </c>
      <c r="E4092" s="1" t="s">
        <v>163</v>
      </c>
      <c r="F4092" s="1" t="s">
        <v>30</v>
      </c>
      <c r="G4092" s="1" t="s">
        <v>85</v>
      </c>
      <c r="H4092" s="1" t="s">
        <v>297</v>
      </c>
      <c r="I4092" s="1">
        <v>2887.69</v>
      </c>
      <c r="J4092" s="1">
        <v>6</v>
      </c>
      <c r="K4092" s="1">
        <v>17326.14</v>
      </c>
      <c r="L4092" s="1">
        <v>0</v>
      </c>
      <c r="M4092" s="1">
        <v>0</v>
      </c>
      <c r="N4092" s="1">
        <v>17326.14</v>
      </c>
      <c r="O4092" s="1" t="s">
        <v>80</v>
      </c>
      <c r="P4092" s="1" t="s">
        <v>1593</v>
      </c>
      <c r="Q4092" s="1">
        <v>1</v>
      </c>
      <c r="R4092" s="1">
        <f>Retail_Sales_Analyis[[#This Row],[Final_Price]]-Retail_Sales_Analyis[[#This Row],[Total_Price]]</f>
        <v>0</v>
      </c>
      <c r="S40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3" spans="1:19" x14ac:dyDescent="0.25">
      <c r="A4093" s="1" t="s">
        <v>5217</v>
      </c>
      <c r="B4093" s="2">
        <v>45585</v>
      </c>
      <c r="C4093" s="1" t="s">
        <v>76</v>
      </c>
      <c r="D4093" s="1" t="s">
        <v>49</v>
      </c>
      <c r="E4093" s="1" t="s">
        <v>261</v>
      </c>
      <c r="F4093" s="1" t="s">
        <v>37</v>
      </c>
      <c r="G4093" s="1" t="s">
        <v>57</v>
      </c>
      <c r="H4093" s="1" t="s">
        <v>101</v>
      </c>
      <c r="I4093" s="1">
        <v>2509.73</v>
      </c>
      <c r="J4093" s="1">
        <v>2</v>
      </c>
      <c r="K4093" s="1">
        <v>5019.46</v>
      </c>
      <c r="L4093" s="1">
        <v>0</v>
      </c>
      <c r="M4093" s="1">
        <v>0</v>
      </c>
      <c r="N4093" s="1">
        <v>5019.46</v>
      </c>
      <c r="O4093" s="1" t="s">
        <v>33</v>
      </c>
      <c r="P4093" s="1" t="s">
        <v>2988</v>
      </c>
      <c r="Q4093" s="1">
        <v>5</v>
      </c>
      <c r="R4093" s="1">
        <f>Retail_Sales_Analyis[[#This Row],[Final_Price]]-Retail_Sales_Analyis[[#This Row],[Total_Price]]</f>
        <v>0</v>
      </c>
      <c r="S40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4" spans="1:19" x14ac:dyDescent="0.25">
      <c r="A4094" s="1" t="s">
        <v>5218</v>
      </c>
      <c r="B4094" s="2">
        <v>45513</v>
      </c>
      <c r="C4094" s="1" t="s">
        <v>93</v>
      </c>
      <c r="D4094" s="1" t="s">
        <v>144</v>
      </c>
      <c r="E4094" s="1" t="s">
        <v>68</v>
      </c>
      <c r="F4094" s="1" t="s">
        <v>84</v>
      </c>
      <c r="G4094" s="1" t="s">
        <v>31</v>
      </c>
      <c r="H4094" s="1" t="s">
        <v>32</v>
      </c>
      <c r="I4094" s="1">
        <v>232.7</v>
      </c>
      <c r="J4094" s="1">
        <v>8</v>
      </c>
      <c r="K4094" s="1">
        <v>1861.6</v>
      </c>
      <c r="L4094" s="1">
        <v>5</v>
      </c>
      <c r="M4094" s="1">
        <v>93.08</v>
      </c>
      <c r="N4094" s="1">
        <v>1768.52</v>
      </c>
      <c r="O4094" s="1" t="s">
        <v>24</v>
      </c>
      <c r="P4094" s="1" t="s">
        <v>1292</v>
      </c>
      <c r="Q4094" s="1">
        <v>5</v>
      </c>
      <c r="R4094" s="1">
        <f>Retail_Sales_Analyis[[#This Row],[Final_Price]]-Retail_Sales_Analyis[[#This Row],[Total_Price]]</f>
        <v>-93.079999999999927</v>
      </c>
      <c r="S409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095" spans="1:19" x14ac:dyDescent="0.25">
      <c r="A4095" s="1" t="s">
        <v>5219</v>
      </c>
      <c r="B4095" s="2">
        <v>45494</v>
      </c>
      <c r="C4095" s="1" t="s">
        <v>195</v>
      </c>
      <c r="D4095" s="1" t="s">
        <v>49</v>
      </c>
      <c r="E4095" s="1" t="s">
        <v>166</v>
      </c>
      <c r="F4095" s="1" t="s">
        <v>69</v>
      </c>
      <c r="G4095" s="1" t="s">
        <v>85</v>
      </c>
      <c r="H4095" s="1" t="s">
        <v>297</v>
      </c>
      <c r="I4095" s="1">
        <v>4498.29</v>
      </c>
      <c r="J4095" s="1">
        <v>1</v>
      </c>
      <c r="K4095" s="1">
        <v>4498.29</v>
      </c>
      <c r="L4095" s="1">
        <v>0</v>
      </c>
      <c r="M4095" s="1">
        <v>0</v>
      </c>
      <c r="N4095" s="1">
        <v>4498.29</v>
      </c>
      <c r="O4095" s="1" t="s">
        <v>80</v>
      </c>
      <c r="P4095" s="1" t="s">
        <v>1221</v>
      </c>
      <c r="Q4095" s="1">
        <v>4</v>
      </c>
      <c r="R4095" s="1">
        <f>Retail_Sales_Analyis[[#This Row],[Final_Price]]-Retail_Sales_Analyis[[#This Row],[Total_Price]]</f>
        <v>0</v>
      </c>
      <c r="S40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6" spans="1:19" x14ac:dyDescent="0.25">
      <c r="A4096" s="1" t="s">
        <v>5220</v>
      </c>
      <c r="B4096" s="2">
        <v>45546</v>
      </c>
      <c r="C4096" s="1" t="s">
        <v>116</v>
      </c>
      <c r="D4096" s="1" t="s">
        <v>55</v>
      </c>
      <c r="E4096" s="1" t="s">
        <v>261</v>
      </c>
      <c r="F4096" s="1" t="s">
        <v>37</v>
      </c>
      <c r="G4096" s="1" t="s">
        <v>112</v>
      </c>
      <c r="H4096" s="1" t="s">
        <v>118</v>
      </c>
      <c r="I4096" s="1">
        <v>1255.22</v>
      </c>
      <c r="J4096" s="1">
        <v>3</v>
      </c>
      <c r="K4096" s="1">
        <v>3765.66</v>
      </c>
      <c r="L4096" s="1">
        <v>0</v>
      </c>
      <c r="M4096" s="1">
        <v>0</v>
      </c>
      <c r="N4096" s="1">
        <v>3765.66</v>
      </c>
      <c r="O4096" s="1" t="s">
        <v>24</v>
      </c>
      <c r="P4096" s="1" t="s">
        <v>244</v>
      </c>
      <c r="Q4096" s="1">
        <v>2</v>
      </c>
      <c r="R4096" s="1">
        <f>Retail_Sales_Analyis[[#This Row],[Final_Price]]-Retail_Sales_Analyis[[#This Row],[Total_Price]]</f>
        <v>0</v>
      </c>
      <c r="S40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7" spans="1:19" x14ac:dyDescent="0.25">
      <c r="A4097" s="1" t="s">
        <v>5221</v>
      </c>
      <c r="B4097" s="2">
        <v>45307</v>
      </c>
      <c r="C4097" s="1" t="s">
        <v>36</v>
      </c>
      <c r="D4097" s="1" t="s">
        <v>28</v>
      </c>
      <c r="E4097" s="1" t="s">
        <v>174</v>
      </c>
      <c r="F4097" s="1" t="s">
        <v>84</v>
      </c>
      <c r="G4097" s="1" t="s">
        <v>31</v>
      </c>
      <c r="H4097" s="1" t="s">
        <v>32</v>
      </c>
      <c r="I4097" s="1">
        <v>288.44</v>
      </c>
      <c r="J4097" s="1">
        <v>2</v>
      </c>
      <c r="K4097" s="1">
        <v>576.88</v>
      </c>
      <c r="L4097" s="1">
        <v>10</v>
      </c>
      <c r="M4097" s="1">
        <v>57.69</v>
      </c>
      <c r="N4097" s="1">
        <v>519.19000000000005</v>
      </c>
      <c r="O4097" s="1" t="s">
        <v>64</v>
      </c>
      <c r="P4097" s="1" t="s">
        <v>2301</v>
      </c>
      <c r="Q4097" s="1">
        <v>3</v>
      </c>
      <c r="R4097" s="1">
        <f>Retail_Sales_Analyis[[#This Row],[Final_Price]]-Retail_Sales_Analyis[[#This Row],[Total_Price]]</f>
        <v>-57.689999999999941</v>
      </c>
      <c r="S40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098" spans="1:19" x14ac:dyDescent="0.25">
      <c r="A4098" s="1" t="s">
        <v>5222</v>
      </c>
      <c r="B4098" s="2">
        <v>45487</v>
      </c>
      <c r="C4098" s="1" t="s">
        <v>195</v>
      </c>
      <c r="D4098" s="1" t="s">
        <v>49</v>
      </c>
      <c r="E4098" s="1" t="s">
        <v>94</v>
      </c>
      <c r="F4098" s="1" t="s">
        <v>84</v>
      </c>
      <c r="G4098" s="1" t="s">
        <v>85</v>
      </c>
      <c r="H4098" s="1" t="s">
        <v>86</v>
      </c>
      <c r="I4098" s="1">
        <v>2294.52</v>
      </c>
      <c r="J4098" s="1">
        <v>8</v>
      </c>
      <c r="K4098" s="1">
        <v>18356.16</v>
      </c>
      <c r="L4098" s="1">
        <v>0</v>
      </c>
      <c r="M4098" s="1">
        <v>0</v>
      </c>
      <c r="N4098" s="1">
        <v>18356.16</v>
      </c>
      <c r="O4098" s="1" t="s">
        <v>64</v>
      </c>
      <c r="P4098" s="1" t="s">
        <v>884</v>
      </c>
      <c r="Q4098" s="1">
        <v>4</v>
      </c>
      <c r="R4098" s="1">
        <f>Retail_Sales_Analyis[[#This Row],[Final_Price]]-Retail_Sales_Analyis[[#This Row],[Total_Price]]</f>
        <v>0</v>
      </c>
      <c r="S40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099" spans="1:19" x14ac:dyDescent="0.25">
      <c r="A4099" s="1" t="s">
        <v>5223</v>
      </c>
      <c r="B4099" s="2">
        <v>45641</v>
      </c>
      <c r="C4099" s="1" t="s">
        <v>73</v>
      </c>
      <c r="D4099" s="1" t="s">
        <v>49</v>
      </c>
      <c r="E4099" s="1" t="s">
        <v>125</v>
      </c>
      <c r="F4099" s="1" t="s">
        <v>69</v>
      </c>
      <c r="G4099" s="1" t="s">
        <v>22</v>
      </c>
      <c r="H4099" s="1" t="s">
        <v>51</v>
      </c>
      <c r="I4099" s="1">
        <v>958.42</v>
      </c>
      <c r="J4099" s="1">
        <v>6</v>
      </c>
      <c r="K4099" s="1">
        <v>5750.52</v>
      </c>
      <c r="L4099" s="1">
        <v>0</v>
      </c>
      <c r="M4099" s="1">
        <v>0</v>
      </c>
      <c r="N4099" s="1">
        <v>5750.52</v>
      </c>
      <c r="O4099" s="1" t="s">
        <v>46</v>
      </c>
      <c r="P4099" s="1" t="s">
        <v>295</v>
      </c>
      <c r="Q4099" s="1">
        <v>3</v>
      </c>
      <c r="R4099" s="1">
        <f>Retail_Sales_Analyis[[#This Row],[Final_Price]]-Retail_Sales_Analyis[[#This Row],[Total_Price]]</f>
        <v>0</v>
      </c>
      <c r="S40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00" spans="1:19" x14ac:dyDescent="0.25">
      <c r="A4100" s="1" t="s">
        <v>5224</v>
      </c>
      <c r="B4100" s="2">
        <v>45510</v>
      </c>
      <c r="C4100" s="1" t="s">
        <v>93</v>
      </c>
      <c r="D4100" s="1" t="s">
        <v>28</v>
      </c>
      <c r="E4100" s="1" t="s">
        <v>141</v>
      </c>
      <c r="F4100" s="1" t="s">
        <v>21</v>
      </c>
      <c r="G4100" s="1" t="s">
        <v>85</v>
      </c>
      <c r="H4100" s="1" t="s">
        <v>180</v>
      </c>
      <c r="I4100" s="1">
        <v>2773.61</v>
      </c>
      <c r="J4100" s="1">
        <v>5</v>
      </c>
      <c r="K4100" s="1">
        <v>13868.05</v>
      </c>
      <c r="L4100" s="1">
        <v>20</v>
      </c>
      <c r="M4100" s="1">
        <v>2773.61</v>
      </c>
      <c r="N4100" s="1">
        <v>11094.44</v>
      </c>
      <c r="O4100" s="1" t="s">
        <v>46</v>
      </c>
      <c r="P4100" s="1" t="s">
        <v>315</v>
      </c>
      <c r="Q4100" s="1">
        <v>5</v>
      </c>
      <c r="R4100" s="1">
        <f>Retail_Sales_Analyis[[#This Row],[Final_Price]]-Retail_Sales_Analyis[[#This Row],[Total_Price]]</f>
        <v>-2773.6099999999988</v>
      </c>
      <c r="S410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01" spans="1:19" x14ac:dyDescent="0.25">
      <c r="A4101" s="1" t="s">
        <v>5225</v>
      </c>
      <c r="B4101" s="2">
        <v>45380</v>
      </c>
      <c r="C4101" s="1" t="s">
        <v>61</v>
      </c>
      <c r="D4101" s="1" t="s">
        <v>144</v>
      </c>
      <c r="E4101" s="1" t="s">
        <v>139</v>
      </c>
      <c r="F4101" s="1" t="s">
        <v>30</v>
      </c>
      <c r="G4101" s="1" t="s">
        <v>78</v>
      </c>
      <c r="H4101" s="1" t="s">
        <v>146</v>
      </c>
      <c r="I4101" s="1">
        <v>474.14</v>
      </c>
      <c r="J4101" s="1">
        <v>10</v>
      </c>
      <c r="K4101" s="1">
        <v>4741.3999999999996</v>
      </c>
      <c r="L4101" s="1">
        <v>10</v>
      </c>
      <c r="M4101" s="1">
        <v>474.14</v>
      </c>
      <c r="N4101" s="1">
        <v>4267.26</v>
      </c>
      <c r="O4101" s="1" t="s">
        <v>24</v>
      </c>
      <c r="P4101" s="1" t="s">
        <v>217</v>
      </c>
      <c r="Q4101" s="1">
        <v>1</v>
      </c>
      <c r="R4101" s="1">
        <f>Retail_Sales_Analyis[[#This Row],[Final_Price]]-Retail_Sales_Analyis[[#This Row],[Total_Price]]</f>
        <v>-474.13999999999942</v>
      </c>
      <c r="S41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02" spans="1:19" x14ac:dyDescent="0.25">
      <c r="A4102" s="1" t="s">
        <v>5226</v>
      </c>
      <c r="B4102" s="2">
        <v>45473</v>
      </c>
      <c r="C4102" s="1" t="s">
        <v>173</v>
      </c>
      <c r="D4102" s="1" t="s">
        <v>49</v>
      </c>
      <c r="E4102" s="1" t="s">
        <v>29</v>
      </c>
      <c r="F4102" s="1" t="s">
        <v>21</v>
      </c>
      <c r="G4102" s="1" t="s">
        <v>169</v>
      </c>
      <c r="H4102" s="1" t="s">
        <v>208</v>
      </c>
      <c r="I4102" s="1">
        <v>1282.72</v>
      </c>
      <c r="J4102" s="1">
        <v>6</v>
      </c>
      <c r="K4102" s="1">
        <v>7696.32</v>
      </c>
      <c r="L4102" s="1">
        <v>15</v>
      </c>
      <c r="M4102" s="1">
        <v>1154.45</v>
      </c>
      <c r="N4102" s="1">
        <v>6541.87</v>
      </c>
      <c r="O4102" s="1" t="s">
        <v>33</v>
      </c>
      <c r="P4102" s="1" t="s">
        <v>1502</v>
      </c>
      <c r="Q4102" s="1">
        <v>4</v>
      </c>
      <c r="R4102" s="1">
        <f>Retail_Sales_Analyis[[#This Row],[Final_Price]]-Retail_Sales_Analyis[[#This Row],[Total_Price]]</f>
        <v>-1154.4499999999998</v>
      </c>
      <c r="S41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03" spans="1:19" x14ac:dyDescent="0.25">
      <c r="A4103" s="1" t="s">
        <v>5227</v>
      </c>
      <c r="B4103" s="2">
        <v>45401</v>
      </c>
      <c r="C4103" s="1" t="s">
        <v>54</v>
      </c>
      <c r="D4103" s="1" t="s">
        <v>144</v>
      </c>
      <c r="E4103" s="1" t="s">
        <v>342</v>
      </c>
      <c r="F4103" s="1" t="s">
        <v>30</v>
      </c>
      <c r="G4103" s="1" t="s">
        <v>78</v>
      </c>
      <c r="H4103" s="1" t="s">
        <v>79</v>
      </c>
      <c r="I4103" s="1">
        <v>293.89999999999998</v>
      </c>
      <c r="J4103" s="1">
        <v>7</v>
      </c>
      <c r="K4103" s="1">
        <v>2057.3000000000002</v>
      </c>
      <c r="L4103" s="1">
        <v>0</v>
      </c>
      <c r="M4103" s="1">
        <v>0</v>
      </c>
      <c r="N4103" s="1">
        <v>2057.3000000000002</v>
      </c>
      <c r="O4103" s="1" t="s">
        <v>33</v>
      </c>
      <c r="P4103" s="1" t="s">
        <v>665</v>
      </c>
      <c r="Q4103" s="1">
        <v>4</v>
      </c>
      <c r="R4103" s="1">
        <f>Retail_Sales_Analyis[[#This Row],[Final_Price]]-Retail_Sales_Analyis[[#This Row],[Total_Price]]</f>
        <v>0</v>
      </c>
      <c r="S41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04" spans="1:19" x14ac:dyDescent="0.25">
      <c r="A4104" s="1" t="s">
        <v>5228</v>
      </c>
      <c r="B4104" s="2">
        <v>45387</v>
      </c>
      <c r="C4104" s="1" t="s">
        <v>54</v>
      </c>
      <c r="D4104" s="1" t="s">
        <v>144</v>
      </c>
      <c r="E4104" s="1" t="s">
        <v>117</v>
      </c>
      <c r="F4104" s="1" t="s">
        <v>21</v>
      </c>
      <c r="G4104" s="1" t="s">
        <v>22</v>
      </c>
      <c r="H4104" s="1" t="s">
        <v>187</v>
      </c>
      <c r="I4104" s="1">
        <v>207.4</v>
      </c>
      <c r="J4104" s="1">
        <v>10</v>
      </c>
      <c r="K4104" s="1">
        <v>2074</v>
      </c>
      <c r="L4104" s="1">
        <v>10</v>
      </c>
      <c r="M4104" s="1">
        <v>207.4</v>
      </c>
      <c r="N4104" s="1">
        <v>1866.6</v>
      </c>
      <c r="O4104" s="1" t="s">
        <v>64</v>
      </c>
      <c r="P4104" s="1" t="s">
        <v>2543</v>
      </c>
      <c r="Q4104" s="1">
        <v>5</v>
      </c>
      <c r="R4104" s="1">
        <f>Retail_Sales_Analyis[[#This Row],[Final_Price]]-Retail_Sales_Analyis[[#This Row],[Total_Price]]</f>
        <v>-207.40000000000009</v>
      </c>
      <c r="S41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05" spans="1:19" x14ac:dyDescent="0.25">
      <c r="A4105" s="1" t="s">
        <v>5229</v>
      </c>
      <c r="B4105" s="2">
        <v>45432</v>
      </c>
      <c r="C4105" s="1" t="s">
        <v>42</v>
      </c>
      <c r="D4105" s="1" t="s">
        <v>43</v>
      </c>
      <c r="E4105" s="1" t="s">
        <v>213</v>
      </c>
      <c r="F4105" s="1" t="s">
        <v>69</v>
      </c>
      <c r="G4105" s="1" t="s">
        <v>57</v>
      </c>
      <c r="H4105" s="1" t="s">
        <v>158</v>
      </c>
      <c r="I4105" s="1">
        <v>1414.97</v>
      </c>
      <c r="J4105" s="1">
        <v>1</v>
      </c>
      <c r="K4105" s="1">
        <v>1414.97</v>
      </c>
      <c r="L4105" s="1">
        <v>0</v>
      </c>
      <c r="M4105" s="1">
        <v>0</v>
      </c>
      <c r="N4105" s="1">
        <v>1414.97</v>
      </c>
      <c r="O4105" s="1" t="s">
        <v>33</v>
      </c>
      <c r="P4105" s="1" t="s">
        <v>2208</v>
      </c>
      <c r="Q4105" s="1">
        <v>3</v>
      </c>
      <c r="R4105" s="1">
        <f>Retail_Sales_Analyis[[#This Row],[Final_Price]]-Retail_Sales_Analyis[[#This Row],[Total_Price]]</f>
        <v>0</v>
      </c>
      <c r="S41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06" spans="1:19" x14ac:dyDescent="0.25">
      <c r="A4106" s="1" t="s">
        <v>5230</v>
      </c>
      <c r="B4106" s="2">
        <v>45435</v>
      </c>
      <c r="C4106" s="1" t="s">
        <v>42</v>
      </c>
      <c r="D4106" s="1" t="s">
        <v>67</v>
      </c>
      <c r="E4106" s="1" t="s">
        <v>145</v>
      </c>
      <c r="F4106" s="1" t="s">
        <v>84</v>
      </c>
      <c r="G4106" s="1" t="s">
        <v>57</v>
      </c>
      <c r="H4106" s="1" t="s">
        <v>158</v>
      </c>
      <c r="I4106" s="1">
        <v>2290.35</v>
      </c>
      <c r="J4106" s="1">
        <v>6</v>
      </c>
      <c r="K4106" s="1">
        <v>13742.1</v>
      </c>
      <c r="L4106" s="1">
        <v>5</v>
      </c>
      <c r="M4106" s="1">
        <v>687.11</v>
      </c>
      <c r="N4106" s="1">
        <v>13054.99</v>
      </c>
      <c r="O4106" s="1" t="s">
        <v>64</v>
      </c>
      <c r="P4106" s="1" t="s">
        <v>1877</v>
      </c>
      <c r="Q4106" s="1">
        <v>2</v>
      </c>
      <c r="R4106" s="1">
        <f>Retail_Sales_Analyis[[#This Row],[Final_Price]]-Retail_Sales_Analyis[[#This Row],[Total_Price]]</f>
        <v>-687.11000000000058</v>
      </c>
      <c r="S41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07" spans="1:19" x14ac:dyDescent="0.25">
      <c r="A4107" s="1" t="s">
        <v>5231</v>
      </c>
      <c r="B4107" s="2">
        <v>45520</v>
      </c>
      <c r="C4107" s="1" t="s">
        <v>93</v>
      </c>
      <c r="D4107" s="1" t="s">
        <v>144</v>
      </c>
      <c r="E4107" s="1" t="s">
        <v>312</v>
      </c>
      <c r="F4107" s="1" t="s">
        <v>37</v>
      </c>
      <c r="G4107" s="1" t="s">
        <v>85</v>
      </c>
      <c r="H4107" s="1" t="s">
        <v>98</v>
      </c>
      <c r="I4107" s="1">
        <v>2202.61</v>
      </c>
      <c r="J4107" s="1">
        <v>6</v>
      </c>
      <c r="K4107" s="1">
        <v>13215.66</v>
      </c>
      <c r="L4107" s="1">
        <v>0</v>
      </c>
      <c r="M4107" s="1">
        <v>0</v>
      </c>
      <c r="N4107" s="1">
        <v>13215.66</v>
      </c>
      <c r="O4107" s="1" t="s">
        <v>46</v>
      </c>
      <c r="P4107" s="1" t="s">
        <v>1073</v>
      </c>
      <c r="Q4107" s="1">
        <v>3</v>
      </c>
      <c r="R4107" s="1">
        <f>Retail_Sales_Analyis[[#This Row],[Final_Price]]-Retail_Sales_Analyis[[#This Row],[Total_Price]]</f>
        <v>0</v>
      </c>
      <c r="S41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08" spans="1:19" x14ac:dyDescent="0.25">
      <c r="A4108" s="1" t="s">
        <v>5232</v>
      </c>
      <c r="B4108" s="2">
        <v>45368</v>
      </c>
      <c r="C4108" s="1" t="s">
        <v>61</v>
      </c>
      <c r="D4108" s="1" t="s">
        <v>49</v>
      </c>
      <c r="E4108" s="1" t="s">
        <v>328</v>
      </c>
      <c r="F4108" s="1" t="s">
        <v>21</v>
      </c>
      <c r="G4108" s="1" t="s">
        <v>169</v>
      </c>
      <c r="H4108" s="1" t="s">
        <v>175</v>
      </c>
      <c r="I4108" s="1">
        <v>1336.29</v>
      </c>
      <c r="J4108" s="1">
        <v>6</v>
      </c>
      <c r="K4108" s="1">
        <v>8017.74</v>
      </c>
      <c r="L4108" s="1">
        <v>15</v>
      </c>
      <c r="M4108" s="1">
        <v>1202.6600000000001</v>
      </c>
      <c r="N4108" s="1">
        <v>6815.08</v>
      </c>
      <c r="O4108" s="1" t="s">
        <v>33</v>
      </c>
      <c r="P4108" s="1" t="s">
        <v>3286</v>
      </c>
      <c r="Q4108" s="1">
        <v>5</v>
      </c>
      <c r="R4108" s="1">
        <f>Retail_Sales_Analyis[[#This Row],[Final_Price]]-Retail_Sales_Analyis[[#This Row],[Total_Price]]</f>
        <v>-1202.6599999999999</v>
      </c>
      <c r="S41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09" spans="1:19" x14ac:dyDescent="0.25">
      <c r="A4109" s="1" t="s">
        <v>5233</v>
      </c>
      <c r="B4109" s="2">
        <v>45309</v>
      </c>
      <c r="C4109" s="1" t="s">
        <v>36</v>
      </c>
      <c r="D4109" s="1" t="s">
        <v>67</v>
      </c>
      <c r="E4109" s="1" t="s">
        <v>285</v>
      </c>
      <c r="F4109" s="1" t="s">
        <v>21</v>
      </c>
      <c r="G4109" s="1" t="s">
        <v>57</v>
      </c>
      <c r="H4109" s="1" t="s">
        <v>122</v>
      </c>
      <c r="I4109" s="1">
        <v>1722.96</v>
      </c>
      <c r="J4109" s="1">
        <v>4</v>
      </c>
      <c r="K4109" s="1">
        <v>6891.84</v>
      </c>
      <c r="L4109" s="1">
        <v>20</v>
      </c>
      <c r="M4109" s="1">
        <v>1378.37</v>
      </c>
      <c r="N4109" s="1">
        <v>5513.47</v>
      </c>
      <c r="O4109" s="1" t="s">
        <v>64</v>
      </c>
      <c r="P4109" s="1" t="s">
        <v>601</v>
      </c>
      <c r="Q4109" s="1">
        <v>3</v>
      </c>
      <c r="R4109" s="1">
        <f>Retail_Sales_Analyis[[#This Row],[Final_Price]]-Retail_Sales_Analyis[[#This Row],[Total_Price]]</f>
        <v>-1378.37</v>
      </c>
      <c r="S41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10" spans="1:19" x14ac:dyDescent="0.25">
      <c r="A4110" s="1" t="s">
        <v>5234</v>
      </c>
      <c r="B4110" s="2">
        <v>45606</v>
      </c>
      <c r="C4110" s="1" t="s">
        <v>18</v>
      </c>
      <c r="D4110" s="1" t="s">
        <v>49</v>
      </c>
      <c r="E4110" s="1" t="s">
        <v>97</v>
      </c>
      <c r="F4110" s="1" t="s">
        <v>84</v>
      </c>
      <c r="G4110" s="1" t="s">
        <v>169</v>
      </c>
      <c r="H4110" s="1" t="s">
        <v>348</v>
      </c>
      <c r="I4110" s="1">
        <v>432.12</v>
      </c>
      <c r="J4110" s="1">
        <v>9</v>
      </c>
      <c r="K4110" s="1">
        <v>3889.08</v>
      </c>
      <c r="L4110" s="1">
        <v>15</v>
      </c>
      <c r="M4110" s="1">
        <v>583.36</v>
      </c>
      <c r="N4110" s="1">
        <v>3305.72</v>
      </c>
      <c r="O4110" s="1" t="s">
        <v>33</v>
      </c>
      <c r="P4110" s="1" t="s">
        <v>465</v>
      </c>
      <c r="Q4110" s="1">
        <v>2</v>
      </c>
      <c r="R4110" s="1">
        <f>Retail_Sales_Analyis[[#This Row],[Final_Price]]-Retail_Sales_Analyis[[#This Row],[Total_Price]]</f>
        <v>-583.36000000000013</v>
      </c>
      <c r="S41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11" spans="1:19" x14ac:dyDescent="0.25">
      <c r="A4111" s="1" t="s">
        <v>5235</v>
      </c>
      <c r="B4111" s="2">
        <v>45609</v>
      </c>
      <c r="C4111" s="1" t="s">
        <v>18</v>
      </c>
      <c r="D4111" s="1" t="s">
        <v>55</v>
      </c>
      <c r="E4111" s="1" t="s">
        <v>145</v>
      </c>
      <c r="F4111" s="1" t="s">
        <v>69</v>
      </c>
      <c r="G4111" s="1" t="s">
        <v>22</v>
      </c>
      <c r="H4111" s="1" t="s">
        <v>187</v>
      </c>
      <c r="I4111" s="1">
        <v>948.42</v>
      </c>
      <c r="J4111" s="1">
        <v>5</v>
      </c>
      <c r="K4111" s="1">
        <v>4742.1000000000004</v>
      </c>
      <c r="L4111" s="1">
        <v>5</v>
      </c>
      <c r="M4111" s="1">
        <v>237.11</v>
      </c>
      <c r="N4111" s="1">
        <v>4504.99</v>
      </c>
      <c r="O4111" s="1" t="s">
        <v>33</v>
      </c>
      <c r="P4111" s="1" t="s">
        <v>528</v>
      </c>
      <c r="Q4111" s="1">
        <v>2</v>
      </c>
      <c r="R4111" s="1">
        <f>Retail_Sales_Analyis[[#This Row],[Final_Price]]-Retail_Sales_Analyis[[#This Row],[Total_Price]]</f>
        <v>-237.11000000000058</v>
      </c>
      <c r="S41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12" spans="1:19" x14ac:dyDescent="0.25">
      <c r="A4112" s="1" t="s">
        <v>5236</v>
      </c>
      <c r="B4112" s="2">
        <v>45607</v>
      </c>
      <c r="C4112" s="1" t="s">
        <v>18</v>
      </c>
      <c r="D4112" s="1" t="s">
        <v>43</v>
      </c>
      <c r="E4112" s="1" t="s">
        <v>174</v>
      </c>
      <c r="F4112" s="1" t="s">
        <v>21</v>
      </c>
      <c r="G4112" s="1" t="s">
        <v>57</v>
      </c>
      <c r="H4112" s="1" t="s">
        <v>122</v>
      </c>
      <c r="I4112" s="1">
        <v>1164.72</v>
      </c>
      <c r="J4112" s="1">
        <v>5</v>
      </c>
      <c r="K4112" s="1">
        <v>5823.6</v>
      </c>
      <c r="L4112" s="1">
        <v>5</v>
      </c>
      <c r="M4112" s="1">
        <v>291.18</v>
      </c>
      <c r="N4112" s="1">
        <v>5532.42</v>
      </c>
      <c r="O4112" s="1" t="s">
        <v>80</v>
      </c>
      <c r="P4112" s="1" t="s">
        <v>334</v>
      </c>
      <c r="Q4112" s="1">
        <v>4</v>
      </c>
      <c r="R4112" s="1">
        <f>Retail_Sales_Analyis[[#This Row],[Final_Price]]-Retail_Sales_Analyis[[#This Row],[Total_Price]]</f>
        <v>-291.18000000000029</v>
      </c>
      <c r="S41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13" spans="1:19" x14ac:dyDescent="0.25">
      <c r="A4113" s="1" t="s">
        <v>5237</v>
      </c>
      <c r="B4113" s="2">
        <v>45417</v>
      </c>
      <c r="C4113" s="1" t="s">
        <v>42</v>
      </c>
      <c r="D4113" s="1" t="s">
        <v>49</v>
      </c>
      <c r="E4113" s="1" t="s">
        <v>129</v>
      </c>
      <c r="F4113" s="1" t="s">
        <v>84</v>
      </c>
      <c r="G4113" s="1" t="s">
        <v>169</v>
      </c>
      <c r="H4113" s="1" t="s">
        <v>170</v>
      </c>
      <c r="I4113" s="1">
        <v>1489.05</v>
      </c>
      <c r="J4113" s="1">
        <v>4</v>
      </c>
      <c r="K4113" s="1">
        <v>5956.2</v>
      </c>
      <c r="L4113" s="1">
        <v>0</v>
      </c>
      <c r="M4113" s="1">
        <v>0</v>
      </c>
      <c r="N4113" s="1">
        <v>5956.2</v>
      </c>
      <c r="O4113" s="1" t="s">
        <v>80</v>
      </c>
      <c r="P4113" s="1" t="s">
        <v>1773</v>
      </c>
      <c r="Q4113" s="1">
        <v>2</v>
      </c>
      <c r="R4113" s="1">
        <f>Retail_Sales_Analyis[[#This Row],[Final_Price]]-Retail_Sales_Analyis[[#This Row],[Total_Price]]</f>
        <v>0</v>
      </c>
      <c r="S41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14" spans="1:19" x14ac:dyDescent="0.25">
      <c r="A4114" s="1" t="s">
        <v>5238</v>
      </c>
      <c r="B4114" s="2">
        <v>45623</v>
      </c>
      <c r="C4114" s="1" t="s">
        <v>18</v>
      </c>
      <c r="D4114" s="1" t="s">
        <v>55</v>
      </c>
      <c r="E4114" s="1" t="s">
        <v>213</v>
      </c>
      <c r="F4114" s="1" t="s">
        <v>37</v>
      </c>
      <c r="G4114" s="1" t="s">
        <v>38</v>
      </c>
      <c r="H4114" s="1" t="s">
        <v>39</v>
      </c>
      <c r="I4114" s="1">
        <v>640.33000000000004</v>
      </c>
      <c r="J4114" s="1">
        <v>3</v>
      </c>
      <c r="K4114" s="1">
        <v>1920.99</v>
      </c>
      <c r="L4114" s="1">
        <v>15</v>
      </c>
      <c r="M4114" s="1">
        <v>288.14999999999998</v>
      </c>
      <c r="N4114" s="1">
        <v>1632.84</v>
      </c>
      <c r="O4114" s="1" t="s">
        <v>64</v>
      </c>
      <c r="P4114" s="1" t="s">
        <v>478</v>
      </c>
      <c r="Q4114" s="1">
        <v>2</v>
      </c>
      <c r="R4114" s="1">
        <f>Retail_Sales_Analyis[[#This Row],[Final_Price]]-Retail_Sales_Analyis[[#This Row],[Total_Price]]</f>
        <v>-288.15000000000009</v>
      </c>
      <c r="S41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15" spans="1:19" x14ac:dyDescent="0.25">
      <c r="A4115" s="1" t="s">
        <v>5239</v>
      </c>
      <c r="B4115" s="2">
        <v>45443</v>
      </c>
      <c r="C4115" s="1" t="s">
        <v>42</v>
      </c>
      <c r="D4115" s="1" t="s">
        <v>144</v>
      </c>
      <c r="E4115" s="1" t="s">
        <v>307</v>
      </c>
      <c r="F4115" s="1" t="s">
        <v>30</v>
      </c>
      <c r="G4115" s="1" t="s">
        <v>22</v>
      </c>
      <c r="H4115" s="1" t="s">
        <v>23</v>
      </c>
      <c r="I4115" s="1">
        <v>478.81</v>
      </c>
      <c r="J4115" s="1">
        <v>10</v>
      </c>
      <c r="K4115" s="1">
        <v>4788.1000000000004</v>
      </c>
      <c r="L4115" s="1">
        <v>0</v>
      </c>
      <c r="M4115" s="1">
        <v>0</v>
      </c>
      <c r="N4115" s="1">
        <v>4788.1000000000004</v>
      </c>
      <c r="O4115" s="1" t="s">
        <v>24</v>
      </c>
      <c r="P4115" s="1" t="s">
        <v>2988</v>
      </c>
      <c r="Q4115" s="1">
        <v>5</v>
      </c>
      <c r="R4115" s="1">
        <f>Retail_Sales_Analyis[[#This Row],[Final_Price]]-Retail_Sales_Analyis[[#This Row],[Total_Price]]</f>
        <v>0</v>
      </c>
      <c r="S41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16" spans="1:19" x14ac:dyDescent="0.25">
      <c r="A4116" s="1" t="s">
        <v>5240</v>
      </c>
      <c r="B4116" s="2">
        <v>45547</v>
      </c>
      <c r="C4116" s="1" t="s">
        <v>116</v>
      </c>
      <c r="D4116" s="1" t="s">
        <v>67</v>
      </c>
      <c r="E4116" s="1" t="s">
        <v>141</v>
      </c>
      <c r="F4116" s="1" t="s">
        <v>84</v>
      </c>
      <c r="G4116" s="1" t="s">
        <v>78</v>
      </c>
      <c r="H4116" s="1" t="s">
        <v>323</v>
      </c>
      <c r="I4116" s="1">
        <v>178.99</v>
      </c>
      <c r="J4116" s="1">
        <v>9</v>
      </c>
      <c r="K4116" s="1">
        <v>1610.91</v>
      </c>
      <c r="L4116" s="1">
        <v>10</v>
      </c>
      <c r="M4116" s="1">
        <v>161.09</v>
      </c>
      <c r="N4116" s="1">
        <v>1449.82</v>
      </c>
      <c r="O4116" s="1" t="s">
        <v>64</v>
      </c>
      <c r="P4116" s="1" t="s">
        <v>682</v>
      </c>
      <c r="Q4116" s="1">
        <v>3</v>
      </c>
      <c r="R4116" s="1">
        <f>Retail_Sales_Analyis[[#This Row],[Final_Price]]-Retail_Sales_Analyis[[#This Row],[Total_Price]]</f>
        <v>-161.09000000000015</v>
      </c>
      <c r="S41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17" spans="1:19" x14ac:dyDescent="0.25">
      <c r="A4117" s="1" t="s">
        <v>5241</v>
      </c>
      <c r="B4117" s="2">
        <v>45502</v>
      </c>
      <c r="C4117" s="1" t="s">
        <v>195</v>
      </c>
      <c r="D4117" s="1" t="s">
        <v>43</v>
      </c>
      <c r="E4117" s="1" t="s">
        <v>207</v>
      </c>
      <c r="F4117" s="1" t="s">
        <v>21</v>
      </c>
      <c r="G4117" s="1" t="s">
        <v>57</v>
      </c>
      <c r="H4117" s="1" t="s">
        <v>152</v>
      </c>
      <c r="I4117" s="1">
        <v>931.58</v>
      </c>
      <c r="J4117" s="1">
        <v>1</v>
      </c>
      <c r="K4117" s="1">
        <v>931.58</v>
      </c>
      <c r="L4117" s="1">
        <v>0</v>
      </c>
      <c r="M4117" s="1">
        <v>0</v>
      </c>
      <c r="N4117" s="1">
        <v>931.58</v>
      </c>
      <c r="O4117" s="1" t="s">
        <v>64</v>
      </c>
      <c r="P4117" s="1" t="s">
        <v>784</v>
      </c>
      <c r="Q4117" s="1">
        <v>3</v>
      </c>
      <c r="R4117" s="1">
        <f>Retail_Sales_Analyis[[#This Row],[Final_Price]]-Retail_Sales_Analyis[[#This Row],[Total_Price]]</f>
        <v>0</v>
      </c>
      <c r="S41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18" spans="1:19" x14ac:dyDescent="0.25">
      <c r="A4118" s="1" t="s">
        <v>5242</v>
      </c>
      <c r="B4118" s="2">
        <v>45573</v>
      </c>
      <c r="C4118" s="1" t="s">
        <v>76</v>
      </c>
      <c r="D4118" s="1" t="s">
        <v>28</v>
      </c>
      <c r="E4118" s="1" t="s">
        <v>104</v>
      </c>
      <c r="F4118" s="1" t="s">
        <v>30</v>
      </c>
      <c r="G4118" s="1" t="s">
        <v>57</v>
      </c>
      <c r="H4118" s="1" t="s">
        <v>101</v>
      </c>
      <c r="I4118" s="1">
        <v>1614.24</v>
      </c>
      <c r="J4118" s="1">
        <v>7</v>
      </c>
      <c r="K4118" s="1">
        <v>11299.68</v>
      </c>
      <c r="L4118" s="1">
        <v>5</v>
      </c>
      <c r="M4118" s="1">
        <v>564.98</v>
      </c>
      <c r="N4118" s="1">
        <v>10734.7</v>
      </c>
      <c r="O4118" s="1" t="s">
        <v>64</v>
      </c>
      <c r="P4118" s="1" t="s">
        <v>961</v>
      </c>
      <c r="Q4118" s="1">
        <v>3</v>
      </c>
      <c r="R4118" s="1">
        <f>Retail_Sales_Analyis[[#This Row],[Final_Price]]-Retail_Sales_Analyis[[#This Row],[Total_Price]]</f>
        <v>-564.97999999999956</v>
      </c>
      <c r="S411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19" spans="1:19" x14ac:dyDescent="0.25">
      <c r="A4119" s="1" t="s">
        <v>5243</v>
      </c>
      <c r="B4119" s="2">
        <v>45537</v>
      </c>
      <c r="C4119" s="1" t="s">
        <v>116</v>
      </c>
      <c r="D4119" s="1" t="s">
        <v>43</v>
      </c>
      <c r="E4119" s="1" t="s">
        <v>307</v>
      </c>
      <c r="F4119" s="1" t="s">
        <v>69</v>
      </c>
      <c r="G4119" s="1" t="s">
        <v>112</v>
      </c>
      <c r="H4119" s="1" t="s">
        <v>118</v>
      </c>
      <c r="I4119" s="1">
        <v>1975.78</v>
      </c>
      <c r="J4119" s="1">
        <v>10</v>
      </c>
      <c r="K4119" s="1">
        <v>19757.8</v>
      </c>
      <c r="L4119" s="1">
        <v>20</v>
      </c>
      <c r="M4119" s="1">
        <v>3951.56</v>
      </c>
      <c r="N4119" s="1">
        <v>15806.24</v>
      </c>
      <c r="O4119" s="1" t="s">
        <v>80</v>
      </c>
      <c r="P4119" s="1" t="s">
        <v>265</v>
      </c>
      <c r="Q4119" s="1">
        <v>4</v>
      </c>
      <c r="R4119" s="1">
        <f>Retail_Sales_Analyis[[#This Row],[Final_Price]]-Retail_Sales_Analyis[[#This Row],[Total_Price]]</f>
        <v>-3951.5599999999995</v>
      </c>
      <c r="S41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20" spans="1:19" x14ac:dyDescent="0.25">
      <c r="A4120" s="1" t="s">
        <v>5244</v>
      </c>
      <c r="B4120" s="2">
        <v>45323</v>
      </c>
      <c r="C4120" s="1" t="s">
        <v>27</v>
      </c>
      <c r="D4120" s="1" t="s">
        <v>67</v>
      </c>
      <c r="E4120" s="1" t="s">
        <v>186</v>
      </c>
      <c r="F4120" s="1" t="s">
        <v>21</v>
      </c>
      <c r="G4120" s="1" t="s">
        <v>22</v>
      </c>
      <c r="H4120" s="1" t="s">
        <v>187</v>
      </c>
      <c r="I4120" s="1">
        <v>667.37</v>
      </c>
      <c r="J4120" s="1">
        <v>7</v>
      </c>
      <c r="K4120" s="1">
        <v>4671.59</v>
      </c>
      <c r="L4120" s="1">
        <v>15</v>
      </c>
      <c r="M4120" s="1">
        <v>700.74</v>
      </c>
      <c r="N4120" s="1">
        <v>3970.85</v>
      </c>
      <c r="O4120" s="1" t="s">
        <v>64</v>
      </c>
      <c r="P4120" s="1" t="s">
        <v>1851</v>
      </c>
      <c r="Q4120" s="1">
        <v>1</v>
      </c>
      <c r="R4120" s="1">
        <f>Retail_Sales_Analyis[[#This Row],[Final_Price]]-Retail_Sales_Analyis[[#This Row],[Total_Price]]</f>
        <v>-700.74000000000024</v>
      </c>
      <c r="S41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21" spans="1:19" x14ac:dyDescent="0.25">
      <c r="A4121" s="1" t="s">
        <v>5245</v>
      </c>
      <c r="B4121" s="2">
        <v>45336</v>
      </c>
      <c r="C4121" s="1" t="s">
        <v>27</v>
      </c>
      <c r="D4121" s="1" t="s">
        <v>55</v>
      </c>
      <c r="E4121" s="1" t="s">
        <v>141</v>
      </c>
      <c r="F4121" s="1" t="s">
        <v>30</v>
      </c>
      <c r="G4121" s="1" t="s">
        <v>78</v>
      </c>
      <c r="H4121" s="1" t="s">
        <v>79</v>
      </c>
      <c r="I4121" s="1">
        <v>386.03</v>
      </c>
      <c r="J4121" s="1">
        <v>3</v>
      </c>
      <c r="K4121" s="1">
        <v>1158.0899999999999</v>
      </c>
      <c r="L4121" s="1">
        <v>20</v>
      </c>
      <c r="M4121" s="1">
        <v>231.62</v>
      </c>
      <c r="N4121" s="1">
        <v>926.47</v>
      </c>
      <c r="O4121" s="1" t="s">
        <v>80</v>
      </c>
      <c r="P4121" s="1" t="s">
        <v>3471</v>
      </c>
      <c r="Q4121" s="1">
        <v>4</v>
      </c>
      <c r="R4121" s="1">
        <f>Retail_Sales_Analyis[[#This Row],[Final_Price]]-Retail_Sales_Analyis[[#This Row],[Total_Price]]</f>
        <v>-231.61999999999989</v>
      </c>
      <c r="S41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22" spans="1:19" x14ac:dyDescent="0.25">
      <c r="A4122" s="1" t="s">
        <v>5246</v>
      </c>
      <c r="B4122" s="2">
        <v>45435</v>
      </c>
      <c r="C4122" s="1" t="s">
        <v>42</v>
      </c>
      <c r="D4122" s="1" t="s">
        <v>67</v>
      </c>
      <c r="E4122" s="1" t="s">
        <v>129</v>
      </c>
      <c r="F4122" s="1" t="s">
        <v>21</v>
      </c>
      <c r="G4122" s="1" t="s">
        <v>38</v>
      </c>
      <c r="H4122" s="1" t="s">
        <v>214</v>
      </c>
      <c r="I4122" s="1">
        <v>308.64</v>
      </c>
      <c r="J4122" s="1">
        <v>7</v>
      </c>
      <c r="K4122" s="1">
        <v>2160.48</v>
      </c>
      <c r="L4122" s="1">
        <v>0</v>
      </c>
      <c r="M4122" s="1">
        <v>0</v>
      </c>
      <c r="N4122" s="1">
        <v>2160.48</v>
      </c>
      <c r="O4122" s="1" t="s">
        <v>80</v>
      </c>
      <c r="P4122" s="1" t="s">
        <v>789</v>
      </c>
      <c r="Q4122" s="1">
        <v>5</v>
      </c>
      <c r="R4122" s="1">
        <f>Retail_Sales_Analyis[[#This Row],[Final_Price]]-Retail_Sales_Analyis[[#This Row],[Total_Price]]</f>
        <v>0</v>
      </c>
      <c r="S41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23" spans="1:19" x14ac:dyDescent="0.25">
      <c r="A4123" s="1" t="s">
        <v>5247</v>
      </c>
      <c r="B4123" s="2">
        <v>45488</v>
      </c>
      <c r="C4123" s="1" t="s">
        <v>195</v>
      </c>
      <c r="D4123" s="1" t="s">
        <v>43</v>
      </c>
      <c r="E4123" s="1" t="s">
        <v>207</v>
      </c>
      <c r="F4123" s="1" t="s">
        <v>69</v>
      </c>
      <c r="G4123" s="1" t="s">
        <v>85</v>
      </c>
      <c r="H4123" s="1" t="s">
        <v>180</v>
      </c>
      <c r="I4123" s="1">
        <v>3177.5</v>
      </c>
      <c r="J4123" s="1">
        <v>3</v>
      </c>
      <c r="K4123" s="1">
        <v>9532.5</v>
      </c>
      <c r="L4123" s="1">
        <v>10</v>
      </c>
      <c r="M4123" s="1">
        <v>953.25</v>
      </c>
      <c r="N4123" s="1">
        <v>8579.25</v>
      </c>
      <c r="O4123" s="1" t="s">
        <v>80</v>
      </c>
      <c r="P4123" s="1" t="s">
        <v>2570</v>
      </c>
      <c r="Q4123" s="1">
        <v>3</v>
      </c>
      <c r="R4123" s="1">
        <f>Retail_Sales_Analyis[[#This Row],[Final_Price]]-Retail_Sales_Analyis[[#This Row],[Total_Price]]</f>
        <v>-953.25</v>
      </c>
      <c r="S41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24" spans="1:19" x14ac:dyDescent="0.25">
      <c r="A4124" s="1" t="s">
        <v>5248</v>
      </c>
      <c r="B4124" s="2">
        <v>45362</v>
      </c>
      <c r="C4124" s="1" t="s">
        <v>61</v>
      </c>
      <c r="D4124" s="1" t="s">
        <v>43</v>
      </c>
      <c r="E4124" s="1" t="s">
        <v>163</v>
      </c>
      <c r="F4124" s="1" t="s">
        <v>30</v>
      </c>
      <c r="G4124" s="1" t="s">
        <v>57</v>
      </c>
      <c r="H4124" s="1" t="s">
        <v>58</v>
      </c>
      <c r="I4124" s="1">
        <v>786.14</v>
      </c>
      <c r="J4124" s="1">
        <v>7</v>
      </c>
      <c r="K4124" s="1">
        <v>5502.98</v>
      </c>
      <c r="L4124" s="1">
        <v>0</v>
      </c>
      <c r="M4124" s="1">
        <v>0</v>
      </c>
      <c r="N4124" s="1">
        <v>5502.98</v>
      </c>
      <c r="O4124" s="1" t="s">
        <v>64</v>
      </c>
      <c r="P4124" s="1" t="s">
        <v>1544</v>
      </c>
      <c r="Q4124" s="1">
        <v>1</v>
      </c>
      <c r="R4124" s="1">
        <f>Retail_Sales_Analyis[[#This Row],[Final_Price]]-Retail_Sales_Analyis[[#This Row],[Total_Price]]</f>
        <v>0</v>
      </c>
      <c r="S41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25" spans="1:19" x14ac:dyDescent="0.25">
      <c r="A4125" s="1" t="s">
        <v>5249</v>
      </c>
      <c r="B4125" s="2">
        <v>45506</v>
      </c>
      <c r="C4125" s="1" t="s">
        <v>93</v>
      </c>
      <c r="D4125" s="1" t="s">
        <v>144</v>
      </c>
      <c r="E4125" s="1" t="s">
        <v>29</v>
      </c>
      <c r="F4125" s="1" t="s">
        <v>21</v>
      </c>
      <c r="G4125" s="1" t="s">
        <v>112</v>
      </c>
      <c r="H4125" s="1" t="s">
        <v>223</v>
      </c>
      <c r="I4125" s="1">
        <v>1203.6300000000001</v>
      </c>
      <c r="J4125" s="1">
        <v>7</v>
      </c>
      <c r="K4125" s="1">
        <v>8425.41</v>
      </c>
      <c r="L4125" s="1">
        <v>0</v>
      </c>
      <c r="M4125" s="1">
        <v>0</v>
      </c>
      <c r="N4125" s="1">
        <v>8425.41</v>
      </c>
      <c r="O4125" s="1" t="s">
        <v>80</v>
      </c>
      <c r="P4125" s="1" t="s">
        <v>935</v>
      </c>
      <c r="Q4125" s="1">
        <v>1</v>
      </c>
      <c r="R4125" s="1">
        <f>Retail_Sales_Analyis[[#This Row],[Final_Price]]-Retail_Sales_Analyis[[#This Row],[Total_Price]]</f>
        <v>0</v>
      </c>
      <c r="S41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26" spans="1:19" x14ac:dyDescent="0.25">
      <c r="A4126" s="1" t="s">
        <v>5250</v>
      </c>
      <c r="B4126" s="2">
        <v>45394</v>
      </c>
      <c r="C4126" s="1" t="s">
        <v>54</v>
      </c>
      <c r="D4126" s="1" t="s">
        <v>144</v>
      </c>
      <c r="E4126" s="1" t="s">
        <v>94</v>
      </c>
      <c r="F4126" s="1" t="s">
        <v>84</v>
      </c>
      <c r="G4126" s="1" t="s">
        <v>22</v>
      </c>
      <c r="H4126" s="1" t="s">
        <v>277</v>
      </c>
      <c r="I4126" s="1">
        <v>686.93</v>
      </c>
      <c r="J4126" s="1">
        <v>9</v>
      </c>
      <c r="K4126" s="1">
        <v>6182.37</v>
      </c>
      <c r="L4126" s="1">
        <v>20</v>
      </c>
      <c r="M4126" s="1">
        <v>1236.47</v>
      </c>
      <c r="N4126" s="1">
        <v>4945.8999999999996</v>
      </c>
      <c r="O4126" s="1" t="s">
        <v>46</v>
      </c>
      <c r="P4126" s="1" t="s">
        <v>625</v>
      </c>
      <c r="Q4126" s="1">
        <v>4</v>
      </c>
      <c r="R4126" s="1">
        <f>Retail_Sales_Analyis[[#This Row],[Final_Price]]-Retail_Sales_Analyis[[#This Row],[Total_Price]]</f>
        <v>-1236.4700000000003</v>
      </c>
      <c r="S412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27" spans="1:19" x14ac:dyDescent="0.25">
      <c r="A4127" s="1" t="s">
        <v>5251</v>
      </c>
      <c r="B4127" s="2">
        <v>45621</v>
      </c>
      <c r="C4127" s="1" t="s">
        <v>18</v>
      </c>
      <c r="D4127" s="1" t="s">
        <v>43</v>
      </c>
      <c r="E4127" s="1" t="s">
        <v>125</v>
      </c>
      <c r="F4127" s="1" t="s">
        <v>37</v>
      </c>
      <c r="G4127" s="1" t="s">
        <v>169</v>
      </c>
      <c r="H4127" s="1" t="s">
        <v>348</v>
      </c>
      <c r="I4127" s="1">
        <v>1268.42</v>
      </c>
      <c r="J4127" s="1">
        <v>4</v>
      </c>
      <c r="K4127" s="1">
        <v>5073.68</v>
      </c>
      <c r="L4127" s="1">
        <v>0</v>
      </c>
      <c r="M4127" s="1">
        <v>0</v>
      </c>
      <c r="N4127" s="1">
        <v>5073.68</v>
      </c>
      <c r="O4127" s="1" t="s">
        <v>64</v>
      </c>
      <c r="P4127" s="1" t="s">
        <v>2997</v>
      </c>
      <c r="Q4127" s="1">
        <v>1</v>
      </c>
      <c r="R4127" s="1">
        <f>Retail_Sales_Analyis[[#This Row],[Final_Price]]-Retail_Sales_Analyis[[#This Row],[Total_Price]]</f>
        <v>0</v>
      </c>
      <c r="S412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28" spans="1:19" x14ac:dyDescent="0.25">
      <c r="A4128" s="1" t="s">
        <v>5252</v>
      </c>
      <c r="B4128" s="2">
        <v>45561</v>
      </c>
      <c r="C4128" s="1" t="s">
        <v>116</v>
      </c>
      <c r="D4128" s="1" t="s">
        <v>67</v>
      </c>
      <c r="E4128" s="1" t="s">
        <v>139</v>
      </c>
      <c r="F4128" s="1" t="s">
        <v>30</v>
      </c>
      <c r="G4128" s="1" t="s">
        <v>169</v>
      </c>
      <c r="H4128" s="1" t="s">
        <v>348</v>
      </c>
      <c r="I4128" s="1">
        <v>794.46</v>
      </c>
      <c r="J4128" s="1">
        <v>7</v>
      </c>
      <c r="K4128" s="1">
        <v>5561.22</v>
      </c>
      <c r="L4128" s="1">
        <v>5</v>
      </c>
      <c r="M4128" s="1">
        <v>278.06</v>
      </c>
      <c r="N4128" s="1">
        <v>5283.16</v>
      </c>
      <c r="O4128" s="1" t="s">
        <v>64</v>
      </c>
      <c r="P4128" s="1" t="s">
        <v>1223</v>
      </c>
      <c r="Q4128" s="1">
        <v>2</v>
      </c>
      <c r="R4128" s="1">
        <f>Retail_Sales_Analyis[[#This Row],[Final_Price]]-Retail_Sales_Analyis[[#This Row],[Total_Price]]</f>
        <v>-278.0600000000004</v>
      </c>
      <c r="S41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29" spans="1:19" x14ac:dyDescent="0.25">
      <c r="A4129" s="1" t="s">
        <v>5253</v>
      </c>
      <c r="B4129" s="2">
        <v>45419</v>
      </c>
      <c r="C4129" s="1" t="s">
        <v>42</v>
      </c>
      <c r="D4129" s="1" t="s">
        <v>28</v>
      </c>
      <c r="E4129" s="1" t="s">
        <v>50</v>
      </c>
      <c r="F4129" s="1" t="s">
        <v>69</v>
      </c>
      <c r="G4129" s="1" t="s">
        <v>78</v>
      </c>
      <c r="H4129" s="1" t="s">
        <v>323</v>
      </c>
      <c r="I4129" s="1">
        <v>182.57</v>
      </c>
      <c r="J4129" s="1">
        <v>1</v>
      </c>
      <c r="K4129" s="1">
        <v>182.57</v>
      </c>
      <c r="L4129" s="1">
        <v>10</v>
      </c>
      <c r="M4129" s="1">
        <v>18.260000000000002</v>
      </c>
      <c r="N4129" s="1">
        <v>164.31</v>
      </c>
      <c r="O4129" s="1" t="s">
        <v>46</v>
      </c>
      <c r="P4129" s="1" t="s">
        <v>459</v>
      </c>
      <c r="Q4129" s="1">
        <v>4</v>
      </c>
      <c r="R4129" s="1">
        <f>Retail_Sales_Analyis[[#This Row],[Final_Price]]-Retail_Sales_Analyis[[#This Row],[Total_Price]]</f>
        <v>-18.259999999999991</v>
      </c>
      <c r="S41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0" spans="1:19" x14ac:dyDescent="0.25">
      <c r="A4130" s="1" t="s">
        <v>5254</v>
      </c>
      <c r="B4130" s="2">
        <v>45614</v>
      </c>
      <c r="C4130" s="1" t="s">
        <v>18</v>
      </c>
      <c r="D4130" s="1" t="s">
        <v>43</v>
      </c>
      <c r="E4130" s="1" t="s">
        <v>351</v>
      </c>
      <c r="F4130" s="1" t="s">
        <v>84</v>
      </c>
      <c r="G4130" s="1" t="s">
        <v>85</v>
      </c>
      <c r="H4130" s="1" t="s">
        <v>90</v>
      </c>
      <c r="I4130" s="1">
        <v>2407.98</v>
      </c>
      <c r="J4130" s="1">
        <v>2</v>
      </c>
      <c r="K4130" s="1">
        <v>4815.96</v>
      </c>
      <c r="L4130" s="1">
        <v>15</v>
      </c>
      <c r="M4130" s="1">
        <v>722.39</v>
      </c>
      <c r="N4130" s="1">
        <v>4093.57</v>
      </c>
      <c r="O4130" s="1" t="s">
        <v>24</v>
      </c>
      <c r="P4130" s="1" t="s">
        <v>3703</v>
      </c>
      <c r="Q4130" s="1">
        <v>5</v>
      </c>
      <c r="R4130" s="1">
        <f>Retail_Sales_Analyis[[#This Row],[Final_Price]]-Retail_Sales_Analyis[[#This Row],[Total_Price]]</f>
        <v>-722.38999999999987</v>
      </c>
      <c r="S41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1" spans="1:19" x14ac:dyDescent="0.25">
      <c r="A4131" s="1" t="s">
        <v>5255</v>
      </c>
      <c r="B4131" s="2">
        <v>45570</v>
      </c>
      <c r="C4131" s="1" t="s">
        <v>76</v>
      </c>
      <c r="D4131" s="1" t="s">
        <v>19</v>
      </c>
      <c r="E4131" s="1" t="s">
        <v>129</v>
      </c>
      <c r="F4131" s="1" t="s">
        <v>69</v>
      </c>
      <c r="G4131" s="1" t="s">
        <v>169</v>
      </c>
      <c r="H4131" s="1" t="s">
        <v>208</v>
      </c>
      <c r="I4131" s="1">
        <v>759.18</v>
      </c>
      <c r="J4131" s="1">
        <v>7</v>
      </c>
      <c r="K4131" s="1">
        <v>5314.26</v>
      </c>
      <c r="L4131" s="1">
        <v>15</v>
      </c>
      <c r="M4131" s="1">
        <v>797.14</v>
      </c>
      <c r="N4131" s="1">
        <v>4517.12</v>
      </c>
      <c r="O4131" s="1" t="s">
        <v>24</v>
      </c>
      <c r="P4131" s="1" t="s">
        <v>211</v>
      </c>
      <c r="Q4131" s="1">
        <v>1</v>
      </c>
      <c r="R4131" s="1">
        <f>Retail_Sales_Analyis[[#This Row],[Final_Price]]-Retail_Sales_Analyis[[#This Row],[Total_Price]]</f>
        <v>-797.14000000000033</v>
      </c>
      <c r="S41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2" spans="1:19" x14ac:dyDescent="0.25">
      <c r="A4132" s="1" t="s">
        <v>5256</v>
      </c>
      <c r="B4132" s="2">
        <v>45301</v>
      </c>
      <c r="C4132" s="1" t="s">
        <v>36</v>
      </c>
      <c r="D4132" s="1" t="s">
        <v>55</v>
      </c>
      <c r="E4132" s="1" t="s">
        <v>151</v>
      </c>
      <c r="F4132" s="1" t="s">
        <v>84</v>
      </c>
      <c r="G4132" s="1" t="s">
        <v>112</v>
      </c>
      <c r="H4132" s="1" t="s">
        <v>118</v>
      </c>
      <c r="I4132" s="1">
        <v>1128.26</v>
      </c>
      <c r="J4132" s="1">
        <v>1</v>
      </c>
      <c r="K4132" s="1">
        <v>1128.26</v>
      </c>
      <c r="L4132" s="1">
        <v>15</v>
      </c>
      <c r="M4132" s="1">
        <v>169.24</v>
      </c>
      <c r="N4132" s="1">
        <v>959.02</v>
      </c>
      <c r="O4132" s="1" t="s">
        <v>24</v>
      </c>
      <c r="P4132" s="1" t="s">
        <v>1477</v>
      </c>
      <c r="Q4132" s="1">
        <v>4</v>
      </c>
      <c r="R4132" s="1">
        <f>Retail_Sales_Analyis[[#This Row],[Final_Price]]-Retail_Sales_Analyis[[#This Row],[Total_Price]]</f>
        <v>-169.24</v>
      </c>
      <c r="S41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3" spans="1:19" x14ac:dyDescent="0.25">
      <c r="A4133" s="1" t="s">
        <v>5257</v>
      </c>
      <c r="B4133" s="2">
        <v>45487</v>
      </c>
      <c r="C4133" s="1" t="s">
        <v>195</v>
      </c>
      <c r="D4133" s="1" t="s">
        <v>49</v>
      </c>
      <c r="E4133" s="1" t="s">
        <v>351</v>
      </c>
      <c r="F4133" s="1" t="s">
        <v>30</v>
      </c>
      <c r="G4133" s="1" t="s">
        <v>78</v>
      </c>
      <c r="H4133" s="1" t="s">
        <v>146</v>
      </c>
      <c r="I4133" s="1">
        <v>380</v>
      </c>
      <c r="J4133" s="1">
        <v>10</v>
      </c>
      <c r="K4133" s="1">
        <v>3800</v>
      </c>
      <c r="L4133" s="1">
        <v>0</v>
      </c>
      <c r="M4133" s="1">
        <v>0</v>
      </c>
      <c r="N4133" s="1">
        <v>3800</v>
      </c>
      <c r="O4133" s="1" t="s">
        <v>33</v>
      </c>
      <c r="P4133" s="1" t="s">
        <v>2381</v>
      </c>
      <c r="Q4133" s="1">
        <v>2</v>
      </c>
      <c r="R4133" s="1">
        <f>Retail_Sales_Analyis[[#This Row],[Final_Price]]-Retail_Sales_Analyis[[#This Row],[Total_Price]]</f>
        <v>0</v>
      </c>
      <c r="S41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34" spans="1:19" x14ac:dyDescent="0.25">
      <c r="A4134" s="1" t="s">
        <v>5258</v>
      </c>
      <c r="B4134" s="2">
        <v>45657</v>
      </c>
      <c r="C4134" s="1" t="s">
        <v>73</v>
      </c>
      <c r="D4134" s="1" t="s">
        <v>28</v>
      </c>
      <c r="E4134" s="1" t="s">
        <v>166</v>
      </c>
      <c r="F4134" s="1" t="s">
        <v>69</v>
      </c>
      <c r="G4134" s="1" t="s">
        <v>112</v>
      </c>
      <c r="H4134" s="1" t="s">
        <v>288</v>
      </c>
      <c r="I4134" s="1">
        <v>1083.29</v>
      </c>
      <c r="J4134" s="1">
        <v>8</v>
      </c>
      <c r="K4134" s="1">
        <v>8666.32</v>
      </c>
      <c r="L4134" s="1">
        <v>10</v>
      </c>
      <c r="M4134" s="1">
        <v>866.63</v>
      </c>
      <c r="N4134" s="1">
        <v>7799.69</v>
      </c>
      <c r="O4134" s="1" t="s">
        <v>80</v>
      </c>
      <c r="P4134" s="1" t="s">
        <v>3424</v>
      </c>
      <c r="Q4134" s="1">
        <v>3</v>
      </c>
      <c r="R4134" s="1">
        <f>Retail_Sales_Analyis[[#This Row],[Final_Price]]-Retail_Sales_Analyis[[#This Row],[Total_Price]]</f>
        <v>-866.63000000000011</v>
      </c>
      <c r="S41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5" spans="1:19" x14ac:dyDescent="0.25">
      <c r="A4135" s="1" t="s">
        <v>5259</v>
      </c>
      <c r="B4135" s="2">
        <v>45475</v>
      </c>
      <c r="C4135" s="1" t="s">
        <v>195</v>
      </c>
      <c r="D4135" s="1" t="s">
        <v>28</v>
      </c>
      <c r="E4135" s="1" t="s">
        <v>285</v>
      </c>
      <c r="F4135" s="1" t="s">
        <v>30</v>
      </c>
      <c r="G4135" s="1" t="s">
        <v>57</v>
      </c>
      <c r="H4135" s="1" t="s">
        <v>101</v>
      </c>
      <c r="I4135" s="1">
        <v>2745.7</v>
      </c>
      <c r="J4135" s="1">
        <v>7</v>
      </c>
      <c r="K4135" s="1">
        <v>19219.900000000001</v>
      </c>
      <c r="L4135" s="1">
        <v>0</v>
      </c>
      <c r="M4135" s="1">
        <v>0</v>
      </c>
      <c r="N4135" s="1">
        <v>19219.900000000001</v>
      </c>
      <c r="O4135" s="1" t="s">
        <v>24</v>
      </c>
      <c r="P4135" s="1" t="s">
        <v>773</v>
      </c>
      <c r="Q4135" s="1">
        <v>2</v>
      </c>
      <c r="R4135" s="1">
        <f>Retail_Sales_Analyis[[#This Row],[Final_Price]]-Retail_Sales_Analyis[[#This Row],[Total_Price]]</f>
        <v>0</v>
      </c>
      <c r="S41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36" spans="1:19" x14ac:dyDescent="0.25">
      <c r="A4136" s="1" t="s">
        <v>5260</v>
      </c>
      <c r="B4136" s="2">
        <v>45537</v>
      </c>
      <c r="C4136" s="1" t="s">
        <v>116</v>
      </c>
      <c r="D4136" s="1" t="s">
        <v>43</v>
      </c>
      <c r="E4136" s="1" t="s">
        <v>56</v>
      </c>
      <c r="F4136" s="1" t="s">
        <v>37</v>
      </c>
      <c r="G4136" s="1" t="s">
        <v>57</v>
      </c>
      <c r="H4136" s="1" t="s">
        <v>122</v>
      </c>
      <c r="I4136" s="1">
        <v>1802.26</v>
      </c>
      <c r="J4136" s="1">
        <v>6</v>
      </c>
      <c r="K4136" s="1">
        <v>10813.56</v>
      </c>
      <c r="L4136" s="1">
        <v>0</v>
      </c>
      <c r="M4136" s="1">
        <v>0</v>
      </c>
      <c r="N4136" s="1">
        <v>10813.56</v>
      </c>
      <c r="O4136" s="1" t="s">
        <v>46</v>
      </c>
      <c r="P4136" s="1" t="s">
        <v>3273</v>
      </c>
      <c r="Q4136" s="1">
        <v>1</v>
      </c>
      <c r="R4136" s="1">
        <f>Retail_Sales_Analyis[[#This Row],[Final_Price]]-Retail_Sales_Analyis[[#This Row],[Total_Price]]</f>
        <v>0</v>
      </c>
      <c r="S41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37" spans="1:19" x14ac:dyDescent="0.25">
      <c r="A4137" s="1" t="s">
        <v>5261</v>
      </c>
      <c r="B4137" s="2">
        <v>45570</v>
      </c>
      <c r="C4137" s="1" t="s">
        <v>76</v>
      </c>
      <c r="D4137" s="1" t="s">
        <v>19</v>
      </c>
      <c r="E4137" s="1" t="s">
        <v>337</v>
      </c>
      <c r="F4137" s="1" t="s">
        <v>21</v>
      </c>
      <c r="G4137" s="1" t="s">
        <v>169</v>
      </c>
      <c r="H4137" s="1" t="s">
        <v>208</v>
      </c>
      <c r="I4137" s="1">
        <v>1124.42</v>
      </c>
      <c r="J4137" s="1">
        <v>3</v>
      </c>
      <c r="K4137" s="1">
        <v>3373.26</v>
      </c>
      <c r="L4137" s="1">
        <v>10</v>
      </c>
      <c r="M4137" s="1">
        <v>337.33</v>
      </c>
      <c r="N4137" s="1">
        <v>3035.93</v>
      </c>
      <c r="O4137" s="1" t="s">
        <v>80</v>
      </c>
      <c r="P4137" s="1" t="s">
        <v>3492</v>
      </c>
      <c r="Q4137" s="1">
        <v>3</v>
      </c>
      <c r="R4137" s="1">
        <f>Retail_Sales_Analyis[[#This Row],[Final_Price]]-Retail_Sales_Analyis[[#This Row],[Total_Price]]</f>
        <v>-337.33000000000038</v>
      </c>
      <c r="S41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38" spans="1:19" x14ac:dyDescent="0.25">
      <c r="A4138" s="1" t="s">
        <v>5262</v>
      </c>
      <c r="B4138" s="2">
        <v>45540</v>
      </c>
      <c r="C4138" s="1" t="s">
        <v>116</v>
      </c>
      <c r="D4138" s="1" t="s">
        <v>67</v>
      </c>
      <c r="E4138" s="1" t="s">
        <v>312</v>
      </c>
      <c r="F4138" s="1" t="s">
        <v>37</v>
      </c>
      <c r="G4138" s="1" t="s">
        <v>112</v>
      </c>
      <c r="H4138" s="1" t="s">
        <v>118</v>
      </c>
      <c r="I4138" s="1">
        <v>1458.04</v>
      </c>
      <c r="J4138" s="1">
        <v>1</v>
      </c>
      <c r="K4138" s="1">
        <v>1458.04</v>
      </c>
      <c r="L4138" s="1">
        <v>20</v>
      </c>
      <c r="M4138" s="1">
        <v>291.61</v>
      </c>
      <c r="N4138" s="1">
        <v>1166.43</v>
      </c>
      <c r="O4138" s="1" t="s">
        <v>33</v>
      </c>
      <c r="P4138" s="1" t="s">
        <v>1145</v>
      </c>
      <c r="Q4138" s="1">
        <v>4</v>
      </c>
      <c r="R4138" s="1">
        <f>Retail_Sales_Analyis[[#This Row],[Final_Price]]-Retail_Sales_Analyis[[#This Row],[Total_Price]]</f>
        <v>-291.6099999999999</v>
      </c>
      <c r="S413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39" spans="1:19" x14ac:dyDescent="0.25">
      <c r="A4139" s="1" t="s">
        <v>5263</v>
      </c>
      <c r="B4139" s="2">
        <v>45468</v>
      </c>
      <c r="C4139" s="1" t="s">
        <v>173</v>
      </c>
      <c r="D4139" s="1" t="s">
        <v>28</v>
      </c>
      <c r="E4139" s="1" t="s">
        <v>174</v>
      </c>
      <c r="F4139" s="1" t="s">
        <v>37</v>
      </c>
      <c r="G4139" s="1" t="s">
        <v>78</v>
      </c>
      <c r="H4139" s="1" t="s">
        <v>146</v>
      </c>
      <c r="I4139" s="1">
        <v>568.54</v>
      </c>
      <c r="J4139" s="1">
        <v>4</v>
      </c>
      <c r="K4139" s="1">
        <v>2274.16</v>
      </c>
      <c r="L4139" s="1">
        <v>20</v>
      </c>
      <c r="M4139" s="1">
        <v>454.83</v>
      </c>
      <c r="N4139" s="1">
        <v>1819.33</v>
      </c>
      <c r="O4139" s="1" t="s">
        <v>24</v>
      </c>
      <c r="P4139" s="1" t="s">
        <v>2098</v>
      </c>
      <c r="Q4139" s="1">
        <v>4</v>
      </c>
      <c r="R4139" s="1">
        <f>Retail_Sales_Analyis[[#This Row],[Final_Price]]-Retail_Sales_Analyis[[#This Row],[Total_Price]]</f>
        <v>-454.82999999999993</v>
      </c>
      <c r="S41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40" spans="1:19" x14ac:dyDescent="0.25">
      <c r="A4140" s="1" t="s">
        <v>5264</v>
      </c>
      <c r="B4140" s="2">
        <v>45581</v>
      </c>
      <c r="C4140" s="1" t="s">
        <v>76</v>
      </c>
      <c r="D4140" s="1" t="s">
        <v>55</v>
      </c>
      <c r="E4140" s="1" t="s">
        <v>196</v>
      </c>
      <c r="F4140" s="1" t="s">
        <v>84</v>
      </c>
      <c r="G4140" s="1" t="s">
        <v>31</v>
      </c>
      <c r="H4140" s="1" t="s">
        <v>45</v>
      </c>
      <c r="I4140" s="1">
        <v>392.16</v>
      </c>
      <c r="J4140" s="1">
        <v>6</v>
      </c>
      <c r="K4140" s="1">
        <v>2352.96</v>
      </c>
      <c r="L4140" s="1">
        <v>0</v>
      </c>
      <c r="M4140" s="1">
        <v>0</v>
      </c>
      <c r="N4140" s="1">
        <v>2352.96</v>
      </c>
      <c r="O4140" s="1" t="s">
        <v>24</v>
      </c>
      <c r="P4140" s="1" t="s">
        <v>506</v>
      </c>
      <c r="Q4140" s="1">
        <v>2</v>
      </c>
      <c r="R4140" s="1">
        <f>Retail_Sales_Analyis[[#This Row],[Final_Price]]-Retail_Sales_Analyis[[#This Row],[Total_Price]]</f>
        <v>0</v>
      </c>
      <c r="S41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1" spans="1:19" x14ac:dyDescent="0.25">
      <c r="A4141" s="1" t="s">
        <v>5265</v>
      </c>
      <c r="B4141" s="2">
        <v>45549</v>
      </c>
      <c r="C4141" s="1" t="s">
        <v>116</v>
      </c>
      <c r="D4141" s="1" t="s">
        <v>19</v>
      </c>
      <c r="E4141" s="1" t="s">
        <v>129</v>
      </c>
      <c r="F4141" s="1" t="s">
        <v>84</v>
      </c>
      <c r="G4141" s="1" t="s">
        <v>85</v>
      </c>
      <c r="H4141" s="1" t="s">
        <v>180</v>
      </c>
      <c r="I4141" s="1">
        <v>4014.97</v>
      </c>
      <c r="J4141" s="1">
        <v>10</v>
      </c>
      <c r="K4141" s="1">
        <v>40149.699999999997</v>
      </c>
      <c r="L4141" s="1">
        <v>0</v>
      </c>
      <c r="M4141" s="1">
        <v>0</v>
      </c>
      <c r="N4141" s="1">
        <v>40149.699999999997</v>
      </c>
      <c r="O4141" s="1" t="s">
        <v>64</v>
      </c>
      <c r="P4141" s="1" t="s">
        <v>1929</v>
      </c>
      <c r="Q4141" s="1">
        <v>1</v>
      </c>
      <c r="R4141" s="1">
        <f>Retail_Sales_Analyis[[#This Row],[Final_Price]]-Retail_Sales_Analyis[[#This Row],[Total_Price]]</f>
        <v>0</v>
      </c>
      <c r="S41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2" spans="1:19" x14ac:dyDescent="0.25">
      <c r="A4142" s="1" t="s">
        <v>5266</v>
      </c>
      <c r="B4142" s="2">
        <v>45456</v>
      </c>
      <c r="C4142" s="1" t="s">
        <v>173</v>
      </c>
      <c r="D4142" s="1" t="s">
        <v>67</v>
      </c>
      <c r="E4142" s="1" t="s">
        <v>285</v>
      </c>
      <c r="F4142" s="1" t="s">
        <v>30</v>
      </c>
      <c r="G4142" s="1" t="s">
        <v>169</v>
      </c>
      <c r="H4142" s="1" t="s">
        <v>175</v>
      </c>
      <c r="I4142" s="1">
        <v>1243.3699999999999</v>
      </c>
      <c r="J4142" s="1">
        <v>3</v>
      </c>
      <c r="K4142" s="1">
        <v>3730.11</v>
      </c>
      <c r="L4142" s="1">
        <v>0</v>
      </c>
      <c r="M4142" s="1">
        <v>0</v>
      </c>
      <c r="N4142" s="1">
        <v>3730.11</v>
      </c>
      <c r="O4142" s="1" t="s">
        <v>80</v>
      </c>
      <c r="P4142" s="1" t="s">
        <v>5267</v>
      </c>
      <c r="Q4142" s="1">
        <v>5</v>
      </c>
      <c r="R4142" s="1">
        <f>Retail_Sales_Analyis[[#This Row],[Final_Price]]-Retail_Sales_Analyis[[#This Row],[Total_Price]]</f>
        <v>0</v>
      </c>
      <c r="S41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3" spans="1:19" x14ac:dyDescent="0.25">
      <c r="A4143" s="1" t="s">
        <v>5268</v>
      </c>
      <c r="B4143" s="2">
        <v>45490</v>
      </c>
      <c r="C4143" s="1" t="s">
        <v>195</v>
      </c>
      <c r="D4143" s="1" t="s">
        <v>55</v>
      </c>
      <c r="E4143" s="1" t="s">
        <v>261</v>
      </c>
      <c r="F4143" s="1" t="s">
        <v>84</v>
      </c>
      <c r="G4143" s="1" t="s">
        <v>169</v>
      </c>
      <c r="H4143" s="1" t="s">
        <v>348</v>
      </c>
      <c r="I4143" s="1">
        <v>1347.53</v>
      </c>
      <c r="J4143" s="1">
        <v>9</v>
      </c>
      <c r="K4143" s="1">
        <v>12127.77</v>
      </c>
      <c r="L4143" s="1">
        <v>0</v>
      </c>
      <c r="M4143" s="1">
        <v>0</v>
      </c>
      <c r="N4143" s="1">
        <v>12127.77</v>
      </c>
      <c r="O4143" s="1" t="s">
        <v>24</v>
      </c>
      <c r="P4143" s="1" t="s">
        <v>777</v>
      </c>
      <c r="Q4143" s="1">
        <v>2</v>
      </c>
      <c r="R4143" s="1">
        <f>Retail_Sales_Analyis[[#This Row],[Final_Price]]-Retail_Sales_Analyis[[#This Row],[Total_Price]]</f>
        <v>0</v>
      </c>
      <c r="S41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4" spans="1:19" x14ac:dyDescent="0.25">
      <c r="A4144" s="1" t="s">
        <v>5269</v>
      </c>
      <c r="B4144" s="2">
        <v>45430</v>
      </c>
      <c r="C4144" s="1" t="s">
        <v>42</v>
      </c>
      <c r="D4144" s="1" t="s">
        <v>19</v>
      </c>
      <c r="E4144" s="1" t="s">
        <v>117</v>
      </c>
      <c r="F4144" s="1" t="s">
        <v>21</v>
      </c>
      <c r="G4144" s="1" t="s">
        <v>85</v>
      </c>
      <c r="H4144" s="1" t="s">
        <v>180</v>
      </c>
      <c r="I4144" s="1">
        <v>4859.4399999999996</v>
      </c>
      <c r="J4144" s="1">
        <v>6</v>
      </c>
      <c r="K4144" s="1">
        <v>29156.639999999999</v>
      </c>
      <c r="L4144" s="1">
        <v>20</v>
      </c>
      <c r="M4144" s="1">
        <v>5831.33</v>
      </c>
      <c r="N4144" s="1">
        <v>23325.31</v>
      </c>
      <c r="O4144" s="1" t="s">
        <v>24</v>
      </c>
      <c r="P4144" s="1" t="s">
        <v>1738</v>
      </c>
      <c r="Q4144" s="1">
        <v>4</v>
      </c>
      <c r="R4144" s="1">
        <f>Retail_Sales_Analyis[[#This Row],[Final_Price]]-Retail_Sales_Analyis[[#This Row],[Total_Price]]</f>
        <v>-5831.3299999999981</v>
      </c>
      <c r="S414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45" spans="1:19" x14ac:dyDescent="0.25">
      <c r="A4145" s="1" t="s">
        <v>5270</v>
      </c>
      <c r="B4145" s="2">
        <v>45384</v>
      </c>
      <c r="C4145" s="1" t="s">
        <v>54</v>
      </c>
      <c r="D4145" s="1" t="s">
        <v>28</v>
      </c>
      <c r="E4145" s="1" t="s">
        <v>94</v>
      </c>
      <c r="F4145" s="1" t="s">
        <v>21</v>
      </c>
      <c r="G4145" s="1" t="s">
        <v>85</v>
      </c>
      <c r="H4145" s="1" t="s">
        <v>180</v>
      </c>
      <c r="I4145" s="1">
        <v>3999.34</v>
      </c>
      <c r="J4145" s="1">
        <v>10</v>
      </c>
      <c r="K4145" s="1">
        <v>39993.4</v>
      </c>
      <c r="L4145" s="1">
        <v>0</v>
      </c>
      <c r="M4145" s="1">
        <v>0</v>
      </c>
      <c r="N4145" s="1">
        <v>39993.4</v>
      </c>
      <c r="O4145" s="1" t="s">
        <v>64</v>
      </c>
      <c r="P4145" s="1" t="s">
        <v>543</v>
      </c>
      <c r="Q4145" s="1">
        <v>5</v>
      </c>
      <c r="R4145" s="1">
        <f>Retail_Sales_Analyis[[#This Row],[Final_Price]]-Retail_Sales_Analyis[[#This Row],[Total_Price]]</f>
        <v>0</v>
      </c>
      <c r="S41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6" spans="1:19" x14ac:dyDescent="0.25">
      <c r="A4146" s="1" t="s">
        <v>5271</v>
      </c>
      <c r="B4146" s="2">
        <v>45305</v>
      </c>
      <c r="C4146" s="1" t="s">
        <v>36</v>
      </c>
      <c r="D4146" s="1" t="s">
        <v>49</v>
      </c>
      <c r="E4146" s="1" t="s">
        <v>207</v>
      </c>
      <c r="F4146" s="1" t="s">
        <v>21</v>
      </c>
      <c r="G4146" s="1" t="s">
        <v>57</v>
      </c>
      <c r="H4146" s="1" t="s">
        <v>101</v>
      </c>
      <c r="I4146" s="1">
        <v>1223.05</v>
      </c>
      <c r="J4146" s="1">
        <v>3</v>
      </c>
      <c r="K4146" s="1">
        <v>3669.15</v>
      </c>
      <c r="L4146" s="1">
        <v>5</v>
      </c>
      <c r="M4146" s="1">
        <v>183.46</v>
      </c>
      <c r="N4146" s="1">
        <v>3485.69</v>
      </c>
      <c r="O4146" s="1" t="s">
        <v>46</v>
      </c>
      <c r="P4146" s="1" t="s">
        <v>1701</v>
      </c>
      <c r="Q4146" s="1">
        <v>5</v>
      </c>
      <c r="R4146" s="1">
        <f>Retail_Sales_Analyis[[#This Row],[Final_Price]]-Retail_Sales_Analyis[[#This Row],[Total_Price]]</f>
        <v>-183.46000000000004</v>
      </c>
      <c r="S41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47" spans="1:19" x14ac:dyDescent="0.25">
      <c r="A4147" s="1" t="s">
        <v>5272</v>
      </c>
      <c r="B4147" s="2">
        <v>45455</v>
      </c>
      <c r="C4147" s="1" t="s">
        <v>173</v>
      </c>
      <c r="D4147" s="1" t="s">
        <v>55</v>
      </c>
      <c r="E4147" s="1" t="s">
        <v>83</v>
      </c>
      <c r="F4147" s="1" t="s">
        <v>69</v>
      </c>
      <c r="G4147" s="1" t="s">
        <v>57</v>
      </c>
      <c r="H4147" s="1" t="s">
        <v>122</v>
      </c>
      <c r="I4147" s="1">
        <v>844.99</v>
      </c>
      <c r="J4147" s="1">
        <v>5</v>
      </c>
      <c r="K4147" s="1">
        <v>4224.95</v>
      </c>
      <c r="L4147" s="1">
        <v>0</v>
      </c>
      <c r="M4147" s="1">
        <v>0</v>
      </c>
      <c r="N4147" s="1">
        <v>4224.95</v>
      </c>
      <c r="O4147" s="1" t="s">
        <v>24</v>
      </c>
      <c r="P4147" s="1" t="s">
        <v>2261</v>
      </c>
      <c r="Q4147" s="1">
        <v>2</v>
      </c>
      <c r="R4147" s="1">
        <f>Retail_Sales_Analyis[[#This Row],[Final_Price]]-Retail_Sales_Analyis[[#This Row],[Total_Price]]</f>
        <v>0</v>
      </c>
      <c r="S41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8" spans="1:19" x14ac:dyDescent="0.25">
      <c r="A4148" s="1" t="s">
        <v>5273</v>
      </c>
      <c r="B4148" s="2">
        <v>45597</v>
      </c>
      <c r="C4148" s="1" t="s">
        <v>18</v>
      </c>
      <c r="D4148" s="1" t="s">
        <v>144</v>
      </c>
      <c r="E4148" s="1" t="s">
        <v>174</v>
      </c>
      <c r="F4148" s="1" t="s">
        <v>30</v>
      </c>
      <c r="G4148" s="1" t="s">
        <v>38</v>
      </c>
      <c r="H4148" s="1" t="s">
        <v>214</v>
      </c>
      <c r="I4148" s="1">
        <v>517.29</v>
      </c>
      <c r="J4148" s="1">
        <v>10</v>
      </c>
      <c r="K4148" s="1">
        <v>5172.8999999999996</v>
      </c>
      <c r="L4148" s="1">
        <v>0</v>
      </c>
      <c r="M4148" s="1">
        <v>0</v>
      </c>
      <c r="N4148" s="1">
        <v>5172.8999999999996</v>
      </c>
      <c r="O4148" s="1" t="s">
        <v>64</v>
      </c>
      <c r="P4148" s="1" t="s">
        <v>340</v>
      </c>
      <c r="Q4148" s="1">
        <v>5</v>
      </c>
      <c r="R4148" s="1">
        <f>Retail_Sales_Analyis[[#This Row],[Final_Price]]-Retail_Sales_Analyis[[#This Row],[Total_Price]]</f>
        <v>0</v>
      </c>
      <c r="S41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49" spans="1:19" x14ac:dyDescent="0.25">
      <c r="A4149" s="1" t="s">
        <v>5274</v>
      </c>
      <c r="B4149" s="2">
        <v>45404</v>
      </c>
      <c r="C4149" s="1" t="s">
        <v>54</v>
      </c>
      <c r="D4149" s="1" t="s">
        <v>43</v>
      </c>
      <c r="E4149" s="1" t="s">
        <v>542</v>
      </c>
      <c r="F4149" s="1" t="s">
        <v>30</v>
      </c>
      <c r="G4149" s="1" t="s">
        <v>112</v>
      </c>
      <c r="H4149" s="1" t="s">
        <v>113</v>
      </c>
      <c r="I4149" s="1">
        <v>837.15</v>
      </c>
      <c r="J4149" s="1">
        <v>1</v>
      </c>
      <c r="K4149" s="1">
        <v>837.15</v>
      </c>
      <c r="L4149" s="1">
        <v>10</v>
      </c>
      <c r="M4149" s="1">
        <v>83.72</v>
      </c>
      <c r="N4149" s="1">
        <v>753.43</v>
      </c>
      <c r="O4149" s="1" t="s">
        <v>33</v>
      </c>
      <c r="P4149" s="1" t="s">
        <v>1926</v>
      </c>
      <c r="Q4149" s="1">
        <v>3</v>
      </c>
      <c r="R4149" s="1">
        <f>Retail_Sales_Analyis[[#This Row],[Final_Price]]-Retail_Sales_Analyis[[#This Row],[Total_Price]]</f>
        <v>-83.720000000000027</v>
      </c>
      <c r="S41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50" spans="1:19" x14ac:dyDescent="0.25">
      <c r="A4150" s="1" t="s">
        <v>5275</v>
      </c>
      <c r="B4150" s="2">
        <v>45307</v>
      </c>
      <c r="C4150" s="1" t="s">
        <v>36</v>
      </c>
      <c r="D4150" s="1" t="s">
        <v>28</v>
      </c>
      <c r="E4150" s="1" t="s">
        <v>166</v>
      </c>
      <c r="F4150" s="1" t="s">
        <v>37</v>
      </c>
      <c r="G4150" s="1" t="s">
        <v>22</v>
      </c>
      <c r="H4150" s="1" t="s">
        <v>23</v>
      </c>
      <c r="I4150" s="1">
        <v>863.59</v>
      </c>
      <c r="J4150" s="1">
        <v>10</v>
      </c>
      <c r="K4150" s="1">
        <v>8635.9</v>
      </c>
      <c r="L4150" s="1">
        <v>15</v>
      </c>
      <c r="M4150" s="1">
        <v>1295.3800000000001</v>
      </c>
      <c r="N4150" s="1">
        <v>7340.52</v>
      </c>
      <c r="O4150" s="1" t="s">
        <v>24</v>
      </c>
      <c r="P4150" s="1" t="s">
        <v>545</v>
      </c>
      <c r="Q4150" s="1">
        <v>5</v>
      </c>
      <c r="R4150" s="1">
        <f>Retail_Sales_Analyis[[#This Row],[Final_Price]]-Retail_Sales_Analyis[[#This Row],[Total_Price]]</f>
        <v>-1295.3799999999992</v>
      </c>
      <c r="S41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51" spans="1:19" x14ac:dyDescent="0.25">
      <c r="A4151" s="1" t="s">
        <v>5276</v>
      </c>
      <c r="B4151" s="2">
        <v>45435</v>
      </c>
      <c r="C4151" s="1" t="s">
        <v>42</v>
      </c>
      <c r="D4151" s="1" t="s">
        <v>67</v>
      </c>
      <c r="E4151" s="1" t="s">
        <v>62</v>
      </c>
      <c r="F4151" s="1" t="s">
        <v>84</v>
      </c>
      <c r="G4151" s="1" t="s">
        <v>112</v>
      </c>
      <c r="H4151" s="1" t="s">
        <v>118</v>
      </c>
      <c r="I4151" s="1">
        <v>1906.03</v>
      </c>
      <c r="J4151" s="1">
        <v>9</v>
      </c>
      <c r="K4151" s="1">
        <v>17154.27</v>
      </c>
      <c r="L4151" s="1">
        <v>20</v>
      </c>
      <c r="M4151" s="1">
        <v>3430.85</v>
      </c>
      <c r="N4151" s="1">
        <v>13723.42</v>
      </c>
      <c r="O4151" s="1" t="s">
        <v>33</v>
      </c>
      <c r="P4151" s="1" t="s">
        <v>784</v>
      </c>
      <c r="Q4151" s="1">
        <v>1</v>
      </c>
      <c r="R4151" s="1">
        <f>Retail_Sales_Analyis[[#This Row],[Final_Price]]-Retail_Sales_Analyis[[#This Row],[Total_Price]]</f>
        <v>-3430.8500000000004</v>
      </c>
      <c r="S415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52" spans="1:19" x14ac:dyDescent="0.25">
      <c r="A4152" s="1" t="s">
        <v>5277</v>
      </c>
      <c r="B4152" s="2">
        <v>45321</v>
      </c>
      <c r="C4152" s="1" t="s">
        <v>36</v>
      </c>
      <c r="D4152" s="1" t="s">
        <v>28</v>
      </c>
      <c r="E4152" s="1" t="s">
        <v>542</v>
      </c>
      <c r="F4152" s="1" t="s">
        <v>37</v>
      </c>
      <c r="G4152" s="1" t="s">
        <v>78</v>
      </c>
      <c r="H4152" s="1" t="s">
        <v>79</v>
      </c>
      <c r="I4152" s="1">
        <v>400.69</v>
      </c>
      <c r="J4152" s="1">
        <v>4</v>
      </c>
      <c r="K4152" s="1">
        <v>1602.76</v>
      </c>
      <c r="L4152" s="1">
        <v>5</v>
      </c>
      <c r="M4152" s="1">
        <v>80.14</v>
      </c>
      <c r="N4152" s="1">
        <v>1522.62</v>
      </c>
      <c r="O4152" s="1" t="s">
        <v>33</v>
      </c>
      <c r="P4152" s="1" t="s">
        <v>5278</v>
      </c>
      <c r="Q4152" s="1">
        <v>2</v>
      </c>
      <c r="R4152" s="1">
        <f>Retail_Sales_Analyis[[#This Row],[Final_Price]]-Retail_Sales_Analyis[[#This Row],[Total_Price]]</f>
        <v>-80.1400000000001</v>
      </c>
      <c r="S41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53" spans="1:19" x14ac:dyDescent="0.25">
      <c r="A4153" s="1" t="s">
        <v>5279</v>
      </c>
      <c r="B4153" s="2">
        <v>45533</v>
      </c>
      <c r="C4153" s="1" t="s">
        <v>93</v>
      </c>
      <c r="D4153" s="1" t="s">
        <v>67</v>
      </c>
      <c r="E4153" s="1" t="s">
        <v>196</v>
      </c>
      <c r="F4153" s="1" t="s">
        <v>37</v>
      </c>
      <c r="G4153" s="1" t="s">
        <v>112</v>
      </c>
      <c r="H4153" s="1" t="s">
        <v>288</v>
      </c>
      <c r="I4153" s="1">
        <v>879.7</v>
      </c>
      <c r="J4153" s="1">
        <v>5</v>
      </c>
      <c r="K4153" s="1">
        <v>4398.5</v>
      </c>
      <c r="L4153" s="1">
        <v>5</v>
      </c>
      <c r="M4153" s="1">
        <v>219.93</v>
      </c>
      <c r="N4153" s="1">
        <v>4178.57</v>
      </c>
      <c r="O4153" s="1" t="s">
        <v>80</v>
      </c>
      <c r="P4153" s="1" t="s">
        <v>2882</v>
      </c>
      <c r="Q4153" s="1">
        <v>2</v>
      </c>
      <c r="R4153" s="1">
        <f>Retail_Sales_Analyis[[#This Row],[Final_Price]]-Retail_Sales_Analyis[[#This Row],[Total_Price]]</f>
        <v>-219.93000000000029</v>
      </c>
      <c r="S41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54" spans="1:19" x14ac:dyDescent="0.25">
      <c r="A4154" s="1" t="s">
        <v>5280</v>
      </c>
      <c r="B4154" s="2">
        <v>45563</v>
      </c>
      <c r="C4154" s="1" t="s">
        <v>116</v>
      </c>
      <c r="D4154" s="1" t="s">
        <v>19</v>
      </c>
      <c r="E4154" s="1" t="s">
        <v>186</v>
      </c>
      <c r="F4154" s="1" t="s">
        <v>30</v>
      </c>
      <c r="G4154" s="1" t="s">
        <v>169</v>
      </c>
      <c r="H4154" s="1" t="s">
        <v>348</v>
      </c>
      <c r="I4154" s="1">
        <v>449.85</v>
      </c>
      <c r="J4154" s="1">
        <v>5</v>
      </c>
      <c r="K4154" s="1">
        <v>2249.25</v>
      </c>
      <c r="L4154" s="1">
        <v>20</v>
      </c>
      <c r="M4154" s="1">
        <v>449.85</v>
      </c>
      <c r="N4154" s="1">
        <v>1799.4</v>
      </c>
      <c r="O4154" s="1" t="s">
        <v>24</v>
      </c>
      <c r="P4154" s="1" t="s">
        <v>915</v>
      </c>
      <c r="Q4154" s="1">
        <v>1</v>
      </c>
      <c r="R4154" s="1">
        <f>Retail_Sales_Analyis[[#This Row],[Final_Price]]-Retail_Sales_Analyis[[#This Row],[Total_Price]]</f>
        <v>-449.84999999999991</v>
      </c>
      <c r="S41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55" spans="1:19" x14ac:dyDescent="0.25">
      <c r="A4155" s="1" t="s">
        <v>5281</v>
      </c>
      <c r="B4155" s="2">
        <v>45475</v>
      </c>
      <c r="C4155" s="1" t="s">
        <v>195</v>
      </c>
      <c r="D4155" s="1" t="s">
        <v>28</v>
      </c>
      <c r="E4155" s="1" t="s">
        <v>207</v>
      </c>
      <c r="F4155" s="1" t="s">
        <v>30</v>
      </c>
      <c r="G4155" s="1" t="s">
        <v>22</v>
      </c>
      <c r="H4155" s="1" t="s">
        <v>187</v>
      </c>
      <c r="I4155" s="1">
        <v>743.68</v>
      </c>
      <c r="J4155" s="1">
        <v>9</v>
      </c>
      <c r="K4155" s="1">
        <v>6693.12</v>
      </c>
      <c r="L4155" s="1">
        <v>15</v>
      </c>
      <c r="M4155" s="1">
        <v>1003.97</v>
      </c>
      <c r="N4155" s="1">
        <v>5689.15</v>
      </c>
      <c r="O4155" s="1" t="s">
        <v>46</v>
      </c>
      <c r="P4155" s="1" t="s">
        <v>105</v>
      </c>
      <c r="Q4155" s="1">
        <v>5</v>
      </c>
      <c r="R4155" s="1">
        <f>Retail_Sales_Analyis[[#This Row],[Final_Price]]-Retail_Sales_Analyis[[#This Row],[Total_Price]]</f>
        <v>-1003.9700000000003</v>
      </c>
      <c r="S41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56" spans="1:19" x14ac:dyDescent="0.25">
      <c r="A4156" s="1" t="s">
        <v>5282</v>
      </c>
      <c r="B4156" s="2">
        <v>45591</v>
      </c>
      <c r="C4156" s="1" t="s">
        <v>76</v>
      </c>
      <c r="D4156" s="1" t="s">
        <v>19</v>
      </c>
      <c r="E4156" s="1" t="s">
        <v>121</v>
      </c>
      <c r="F4156" s="1" t="s">
        <v>37</v>
      </c>
      <c r="G4156" s="1" t="s">
        <v>31</v>
      </c>
      <c r="H4156" s="1" t="s">
        <v>250</v>
      </c>
      <c r="I4156" s="1">
        <v>265.49</v>
      </c>
      <c r="J4156" s="1">
        <v>5</v>
      </c>
      <c r="K4156" s="1">
        <v>1327.45</v>
      </c>
      <c r="L4156" s="1">
        <v>10</v>
      </c>
      <c r="M4156" s="1">
        <v>132.75</v>
      </c>
      <c r="N4156" s="1">
        <v>1194.7</v>
      </c>
      <c r="O4156" s="1" t="s">
        <v>33</v>
      </c>
      <c r="P4156" s="1" t="s">
        <v>3439</v>
      </c>
      <c r="Q4156" s="1">
        <v>4</v>
      </c>
      <c r="R4156" s="1">
        <f>Retail_Sales_Analyis[[#This Row],[Final_Price]]-Retail_Sales_Analyis[[#This Row],[Total_Price]]</f>
        <v>-132.75</v>
      </c>
      <c r="S41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57" spans="1:19" x14ac:dyDescent="0.25">
      <c r="A4157" s="1" t="s">
        <v>5283</v>
      </c>
      <c r="B4157" s="2">
        <v>45411</v>
      </c>
      <c r="C4157" s="1" t="s">
        <v>54</v>
      </c>
      <c r="D4157" s="1" t="s">
        <v>43</v>
      </c>
      <c r="E4157" s="1" t="s">
        <v>151</v>
      </c>
      <c r="F4157" s="1" t="s">
        <v>37</v>
      </c>
      <c r="G4157" s="1" t="s">
        <v>85</v>
      </c>
      <c r="H4157" s="1" t="s">
        <v>98</v>
      </c>
      <c r="I4157" s="1">
        <v>2575.0300000000002</v>
      </c>
      <c r="J4157" s="1">
        <v>1</v>
      </c>
      <c r="K4157" s="1">
        <v>2575.0300000000002</v>
      </c>
      <c r="L4157" s="1">
        <v>20</v>
      </c>
      <c r="M4157" s="1">
        <v>515.01</v>
      </c>
      <c r="N4157" s="1">
        <v>2060.02</v>
      </c>
      <c r="O4157" s="1" t="s">
        <v>46</v>
      </c>
      <c r="P4157" s="1" t="s">
        <v>1787</v>
      </c>
      <c r="Q4157" s="1">
        <v>4</v>
      </c>
      <c r="R4157" s="1">
        <f>Retail_Sales_Analyis[[#This Row],[Final_Price]]-Retail_Sales_Analyis[[#This Row],[Total_Price]]</f>
        <v>-515.01000000000022</v>
      </c>
      <c r="S41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58" spans="1:19" x14ac:dyDescent="0.25">
      <c r="A4158" s="1" t="s">
        <v>5284</v>
      </c>
      <c r="B4158" s="2">
        <v>45373</v>
      </c>
      <c r="C4158" s="1" t="s">
        <v>61</v>
      </c>
      <c r="D4158" s="1" t="s">
        <v>144</v>
      </c>
      <c r="E4158" s="1" t="s">
        <v>89</v>
      </c>
      <c r="F4158" s="1" t="s">
        <v>21</v>
      </c>
      <c r="G4158" s="1" t="s">
        <v>112</v>
      </c>
      <c r="H4158" s="1" t="s">
        <v>183</v>
      </c>
      <c r="I4158" s="1">
        <v>658.44</v>
      </c>
      <c r="J4158" s="1">
        <v>1</v>
      </c>
      <c r="K4158" s="1">
        <v>658.44</v>
      </c>
      <c r="L4158" s="1">
        <v>0</v>
      </c>
      <c r="M4158" s="1">
        <v>0</v>
      </c>
      <c r="N4158" s="1">
        <v>658.44</v>
      </c>
      <c r="O4158" s="1" t="s">
        <v>33</v>
      </c>
      <c r="P4158" s="1" t="s">
        <v>5285</v>
      </c>
      <c r="Q4158" s="1">
        <v>5</v>
      </c>
      <c r="R4158" s="1">
        <f>Retail_Sales_Analyis[[#This Row],[Final_Price]]-Retail_Sales_Analyis[[#This Row],[Total_Price]]</f>
        <v>0</v>
      </c>
      <c r="S41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59" spans="1:19" x14ac:dyDescent="0.25">
      <c r="A4159" s="1" t="s">
        <v>5286</v>
      </c>
      <c r="B4159" s="2">
        <v>45343</v>
      </c>
      <c r="C4159" s="1" t="s">
        <v>27</v>
      </c>
      <c r="D4159" s="1" t="s">
        <v>55</v>
      </c>
      <c r="E4159" s="1" t="s">
        <v>328</v>
      </c>
      <c r="F4159" s="1" t="s">
        <v>30</v>
      </c>
      <c r="G4159" s="1" t="s">
        <v>85</v>
      </c>
      <c r="H4159" s="1" t="s">
        <v>180</v>
      </c>
      <c r="I4159" s="1">
        <v>4360.78</v>
      </c>
      <c r="J4159" s="1">
        <v>3</v>
      </c>
      <c r="K4159" s="1">
        <v>13082.34</v>
      </c>
      <c r="L4159" s="1">
        <v>20</v>
      </c>
      <c r="M4159" s="1">
        <v>2616.4699999999998</v>
      </c>
      <c r="N4159" s="1">
        <v>10465.870000000001</v>
      </c>
      <c r="O4159" s="1" t="s">
        <v>80</v>
      </c>
      <c r="P4159" s="1" t="s">
        <v>1433</v>
      </c>
      <c r="Q4159" s="1">
        <v>5</v>
      </c>
      <c r="R4159" s="1">
        <f>Retail_Sales_Analyis[[#This Row],[Final_Price]]-Retail_Sales_Analyis[[#This Row],[Total_Price]]</f>
        <v>-2616.4699999999993</v>
      </c>
      <c r="S41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60" spans="1:19" x14ac:dyDescent="0.25">
      <c r="A4160" s="1" t="s">
        <v>5287</v>
      </c>
      <c r="B4160" s="2">
        <v>45418</v>
      </c>
      <c r="C4160" s="1" t="s">
        <v>42</v>
      </c>
      <c r="D4160" s="1" t="s">
        <v>43</v>
      </c>
      <c r="E4160" s="1" t="s">
        <v>68</v>
      </c>
      <c r="F4160" s="1" t="s">
        <v>69</v>
      </c>
      <c r="G4160" s="1" t="s">
        <v>38</v>
      </c>
      <c r="H4160" s="1" t="s">
        <v>214</v>
      </c>
      <c r="I4160" s="1">
        <v>506.6</v>
      </c>
      <c r="J4160" s="1">
        <v>6</v>
      </c>
      <c r="K4160" s="1">
        <v>3039.6</v>
      </c>
      <c r="L4160" s="1">
        <v>0</v>
      </c>
      <c r="M4160" s="1">
        <v>0</v>
      </c>
      <c r="N4160" s="1">
        <v>3039.6</v>
      </c>
      <c r="O4160" s="1" t="s">
        <v>33</v>
      </c>
      <c r="P4160" s="1" t="s">
        <v>1690</v>
      </c>
      <c r="Q4160" s="1">
        <v>1</v>
      </c>
      <c r="R4160" s="1">
        <f>Retail_Sales_Analyis[[#This Row],[Final_Price]]-Retail_Sales_Analyis[[#This Row],[Total_Price]]</f>
        <v>0</v>
      </c>
      <c r="S41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61" spans="1:19" x14ac:dyDescent="0.25">
      <c r="A4161" s="1" t="s">
        <v>5288</v>
      </c>
      <c r="B4161" s="2">
        <v>45628</v>
      </c>
      <c r="C4161" s="1" t="s">
        <v>73</v>
      </c>
      <c r="D4161" s="1" t="s">
        <v>43</v>
      </c>
      <c r="E4161" s="1" t="s">
        <v>163</v>
      </c>
      <c r="F4161" s="1" t="s">
        <v>30</v>
      </c>
      <c r="G4161" s="1" t="s">
        <v>78</v>
      </c>
      <c r="H4161" s="1" t="s">
        <v>136</v>
      </c>
      <c r="I4161" s="1">
        <v>588.41999999999996</v>
      </c>
      <c r="J4161" s="1">
        <v>6</v>
      </c>
      <c r="K4161" s="1">
        <v>3530.52</v>
      </c>
      <c r="L4161" s="1">
        <v>0</v>
      </c>
      <c r="M4161" s="1">
        <v>0</v>
      </c>
      <c r="N4161" s="1">
        <v>3530.52</v>
      </c>
      <c r="O4161" s="1" t="s">
        <v>33</v>
      </c>
      <c r="P4161" s="1" t="s">
        <v>2872</v>
      </c>
      <c r="Q4161" s="1">
        <v>4</v>
      </c>
      <c r="R4161" s="1">
        <f>Retail_Sales_Analyis[[#This Row],[Final_Price]]-Retail_Sales_Analyis[[#This Row],[Total_Price]]</f>
        <v>0</v>
      </c>
      <c r="S41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62" spans="1:19" x14ac:dyDescent="0.25">
      <c r="A4162" s="1" t="s">
        <v>5289</v>
      </c>
      <c r="B4162" s="2">
        <v>45415</v>
      </c>
      <c r="C4162" s="1" t="s">
        <v>42</v>
      </c>
      <c r="D4162" s="1" t="s">
        <v>144</v>
      </c>
      <c r="E4162" s="1" t="s">
        <v>83</v>
      </c>
      <c r="F4162" s="1" t="s">
        <v>84</v>
      </c>
      <c r="G4162" s="1" t="s">
        <v>112</v>
      </c>
      <c r="H4162" s="1" t="s">
        <v>113</v>
      </c>
      <c r="I4162" s="1">
        <v>1499.66</v>
      </c>
      <c r="J4162" s="1">
        <v>2</v>
      </c>
      <c r="K4162" s="1">
        <v>2999.32</v>
      </c>
      <c r="L4162" s="1">
        <v>5</v>
      </c>
      <c r="M4162" s="1">
        <v>149.97</v>
      </c>
      <c r="N4162" s="1">
        <v>2849.35</v>
      </c>
      <c r="O4162" s="1" t="s">
        <v>64</v>
      </c>
      <c r="P4162" s="1" t="s">
        <v>1080</v>
      </c>
      <c r="Q4162" s="1">
        <v>4</v>
      </c>
      <c r="R4162" s="1">
        <f>Retail_Sales_Analyis[[#This Row],[Final_Price]]-Retail_Sales_Analyis[[#This Row],[Total_Price]]</f>
        <v>-149.97000000000025</v>
      </c>
      <c r="S41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63" spans="1:19" x14ac:dyDescent="0.25">
      <c r="A4163" s="1" t="s">
        <v>5290</v>
      </c>
      <c r="B4163" s="2">
        <v>45428</v>
      </c>
      <c r="C4163" s="1" t="s">
        <v>42</v>
      </c>
      <c r="D4163" s="1" t="s">
        <v>67</v>
      </c>
      <c r="E4163" s="1" t="s">
        <v>29</v>
      </c>
      <c r="F4163" s="1" t="s">
        <v>69</v>
      </c>
      <c r="G4163" s="1" t="s">
        <v>31</v>
      </c>
      <c r="H4163" s="1" t="s">
        <v>63</v>
      </c>
      <c r="I4163" s="1">
        <v>117.26</v>
      </c>
      <c r="J4163" s="1">
        <v>9</v>
      </c>
      <c r="K4163" s="1">
        <v>1055.3399999999999</v>
      </c>
      <c r="L4163" s="1">
        <v>0</v>
      </c>
      <c r="M4163" s="1">
        <v>0</v>
      </c>
      <c r="N4163" s="1">
        <v>1055.3399999999999</v>
      </c>
      <c r="O4163" s="1" t="s">
        <v>64</v>
      </c>
      <c r="P4163" s="1" t="s">
        <v>371</v>
      </c>
      <c r="Q4163" s="1">
        <v>3</v>
      </c>
      <c r="R4163" s="1">
        <f>Retail_Sales_Analyis[[#This Row],[Final_Price]]-Retail_Sales_Analyis[[#This Row],[Total_Price]]</f>
        <v>0</v>
      </c>
      <c r="S41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64" spans="1:19" x14ac:dyDescent="0.25">
      <c r="A4164" s="1" t="s">
        <v>5291</v>
      </c>
      <c r="B4164" s="2">
        <v>45565</v>
      </c>
      <c r="C4164" s="1" t="s">
        <v>116</v>
      </c>
      <c r="D4164" s="1" t="s">
        <v>43</v>
      </c>
      <c r="E4164" s="1" t="s">
        <v>157</v>
      </c>
      <c r="F4164" s="1" t="s">
        <v>21</v>
      </c>
      <c r="G4164" s="1" t="s">
        <v>38</v>
      </c>
      <c r="H4164" s="1" t="s">
        <v>214</v>
      </c>
      <c r="I4164" s="1">
        <v>526.87</v>
      </c>
      <c r="J4164" s="1">
        <v>9</v>
      </c>
      <c r="K4164" s="1">
        <v>4741.83</v>
      </c>
      <c r="L4164" s="1">
        <v>0</v>
      </c>
      <c r="M4164" s="1">
        <v>0</v>
      </c>
      <c r="N4164" s="1">
        <v>4741.83</v>
      </c>
      <c r="O4164" s="1" t="s">
        <v>80</v>
      </c>
      <c r="P4164" s="1" t="s">
        <v>123</v>
      </c>
      <c r="Q4164" s="1">
        <v>2</v>
      </c>
      <c r="R4164" s="1">
        <f>Retail_Sales_Analyis[[#This Row],[Final_Price]]-Retail_Sales_Analyis[[#This Row],[Total_Price]]</f>
        <v>0</v>
      </c>
      <c r="S41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65" spans="1:19" x14ac:dyDescent="0.25">
      <c r="A4165" s="1" t="s">
        <v>5292</v>
      </c>
      <c r="B4165" s="2">
        <v>45320</v>
      </c>
      <c r="C4165" s="1" t="s">
        <v>36</v>
      </c>
      <c r="D4165" s="1" t="s">
        <v>43</v>
      </c>
      <c r="E4165" s="1" t="s">
        <v>139</v>
      </c>
      <c r="F4165" s="1" t="s">
        <v>84</v>
      </c>
      <c r="G4165" s="1" t="s">
        <v>78</v>
      </c>
      <c r="H4165" s="1" t="s">
        <v>146</v>
      </c>
      <c r="I4165" s="1">
        <v>419.74</v>
      </c>
      <c r="J4165" s="1">
        <v>3</v>
      </c>
      <c r="K4165" s="1">
        <v>1259.22</v>
      </c>
      <c r="L4165" s="1">
        <v>15</v>
      </c>
      <c r="M4165" s="1">
        <v>188.88</v>
      </c>
      <c r="N4165" s="1">
        <v>1070.3399999999999</v>
      </c>
      <c r="O4165" s="1" t="s">
        <v>33</v>
      </c>
      <c r="P4165" s="1" t="s">
        <v>3968</v>
      </c>
      <c r="Q4165" s="1">
        <v>1</v>
      </c>
      <c r="R4165" s="1">
        <f>Retail_Sales_Analyis[[#This Row],[Final_Price]]-Retail_Sales_Analyis[[#This Row],[Total_Price]]</f>
        <v>-188.88000000000011</v>
      </c>
      <c r="S41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66" spans="1:19" x14ac:dyDescent="0.25">
      <c r="A4166" s="1" t="s">
        <v>5293</v>
      </c>
      <c r="B4166" s="2">
        <v>45404</v>
      </c>
      <c r="C4166" s="1" t="s">
        <v>54</v>
      </c>
      <c r="D4166" s="1" t="s">
        <v>43</v>
      </c>
      <c r="E4166" s="1" t="s">
        <v>94</v>
      </c>
      <c r="F4166" s="1" t="s">
        <v>37</v>
      </c>
      <c r="G4166" s="1" t="s">
        <v>57</v>
      </c>
      <c r="H4166" s="1" t="s">
        <v>101</v>
      </c>
      <c r="I4166" s="1">
        <v>1880.25</v>
      </c>
      <c r="J4166" s="1">
        <v>9</v>
      </c>
      <c r="K4166" s="1">
        <v>16922.25</v>
      </c>
      <c r="L4166" s="1">
        <v>20</v>
      </c>
      <c r="M4166" s="1">
        <v>3384.45</v>
      </c>
      <c r="N4166" s="1">
        <v>13537.8</v>
      </c>
      <c r="O4166" s="1" t="s">
        <v>33</v>
      </c>
      <c r="P4166" s="1" t="s">
        <v>248</v>
      </c>
      <c r="Q4166" s="1">
        <v>2</v>
      </c>
      <c r="R4166" s="1">
        <f>Retail_Sales_Analyis[[#This Row],[Final_Price]]-Retail_Sales_Analyis[[#This Row],[Total_Price]]</f>
        <v>-3384.4500000000007</v>
      </c>
      <c r="S41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67" spans="1:19" x14ac:dyDescent="0.25">
      <c r="A4167" s="1" t="s">
        <v>5294</v>
      </c>
      <c r="B4167" s="2">
        <v>45586</v>
      </c>
      <c r="C4167" s="1" t="s">
        <v>76</v>
      </c>
      <c r="D4167" s="1" t="s">
        <v>43</v>
      </c>
      <c r="E4167" s="1" t="s">
        <v>62</v>
      </c>
      <c r="F4167" s="1" t="s">
        <v>30</v>
      </c>
      <c r="G4167" s="1" t="s">
        <v>169</v>
      </c>
      <c r="H4167" s="1" t="s">
        <v>175</v>
      </c>
      <c r="I4167" s="1">
        <v>1043.28</v>
      </c>
      <c r="J4167" s="1">
        <v>10</v>
      </c>
      <c r="K4167" s="1">
        <v>10432.799999999999</v>
      </c>
      <c r="L4167" s="1">
        <v>5</v>
      </c>
      <c r="M4167" s="1">
        <v>521.64</v>
      </c>
      <c r="N4167" s="1">
        <v>9911.16</v>
      </c>
      <c r="O4167" s="1" t="s">
        <v>46</v>
      </c>
      <c r="P4167" s="1" t="s">
        <v>205</v>
      </c>
      <c r="Q4167" s="1">
        <v>4</v>
      </c>
      <c r="R4167" s="1">
        <f>Retail_Sales_Analyis[[#This Row],[Final_Price]]-Retail_Sales_Analyis[[#This Row],[Total_Price]]</f>
        <v>-521.63999999999942</v>
      </c>
      <c r="S41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68" spans="1:19" x14ac:dyDescent="0.25">
      <c r="A4168" s="1" t="s">
        <v>5295</v>
      </c>
      <c r="B4168" s="2">
        <v>45490</v>
      </c>
      <c r="C4168" s="1" t="s">
        <v>195</v>
      </c>
      <c r="D4168" s="1" t="s">
        <v>55</v>
      </c>
      <c r="E4168" s="1" t="s">
        <v>199</v>
      </c>
      <c r="F4168" s="1" t="s">
        <v>84</v>
      </c>
      <c r="G4168" s="1" t="s">
        <v>31</v>
      </c>
      <c r="H4168" s="1" t="s">
        <v>250</v>
      </c>
      <c r="I4168" s="1">
        <v>352.38</v>
      </c>
      <c r="J4168" s="1">
        <v>8</v>
      </c>
      <c r="K4168" s="1">
        <v>2819.04</v>
      </c>
      <c r="L4168" s="1">
        <v>20</v>
      </c>
      <c r="M4168" s="1">
        <v>563.80999999999995</v>
      </c>
      <c r="N4168" s="1">
        <v>2255.23</v>
      </c>
      <c r="O4168" s="1" t="s">
        <v>33</v>
      </c>
      <c r="P4168" s="1" t="s">
        <v>1242</v>
      </c>
      <c r="Q4168" s="1">
        <v>1</v>
      </c>
      <c r="R4168" s="1">
        <f>Retail_Sales_Analyis[[#This Row],[Final_Price]]-Retail_Sales_Analyis[[#This Row],[Total_Price]]</f>
        <v>-563.80999999999995</v>
      </c>
      <c r="S416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69" spans="1:19" x14ac:dyDescent="0.25">
      <c r="A4169" s="1" t="s">
        <v>5296</v>
      </c>
      <c r="B4169" s="2">
        <v>45473</v>
      </c>
      <c r="C4169" s="1" t="s">
        <v>173</v>
      </c>
      <c r="D4169" s="1" t="s">
        <v>49</v>
      </c>
      <c r="E4169" s="1" t="s">
        <v>351</v>
      </c>
      <c r="F4169" s="1" t="s">
        <v>30</v>
      </c>
      <c r="G4169" s="1" t="s">
        <v>112</v>
      </c>
      <c r="H4169" s="1" t="s">
        <v>183</v>
      </c>
      <c r="I4169" s="1">
        <v>1974.4</v>
      </c>
      <c r="J4169" s="1">
        <v>8</v>
      </c>
      <c r="K4169" s="1">
        <v>15795.2</v>
      </c>
      <c r="L4169" s="1">
        <v>10</v>
      </c>
      <c r="M4169" s="1">
        <v>1579.52</v>
      </c>
      <c r="N4169" s="1">
        <v>14215.68</v>
      </c>
      <c r="O4169" s="1" t="s">
        <v>24</v>
      </c>
      <c r="P4169" s="1" t="s">
        <v>828</v>
      </c>
      <c r="Q4169" s="1">
        <v>5</v>
      </c>
      <c r="R4169" s="1">
        <f>Retail_Sales_Analyis[[#This Row],[Final_Price]]-Retail_Sales_Analyis[[#This Row],[Total_Price]]</f>
        <v>-1579.5200000000004</v>
      </c>
      <c r="S41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70" spans="1:19" x14ac:dyDescent="0.25">
      <c r="A4170" s="1" t="s">
        <v>5297</v>
      </c>
      <c r="B4170" s="2">
        <v>45380</v>
      </c>
      <c r="C4170" s="1" t="s">
        <v>61</v>
      </c>
      <c r="D4170" s="1" t="s">
        <v>144</v>
      </c>
      <c r="E4170" s="1" t="s">
        <v>542</v>
      </c>
      <c r="F4170" s="1" t="s">
        <v>37</v>
      </c>
      <c r="G4170" s="1" t="s">
        <v>22</v>
      </c>
      <c r="H4170" s="1" t="s">
        <v>277</v>
      </c>
      <c r="I4170" s="1">
        <v>659.97</v>
      </c>
      <c r="J4170" s="1">
        <v>8</v>
      </c>
      <c r="K4170" s="1">
        <v>5279.76</v>
      </c>
      <c r="L4170" s="1">
        <v>0</v>
      </c>
      <c r="M4170" s="1">
        <v>0</v>
      </c>
      <c r="N4170" s="1">
        <v>5279.76</v>
      </c>
      <c r="O4170" s="1" t="s">
        <v>80</v>
      </c>
      <c r="P4170" s="1" t="s">
        <v>1474</v>
      </c>
      <c r="Q4170" s="1">
        <v>4</v>
      </c>
      <c r="R4170" s="1">
        <f>Retail_Sales_Analyis[[#This Row],[Final_Price]]-Retail_Sales_Analyis[[#This Row],[Total_Price]]</f>
        <v>0</v>
      </c>
      <c r="S41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71" spans="1:19" x14ac:dyDescent="0.25">
      <c r="A4171" s="1" t="s">
        <v>5298</v>
      </c>
      <c r="B4171" s="2">
        <v>45382</v>
      </c>
      <c r="C4171" s="1" t="s">
        <v>61</v>
      </c>
      <c r="D4171" s="1" t="s">
        <v>49</v>
      </c>
      <c r="E4171" s="1" t="s">
        <v>204</v>
      </c>
      <c r="F4171" s="1" t="s">
        <v>84</v>
      </c>
      <c r="G4171" s="1" t="s">
        <v>57</v>
      </c>
      <c r="H4171" s="1" t="s">
        <v>158</v>
      </c>
      <c r="I4171" s="1">
        <v>259.45999999999998</v>
      </c>
      <c r="J4171" s="1">
        <v>8</v>
      </c>
      <c r="K4171" s="1">
        <v>2075.6799999999998</v>
      </c>
      <c r="L4171" s="1">
        <v>0</v>
      </c>
      <c r="M4171" s="1">
        <v>0</v>
      </c>
      <c r="N4171" s="1">
        <v>2075.6799999999998</v>
      </c>
      <c r="O4171" s="1" t="s">
        <v>33</v>
      </c>
      <c r="P4171" s="1" t="s">
        <v>246</v>
      </c>
      <c r="Q4171" s="1">
        <v>5</v>
      </c>
      <c r="R4171" s="1">
        <f>Retail_Sales_Analyis[[#This Row],[Final_Price]]-Retail_Sales_Analyis[[#This Row],[Total_Price]]</f>
        <v>0</v>
      </c>
      <c r="S41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72" spans="1:19" x14ac:dyDescent="0.25">
      <c r="A4172" s="1" t="s">
        <v>5299</v>
      </c>
      <c r="B4172" s="2">
        <v>45413</v>
      </c>
      <c r="C4172" s="1" t="s">
        <v>42</v>
      </c>
      <c r="D4172" s="1" t="s">
        <v>55</v>
      </c>
      <c r="E4172" s="1" t="s">
        <v>166</v>
      </c>
      <c r="F4172" s="1" t="s">
        <v>69</v>
      </c>
      <c r="G4172" s="1" t="s">
        <v>112</v>
      </c>
      <c r="H4172" s="1" t="s">
        <v>183</v>
      </c>
      <c r="I4172" s="1">
        <v>1797.86</v>
      </c>
      <c r="J4172" s="1">
        <v>1</v>
      </c>
      <c r="K4172" s="1">
        <v>1797.86</v>
      </c>
      <c r="L4172" s="1">
        <v>0</v>
      </c>
      <c r="M4172" s="1">
        <v>0</v>
      </c>
      <c r="N4172" s="1">
        <v>1797.86</v>
      </c>
      <c r="O4172" s="1" t="s">
        <v>24</v>
      </c>
      <c r="P4172" s="1" t="s">
        <v>2330</v>
      </c>
      <c r="Q4172" s="1">
        <v>4</v>
      </c>
      <c r="R4172" s="1">
        <f>Retail_Sales_Analyis[[#This Row],[Final_Price]]-Retail_Sales_Analyis[[#This Row],[Total_Price]]</f>
        <v>0</v>
      </c>
      <c r="S41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73" spans="1:19" x14ac:dyDescent="0.25">
      <c r="A4173" s="1" t="s">
        <v>5300</v>
      </c>
      <c r="B4173" s="2">
        <v>45595</v>
      </c>
      <c r="C4173" s="1" t="s">
        <v>76</v>
      </c>
      <c r="D4173" s="1" t="s">
        <v>55</v>
      </c>
      <c r="E4173" s="1" t="s">
        <v>104</v>
      </c>
      <c r="F4173" s="1" t="s">
        <v>84</v>
      </c>
      <c r="G4173" s="1" t="s">
        <v>38</v>
      </c>
      <c r="H4173" s="1" t="s">
        <v>214</v>
      </c>
      <c r="I4173" s="1">
        <v>122.19</v>
      </c>
      <c r="J4173" s="1">
        <v>3</v>
      </c>
      <c r="K4173" s="1">
        <v>366.57</v>
      </c>
      <c r="L4173" s="1">
        <v>20</v>
      </c>
      <c r="M4173" s="1">
        <v>73.31</v>
      </c>
      <c r="N4173" s="1">
        <v>293.26</v>
      </c>
      <c r="O4173" s="1" t="s">
        <v>24</v>
      </c>
      <c r="P4173" s="1" t="s">
        <v>1884</v>
      </c>
      <c r="Q4173" s="1">
        <v>5</v>
      </c>
      <c r="R4173" s="1">
        <f>Retail_Sales_Analyis[[#This Row],[Final_Price]]-Retail_Sales_Analyis[[#This Row],[Total_Price]]</f>
        <v>-73.31</v>
      </c>
      <c r="S41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74" spans="1:19" x14ac:dyDescent="0.25">
      <c r="A4174" s="1" t="s">
        <v>5301</v>
      </c>
      <c r="B4174" s="2">
        <v>45454</v>
      </c>
      <c r="C4174" s="1" t="s">
        <v>173</v>
      </c>
      <c r="D4174" s="1" t="s">
        <v>28</v>
      </c>
      <c r="E4174" s="1" t="s">
        <v>121</v>
      </c>
      <c r="F4174" s="1" t="s">
        <v>30</v>
      </c>
      <c r="G4174" s="1" t="s">
        <v>31</v>
      </c>
      <c r="H4174" s="1" t="s">
        <v>329</v>
      </c>
      <c r="I4174" s="1">
        <v>354.84</v>
      </c>
      <c r="J4174" s="1">
        <v>7</v>
      </c>
      <c r="K4174" s="1">
        <v>2483.88</v>
      </c>
      <c r="L4174" s="1">
        <v>10</v>
      </c>
      <c r="M4174" s="1">
        <v>248.39</v>
      </c>
      <c r="N4174" s="1">
        <v>2235.4899999999998</v>
      </c>
      <c r="O4174" s="1" t="s">
        <v>80</v>
      </c>
      <c r="P4174" s="1" t="s">
        <v>830</v>
      </c>
      <c r="Q4174" s="1">
        <v>1</v>
      </c>
      <c r="R4174" s="1">
        <f>Retail_Sales_Analyis[[#This Row],[Final_Price]]-Retail_Sales_Analyis[[#This Row],[Total_Price]]</f>
        <v>-248.39000000000033</v>
      </c>
      <c r="S41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75" spans="1:19" x14ac:dyDescent="0.25">
      <c r="A4175" s="1" t="s">
        <v>5302</v>
      </c>
      <c r="B4175" s="2">
        <v>45649</v>
      </c>
      <c r="C4175" s="1" t="s">
        <v>73</v>
      </c>
      <c r="D4175" s="1" t="s">
        <v>43</v>
      </c>
      <c r="E4175" s="1" t="s">
        <v>342</v>
      </c>
      <c r="F4175" s="1" t="s">
        <v>30</v>
      </c>
      <c r="G4175" s="1" t="s">
        <v>31</v>
      </c>
      <c r="H4175" s="1" t="s">
        <v>250</v>
      </c>
      <c r="I4175" s="1">
        <v>154.22</v>
      </c>
      <c r="J4175" s="1">
        <v>4</v>
      </c>
      <c r="K4175" s="1">
        <v>616.88</v>
      </c>
      <c r="L4175" s="1">
        <v>0</v>
      </c>
      <c r="M4175" s="1">
        <v>0</v>
      </c>
      <c r="N4175" s="1">
        <v>616.88</v>
      </c>
      <c r="O4175" s="1" t="s">
        <v>24</v>
      </c>
      <c r="P4175" s="1" t="s">
        <v>3463</v>
      </c>
      <c r="Q4175" s="1">
        <v>1</v>
      </c>
      <c r="R4175" s="1">
        <f>Retail_Sales_Analyis[[#This Row],[Final_Price]]-Retail_Sales_Analyis[[#This Row],[Total_Price]]</f>
        <v>0</v>
      </c>
      <c r="S41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76" spans="1:19" x14ac:dyDescent="0.25">
      <c r="A4176" s="1" t="s">
        <v>5303</v>
      </c>
      <c r="B4176" s="2">
        <v>45475</v>
      </c>
      <c r="C4176" s="1" t="s">
        <v>195</v>
      </c>
      <c r="D4176" s="1" t="s">
        <v>28</v>
      </c>
      <c r="E4176" s="1" t="s">
        <v>121</v>
      </c>
      <c r="F4176" s="1" t="s">
        <v>30</v>
      </c>
      <c r="G4176" s="1" t="s">
        <v>78</v>
      </c>
      <c r="H4176" s="1" t="s">
        <v>136</v>
      </c>
      <c r="I4176" s="1">
        <v>598.53</v>
      </c>
      <c r="J4176" s="1">
        <v>7</v>
      </c>
      <c r="K4176" s="1">
        <v>4189.71</v>
      </c>
      <c r="L4176" s="1">
        <v>5</v>
      </c>
      <c r="M4176" s="1">
        <v>209.49</v>
      </c>
      <c r="N4176" s="1">
        <v>3980.22</v>
      </c>
      <c r="O4176" s="1" t="s">
        <v>24</v>
      </c>
      <c r="P4176" s="1" t="s">
        <v>358</v>
      </c>
      <c r="Q4176" s="1">
        <v>2</v>
      </c>
      <c r="R4176" s="1">
        <f>Retail_Sales_Analyis[[#This Row],[Final_Price]]-Retail_Sales_Analyis[[#This Row],[Total_Price]]</f>
        <v>-209.49000000000024</v>
      </c>
      <c r="S41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77" spans="1:19" x14ac:dyDescent="0.25">
      <c r="A4177" s="1" t="s">
        <v>5304</v>
      </c>
      <c r="B4177" s="2">
        <v>45594</v>
      </c>
      <c r="C4177" s="1" t="s">
        <v>76</v>
      </c>
      <c r="D4177" s="1" t="s">
        <v>28</v>
      </c>
      <c r="E4177" s="1" t="s">
        <v>322</v>
      </c>
      <c r="F4177" s="1" t="s">
        <v>21</v>
      </c>
      <c r="G4177" s="1" t="s">
        <v>31</v>
      </c>
      <c r="H4177" s="1" t="s">
        <v>250</v>
      </c>
      <c r="I4177" s="1">
        <v>297.14999999999998</v>
      </c>
      <c r="J4177" s="1">
        <v>2</v>
      </c>
      <c r="K4177" s="1">
        <v>594.29999999999995</v>
      </c>
      <c r="L4177" s="1">
        <v>10</v>
      </c>
      <c r="M4177" s="1">
        <v>59.43</v>
      </c>
      <c r="N4177" s="1">
        <v>534.87</v>
      </c>
      <c r="O4177" s="1" t="s">
        <v>64</v>
      </c>
      <c r="P4177" s="1" t="s">
        <v>3554</v>
      </c>
      <c r="Q4177" s="1">
        <v>5</v>
      </c>
      <c r="R4177" s="1">
        <f>Retail_Sales_Analyis[[#This Row],[Final_Price]]-Retail_Sales_Analyis[[#This Row],[Total_Price]]</f>
        <v>-59.42999999999995</v>
      </c>
      <c r="S41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78" spans="1:19" x14ac:dyDescent="0.25">
      <c r="A4178" s="1" t="s">
        <v>5305</v>
      </c>
      <c r="B4178" s="2">
        <v>45306</v>
      </c>
      <c r="C4178" s="1" t="s">
        <v>36</v>
      </c>
      <c r="D4178" s="1" t="s">
        <v>43</v>
      </c>
      <c r="E4178" s="1" t="s">
        <v>151</v>
      </c>
      <c r="F4178" s="1" t="s">
        <v>84</v>
      </c>
      <c r="G4178" s="1" t="s">
        <v>31</v>
      </c>
      <c r="H4178" s="1" t="s">
        <v>45</v>
      </c>
      <c r="I4178" s="1">
        <v>330.71</v>
      </c>
      <c r="J4178" s="1">
        <v>9</v>
      </c>
      <c r="K4178" s="1">
        <v>2976.39</v>
      </c>
      <c r="L4178" s="1">
        <v>10</v>
      </c>
      <c r="M4178" s="1">
        <v>297.64</v>
      </c>
      <c r="N4178" s="1">
        <v>2678.75</v>
      </c>
      <c r="O4178" s="1" t="s">
        <v>46</v>
      </c>
      <c r="P4178" s="1" t="s">
        <v>289</v>
      </c>
      <c r="Q4178" s="1">
        <v>2</v>
      </c>
      <c r="R4178" s="1">
        <f>Retail_Sales_Analyis[[#This Row],[Final_Price]]-Retail_Sales_Analyis[[#This Row],[Total_Price]]</f>
        <v>-297.63999999999987</v>
      </c>
      <c r="S41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79" spans="1:19" x14ac:dyDescent="0.25">
      <c r="A4179" s="1" t="s">
        <v>5306</v>
      </c>
      <c r="B4179" s="2">
        <v>45652</v>
      </c>
      <c r="C4179" s="1" t="s">
        <v>73</v>
      </c>
      <c r="D4179" s="1" t="s">
        <v>67</v>
      </c>
      <c r="E4179" s="1" t="s">
        <v>542</v>
      </c>
      <c r="F4179" s="1" t="s">
        <v>30</v>
      </c>
      <c r="G4179" s="1" t="s">
        <v>169</v>
      </c>
      <c r="H4179" s="1" t="s">
        <v>170</v>
      </c>
      <c r="I4179" s="1">
        <v>1355.02</v>
      </c>
      <c r="J4179" s="1">
        <v>1</v>
      </c>
      <c r="K4179" s="1">
        <v>1355.02</v>
      </c>
      <c r="L4179" s="1">
        <v>15</v>
      </c>
      <c r="M4179" s="1">
        <v>203.25</v>
      </c>
      <c r="N4179" s="1">
        <v>1151.77</v>
      </c>
      <c r="O4179" s="1" t="s">
        <v>80</v>
      </c>
      <c r="P4179" s="1" t="s">
        <v>607</v>
      </c>
      <c r="Q4179" s="1">
        <v>3</v>
      </c>
      <c r="R4179" s="1">
        <f>Retail_Sales_Analyis[[#This Row],[Final_Price]]-Retail_Sales_Analyis[[#This Row],[Total_Price]]</f>
        <v>-203.25</v>
      </c>
      <c r="S41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80" spans="1:19" x14ac:dyDescent="0.25">
      <c r="A4180" s="1" t="s">
        <v>5307</v>
      </c>
      <c r="B4180" s="2">
        <v>45650</v>
      </c>
      <c r="C4180" s="1" t="s">
        <v>73</v>
      </c>
      <c r="D4180" s="1" t="s">
        <v>28</v>
      </c>
      <c r="E4180" s="1" t="s">
        <v>56</v>
      </c>
      <c r="F4180" s="1" t="s">
        <v>69</v>
      </c>
      <c r="G4180" s="1" t="s">
        <v>78</v>
      </c>
      <c r="H4180" s="1" t="s">
        <v>323</v>
      </c>
      <c r="I4180" s="1">
        <v>236.99</v>
      </c>
      <c r="J4180" s="1">
        <v>4</v>
      </c>
      <c r="K4180" s="1">
        <v>947.96</v>
      </c>
      <c r="L4180" s="1">
        <v>0</v>
      </c>
      <c r="M4180" s="1">
        <v>0</v>
      </c>
      <c r="N4180" s="1">
        <v>947.96</v>
      </c>
      <c r="O4180" s="1" t="s">
        <v>46</v>
      </c>
      <c r="P4180" s="1" t="s">
        <v>114</v>
      </c>
      <c r="Q4180" s="1">
        <v>2</v>
      </c>
      <c r="R4180" s="1">
        <f>Retail_Sales_Analyis[[#This Row],[Final_Price]]-Retail_Sales_Analyis[[#This Row],[Total_Price]]</f>
        <v>0</v>
      </c>
      <c r="S41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81" spans="1:19" x14ac:dyDescent="0.25">
      <c r="A4181" s="1" t="s">
        <v>5308</v>
      </c>
      <c r="B4181" s="2">
        <v>45472</v>
      </c>
      <c r="C4181" s="1" t="s">
        <v>173</v>
      </c>
      <c r="D4181" s="1" t="s">
        <v>19</v>
      </c>
      <c r="E4181" s="1" t="s">
        <v>44</v>
      </c>
      <c r="F4181" s="1" t="s">
        <v>37</v>
      </c>
      <c r="G4181" s="1" t="s">
        <v>169</v>
      </c>
      <c r="H4181" s="1" t="s">
        <v>170</v>
      </c>
      <c r="I4181" s="1">
        <v>685.04</v>
      </c>
      <c r="J4181" s="1">
        <v>10</v>
      </c>
      <c r="K4181" s="1">
        <v>6850.4</v>
      </c>
      <c r="L4181" s="1">
        <v>5</v>
      </c>
      <c r="M4181" s="1">
        <v>342.52</v>
      </c>
      <c r="N4181" s="1">
        <v>6507.88</v>
      </c>
      <c r="O4181" s="1" t="s">
        <v>33</v>
      </c>
      <c r="P4181" s="1" t="s">
        <v>841</v>
      </c>
      <c r="Q4181" s="1">
        <v>1</v>
      </c>
      <c r="R4181" s="1">
        <f>Retail_Sales_Analyis[[#This Row],[Final_Price]]-Retail_Sales_Analyis[[#This Row],[Total_Price]]</f>
        <v>-342.51999999999953</v>
      </c>
      <c r="S418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82" spans="1:19" x14ac:dyDescent="0.25">
      <c r="A4182" s="1" t="s">
        <v>5309</v>
      </c>
      <c r="B4182" s="2">
        <v>45582</v>
      </c>
      <c r="C4182" s="1" t="s">
        <v>76</v>
      </c>
      <c r="D4182" s="1" t="s">
        <v>67</v>
      </c>
      <c r="E4182" s="1" t="s">
        <v>157</v>
      </c>
      <c r="F4182" s="1" t="s">
        <v>37</v>
      </c>
      <c r="G4182" s="1" t="s">
        <v>38</v>
      </c>
      <c r="H4182" s="1" t="s">
        <v>422</v>
      </c>
      <c r="I4182" s="1">
        <v>483.21</v>
      </c>
      <c r="J4182" s="1">
        <v>2</v>
      </c>
      <c r="K4182" s="1">
        <v>966.42</v>
      </c>
      <c r="L4182" s="1">
        <v>0</v>
      </c>
      <c r="M4182" s="1">
        <v>0</v>
      </c>
      <c r="N4182" s="1">
        <v>966.42</v>
      </c>
      <c r="O4182" s="1" t="s">
        <v>46</v>
      </c>
      <c r="P4182" s="1" t="s">
        <v>3411</v>
      </c>
      <c r="Q4182" s="1">
        <v>1</v>
      </c>
      <c r="R4182" s="1">
        <f>Retail_Sales_Analyis[[#This Row],[Final_Price]]-Retail_Sales_Analyis[[#This Row],[Total_Price]]</f>
        <v>0</v>
      </c>
      <c r="S41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83" spans="1:19" x14ac:dyDescent="0.25">
      <c r="A4183" s="1" t="s">
        <v>5310</v>
      </c>
      <c r="B4183" s="2">
        <v>45580</v>
      </c>
      <c r="C4183" s="1" t="s">
        <v>76</v>
      </c>
      <c r="D4183" s="1" t="s">
        <v>28</v>
      </c>
      <c r="E4183" s="1" t="s">
        <v>29</v>
      </c>
      <c r="F4183" s="1" t="s">
        <v>37</v>
      </c>
      <c r="G4183" s="1" t="s">
        <v>38</v>
      </c>
      <c r="H4183" s="1" t="s">
        <v>39</v>
      </c>
      <c r="I4183" s="1">
        <v>649.04</v>
      </c>
      <c r="J4183" s="1">
        <v>6</v>
      </c>
      <c r="K4183" s="1">
        <v>3894.24</v>
      </c>
      <c r="L4183" s="1">
        <v>5</v>
      </c>
      <c r="M4183" s="1">
        <v>194.71</v>
      </c>
      <c r="N4183" s="1">
        <v>3699.53</v>
      </c>
      <c r="O4183" s="1" t="s">
        <v>24</v>
      </c>
      <c r="P4183" s="1" t="s">
        <v>2208</v>
      </c>
      <c r="Q4183" s="1">
        <v>2</v>
      </c>
      <c r="R4183" s="1">
        <f>Retail_Sales_Analyis[[#This Row],[Final_Price]]-Retail_Sales_Analyis[[#This Row],[Total_Price]]</f>
        <v>-194.70999999999958</v>
      </c>
      <c r="S41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84" spans="1:19" x14ac:dyDescent="0.25">
      <c r="A4184" s="1" t="s">
        <v>5311</v>
      </c>
      <c r="B4184" s="2">
        <v>45364</v>
      </c>
      <c r="C4184" s="1" t="s">
        <v>61</v>
      </c>
      <c r="D4184" s="1" t="s">
        <v>55</v>
      </c>
      <c r="E4184" s="1" t="s">
        <v>236</v>
      </c>
      <c r="F4184" s="1" t="s">
        <v>84</v>
      </c>
      <c r="G4184" s="1" t="s">
        <v>22</v>
      </c>
      <c r="H4184" s="1" t="s">
        <v>277</v>
      </c>
      <c r="I4184" s="1">
        <v>975.19</v>
      </c>
      <c r="J4184" s="1">
        <v>1</v>
      </c>
      <c r="K4184" s="1">
        <v>975.19</v>
      </c>
      <c r="L4184" s="1">
        <v>5</v>
      </c>
      <c r="M4184" s="1">
        <v>48.76</v>
      </c>
      <c r="N4184" s="1">
        <v>926.43</v>
      </c>
      <c r="O4184" s="1" t="s">
        <v>80</v>
      </c>
      <c r="P4184" s="1" t="s">
        <v>2553</v>
      </c>
      <c r="Q4184" s="1">
        <v>4</v>
      </c>
      <c r="R4184" s="1">
        <f>Retail_Sales_Analyis[[#This Row],[Final_Price]]-Retail_Sales_Analyis[[#This Row],[Total_Price]]</f>
        <v>-48.760000000000105</v>
      </c>
      <c r="S41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85" spans="1:19" x14ac:dyDescent="0.25">
      <c r="A4185" s="1" t="s">
        <v>5312</v>
      </c>
      <c r="B4185" s="2">
        <v>45580</v>
      </c>
      <c r="C4185" s="1" t="s">
        <v>76</v>
      </c>
      <c r="D4185" s="1" t="s">
        <v>28</v>
      </c>
      <c r="E4185" s="1" t="s">
        <v>107</v>
      </c>
      <c r="F4185" s="1" t="s">
        <v>69</v>
      </c>
      <c r="G4185" s="1" t="s">
        <v>85</v>
      </c>
      <c r="H4185" s="1" t="s">
        <v>98</v>
      </c>
      <c r="I4185" s="1">
        <v>3931.91</v>
      </c>
      <c r="J4185" s="1">
        <v>9</v>
      </c>
      <c r="K4185" s="1">
        <v>35387.19</v>
      </c>
      <c r="L4185" s="1">
        <v>15</v>
      </c>
      <c r="M4185" s="1">
        <v>5308.08</v>
      </c>
      <c r="N4185" s="1">
        <v>30079.11</v>
      </c>
      <c r="O4185" s="1" t="s">
        <v>46</v>
      </c>
      <c r="P4185" s="1" t="s">
        <v>754</v>
      </c>
      <c r="Q4185" s="1">
        <v>3</v>
      </c>
      <c r="R4185" s="1">
        <f>Retail_Sales_Analyis[[#This Row],[Final_Price]]-Retail_Sales_Analyis[[#This Row],[Total_Price]]</f>
        <v>-5308.0800000000017</v>
      </c>
      <c r="S41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86" spans="1:19" x14ac:dyDescent="0.25">
      <c r="A4186" s="1" t="s">
        <v>5313</v>
      </c>
      <c r="B4186" s="2">
        <v>45388</v>
      </c>
      <c r="C4186" s="1" t="s">
        <v>54</v>
      </c>
      <c r="D4186" s="1" t="s">
        <v>19</v>
      </c>
      <c r="E4186" s="1" t="s">
        <v>117</v>
      </c>
      <c r="F4186" s="1" t="s">
        <v>84</v>
      </c>
      <c r="G4186" s="1" t="s">
        <v>57</v>
      </c>
      <c r="H4186" s="1" t="s">
        <v>158</v>
      </c>
      <c r="I4186" s="1">
        <v>924.14</v>
      </c>
      <c r="J4186" s="1">
        <v>10</v>
      </c>
      <c r="K4186" s="1">
        <v>9241.4</v>
      </c>
      <c r="L4186" s="1">
        <v>15</v>
      </c>
      <c r="M4186" s="1">
        <v>1386.21</v>
      </c>
      <c r="N4186" s="1">
        <v>7855.19</v>
      </c>
      <c r="O4186" s="1" t="s">
        <v>33</v>
      </c>
      <c r="P4186" s="1" t="s">
        <v>2942</v>
      </c>
      <c r="Q4186" s="1">
        <v>5</v>
      </c>
      <c r="R4186" s="1">
        <f>Retail_Sales_Analyis[[#This Row],[Final_Price]]-Retail_Sales_Analyis[[#This Row],[Total_Price]]</f>
        <v>-1386.21</v>
      </c>
      <c r="S41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87" spans="1:19" x14ac:dyDescent="0.25">
      <c r="A4187" s="1" t="s">
        <v>5314</v>
      </c>
      <c r="B4187" s="2">
        <v>45544</v>
      </c>
      <c r="C4187" s="1" t="s">
        <v>116</v>
      </c>
      <c r="D4187" s="1" t="s">
        <v>43</v>
      </c>
      <c r="E4187" s="1" t="s">
        <v>261</v>
      </c>
      <c r="F4187" s="1" t="s">
        <v>30</v>
      </c>
      <c r="G4187" s="1" t="s">
        <v>78</v>
      </c>
      <c r="H4187" s="1" t="s">
        <v>79</v>
      </c>
      <c r="I4187" s="1">
        <v>508.63</v>
      </c>
      <c r="J4187" s="1">
        <v>10</v>
      </c>
      <c r="K4187" s="1">
        <v>5086.3</v>
      </c>
      <c r="L4187" s="1">
        <v>5</v>
      </c>
      <c r="M4187" s="1">
        <v>254.32</v>
      </c>
      <c r="N4187" s="1">
        <v>4831.9799999999996</v>
      </c>
      <c r="O4187" s="1" t="s">
        <v>64</v>
      </c>
      <c r="P4187" s="1" t="s">
        <v>275</v>
      </c>
      <c r="Q4187" s="1">
        <v>4</v>
      </c>
      <c r="R4187" s="1">
        <f>Retail_Sales_Analyis[[#This Row],[Final_Price]]-Retail_Sales_Analyis[[#This Row],[Total_Price]]</f>
        <v>-254.32000000000062</v>
      </c>
      <c r="S41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88" spans="1:19" x14ac:dyDescent="0.25">
      <c r="A4188" s="1" t="s">
        <v>5315</v>
      </c>
      <c r="B4188" s="2">
        <v>45569</v>
      </c>
      <c r="C4188" s="1" t="s">
        <v>76</v>
      </c>
      <c r="D4188" s="1" t="s">
        <v>144</v>
      </c>
      <c r="E4188" s="1" t="s">
        <v>104</v>
      </c>
      <c r="F4188" s="1" t="s">
        <v>69</v>
      </c>
      <c r="G4188" s="1" t="s">
        <v>31</v>
      </c>
      <c r="H4188" s="1" t="s">
        <v>63</v>
      </c>
      <c r="I4188" s="1">
        <v>278.93</v>
      </c>
      <c r="J4188" s="1">
        <v>8</v>
      </c>
      <c r="K4188" s="1">
        <v>2231.44</v>
      </c>
      <c r="L4188" s="1">
        <v>20</v>
      </c>
      <c r="M4188" s="1">
        <v>446.29</v>
      </c>
      <c r="N4188" s="1">
        <v>1785.15</v>
      </c>
      <c r="O4188" s="1" t="s">
        <v>80</v>
      </c>
      <c r="P4188" s="1" t="s">
        <v>465</v>
      </c>
      <c r="Q4188" s="1">
        <v>2</v>
      </c>
      <c r="R4188" s="1">
        <f>Retail_Sales_Analyis[[#This Row],[Final_Price]]-Retail_Sales_Analyis[[#This Row],[Total_Price]]</f>
        <v>-446.28999999999996</v>
      </c>
      <c r="S41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89" spans="1:19" x14ac:dyDescent="0.25">
      <c r="A4189" s="1" t="s">
        <v>5316</v>
      </c>
      <c r="B4189" s="2">
        <v>45450</v>
      </c>
      <c r="C4189" s="1" t="s">
        <v>173</v>
      </c>
      <c r="D4189" s="1" t="s">
        <v>144</v>
      </c>
      <c r="E4189" s="1" t="s">
        <v>411</v>
      </c>
      <c r="F4189" s="1" t="s">
        <v>84</v>
      </c>
      <c r="G4189" s="1" t="s">
        <v>169</v>
      </c>
      <c r="H4189" s="1" t="s">
        <v>208</v>
      </c>
      <c r="I4189" s="1">
        <v>1307.4100000000001</v>
      </c>
      <c r="J4189" s="1">
        <v>6</v>
      </c>
      <c r="K4189" s="1">
        <v>7844.46</v>
      </c>
      <c r="L4189" s="1">
        <v>0</v>
      </c>
      <c r="M4189" s="1">
        <v>0</v>
      </c>
      <c r="N4189" s="1">
        <v>7844.46</v>
      </c>
      <c r="O4189" s="1" t="s">
        <v>80</v>
      </c>
      <c r="P4189" s="1" t="s">
        <v>1824</v>
      </c>
      <c r="Q4189" s="1">
        <v>2</v>
      </c>
      <c r="R4189" s="1">
        <f>Retail_Sales_Analyis[[#This Row],[Final_Price]]-Retail_Sales_Analyis[[#This Row],[Total_Price]]</f>
        <v>0</v>
      </c>
      <c r="S41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0" spans="1:19" x14ac:dyDescent="0.25">
      <c r="A4190" s="1" t="s">
        <v>5317</v>
      </c>
      <c r="B4190" s="2">
        <v>45381</v>
      </c>
      <c r="C4190" s="1" t="s">
        <v>61</v>
      </c>
      <c r="D4190" s="1" t="s">
        <v>19</v>
      </c>
      <c r="E4190" s="1" t="s">
        <v>157</v>
      </c>
      <c r="F4190" s="1" t="s">
        <v>37</v>
      </c>
      <c r="G4190" s="1" t="s">
        <v>22</v>
      </c>
      <c r="H4190" s="1" t="s">
        <v>51</v>
      </c>
      <c r="I4190" s="1">
        <v>567.66999999999996</v>
      </c>
      <c r="J4190" s="1">
        <v>9</v>
      </c>
      <c r="K4190" s="1">
        <v>5109.03</v>
      </c>
      <c r="L4190" s="1">
        <v>0</v>
      </c>
      <c r="M4190" s="1">
        <v>0</v>
      </c>
      <c r="N4190" s="1">
        <v>5109.03</v>
      </c>
      <c r="O4190" s="1" t="s">
        <v>64</v>
      </c>
      <c r="P4190" s="1" t="s">
        <v>2122</v>
      </c>
      <c r="Q4190" s="1">
        <v>4</v>
      </c>
      <c r="R4190" s="1">
        <f>Retail_Sales_Analyis[[#This Row],[Final_Price]]-Retail_Sales_Analyis[[#This Row],[Total_Price]]</f>
        <v>0</v>
      </c>
      <c r="S41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1" spans="1:19" x14ac:dyDescent="0.25">
      <c r="A4191" s="1" t="s">
        <v>5318</v>
      </c>
      <c r="B4191" s="2">
        <v>45543</v>
      </c>
      <c r="C4191" s="1" t="s">
        <v>116</v>
      </c>
      <c r="D4191" s="1" t="s">
        <v>49</v>
      </c>
      <c r="E4191" s="1" t="s">
        <v>121</v>
      </c>
      <c r="F4191" s="1" t="s">
        <v>37</v>
      </c>
      <c r="G4191" s="1" t="s">
        <v>38</v>
      </c>
      <c r="H4191" s="1" t="s">
        <v>214</v>
      </c>
      <c r="I4191" s="1">
        <v>590.45000000000005</v>
      </c>
      <c r="J4191" s="1">
        <v>5</v>
      </c>
      <c r="K4191" s="1">
        <v>2952.25</v>
      </c>
      <c r="L4191" s="1">
        <v>0</v>
      </c>
      <c r="M4191" s="1">
        <v>0</v>
      </c>
      <c r="N4191" s="1">
        <v>2952.25</v>
      </c>
      <c r="O4191" s="1" t="s">
        <v>64</v>
      </c>
      <c r="P4191" s="1" t="s">
        <v>2718</v>
      </c>
      <c r="Q4191" s="1">
        <v>3</v>
      </c>
      <c r="R4191" s="1">
        <f>Retail_Sales_Analyis[[#This Row],[Final_Price]]-Retail_Sales_Analyis[[#This Row],[Total_Price]]</f>
        <v>0</v>
      </c>
      <c r="S41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2" spans="1:19" x14ac:dyDescent="0.25">
      <c r="A4192" s="1" t="s">
        <v>5319</v>
      </c>
      <c r="B4192" s="2">
        <v>45311</v>
      </c>
      <c r="C4192" s="1" t="s">
        <v>36</v>
      </c>
      <c r="D4192" s="1" t="s">
        <v>19</v>
      </c>
      <c r="E4192" s="1" t="s">
        <v>56</v>
      </c>
      <c r="F4192" s="1" t="s">
        <v>30</v>
      </c>
      <c r="G4192" s="1" t="s">
        <v>38</v>
      </c>
      <c r="H4192" s="1" t="s">
        <v>39</v>
      </c>
      <c r="I4192" s="1">
        <v>240.68</v>
      </c>
      <c r="J4192" s="1">
        <v>2</v>
      </c>
      <c r="K4192" s="1">
        <v>481.36</v>
      </c>
      <c r="L4192" s="1">
        <v>5</v>
      </c>
      <c r="M4192" s="1">
        <v>24.07</v>
      </c>
      <c r="N4192" s="1">
        <v>457.29</v>
      </c>
      <c r="O4192" s="1" t="s">
        <v>33</v>
      </c>
      <c r="P4192" s="1" t="s">
        <v>1787</v>
      </c>
      <c r="Q4192" s="1">
        <v>4</v>
      </c>
      <c r="R4192" s="1">
        <f>Retail_Sales_Analyis[[#This Row],[Final_Price]]-Retail_Sales_Analyis[[#This Row],[Total_Price]]</f>
        <v>-24.069999999999993</v>
      </c>
      <c r="S419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93" spans="1:19" x14ac:dyDescent="0.25">
      <c r="A4193" s="1" t="s">
        <v>5320</v>
      </c>
      <c r="B4193" s="2">
        <v>45338</v>
      </c>
      <c r="C4193" s="1" t="s">
        <v>27</v>
      </c>
      <c r="D4193" s="1" t="s">
        <v>144</v>
      </c>
      <c r="E4193" s="1" t="s">
        <v>542</v>
      </c>
      <c r="F4193" s="1" t="s">
        <v>69</v>
      </c>
      <c r="G4193" s="1" t="s">
        <v>31</v>
      </c>
      <c r="H4193" s="1" t="s">
        <v>329</v>
      </c>
      <c r="I4193" s="1">
        <v>247.02</v>
      </c>
      <c r="J4193" s="1">
        <v>3</v>
      </c>
      <c r="K4193" s="1">
        <v>741.06</v>
      </c>
      <c r="L4193" s="1">
        <v>5</v>
      </c>
      <c r="M4193" s="1">
        <v>37.049999999999997</v>
      </c>
      <c r="N4193" s="1">
        <v>704.01</v>
      </c>
      <c r="O4193" s="1" t="s">
        <v>80</v>
      </c>
      <c r="P4193" s="1" t="s">
        <v>777</v>
      </c>
      <c r="Q4193" s="1">
        <v>4</v>
      </c>
      <c r="R4193" s="1">
        <f>Retail_Sales_Analyis[[#This Row],[Final_Price]]-Retail_Sales_Analyis[[#This Row],[Total_Price]]</f>
        <v>-37.049999999999955</v>
      </c>
      <c r="S41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194" spans="1:19" x14ac:dyDescent="0.25">
      <c r="A4194" s="1" t="s">
        <v>5321</v>
      </c>
      <c r="B4194" s="2">
        <v>45320</v>
      </c>
      <c r="C4194" s="1" t="s">
        <v>36</v>
      </c>
      <c r="D4194" s="1" t="s">
        <v>43</v>
      </c>
      <c r="E4194" s="1" t="s">
        <v>196</v>
      </c>
      <c r="F4194" s="1" t="s">
        <v>84</v>
      </c>
      <c r="G4194" s="1" t="s">
        <v>57</v>
      </c>
      <c r="H4194" s="1" t="s">
        <v>158</v>
      </c>
      <c r="I4194" s="1">
        <v>225.96</v>
      </c>
      <c r="J4194" s="1">
        <v>5</v>
      </c>
      <c r="K4194" s="1">
        <v>1129.8</v>
      </c>
      <c r="L4194" s="1">
        <v>0</v>
      </c>
      <c r="M4194" s="1">
        <v>0</v>
      </c>
      <c r="N4194" s="1">
        <v>1129.8</v>
      </c>
      <c r="O4194" s="1" t="s">
        <v>33</v>
      </c>
      <c r="P4194" s="1" t="s">
        <v>2624</v>
      </c>
      <c r="Q4194" s="1">
        <v>2</v>
      </c>
      <c r="R4194" s="1">
        <f>Retail_Sales_Analyis[[#This Row],[Final_Price]]-Retail_Sales_Analyis[[#This Row],[Total_Price]]</f>
        <v>0</v>
      </c>
      <c r="S41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5" spans="1:19" x14ac:dyDescent="0.25">
      <c r="A4195" s="1" t="s">
        <v>5322</v>
      </c>
      <c r="B4195" s="2">
        <v>45411</v>
      </c>
      <c r="C4195" s="1" t="s">
        <v>54</v>
      </c>
      <c r="D4195" s="1" t="s">
        <v>43</v>
      </c>
      <c r="E4195" s="1" t="s">
        <v>204</v>
      </c>
      <c r="F4195" s="1" t="s">
        <v>69</v>
      </c>
      <c r="G4195" s="1" t="s">
        <v>112</v>
      </c>
      <c r="H4195" s="1" t="s">
        <v>118</v>
      </c>
      <c r="I4195" s="1">
        <v>815.99</v>
      </c>
      <c r="J4195" s="1">
        <v>9</v>
      </c>
      <c r="K4195" s="1">
        <v>7343.91</v>
      </c>
      <c r="L4195" s="1">
        <v>15</v>
      </c>
      <c r="M4195" s="1">
        <v>1101.5899999999999</v>
      </c>
      <c r="N4195" s="1">
        <v>6242.32</v>
      </c>
      <c r="O4195" s="1" t="s">
        <v>24</v>
      </c>
      <c r="P4195" s="1" t="s">
        <v>555</v>
      </c>
      <c r="Q4195" s="1">
        <v>4</v>
      </c>
      <c r="R4195" s="1">
        <f>Retail_Sales_Analyis[[#This Row],[Final_Price]]-Retail_Sales_Analyis[[#This Row],[Total_Price]]</f>
        <v>-1101.5900000000001</v>
      </c>
      <c r="S41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96" spans="1:19" x14ac:dyDescent="0.25">
      <c r="A4196" s="1" t="s">
        <v>5323</v>
      </c>
      <c r="B4196" s="2">
        <v>45600</v>
      </c>
      <c r="C4196" s="1" t="s">
        <v>18</v>
      </c>
      <c r="D4196" s="1" t="s">
        <v>43</v>
      </c>
      <c r="E4196" s="1" t="s">
        <v>107</v>
      </c>
      <c r="F4196" s="1" t="s">
        <v>30</v>
      </c>
      <c r="G4196" s="1" t="s">
        <v>22</v>
      </c>
      <c r="H4196" s="1" t="s">
        <v>23</v>
      </c>
      <c r="I4196" s="1">
        <v>946.34</v>
      </c>
      <c r="J4196" s="1">
        <v>3</v>
      </c>
      <c r="K4196" s="1">
        <v>2839.02</v>
      </c>
      <c r="L4196" s="1">
        <v>20</v>
      </c>
      <c r="M4196" s="1">
        <v>567.79999999999995</v>
      </c>
      <c r="N4196" s="1">
        <v>2271.2199999999998</v>
      </c>
      <c r="O4196" s="1" t="s">
        <v>33</v>
      </c>
      <c r="P4196" s="1" t="s">
        <v>741</v>
      </c>
      <c r="Q4196" s="1">
        <v>1</v>
      </c>
      <c r="R4196" s="1">
        <f>Retail_Sales_Analyis[[#This Row],[Final_Price]]-Retail_Sales_Analyis[[#This Row],[Total_Price]]</f>
        <v>-567.80000000000018</v>
      </c>
      <c r="S41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197" spans="1:19" x14ac:dyDescent="0.25">
      <c r="A4197" s="1" t="s">
        <v>5324</v>
      </c>
      <c r="B4197" s="2">
        <v>45404</v>
      </c>
      <c r="C4197" s="1" t="s">
        <v>54</v>
      </c>
      <c r="D4197" s="1" t="s">
        <v>43</v>
      </c>
      <c r="E4197" s="1" t="s">
        <v>213</v>
      </c>
      <c r="F4197" s="1" t="s">
        <v>30</v>
      </c>
      <c r="G4197" s="1" t="s">
        <v>57</v>
      </c>
      <c r="H4197" s="1" t="s">
        <v>152</v>
      </c>
      <c r="I4197" s="1">
        <v>1309.55</v>
      </c>
      <c r="J4197" s="1">
        <v>4</v>
      </c>
      <c r="K4197" s="1">
        <v>5238.2</v>
      </c>
      <c r="L4197" s="1">
        <v>10</v>
      </c>
      <c r="M4197" s="1">
        <v>523.82000000000005</v>
      </c>
      <c r="N4197" s="1">
        <v>4714.38</v>
      </c>
      <c r="O4197" s="1" t="s">
        <v>24</v>
      </c>
      <c r="P4197" s="1" t="s">
        <v>330</v>
      </c>
      <c r="Q4197" s="1">
        <v>3</v>
      </c>
      <c r="R4197" s="1">
        <f>Retail_Sales_Analyis[[#This Row],[Final_Price]]-Retail_Sales_Analyis[[#This Row],[Total_Price]]</f>
        <v>-523.81999999999971</v>
      </c>
      <c r="S41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198" spans="1:19" x14ac:dyDescent="0.25">
      <c r="A4198" s="1" t="s">
        <v>5325</v>
      </c>
      <c r="B4198" s="2">
        <v>45302</v>
      </c>
      <c r="C4198" s="1" t="s">
        <v>36</v>
      </c>
      <c r="D4198" s="1" t="s">
        <v>67</v>
      </c>
      <c r="E4198" s="1" t="s">
        <v>56</v>
      </c>
      <c r="F4198" s="1" t="s">
        <v>84</v>
      </c>
      <c r="G4198" s="1" t="s">
        <v>38</v>
      </c>
      <c r="H4198" s="1" t="s">
        <v>108</v>
      </c>
      <c r="I4198" s="1">
        <v>188.28</v>
      </c>
      <c r="J4198" s="1">
        <v>7</v>
      </c>
      <c r="K4198" s="1">
        <v>1317.96</v>
      </c>
      <c r="L4198" s="1">
        <v>0</v>
      </c>
      <c r="M4198" s="1">
        <v>0</v>
      </c>
      <c r="N4198" s="1">
        <v>1317.96</v>
      </c>
      <c r="O4198" s="1" t="s">
        <v>46</v>
      </c>
      <c r="P4198" s="1" t="s">
        <v>230</v>
      </c>
      <c r="Q4198" s="1">
        <v>4</v>
      </c>
      <c r="R4198" s="1">
        <f>Retail_Sales_Analyis[[#This Row],[Final_Price]]-Retail_Sales_Analyis[[#This Row],[Total_Price]]</f>
        <v>0</v>
      </c>
      <c r="S41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199" spans="1:19" x14ac:dyDescent="0.25">
      <c r="A4199" s="1" t="s">
        <v>5326</v>
      </c>
      <c r="B4199" s="2">
        <v>45561</v>
      </c>
      <c r="C4199" s="1" t="s">
        <v>116</v>
      </c>
      <c r="D4199" s="1" t="s">
        <v>67</v>
      </c>
      <c r="E4199" s="1" t="s">
        <v>97</v>
      </c>
      <c r="F4199" s="1" t="s">
        <v>30</v>
      </c>
      <c r="G4199" s="1" t="s">
        <v>112</v>
      </c>
      <c r="H4199" s="1" t="s">
        <v>113</v>
      </c>
      <c r="I4199" s="1">
        <v>1153.76</v>
      </c>
      <c r="J4199" s="1">
        <v>1</v>
      </c>
      <c r="K4199" s="1">
        <v>1153.76</v>
      </c>
      <c r="L4199" s="1">
        <v>5</v>
      </c>
      <c r="M4199" s="1">
        <v>57.69</v>
      </c>
      <c r="N4199" s="1">
        <v>1096.07</v>
      </c>
      <c r="O4199" s="1" t="s">
        <v>24</v>
      </c>
      <c r="P4199" s="1" t="s">
        <v>1395</v>
      </c>
      <c r="Q4199" s="1">
        <v>3</v>
      </c>
      <c r="R4199" s="1">
        <f>Retail_Sales_Analyis[[#This Row],[Final_Price]]-Retail_Sales_Analyis[[#This Row],[Total_Price]]</f>
        <v>-57.690000000000055</v>
      </c>
      <c r="S419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00" spans="1:19" x14ac:dyDescent="0.25">
      <c r="A4200" s="1" t="s">
        <v>5327</v>
      </c>
      <c r="B4200" s="2">
        <v>45536</v>
      </c>
      <c r="C4200" s="1" t="s">
        <v>116</v>
      </c>
      <c r="D4200" s="1" t="s">
        <v>49</v>
      </c>
      <c r="E4200" s="1" t="s">
        <v>83</v>
      </c>
      <c r="F4200" s="1" t="s">
        <v>21</v>
      </c>
      <c r="G4200" s="1" t="s">
        <v>85</v>
      </c>
      <c r="H4200" s="1" t="s">
        <v>86</v>
      </c>
      <c r="I4200" s="1">
        <v>4641.1499999999996</v>
      </c>
      <c r="J4200" s="1">
        <v>4</v>
      </c>
      <c r="K4200" s="1">
        <v>18564.599999999999</v>
      </c>
      <c r="L4200" s="1">
        <v>0</v>
      </c>
      <c r="M4200" s="1">
        <v>0</v>
      </c>
      <c r="N4200" s="1">
        <v>18564.599999999999</v>
      </c>
      <c r="O4200" s="1" t="s">
        <v>24</v>
      </c>
      <c r="P4200" s="1" t="s">
        <v>248</v>
      </c>
      <c r="Q4200" s="1">
        <v>5</v>
      </c>
      <c r="R4200" s="1">
        <f>Retail_Sales_Analyis[[#This Row],[Final_Price]]-Retail_Sales_Analyis[[#This Row],[Total_Price]]</f>
        <v>0</v>
      </c>
      <c r="S42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1" spans="1:19" x14ac:dyDescent="0.25">
      <c r="A4201" s="1" t="s">
        <v>5328</v>
      </c>
      <c r="B4201" s="2">
        <v>45292</v>
      </c>
      <c r="C4201" s="1" t="s">
        <v>36</v>
      </c>
      <c r="D4201" s="1" t="s">
        <v>43</v>
      </c>
      <c r="E4201" s="1" t="s">
        <v>312</v>
      </c>
      <c r="F4201" s="1" t="s">
        <v>69</v>
      </c>
      <c r="G4201" s="1" t="s">
        <v>85</v>
      </c>
      <c r="H4201" s="1" t="s">
        <v>98</v>
      </c>
      <c r="I4201" s="1">
        <v>4171.8500000000004</v>
      </c>
      <c r="J4201" s="1">
        <v>1</v>
      </c>
      <c r="K4201" s="1">
        <v>4171.8500000000004</v>
      </c>
      <c r="L4201" s="1">
        <v>20</v>
      </c>
      <c r="M4201" s="1">
        <v>834.37</v>
      </c>
      <c r="N4201" s="1">
        <v>3337.48</v>
      </c>
      <c r="O4201" s="1" t="s">
        <v>33</v>
      </c>
      <c r="P4201" s="1" t="s">
        <v>1881</v>
      </c>
      <c r="Q4201" s="1">
        <v>4</v>
      </c>
      <c r="R4201" s="1">
        <f>Retail_Sales_Analyis[[#This Row],[Final_Price]]-Retail_Sales_Analyis[[#This Row],[Total_Price]]</f>
        <v>-834.37000000000035</v>
      </c>
      <c r="S42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02" spans="1:19" x14ac:dyDescent="0.25">
      <c r="A4202" s="1" t="s">
        <v>5329</v>
      </c>
      <c r="B4202" s="2">
        <v>45461</v>
      </c>
      <c r="C4202" s="1" t="s">
        <v>173</v>
      </c>
      <c r="D4202" s="1" t="s">
        <v>28</v>
      </c>
      <c r="E4202" s="1" t="s">
        <v>236</v>
      </c>
      <c r="F4202" s="1" t="s">
        <v>37</v>
      </c>
      <c r="G4202" s="1" t="s">
        <v>78</v>
      </c>
      <c r="H4202" s="1" t="s">
        <v>323</v>
      </c>
      <c r="I4202" s="1">
        <v>445.19</v>
      </c>
      <c r="J4202" s="1">
        <v>6</v>
      </c>
      <c r="K4202" s="1">
        <v>2671.14</v>
      </c>
      <c r="L4202" s="1">
        <v>0</v>
      </c>
      <c r="M4202" s="1">
        <v>0</v>
      </c>
      <c r="N4202" s="1">
        <v>2671.14</v>
      </c>
      <c r="O4202" s="1" t="s">
        <v>64</v>
      </c>
      <c r="P4202" s="1" t="s">
        <v>2882</v>
      </c>
      <c r="Q4202" s="1">
        <v>3</v>
      </c>
      <c r="R4202" s="1">
        <f>Retail_Sales_Analyis[[#This Row],[Final_Price]]-Retail_Sales_Analyis[[#This Row],[Total_Price]]</f>
        <v>0</v>
      </c>
      <c r="S42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3" spans="1:19" x14ac:dyDescent="0.25">
      <c r="A4203" s="1" t="s">
        <v>5330</v>
      </c>
      <c r="B4203" s="2">
        <v>45606</v>
      </c>
      <c r="C4203" s="1" t="s">
        <v>18</v>
      </c>
      <c r="D4203" s="1" t="s">
        <v>49</v>
      </c>
      <c r="E4203" s="1" t="s">
        <v>117</v>
      </c>
      <c r="F4203" s="1" t="s">
        <v>69</v>
      </c>
      <c r="G4203" s="1" t="s">
        <v>22</v>
      </c>
      <c r="H4203" s="1" t="s">
        <v>187</v>
      </c>
      <c r="I4203" s="1">
        <v>422.03</v>
      </c>
      <c r="J4203" s="1">
        <v>6</v>
      </c>
      <c r="K4203" s="1">
        <v>2532.1799999999998</v>
      </c>
      <c r="L4203" s="1">
        <v>0</v>
      </c>
      <c r="M4203" s="1">
        <v>0</v>
      </c>
      <c r="N4203" s="1">
        <v>2532.1799999999998</v>
      </c>
      <c r="O4203" s="1" t="s">
        <v>64</v>
      </c>
      <c r="P4203" s="1" t="s">
        <v>1858</v>
      </c>
      <c r="Q4203" s="1">
        <v>5</v>
      </c>
      <c r="R4203" s="1">
        <f>Retail_Sales_Analyis[[#This Row],[Final_Price]]-Retail_Sales_Analyis[[#This Row],[Total_Price]]</f>
        <v>0</v>
      </c>
      <c r="S42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4" spans="1:19" x14ac:dyDescent="0.25">
      <c r="A4204" s="1" t="s">
        <v>5331</v>
      </c>
      <c r="B4204" s="2">
        <v>45395</v>
      </c>
      <c r="C4204" s="1" t="s">
        <v>54</v>
      </c>
      <c r="D4204" s="1" t="s">
        <v>19</v>
      </c>
      <c r="E4204" s="1" t="s">
        <v>29</v>
      </c>
      <c r="F4204" s="1" t="s">
        <v>84</v>
      </c>
      <c r="G4204" s="1" t="s">
        <v>169</v>
      </c>
      <c r="H4204" s="1" t="s">
        <v>348</v>
      </c>
      <c r="I4204" s="1">
        <v>960.18</v>
      </c>
      <c r="J4204" s="1">
        <v>1</v>
      </c>
      <c r="K4204" s="1">
        <v>960.18</v>
      </c>
      <c r="L4204" s="1">
        <v>0</v>
      </c>
      <c r="M4204" s="1">
        <v>0</v>
      </c>
      <c r="N4204" s="1">
        <v>960.18</v>
      </c>
      <c r="O4204" s="1" t="s">
        <v>80</v>
      </c>
      <c r="P4204" s="1" t="s">
        <v>3267</v>
      </c>
      <c r="Q4204" s="1">
        <v>1</v>
      </c>
      <c r="R4204" s="1">
        <f>Retail_Sales_Analyis[[#This Row],[Final_Price]]-Retail_Sales_Analyis[[#This Row],[Total_Price]]</f>
        <v>0</v>
      </c>
      <c r="S42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5" spans="1:19" x14ac:dyDescent="0.25">
      <c r="A4205" s="1" t="s">
        <v>5332</v>
      </c>
      <c r="B4205" s="2">
        <v>45358</v>
      </c>
      <c r="C4205" s="1" t="s">
        <v>61</v>
      </c>
      <c r="D4205" s="1" t="s">
        <v>67</v>
      </c>
      <c r="E4205" s="1" t="s">
        <v>163</v>
      </c>
      <c r="F4205" s="1" t="s">
        <v>84</v>
      </c>
      <c r="G4205" s="1" t="s">
        <v>78</v>
      </c>
      <c r="H4205" s="1" t="s">
        <v>136</v>
      </c>
      <c r="I4205" s="1">
        <v>250.96</v>
      </c>
      <c r="J4205" s="1">
        <v>2</v>
      </c>
      <c r="K4205" s="1">
        <v>501.92</v>
      </c>
      <c r="L4205" s="1">
        <v>0</v>
      </c>
      <c r="M4205" s="1">
        <v>0</v>
      </c>
      <c r="N4205" s="1">
        <v>501.92</v>
      </c>
      <c r="O4205" s="1" t="s">
        <v>33</v>
      </c>
      <c r="P4205" s="1" t="s">
        <v>371</v>
      </c>
      <c r="Q4205" s="1">
        <v>4</v>
      </c>
      <c r="R4205" s="1">
        <f>Retail_Sales_Analyis[[#This Row],[Final_Price]]-Retail_Sales_Analyis[[#This Row],[Total_Price]]</f>
        <v>0</v>
      </c>
      <c r="S42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6" spans="1:19" x14ac:dyDescent="0.25">
      <c r="A4206" s="1" t="s">
        <v>5333</v>
      </c>
      <c r="B4206" s="2">
        <v>45466</v>
      </c>
      <c r="C4206" s="1" t="s">
        <v>173</v>
      </c>
      <c r="D4206" s="1" t="s">
        <v>49</v>
      </c>
      <c r="E4206" s="1" t="s">
        <v>166</v>
      </c>
      <c r="F4206" s="1" t="s">
        <v>37</v>
      </c>
      <c r="G4206" s="1" t="s">
        <v>38</v>
      </c>
      <c r="H4206" s="1" t="s">
        <v>422</v>
      </c>
      <c r="I4206" s="1">
        <v>332.57</v>
      </c>
      <c r="J4206" s="1">
        <v>6</v>
      </c>
      <c r="K4206" s="1">
        <v>1995.42</v>
      </c>
      <c r="L4206" s="1">
        <v>0</v>
      </c>
      <c r="M4206" s="1">
        <v>0</v>
      </c>
      <c r="N4206" s="1">
        <v>1995.42</v>
      </c>
      <c r="O4206" s="1" t="s">
        <v>33</v>
      </c>
      <c r="P4206" s="1" t="s">
        <v>1155</v>
      </c>
      <c r="Q4206" s="1">
        <v>1</v>
      </c>
      <c r="R4206" s="1">
        <f>Retail_Sales_Analyis[[#This Row],[Final_Price]]-Retail_Sales_Analyis[[#This Row],[Total_Price]]</f>
        <v>0</v>
      </c>
      <c r="S42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07" spans="1:19" x14ac:dyDescent="0.25">
      <c r="A4207" s="1" t="s">
        <v>5334</v>
      </c>
      <c r="B4207" s="2">
        <v>45382</v>
      </c>
      <c r="C4207" s="1" t="s">
        <v>61</v>
      </c>
      <c r="D4207" s="1" t="s">
        <v>49</v>
      </c>
      <c r="E4207" s="1" t="s">
        <v>157</v>
      </c>
      <c r="F4207" s="1" t="s">
        <v>30</v>
      </c>
      <c r="G4207" s="1" t="s">
        <v>31</v>
      </c>
      <c r="H4207" s="1" t="s">
        <v>329</v>
      </c>
      <c r="I4207" s="1">
        <v>496.81</v>
      </c>
      <c r="J4207" s="1">
        <v>6</v>
      </c>
      <c r="K4207" s="1">
        <v>2980.86</v>
      </c>
      <c r="L4207" s="1">
        <v>15</v>
      </c>
      <c r="M4207" s="1">
        <v>447.13</v>
      </c>
      <c r="N4207" s="1">
        <v>2533.73</v>
      </c>
      <c r="O4207" s="1" t="s">
        <v>46</v>
      </c>
      <c r="P4207" s="1" t="s">
        <v>1240</v>
      </c>
      <c r="Q4207" s="1">
        <v>4</v>
      </c>
      <c r="R4207" s="1">
        <f>Retail_Sales_Analyis[[#This Row],[Final_Price]]-Retail_Sales_Analyis[[#This Row],[Total_Price]]</f>
        <v>-447.13000000000011</v>
      </c>
      <c r="S42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08" spans="1:19" x14ac:dyDescent="0.25">
      <c r="A4208" s="1" t="s">
        <v>5335</v>
      </c>
      <c r="B4208" s="2">
        <v>45457</v>
      </c>
      <c r="C4208" s="1" t="s">
        <v>173</v>
      </c>
      <c r="D4208" s="1" t="s">
        <v>144</v>
      </c>
      <c r="E4208" s="1" t="s">
        <v>44</v>
      </c>
      <c r="F4208" s="1" t="s">
        <v>30</v>
      </c>
      <c r="G4208" s="1" t="s">
        <v>85</v>
      </c>
      <c r="H4208" s="1" t="s">
        <v>90</v>
      </c>
      <c r="I4208" s="1">
        <v>4785.0600000000004</v>
      </c>
      <c r="J4208" s="1">
        <v>1</v>
      </c>
      <c r="K4208" s="1">
        <v>4785.0600000000004</v>
      </c>
      <c r="L4208" s="1">
        <v>10</v>
      </c>
      <c r="M4208" s="1">
        <v>478.51</v>
      </c>
      <c r="N4208" s="1">
        <v>4306.55</v>
      </c>
      <c r="O4208" s="1" t="s">
        <v>33</v>
      </c>
      <c r="P4208" s="1" t="s">
        <v>1603</v>
      </c>
      <c r="Q4208" s="1">
        <v>5</v>
      </c>
      <c r="R4208" s="1">
        <f>Retail_Sales_Analyis[[#This Row],[Final_Price]]-Retail_Sales_Analyis[[#This Row],[Total_Price]]</f>
        <v>-478.51000000000022</v>
      </c>
      <c r="S420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09" spans="1:19" x14ac:dyDescent="0.25">
      <c r="A4209" s="1" t="s">
        <v>5336</v>
      </c>
      <c r="B4209" s="2">
        <v>45322</v>
      </c>
      <c r="C4209" s="1" t="s">
        <v>36</v>
      </c>
      <c r="D4209" s="1" t="s">
        <v>55</v>
      </c>
      <c r="E4209" s="1" t="s">
        <v>168</v>
      </c>
      <c r="F4209" s="1" t="s">
        <v>84</v>
      </c>
      <c r="G4209" s="1" t="s">
        <v>169</v>
      </c>
      <c r="H4209" s="1" t="s">
        <v>366</v>
      </c>
      <c r="I4209" s="1">
        <v>1226.93</v>
      </c>
      <c r="J4209" s="1">
        <v>6</v>
      </c>
      <c r="K4209" s="1">
        <v>7361.58</v>
      </c>
      <c r="L4209" s="1">
        <v>15</v>
      </c>
      <c r="M4209" s="1">
        <v>1104.24</v>
      </c>
      <c r="N4209" s="1">
        <v>6257.34</v>
      </c>
      <c r="O4209" s="1" t="s">
        <v>80</v>
      </c>
      <c r="P4209" s="1" t="s">
        <v>1809</v>
      </c>
      <c r="Q4209" s="1">
        <v>5</v>
      </c>
      <c r="R4209" s="1">
        <f>Retail_Sales_Analyis[[#This Row],[Final_Price]]-Retail_Sales_Analyis[[#This Row],[Total_Price]]</f>
        <v>-1104.2399999999998</v>
      </c>
      <c r="S42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10" spans="1:19" x14ac:dyDescent="0.25">
      <c r="A4210" s="1" t="s">
        <v>5337</v>
      </c>
      <c r="B4210" s="2">
        <v>45303</v>
      </c>
      <c r="C4210" s="1" t="s">
        <v>36</v>
      </c>
      <c r="D4210" s="1" t="s">
        <v>144</v>
      </c>
      <c r="E4210" s="1" t="s">
        <v>107</v>
      </c>
      <c r="F4210" s="1" t="s">
        <v>69</v>
      </c>
      <c r="G4210" s="1" t="s">
        <v>22</v>
      </c>
      <c r="H4210" s="1" t="s">
        <v>23</v>
      </c>
      <c r="I4210" s="1">
        <v>946.22</v>
      </c>
      <c r="J4210" s="1">
        <v>6</v>
      </c>
      <c r="K4210" s="1">
        <v>5677.32</v>
      </c>
      <c r="L4210" s="1">
        <v>10</v>
      </c>
      <c r="M4210" s="1">
        <v>567.73</v>
      </c>
      <c r="N4210" s="1">
        <v>5109.59</v>
      </c>
      <c r="O4210" s="1" t="s">
        <v>33</v>
      </c>
      <c r="P4210" s="1" t="s">
        <v>2044</v>
      </c>
      <c r="Q4210" s="1">
        <v>5</v>
      </c>
      <c r="R4210" s="1">
        <f>Retail_Sales_Analyis[[#This Row],[Final_Price]]-Retail_Sales_Analyis[[#This Row],[Total_Price]]</f>
        <v>-567.72999999999956</v>
      </c>
      <c r="S42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11" spans="1:19" x14ac:dyDescent="0.25">
      <c r="A4211" s="1" t="s">
        <v>5338</v>
      </c>
      <c r="B4211" s="2">
        <v>45367</v>
      </c>
      <c r="C4211" s="1" t="s">
        <v>61</v>
      </c>
      <c r="D4211" s="1" t="s">
        <v>19</v>
      </c>
      <c r="E4211" s="1" t="s">
        <v>104</v>
      </c>
      <c r="F4211" s="1" t="s">
        <v>30</v>
      </c>
      <c r="G4211" s="1" t="s">
        <v>78</v>
      </c>
      <c r="H4211" s="1" t="s">
        <v>136</v>
      </c>
      <c r="I4211" s="1">
        <v>161.22999999999999</v>
      </c>
      <c r="J4211" s="1">
        <v>7</v>
      </c>
      <c r="K4211" s="1">
        <v>1128.6099999999999</v>
      </c>
      <c r="L4211" s="1">
        <v>15</v>
      </c>
      <c r="M4211" s="1">
        <v>169.29</v>
      </c>
      <c r="N4211" s="1">
        <v>959.32</v>
      </c>
      <c r="O4211" s="1" t="s">
        <v>64</v>
      </c>
      <c r="P4211" s="1" t="s">
        <v>2636</v>
      </c>
      <c r="Q4211" s="1">
        <v>3</v>
      </c>
      <c r="R4211" s="1">
        <f>Retail_Sales_Analyis[[#This Row],[Final_Price]]-Retail_Sales_Analyis[[#This Row],[Total_Price]]</f>
        <v>-169.28999999999985</v>
      </c>
      <c r="S42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12" spans="1:19" x14ac:dyDescent="0.25">
      <c r="A4212" s="1" t="s">
        <v>5339</v>
      </c>
      <c r="B4212" s="2">
        <v>45592</v>
      </c>
      <c r="C4212" s="1" t="s">
        <v>76</v>
      </c>
      <c r="D4212" s="1" t="s">
        <v>49</v>
      </c>
      <c r="E4212" s="1" t="s">
        <v>192</v>
      </c>
      <c r="F4212" s="1" t="s">
        <v>84</v>
      </c>
      <c r="G4212" s="1" t="s">
        <v>78</v>
      </c>
      <c r="H4212" s="1" t="s">
        <v>79</v>
      </c>
      <c r="I4212" s="1">
        <v>367.16</v>
      </c>
      <c r="J4212" s="1">
        <v>10</v>
      </c>
      <c r="K4212" s="1">
        <v>3671.6</v>
      </c>
      <c r="L4212" s="1">
        <v>20</v>
      </c>
      <c r="M4212" s="1">
        <v>734.32</v>
      </c>
      <c r="N4212" s="1">
        <v>2937.28</v>
      </c>
      <c r="O4212" s="1" t="s">
        <v>33</v>
      </c>
      <c r="P4212" s="1" t="s">
        <v>1979</v>
      </c>
      <c r="Q4212" s="1">
        <v>3</v>
      </c>
      <c r="R4212" s="1">
        <f>Retail_Sales_Analyis[[#This Row],[Final_Price]]-Retail_Sales_Analyis[[#This Row],[Total_Price]]</f>
        <v>-734.31999999999971</v>
      </c>
      <c r="S42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13" spans="1:19" x14ac:dyDescent="0.25">
      <c r="A4213" s="1" t="s">
        <v>5340</v>
      </c>
      <c r="B4213" s="2">
        <v>45652</v>
      </c>
      <c r="C4213" s="1" t="s">
        <v>73</v>
      </c>
      <c r="D4213" s="1" t="s">
        <v>67</v>
      </c>
      <c r="E4213" s="1" t="s">
        <v>56</v>
      </c>
      <c r="F4213" s="1" t="s">
        <v>21</v>
      </c>
      <c r="G4213" s="1" t="s">
        <v>31</v>
      </c>
      <c r="H4213" s="1" t="s">
        <v>45</v>
      </c>
      <c r="I4213" s="1">
        <v>162.71</v>
      </c>
      <c r="J4213" s="1">
        <v>6</v>
      </c>
      <c r="K4213" s="1">
        <v>976.26</v>
      </c>
      <c r="L4213" s="1">
        <v>0</v>
      </c>
      <c r="M4213" s="1">
        <v>0</v>
      </c>
      <c r="N4213" s="1">
        <v>976.26</v>
      </c>
      <c r="O4213" s="1" t="s">
        <v>24</v>
      </c>
      <c r="P4213" s="1" t="s">
        <v>3959</v>
      </c>
      <c r="Q4213" s="1">
        <v>2</v>
      </c>
      <c r="R4213" s="1">
        <f>Retail_Sales_Analyis[[#This Row],[Final_Price]]-Retail_Sales_Analyis[[#This Row],[Total_Price]]</f>
        <v>0</v>
      </c>
      <c r="S42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14" spans="1:19" x14ac:dyDescent="0.25">
      <c r="A4214" s="1" t="s">
        <v>5341</v>
      </c>
      <c r="B4214" s="2">
        <v>45364</v>
      </c>
      <c r="C4214" s="1" t="s">
        <v>61</v>
      </c>
      <c r="D4214" s="1" t="s">
        <v>55</v>
      </c>
      <c r="E4214" s="1" t="s">
        <v>44</v>
      </c>
      <c r="F4214" s="1" t="s">
        <v>69</v>
      </c>
      <c r="G4214" s="1" t="s">
        <v>38</v>
      </c>
      <c r="H4214" s="1" t="s">
        <v>422</v>
      </c>
      <c r="I4214" s="1">
        <v>470.97</v>
      </c>
      <c r="J4214" s="1">
        <v>1</v>
      </c>
      <c r="K4214" s="1">
        <v>470.97</v>
      </c>
      <c r="L4214" s="1">
        <v>15</v>
      </c>
      <c r="M4214" s="1">
        <v>70.650000000000006</v>
      </c>
      <c r="N4214" s="1">
        <v>400.32</v>
      </c>
      <c r="O4214" s="1" t="s">
        <v>24</v>
      </c>
      <c r="P4214" s="1" t="s">
        <v>1425</v>
      </c>
      <c r="Q4214" s="1">
        <v>5</v>
      </c>
      <c r="R4214" s="1">
        <f>Retail_Sales_Analyis[[#This Row],[Final_Price]]-Retail_Sales_Analyis[[#This Row],[Total_Price]]</f>
        <v>-70.650000000000034</v>
      </c>
      <c r="S42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15" spans="1:19" x14ac:dyDescent="0.25">
      <c r="A4215" s="1" t="s">
        <v>5342</v>
      </c>
      <c r="B4215" s="2">
        <v>45348</v>
      </c>
      <c r="C4215" s="1" t="s">
        <v>27</v>
      </c>
      <c r="D4215" s="1" t="s">
        <v>43</v>
      </c>
      <c r="E4215" s="1" t="s">
        <v>199</v>
      </c>
      <c r="F4215" s="1" t="s">
        <v>69</v>
      </c>
      <c r="G4215" s="1" t="s">
        <v>85</v>
      </c>
      <c r="H4215" s="1" t="s">
        <v>297</v>
      </c>
      <c r="I4215" s="1">
        <v>1789.44</v>
      </c>
      <c r="J4215" s="1">
        <v>5</v>
      </c>
      <c r="K4215" s="1">
        <v>8947.2000000000007</v>
      </c>
      <c r="L4215" s="1">
        <v>5</v>
      </c>
      <c r="M4215" s="1">
        <v>447.36</v>
      </c>
      <c r="N4215" s="1">
        <v>8499.84</v>
      </c>
      <c r="O4215" s="1" t="s">
        <v>24</v>
      </c>
      <c r="P4215" s="1" t="s">
        <v>1090</v>
      </c>
      <c r="Q4215" s="1">
        <v>4</v>
      </c>
      <c r="R4215" s="1">
        <f>Retail_Sales_Analyis[[#This Row],[Final_Price]]-Retail_Sales_Analyis[[#This Row],[Total_Price]]</f>
        <v>-447.36000000000058</v>
      </c>
      <c r="S421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16" spans="1:19" x14ac:dyDescent="0.25">
      <c r="A4216" s="1" t="s">
        <v>5343</v>
      </c>
      <c r="B4216" s="2">
        <v>45561</v>
      </c>
      <c r="C4216" s="1" t="s">
        <v>116</v>
      </c>
      <c r="D4216" s="1" t="s">
        <v>67</v>
      </c>
      <c r="E4216" s="1" t="s">
        <v>107</v>
      </c>
      <c r="F4216" s="1" t="s">
        <v>21</v>
      </c>
      <c r="G4216" s="1" t="s">
        <v>78</v>
      </c>
      <c r="H4216" s="1" t="s">
        <v>146</v>
      </c>
      <c r="I4216" s="1">
        <v>572.33000000000004</v>
      </c>
      <c r="J4216" s="1">
        <v>7</v>
      </c>
      <c r="K4216" s="1">
        <v>4006.31</v>
      </c>
      <c r="L4216" s="1">
        <v>20</v>
      </c>
      <c r="M4216" s="1">
        <v>801.26</v>
      </c>
      <c r="N4216" s="1">
        <v>3205.05</v>
      </c>
      <c r="O4216" s="1" t="s">
        <v>46</v>
      </c>
      <c r="P4216" s="1" t="s">
        <v>234</v>
      </c>
      <c r="Q4216" s="1">
        <v>2</v>
      </c>
      <c r="R4216" s="1">
        <f>Retail_Sales_Analyis[[#This Row],[Final_Price]]-Retail_Sales_Analyis[[#This Row],[Total_Price]]</f>
        <v>-801.25999999999976</v>
      </c>
      <c r="S42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17" spans="1:19" x14ac:dyDescent="0.25">
      <c r="A4217" s="1" t="s">
        <v>5344</v>
      </c>
      <c r="B4217" s="2">
        <v>45478</v>
      </c>
      <c r="C4217" s="1" t="s">
        <v>195</v>
      </c>
      <c r="D4217" s="1" t="s">
        <v>144</v>
      </c>
      <c r="E4217" s="1" t="s">
        <v>199</v>
      </c>
      <c r="F4217" s="1" t="s">
        <v>84</v>
      </c>
      <c r="G4217" s="1" t="s">
        <v>38</v>
      </c>
      <c r="H4217" s="1" t="s">
        <v>108</v>
      </c>
      <c r="I4217" s="1">
        <v>127.39</v>
      </c>
      <c r="J4217" s="1">
        <v>9</v>
      </c>
      <c r="K4217" s="1">
        <v>1146.51</v>
      </c>
      <c r="L4217" s="1">
        <v>0</v>
      </c>
      <c r="M4217" s="1">
        <v>0</v>
      </c>
      <c r="N4217" s="1">
        <v>1146.51</v>
      </c>
      <c r="O4217" s="1" t="s">
        <v>24</v>
      </c>
      <c r="P4217" s="1" t="s">
        <v>318</v>
      </c>
      <c r="Q4217" s="1">
        <v>1</v>
      </c>
      <c r="R4217" s="1">
        <f>Retail_Sales_Analyis[[#This Row],[Final_Price]]-Retail_Sales_Analyis[[#This Row],[Total_Price]]</f>
        <v>0</v>
      </c>
      <c r="S42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18" spans="1:19" x14ac:dyDescent="0.25">
      <c r="A4218" s="1" t="s">
        <v>5345</v>
      </c>
      <c r="B4218" s="2">
        <v>45329</v>
      </c>
      <c r="C4218" s="1" t="s">
        <v>27</v>
      </c>
      <c r="D4218" s="1" t="s">
        <v>55</v>
      </c>
      <c r="E4218" s="1" t="s">
        <v>141</v>
      </c>
      <c r="F4218" s="1" t="s">
        <v>30</v>
      </c>
      <c r="G4218" s="1" t="s">
        <v>169</v>
      </c>
      <c r="H4218" s="1" t="s">
        <v>366</v>
      </c>
      <c r="I4218" s="1">
        <v>999.43</v>
      </c>
      <c r="J4218" s="1">
        <v>8</v>
      </c>
      <c r="K4218" s="1">
        <v>7995.44</v>
      </c>
      <c r="L4218" s="1">
        <v>0</v>
      </c>
      <c r="M4218" s="1">
        <v>0</v>
      </c>
      <c r="N4218" s="1">
        <v>7995.44</v>
      </c>
      <c r="O4218" s="1" t="s">
        <v>80</v>
      </c>
      <c r="P4218" s="1" t="s">
        <v>449</v>
      </c>
      <c r="Q4218" s="1">
        <v>5</v>
      </c>
      <c r="R4218" s="1">
        <f>Retail_Sales_Analyis[[#This Row],[Final_Price]]-Retail_Sales_Analyis[[#This Row],[Total_Price]]</f>
        <v>0</v>
      </c>
      <c r="S42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19" spans="1:19" x14ac:dyDescent="0.25">
      <c r="A4219" s="1" t="s">
        <v>5346</v>
      </c>
      <c r="B4219" s="2">
        <v>45483</v>
      </c>
      <c r="C4219" s="1" t="s">
        <v>195</v>
      </c>
      <c r="D4219" s="1" t="s">
        <v>55</v>
      </c>
      <c r="E4219" s="1" t="s">
        <v>207</v>
      </c>
      <c r="F4219" s="1" t="s">
        <v>84</v>
      </c>
      <c r="G4219" s="1" t="s">
        <v>38</v>
      </c>
      <c r="H4219" s="1" t="s">
        <v>214</v>
      </c>
      <c r="I4219" s="1">
        <v>413.21</v>
      </c>
      <c r="J4219" s="1">
        <v>5</v>
      </c>
      <c r="K4219" s="1">
        <v>2066.0500000000002</v>
      </c>
      <c r="L4219" s="1">
        <v>10</v>
      </c>
      <c r="M4219" s="1">
        <v>206.61</v>
      </c>
      <c r="N4219" s="1">
        <v>1859.44</v>
      </c>
      <c r="O4219" s="1" t="s">
        <v>24</v>
      </c>
      <c r="P4219" s="1" t="s">
        <v>2898</v>
      </c>
      <c r="Q4219" s="1">
        <v>2</v>
      </c>
      <c r="R4219" s="1">
        <f>Retail_Sales_Analyis[[#This Row],[Final_Price]]-Retail_Sales_Analyis[[#This Row],[Total_Price]]</f>
        <v>-206.61000000000013</v>
      </c>
      <c r="S42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20" spans="1:19" x14ac:dyDescent="0.25">
      <c r="A4220" s="1" t="s">
        <v>5347</v>
      </c>
      <c r="B4220" s="2">
        <v>45652</v>
      </c>
      <c r="C4220" s="1" t="s">
        <v>73</v>
      </c>
      <c r="D4220" s="1" t="s">
        <v>67</v>
      </c>
      <c r="E4220" s="1" t="s">
        <v>213</v>
      </c>
      <c r="F4220" s="1" t="s">
        <v>84</v>
      </c>
      <c r="G4220" s="1" t="s">
        <v>31</v>
      </c>
      <c r="H4220" s="1" t="s">
        <v>45</v>
      </c>
      <c r="I4220" s="1">
        <v>162.38</v>
      </c>
      <c r="J4220" s="1">
        <v>1</v>
      </c>
      <c r="K4220" s="1">
        <v>162.38</v>
      </c>
      <c r="L4220" s="1">
        <v>10</v>
      </c>
      <c r="M4220" s="1">
        <v>16.239999999999998</v>
      </c>
      <c r="N4220" s="1">
        <v>146.13999999999999</v>
      </c>
      <c r="O4220" s="1" t="s">
        <v>24</v>
      </c>
      <c r="P4220" s="1" t="s">
        <v>1389</v>
      </c>
      <c r="Q4220" s="1">
        <v>3</v>
      </c>
      <c r="R4220" s="1">
        <f>Retail_Sales_Analyis[[#This Row],[Final_Price]]-Retail_Sales_Analyis[[#This Row],[Total_Price]]</f>
        <v>-16.240000000000009</v>
      </c>
      <c r="S42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21" spans="1:19" x14ac:dyDescent="0.25">
      <c r="A4221" s="1" t="s">
        <v>5348</v>
      </c>
      <c r="B4221" s="2">
        <v>45631</v>
      </c>
      <c r="C4221" s="1" t="s">
        <v>73</v>
      </c>
      <c r="D4221" s="1" t="s">
        <v>67</v>
      </c>
      <c r="E4221" s="1" t="s">
        <v>199</v>
      </c>
      <c r="F4221" s="1" t="s">
        <v>37</v>
      </c>
      <c r="G4221" s="1" t="s">
        <v>112</v>
      </c>
      <c r="H4221" s="1" t="s">
        <v>118</v>
      </c>
      <c r="I4221" s="1">
        <v>1779.15</v>
      </c>
      <c r="J4221" s="1">
        <v>9</v>
      </c>
      <c r="K4221" s="1">
        <v>16012.35</v>
      </c>
      <c r="L4221" s="1">
        <v>0</v>
      </c>
      <c r="M4221" s="1">
        <v>0</v>
      </c>
      <c r="N4221" s="1">
        <v>16012.35</v>
      </c>
      <c r="O4221" s="1" t="s">
        <v>80</v>
      </c>
      <c r="P4221" s="1" t="s">
        <v>1282</v>
      </c>
      <c r="Q4221" s="1">
        <v>1</v>
      </c>
      <c r="R4221" s="1">
        <f>Retail_Sales_Analyis[[#This Row],[Final_Price]]-Retail_Sales_Analyis[[#This Row],[Total_Price]]</f>
        <v>0</v>
      </c>
      <c r="S42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22" spans="1:19" x14ac:dyDescent="0.25">
      <c r="A4222" s="1" t="s">
        <v>5349</v>
      </c>
      <c r="B4222" s="2">
        <v>45494</v>
      </c>
      <c r="C4222" s="1" t="s">
        <v>195</v>
      </c>
      <c r="D4222" s="1" t="s">
        <v>49</v>
      </c>
      <c r="E4222" s="1" t="s">
        <v>117</v>
      </c>
      <c r="F4222" s="1" t="s">
        <v>37</v>
      </c>
      <c r="G4222" s="1" t="s">
        <v>57</v>
      </c>
      <c r="H4222" s="1" t="s">
        <v>158</v>
      </c>
      <c r="I4222" s="1">
        <v>2194.7199999999998</v>
      </c>
      <c r="J4222" s="1">
        <v>1</v>
      </c>
      <c r="K4222" s="1">
        <v>2194.7199999999998</v>
      </c>
      <c r="L4222" s="1">
        <v>0</v>
      </c>
      <c r="M4222" s="1">
        <v>0</v>
      </c>
      <c r="N4222" s="1">
        <v>2194.7199999999998</v>
      </c>
      <c r="O4222" s="1" t="s">
        <v>24</v>
      </c>
      <c r="P4222" s="1" t="s">
        <v>506</v>
      </c>
      <c r="Q4222" s="1">
        <v>5</v>
      </c>
      <c r="R4222" s="1">
        <f>Retail_Sales_Analyis[[#This Row],[Final_Price]]-Retail_Sales_Analyis[[#This Row],[Total_Price]]</f>
        <v>0</v>
      </c>
      <c r="S42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23" spans="1:19" x14ac:dyDescent="0.25">
      <c r="A4223" s="1" t="s">
        <v>5350</v>
      </c>
      <c r="B4223" s="2">
        <v>45592</v>
      </c>
      <c r="C4223" s="1" t="s">
        <v>76</v>
      </c>
      <c r="D4223" s="1" t="s">
        <v>49</v>
      </c>
      <c r="E4223" s="1" t="s">
        <v>132</v>
      </c>
      <c r="F4223" s="1" t="s">
        <v>84</v>
      </c>
      <c r="G4223" s="1" t="s">
        <v>112</v>
      </c>
      <c r="H4223" s="1" t="s">
        <v>118</v>
      </c>
      <c r="I4223" s="1">
        <v>1064.98</v>
      </c>
      <c r="J4223" s="1">
        <v>4</v>
      </c>
      <c r="K4223" s="1">
        <v>4259.92</v>
      </c>
      <c r="L4223" s="1">
        <v>0</v>
      </c>
      <c r="M4223" s="1">
        <v>0</v>
      </c>
      <c r="N4223" s="1">
        <v>4259.92</v>
      </c>
      <c r="O4223" s="1" t="s">
        <v>80</v>
      </c>
      <c r="P4223" s="1" t="s">
        <v>425</v>
      </c>
      <c r="Q4223" s="1">
        <v>4</v>
      </c>
      <c r="R4223" s="1">
        <f>Retail_Sales_Analyis[[#This Row],[Final_Price]]-Retail_Sales_Analyis[[#This Row],[Total_Price]]</f>
        <v>0</v>
      </c>
      <c r="S42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24" spans="1:19" x14ac:dyDescent="0.25">
      <c r="A4224" s="1" t="s">
        <v>5351</v>
      </c>
      <c r="B4224" s="2">
        <v>45343</v>
      </c>
      <c r="C4224" s="1" t="s">
        <v>27</v>
      </c>
      <c r="D4224" s="1" t="s">
        <v>55</v>
      </c>
      <c r="E4224" s="1" t="s">
        <v>196</v>
      </c>
      <c r="F4224" s="1" t="s">
        <v>30</v>
      </c>
      <c r="G4224" s="1" t="s">
        <v>85</v>
      </c>
      <c r="H4224" s="1" t="s">
        <v>297</v>
      </c>
      <c r="I4224" s="1">
        <v>4111.57</v>
      </c>
      <c r="J4224" s="1">
        <v>2</v>
      </c>
      <c r="K4224" s="1">
        <v>8223.14</v>
      </c>
      <c r="L4224" s="1">
        <v>0</v>
      </c>
      <c r="M4224" s="1">
        <v>0</v>
      </c>
      <c r="N4224" s="1">
        <v>8223.14</v>
      </c>
      <c r="O4224" s="1" t="s">
        <v>33</v>
      </c>
      <c r="P4224" s="1" t="s">
        <v>1661</v>
      </c>
      <c r="Q4224" s="1">
        <v>4</v>
      </c>
      <c r="R4224" s="1">
        <f>Retail_Sales_Analyis[[#This Row],[Final_Price]]-Retail_Sales_Analyis[[#This Row],[Total_Price]]</f>
        <v>0</v>
      </c>
      <c r="S42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25" spans="1:19" x14ac:dyDescent="0.25">
      <c r="A4225" s="1" t="s">
        <v>5352</v>
      </c>
      <c r="B4225" s="2">
        <v>45464</v>
      </c>
      <c r="C4225" s="1" t="s">
        <v>173</v>
      </c>
      <c r="D4225" s="1" t="s">
        <v>144</v>
      </c>
      <c r="E4225" s="1" t="s">
        <v>312</v>
      </c>
      <c r="F4225" s="1" t="s">
        <v>69</v>
      </c>
      <c r="G4225" s="1" t="s">
        <v>112</v>
      </c>
      <c r="H4225" s="1" t="s">
        <v>113</v>
      </c>
      <c r="I4225" s="1">
        <v>1941.2</v>
      </c>
      <c r="J4225" s="1">
        <v>2</v>
      </c>
      <c r="K4225" s="1">
        <v>3882.4</v>
      </c>
      <c r="L4225" s="1">
        <v>0</v>
      </c>
      <c r="M4225" s="1">
        <v>0</v>
      </c>
      <c r="N4225" s="1">
        <v>3882.4</v>
      </c>
      <c r="O4225" s="1" t="s">
        <v>46</v>
      </c>
      <c r="P4225" s="1" t="s">
        <v>1030</v>
      </c>
      <c r="Q4225" s="1">
        <v>4</v>
      </c>
      <c r="R4225" s="1">
        <f>Retail_Sales_Analyis[[#This Row],[Final_Price]]-Retail_Sales_Analyis[[#This Row],[Total_Price]]</f>
        <v>0</v>
      </c>
      <c r="S42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26" spans="1:19" x14ac:dyDescent="0.25">
      <c r="A4226" s="1" t="s">
        <v>5353</v>
      </c>
      <c r="B4226" s="2">
        <v>45446</v>
      </c>
      <c r="C4226" s="1" t="s">
        <v>173</v>
      </c>
      <c r="D4226" s="1" t="s">
        <v>43</v>
      </c>
      <c r="E4226" s="1" t="s">
        <v>139</v>
      </c>
      <c r="F4226" s="1" t="s">
        <v>21</v>
      </c>
      <c r="G4226" s="1" t="s">
        <v>38</v>
      </c>
      <c r="H4226" s="1" t="s">
        <v>214</v>
      </c>
      <c r="I4226" s="1">
        <v>454</v>
      </c>
      <c r="J4226" s="1">
        <v>3</v>
      </c>
      <c r="K4226" s="1">
        <v>1362</v>
      </c>
      <c r="L4226" s="1">
        <v>15</v>
      </c>
      <c r="M4226" s="1">
        <v>204.3</v>
      </c>
      <c r="N4226" s="1">
        <v>1157.7</v>
      </c>
      <c r="O4226" s="1" t="s">
        <v>46</v>
      </c>
      <c r="P4226" s="1" t="s">
        <v>1456</v>
      </c>
      <c r="Q4226" s="1">
        <v>5</v>
      </c>
      <c r="R4226" s="1">
        <f>Retail_Sales_Analyis[[#This Row],[Final_Price]]-Retail_Sales_Analyis[[#This Row],[Total_Price]]</f>
        <v>-204.29999999999995</v>
      </c>
      <c r="S42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27" spans="1:19" x14ac:dyDescent="0.25">
      <c r="A4227" s="1" t="s">
        <v>5354</v>
      </c>
      <c r="B4227" s="2">
        <v>45457</v>
      </c>
      <c r="C4227" s="1" t="s">
        <v>173</v>
      </c>
      <c r="D4227" s="1" t="s">
        <v>144</v>
      </c>
      <c r="E4227" s="1" t="s">
        <v>151</v>
      </c>
      <c r="F4227" s="1" t="s">
        <v>84</v>
      </c>
      <c r="G4227" s="1" t="s">
        <v>85</v>
      </c>
      <c r="H4227" s="1" t="s">
        <v>297</v>
      </c>
      <c r="I4227" s="1">
        <v>2828.15</v>
      </c>
      <c r="J4227" s="1">
        <v>5</v>
      </c>
      <c r="K4227" s="1">
        <v>14140.75</v>
      </c>
      <c r="L4227" s="1">
        <v>10</v>
      </c>
      <c r="M4227" s="1">
        <v>1414.08</v>
      </c>
      <c r="N4227" s="1">
        <v>12726.67</v>
      </c>
      <c r="O4227" s="1" t="s">
        <v>80</v>
      </c>
      <c r="P4227" s="1" t="s">
        <v>993</v>
      </c>
      <c r="Q4227" s="1">
        <v>5</v>
      </c>
      <c r="R4227" s="1">
        <f>Retail_Sales_Analyis[[#This Row],[Final_Price]]-Retail_Sales_Analyis[[#This Row],[Total_Price]]</f>
        <v>-1414.08</v>
      </c>
      <c r="S42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28" spans="1:19" x14ac:dyDescent="0.25">
      <c r="A4228" s="1" t="s">
        <v>5355</v>
      </c>
      <c r="B4228" s="2">
        <v>45361</v>
      </c>
      <c r="C4228" s="1" t="s">
        <v>61</v>
      </c>
      <c r="D4228" s="1" t="s">
        <v>49</v>
      </c>
      <c r="E4228" s="1" t="s">
        <v>107</v>
      </c>
      <c r="F4228" s="1" t="s">
        <v>37</v>
      </c>
      <c r="G4228" s="1" t="s">
        <v>78</v>
      </c>
      <c r="H4228" s="1" t="s">
        <v>126</v>
      </c>
      <c r="I4228" s="1">
        <v>183.68</v>
      </c>
      <c r="J4228" s="1">
        <v>3</v>
      </c>
      <c r="K4228" s="1">
        <v>551.04</v>
      </c>
      <c r="L4228" s="1">
        <v>5</v>
      </c>
      <c r="M4228" s="1">
        <v>27.55</v>
      </c>
      <c r="N4228" s="1">
        <v>523.49</v>
      </c>
      <c r="O4228" s="1" t="s">
        <v>24</v>
      </c>
      <c r="P4228" s="1" t="s">
        <v>2911</v>
      </c>
      <c r="Q4228" s="1">
        <v>5</v>
      </c>
      <c r="R4228" s="1">
        <f>Retail_Sales_Analyis[[#This Row],[Final_Price]]-Retail_Sales_Analyis[[#This Row],[Total_Price]]</f>
        <v>-27.549999999999955</v>
      </c>
      <c r="S422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29" spans="1:19" x14ac:dyDescent="0.25">
      <c r="A4229" s="1" t="s">
        <v>5356</v>
      </c>
      <c r="B4229" s="2">
        <v>45372</v>
      </c>
      <c r="C4229" s="1" t="s">
        <v>61</v>
      </c>
      <c r="D4229" s="1" t="s">
        <v>67</v>
      </c>
      <c r="E4229" s="1" t="s">
        <v>261</v>
      </c>
      <c r="F4229" s="1" t="s">
        <v>30</v>
      </c>
      <c r="G4229" s="1" t="s">
        <v>57</v>
      </c>
      <c r="H4229" s="1" t="s">
        <v>152</v>
      </c>
      <c r="I4229" s="1">
        <v>2227.1799999999998</v>
      </c>
      <c r="J4229" s="1">
        <v>5</v>
      </c>
      <c r="K4229" s="1">
        <v>11135.9</v>
      </c>
      <c r="L4229" s="1">
        <v>15</v>
      </c>
      <c r="M4229" s="1">
        <v>1670.38</v>
      </c>
      <c r="N4229" s="1">
        <v>9465.52</v>
      </c>
      <c r="O4229" s="1" t="s">
        <v>33</v>
      </c>
      <c r="P4229" s="1" t="s">
        <v>2102</v>
      </c>
      <c r="Q4229" s="1">
        <v>3</v>
      </c>
      <c r="R4229" s="1">
        <f>Retail_Sales_Analyis[[#This Row],[Final_Price]]-Retail_Sales_Analyis[[#This Row],[Total_Price]]</f>
        <v>-1670.3799999999992</v>
      </c>
      <c r="S42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0" spans="1:19" x14ac:dyDescent="0.25">
      <c r="A4230" s="1" t="s">
        <v>5357</v>
      </c>
      <c r="B4230" s="2">
        <v>45515</v>
      </c>
      <c r="C4230" s="1" t="s">
        <v>93</v>
      </c>
      <c r="D4230" s="1" t="s">
        <v>49</v>
      </c>
      <c r="E4230" s="1" t="s">
        <v>145</v>
      </c>
      <c r="F4230" s="1" t="s">
        <v>37</v>
      </c>
      <c r="G4230" s="1" t="s">
        <v>169</v>
      </c>
      <c r="H4230" s="1" t="s">
        <v>348</v>
      </c>
      <c r="I4230" s="1">
        <v>768.89</v>
      </c>
      <c r="J4230" s="1">
        <v>8</v>
      </c>
      <c r="K4230" s="1">
        <v>6151.12</v>
      </c>
      <c r="L4230" s="1">
        <v>20</v>
      </c>
      <c r="M4230" s="1">
        <v>1230.22</v>
      </c>
      <c r="N4230" s="1">
        <v>4920.8999999999996</v>
      </c>
      <c r="O4230" s="1" t="s">
        <v>80</v>
      </c>
      <c r="P4230" s="1" t="s">
        <v>1607</v>
      </c>
      <c r="Q4230" s="1">
        <v>1</v>
      </c>
      <c r="R4230" s="1">
        <f>Retail_Sales_Analyis[[#This Row],[Final_Price]]-Retail_Sales_Analyis[[#This Row],[Total_Price]]</f>
        <v>-1230.2200000000003</v>
      </c>
      <c r="S42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31" spans="1:19" x14ac:dyDescent="0.25">
      <c r="A4231" s="1" t="s">
        <v>5358</v>
      </c>
      <c r="B4231" s="2">
        <v>45619</v>
      </c>
      <c r="C4231" s="1" t="s">
        <v>18</v>
      </c>
      <c r="D4231" s="1" t="s">
        <v>19</v>
      </c>
      <c r="E4231" s="1" t="s">
        <v>20</v>
      </c>
      <c r="F4231" s="1" t="s">
        <v>37</v>
      </c>
      <c r="G4231" s="1" t="s">
        <v>78</v>
      </c>
      <c r="H4231" s="1" t="s">
        <v>79</v>
      </c>
      <c r="I4231" s="1">
        <v>286.44</v>
      </c>
      <c r="J4231" s="1">
        <v>9</v>
      </c>
      <c r="K4231" s="1">
        <v>2577.96</v>
      </c>
      <c r="L4231" s="1">
        <v>10</v>
      </c>
      <c r="M4231" s="1">
        <v>257.8</v>
      </c>
      <c r="N4231" s="1">
        <v>2320.16</v>
      </c>
      <c r="O4231" s="1" t="s">
        <v>33</v>
      </c>
      <c r="P4231" s="1" t="s">
        <v>1733</v>
      </c>
      <c r="Q4231" s="1">
        <v>3</v>
      </c>
      <c r="R4231" s="1">
        <f>Retail_Sales_Analyis[[#This Row],[Final_Price]]-Retail_Sales_Analyis[[#This Row],[Total_Price]]</f>
        <v>-257.80000000000018</v>
      </c>
      <c r="S42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2" spans="1:19" x14ac:dyDescent="0.25">
      <c r="A4232" s="1" t="s">
        <v>5359</v>
      </c>
      <c r="B4232" s="2">
        <v>45541</v>
      </c>
      <c r="C4232" s="1" t="s">
        <v>116</v>
      </c>
      <c r="D4232" s="1" t="s">
        <v>144</v>
      </c>
      <c r="E4232" s="1" t="s">
        <v>186</v>
      </c>
      <c r="F4232" s="1" t="s">
        <v>21</v>
      </c>
      <c r="G4232" s="1" t="s">
        <v>38</v>
      </c>
      <c r="H4232" s="1" t="s">
        <v>422</v>
      </c>
      <c r="I4232" s="1">
        <v>127.63</v>
      </c>
      <c r="J4232" s="1">
        <v>7</v>
      </c>
      <c r="K4232" s="1">
        <v>893.41</v>
      </c>
      <c r="L4232" s="1">
        <v>0</v>
      </c>
      <c r="M4232" s="1">
        <v>0</v>
      </c>
      <c r="N4232" s="1">
        <v>893.41</v>
      </c>
      <c r="O4232" s="1" t="s">
        <v>80</v>
      </c>
      <c r="P4232" s="1" t="s">
        <v>1350</v>
      </c>
      <c r="Q4232" s="1">
        <v>3</v>
      </c>
      <c r="R4232" s="1">
        <f>Retail_Sales_Analyis[[#This Row],[Final_Price]]-Retail_Sales_Analyis[[#This Row],[Total_Price]]</f>
        <v>0</v>
      </c>
      <c r="S42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33" spans="1:19" x14ac:dyDescent="0.25">
      <c r="A4233" s="1" t="s">
        <v>5360</v>
      </c>
      <c r="B4233" s="2">
        <v>45624</v>
      </c>
      <c r="C4233" s="1" t="s">
        <v>18</v>
      </c>
      <c r="D4233" s="1" t="s">
        <v>67</v>
      </c>
      <c r="E4233" s="1" t="s">
        <v>121</v>
      </c>
      <c r="F4233" s="1" t="s">
        <v>30</v>
      </c>
      <c r="G4233" s="1" t="s">
        <v>85</v>
      </c>
      <c r="H4233" s="1" t="s">
        <v>98</v>
      </c>
      <c r="I4233" s="1">
        <v>1091.8699999999999</v>
      </c>
      <c r="J4233" s="1">
        <v>3</v>
      </c>
      <c r="K4233" s="1">
        <v>3275.61</v>
      </c>
      <c r="L4233" s="1">
        <v>0</v>
      </c>
      <c r="M4233" s="1">
        <v>0</v>
      </c>
      <c r="N4233" s="1">
        <v>3275.61</v>
      </c>
      <c r="O4233" s="1" t="s">
        <v>80</v>
      </c>
      <c r="P4233" s="1" t="s">
        <v>1687</v>
      </c>
      <c r="Q4233" s="1">
        <v>4</v>
      </c>
      <c r="R4233" s="1">
        <f>Retail_Sales_Analyis[[#This Row],[Final_Price]]-Retail_Sales_Analyis[[#This Row],[Total_Price]]</f>
        <v>0</v>
      </c>
      <c r="S42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34" spans="1:19" x14ac:dyDescent="0.25">
      <c r="A4234" s="1" t="s">
        <v>5361</v>
      </c>
      <c r="B4234" s="2">
        <v>45454</v>
      </c>
      <c r="C4234" s="1" t="s">
        <v>173</v>
      </c>
      <c r="D4234" s="1" t="s">
        <v>28</v>
      </c>
      <c r="E4234" s="1" t="s">
        <v>77</v>
      </c>
      <c r="F4234" s="1" t="s">
        <v>30</v>
      </c>
      <c r="G4234" s="1" t="s">
        <v>85</v>
      </c>
      <c r="H4234" s="1" t="s">
        <v>86</v>
      </c>
      <c r="I4234" s="1">
        <v>1394.95</v>
      </c>
      <c r="J4234" s="1">
        <v>4</v>
      </c>
      <c r="K4234" s="1">
        <v>5579.8</v>
      </c>
      <c r="L4234" s="1">
        <v>15</v>
      </c>
      <c r="M4234" s="1">
        <v>836.97</v>
      </c>
      <c r="N4234" s="1">
        <v>4742.83</v>
      </c>
      <c r="O4234" s="1" t="s">
        <v>80</v>
      </c>
      <c r="P4234" s="1" t="s">
        <v>1683</v>
      </c>
      <c r="Q4234" s="1">
        <v>3</v>
      </c>
      <c r="R4234" s="1">
        <f>Retail_Sales_Analyis[[#This Row],[Final_Price]]-Retail_Sales_Analyis[[#This Row],[Total_Price]]</f>
        <v>-836.97000000000025</v>
      </c>
      <c r="S42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5" spans="1:19" x14ac:dyDescent="0.25">
      <c r="A4235" s="1" t="s">
        <v>5362</v>
      </c>
      <c r="B4235" s="2">
        <v>45381</v>
      </c>
      <c r="C4235" s="1" t="s">
        <v>61</v>
      </c>
      <c r="D4235" s="1" t="s">
        <v>19</v>
      </c>
      <c r="E4235" s="1" t="s">
        <v>213</v>
      </c>
      <c r="F4235" s="1" t="s">
        <v>21</v>
      </c>
      <c r="G4235" s="1" t="s">
        <v>38</v>
      </c>
      <c r="H4235" s="1" t="s">
        <v>422</v>
      </c>
      <c r="I4235" s="1">
        <v>480.86</v>
      </c>
      <c r="J4235" s="1">
        <v>2</v>
      </c>
      <c r="K4235" s="1">
        <v>961.72</v>
      </c>
      <c r="L4235" s="1">
        <v>10</v>
      </c>
      <c r="M4235" s="1">
        <v>96.17</v>
      </c>
      <c r="N4235" s="1">
        <v>865.55</v>
      </c>
      <c r="O4235" s="1" t="s">
        <v>24</v>
      </c>
      <c r="P4235" s="1" t="s">
        <v>1212</v>
      </c>
      <c r="Q4235" s="1">
        <v>3</v>
      </c>
      <c r="R4235" s="1">
        <f>Retail_Sales_Analyis[[#This Row],[Final_Price]]-Retail_Sales_Analyis[[#This Row],[Total_Price]]</f>
        <v>-96.170000000000073</v>
      </c>
      <c r="S42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6" spans="1:19" x14ac:dyDescent="0.25">
      <c r="A4236" s="1" t="s">
        <v>5363</v>
      </c>
      <c r="B4236" s="2">
        <v>45654</v>
      </c>
      <c r="C4236" s="1" t="s">
        <v>73</v>
      </c>
      <c r="D4236" s="1" t="s">
        <v>19</v>
      </c>
      <c r="E4236" s="1" t="s">
        <v>199</v>
      </c>
      <c r="F4236" s="1" t="s">
        <v>30</v>
      </c>
      <c r="G4236" s="1" t="s">
        <v>57</v>
      </c>
      <c r="H4236" s="1" t="s">
        <v>158</v>
      </c>
      <c r="I4236" s="1">
        <v>2676.63</v>
      </c>
      <c r="J4236" s="1">
        <v>1</v>
      </c>
      <c r="K4236" s="1">
        <v>2676.63</v>
      </c>
      <c r="L4236" s="1">
        <v>10</v>
      </c>
      <c r="M4236" s="1">
        <v>267.66000000000003</v>
      </c>
      <c r="N4236" s="1">
        <v>2408.9699999999998</v>
      </c>
      <c r="O4236" s="1" t="s">
        <v>64</v>
      </c>
      <c r="P4236" s="1" t="s">
        <v>1627</v>
      </c>
      <c r="Q4236" s="1">
        <v>3</v>
      </c>
      <c r="R4236" s="1">
        <f>Retail_Sales_Analyis[[#This Row],[Final_Price]]-Retail_Sales_Analyis[[#This Row],[Total_Price]]</f>
        <v>-267.66000000000031</v>
      </c>
      <c r="S42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7" spans="1:19" x14ac:dyDescent="0.25">
      <c r="A4237" s="1" t="s">
        <v>5364</v>
      </c>
      <c r="B4237" s="2">
        <v>45579</v>
      </c>
      <c r="C4237" s="1" t="s">
        <v>76</v>
      </c>
      <c r="D4237" s="1" t="s">
        <v>43</v>
      </c>
      <c r="E4237" s="1" t="s">
        <v>322</v>
      </c>
      <c r="F4237" s="1" t="s">
        <v>84</v>
      </c>
      <c r="G4237" s="1" t="s">
        <v>85</v>
      </c>
      <c r="H4237" s="1" t="s">
        <v>86</v>
      </c>
      <c r="I4237" s="1">
        <v>3059.83</v>
      </c>
      <c r="J4237" s="1">
        <v>6</v>
      </c>
      <c r="K4237" s="1">
        <v>18358.98</v>
      </c>
      <c r="L4237" s="1">
        <v>10</v>
      </c>
      <c r="M4237" s="1">
        <v>1835.9</v>
      </c>
      <c r="N4237" s="1">
        <v>16523.080000000002</v>
      </c>
      <c r="O4237" s="1" t="s">
        <v>80</v>
      </c>
      <c r="P4237" s="1" t="s">
        <v>2321</v>
      </c>
      <c r="Q4237" s="1">
        <v>5</v>
      </c>
      <c r="R4237" s="1">
        <f>Retail_Sales_Analyis[[#This Row],[Final_Price]]-Retail_Sales_Analyis[[#This Row],[Total_Price]]</f>
        <v>-1835.8999999999978</v>
      </c>
      <c r="S42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38" spans="1:19" x14ac:dyDescent="0.25">
      <c r="A4238" s="1" t="s">
        <v>5365</v>
      </c>
      <c r="B4238" s="2">
        <v>45647</v>
      </c>
      <c r="C4238" s="1" t="s">
        <v>73</v>
      </c>
      <c r="D4238" s="1" t="s">
        <v>19</v>
      </c>
      <c r="E4238" s="1" t="s">
        <v>129</v>
      </c>
      <c r="F4238" s="1" t="s">
        <v>30</v>
      </c>
      <c r="G4238" s="1" t="s">
        <v>112</v>
      </c>
      <c r="H4238" s="1" t="s">
        <v>288</v>
      </c>
      <c r="I4238" s="1">
        <v>1417.87</v>
      </c>
      <c r="J4238" s="1">
        <v>6</v>
      </c>
      <c r="K4238" s="1">
        <v>8507.2199999999993</v>
      </c>
      <c r="L4238" s="1">
        <v>5</v>
      </c>
      <c r="M4238" s="1">
        <v>425.36</v>
      </c>
      <c r="N4238" s="1">
        <v>8081.86</v>
      </c>
      <c r="O4238" s="1" t="s">
        <v>80</v>
      </c>
      <c r="P4238" s="1" t="s">
        <v>3689</v>
      </c>
      <c r="Q4238" s="1">
        <v>2</v>
      </c>
      <c r="R4238" s="1">
        <f>Retail_Sales_Analyis[[#This Row],[Final_Price]]-Retail_Sales_Analyis[[#This Row],[Total_Price]]</f>
        <v>-425.35999999999967</v>
      </c>
      <c r="S42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39" spans="1:19" x14ac:dyDescent="0.25">
      <c r="A4239" s="1" t="s">
        <v>5366</v>
      </c>
      <c r="B4239" s="2">
        <v>45606</v>
      </c>
      <c r="C4239" s="1" t="s">
        <v>18</v>
      </c>
      <c r="D4239" s="1" t="s">
        <v>49</v>
      </c>
      <c r="E4239" s="1" t="s">
        <v>29</v>
      </c>
      <c r="F4239" s="1" t="s">
        <v>69</v>
      </c>
      <c r="G4239" s="1" t="s">
        <v>22</v>
      </c>
      <c r="H4239" s="1" t="s">
        <v>23</v>
      </c>
      <c r="I4239" s="1">
        <v>961.5</v>
      </c>
      <c r="J4239" s="1">
        <v>7</v>
      </c>
      <c r="K4239" s="1">
        <v>6730.5</v>
      </c>
      <c r="L4239" s="1">
        <v>15</v>
      </c>
      <c r="M4239" s="1">
        <v>1009.57</v>
      </c>
      <c r="N4239" s="1">
        <v>5720.93</v>
      </c>
      <c r="O4239" s="1" t="s">
        <v>64</v>
      </c>
      <c r="P4239" s="1" t="s">
        <v>995</v>
      </c>
      <c r="Q4239" s="1">
        <v>2</v>
      </c>
      <c r="R4239" s="1">
        <f>Retail_Sales_Analyis[[#This Row],[Final_Price]]-Retail_Sales_Analyis[[#This Row],[Total_Price]]</f>
        <v>-1009.5699999999997</v>
      </c>
      <c r="S42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40" spans="1:19" x14ac:dyDescent="0.25">
      <c r="A4240" s="1" t="s">
        <v>5367</v>
      </c>
      <c r="B4240" s="2">
        <v>45474</v>
      </c>
      <c r="C4240" s="1" t="s">
        <v>195</v>
      </c>
      <c r="D4240" s="1" t="s">
        <v>43</v>
      </c>
      <c r="E4240" s="1" t="s">
        <v>322</v>
      </c>
      <c r="F4240" s="1" t="s">
        <v>84</v>
      </c>
      <c r="G4240" s="1" t="s">
        <v>57</v>
      </c>
      <c r="H4240" s="1" t="s">
        <v>152</v>
      </c>
      <c r="I4240" s="1">
        <v>2457.36</v>
      </c>
      <c r="J4240" s="1">
        <v>8</v>
      </c>
      <c r="K4240" s="1">
        <v>19658.88</v>
      </c>
      <c r="L4240" s="1">
        <v>0</v>
      </c>
      <c r="M4240" s="1">
        <v>0</v>
      </c>
      <c r="N4240" s="1">
        <v>19658.88</v>
      </c>
      <c r="O4240" s="1" t="s">
        <v>64</v>
      </c>
      <c r="P4240" s="1" t="s">
        <v>566</v>
      </c>
      <c r="Q4240" s="1">
        <v>3</v>
      </c>
      <c r="R4240" s="1">
        <f>Retail_Sales_Analyis[[#This Row],[Final_Price]]-Retail_Sales_Analyis[[#This Row],[Total_Price]]</f>
        <v>0</v>
      </c>
      <c r="S42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41" spans="1:19" x14ac:dyDescent="0.25">
      <c r="A4241" s="1" t="s">
        <v>5368</v>
      </c>
      <c r="B4241" s="2">
        <v>45406</v>
      </c>
      <c r="C4241" s="1" t="s">
        <v>54</v>
      </c>
      <c r="D4241" s="1" t="s">
        <v>55</v>
      </c>
      <c r="E4241" s="1" t="s">
        <v>236</v>
      </c>
      <c r="F4241" s="1" t="s">
        <v>21</v>
      </c>
      <c r="G4241" s="1" t="s">
        <v>78</v>
      </c>
      <c r="H4241" s="1" t="s">
        <v>323</v>
      </c>
      <c r="I4241" s="1">
        <v>435.65</v>
      </c>
      <c r="J4241" s="1">
        <v>8</v>
      </c>
      <c r="K4241" s="1">
        <v>3485.2</v>
      </c>
      <c r="L4241" s="1">
        <v>20</v>
      </c>
      <c r="M4241" s="1">
        <v>697.04</v>
      </c>
      <c r="N4241" s="1">
        <v>2788.16</v>
      </c>
      <c r="O4241" s="1" t="s">
        <v>80</v>
      </c>
      <c r="P4241" s="1" t="s">
        <v>2007</v>
      </c>
      <c r="Q4241" s="1">
        <v>1</v>
      </c>
      <c r="R4241" s="1">
        <f>Retail_Sales_Analyis[[#This Row],[Final_Price]]-Retail_Sales_Analyis[[#This Row],[Total_Price]]</f>
        <v>-697.04</v>
      </c>
      <c r="S42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42" spans="1:19" x14ac:dyDescent="0.25">
      <c r="A4242" s="1" t="s">
        <v>5369</v>
      </c>
      <c r="B4242" s="2">
        <v>45632</v>
      </c>
      <c r="C4242" s="1" t="s">
        <v>73</v>
      </c>
      <c r="D4242" s="1" t="s">
        <v>144</v>
      </c>
      <c r="E4242" s="1" t="s">
        <v>68</v>
      </c>
      <c r="F4242" s="1" t="s">
        <v>84</v>
      </c>
      <c r="G4242" s="1" t="s">
        <v>112</v>
      </c>
      <c r="H4242" s="1" t="s">
        <v>223</v>
      </c>
      <c r="I4242" s="1">
        <v>1791.34</v>
      </c>
      <c r="J4242" s="1">
        <v>8</v>
      </c>
      <c r="K4242" s="1">
        <v>14330.72</v>
      </c>
      <c r="L4242" s="1">
        <v>0</v>
      </c>
      <c r="M4242" s="1">
        <v>0</v>
      </c>
      <c r="N4242" s="1">
        <v>14330.72</v>
      </c>
      <c r="O4242" s="1" t="s">
        <v>24</v>
      </c>
      <c r="P4242" s="1" t="s">
        <v>155</v>
      </c>
      <c r="Q4242" s="1">
        <v>4</v>
      </c>
      <c r="R4242" s="1">
        <f>Retail_Sales_Analyis[[#This Row],[Final_Price]]-Retail_Sales_Analyis[[#This Row],[Total_Price]]</f>
        <v>0</v>
      </c>
      <c r="S42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43" spans="1:19" x14ac:dyDescent="0.25">
      <c r="A4243" s="1" t="s">
        <v>5370</v>
      </c>
      <c r="B4243" s="2">
        <v>45593</v>
      </c>
      <c r="C4243" s="1" t="s">
        <v>76</v>
      </c>
      <c r="D4243" s="1" t="s">
        <v>43</v>
      </c>
      <c r="E4243" s="1" t="s">
        <v>199</v>
      </c>
      <c r="F4243" s="1" t="s">
        <v>69</v>
      </c>
      <c r="G4243" s="1" t="s">
        <v>78</v>
      </c>
      <c r="H4243" s="1" t="s">
        <v>79</v>
      </c>
      <c r="I4243" s="1">
        <v>210.08</v>
      </c>
      <c r="J4243" s="1">
        <v>7</v>
      </c>
      <c r="K4243" s="1">
        <v>1470.56</v>
      </c>
      <c r="L4243" s="1">
        <v>15</v>
      </c>
      <c r="M4243" s="1">
        <v>220.58</v>
      </c>
      <c r="N4243" s="1">
        <v>1249.98</v>
      </c>
      <c r="O4243" s="1" t="s">
        <v>80</v>
      </c>
      <c r="P4243" s="1" t="s">
        <v>2844</v>
      </c>
      <c r="Q4243" s="1">
        <v>3</v>
      </c>
      <c r="R4243" s="1">
        <f>Retail_Sales_Analyis[[#This Row],[Final_Price]]-Retail_Sales_Analyis[[#This Row],[Total_Price]]</f>
        <v>-220.57999999999993</v>
      </c>
      <c r="S42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44" spans="1:19" x14ac:dyDescent="0.25">
      <c r="A4244" s="1" t="s">
        <v>5371</v>
      </c>
      <c r="B4244" s="2">
        <v>45381</v>
      </c>
      <c r="C4244" s="1" t="s">
        <v>61</v>
      </c>
      <c r="D4244" s="1" t="s">
        <v>19</v>
      </c>
      <c r="E4244" s="1" t="s">
        <v>192</v>
      </c>
      <c r="F4244" s="1" t="s">
        <v>37</v>
      </c>
      <c r="G4244" s="1" t="s">
        <v>78</v>
      </c>
      <c r="H4244" s="1" t="s">
        <v>146</v>
      </c>
      <c r="I4244" s="1">
        <v>274.91000000000003</v>
      </c>
      <c r="J4244" s="1">
        <v>5</v>
      </c>
      <c r="K4244" s="1">
        <v>1374.55</v>
      </c>
      <c r="L4244" s="1">
        <v>15</v>
      </c>
      <c r="M4244" s="1">
        <v>206.18</v>
      </c>
      <c r="N4244" s="1">
        <v>1168.3699999999999</v>
      </c>
      <c r="O4244" s="1" t="s">
        <v>64</v>
      </c>
      <c r="P4244" s="1" t="s">
        <v>476</v>
      </c>
      <c r="Q4244" s="1">
        <v>5</v>
      </c>
      <c r="R4244" s="1">
        <f>Retail_Sales_Analyis[[#This Row],[Final_Price]]-Retail_Sales_Analyis[[#This Row],[Total_Price]]</f>
        <v>-206.18000000000006</v>
      </c>
      <c r="S42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45" spans="1:19" x14ac:dyDescent="0.25">
      <c r="A4245" s="1" t="s">
        <v>5372</v>
      </c>
      <c r="B4245" s="2">
        <v>45485</v>
      </c>
      <c r="C4245" s="1" t="s">
        <v>195</v>
      </c>
      <c r="D4245" s="1" t="s">
        <v>144</v>
      </c>
      <c r="E4245" s="1" t="s">
        <v>104</v>
      </c>
      <c r="F4245" s="1" t="s">
        <v>69</v>
      </c>
      <c r="G4245" s="1" t="s">
        <v>57</v>
      </c>
      <c r="H4245" s="1" t="s">
        <v>101</v>
      </c>
      <c r="I4245" s="1">
        <v>2859.39</v>
      </c>
      <c r="J4245" s="1">
        <v>2</v>
      </c>
      <c r="K4245" s="1">
        <v>5718.78</v>
      </c>
      <c r="L4245" s="1">
        <v>20</v>
      </c>
      <c r="M4245" s="1">
        <v>1143.76</v>
      </c>
      <c r="N4245" s="1">
        <v>4575.0200000000004</v>
      </c>
      <c r="O4245" s="1" t="s">
        <v>80</v>
      </c>
      <c r="P4245" s="1" t="s">
        <v>892</v>
      </c>
      <c r="Q4245" s="1">
        <v>4</v>
      </c>
      <c r="R4245" s="1">
        <f>Retail_Sales_Analyis[[#This Row],[Final_Price]]-Retail_Sales_Analyis[[#This Row],[Total_Price]]</f>
        <v>-1143.7599999999993</v>
      </c>
      <c r="S424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46" spans="1:19" x14ac:dyDescent="0.25">
      <c r="A4246" s="1" t="s">
        <v>5373</v>
      </c>
      <c r="B4246" s="2">
        <v>45449</v>
      </c>
      <c r="C4246" s="1" t="s">
        <v>173</v>
      </c>
      <c r="D4246" s="1" t="s">
        <v>67</v>
      </c>
      <c r="E4246" s="1" t="s">
        <v>83</v>
      </c>
      <c r="F4246" s="1" t="s">
        <v>69</v>
      </c>
      <c r="G4246" s="1" t="s">
        <v>31</v>
      </c>
      <c r="H4246" s="1" t="s">
        <v>45</v>
      </c>
      <c r="I4246" s="1">
        <v>336.72</v>
      </c>
      <c r="J4246" s="1">
        <v>7</v>
      </c>
      <c r="K4246" s="1">
        <v>2357.04</v>
      </c>
      <c r="L4246" s="1">
        <v>5</v>
      </c>
      <c r="M4246" s="1">
        <v>117.85</v>
      </c>
      <c r="N4246" s="1">
        <v>2239.19</v>
      </c>
      <c r="O4246" s="1" t="s">
        <v>33</v>
      </c>
      <c r="P4246" s="1" t="s">
        <v>2770</v>
      </c>
      <c r="Q4246" s="1">
        <v>3</v>
      </c>
      <c r="R4246" s="1">
        <f>Retail_Sales_Analyis[[#This Row],[Final_Price]]-Retail_Sales_Analyis[[#This Row],[Total_Price]]</f>
        <v>-117.84999999999991</v>
      </c>
      <c r="S424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47" spans="1:19" x14ac:dyDescent="0.25">
      <c r="A4247" s="1" t="s">
        <v>5374</v>
      </c>
      <c r="B4247" s="2">
        <v>45644</v>
      </c>
      <c r="C4247" s="1" t="s">
        <v>73</v>
      </c>
      <c r="D4247" s="1" t="s">
        <v>55</v>
      </c>
      <c r="E4247" s="1" t="s">
        <v>157</v>
      </c>
      <c r="F4247" s="1" t="s">
        <v>84</v>
      </c>
      <c r="G4247" s="1" t="s">
        <v>85</v>
      </c>
      <c r="H4247" s="1" t="s">
        <v>297</v>
      </c>
      <c r="I4247" s="1">
        <v>3849.72</v>
      </c>
      <c r="J4247" s="1">
        <v>2</v>
      </c>
      <c r="K4247" s="1">
        <v>7699.44</v>
      </c>
      <c r="L4247" s="1">
        <v>0</v>
      </c>
      <c r="M4247" s="1">
        <v>0</v>
      </c>
      <c r="N4247" s="1">
        <v>7699.44</v>
      </c>
      <c r="O4247" s="1" t="s">
        <v>24</v>
      </c>
      <c r="P4247" s="1" t="s">
        <v>3636</v>
      </c>
      <c r="Q4247" s="1">
        <v>3</v>
      </c>
      <c r="R4247" s="1">
        <f>Retail_Sales_Analyis[[#This Row],[Final_Price]]-Retail_Sales_Analyis[[#This Row],[Total_Price]]</f>
        <v>0</v>
      </c>
      <c r="S42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48" spans="1:19" x14ac:dyDescent="0.25">
      <c r="A4248" s="1" t="s">
        <v>5375</v>
      </c>
      <c r="B4248" s="2">
        <v>45442</v>
      </c>
      <c r="C4248" s="1" t="s">
        <v>42</v>
      </c>
      <c r="D4248" s="1" t="s">
        <v>67</v>
      </c>
      <c r="E4248" s="1" t="s">
        <v>239</v>
      </c>
      <c r="F4248" s="1" t="s">
        <v>84</v>
      </c>
      <c r="G4248" s="1" t="s">
        <v>38</v>
      </c>
      <c r="H4248" s="1" t="s">
        <v>214</v>
      </c>
      <c r="I4248" s="1">
        <v>619.17999999999995</v>
      </c>
      <c r="J4248" s="1">
        <v>9</v>
      </c>
      <c r="K4248" s="1">
        <v>5572.62</v>
      </c>
      <c r="L4248" s="1">
        <v>0</v>
      </c>
      <c r="M4248" s="1">
        <v>0</v>
      </c>
      <c r="N4248" s="1">
        <v>5572.62</v>
      </c>
      <c r="O4248" s="1" t="s">
        <v>33</v>
      </c>
      <c r="P4248" s="1" t="s">
        <v>1206</v>
      </c>
      <c r="Q4248" s="1">
        <v>1</v>
      </c>
      <c r="R4248" s="1">
        <f>Retail_Sales_Analyis[[#This Row],[Final_Price]]-Retail_Sales_Analyis[[#This Row],[Total_Price]]</f>
        <v>0</v>
      </c>
      <c r="S42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49" spans="1:19" x14ac:dyDescent="0.25">
      <c r="A4249" s="1" t="s">
        <v>5376</v>
      </c>
      <c r="B4249" s="2">
        <v>45357</v>
      </c>
      <c r="C4249" s="1" t="s">
        <v>61</v>
      </c>
      <c r="D4249" s="1" t="s">
        <v>55</v>
      </c>
      <c r="E4249" s="1" t="s">
        <v>117</v>
      </c>
      <c r="F4249" s="1" t="s">
        <v>30</v>
      </c>
      <c r="G4249" s="1" t="s">
        <v>31</v>
      </c>
      <c r="H4249" s="1" t="s">
        <v>32</v>
      </c>
      <c r="I4249" s="1">
        <v>403.63</v>
      </c>
      <c r="J4249" s="1">
        <v>6</v>
      </c>
      <c r="K4249" s="1">
        <v>2421.7800000000002</v>
      </c>
      <c r="L4249" s="1">
        <v>15</v>
      </c>
      <c r="M4249" s="1">
        <v>363.27</v>
      </c>
      <c r="N4249" s="1">
        <v>2058.5100000000002</v>
      </c>
      <c r="O4249" s="1" t="s">
        <v>64</v>
      </c>
      <c r="P4249" s="1" t="s">
        <v>1315</v>
      </c>
      <c r="Q4249" s="1">
        <v>2</v>
      </c>
      <c r="R4249" s="1">
        <f>Retail_Sales_Analyis[[#This Row],[Final_Price]]-Retail_Sales_Analyis[[#This Row],[Total_Price]]</f>
        <v>-363.27</v>
      </c>
      <c r="S42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50" spans="1:19" x14ac:dyDescent="0.25">
      <c r="A4250" s="1" t="s">
        <v>5377</v>
      </c>
      <c r="B4250" s="2">
        <v>45382</v>
      </c>
      <c r="C4250" s="1" t="s">
        <v>61</v>
      </c>
      <c r="D4250" s="1" t="s">
        <v>49</v>
      </c>
      <c r="E4250" s="1" t="s">
        <v>151</v>
      </c>
      <c r="F4250" s="1" t="s">
        <v>21</v>
      </c>
      <c r="G4250" s="1" t="s">
        <v>85</v>
      </c>
      <c r="H4250" s="1" t="s">
        <v>180</v>
      </c>
      <c r="I4250" s="1">
        <v>1846.97</v>
      </c>
      <c r="J4250" s="1">
        <v>4</v>
      </c>
      <c r="K4250" s="1">
        <v>7387.88</v>
      </c>
      <c r="L4250" s="1">
        <v>10</v>
      </c>
      <c r="M4250" s="1">
        <v>738.79</v>
      </c>
      <c r="N4250" s="1">
        <v>6649.09</v>
      </c>
      <c r="O4250" s="1" t="s">
        <v>64</v>
      </c>
      <c r="P4250" s="1" t="s">
        <v>4179</v>
      </c>
      <c r="Q4250" s="1">
        <v>2</v>
      </c>
      <c r="R4250" s="1">
        <f>Retail_Sales_Analyis[[#This Row],[Final_Price]]-Retail_Sales_Analyis[[#This Row],[Total_Price]]</f>
        <v>-738.79</v>
      </c>
      <c r="S42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51" spans="1:19" x14ac:dyDescent="0.25">
      <c r="A4251" s="1" t="s">
        <v>5378</v>
      </c>
      <c r="B4251" s="2">
        <v>45292</v>
      </c>
      <c r="C4251" s="1" t="s">
        <v>36</v>
      </c>
      <c r="D4251" s="1" t="s">
        <v>43</v>
      </c>
      <c r="E4251" s="1" t="s">
        <v>307</v>
      </c>
      <c r="F4251" s="1" t="s">
        <v>69</v>
      </c>
      <c r="G4251" s="1" t="s">
        <v>31</v>
      </c>
      <c r="H4251" s="1" t="s">
        <v>32</v>
      </c>
      <c r="I4251" s="1">
        <v>252.96</v>
      </c>
      <c r="J4251" s="1">
        <v>3</v>
      </c>
      <c r="K4251" s="1">
        <v>758.88</v>
      </c>
      <c r="L4251" s="1">
        <v>5</v>
      </c>
      <c r="M4251" s="1">
        <v>37.94</v>
      </c>
      <c r="N4251" s="1">
        <v>720.94</v>
      </c>
      <c r="O4251" s="1" t="s">
        <v>33</v>
      </c>
      <c r="P4251" s="1" t="s">
        <v>105</v>
      </c>
      <c r="Q4251" s="1">
        <v>3</v>
      </c>
      <c r="R4251" s="1">
        <f>Retail_Sales_Analyis[[#This Row],[Final_Price]]-Retail_Sales_Analyis[[#This Row],[Total_Price]]</f>
        <v>-37.939999999999941</v>
      </c>
      <c r="S42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52" spans="1:19" x14ac:dyDescent="0.25">
      <c r="A4252" s="1" t="s">
        <v>5379</v>
      </c>
      <c r="B4252" s="2">
        <v>45651</v>
      </c>
      <c r="C4252" s="1" t="s">
        <v>73</v>
      </c>
      <c r="D4252" s="1" t="s">
        <v>55</v>
      </c>
      <c r="E4252" s="1" t="s">
        <v>411</v>
      </c>
      <c r="F4252" s="1" t="s">
        <v>21</v>
      </c>
      <c r="G4252" s="1" t="s">
        <v>78</v>
      </c>
      <c r="H4252" s="1" t="s">
        <v>79</v>
      </c>
      <c r="I4252" s="1">
        <v>224.18</v>
      </c>
      <c r="J4252" s="1">
        <v>2</v>
      </c>
      <c r="K4252" s="1">
        <v>448.36</v>
      </c>
      <c r="L4252" s="1">
        <v>15</v>
      </c>
      <c r="M4252" s="1">
        <v>67.25</v>
      </c>
      <c r="N4252" s="1">
        <v>381.11</v>
      </c>
      <c r="O4252" s="1" t="s">
        <v>80</v>
      </c>
      <c r="P4252" s="1" t="s">
        <v>248</v>
      </c>
      <c r="Q4252" s="1">
        <v>5</v>
      </c>
      <c r="R4252" s="1">
        <f>Retail_Sales_Analyis[[#This Row],[Final_Price]]-Retail_Sales_Analyis[[#This Row],[Total_Price]]</f>
        <v>-67.25</v>
      </c>
      <c r="S42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53" spans="1:19" x14ac:dyDescent="0.25">
      <c r="A4253" s="1" t="s">
        <v>5380</v>
      </c>
      <c r="B4253" s="2">
        <v>45585</v>
      </c>
      <c r="C4253" s="1" t="s">
        <v>76</v>
      </c>
      <c r="D4253" s="1" t="s">
        <v>49</v>
      </c>
      <c r="E4253" s="1" t="s">
        <v>186</v>
      </c>
      <c r="F4253" s="1" t="s">
        <v>84</v>
      </c>
      <c r="G4253" s="1" t="s">
        <v>169</v>
      </c>
      <c r="H4253" s="1" t="s">
        <v>175</v>
      </c>
      <c r="I4253" s="1">
        <v>931.6</v>
      </c>
      <c r="J4253" s="1">
        <v>7</v>
      </c>
      <c r="K4253" s="1">
        <v>6521.2</v>
      </c>
      <c r="L4253" s="1">
        <v>0</v>
      </c>
      <c r="M4253" s="1">
        <v>0</v>
      </c>
      <c r="N4253" s="1">
        <v>6521.2</v>
      </c>
      <c r="O4253" s="1" t="s">
        <v>64</v>
      </c>
      <c r="P4253" s="1" t="s">
        <v>3636</v>
      </c>
      <c r="Q4253" s="1">
        <v>4</v>
      </c>
      <c r="R4253" s="1">
        <f>Retail_Sales_Analyis[[#This Row],[Final_Price]]-Retail_Sales_Analyis[[#This Row],[Total_Price]]</f>
        <v>0</v>
      </c>
      <c r="S42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54" spans="1:19" x14ac:dyDescent="0.25">
      <c r="A4254" s="1" t="s">
        <v>5381</v>
      </c>
      <c r="B4254" s="2">
        <v>45492</v>
      </c>
      <c r="C4254" s="1" t="s">
        <v>195</v>
      </c>
      <c r="D4254" s="1" t="s">
        <v>144</v>
      </c>
      <c r="E4254" s="1" t="s">
        <v>337</v>
      </c>
      <c r="F4254" s="1" t="s">
        <v>30</v>
      </c>
      <c r="G4254" s="1" t="s">
        <v>22</v>
      </c>
      <c r="H4254" s="1" t="s">
        <v>187</v>
      </c>
      <c r="I4254" s="1">
        <v>591.35</v>
      </c>
      <c r="J4254" s="1">
        <v>9</v>
      </c>
      <c r="K4254" s="1">
        <v>5322.15</v>
      </c>
      <c r="L4254" s="1">
        <v>20</v>
      </c>
      <c r="M4254" s="1">
        <v>1064.43</v>
      </c>
      <c r="N4254" s="1">
        <v>4257.72</v>
      </c>
      <c r="O4254" s="1" t="s">
        <v>46</v>
      </c>
      <c r="P4254" s="1" t="s">
        <v>1572</v>
      </c>
      <c r="Q4254" s="1">
        <v>2</v>
      </c>
      <c r="R4254" s="1">
        <f>Retail_Sales_Analyis[[#This Row],[Final_Price]]-Retail_Sales_Analyis[[#This Row],[Total_Price]]</f>
        <v>-1064.4299999999994</v>
      </c>
      <c r="S425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55" spans="1:19" x14ac:dyDescent="0.25">
      <c r="A4255" s="1" t="s">
        <v>5382</v>
      </c>
      <c r="B4255" s="2">
        <v>45582</v>
      </c>
      <c r="C4255" s="1" t="s">
        <v>76</v>
      </c>
      <c r="D4255" s="1" t="s">
        <v>67</v>
      </c>
      <c r="E4255" s="1" t="s">
        <v>351</v>
      </c>
      <c r="F4255" s="1" t="s">
        <v>69</v>
      </c>
      <c r="G4255" s="1" t="s">
        <v>78</v>
      </c>
      <c r="H4255" s="1" t="s">
        <v>126</v>
      </c>
      <c r="I4255" s="1">
        <v>497.34</v>
      </c>
      <c r="J4255" s="1">
        <v>4</v>
      </c>
      <c r="K4255" s="1">
        <v>1989.36</v>
      </c>
      <c r="L4255" s="1">
        <v>0</v>
      </c>
      <c r="M4255" s="1">
        <v>0</v>
      </c>
      <c r="N4255" s="1">
        <v>1989.36</v>
      </c>
      <c r="O4255" s="1" t="s">
        <v>80</v>
      </c>
      <c r="P4255" s="1" t="s">
        <v>1022</v>
      </c>
      <c r="Q4255" s="1">
        <v>5</v>
      </c>
      <c r="R4255" s="1">
        <f>Retail_Sales_Analyis[[#This Row],[Final_Price]]-Retail_Sales_Analyis[[#This Row],[Total_Price]]</f>
        <v>0</v>
      </c>
      <c r="S42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56" spans="1:19" x14ac:dyDescent="0.25">
      <c r="A4256" s="1" t="s">
        <v>5383</v>
      </c>
      <c r="B4256" s="2">
        <v>45308</v>
      </c>
      <c r="C4256" s="1" t="s">
        <v>36</v>
      </c>
      <c r="D4256" s="1" t="s">
        <v>55</v>
      </c>
      <c r="E4256" s="1" t="s">
        <v>129</v>
      </c>
      <c r="F4256" s="1" t="s">
        <v>84</v>
      </c>
      <c r="G4256" s="1" t="s">
        <v>31</v>
      </c>
      <c r="H4256" s="1" t="s">
        <v>329</v>
      </c>
      <c r="I4256" s="1">
        <v>446.21</v>
      </c>
      <c r="J4256" s="1">
        <v>10</v>
      </c>
      <c r="K4256" s="1">
        <v>4462.1000000000004</v>
      </c>
      <c r="L4256" s="1">
        <v>15</v>
      </c>
      <c r="M4256" s="1">
        <v>669.32</v>
      </c>
      <c r="N4256" s="1">
        <v>3792.78</v>
      </c>
      <c r="O4256" s="1" t="s">
        <v>64</v>
      </c>
      <c r="P4256" s="1" t="s">
        <v>1447</v>
      </c>
      <c r="Q4256" s="1">
        <v>5</v>
      </c>
      <c r="R4256" s="1">
        <f>Retail_Sales_Analyis[[#This Row],[Final_Price]]-Retail_Sales_Analyis[[#This Row],[Total_Price]]</f>
        <v>-669.32000000000016</v>
      </c>
      <c r="S42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57" spans="1:19" x14ac:dyDescent="0.25">
      <c r="A4257" s="1" t="s">
        <v>5384</v>
      </c>
      <c r="B4257" s="2">
        <v>45385</v>
      </c>
      <c r="C4257" s="1" t="s">
        <v>54</v>
      </c>
      <c r="D4257" s="1" t="s">
        <v>55</v>
      </c>
      <c r="E4257" s="1" t="s">
        <v>261</v>
      </c>
      <c r="F4257" s="1" t="s">
        <v>37</v>
      </c>
      <c r="G4257" s="1" t="s">
        <v>57</v>
      </c>
      <c r="H4257" s="1" t="s">
        <v>101</v>
      </c>
      <c r="I4257" s="1">
        <v>2006.6</v>
      </c>
      <c r="J4257" s="1">
        <v>1</v>
      </c>
      <c r="K4257" s="1">
        <v>2006.6</v>
      </c>
      <c r="L4257" s="1">
        <v>0</v>
      </c>
      <c r="M4257" s="1">
        <v>0</v>
      </c>
      <c r="N4257" s="1">
        <v>2006.6</v>
      </c>
      <c r="O4257" s="1" t="s">
        <v>46</v>
      </c>
      <c r="P4257" s="1" t="s">
        <v>1035</v>
      </c>
      <c r="Q4257" s="1">
        <v>3</v>
      </c>
      <c r="R4257" s="1">
        <f>Retail_Sales_Analyis[[#This Row],[Final_Price]]-Retail_Sales_Analyis[[#This Row],[Total_Price]]</f>
        <v>0</v>
      </c>
      <c r="S42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58" spans="1:19" x14ac:dyDescent="0.25">
      <c r="A4258" s="1" t="s">
        <v>5385</v>
      </c>
      <c r="B4258" s="2">
        <v>45600</v>
      </c>
      <c r="C4258" s="1" t="s">
        <v>18</v>
      </c>
      <c r="D4258" s="1" t="s">
        <v>43</v>
      </c>
      <c r="E4258" s="1" t="s">
        <v>139</v>
      </c>
      <c r="F4258" s="1" t="s">
        <v>37</v>
      </c>
      <c r="G4258" s="1" t="s">
        <v>22</v>
      </c>
      <c r="H4258" s="1" t="s">
        <v>51</v>
      </c>
      <c r="I4258" s="1">
        <v>673.64</v>
      </c>
      <c r="J4258" s="1">
        <v>5</v>
      </c>
      <c r="K4258" s="1">
        <v>3368.2</v>
      </c>
      <c r="L4258" s="1">
        <v>5</v>
      </c>
      <c r="M4258" s="1">
        <v>168.41</v>
      </c>
      <c r="N4258" s="1">
        <v>3199.79</v>
      </c>
      <c r="O4258" s="1" t="s">
        <v>33</v>
      </c>
      <c r="P4258" s="1" t="s">
        <v>938</v>
      </c>
      <c r="Q4258" s="1">
        <v>4</v>
      </c>
      <c r="R4258" s="1">
        <f>Retail_Sales_Analyis[[#This Row],[Final_Price]]-Retail_Sales_Analyis[[#This Row],[Total_Price]]</f>
        <v>-168.40999999999985</v>
      </c>
      <c r="S42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59" spans="1:19" x14ac:dyDescent="0.25">
      <c r="A4259" s="1" t="s">
        <v>5386</v>
      </c>
      <c r="B4259" s="2">
        <v>45454</v>
      </c>
      <c r="C4259" s="1" t="s">
        <v>173</v>
      </c>
      <c r="D4259" s="1" t="s">
        <v>28</v>
      </c>
      <c r="E4259" s="1" t="s">
        <v>166</v>
      </c>
      <c r="F4259" s="1" t="s">
        <v>84</v>
      </c>
      <c r="G4259" s="1" t="s">
        <v>22</v>
      </c>
      <c r="H4259" s="1" t="s">
        <v>23</v>
      </c>
      <c r="I4259" s="1">
        <v>774.06</v>
      </c>
      <c r="J4259" s="1">
        <v>2</v>
      </c>
      <c r="K4259" s="1">
        <v>1548.12</v>
      </c>
      <c r="L4259" s="1">
        <v>20</v>
      </c>
      <c r="M4259" s="1">
        <v>309.62</v>
      </c>
      <c r="N4259" s="1">
        <v>1238.5</v>
      </c>
      <c r="O4259" s="1" t="s">
        <v>64</v>
      </c>
      <c r="P4259" s="1" t="s">
        <v>399</v>
      </c>
      <c r="Q4259" s="1">
        <v>5</v>
      </c>
      <c r="R4259" s="1">
        <f>Retail_Sales_Analyis[[#This Row],[Final_Price]]-Retail_Sales_Analyis[[#This Row],[Total_Price]]</f>
        <v>-309.61999999999989</v>
      </c>
      <c r="S42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60" spans="1:19" x14ac:dyDescent="0.25">
      <c r="A4260" s="1" t="s">
        <v>5387</v>
      </c>
      <c r="B4260" s="2">
        <v>45605</v>
      </c>
      <c r="C4260" s="1" t="s">
        <v>18</v>
      </c>
      <c r="D4260" s="1" t="s">
        <v>19</v>
      </c>
      <c r="E4260" s="1" t="s">
        <v>97</v>
      </c>
      <c r="F4260" s="1" t="s">
        <v>84</v>
      </c>
      <c r="G4260" s="1" t="s">
        <v>38</v>
      </c>
      <c r="H4260" s="1" t="s">
        <v>422</v>
      </c>
      <c r="I4260" s="1">
        <v>784.7</v>
      </c>
      <c r="J4260" s="1">
        <v>10</v>
      </c>
      <c r="K4260" s="1">
        <v>7847</v>
      </c>
      <c r="L4260" s="1">
        <v>0</v>
      </c>
      <c r="M4260" s="1">
        <v>0</v>
      </c>
      <c r="N4260" s="1">
        <v>7847</v>
      </c>
      <c r="O4260" s="1" t="s">
        <v>24</v>
      </c>
      <c r="P4260" s="1" t="s">
        <v>1981</v>
      </c>
      <c r="Q4260" s="1">
        <v>1</v>
      </c>
      <c r="R4260" s="1">
        <f>Retail_Sales_Analyis[[#This Row],[Final_Price]]-Retail_Sales_Analyis[[#This Row],[Total_Price]]</f>
        <v>0</v>
      </c>
      <c r="S42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61" spans="1:19" x14ac:dyDescent="0.25">
      <c r="A4261" s="1" t="s">
        <v>5388</v>
      </c>
      <c r="B4261" s="2">
        <v>45405</v>
      </c>
      <c r="C4261" s="1" t="s">
        <v>54</v>
      </c>
      <c r="D4261" s="1" t="s">
        <v>28</v>
      </c>
      <c r="E4261" s="1" t="s">
        <v>50</v>
      </c>
      <c r="F4261" s="1" t="s">
        <v>30</v>
      </c>
      <c r="G4261" s="1" t="s">
        <v>31</v>
      </c>
      <c r="H4261" s="1" t="s">
        <v>250</v>
      </c>
      <c r="I4261" s="1">
        <v>153.35</v>
      </c>
      <c r="J4261" s="1">
        <v>6</v>
      </c>
      <c r="K4261" s="1">
        <v>920.1</v>
      </c>
      <c r="L4261" s="1">
        <v>15</v>
      </c>
      <c r="M4261" s="1">
        <v>138.01</v>
      </c>
      <c r="N4261" s="1">
        <v>782.09</v>
      </c>
      <c r="O4261" s="1" t="s">
        <v>24</v>
      </c>
      <c r="P4261" s="1" t="s">
        <v>867</v>
      </c>
      <c r="Q4261" s="1">
        <v>1</v>
      </c>
      <c r="R4261" s="1">
        <f>Retail_Sales_Analyis[[#This Row],[Final_Price]]-Retail_Sales_Analyis[[#This Row],[Total_Price]]</f>
        <v>-138.01</v>
      </c>
      <c r="S42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62" spans="1:19" x14ac:dyDescent="0.25">
      <c r="A4262" s="1" t="s">
        <v>5389</v>
      </c>
      <c r="B4262" s="2">
        <v>45619</v>
      </c>
      <c r="C4262" s="1" t="s">
        <v>18</v>
      </c>
      <c r="D4262" s="1" t="s">
        <v>19</v>
      </c>
      <c r="E4262" s="1" t="s">
        <v>213</v>
      </c>
      <c r="F4262" s="1" t="s">
        <v>84</v>
      </c>
      <c r="G4262" s="1" t="s">
        <v>57</v>
      </c>
      <c r="H4262" s="1" t="s">
        <v>58</v>
      </c>
      <c r="I4262" s="1">
        <v>1564.76</v>
      </c>
      <c r="J4262" s="1">
        <v>7</v>
      </c>
      <c r="K4262" s="1">
        <v>10953.32</v>
      </c>
      <c r="L4262" s="1">
        <v>0</v>
      </c>
      <c r="M4262" s="1">
        <v>0</v>
      </c>
      <c r="N4262" s="1">
        <v>10953.32</v>
      </c>
      <c r="O4262" s="1" t="s">
        <v>33</v>
      </c>
      <c r="P4262" s="1" t="s">
        <v>2709</v>
      </c>
      <c r="Q4262" s="1">
        <v>2</v>
      </c>
      <c r="R4262" s="1">
        <f>Retail_Sales_Analyis[[#This Row],[Final_Price]]-Retail_Sales_Analyis[[#This Row],[Total_Price]]</f>
        <v>0</v>
      </c>
      <c r="S42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63" spans="1:19" x14ac:dyDescent="0.25">
      <c r="A4263" s="1" t="s">
        <v>5390</v>
      </c>
      <c r="B4263" s="2">
        <v>45581</v>
      </c>
      <c r="C4263" s="1" t="s">
        <v>76</v>
      </c>
      <c r="D4263" s="1" t="s">
        <v>55</v>
      </c>
      <c r="E4263" s="1" t="s">
        <v>196</v>
      </c>
      <c r="F4263" s="1" t="s">
        <v>37</v>
      </c>
      <c r="G4263" s="1" t="s">
        <v>78</v>
      </c>
      <c r="H4263" s="1" t="s">
        <v>323</v>
      </c>
      <c r="I4263" s="1">
        <v>494.61</v>
      </c>
      <c r="J4263" s="1">
        <v>10</v>
      </c>
      <c r="K4263" s="1">
        <v>4946.1000000000004</v>
      </c>
      <c r="L4263" s="1">
        <v>10</v>
      </c>
      <c r="M4263" s="1">
        <v>494.61</v>
      </c>
      <c r="N4263" s="1">
        <v>4451.49</v>
      </c>
      <c r="O4263" s="1" t="s">
        <v>33</v>
      </c>
      <c r="P4263" s="1" t="s">
        <v>1230</v>
      </c>
      <c r="Q4263" s="1">
        <v>4</v>
      </c>
      <c r="R4263" s="1">
        <f>Retail_Sales_Analyis[[#This Row],[Final_Price]]-Retail_Sales_Analyis[[#This Row],[Total_Price]]</f>
        <v>-494.61000000000058</v>
      </c>
      <c r="S42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64" spans="1:19" x14ac:dyDescent="0.25">
      <c r="A4264" s="1" t="s">
        <v>5391</v>
      </c>
      <c r="B4264" s="2">
        <v>45345</v>
      </c>
      <c r="C4264" s="1" t="s">
        <v>27</v>
      </c>
      <c r="D4264" s="1" t="s">
        <v>144</v>
      </c>
      <c r="E4264" s="1" t="s">
        <v>342</v>
      </c>
      <c r="F4264" s="1" t="s">
        <v>84</v>
      </c>
      <c r="G4264" s="1" t="s">
        <v>31</v>
      </c>
      <c r="H4264" s="1" t="s">
        <v>45</v>
      </c>
      <c r="I4264" s="1">
        <v>332.17</v>
      </c>
      <c r="J4264" s="1">
        <v>3</v>
      </c>
      <c r="K4264" s="1">
        <v>996.51</v>
      </c>
      <c r="L4264" s="1">
        <v>20</v>
      </c>
      <c r="M4264" s="1">
        <v>199.3</v>
      </c>
      <c r="N4264" s="1">
        <v>797.21</v>
      </c>
      <c r="O4264" s="1" t="s">
        <v>64</v>
      </c>
      <c r="P4264" s="1" t="s">
        <v>399</v>
      </c>
      <c r="Q4264" s="1">
        <v>1</v>
      </c>
      <c r="R4264" s="1">
        <f>Retail_Sales_Analyis[[#This Row],[Final_Price]]-Retail_Sales_Analyis[[#This Row],[Total_Price]]</f>
        <v>-199.29999999999995</v>
      </c>
      <c r="S426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65" spans="1:19" x14ac:dyDescent="0.25">
      <c r="A4265" s="1" t="s">
        <v>5392</v>
      </c>
      <c r="B4265" s="2">
        <v>45546</v>
      </c>
      <c r="C4265" s="1" t="s">
        <v>116</v>
      </c>
      <c r="D4265" s="1" t="s">
        <v>55</v>
      </c>
      <c r="E4265" s="1" t="s">
        <v>213</v>
      </c>
      <c r="F4265" s="1" t="s">
        <v>69</v>
      </c>
      <c r="G4265" s="1" t="s">
        <v>169</v>
      </c>
      <c r="H4265" s="1" t="s">
        <v>208</v>
      </c>
      <c r="I4265" s="1">
        <v>1246.79</v>
      </c>
      <c r="J4265" s="1">
        <v>2</v>
      </c>
      <c r="K4265" s="1">
        <v>2493.58</v>
      </c>
      <c r="L4265" s="1">
        <v>15</v>
      </c>
      <c r="M4265" s="1">
        <v>374.04</v>
      </c>
      <c r="N4265" s="1">
        <v>2119.54</v>
      </c>
      <c r="O4265" s="1" t="s">
        <v>46</v>
      </c>
      <c r="P4265" s="1" t="s">
        <v>500</v>
      </c>
      <c r="Q4265" s="1">
        <v>2</v>
      </c>
      <c r="R4265" s="1">
        <f>Retail_Sales_Analyis[[#This Row],[Final_Price]]-Retail_Sales_Analyis[[#This Row],[Total_Price]]</f>
        <v>-374.03999999999996</v>
      </c>
      <c r="S42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66" spans="1:19" x14ac:dyDescent="0.25">
      <c r="A4266" s="1" t="s">
        <v>5393</v>
      </c>
      <c r="B4266" s="2">
        <v>45364</v>
      </c>
      <c r="C4266" s="1" t="s">
        <v>61</v>
      </c>
      <c r="D4266" s="1" t="s">
        <v>55</v>
      </c>
      <c r="E4266" s="1" t="s">
        <v>44</v>
      </c>
      <c r="F4266" s="1" t="s">
        <v>30</v>
      </c>
      <c r="G4266" s="1" t="s">
        <v>22</v>
      </c>
      <c r="H4266" s="1" t="s">
        <v>187</v>
      </c>
      <c r="I4266" s="1">
        <v>246.17</v>
      </c>
      <c r="J4266" s="1">
        <v>3</v>
      </c>
      <c r="K4266" s="1">
        <v>738.51</v>
      </c>
      <c r="L4266" s="1">
        <v>0</v>
      </c>
      <c r="M4266" s="1">
        <v>0</v>
      </c>
      <c r="N4266" s="1">
        <v>738.51</v>
      </c>
      <c r="O4266" s="1" t="s">
        <v>24</v>
      </c>
      <c r="P4266" s="1" t="s">
        <v>1032</v>
      </c>
      <c r="Q4266" s="1">
        <v>3</v>
      </c>
      <c r="R4266" s="1">
        <f>Retail_Sales_Analyis[[#This Row],[Final_Price]]-Retail_Sales_Analyis[[#This Row],[Total_Price]]</f>
        <v>0</v>
      </c>
      <c r="S42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67" spans="1:19" x14ac:dyDescent="0.25">
      <c r="A4267" s="1" t="s">
        <v>5394</v>
      </c>
      <c r="B4267" s="2">
        <v>45461</v>
      </c>
      <c r="C4267" s="1" t="s">
        <v>173</v>
      </c>
      <c r="D4267" s="1" t="s">
        <v>28</v>
      </c>
      <c r="E4267" s="1" t="s">
        <v>168</v>
      </c>
      <c r="F4267" s="1" t="s">
        <v>69</v>
      </c>
      <c r="G4267" s="1" t="s">
        <v>78</v>
      </c>
      <c r="H4267" s="1" t="s">
        <v>79</v>
      </c>
      <c r="I4267" s="1">
        <v>264.01</v>
      </c>
      <c r="J4267" s="1">
        <v>10</v>
      </c>
      <c r="K4267" s="1">
        <v>2640.1</v>
      </c>
      <c r="L4267" s="1">
        <v>20</v>
      </c>
      <c r="M4267" s="1">
        <v>528.02</v>
      </c>
      <c r="N4267" s="1">
        <v>2112.08</v>
      </c>
      <c r="O4267" s="1" t="s">
        <v>24</v>
      </c>
      <c r="P4267" s="1" t="s">
        <v>1517</v>
      </c>
      <c r="Q4267" s="1">
        <v>5</v>
      </c>
      <c r="R4267" s="1">
        <f>Retail_Sales_Analyis[[#This Row],[Final_Price]]-Retail_Sales_Analyis[[#This Row],[Total_Price]]</f>
        <v>-528.02</v>
      </c>
      <c r="S42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68" spans="1:19" x14ac:dyDescent="0.25">
      <c r="A4268" s="1" t="s">
        <v>5395</v>
      </c>
      <c r="B4268" s="2">
        <v>45331</v>
      </c>
      <c r="C4268" s="1" t="s">
        <v>27</v>
      </c>
      <c r="D4268" s="1" t="s">
        <v>144</v>
      </c>
      <c r="E4268" s="1" t="s">
        <v>213</v>
      </c>
      <c r="F4268" s="1" t="s">
        <v>69</v>
      </c>
      <c r="G4268" s="1" t="s">
        <v>169</v>
      </c>
      <c r="H4268" s="1" t="s">
        <v>208</v>
      </c>
      <c r="I4268" s="1">
        <v>1096.56</v>
      </c>
      <c r="J4268" s="1">
        <v>1</v>
      </c>
      <c r="K4268" s="1">
        <v>1096.56</v>
      </c>
      <c r="L4268" s="1">
        <v>0</v>
      </c>
      <c r="M4268" s="1">
        <v>0</v>
      </c>
      <c r="N4268" s="1">
        <v>1096.56</v>
      </c>
      <c r="O4268" s="1" t="s">
        <v>46</v>
      </c>
      <c r="P4268" s="1" t="s">
        <v>1795</v>
      </c>
      <c r="Q4268" s="1">
        <v>3</v>
      </c>
      <c r="R4268" s="1">
        <f>Retail_Sales_Analyis[[#This Row],[Final_Price]]-Retail_Sales_Analyis[[#This Row],[Total_Price]]</f>
        <v>0</v>
      </c>
      <c r="S42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69" spans="1:19" x14ac:dyDescent="0.25">
      <c r="A4269" s="1" t="s">
        <v>5396</v>
      </c>
      <c r="B4269" s="2">
        <v>45413</v>
      </c>
      <c r="C4269" s="1" t="s">
        <v>42</v>
      </c>
      <c r="D4269" s="1" t="s">
        <v>55</v>
      </c>
      <c r="E4269" s="1" t="s">
        <v>207</v>
      </c>
      <c r="F4269" s="1" t="s">
        <v>69</v>
      </c>
      <c r="G4269" s="1" t="s">
        <v>85</v>
      </c>
      <c r="H4269" s="1" t="s">
        <v>180</v>
      </c>
      <c r="I4269" s="1">
        <v>1626.51</v>
      </c>
      <c r="J4269" s="1">
        <v>3</v>
      </c>
      <c r="K4269" s="1">
        <v>4879.53</v>
      </c>
      <c r="L4269" s="1">
        <v>5</v>
      </c>
      <c r="M4269" s="1">
        <v>243.98</v>
      </c>
      <c r="N4269" s="1">
        <v>4635.55</v>
      </c>
      <c r="O4269" s="1" t="s">
        <v>46</v>
      </c>
      <c r="P4269" s="1" t="s">
        <v>5397</v>
      </c>
      <c r="Q4269" s="1">
        <v>5</v>
      </c>
      <c r="R4269" s="1">
        <f>Retail_Sales_Analyis[[#This Row],[Final_Price]]-Retail_Sales_Analyis[[#This Row],[Total_Price]]</f>
        <v>-243.97999999999956</v>
      </c>
      <c r="S42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70" spans="1:19" x14ac:dyDescent="0.25">
      <c r="A4270" s="1" t="s">
        <v>5398</v>
      </c>
      <c r="B4270" s="2">
        <v>45469</v>
      </c>
      <c r="C4270" s="1" t="s">
        <v>173</v>
      </c>
      <c r="D4270" s="1" t="s">
        <v>55</v>
      </c>
      <c r="E4270" s="1" t="s">
        <v>322</v>
      </c>
      <c r="F4270" s="1" t="s">
        <v>69</v>
      </c>
      <c r="G4270" s="1" t="s">
        <v>85</v>
      </c>
      <c r="H4270" s="1" t="s">
        <v>90</v>
      </c>
      <c r="I4270" s="1">
        <v>2189.64</v>
      </c>
      <c r="J4270" s="1">
        <v>9</v>
      </c>
      <c r="K4270" s="1">
        <v>19706.759999999998</v>
      </c>
      <c r="L4270" s="1">
        <v>0</v>
      </c>
      <c r="M4270" s="1">
        <v>0</v>
      </c>
      <c r="N4270" s="1">
        <v>19706.759999999998</v>
      </c>
      <c r="O4270" s="1" t="s">
        <v>24</v>
      </c>
      <c r="P4270" s="1" t="s">
        <v>2152</v>
      </c>
      <c r="Q4270" s="1">
        <v>3</v>
      </c>
      <c r="R4270" s="1">
        <f>Retail_Sales_Analyis[[#This Row],[Final_Price]]-Retail_Sales_Analyis[[#This Row],[Total_Price]]</f>
        <v>0</v>
      </c>
      <c r="S42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71" spans="1:19" x14ac:dyDescent="0.25">
      <c r="A4271" s="1" t="s">
        <v>5399</v>
      </c>
      <c r="B4271" s="2">
        <v>45455</v>
      </c>
      <c r="C4271" s="1" t="s">
        <v>173</v>
      </c>
      <c r="D4271" s="1" t="s">
        <v>55</v>
      </c>
      <c r="E4271" s="1" t="s">
        <v>145</v>
      </c>
      <c r="F4271" s="1" t="s">
        <v>21</v>
      </c>
      <c r="G4271" s="1" t="s">
        <v>31</v>
      </c>
      <c r="H4271" s="1" t="s">
        <v>250</v>
      </c>
      <c r="I4271" s="1">
        <v>384.32</v>
      </c>
      <c r="J4271" s="1">
        <v>2</v>
      </c>
      <c r="K4271" s="1">
        <v>768.64</v>
      </c>
      <c r="L4271" s="1">
        <v>0</v>
      </c>
      <c r="M4271" s="1">
        <v>0</v>
      </c>
      <c r="N4271" s="1">
        <v>768.64</v>
      </c>
      <c r="O4271" s="1" t="s">
        <v>64</v>
      </c>
      <c r="P4271" s="1" t="s">
        <v>1835</v>
      </c>
      <c r="Q4271" s="1">
        <v>3</v>
      </c>
      <c r="R4271" s="1">
        <f>Retail_Sales_Analyis[[#This Row],[Final_Price]]-Retail_Sales_Analyis[[#This Row],[Total_Price]]</f>
        <v>0</v>
      </c>
      <c r="S42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72" spans="1:19" x14ac:dyDescent="0.25">
      <c r="A4272" s="1" t="s">
        <v>5400</v>
      </c>
      <c r="B4272" s="2">
        <v>45377</v>
      </c>
      <c r="C4272" s="1" t="s">
        <v>61</v>
      </c>
      <c r="D4272" s="1" t="s">
        <v>28</v>
      </c>
      <c r="E4272" s="1" t="s">
        <v>312</v>
      </c>
      <c r="F4272" s="1" t="s">
        <v>21</v>
      </c>
      <c r="G4272" s="1" t="s">
        <v>57</v>
      </c>
      <c r="H4272" s="1" t="s">
        <v>58</v>
      </c>
      <c r="I4272" s="1">
        <v>1497.23</v>
      </c>
      <c r="J4272" s="1">
        <v>8</v>
      </c>
      <c r="K4272" s="1">
        <v>11977.84</v>
      </c>
      <c r="L4272" s="1">
        <v>15</v>
      </c>
      <c r="M4272" s="1">
        <v>1796.68</v>
      </c>
      <c r="N4272" s="1">
        <v>10181.16</v>
      </c>
      <c r="O4272" s="1" t="s">
        <v>33</v>
      </c>
      <c r="P4272" s="1" t="s">
        <v>283</v>
      </c>
      <c r="Q4272" s="1">
        <v>4</v>
      </c>
      <c r="R4272" s="1">
        <f>Retail_Sales_Analyis[[#This Row],[Final_Price]]-Retail_Sales_Analyis[[#This Row],[Total_Price]]</f>
        <v>-1796.6800000000003</v>
      </c>
      <c r="S42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73" spans="1:19" x14ac:dyDescent="0.25">
      <c r="A4273" s="1" t="s">
        <v>5401</v>
      </c>
      <c r="B4273" s="2">
        <v>45617</v>
      </c>
      <c r="C4273" s="1" t="s">
        <v>18</v>
      </c>
      <c r="D4273" s="1" t="s">
        <v>67</v>
      </c>
      <c r="E4273" s="1" t="s">
        <v>111</v>
      </c>
      <c r="F4273" s="1" t="s">
        <v>21</v>
      </c>
      <c r="G4273" s="1" t="s">
        <v>85</v>
      </c>
      <c r="H4273" s="1" t="s">
        <v>86</v>
      </c>
      <c r="I4273" s="1">
        <v>4196.66</v>
      </c>
      <c r="J4273" s="1">
        <v>6</v>
      </c>
      <c r="K4273" s="1">
        <v>25179.96</v>
      </c>
      <c r="L4273" s="1">
        <v>10</v>
      </c>
      <c r="M4273" s="1">
        <v>2518</v>
      </c>
      <c r="N4273" s="1">
        <v>22661.96</v>
      </c>
      <c r="O4273" s="1" t="s">
        <v>33</v>
      </c>
      <c r="P4273" s="1" t="s">
        <v>697</v>
      </c>
      <c r="Q4273" s="1">
        <v>3</v>
      </c>
      <c r="R4273" s="1">
        <f>Retail_Sales_Analyis[[#This Row],[Final_Price]]-Retail_Sales_Analyis[[#This Row],[Total_Price]]</f>
        <v>-2518</v>
      </c>
      <c r="S42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74" spans="1:19" x14ac:dyDescent="0.25">
      <c r="A4274" s="1" t="s">
        <v>5402</v>
      </c>
      <c r="B4274" s="2">
        <v>45337</v>
      </c>
      <c r="C4274" s="1" t="s">
        <v>27</v>
      </c>
      <c r="D4274" s="1" t="s">
        <v>67</v>
      </c>
      <c r="E4274" s="1" t="s">
        <v>151</v>
      </c>
      <c r="F4274" s="1" t="s">
        <v>37</v>
      </c>
      <c r="G4274" s="1" t="s">
        <v>169</v>
      </c>
      <c r="H4274" s="1" t="s">
        <v>208</v>
      </c>
      <c r="I4274" s="1">
        <v>659.47</v>
      </c>
      <c r="J4274" s="1">
        <v>10</v>
      </c>
      <c r="K4274" s="1">
        <v>6594.7</v>
      </c>
      <c r="L4274" s="1">
        <v>5</v>
      </c>
      <c r="M4274" s="1">
        <v>329.74</v>
      </c>
      <c r="N4274" s="1">
        <v>6264.96</v>
      </c>
      <c r="O4274" s="1" t="s">
        <v>80</v>
      </c>
      <c r="P4274" s="1" t="s">
        <v>369</v>
      </c>
      <c r="Q4274" s="1">
        <v>1</v>
      </c>
      <c r="R4274" s="1">
        <f>Retail_Sales_Analyis[[#This Row],[Final_Price]]-Retail_Sales_Analyis[[#This Row],[Total_Price]]</f>
        <v>-329.73999999999978</v>
      </c>
      <c r="S42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75" spans="1:19" x14ac:dyDescent="0.25">
      <c r="A4275" s="1" t="s">
        <v>5403</v>
      </c>
      <c r="B4275" s="2">
        <v>45654</v>
      </c>
      <c r="C4275" s="1" t="s">
        <v>73</v>
      </c>
      <c r="D4275" s="1" t="s">
        <v>19</v>
      </c>
      <c r="E4275" s="1" t="s">
        <v>261</v>
      </c>
      <c r="F4275" s="1" t="s">
        <v>37</v>
      </c>
      <c r="G4275" s="1" t="s">
        <v>31</v>
      </c>
      <c r="H4275" s="1" t="s">
        <v>329</v>
      </c>
      <c r="I4275" s="1">
        <v>333.3</v>
      </c>
      <c r="J4275" s="1">
        <v>3</v>
      </c>
      <c r="K4275" s="1">
        <v>999.9</v>
      </c>
      <c r="L4275" s="1">
        <v>20</v>
      </c>
      <c r="M4275" s="1">
        <v>199.98</v>
      </c>
      <c r="N4275" s="1">
        <v>799.92</v>
      </c>
      <c r="O4275" s="1" t="s">
        <v>80</v>
      </c>
      <c r="P4275" s="1" t="s">
        <v>303</v>
      </c>
      <c r="Q4275" s="1">
        <v>1</v>
      </c>
      <c r="R4275" s="1">
        <f>Retail_Sales_Analyis[[#This Row],[Final_Price]]-Retail_Sales_Analyis[[#This Row],[Total_Price]]</f>
        <v>-199.98000000000002</v>
      </c>
      <c r="S42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76" spans="1:19" x14ac:dyDescent="0.25">
      <c r="A4276" s="1" t="s">
        <v>5404</v>
      </c>
      <c r="B4276" s="2">
        <v>45635</v>
      </c>
      <c r="C4276" s="1" t="s">
        <v>73</v>
      </c>
      <c r="D4276" s="1" t="s">
        <v>43</v>
      </c>
      <c r="E4276" s="1" t="s">
        <v>174</v>
      </c>
      <c r="F4276" s="1" t="s">
        <v>69</v>
      </c>
      <c r="G4276" s="1" t="s">
        <v>112</v>
      </c>
      <c r="H4276" s="1" t="s">
        <v>288</v>
      </c>
      <c r="I4276" s="1">
        <v>1763.55</v>
      </c>
      <c r="J4276" s="1">
        <v>7</v>
      </c>
      <c r="K4276" s="1">
        <v>12344.85</v>
      </c>
      <c r="L4276" s="1">
        <v>5</v>
      </c>
      <c r="M4276" s="1">
        <v>617.24</v>
      </c>
      <c r="N4276" s="1">
        <v>11727.61</v>
      </c>
      <c r="O4276" s="1" t="s">
        <v>33</v>
      </c>
      <c r="P4276" s="1" t="s">
        <v>877</v>
      </c>
      <c r="Q4276" s="1">
        <v>5</v>
      </c>
      <c r="R4276" s="1">
        <f>Retail_Sales_Analyis[[#This Row],[Final_Price]]-Retail_Sales_Analyis[[#This Row],[Total_Price]]</f>
        <v>-617.23999999999978</v>
      </c>
      <c r="S42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77" spans="1:19" x14ac:dyDescent="0.25">
      <c r="A4277" s="1" t="s">
        <v>5405</v>
      </c>
      <c r="B4277" s="2">
        <v>45619</v>
      </c>
      <c r="C4277" s="1" t="s">
        <v>18</v>
      </c>
      <c r="D4277" s="1" t="s">
        <v>19</v>
      </c>
      <c r="E4277" s="1" t="s">
        <v>94</v>
      </c>
      <c r="F4277" s="1" t="s">
        <v>21</v>
      </c>
      <c r="G4277" s="1" t="s">
        <v>38</v>
      </c>
      <c r="H4277" s="1" t="s">
        <v>108</v>
      </c>
      <c r="I4277" s="1">
        <v>206.09</v>
      </c>
      <c r="J4277" s="1">
        <v>2</v>
      </c>
      <c r="K4277" s="1">
        <v>412.18</v>
      </c>
      <c r="L4277" s="1">
        <v>5</v>
      </c>
      <c r="M4277" s="1">
        <v>20.61</v>
      </c>
      <c r="N4277" s="1">
        <v>391.57</v>
      </c>
      <c r="O4277" s="1" t="s">
        <v>24</v>
      </c>
      <c r="P4277" s="1" t="s">
        <v>1109</v>
      </c>
      <c r="Q4277" s="1">
        <v>2</v>
      </c>
      <c r="R4277" s="1">
        <f>Retail_Sales_Analyis[[#This Row],[Final_Price]]-Retail_Sales_Analyis[[#This Row],[Total_Price]]</f>
        <v>-20.610000000000014</v>
      </c>
      <c r="S42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78" spans="1:19" x14ac:dyDescent="0.25">
      <c r="A4278" s="1" t="s">
        <v>5406</v>
      </c>
      <c r="B4278" s="2">
        <v>45463</v>
      </c>
      <c r="C4278" s="1" t="s">
        <v>173</v>
      </c>
      <c r="D4278" s="1" t="s">
        <v>67</v>
      </c>
      <c r="E4278" s="1" t="s">
        <v>107</v>
      </c>
      <c r="F4278" s="1" t="s">
        <v>30</v>
      </c>
      <c r="G4278" s="1" t="s">
        <v>22</v>
      </c>
      <c r="H4278" s="1" t="s">
        <v>51</v>
      </c>
      <c r="I4278" s="1">
        <v>600.36</v>
      </c>
      <c r="J4278" s="1">
        <v>4</v>
      </c>
      <c r="K4278" s="1">
        <v>2401.44</v>
      </c>
      <c r="L4278" s="1">
        <v>20</v>
      </c>
      <c r="M4278" s="1">
        <v>480.29</v>
      </c>
      <c r="N4278" s="1">
        <v>1921.15</v>
      </c>
      <c r="O4278" s="1" t="s">
        <v>24</v>
      </c>
      <c r="P4278" s="1" t="s">
        <v>564</v>
      </c>
      <c r="Q4278" s="1">
        <v>2</v>
      </c>
      <c r="R4278" s="1">
        <f>Retail_Sales_Analyis[[#This Row],[Final_Price]]-Retail_Sales_Analyis[[#This Row],[Total_Price]]</f>
        <v>-480.28999999999996</v>
      </c>
      <c r="S42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79" spans="1:19" x14ac:dyDescent="0.25">
      <c r="A4279" s="1" t="s">
        <v>5407</v>
      </c>
      <c r="B4279" s="2">
        <v>45520</v>
      </c>
      <c r="C4279" s="1" t="s">
        <v>93</v>
      </c>
      <c r="D4279" s="1" t="s">
        <v>144</v>
      </c>
      <c r="E4279" s="1" t="s">
        <v>166</v>
      </c>
      <c r="F4279" s="1" t="s">
        <v>84</v>
      </c>
      <c r="G4279" s="1" t="s">
        <v>57</v>
      </c>
      <c r="H4279" s="1" t="s">
        <v>58</v>
      </c>
      <c r="I4279" s="1">
        <v>2804.66</v>
      </c>
      <c r="J4279" s="1">
        <v>10</v>
      </c>
      <c r="K4279" s="1">
        <v>28046.6</v>
      </c>
      <c r="L4279" s="1">
        <v>0</v>
      </c>
      <c r="M4279" s="1">
        <v>0</v>
      </c>
      <c r="N4279" s="1">
        <v>28046.6</v>
      </c>
      <c r="O4279" s="1" t="s">
        <v>64</v>
      </c>
      <c r="P4279" s="1" t="s">
        <v>5408</v>
      </c>
      <c r="Q4279" s="1">
        <v>3</v>
      </c>
      <c r="R4279" s="1">
        <f>Retail_Sales_Analyis[[#This Row],[Final_Price]]-Retail_Sales_Analyis[[#This Row],[Total_Price]]</f>
        <v>0</v>
      </c>
      <c r="S42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80" spans="1:19" x14ac:dyDescent="0.25">
      <c r="A4280" s="1" t="s">
        <v>5409</v>
      </c>
      <c r="B4280" s="2">
        <v>45297</v>
      </c>
      <c r="C4280" s="1" t="s">
        <v>36</v>
      </c>
      <c r="D4280" s="1" t="s">
        <v>19</v>
      </c>
      <c r="E4280" s="1" t="s">
        <v>117</v>
      </c>
      <c r="F4280" s="1" t="s">
        <v>37</v>
      </c>
      <c r="G4280" s="1" t="s">
        <v>22</v>
      </c>
      <c r="H4280" s="1" t="s">
        <v>51</v>
      </c>
      <c r="I4280" s="1">
        <v>365.5</v>
      </c>
      <c r="J4280" s="1">
        <v>1</v>
      </c>
      <c r="K4280" s="1">
        <v>365.5</v>
      </c>
      <c r="L4280" s="1">
        <v>5</v>
      </c>
      <c r="M4280" s="1">
        <v>18.28</v>
      </c>
      <c r="N4280" s="1">
        <v>347.22</v>
      </c>
      <c r="O4280" s="1" t="s">
        <v>80</v>
      </c>
      <c r="P4280" s="1" t="s">
        <v>2315</v>
      </c>
      <c r="Q4280" s="1">
        <v>1</v>
      </c>
      <c r="R4280" s="1">
        <f>Retail_Sales_Analyis[[#This Row],[Final_Price]]-Retail_Sales_Analyis[[#This Row],[Total_Price]]</f>
        <v>-18.279999999999973</v>
      </c>
      <c r="S428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81" spans="1:19" x14ac:dyDescent="0.25">
      <c r="A4281" s="1" t="s">
        <v>5410</v>
      </c>
      <c r="B4281" s="2">
        <v>45427</v>
      </c>
      <c r="C4281" s="1" t="s">
        <v>42</v>
      </c>
      <c r="D4281" s="1" t="s">
        <v>55</v>
      </c>
      <c r="E4281" s="1" t="s">
        <v>56</v>
      </c>
      <c r="F4281" s="1" t="s">
        <v>69</v>
      </c>
      <c r="G4281" s="1" t="s">
        <v>31</v>
      </c>
      <c r="H4281" s="1" t="s">
        <v>250</v>
      </c>
      <c r="I4281" s="1">
        <v>285.17</v>
      </c>
      <c r="J4281" s="1">
        <v>4</v>
      </c>
      <c r="K4281" s="1">
        <v>1140.68</v>
      </c>
      <c r="L4281" s="1">
        <v>15</v>
      </c>
      <c r="M4281" s="1">
        <v>171.1</v>
      </c>
      <c r="N4281" s="1">
        <v>969.58</v>
      </c>
      <c r="O4281" s="1" t="s">
        <v>80</v>
      </c>
      <c r="P4281" s="1" t="s">
        <v>1415</v>
      </c>
      <c r="Q4281" s="1">
        <v>3</v>
      </c>
      <c r="R4281" s="1">
        <f>Retail_Sales_Analyis[[#This Row],[Final_Price]]-Retail_Sales_Analyis[[#This Row],[Total_Price]]</f>
        <v>-171.10000000000002</v>
      </c>
      <c r="S42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82" spans="1:19" x14ac:dyDescent="0.25">
      <c r="A4282" s="1" t="s">
        <v>5411</v>
      </c>
      <c r="B4282" s="2">
        <v>45399</v>
      </c>
      <c r="C4282" s="1" t="s">
        <v>54</v>
      </c>
      <c r="D4282" s="1" t="s">
        <v>55</v>
      </c>
      <c r="E4282" s="1" t="s">
        <v>168</v>
      </c>
      <c r="F4282" s="1" t="s">
        <v>84</v>
      </c>
      <c r="G4282" s="1" t="s">
        <v>22</v>
      </c>
      <c r="H4282" s="1" t="s">
        <v>133</v>
      </c>
      <c r="I4282" s="1">
        <v>346.73</v>
      </c>
      <c r="J4282" s="1">
        <v>7</v>
      </c>
      <c r="K4282" s="1">
        <v>2427.11</v>
      </c>
      <c r="L4282" s="1">
        <v>0</v>
      </c>
      <c r="M4282" s="1">
        <v>0</v>
      </c>
      <c r="N4282" s="1">
        <v>2427.11</v>
      </c>
      <c r="O4282" s="1" t="s">
        <v>46</v>
      </c>
      <c r="P4282" s="1" t="s">
        <v>3299</v>
      </c>
      <c r="Q4282" s="1">
        <v>5</v>
      </c>
      <c r="R4282" s="1">
        <f>Retail_Sales_Analyis[[#This Row],[Final_Price]]-Retail_Sales_Analyis[[#This Row],[Total_Price]]</f>
        <v>0</v>
      </c>
      <c r="S42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83" spans="1:19" x14ac:dyDescent="0.25">
      <c r="A4283" s="1" t="s">
        <v>5412</v>
      </c>
      <c r="B4283" s="2">
        <v>45419</v>
      </c>
      <c r="C4283" s="1" t="s">
        <v>42</v>
      </c>
      <c r="D4283" s="1" t="s">
        <v>28</v>
      </c>
      <c r="E4283" s="1" t="s">
        <v>62</v>
      </c>
      <c r="F4283" s="1" t="s">
        <v>69</v>
      </c>
      <c r="G4283" s="1" t="s">
        <v>22</v>
      </c>
      <c r="H4283" s="1" t="s">
        <v>23</v>
      </c>
      <c r="I4283" s="1">
        <v>285.85000000000002</v>
      </c>
      <c r="J4283" s="1">
        <v>10</v>
      </c>
      <c r="K4283" s="1">
        <v>2858.5</v>
      </c>
      <c r="L4283" s="1">
        <v>5</v>
      </c>
      <c r="M4283" s="1">
        <v>142.93</v>
      </c>
      <c r="N4283" s="1">
        <v>2715.57</v>
      </c>
      <c r="O4283" s="1" t="s">
        <v>64</v>
      </c>
      <c r="P4283" s="1" t="s">
        <v>680</v>
      </c>
      <c r="Q4283" s="1">
        <v>4</v>
      </c>
      <c r="R4283" s="1">
        <f>Retail_Sales_Analyis[[#This Row],[Final_Price]]-Retail_Sales_Analyis[[#This Row],[Total_Price]]</f>
        <v>-142.92999999999984</v>
      </c>
      <c r="S42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284" spans="1:19" x14ac:dyDescent="0.25">
      <c r="A4284" s="1" t="s">
        <v>5413</v>
      </c>
      <c r="B4284" s="2">
        <v>45646</v>
      </c>
      <c r="C4284" s="1" t="s">
        <v>73</v>
      </c>
      <c r="D4284" s="1" t="s">
        <v>144</v>
      </c>
      <c r="E4284" s="1" t="s">
        <v>328</v>
      </c>
      <c r="F4284" s="1" t="s">
        <v>84</v>
      </c>
      <c r="G4284" s="1" t="s">
        <v>38</v>
      </c>
      <c r="H4284" s="1" t="s">
        <v>422</v>
      </c>
      <c r="I4284" s="1">
        <v>256.08</v>
      </c>
      <c r="J4284" s="1">
        <v>1</v>
      </c>
      <c r="K4284" s="1">
        <v>256.08</v>
      </c>
      <c r="L4284" s="1">
        <v>10</v>
      </c>
      <c r="M4284" s="1">
        <v>25.61</v>
      </c>
      <c r="N4284" s="1">
        <v>230.47</v>
      </c>
      <c r="O4284" s="1" t="s">
        <v>46</v>
      </c>
      <c r="P4284" s="1" t="s">
        <v>1098</v>
      </c>
      <c r="Q4284" s="1">
        <v>1</v>
      </c>
      <c r="R4284" s="1">
        <f>Retail_Sales_Analyis[[#This Row],[Final_Price]]-Retail_Sales_Analyis[[#This Row],[Total_Price]]</f>
        <v>-25.609999999999985</v>
      </c>
      <c r="S42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85" spans="1:19" x14ac:dyDescent="0.25">
      <c r="A4285" s="1" t="s">
        <v>5414</v>
      </c>
      <c r="B4285" s="2">
        <v>45326</v>
      </c>
      <c r="C4285" s="1" t="s">
        <v>27</v>
      </c>
      <c r="D4285" s="1" t="s">
        <v>49</v>
      </c>
      <c r="E4285" s="1" t="s">
        <v>20</v>
      </c>
      <c r="F4285" s="1" t="s">
        <v>69</v>
      </c>
      <c r="G4285" s="1" t="s">
        <v>78</v>
      </c>
      <c r="H4285" s="1" t="s">
        <v>136</v>
      </c>
      <c r="I4285" s="1">
        <v>549.9</v>
      </c>
      <c r="J4285" s="1">
        <v>7</v>
      </c>
      <c r="K4285" s="1">
        <v>3849.3</v>
      </c>
      <c r="L4285" s="1">
        <v>0</v>
      </c>
      <c r="M4285" s="1">
        <v>0</v>
      </c>
      <c r="N4285" s="1">
        <v>3849.3</v>
      </c>
      <c r="O4285" s="1" t="s">
        <v>24</v>
      </c>
      <c r="P4285" s="1" t="s">
        <v>1979</v>
      </c>
      <c r="Q4285" s="1">
        <v>1</v>
      </c>
      <c r="R4285" s="1">
        <f>Retail_Sales_Analyis[[#This Row],[Final_Price]]-Retail_Sales_Analyis[[#This Row],[Total_Price]]</f>
        <v>0</v>
      </c>
      <c r="S42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86" spans="1:19" x14ac:dyDescent="0.25">
      <c r="A4286" s="1" t="s">
        <v>5415</v>
      </c>
      <c r="B4286" s="2">
        <v>45471</v>
      </c>
      <c r="C4286" s="1" t="s">
        <v>173</v>
      </c>
      <c r="D4286" s="1" t="s">
        <v>144</v>
      </c>
      <c r="E4286" s="1" t="s">
        <v>285</v>
      </c>
      <c r="F4286" s="1" t="s">
        <v>37</v>
      </c>
      <c r="G4286" s="1" t="s">
        <v>22</v>
      </c>
      <c r="H4286" s="1" t="s">
        <v>23</v>
      </c>
      <c r="I4286" s="1">
        <v>768.81</v>
      </c>
      <c r="J4286" s="1">
        <v>2</v>
      </c>
      <c r="K4286" s="1">
        <v>1537.62</v>
      </c>
      <c r="L4286" s="1">
        <v>20</v>
      </c>
      <c r="M4286" s="1">
        <v>307.52</v>
      </c>
      <c r="N4286" s="1">
        <v>1230.0999999999999</v>
      </c>
      <c r="O4286" s="1" t="s">
        <v>24</v>
      </c>
      <c r="P4286" s="1" t="s">
        <v>119</v>
      </c>
      <c r="Q4286" s="1">
        <v>3</v>
      </c>
      <c r="R4286" s="1">
        <f>Retail_Sales_Analyis[[#This Row],[Final_Price]]-Retail_Sales_Analyis[[#This Row],[Total_Price]]</f>
        <v>-307.52</v>
      </c>
      <c r="S42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87" spans="1:19" x14ac:dyDescent="0.25">
      <c r="A4287" s="1" t="s">
        <v>5416</v>
      </c>
      <c r="B4287" s="2">
        <v>45423</v>
      </c>
      <c r="C4287" s="1" t="s">
        <v>42</v>
      </c>
      <c r="D4287" s="1" t="s">
        <v>19</v>
      </c>
      <c r="E4287" s="1" t="s">
        <v>213</v>
      </c>
      <c r="F4287" s="1" t="s">
        <v>37</v>
      </c>
      <c r="G4287" s="1" t="s">
        <v>38</v>
      </c>
      <c r="H4287" s="1" t="s">
        <v>39</v>
      </c>
      <c r="I4287" s="1">
        <v>411.73</v>
      </c>
      <c r="J4287" s="1">
        <v>8</v>
      </c>
      <c r="K4287" s="1">
        <v>3293.84</v>
      </c>
      <c r="L4287" s="1">
        <v>20</v>
      </c>
      <c r="M4287" s="1">
        <v>658.77</v>
      </c>
      <c r="N4287" s="1">
        <v>2635.07</v>
      </c>
      <c r="O4287" s="1" t="s">
        <v>24</v>
      </c>
      <c r="P4287" s="1" t="s">
        <v>1172</v>
      </c>
      <c r="Q4287" s="1">
        <v>3</v>
      </c>
      <c r="R4287" s="1">
        <f>Retail_Sales_Analyis[[#This Row],[Final_Price]]-Retail_Sales_Analyis[[#This Row],[Total_Price]]</f>
        <v>-658.77</v>
      </c>
      <c r="S42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88" spans="1:19" x14ac:dyDescent="0.25">
      <c r="A4288" s="1" t="s">
        <v>5417</v>
      </c>
      <c r="B4288" s="2">
        <v>45347</v>
      </c>
      <c r="C4288" s="1" t="s">
        <v>27</v>
      </c>
      <c r="D4288" s="1" t="s">
        <v>49</v>
      </c>
      <c r="E4288" s="1" t="s">
        <v>89</v>
      </c>
      <c r="F4288" s="1" t="s">
        <v>69</v>
      </c>
      <c r="G4288" s="1" t="s">
        <v>57</v>
      </c>
      <c r="H4288" s="1" t="s">
        <v>158</v>
      </c>
      <c r="I4288" s="1">
        <v>2342.41</v>
      </c>
      <c r="J4288" s="1">
        <v>4</v>
      </c>
      <c r="K4288" s="1">
        <v>9369.64</v>
      </c>
      <c r="L4288" s="1">
        <v>20</v>
      </c>
      <c r="M4288" s="1">
        <v>1873.93</v>
      </c>
      <c r="N4288" s="1">
        <v>7495.71</v>
      </c>
      <c r="O4288" s="1" t="s">
        <v>33</v>
      </c>
      <c r="P4288" s="1" t="s">
        <v>197</v>
      </c>
      <c r="Q4288" s="1">
        <v>2</v>
      </c>
      <c r="R4288" s="1">
        <f>Retail_Sales_Analyis[[#This Row],[Final_Price]]-Retail_Sales_Analyis[[#This Row],[Total_Price]]</f>
        <v>-1873.9299999999994</v>
      </c>
      <c r="S42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89" spans="1:19" x14ac:dyDescent="0.25">
      <c r="A4289" s="1" t="s">
        <v>5418</v>
      </c>
      <c r="B4289" s="2">
        <v>45292</v>
      </c>
      <c r="C4289" s="1" t="s">
        <v>36</v>
      </c>
      <c r="D4289" s="1" t="s">
        <v>43</v>
      </c>
      <c r="E4289" s="1" t="s">
        <v>132</v>
      </c>
      <c r="F4289" s="1" t="s">
        <v>84</v>
      </c>
      <c r="G4289" s="1" t="s">
        <v>85</v>
      </c>
      <c r="H4289" s="1" t="s">
        <v>86</v>
      </c>
      <c r="I4289" s="1">
        <v>4687.6499999999996</v>
      </c>
      <c r="J4289" s="1">
        <v>3</v>
      </c>
      <c r="K4289" s="1">
        <v>14062.95</v>
      </c>
      <c r="L4289" s="1">
        <v>20</v>
      </c>
      <c r="M4289" s="1">
        <v>2812.59</v>
      </c>
      <c r="N4289" s="1">
        <v>11250.36</v>
      </c>
      <c r="O4289" s="1" t="s">
        <v>80</v>
      </c>
      <c r="P4289" s="1" t="s">
        <v>1462</v>
      </c>
      <c r="Q4289" s="1">
        <v>3</v>
      </c>
      <c r="R4289" s="1">
        <f>Retail_Sales_Analyis[[#This Row],[Final_Price]]-Retail_Sales_Analyis[[#This Row],[Total_Price]]</f>
        <v>-2812.59</v>
      </c>
      <c r="S428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90" spans="1:19" x14ac:dyDescent="0.25">
      <c r="A4290" s="1" t="s">
        <v>5419</v>
      </c>
      <c r="B4290" s="2">
        <v>45316</v>
      </c>
      <c r="C4290" s="1" t="s">
        <v>36</v>
      </c>
      <c r="D4290" s="1" t="s">
        <v>67</v>
      </c>
      <c r="E4290" s="1" t="s">
        <v>139</v>
      </c>
      <c r="F4290" s="1" t="s">
        <v>84</v>
      </c>
      <c r="G4290" s="1" t="s">
        <v>31</v>
      </c>
      <c r="H4290" s="1" t="s">
        <v>32</v>
      </c>
      <c r="I4290" s="1">
        <v>260.97000000000003</v>
      </c>
      <c r="J4290" s="1">
        <v>1</v>
      </c>
      <c r="K4290" s="1">
        <v>260.97000000000003</v>
      </c>
      <c r="L4290" s="1">
        <v>0</v>
      </c>
      <c r="M4290" s="1">
        <v>0</v>
      </c>
      <c r="N4290" s="1">
        <v>260.97000000000003</v>
      </c>
      <c r="O4290" s="1" t="s">
        <v>46</v>
      </c>
      <c r="P4290" s="1" t="s">
        <v>1793</v>
      </c>
      <c r="Q4290" s="1">
        <v>3</v>
      </c>
      <c r="R4290" s="1">
        <f>Retail_Sales_Analyis[[#This Row],[Final_Price]]-Retail_Sales_Analyis[[#This Row],[Total_Price]]</f>
        <v>0</v>
      </c>
      <c r="S42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1" spans="1:19" x14ac:dyDescent="0.25">
      <c r="A4291" s="1" t="s">
        <v>5420</v>
      </c>
      <c r="B4291" s="2">
        <v>45489</v>
      </c>
      <c r="C4291" s="1" t="s">
        <v>195</v>
      </c>
      <c r="D4291" s="1" t="s">
        <v>28</v>
      </c>
      <c r="E4291" s="1" t="s">
        <v>121</v>
      </c>
      <c r="F4291" s="1" t="s">
        <v>84</v>
      </c>
      <c r="G4291" s="1" t="s">
        <v>112</v>
      </c>
      <c r="H4291" s="1" t="s">
        <v>288</v>
      </c>
      <c r="I4291" s="1">
        <v>633.76</v>
      </c>
      <c r="J4291" s="1">
        <v>3</v>
      </c>
      <c r="K4291" s="1">
        <v>1901.28</v>
      </c>
      <c r="L4291" s="1">
        <v>15</v>
      </c>
      <c r="M4291" s="1">
        <v>285.19</v>
      </c>
      <c r="N4291" s="1">
        <v>1616.09</v>
      </c>
      <c r="O4291" s="1" t="s">
        <v>80</v>
      </c>
      <c r="P4291" s="1" t="s">
        <v>734</v>
      </c>
      <c r="Q4291" s="1">
        <v>5</v>
      </c>
      <c r="R4291" s="1">
        <f>Retail_Sales_Analyis[[#This Row],[Final_Price]]-Retail_Sales_Analyis[[#This Row],[Total_Price]]</f>
        <v>-285.19000000000005</v>
      </c>
      <c r="S42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292" spans="1:19" x14ac:dyDescent="0.25">
      <c r="A4292" s="1" t="s">
        <v>5421</v>
      </c>
      <c r="B4292" s="2">
        <v>45516</v>
      </c>
      <c r="C4292" s="1" t="s">
        <v>93</v>
      </c>
      <c r="D4292" s="1" t="s">
        <v>43</v>
      </c>
      <c r="E4292" s="1" t="s">
        <v>111</v>
      </c>
      <c r="F4292" s="1" t="s">
        <v>21</v>
      </c>
      <c r="G4292" s="1" t="s">
        <v>169</v>
      </c>
      <c r="H4292" s="1" t="s">
        <v>175</v>
      </c>
      <c r="I4292" s="1">
        <v>650.92999999999995</v>
      </c>
      <c r="J4292" s="1">
        <v>9</v>
      </c>
      <c r="K4292" s="1">
        <v>5858.37</v>
      </c>
      <c r="L4292" s="1">
        <v>0</v>
      </c>
      <c r="M4292" s="1">
        <v>0</v>
      </c>
      <c r="N4292" s="1">
        <v>5858.37</v>
      </c>
      <c r="O4292" s="1" t="s">
        <v>33</v>
      </c>
      <c r="P4292" s="1" t="s">
        <v>2859</v>
      </c>
      <c r="Q4292" s="1">
        <v>1</v>
      </c>
      <c r="R4292" s="1">
        <f>Retail_Sales_Analyis[[#This Row],[Final_Price]]-Retail_Sales_Analyis[[#This Row],[Total_Price]]</f>
        <v>0</v>
      </c>
      <c r="S42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3" spans="1:19" x14ac:dyDescent="0.25">
      <c r="A4293" s="1" t="s">
        <v>5422</v>
      </c>
      <c r="B4293" s="2">
        <v>45506</v>
      </c>
      <c r="C4293" s="1" t="s">
        <v>93</v>
      </c>
      <c r="D4293" s="1" t="s">
        <v>144</v>
      </c>
      <c r="E4293" s="1" t="s">
        <v>213</v>
      </c>
      <c r="F4293" s="1" t="s">
        <v>84</v>
      </c>
      <c r="G4293" s="1" t="s">
        <v>57</v>
      </c>
      <c r="H4293" s="1" t="s">
        <v>101</v>
      </c>
      <c r="I4293" s="1">
        <v>2372.6</v>
      </c>
      <c r="J4293" s="1">
        <v>2</v>
      </c>
      <c r="K4293" s="1">
        <v>4745.2</v>
      </c>
      <c r="L4293" s="1">
        <v>0</v>
      </c>
      <c r="M4293" s="1">
        <v>0</v>
      </c>
      <c r="N4293" s="1">
        <v>4745.2</v>
      </c>
      <c r="O4293" s="1" t="s">
        <v>64</v>
      </c>
      <c r="P4293" s="1" t="s">
        <v>713</v>
      </c>
      <c r="Q4293" s="1">
        <v>4</v>
      </c>
      <c r="R4293" s="1">
        <f>Retail_Sales_Analyis[[#This Row],[Final_Price]]-Retail_Sales_Analyis[[#This Row],[Total_Price]]</f>
        <v>0</v>
      </c>
      <c r="S42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4" spans="1:19" x14ac:dyDescent="0.25">
      <c r="A4294" s="1" t="s">
        <v>5423</v>
      </c>
      <c r="B4294" s="2">
        <v>45377</v>
      </c>
      <c r="C4294" s="1" t="s">
        <v>61</v>
      </c>
      <c r="D4294" s="1" t="s">
        <v>28</v>
      </c>
      <c r="E4294" s="1" t="s">
        <v>174</v>
      </c>
      <c r="F4294" s="1" t="s">
        <v>84</v>
      </c>
      <c r="G4294" s="1" t="s">
        <v>31</v>
      </c>
      <c r="H4294" s="1" t="s">
        <v>63</v>
      </c>
      <c r="I4294" s="1">
        <v>239.31</v>
      </c>
      <c r="J4294" s="1">
        <v>3</v>
      </c>
      <c r="K4294" s="1">
        <v>717.93</v>
      </c>
      <c r="L4294" s="1">
        <v>0</v>
      </c>
      <c r="M4294" s="1">
        <v>0</v>
      </c>
      <c r="N4294" s="1">
        <v>717.93</v>
      </c>
      <c r="O4294" s="1" t="s">
        <v>64</v>
      </c>
      <c r="P4294" s="1" t="s">
        <v>945</v>
      </c>
      <c r="Q4294" s="1">
        <v>4</v>
      </c>
      <c r="R4294" s="1">
        <f>Retail_Sales_Analyis[[#This Row],[Final_Price]]-Retail_Sales_Analyis[[#This Row],[Total_Price]]</f>
        <v>0</v>
      </c>
      <c r="S42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5" spans="1:19" x14ac:dyDescent="0.25">
      <c r="A4295" s="1" t="s">
        <v>5424</v>
      </c>
      <c r="B4295" s="2">
        <v>45503</v>
      </c>
      <c r="C4295" s="1" t="s">
        <v>195</v>
      </c>
      <c r="D4295" s="1" t="s">
        <v>28</v>
      </c>
      <c r="E4295" s="1" t="s">
        <v>192</v>
      </c>
      <c r="F4295" s="1" t="s">
        <v>84</v>
      </c>
      <c r="G4295" s="1" t="s">
        <v>38</v>
      </c>
      <c r="H4295" s="1" t="s">
        <v>39</v>
      </c>
      <c r="I4295" s="1">
        <v>351.79</v>
      </c>
      <c r="J4295" s="1">
        <v>8</v>
      </c>
      <c r="K4295" s="1">
        <v>2814.32</v>
      </c>
      <c r="L4295" s="1">
        <v>0</v>
      </c>
      <c r="M4295" s="1">
        <v>0</v>
      </c>
      <c r="N4295" s="1">
        <v>2814.32</v>
      </c>
      <c r="O4295" s="1" t="s">
        <v>64</v>
      </c>
      <c r="P4295" s="1" t="s">
        <v>926</v>
      </c>
      <c r="Q4295" s="1">
        <v>5</v>
      </c>
      <c r="R4295" s="1">
        <f>Retail_Sales_Analyis[[#This Row],[Final_Price]]-Retail_Sales_Analyis[[#This Row],[Total_Price]]</f>
        <v>0</v>
      </c>
      <c r="S42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6" spans="1:19" x14ac:dyDescent="0.25">
      <c r="A4296" s="1" t="s">
        <v>5425</v>
      </c>
      <c r="B4296" s="2">
        <v>45544</v>
      </c>
      <c r="C4296" s="1" t="s">
        <v>116</v>
      </c>
      <c r="D4296" s="1" t="s">
        <v>43</v>
      </c>
      <c r="E4296" s="1" t="s">
        <v>83</v>
      </c>
      <c r="F4296" s="1" t="s">
        <v>69</v>
      </c>
      <c r="G4296" s="1" t="s">
        <v>85</v>
      </c>
      <c r="H4296" s="1" t="s">
        <v>180</v>
      </c>
      <c r="I4296" s="1">
        <v>1252.5</v>
      </c>
      <c r="J4296" s="1">
        <v>10</v>
      </c>
      <c r="K4296" s="1">
        <v>12525</v>
      </c>
      <c r="L4296" s="1">
        <v>0</v>
      </c>
      <c r="M4296" s="1">
        <v>0</v>
      </c>
      <c r="N4296" s="1">
        <v>12525</v>
      </c>
      <c r="O4296" s="1" t="s">
        <v>33</v>
      </c>
      <c r="P4296" s="1" t="s">
        <v>2755</v>
      </c>
      <c r="Q4296" s="1">
        <v>1</v>
      </c>
      <c r="R4296" s="1">
        <f>Retail_Sales_Analyis[[#This Row],[Final_Price]]-Retail_Sales_Analyis[[#This Row],[Total_Price]]</f>
        <v>0</v>
      </c>
      <c r="S42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7" spans="1:19" x14ac:dyDescent="0.25">
      <c r="A4297" s="1" t="s">
        <v>5426</v>
      </c>
      <c r="B4297" s="2">
        <v>45485</v>
      </c>
      <c r="C4297" s="1" t="s">
        <v>195</v>
      </c>
      <c r="D4297" s="1" t="s">
        <v>144</v>
      </c>
      <c r="E4297" s="1" t="s">
        <v>307</v>
      </c>
      <c r="F4297" s="1" t="s">
        <v>21</v>
      </c>
      <c r="G4297" s="1" t="s">
        <v>78</v>
      </c>
      <c r="H4297" s="1" t="s">
        <v>323</v>
      </c>
      <c r="I4297" s="1">
        <v>401.09</v>
      </c>
      <c r="J4297" s="1">
        <v>3</v>
      </c>
      <c r="K4297" s="1">
        <v>1203.27</v>
      </c>
      <c r="L4297" s="1">
        <v>0</v>
      </c>
      <c r="M4297" s="1">
        <v>0</v>
      </c>
      <c r="N4297" s="1">
        <v>1203.27</v>
      </c>
      <c r="O4297" s="1" t="s">
        <v>64</v>
      </c>
      <c r="P4297" s="1" t="s">
        <v>318</v>
      </c>
      <c r="Q4297" s="1">
        <v>3</v>
      </c>
      <c r="R4297" s="1">
        <f>Retail_Sales_Analyis[[#This Row],[Final_Price]]-Retail_Sales_Analyis[[#This Row],[Total_Price]]</f>
        <v>0</v>
      </c>
      <c r="S42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298" spans="1:19" x14ac:dyDescent="0.25">
      <c r="A4298" s="1" t="s">
        <v>5427</v>
      </c>
      <c r="B4298" s="2">
        <v>45471</v>
      </c>
      <c r="C4298" s="1" t="s">
        <v>173</v>
      </c>
      <c r="D4298" s="1" t="s">
        <v>144</v>
      </c>
      <c r="E4298" s="1" t="s">
        <v>157</v>
      </c>
      <c r="F4298" s="1" t="s">
        <v>21</v>
      </c>
      <c r="G4298" s="1" t="s">
        <v>78</v>
      </c>
      <c r="H4298" s="1" t="s">
        <v>126</v>
      </c>
      <c r="I4298" s="1">
        <v>370.61</v>
      </c>
      <c r="J4298" s="1">
        <v>1</v>
      </c>
      <c r="K4298" s="1">
        <v>370.61</v>
      </c>
      <c r="L4298" s="1">
        <v>20</v>
      </c>
      <c r="M4298" s="1">
        <v>74.12</v>
      </c>
      <c r="N4298" s="1">
        <v>296.49</v>
      </c>
      <c r="O4298" s="1" t="s">
        <v>33</v>
      </c>
      <c r="P4298" s="1" t="s">
        <v>770</v>
      </c>
      <c r="Q4298" s="1">
        <v>2</v>
      </c>
      <c r="R4298" s="1">
        <f>Retail_Sales_Analyis[[#This Row],[Final_Price]]-Retail_Sales_Analyis[[#This Row],[Total_Price]]</f>
        <v>-74.12</v>
      </c>
      <c r="S42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299" spans="1:19" x14ac:dyDescent="0.25">
      <c r="A4299" s="1" t="s">
        <v>5428</v>
      </c>
      <c r="B4299" s="2">
        <v>45571</v>
      </c>
      <c r="C4299" s="1" t="s">
        <v>76</v>
      </c>
      <c r="D4299" s="1" t="s">
        <v>49</v>
      </c>
      <c r="E4299" s="1" t="s">
        <v>411</v>
      </c>
      <c r="F4299" s="1" t="s">
        <v>21</v>
      </c>
      <c r="G4299" s="1" t="s">
        <v>85</v>
      </c>
      <c r="H4299" s="1" t="s">
        <v>90</v>
      </c>
      <c r="I4299" s="1">
        <v>4113.01</v>
      </c>
      <c r="J4299" s="1">
        <v>3</v>
      </c>
      <c r="K4299" s="1">
        <v>12339.03</v>
      </c>
      <c r="L4299" s="1">
        <v>10</v>
      </c>
      <c r="M4299" s="1">
        <v>1233.9000000000001</v>
      </c>
      <c r="N4299" s="1">
        <v>11105.13</v>
      </c>
      <c r="O4299" s="1" t="s">
        <v>64</v>
      </c>
      <c r="P4299" s="1" t="s">
        <v>1502</v>
      </c>
      <c r="Q4299" s="1">
        <v>2</v>
      </c>
      <c r="R4299" s="1">
        <f>Retail_Sales_Analyis[[#This Row],[Final_Price]]-Retail_Sales_Analyis[[#This Row],[Total_Price]]</f>
        <v>-1233.9000000000015</v>
      </c>
      <c r="S42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00" spans="1:19" x14ac:dyDescent="0.25">
      <c r="A4300" s="1" t="s">
        <v>5429</v>
      </c>
      <c r="B4300" s="2">
        <v>45484</v>
      </c>
      <c r="C4300" s="1" t="s">
        <v>195</v>
      </c>
      <c r="D4300" s="1" t="s">
        <v>67</v>
      </c>
      <c r="E4300" s="1" t="s">
        <v>89</v>
      </c>
      <c r="F4300" s="1" t="s">
        <v>69</v>
      </c>
      <c r="G4300" s="1" t="s">
        <v>31</v>
      </c>
      <c r="H4300" s="1" t="s">
        <v>45</v>
      </c>
      <c r="I4300" s="1">
        <v>325.61</v>
      </c>
      <c r="J4300" s="1">
        <v>2</v>
      </c>
      <c r="K4300" s="1">
        <v>651.22</v>
      </c>
      <c r="L4300" s="1">
        <v>0</v>
      </c>
      <c r="M4300" s="1">
        <v>0</v>
      </c>
      <c r="N4300" s="1">
        <v>651.22</v>
      </c>
      <c r="O4300" s="1" t="s">
        <v>64</v>
      </c>
      <c r="P4300" s="1" t="s">
        <v>725</v>
      </c>
      <c r="Q4300" s="1">
        <v>3</v>
      </c>
      <c r="R4300" s="1">
        <f>Retail_Sales_Analyis[[#This Row],[Final_Price]]-Retail_Sales_Analyis[[#This Row],[Total_Price]]</f>
        <v>0</v>
      </c>
      <c r="S43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01" spans="1:19" x14ac:dyDescent="0.25">
      <c r="A4301" s="1" t="s">
        <v>5430</v>
      </c>
      <c r="B4301" s="2">
        <v>45343</v>
      </c>
      <c r="C4301" s="1" t="s">
        <v>27</v>
      </c>
      <c r="D4301" s="1" t="s">
        <v>55</v>
      </c>
      <c r="E4301" s="1" t="s">
        <v>261</v>
      </c>
      <c r="F4301" s="1" t="s">
        <v>30</v>
      </c>
      <c r="G4301" s="1" t="s">
        <v>31</v>
      </c>
      <c r="H4301" s="1" t="s">
        <v>250</v>
      </c>
      <c r="I4301" s="1">
        <v>234.74</v>
      </c>
      <c r="J4301" s="1">
        <v>5</v>
      </c>
      <c r="K4301" s="1">
        <v>1173.7</v>
      </c>
      <c r="L4301" s="1">
        <v>20</v>
      </c>
      <c r="M4301" s="1">
        <v>234.74</v>
      </c>
      <c r="N4301" s="1">
        <v>938.96</v>
      </c>
      <c r="O4301" s="1" t="s">
        <v>33</v>
      </c>
      <c r="P4301" s="1" t="s">
        <v>3011</v>
      </c>
      <c r="Q4301" s="1">
        <v>3</v>
      </c>
      <c r="R4301" s="1">
        <f>Retail_Sales_Analyis[[#This Row],[Final_Price]]-Retail_Sales_Analyis[[#This Row],[Total_Price]]</f>
        <v>-234.74</v>
      </c>
      <c r="S43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02" spans="1:19" x14ac:dyDescent="0.25">
      <c r="A4302" s="1" t="s">
        <v>5431</v>
      </c>
      <c r="B4302" s="2">
        <v>45537</v>
      </c>
      <c r="C4302" s="1" t="s">
        <v>116</v>
      </c>
      <c r="D4302" s="1" t="s">
        <v>43</v>
      </c>
      <c r="E4302" s="1" t="s">
        <v>174</v>
      </c>
      <c r="F4302" s="1" t="s">
        <v>37</v>
      </c>
      <c r="G4302" s="1" t="s">
        <v>78</v>
      </c>
      <c r="H4302" s="1" t="s">
        <v>323</v>
      </c>
      <c r="I4302" s="1">
        <v>165.22</v>
      </c>
      <c r="J4302" s="1">
        <v>3</v>
      </c>
      <c r="K4302" s="1">
        <v>495.66</v>
      </c>
      <c r="L4302" s="1">
        <v>10</v>
      </c>
      <c r="M4302" s="1">
        <v>49.57</v>
      </c>
      <c r="N4302" s="1">
        <v>446.09</v>
      </c>
      <c r="O4302" s="1" t="s">
        <v>64</v>
      </c>
      <c r="P4302" s="1" t="s">
        <v>837</v>
      </c>
      <c r="Q4302" s="1">
        <v>1</v>
      </c>
      <c r="R4302" s="1">
        <f>Retail_Sales_Analyis[[#This Row],[Final_Price]]-Retail_Sales_Analyis[[#This Row],[Total_Price]]</f>
        <v>-49.57000000000005</v>
      </c>
      <c r="S43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03" spans="1:19" x14ac:dyDescent="0.25">
      <c r="A4303" s="1" t="s">
        <v>5432</v>
      </c>
      <c r="B4303" s="2">
        <v>45587</v>
      </c>
      <c r="C4303" s="1" t="s">
        <v>76</v>
      </c>
      <c r="D4303" s="1" t="s">
        <v>28</v>
      </c>
      <c r="E4303" s="1" t="s">
        <v>141</v>
      </c>
      <c r="F4303" s="1" t="s">
        <v>69</v>
      </c>
      <c r="G4303" s="1" t="s">
        <v>169</v>
      </c>
      <c r="H4303" s="1" t="s">
        <v>170</v>
      </c>
      <c r="I4303" s="1">
        <v>1439.03</v>
      </c>
      <c r="J4303" s="1">
        <v>1</v>
      </c>
      <c r="K4303" s="1">
        <v>1439.03</v>
      </c>
      <c r="L4303" s="1">
        <v>10</v>
      </c>
      <c r="M4303" s="1">
        <v>143.9</v>
      </c>
      <c r="N4303" s="1">
        <v>1295.1300000000001</v>
      </c>
      <c r="O4303" s="1" t="s">
        <v>80</v>
      </c>
      <c r="P4303" s="1" t="s">
        <v>2891</v>
      </c>
      <c r="Q4303" s="1">
        <v>1</v>
      </c>
      <c r="R4303" s="1">
        <f>Retail_Sales_Analyis[[#This Row],[Final_Price]]-Retail_Sales_Analyis[[#This Row],[Total_Price]]</f>
        <v>-143.89999999999986</v>
      </c>
      <c r="S43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04" spans="1:19" x14ac:dyDescent="0.25">
      <c r="A4304" s="1" t="s">
        <v>5433</v>
      </c>
      <c r="B4304" s="2">
        <v>45625</v>
      </c>
      <c r="C4304" s="1" t="s">
        <v>18</v>
      </c>
      <c r="D4304" s="1" t="s">
        <v>144</v>
      </c>
      <c r="E4304" s="1" t="s">
        <v>141</v>
      </c>
      <c r="F4304" s="1" t="s">
        <v>37</v>
      </c>
      <c r="G4304" s="1" t="s">
        <v>22</v>
      </c>
      <c r="H4304" s="1" t="s">
        <v>277</v>
      </c>
      <c r="I4304" s="1">
        <v>855.06</v>
      </c>
      <c r="J4304" s="1">
        <v>6</v>
      </c>
      <c r="K4304" s="1">
        <v>5130.3599999999997</v>
      </c>
      <c r="L4304" s="1">
        <v>20</v>
      </c>
      <c r="M4304" s="1">
        <v>1026.07</v>
      </c>
      <c r="N4304" s="1">
        <v>4104.29</v>
      </c>
      <c r="O4304" s="1" t="s">
        <v>24</v>
      </c>
      <c r="P4304" s="1" t="s">
        <v>2920</v>
      </c>
      <c r="Q4304" s="1">
        <v>3</v>
      </c>
      <c r="R4304" s="1">
        <f>Retail_Sales_Analyis[[#This Row],[Final_Price]]-Retail_Sales_Analyis[[#This Row],[Total_Price]]</f>
        <v>-1026.0699999999997</v>
      </c>
      <c r="S430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05" spans="1:19" x14ac:dyDescent="0.25">
      <c r="A4305" s="1" t="s">
        <v>5434</v>
      </c>
      <c r="B4305" s="2">
        <v>45643</v>
      </c>
      <c r="C4305" s="1" t="s">
        <v>73</v>
      </c>
      <c r="D4305" s="1" t="s">
        <v>28</v>
      </c>
      <c r="E4305" s="1" t="s">
        <v>285</v>
      </c>
      <c r="F4305" s="1" t="s">
        <v>69</v>
      </c>
      <c r="G4305" s="1" t="s">
        <v>112</v>
      </c>
      <c r="H4305" s="1" t="s">
        <v>118</v>
      </c>
      <c r="I4305" s="1">
        <v>1294.67</v>
      </c>
      <c r="J4305" s="1">
        <v>2</v>
      </c>
      <c r="K4305" s="1">
        <v>2589.34</v>
      </c>
      <c r="L4305" s="1">
        <v>0</v>
      </c>
      <c r="M4305" s="1">
        <v>0</v>
      </c>
      <c r="N4305" s="1">
        <v>2589.34</v>
      </c>
      <c r="O4305" s="1" t="s">
        <v>80</v>
      </c>
      <c r="P4305" s="1" t="s">
        <v>2214</v>
      </c>
      <c r="Q4305" s="1">
        <v>5</v>
      </c>
      <c r="R4305" s="1">
        <f>Retail_Sales_Analyis[[#This Row],[Final_Price]]-Retail_Sales_Analyis[[#This Row],[Total_Price]]</f>
        <v>0</v>
      </c>
      <c r="S43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06" spans="1:19" x14ac:dyDescent="0.25">
      <c r="A4306" s="1" t="s">
        <v>5435</v>
      </c>
      <c r="B4306" s="2">
        <v>45407</v>
      </c>
      <c r="C4306" s="1" t="s">
        <v>54</v>
      </c>
      <c r="D4306" s="1" t="s">
        <v>67</v>
      </c>
      <c r="E4306" s="1" t="s">
        <v>312</v>
      </c>
      <c r="F4306" s="1" t="s">
        <v>84</v>
      </c>
      <c r="G4306" s="1" t="s">
        <v>31</v>
      </c>
      <c r="H4306" s="1" t="s">
        <v>63</v>
      </c>
      <c r="I4306" s="1">
        <v>164.14</v>
      </c>
      <c r="J4306" s="1">
        <v>7</v>
      </c>
      <c r="K4306" s="1">
        <v>1148.98</v>
      </c>
      <c r="L4306" s="1">
        <v>0</v>
      </c>
      <c r="M4306" s="1">
        <v>0</v>
      </c>
      <c r="N4306" s="1">
        <v>1148.98</v>
      </c>
      <c r="O4306" s="1" t="s">
        <v>80</v>
      </c>
      <c r="P4306" s="1" t="s">
        <v>2663</v>
      </c>
      <c r="Q4306" s="1">
        <v>2</v>
      </c>
      <c r="R4306" s="1">
        <f>Retail_Sales_Analyis[[#This Row],[Final_Price]]-Retail_Sales_Analyis[[#This Row],[Total_Price]]</f>
        <v>0</v>
      </c>
      <c r="S43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07" spans="1:19" x14ac:dyDescent="0.25">
      <c r="A4307" s="1" t="s">
        <v>5436</v>
      </c>
      <c r="B4307" s="2">
        <v>45375</v>
      </c>
      <c r="C4307" s="1" t="s">
        <v>61</v>
      </c>
      <c r="D4307" s="1" t="s">
        <v>49</v>
      </c>
      <c r="E4307" s="1" t="s">
        <v>174</v>
      </c>
      <c r="F4307" s="1" t="s">
        <v>30</v>
      </c>
      <c r="G4307" s="1" t="s">
        <v>22</v>
      </c>
      <c r="H4307" s="1" t="s">
        <v>51</v>
      </c>
      <c r="I4307" s="1">
        <v>355.09</v>
      </c>
      <c r="J4307" s="1">
        <v>7</v>
      </c>
      <c r="K4307" s="1">
        <v>2485.63</v>
      </c>
      <c r="L4307" s="1">
        <v>20</v>
      </c>
      <c r="M4307" s="1">
        <v>497.13</v>
      </c>
      <c r="N4307" s="1">
        <v>1988.5</v>
      </c>
      <c r="O4307" s="1" t="s">
        <v>46</v>
      </c>
      <c r="P4307" s="1" t="s">
        <v>636</v>
      </c>
      <c r="Q4307" s="1">
        <v>4</v>
      </c>
      <c r="R4307" s="1">
        <f>Retail_Sales_Analyis[[#This Row],[Final_Price]]-Retail_Sales_Analyis[[#This Row],[Total_Price]]</f>
        <v>-497.13000000000011</v>
      </c>
      <c r="S430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08" spans="1:19" x14ac:dyDescent="0.25">
      <c r="A4308" s="1" t="s">
        <v>5437</v>
      </c>
      <c r="B4308" s="2">
        <v>45523</v>
      </c>
      <c r="C4308" s="1" t="s">
        <v>93</v>
      </c>
      <c r="D4308" s="1" t="s">
        <v>43</v>
      </c>
      <c r="E4308" s="1" t="s">
        <v>261</v>
      </c>
      <c r="F4308" s="1" t="s">
        <v>21</v>
      </c>
      <c r="G4308" s="1" t="s">
        <v>57</v>
      </c>
      <c r="H4308" s="1" t="s">
        <v>101</v>
      </c>
      <c r="I4308" s="1">
        <v>1040.98</v>
      </c>
      <c r="J4308" s="1">
        <v>8</v>
      </c>
      <c r="K4308" s="1">
        <v>8327.84</v>
      </c>
      <c r="L4308" s="1">
        <v>5</v>
      </c>
      <c r="M4308" s="1">
        <v>416.39</v>
      </c>
      <c r="N4308" s="1">
        <v>7911.45</v>
      </c>
      <c r="O4308" s="1" t="s">
        <v>46</v>
      </c>
      <c r="P4308" s="1" t="s">
        <v>835</v>
      </c>
      <c r="Q4308" s="1">
        <v>5</v>
      </c>
      <c r="R4308" s="1">
        <f>Retail_Sales_Analyis[[#This Row],[Final_Price]]-Retail_Sales_Analyis[[#This Row],[Total_Price]]</f>
        <v>-416.39000000000033</v>
      </c>
      <c r="S430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09" spans="1:19" x14ac:dyDescent="0.25">
      <c r="A4309" s="1" t="s">
        <v>5438</v>
      </c>
      <c r="B4309" s="2">
        <v>45329</v>
      </c>
      <c r="C4309" s="1" t="s">
        <v>27</v>
      </c>
      <c r="D4309" s="1" t="s">
        <v>55</v>
      </c>
      <c r="E4309" s="1" t="s">
        <v>213</v>
      </c>
      <c r="F4309" s="1" t="s">
        <v>37</v>
      </c>
      <c r="G4309" s="1" t="s">
        <v>31</v>
      </c>
      <c r="H4309" s="1" t="s">
        <v>45</v>
      </c>
      <c r="I4309" s="1">
        <v>452.37</v>
      </c>
      <c r="J4309" s="1">
        <v>3</v>
      </c>
      <c r="K4309" s="1">
        <v>1357.11</v>
      </c>
      <c r="L4309" s="1">
        <v>0</v>
      </c>
      <c r="M4309" s="1">
        <v>0</v>
      </c>
      <c r="N4309" s="1">
        <v>1357.11</v>
      </c>
      <c r="O4309" s="1" t="s">
        <v>33</v>
      </c>
      <c r="P4309" s="1" t="s">
        <v>515</v>
      </c>
      <c r="Q4309" s="1">
        <v>2</v>
      </c>
      <c r="R4309" s="1">
        <f>Retail_Sales_Analyis[[#This Row],[Final_Price]]-Retail_Sales_Analyis[[#This Row],[Total_Price]]</f>
        <v>0</v>
      </c>
      <c r="S43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10" spans="1:19" x14ac:dyDescent="0.25">
      <c r="A4310" s="1" t="s">
        <v>5439</v>
      </c>
      <c r="B4310" s="2">
        <v>45309</v>
      </c>
      <c r="C4310" s="1" t="s">
        <v>36</v>
      </c>
      <c r="D4310" s="1" t="s">
        <v>67</v>
      </c>
      <c r="E4310" s="1" t="s">
        <v>163</v>
      </c>
      <c r="F4310" s="1" t="s">
        <v>69</v>
      </c>
      <c r="G4310" s="1" t="s">
        <v>169</v>
      </c>
      <c r="H4310" s="1" t="s">
        <v>175</v>
      </c>
      <c r="I4310" s="1">
        <v>300.62</v>
      </c>
      <c r="J4310" s="1">
        <v>4</v>
      </c>
      <c r="K4310" s="1">
        <v>1202.48</v>
      </c>
      <c r="L4310" s="1">
        <v>5</v>
      </c>
      <c r="M4310" s="1">
        <v>60.12</v>
      </c>
      <c r="N4310" s="1">
        <v>1142.3599999999999</v>
      </c>
      <c r="O4310" s="1" t="s">
        <v>46</v>
      </c>
      <c r="P4310" s="1" t="s">
        <v>2911</v>
      </c>
      <c r="Q4310" s="1">
        <v>2</v>
      </c>
      <c r="R4310" s="1">
        <f>Retail_Sales_Analyis[[#This Row],[Final_Price]]-Retail_Sales_Analyis[[#This Row],[Total_Price]]</f>
        <v>-60.120000000000118</v>
      </c>
      <c r="S431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11" spans="1:19" x14ac:dyDescent="0.25">
      <c r="A4311" s="1" t="s">
        <v>5440</v>
      </c>
      <c r="B4311" s="2">
        <v>45442</v>
      </c>
      <c r="C4311" s="1" t="s">
        <v>42</v>
      </c>
      <c r="D4311" s="1" t="s">
        <v>67</v>
      </c>
      <c r="E4311" s="1" t="s">
        <v>157</v>
      </c>
      <c r="F4311" s="1" t="s">
        <v>30</v>
      </c>
      <c r="G4311" s="1" t="s">
        <v>38</v>
      </c>
      <c r="H4311" s="1" t="s">
        <v>422</v>
      </c>
      <c r="I4311" s="1">
        <v>135.19999999999999</v>
      </c>
      <c r="J4311" s="1">
        <v>3</v>
      </c>
      <c r="K4311" s="1">
        <v>405.6</v>
      </c>
      <c r="L4311" s="1">
        <v>0</v>
      </c>
      <c r="M4311" s="1">
        <v>0</v>
      </c>
      <c r="N4311" s="1">
        <v>405.6</v>
      </c>
      <c r="O4311" s="1" t="s">
        <v>80</v>
      </c>
      <c r="P4311" s="1" t="s">
        <v>4064</v>
      </c>
      <c r="Q4311" s="1">
        <v>3</v>
      </c>
      <c r="R4311" s="1">
        <f>Retail_Sales_Analyis[[#This Row],[Final_Price]]-Retail_Sales_Analyis[[#This Row],[Total_Price]]</f>
        <v>0</v>
      </c>
      <c r="S43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12" spans="1:19" x14ac:dyDescent="0.25">
      <c r="A4312" s="1" t="s">
        <v>5441</v>
      </c>
      <c r="B4312" s="2">
        <v>45302</v>
      </c>
      <c r="C4312" s="1" t="s">
        <v>36</v>
      </c>
      <c r="D4312" s="1" t="s">
        <v>67</v>
      </c>
      <c r="E4312" s="1" t="s">
        <v>20</v>
      </c>
      <c r="F4312" s="1" t="s">
        <v>84</v>
      </c>
      <c r="G4312" s="1" t="s">
        <v>112</v>
      </c>
      <c r="H4312" s="1" t="s">
        <v>118</v>
      </c>
      <c r="I4312" s="1">
        <v>1209.8599999999999</v>
      </c>
      <c r="J4312" s="1">
        <v>7</v>
      </c>
      <c r="K4312" s="1">
        <v>8469.02</v>
      </c>
      <c r="L4312" s="1">
        <v>0</v>
      </c>
      <c r="M4312" s="1">
        <v>0</v>
      </c>
      <c r="N4312" s="1">
        <v>8469.02</v>
      </c>
      <c r="O4312" s="1" t="s">
        <v>80</v>
      </c>
      <c r="P4312" s="1" t="s">
        <v>3703</v>
      </c>
      <c r="Q4312" s="1">
        <v>4</v>
      </c>
      <c r="R4312" s="1">
        <f>Retail_Sales_Analyis[[#This Row],[Final_Price]]-Retail_Sales_Analyis[[#This Row],[Total_Price]]</f>
        <v>0</v>
      </c>
      <c r="S43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13" spans="1:19" x14ac:dyDescent="0.25">
      <c r="A4313" s="1" t="s">
        <v>5442</v>
      </c>
      <c r="B4313" s="2">
        <v>45455</v>
      </c>
      <c r="C4313" s="1" t="s">
        <v>173</v>
      </c>
      <c r="D4313" s="1" t="s">
        <v>55</v>
      </c>
      <c r="E4313" s="1" t="s">
        <v>29</v>
      </c>
      <c r="F4313" s="1" t="s">
        <v>69</v>
      </c>
      <c r="G4313" s="1" t="s">
        <v>85</v>
      </c>
      <c r="H4313" s="1" t="s">
        <v>90</v>
      </c>
      <c r="I4313" s="1">
        <v>1304.1400000000001</v>
      </c>
      <c r="J4313" s="1">
        <v>6</v>
      </c>
      <c r="K4313" s="1">
        <v>7824.84</v>
      </c>
      <c r="L4313" s="1">
        <v>10</v>
      </c>
      <c r="M4313" s="1">
        <v>782.48</v>
      </c>
      <c r="N4313" s="1">
        <v>7042.36</v>
      </c>
      <c r="O4313" s="1" t="s">
        <v>33</v>
      </c>
      <c r="P4313" s="1" t="s">
        <v>1129</v>
      </c>
      <c r="Q4313" s="1">
        <v>4</v>
      </c>
      <c r="R4313" s="1">
        <f>Retail_Sales_Analyis[[#This Row],[Final_Price]]-Retail_Sales_Analyis[[#This Row],[Total_Price]]</f>
        <v>-782.48000000000047</v>
      </c>
      <c r="S43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14" spans="1:19" x14ac:dyDescent="0.25">
      <c r="A4314" s="1" t="s">
        <v>5443</v>
      </c>
      <c r="B4314" s="2">
        <v>45425</v>
      </c>
      <c r="C4314" s="1" t="s">
        <v>42</v>
      </c>
      <c r="D4314" s="1" t="s">
        <v>43</v>
      </c>
      <c r="E4314" s="1" t="s">
        <v>163</v>
      </c>
      <c r="F4314" s="1" t="s">
        <v>37</v>
      </c>
      <c r="G4314" s="1" t="s">
        <v>112</v>
      </c>
      <c r="H4314" s="1" t="s">
        <v>183</v>
      </c>
      <c r="I4314" s="1">
        <v>1298.95</v>
      </c>
      <c r="J4314" s="1">
        <v>6</v>
      </c>
      <c r="K4314" s="1">
        <v>7793.7</v>
      </c>
      <c r="L4314" s="1">
        <v>10</v>
      </c>
      <c r="M4314" s="1">
        <v>779.37</v>
      </c>
      <c r="N4314" s="1">
        <v>7014.33</v>
      </c>
      <c r="O4314" s="1" t="s">
        <v>24</v>
      </c>
      <c r="P4314" s="1" t="s">
        <v>2335</v>
      </c>
      <c r="Q4314" s="1">
        <v>5</v>
      </c>
      <c r="R4314" s="1">
        <f>Retail_Sales_Analyis[[#This Row],[Final_Price]]-Retail_Sales_Analyis[[#This Row],[Total_Price]]</f>
        <v>-779.36999999999989</v>
      </c>
      <c r="S431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15" spans="1:19" x14ac:dyDescent="0.25">
      <c r="A4315" s="1" t="s">
        <v>5444</v>
      </c>
      <c r="B4315" s="2">
        <v>45345</v>
      </c>
      <c r="C4315" s="1" t="s">
        <v>27</v>
      </c>
      <c r="D4315" s="1" t="s">
        <v>144</v>
      </c>
      <c r="E4315" s="1" t="s">
        <v>145</v>
      </c>
      <c r="F4315" s="1" t="s">
        <v>84</v>
      </c>
      <c r="G4315" s="1" t="s">
        <v>38</v>
      </c>
      <c r="H4315" s="1" t="s">
        <v>108</v>
      </c>
      <c r="I4315" s="1">
        <v>783.89</v>
      </c>
      <c r="J4315" s="1">
        <v>4</v>
      </c>
      <c r="K4315" s="1">
        <v>3135.56</v>
      </c>
      <c r="L4315" s="1">
        <v>5</v>
      </c>
      <c r="M4315" s="1">
        <v>156.78</v>
      </c>
      <c r="N4315" s="1">
        <v>2978.78</v>
      </c>
      <c r="O4315" s="1" t="s">
        <v>33</v>
      </c>
      <c r="P4315" s="1" t="s">
        <v>2306</v>
      </c>
      <c r="Q4315" s="1">
        <v>3</v>
      </c>
      <c r="R4315" s="1">
        <f>Retail_Sales_Analyis[[#This Row],[Final_Price]]-Retail_Sales_Analyis[[#This Row],[Total_Price]]</f>
        <v>-156.77999999999975</v>
      </c>
      <c r="S431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16" spans="1:19" x14ac:dyDescent="0.25">
      <c r="A4316" s="1" t="s">
        <v>5445</v>
      </c>
      <c r="B4316" s="2">
        <v>45329</v>
      </c>
      <c r="C4316" s="1" t="s">
        <v>27</v>
      </c>
      <c r="D4316" s="1" t="s">
        <v>55</v>
      </c>
      <c r="E4316" s="1" t="s">
        <v>20</v>
      </c>
      <c r="F4316" s="1" t="s">
        <v>30</v>
      </c>
      <c r="G4316" s="1" t="s">
        <v>78</v>
      </c>
      <c r="H4316" s="1" t="s">
        <v>126</v>
      </c>
      <c r="I4316" s="1">
        <v>352.68</v>
      </c>
      <c r="J4316" s="1">
        <v>5</v>
      </c>
      <c r="K4316" s="1">
        <v>1763.4</v>
      </c>
      <c r="L4316" s="1">
        <v>10</v>
      </c>
      <c r="M4316" s="1">
        <v>176.34</v>
      </c>
      <c r="N4316" s="1">
        <v>1587.06</v>
      </c>
      <c r="O4316" s="1" t="s">
        <v>80</v>
      </c>
      <c r="P4316" s="1" t="s">
        <v>2170</v>
      </c>
      <c r="Q4316" s="1">
        <v>3</v>
      </c>
      <c r="R4316" s="1">
        <f>Retail_Sales_Analyis[[#This Row],[Final_Price]]-Retail_Sales_Analyis[[#This Row],[Total_Price]]</f>
        <v>-176.34000000000015</v>
      </c>
      <c r="S431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17" spans="1:19" x14ac:dyDescent="0.25">
      <c r="A4317" s="1" t="s">
        <v>5446</v>
      </c>
      <c r="B4317" s="2">
        <v>45467</v>
      </c>
      <c r="C4317" s="1" t="s">
        <v>173</v>
      </c>
      <c r="D4317" s="1" t="s">
        <v>43</v>
      </c>
      <c r="E4317" s="1" t="s">
        <v>151</v>
      </c>
      <c r="F4317" s="1" t="s">
        <v>84</v>
      </c>
      <c r="G4317" s="1" t="s">
        <v>169</v>
      </c>
      <c r="H4317" s="1" t="s">
        <v>366</v>
      </c>
      <c r="I4317" s="1">
        <v>435.88</v>
      </c>
      <c r="J4317" s="1">
        <v>10</v>
      </c>
      <c r="K4317" s="1">
        <v>4358.8</v>
      </c>
      <c r="L4317" s="1">
        <v>10</v>
      </c>
      <c r="M4317" s="1">
        <v>435.88</v>
      </c>
      <c r="N4317" s="1">
        <v>3922.92</v>
      </c>
      <c r="O4317" s="1" t="s">
        <v>46</v>
      </c>
      <c r="P4317" s="1" t="s">
        <v>2570</v>
      </c>
      <c r="Q4317" s="1">
        <v>3</v>
      </c>
      <c r="R4317" s="1">
        <f>Retail_Sales_Analyis[[#This Row],[Final_Price]]-Retail_Sales_Analyis[[#This Row],[Total_Price]]</f>
        <v>-435.88000000000011</v>
      </c>
      <c r="S43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18" spans="1:19" x14ac:dyDescent="0.25">
      <c r="A4318" s="1" t="s">
        <v>5447</v>
      </c>
      <c r="B4318" s="2">
        <v>45379</v>
      </c>
      <c r="C4318" s="1" t="s">
        <v>61</v>
      </c>
      <c r="D4318" s="1" t="s">
        <v>67</v>
      </c>
      <c r="E4318" s="1" t="s">
        <v>129</v>
      </c>
      <c r="F4318" s="1" t="s">
        <v>30</v>
      </c>
      <c r="G4318" s="1" t="s">
        <v>22</v>
      </c>
      <c r="H4318" s="1" t="s">
        <v>133</v>
      </c>
      <c r="I4318" s="1">
        <v>935.06</v>
      </c>
      <c r="J4318" s="1">
        <v>4</v>
      </c>
      <c r="K4318" s="1">
        <v>3740.24</v>
      </c>
      <c r="L4318" s="1">
        <v>20</v>
      </c>
      <c r="M4318" s="1">
        <v>748.05</v>
      </c>
      <c r="N4318" s="1">
        <v>2992.19</v>
      </c>
      <c r="O4318" s="1" t="s">
        <v>80</v>
      </c>
      <c r="P4318" s="1" t="s">
        <v>1271</v>
      </c>
      <c r="Q4318" s="1">
        <v>3</v>
      </c>
      <c r="R4318" s="1">
        <f>Retail_Sales_Analyis[[#This Row],[Final_Price]]-Retail_Sales_Analyis[[#This Row],[Total_Price]]</f>
        <v>-748.04999999999973</v>
      </c>
      <c r="S43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19" spans="1:19" x14ac:dyDescent="0.25">
      <c r="A4319" s="1" t="s">
        <v>5448</v>
      </c>
      <c r="B4319" s="2">
        <v>45484</v>
      </c>
      <c r="C4319" s="1" t="s">
        <v>195</v>
      </c>
      <c r="D4319" s="1" t="s">
        <v>67</v>
      </c>
      <c r="E4319" s="1" t="s">
        <v>239</v>
      </c>
      <c r="F4319" s="1" t="s">
        <v>21</v>
      </c>
      <c r="G4319" s="1" t="s">
        <v>38</v>
      </c>
      <c r="H4319" s="1" t="s">
        <v>108</v>
      </c>
      <c r="I4319" s="1">
        <v>433.71</v>
      </c>
      <c r="J4319" s="1">
        <v>5</v>
      </c>
      <c r="K4319" s="1">
        <v>2168.5500000000002</v>
      </c>
      <c r="L4319" s="1">
        <v>0</v>
      </c>
      <c r="M4319" s="1">
        <v>0</v>
      </c>
      <c r="N4319" s="1">
        <v>2168.5500000000002</v>
      </c>
      <c r="O4319" s="1" t="s">
        <v>33</v>
      </c>
      <c r="P4319" s="1" t="s">
        <v>431</v>
      </c>
      <c r="Q4319" s="1">
        <v>2</v>
      </c>
      <c r="R4319" s="1">
        <f>Retail_Sales_Analyis[[#This Row],[Final_Price]]-Retail_Sales_Analyis[[#This Row],[Total_Price]]</f>
        <v>0</v>
      </c>
      <c r="S43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20" spans="1:19" x14ac:dyDescent="0.25">
      <c r="A4320" s="1" t="s">
        <v>5449</v>
      </c>
      <c r="B4320" s="2">
        <v>45374</v>
      </c>
      <c r="C4320" s="1" t="s">
        <v>61</v>
      </c>
      <c r="D4320" s="1" t="s">
        <v>19</v>
      </c>
      <c r="E4320" s="1" t="s">
        <v>239</v>
      </c>
      <c r="F4320" s="1" t="s">
        <v>84</v>
      </c>
      <c r="G4320" s="1" t="s">
        <v>38</v>
      </c>
      <c r="H4320" s="1" t="s">
        <v>70</v>
      </c>
      <c r="I4320" s="1">
        <v>418.57</v>
      </c>
      <c r="J4320" s="1">
        <v>6</v>
      </c>
      <c r="K4320" s="1">
        <v>2511.42</v>
      </c>
      <c r="L4320" s="1">
        <v>5</v>
      </c>
      <c r="M4320" s="1">
        <v>125.57</v>
      </c>
      <c r="N4320" s="1">
        <v>2385.85</v>
      </c>
      <c r="O4320" s="1" t="s">
        <v>24</v>
      </c>
      <c r="P4320" s="1" t="s">
        <v>720</v>
      </c>
      <c r="Q4320" s="1">
        <v>5</v>
      </c>
      <c r="R4320" s="1">
        <f>Retail_Sales_Analyis[[#This Row],[Final_Price]]-Retail_Sales_Analyis[[#This Row],[Total_Price]]</f>
        <v>-125.57000000000016</v>
      </c>
      <c r="S43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21" spans="1:19" x14ac:dyDescent="0.25">
      <c r="A4321" s="1" t="s">
        <v>5450</v>
      </c>
      <c r="B4321" s="2">
        <v>45330</v>
      </c>
      <c r="C4321" s="1" t="s">
        <v>27</v>
      </c>
      <c r="D4321" s="1" t="s">
        <v>67</v>
      </c>
      <c r="E4321" s="1" t="s">
        <v>68</v>
      </c>
      <c r="F4321" s="1" t="s">
        <v>21</v>
      </c>
      <c r="G4321" s="1" t="s">
        <v>31</v>
      </c>
      <c r="H4321" s="1" t="s">
        <v>63</v>
      </c>
      <c r="I4321" s="1">
        <v>217.99</v>
      </c>
      <c r="J4321" s="1">
        <v>10</v>
      </c>
      <c r="K4321" s="1">
        <v>2179.9</v>
      </c>
      <c r="L4321" s="1">
        <v>20</v>
      </c>
      <c r="M4321" s="1">
        <v>435.98</v>
      </c>
      <c r="N4321" s="1">
        <v>1743.92</v>
      </c>
      <c r="O4321" s="1" t="s">
        <v>80</v>
      </c>
      <c r="P4321" s="1" t="s">
        <v>1382</v>
      </c>
      <c r="Q4321" s="1">
        <v>2</v>
      </c>
      <c r="R4321" s="1">
        <f>Retail_Sales_Analyis[[#This Row],[Final_Price]]-Retail_Sales_Analyis[[#This Row],[Total_Price]]</f>
        <v>-435.98</v>
      </c>
      <c r="S43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22" spans="1:19" x14ac:dyDescent="0.25">
      <c r="A4322" s="1" t="s">
        <v>5451</v>
      </c>
      <c r="B4322" s="2">
        <v>45572</v>
      </c>
      <c r="C4322" s="1" t="s">
        <v>76</v>
      </c>
      <c r="D4322" s="1" t="s">
        <v>43</v>
      </c>
      <c r="E4322" s="1" t="s">
        <v>94</v>
      </c>
      <c r="F4322" s="1" t="s">
        <v>30</v>
      </c>
      <c r="G4322" s="1" t="s">
        <v>112</v>
      </c>
      <c r="H4322" s="1" t="s">
        <v>223</v>
      </c>
      <c r="I4322" s="1">
        <v>1877.22</v>
      </c>
      <c r="J4322" s="1">
        <v>6</v>
      </c>
      <c r="K4322" s="1">
        <v>11263.32</v>
      </c>
      <c r="L4322" s="1">
        <v>10</v>
      </c>
      <c r="M4322" s="1">
        <v>1126.33</v>
      </c>
      <c r="N4322" s="1">
        <v>10136.99</v>
      </c>
      <c r="O4322" s="1" t="s">
        <v>24</v>
      </c>
      <c r="P4322" s="1" t="s">
        <v>4784</v>
      </c>
      <c r="Q4322" s="1">
        <v>3</v>
      </c>
      <c r="R4322" s="1">
        <f>Retail_Sales_Analyis[[#This Row],[Final_Price]]-Retail_Sales_Analyis[[#This Row],[Total_Price]]</f>
        <v>-1126.33</v>
      </c>
      <c r="S43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23" spans="1:19" x14ac:dyDescent="0.25">
      <c r="A4323" s="1" t="s">
        <v>5452</v>
      </c>
      <c r="B4323" s="2">
        <v>45339</v>
      </c>
      <c r="C4323" s="1" t="s">
        <v>27</v>
      </c>
      <c r="D4323" s="1" t="s">
        <v>19</v>
      </c>
      <c r="E4323" s="1" t="s">
        <v>342</v>
      </c>
      <c r="F4323" s="1" t="s">
        <v>30</v>
      </c>
      <c r="G4323" s="1" t="s">
        <v>169</v>
      </c>
      <c r="H4323" s="1" t="s">
        <v>348</v>
      </c>
      <c r="I4323" s="1">
        <v>576.14</v>
      </c>
      <c r="J4323" s="1">
        <v>6</v>
      </c>
      <c r="K4323" s="1">
        <v>3456.84</v>
      </c>
      <c r="L4323" s="1">
        <v>10</v>
      </c>
      <c r="M4323" s="1">
        <v>345.68</v>
      </c>
      <c r="N4323" s="1">
        <v>3111.16</v>
      </c>
      <c r="O4323" s="1" t="s">
        <v>46</v>
      </c>
      <c r="P4323" s="1" t="s">
        <v>1006</v>
      </c>
      <c r="Q4323" s="1">
        <v>3</v>
      </c>
      <c r="R4323" s="1">
        <f>Retail_Sales_Analyis[[#This Row],[Final_Price]]-Retail_Sales_Analyis[[#This Row],[Total_Price]]</f>
        <v>-345.68000000000029</v>
      </c>
      <c r="S432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24" spans="1:19" x14ac:dyDescent="0.25">
      <c r="A4324" s="1" t="s">
        <v>5453</v>
      </c>
      <c r="B4324" s="2">
        <v>45465</v>
      </c>
      <c r="C4324" s="1" t="s">
        <v>173</v>
      </c>
      <c r="D4324" s="1" t="s">
        <v>19</v>
      </c>
      <c r="E4324" s="1" t="s">
        <v>68</v>
      </c>
      <c r="F4324" s="1" t="s">
        <v>69</v>
      </c>
      <c r="G4324" s="1" t="s">
        <v>169</v>
      </c>
      <c r="H4324" s="1" t="s">
        <v>170</v>
      </c>
      <c r="I4324" s="1">
        <v>568.94000000000005</v>
      </c>
      <c r="J4324" s="1">
        <v>5</v>
      </c>
      <c r="K4324" s="1">
        <v>2844.7</v>
      </c>
      <c r="L4324" s="1">
        <v>0</v>
      </c>
      <c r="M4324" s="1">
        <v>0</v>
      </c>
      <c r="N4324" s="1">
        <v>2844.7</v>
      </c>
      <c r="O4324" s="1" t="s">
        <v>46</v>
      </c>
      <c r="P4324" s="1" t="s">
        <v>47</v>
      </c>
      <c r="Q4324" s="1">
        <v>4</v>
      </c>
      <c r="R4324" s="1">
        <f>Retail_Sales_Analyis[[#This Row],[Final_Price]]-Retail_Sales_Analyis[[#This Row],[Total_Price]]</f>
        <v>0</v>
      </c>
      <c r="S43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25" spans="1:19" x14ac:dyDescent="0.25">
      <c r="A4325" s="1" t="s">
        <v>5454</v>
      </c>
      <c r="B4325" s="2">
        <v>45596</v>
      </c>
      <c r="C4325" s="1" t="s">
        <v>76</v>
      </c>
      <c r="D4325" s="1" t="s">
        <v>67</v>
      </c>
      <c r="E4325" s="1" t="s">
        <v>29</v>
      </c>
      <c r="F4325" s="1" t="s">
        <v>21</v>
      </c>
      <c r="G4325" s="1" t="s">
        <v>85</v>
      </c>
      <c r="H4325" s="1" t="s">
        <v>98</v>
      </c>
      <c r="I4325" s="1">
        <v>3440.27</v>
      </c>
      <c r="J4325" s="1">
        <v>4</v>
      </c>
      <c r="K4325" s="1">
        <v>13761.08</v>
      </c>
      <c r="L4325" s="1">
        <v>0</v>
      </c>
      <c r="M4325" s="1">
        <v>0</v>
      </c>
      <c r="N4325" s="1">
        <v>13761.08</v>
      </c>
      <c r="O4325" s="1" t="s">
        <v>33</v>
      </c>
      <c r="P4325" s="1" t="s">
        <v>957</v>
      </c>
      <c r="Q4325" s="1">
        <v>3</v>
      </c>
      <c r="R4325" s="1">
        <f>Retail_Sales_Analyis[[#This Row],[Final_Price]]-Retail_Sales_Analyis[[#This Row],[Total_Price]]</f>
        <v>0</v>
      </c>
      <c r="S43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26" spans="1:19" x14ac:dyDescent="0.25">
      <c r="A4326" s="1" t="s">
        <v>5455</v>
      </c>
      <c r="B4326" s="2">
        <v>45606</v>
      </c>
      <c r="C4326" s="1" t="s">
        <v>18</v>
      </c>
      <c r="D4326" s="1" t="s">
        <v>49</v>
      </c>
      <c r="E4326" s="1" t="s">
        <v>337</v>
      </c>
      <c r="F4326" s="1" t="s">
        <v>84</v>
      </c>
      <c r="G4326" s="1" t="s">
        <v>57</v>
      </c>
      <c r="H4326" s="1" t="s">
        <v>158</v>
      </c>
      <c r="I4326" s="1">
        <v>1915.09</v>
      </c>
      <c r="J4326" s="1">
        <v>8</v>
      </c>
      <c r="K4326" s="1">
        <v>15320.72</v>
      </c>
      <c r="L4326" s="1">
        <v>0</v>
      </c>
      <c r="M4326" s="1">
        <v>0</v>
      </c>
      <c r="N4326" s="1">
        <v>15320.72</v>
      </c>
      <c r="O4326" s="1" t="s">
        <v>80</v>
      </c>
      <c r="P4326" s="1" t="s">
        <v>482</v>
      </c>
      <c r="Q4326" s="1">
        <v>5</v>
      </c>
      <c r="R4326" s="1">
        <f>Retail_Sales_Analyis[[#This Row],[Final_Price]]-Retail_Sales_Analyis[[#This Row],[Total_Price]]</f>
        <v>0</v>
      </c>
      <c r="S43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27" spans="1:19" x14ac:dyDescent="0.25">
      <c r="A4327" s="1" t="s">
        <v>5456</v>
      </c>
      <c r="B4327" s="2">
        <v>45539</v>
      </c>
      <c r="C4327" s="1" t="s">
        <v>116</v>
      </c>
      <c r="D4327" s="1" t="s">
        <v>55</v>
      </c>
      <c r="E4327" s="1" t="s">
        <v>139</v>
      </c>
      <c r="F4327" s="1" t="s">
        <v>69</v>
      </c>
      <c r="G4327" s="1" t="s">
        <v>85</v>
      </c>
      <c r="H4327" s="1" t="s">
        <v>90</v>
      </c>
      <c r="I4327" s="1">
        <v>1743.62</v>
      </c>
      <c r="J4327" s="1">
        <v>2</v>
      </c>
      <c r="K4327" s="1">
        <v>3487.24</v>
      </c>
      <c r="L4327" s="1">
        <v>10</v>
      </c>
      <c r="M4327" s="1">
        <v>348.72</v>
      </c>
      <c r="N4327" s="1">
        <v>3138.52</v>
      </c>
      <c r="O4327" s="1" t="s">
        <v>33</v>
      </c>
      <c r="P4327" s="1" t="s">
        <v>59</v>
      </c>
      <c r="Q4327" s="1">
        <v>1</v>
      </c>
      <c r="R4327" s="1">
        <f>Retail_Sales_Analyis[[#This Row],[Final_Price]]-Retail_Sales_Analyis[[#This Row],[Total_Price]]</f>
        <v>-348.7199999999998</v>
      </c>
      <c r="S43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28" spans="1:19" x14ac:dyDescent="0.25">
      <c r="A4328" s="1" t="s">
        <v>5457</v>
      </c>
      <c r="B4328" s="2">
        <v>45652</v>
      </c>
      <c r="C4328" s="1" t="s">
        <v>73</v>
      </c>
      <c r="D4328" s="1" t="s">
        <v>67</v>
      </c>
      <c r="E4328" s="1" t="s">
        <v>77</v>
      </c>
      <c r="F4328" s="1" t="s">
        <v>69</v>
      </c>
      <c r="G4328" s="1" t="s">
        <v>31</v>
      </c>
      <c r="H4328" s="1" t="s">
        <v>63</v>
      </c>
      <c r="I4328" s="1">
        <v>334.8</v>
      </c>
      <c r="J4328" s="1">
        <v>9</v>
      </c>
      <c r="K4328" s="1">
        <v>3013.2</v>
      </c>
      <c r="L4328" s="1">
        <v>15</v>
      </c>
      <c r="M4328" s="1">
        <v>451.98</v>
      </c>
      <c r="N4328" s="1">
        <v>2561.2199999999998</v>
      </c>
      <c r="O4328" s="1" t="s">
        <v>80</v>
      </c>
      <c r="P4328" s="1" t="s">
        <v>2148</v>
      </c>
      <c r="Q4328" s="1">
        <v>2</v>
      </c>
      <c r="R4328" s="1">
        <f>Retail_Sales_Analyis[[#This Row],[Final_Price]]-Retail_Sales_Analyis[[#This Row],[Total_Price]]</f>
        <v>-451.98</v>
      </c>
      <c r="S43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29" spans="1:19" x14ac:dyDescent="0.25">
      <c r="A4329" s="1" t="s">
        <v>5458</v>
      </c>
      <c r="B4329" s="2">
        <v>45307</v>
      </c>
      <c r="C4329" s="1" t="s">
        <v>36</v>
      </c>
      <c r="D4329" s="1" t="s">
        <v>28</v>
      </c>
      <c r="E4329" s="1" t="s">
        <v>132</v>
      </c>
      <c r="F4329" s="1" t="s">
        <v>84</v>
      </c>
      <c r="G4329" s="1" t="s">
        <v>31</v>
      </c>
      <c r="H4329" s="1" t="s">
        <v>32</v>
      </c>
      <c r="I4329" s="1">
        <v>161.4</v>
      </c>
      <c r="J4329" s="1">
        <v>10</v>
      </c>
      <c r="K4329" s="1">
        <v>1614</v>
      </c>
      <c r="L4329" s="1">
        <v>5</v>
      </c>
      <c r="M4329" s="1">
        <v>80.7</v>
      </c>
      <c r="N4329" s="1">
        <v>1533.3</v>
      </c>
      <c r="O4329" s="1" t="s">
        <v>33</v>
      </c>
      <c r="P4329" s="1" t="s">
        <v>1977</v>
      </c>
      <c r="Q4329" s="1">
        <v>2</v>
      </c>
      <c r="R4329" s="1">
        <f>Retail_Sales_Analyis[[#This Row],[Final_Price]]-Retail_Sales_Analyis[[#This Row],[Total_Price]]</f>
        <v>-80.700000000000045</v>
      </c>
      <c r="S432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30" spans="1:19" x14ac:dyDescent="0.25">
      <c r="A4330" s="1" t="s">
        <v>5459</v>
      </c>
      <c r="B4330" s="2">
        <v>45512</v>
      </c>
      <c r="C4330" s="1" t="s">
        <v>93</v>
      </c>
      <c r="D4330" s="1" t="s">
        <v>67</v>
      </c>
      <c r="E4330" s="1" t="s">
        <v>104</v>
      </c>
      <c r="F4330" s="1" t="s">
        <v>84</v>
      </c>
      <c r="G4330" s="1" t="s">
        <v>57</v>
      </c>
      <c r="H4330" s="1" t="s">
        <v>58</v>
      </c>
      <c r="I4330" s="1">
        <v>2567.52</v>
      </c>
      <c r="J4330" s="1">
        <v>7</v>
      </c>
      <c r="K4330" s="1">
        <v>17972.64</v>
      </c>
      <c r="L4330" s="1">
        <v>0</v>
      </c>
      <c r="M4330" s="1">
        <v>0</v>
      </c>
      <c r="N4330" s="1">
        <v>17972.64</v>
      </c>
      <c r="O4330" s="1" t="s">
        <v>80</v>
      </c>
      <c r="P4330" s="1" t="s">
        <v>293</v>
      </c>
      <c r="Q4330" s="1">
        <v>4</v>
      </c>
      <c r="R4330" s="1">
        <f>Retail_Sales_Analyis[[#This Row],[Final_Price]]-Retail_Sales_Analyis[[#This Row],[Total_Price]]</f>
        <v>0</v>
      </c>
      <c r="S43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31" spans="1:19" x14ac:dyDescent="0.25">
      <c r="A4331" s="1" t="s">
        <v>5460</v>
      </c>
      <c r="B4331" s="2">
        <v>45626</v>
      </c>
      <c r="C4331" s="1" t="s">
        <v>18</v>
      </c>
      <c r="D4331" s="1" t="s">
        <v>19</v>
      </c>
      <c r="E4331" s="1" t="s">
        <v>307</v>
      </c>
      <c r="F4331" s="1" t="s">
        <v>37</v>
      </c>
      <c r="G4331" s="1" t="s">
        <v>78</v>
      </c>
      <c r="H4331" s="1" t="s">
        <v>323</v>
      </c>
      <c r="I4331" s="1">
        <v>589.24</v>
      </c>
      <c r="J4331" s="1">
        <v>1</v>
      </c>
      <c r="K4331" s="1">
        <v>589.24</v>
      </c>
      <c r="L4331" s="1">
        <v>15</v>
      </c>
      <c r="M4331" s="1">
        <v>88.39</v>
      </c>
      <c r="N4331" s="1">
        <v>500.85</v>
      </c>
      <c r="O4331" s="1" t="s">
        <v>46</v>
      </c>
      <c r="P4331" s="1" t="s">
        <v>2055</v>
      </c>
      <c r="Q4331" s="1">
        <v>3</v>
      </c>
      <c r="R4331" s="1">
        <f>Retail_Sales_Analyis[[#This Row],[Final_Price]]-Retail_Sales_Analyis[[#This Row],[Total_Price]]</f>
        <v>-88.389999999999986</v>
      </c>
      <c r="S43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32" spans="1:19" x14ac:dyDescent="0.25">
      <c r="A4332" s="1" t="s">
        <v>5461</v>
      </c>
      <c r="B4332" s="2">
        <v>45376</v>
      </c>
      <c r="C4332" s="1" t="s">
        <v>61</v>
      </c>
      <c r="D4332" s="1" t="s">
        <v>43</v>
      </c>
      <c r="E4332" s="1" t="s">
        <v>337</v>
      </c>
      <c r="F4332" s="1" t="s">
        <v>69</v>
      </c>
      <c r="G4332" s="1" t="s">
        <v>85</v>
      </c>
      <c r="H4332" s="1" t="s">
        <v>90</v>
      </c>
      <c r="I4332" s="1">
        <v>2598.92</v>
      </c>
      <c r="J4332" s="1">
        <v>10</v>
      </c>
      <c r="K4332" s="1">
        <v>25989.200000000001</v>
      </c>
      <c r="L4332" s="1">
        <v>15</v>
      </c>
      <c r="M4332" s="1">
        <v>3898.38</v>
      </c>
      <c r="N4332" s="1">
        <v>22090.82</v>
      </c>
      <c r="O4332" s="1" t="s">
        <v>24</v>
      </c>
      <c r="P4332" s="1" t="s">
        <v>568</v>
      </c>
      <c r="Q4332" s="1">
        <v>1</v>
      </c>
      <c r="R4332" s="1">
        <f>Retail_Sales_Analyis[[#This Row],[Final_Price]]-Retail_Sales_Analyis[[#This Row],[Total_Price]]</f>
        <v>-3898.380000000001</v>
      </c>
      <c r="S43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33" spans="1:19" x14ac:dyDescent="0.25">
      <c r="A4333" s="1" t="s">
        <v>5462</v>
      </c>
      <c r="B4333" s="2">
        <v>45602</v>
      </c>
      <c r="C4333" s="1" t="s">
        <v>18</v>
      </c>
      <c r="D4333" s="1" t="s">
        <v>55</v>
      </c>
      <c r="E4333" s="1" t="s">
        <v>312</v>
      </c>
      <c r="F4333" s="1" t="s">
        <v>84</v>
      </c>
      <c r="G4333" s="1" t="s">
        <v>57</v>
      </c>
      <c r="H4333" s="1" t="s">
        <v>101</v>
      </c>
      <c r="I4333" s="1">
        <v>2131.2600000000002</v>
      </c>
      <c r="J4333" s="1">
        <v>3</v>
      </c>
      <c r="K4333" s="1">
        <v>6393.78</v>
      </c>
      <c r="L4333" s="1">
        <v>5</v>
      </c>
      <c r="M4333" s="1">
        <v>319.69</v>
      </c>
      <c r="N4333" s="1">
        <v>6074.09</v>
      </c>
      <c r="O4333" s="1" t="s">
        <v>46</v>
      </c>
      <c r="P4333" s="1" t="s">
        <v>1412</v>
      </c>
      <c r="Q4333" s="1">
        <v>2</v>
      </c>
      <c r="R4333" s="1">
        <f>Retail_Sales_Analyis[[#This Row],[Final_Price]]-Retail_Sales_Analyis[[#This Row],[Total_Price]]</f>
        <v>-319.6899999999996</v>
      </c>
      <c r="S433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34" spans="1:19" x14ac:dyDescent="0.25">
      <c r="A4334" s="1" t="s">
        <v>5463</v>
      </c>
      <c r="B4334" s="2">
        <v>45514</v>
      </c>
      <c r="C4334" s="1" t="s">
        <v>93</v>
      </c>
      <c r="D4334" s="1" t="s">
        <v>19</v>
      </c>
      <c r="E4334" s="1" t="s">
        <v>104</v>
      </c>
      <c r="F4334" s="1" t="s">
        <v>37</v>
      </c>
      <c r="G4334" s="1" t="s">
        <v>78</v>
      </c>
      <c r="H4334" s="1" t="s">
        <v>323</v>
      </c>
      <c r="I4334" s="1">
        <v>323.61</v>
      </c>
      <c r="J4334" s="1">
        <v>1</v>
      </c>
      <c r="K4334" s="1">
        <v>323.61</v>
      </c>
      <c r="L4334" s="1">
        <v>0</v>
      </c>
      <c r="M4334" s="1">
        <v>0</v>
      </c>
      <c r="N4334" s="1">
        <v>323.61</v>
      </c>
      <c r="O4334" s="1" t="s">
        <v>80</v>
      </c>
      <c r="P4334" s="1" t="s">
        <v>340</v>
      </c>
      <c r="Q4334" s="1">
        <v>3</v>
      </c>
      <c r="R4334" s="1">
        <f>Retail_Sales_Analyis[[#This Row],[Final_Price]]-Retail_Sales_Analyis[[#This Row],[Total_Price]]</f>
        <v>0</v>
      </c>
      <c r="S433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35" spans="1:19" x14ac:dyDescent="0.25">
      <c r="A4335" s="1" t="s">
        <v>5464</v>
      </c>
      <c r="B4335" s="2">
        <v>45372</v>
      </c>
      <c r="C4335" s="1" t="s">
        <v>61</v>
      </c>
      <c r="D4335" s="1" t="s">
        <v>67</v>
      </c>
      <c r="E4335" s="1" t="s">
        <v>145</v>
      </c>
      <c r="F4335" s="1" t="s">
        <v>84</v>
      </c>
      <c r="G4335" s="1" t="s">
        <v>78</v>
      </c>
      <c r="H4335" s="1" t="s">
        <v>136</v>
      </c>
      <c r="I4335" s="1">
        <v>374.94</v>
      </c>
      <c r="J4335" s="1">
        <v>2</v>
      </c>
      <c r="K4335" s="1">
        <v>749.88</v>
      </c>
      <c r="L4335" s="1">
        <v>5</v>
      </c>
      <c r="M4335" s="1">
        <v>37.49</v>
      </c>
      <c r="N4335" s="1">
        <v>712.39</v>
      </c>
      <c r="O4335" s="1" t="s">
        <v>33</v>
      </c>
      <c r="P4335" s="1" t="s">
        <v>1301</v>
      </c>
      <c r="Q4335" s="1">
        <v>3</v>
      </c>
      <c r="R4335" s="1">
        <f>Retail_Sales_Analyis[[#This Row],[Final_Price]]-Retail_Sales_Analyis[[#This Row],[Total_Price]]</f>
        <v>-37.490000000000009</v>
      </c>
      <c r="S433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36" spans="1:19" x14ac:dyDescent="0.25">
      <c r="A4336" s="1" t="s">
        <v>5465</v>
      </c>
      <c r="B4336" s="2">
        <v>45319</v>
      </c>
      <c r="C4336" s="1" t="s">
        <v>36</v>
      </c>
      <c r="D4336" s="1" t="s">
        <v>49</v>
      </c>
      <c r="E4336" s="1" t="s">
        <v>163</v>
      </c>
      <c r="F4336" s="1" t="s">
        <v>69</v>
      </c>
      <c r="G4336" s="1" t="s">
        <v>31</v>
      </c>
      <c r="H4336" s="1" t="s">
        <v>250</v>
      </c>
      <c r="I4336" s="1">
        <v>175.08</v>
      </c>
      <c r="J4336" s="1">
        <v>6</v>
      </c>
      <c r="K4336" s="1">
        <v>1050.48</v>
      </c>
      <c r="L4336" s="1">
        <v>10</v>
      </c>
      <c r="M4336" s="1">
        <v>105.05</v>
      </c>
      <c r="N4336" s="1">
        <v>945.43</v>
      </c>
      <c r="O4336" s="1" t="s">
        <v>24</v>
      </c>
      <c r="P4336" s="1" t="s">
        <v>109</v>
      </c>
      <c r="Q4336" s="1">
        <v>5</v>
      </c>
      <c r="R4336" s="1">
        <f>Retail_Sales_Analyis[[#This Row],[Final_Price]]-Retail_Sales_Analyis[[#This Row],[Total_Price]]</f>
        <v>-105.05000000000007</v>
      </c>
      <c r="S43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37" spans="1:19" x14ac:dyDescent="0.25">
      <c r="A4337" s="1" t="s">
        <v>5466</v>
      </c>
      <c r="B4337" s="2">
        <v>45343</v>
      </c>
      <c r="C4337" s="1" t="s">
        <v>27</v>
      </c>
      <c r="D4337" s="1" t="s">
        <v>55</v>
      </c>
      <c r="E4337" s="1" t="s">
        <v>97</v>
      </c>
      <c r="F4337" s="1" t="s">
        <v>30</v>
      </c>
      <c r="G4337" s="1" t="s">
        <v>112</v>
      </c>
      <c r="H4337" s="1" t="s">
        <v>183</v>
      </c>
      <c r="I4337" s="1">
        <v>1506.88</v>
      </c>
      <c r="J4337" s="1">
        <v>5</v>
      </c>
      <c r="K4337" s="1">
        <v>7534.4</v>
      </c>
      <c r="L4337" s="1">
        <v>0</v>
      </c>
      <c r="M4337" s="1">
        <v>0</v>
      </c>
      <c r="N4337" s="1">
        <v>7534.4</v>
      </c>
      <c r="O4337" s="1" t="s">
        <v>33</v>
      </c>
      <c r="P4337" s="1" t="s">
        <v>734</v>
      </c>
      <c r="Q4337" s="1">
        <v>3</v>
      </c>
      <c r="R4337" s="1">
        <f>Retail_Sales_Analyis[[#This Row],[Final_Price]]-Retail_Sales_Analyis[[#This Row],[Total_Price]]</f>
        <v>0</v>
      </c>
      <c r="S43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38" spans="1:19" x14ac:dyDescent="0.25">
      <c r="A4338" s="1" t="s">
        <v>5467</v>
      </c>
      <c r="B4338" s="2">
        <v>45461</v>
      </c>
      <c r="C4338" s="1" t="s">
        <v>173</v>
      </c>
      <c r="D4338" s="1" t="s">
        <v>28</v>
      </c>
      <c r="E4338" s="1" t="s">
        <v>50</v>
      </c>
      <c r="F4338" s="1" t="s">
        <v>69</v>
      </c>
      <c r="G4338" s="1" t="s">
        <v>57</v>
      </c>
      <c r="H4338" s="1" t="s">
        <v>122</v>
      </c>
      <c r="I4338" s="1">
        <v>2457.96</v>
      </c>
      <c r="J4338" s="1">
        <v>6</v>
      </c>
      <c r="K4338" s="1">
        <v>14747.76</v>
      </c>
      <c r="L4338" s="1">
        <v>0</v>
      </c>
      <c r="M4338" s="1">
        <v>0</v>
      </c>
      <c r="N4338" s="1">
        <v>14747.76</v>
      </c>
      <c r="O4338" s="1" t="s">
        <v>33</v>
      </c>
      <c r="P4338" s="1" t="s">
        <v>1315</v>
      </c>
      <c r="Q4338" s="1">
        <v>3</v>
      </c>
      <c r="R4338" s="1">
        <f>Retail_Sales_Analyis[[#This Row],[Final_Price]]-Retail_Sales_Analyis[[#This Row],[Total_Price]]</f>
        <v>0</v>
      </c>
      <c r="S43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39" spans="1:19" x14ac:dyDescent="0.25">
      <c r="A4339" s="1" t="s">
        <v>5468</v>
      </c>
      <c r="B4339" s="2">
        <v>45397</v>
      </c>
      <c r="C4339" s="1" t="s">
        <v>54</v>
      </c>
      <c r="D4339" s="1" t="s">
        <v>43</v>
      </c>
      <c r="E4339" s="1" t="s">
        <v>117</v>
      </c>
      <c r="F4339" s="1" t="s">
        <v>37</v>
      </c>
      <c r="G4339" s="1" t="s">
        <v>22</v>
      </c>
      <c r="H4339" s="1" t="s">
        <v>187</v>
      </c>
      <c r="I4339" s="1">
        <v>373.54</v>
      </c>
      <c r="J4339" s="1">
        <v>10</v>
      </c>
      <c r="K4339" s="1">
        <v>3735.4</v>
      </c>
      <c r="L4339" s="1">
        <v>0</v>
      </c>
      <c r="M4339" s="1">
        <v>0</v>
      </c>
      <c r="N4339" s="1">
        <v>3735.4</v>
      </c>
      <c r="O4339" s="1" t="s">
        <v>24</v>
      </c>
      <c r="P4339" s="1" t="s">
        <v>5397</v>
      </c>
      <c r="Q4339" s="1">
        <v>4</v>
      </c>
      <c r="R4339" s="1">
        <f>Retail_Sales_Analyis[[#This Row],[Final_Price]]-Retail_Sales_Analyis[[#This Row],[Total_Price]]</f>
        <v>0</v>
      </c>
      <c r="S433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40" spans="1:19" x14ac:dyDescent="0.25">
      <c r="A4340" s="1" t="s">
        <v>5469</v>
      </c>
      <c r="B4340" s="2">
        <v>45389</v>
      </c>
      <c r="C4340" s="1" t="s">
        <v>54</v>
      </c>
      <c r="D4340" s="1" t="s">
        <v>49</v>
      </c>
      <c r="E4340" s="1" t="s">
        <v>129</v>
      </c>
      <c r="F4340" s="1" t="s">
        <v>37</v>
      </c>
      <c r="G4340" s="1" t="s">
        <v>169</v>
      </c>
      <c r="H4340" s="1" t="s">
        <v>366</v>
      </c>
      <c r="I4340" s="1">
        <v>1322.47</v>
      </c>
      <c r="J4340" s="1">
        <v>7</v>
      </c>
      <c r="K4340" s="1">
        <v>9257.2900000000009</v>
      </c>
      <c r="L4340" s="1">
        <v>10</v>
      </c>
      <c r="M4340" s="1">
        <v>925.73</v>
      </c>
      <c r="N4340" s="1">
        <v>8331.56</v>
      </c>
      <c r="O4340" s="1" t="s">
        <v>33</v>
      </c>
      <c r="P4340" s="1" t="s">
        <v>1851</v>
      </c>
      <c r="Q4340" s="1">
        <v>4</v>
      </c>
      <c r="R4340" s="1">
        <f>Retail_Sales_Analyis[[#This Row],[Final_Price]]-Retail_Sales_Analyis[[#This Row],[Total_Price]]</f>
        <v>-925.73000000000138</v>
      </c>
      <c r="S43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1" spans="1:19" x14ac:dyDescent="0.25">
      <c r="A4341" s="1" t="s">
        <v>5470</v>
      </c>
      <c r="B4341" s="2">
        <v>45501</v>
      </c>
      <c r="C4341" s="1" t="s">
        <v>195</v>
      </c>
      <c r="D4341" s="1" t="s">
        <v>49</v>
      </c>
      <c r="E4341" s="1" t="s">
        <v>312</v>
      </c>
      <c r="F4341" s="1" t="s">
        <v>37</v>
      </c>
      <c r="G4341" s="1" t="s">
        <v>85</v>
      </c>
      <c r="H4341" s="1" t="s">
        <v>90</v>
      </c>
      <c r="I4341" s="1">
        <v>1427.03</v>
      </c>
      <c r="J4341" s="1">
        <v>7</v>
      </c>
      <c r="K4341" s="1">
        <v>9989.2099999999991</v>
      </c>
      <c r="L4341" s="1">
        <v>10</v>
      </c>
      <c r="M4341" s="1">
        <v>998.92</v>
      </c>
      <c r="N4341" s="1">
        <v>8990.2900000000009</v>
      </c>
      <c r="O4341" s="1" t="s">
        <v>64</v>
      </c>
      <c r="P4341" s="1" t="s">
        <v>2328</v>
      </c>
      <c r="Q4341" s="1">
        <v>5</v>
      </c>
      <c r="R4341" s="1">
        <f>Retail_Sales_Analyis[[#This Row],[Final_Price]]-Retail_Sales_Analyis[[#This Row],[Total_Price]]</f>
        <v>-998.91999999999825</v>
      </c>
      <c r="S43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2" spans="1:19" x14ac:dyDescent="0.25">
      <c r="A4342" s="1" t="s">
        <v>5471</v>
      </c>
      <c r="B4342" s="2">
        <v>45648</v>
      </c>
      <c r="C4342" s="1" t="s">
        <v>73</v>
      </c>
      <c r="D4342" s="1" t="s">
        <v>49</v>
      </c>
      <c r="E4342" s="1" t="s">
        <v>196</v>
      </c>
      <c r="F4342" s="1" t="s">
        <v>84</v>
      </c>
      <c r="G4342" s="1" t="s">
        <v>85</v>
      </c>
      <c r="H4342" s="1" t="s">
        <v>86</v>
      </c>
      <c r="I4342" s="1">
        <v>4460.21</v>
      </c>
      <c r="J4342" s="1">
        <v>9</v>
      </c>
      <c r="K4342" s="1">
        <v>40141.89</v>
      </c>
      <c r="L4342" s="1">
        <v>0</v>
      </c>
      <c r="M4342" s="1">
        <v>0</v>
      </c>
      <c r="N4342" s="1">
        <v>40141.89</v>
      </c>
      <c r="O4342" s="1" t="s">
        <v>64</v>
      </c>
      <c r="P4342" s="1" t="s">
        <v>3248</v>
      </c>
      <c r="Q4342" s="1">
        <v>4</v>
      </c>
      <c r="R4342" s="1">
        <f>Retail_Sales_Analyis[[#This Row],[Final_Price]]-Retail_Sales_Analyis[[#This Row],[Total_Price]]</f>
        <v>0</v>
      </c>
      <c r="S43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43" spans="1:19" x14ac:dyDescent="0.25">
      <c r="A4343" s="1" t="s">
        <v>5472</v>
      </c>
      <c r="B4343" s="2">
        <v>45575</v>
      </c>
      <c r="C4343" s="1" t="s">
        <v>76</v>
      </c>
      <c r="D4343" s="1" t="s">
        <v>67</v>
      </c>
      <c r="E4343" s="1" t="s">
        <v>125</v>
      </c>
      <c r="F4343" s="1" t="s">
        <v>69</v>
      </c>
      <c r="G4343" s="1" t="s">
        <v>85</v>
      </c>
      <c r="H4343" s="1" t="s">
        <v>297</v>
      </c>
      <c r="I4343" s="1">
        <v>2155.14</v>
      </c>
      <c r="J4343" s="1">
        <v>10</v>
      </c>
      <c r="K4343" s="1">
        <v>21551.4</v>
      </c>
      <c r="L4343" s="1">
        <v>0</v>
      </c>
      <c r="M4343" s="1">
        <v>0</v>
      </c>
      <c r="N4343" s="1">
        <v>21551.4</v>
      </c>
      <c r="O4343" s="1" t="s">
        <v>46</v>
      </c>
      <c r="P4343" s="1" t="s">
        <v>47</v>
      </c>
      <c r="Q4343" s="1">
        <v>1</v>
      </c>
      <c r="R4343" s="1">
        <f>Retail_Sales_Analyis[[#This Row],[Final_Price]]-Retail_Sales_Analyis[[#This Row],[Total_Price]]</f>
        <v>0</v>
      </c>
      <c r="S43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44" spans="1:19" x14ac:dyDescent="0.25">
      <c r="A4344" s="1" t="s">
        <v>5473</v>
      </c>
      <c r="B4344" s="2">
        <v>45568</v>
      </c>
      <c r="C4344" s="1" t="s">
        <v>76</v>
      </c>
      <c r="D4344" s="1" t="s">
        <v>67</v>
      </c>
      <c r="E4344" s="1" t="s">
        <v>342</v>
      </c>
      <c r="F4344" s="1" t="s">
        <v>84</v>
      </c>
      <c r="G4344" s="1" t="s">
        <v>31</v>
      </c>
      <c r="H4344" s="1" t="s">
        <v>250</v>
      </c>
      <c r="I4344" s="1">
        <v>51.14</v>
      </c>
      <c r="J4344" s="1">
        <v>7</v>
      </c>
      <c r="K4344" s="1">
        <v>357.98</v>
      </c>
      <c r="L4344" s="1">
        <v>15</v>
      </c>
      <c r="M4344" s="1">
        <v>53.7</v>
      </c>
      <c r="N4344" s="1">
        <v>304.27999999999997</v>
      </c>
      <c r="O4344" s="1" t="s">
        <v>64</v>
      </c>
      <c r="P4344" s="1" t="s">
        <v>957</v>
      </c>
      <c r="Q4344" s="1">
        <v>5</v>
      </c>
      <c r="R4344" s="1">
        <f>Retail_Sales_Analyis[[#This Row],[Final_Price]]-Retail_Sales_Analyis[[#This Row],[Total_Price]]</f>
        <v>-53.700000000000045</v>
      </c>
      <c r="S43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5" spans="1:19" x14ac:dyDescent="0.25">
      <c r="A4345" s="1" t="s">
        <v>5474</v>
      </c>
      <c r="B4345" s="2">
        <v>45427</v>
      </c>
      <c r="C4345" s="1" t="s">
        <v>42</v>
      </c>
      <c r="D4345" s="1" t="s">
        <v>55</v>
      </c>
      <c r="E4345" s="1" t="s">
        <v>302</v>
      </c>
      <c r="F4345" s="1" t="s">
        <v>84</v>
      </c>
      <c r="G4345" s="1" t="s">
        <v>57</v>
      </c>
      <c r="H4345" s="1" t="s">
        <v>152</v>
      </c>
      <c r="I4345" s="1">
        <v>1342.39</v>
      </c>
      <c r="J4345" s="1">
        <v>5</v>
      </c>
      <c r="K4345" s="1">
        <v>6711.95</v>
      </c>
      <c r="L4345" s="1">
        <v>15</v>
      </c>
      <c r="M4345" s="1">
        <v>1006.79</v>
      </c>
      <c r="N4345" s="1">
        <v>5705.16</v>
      </c>
      <c r="O4345" s="1" t="s">
        <v>80</v>
      </c>
      <c r="P4345" s="1" t="s">
        <v>2241</v>
      </c>
      <c r="Q4345" s="1">
        <v>2</v>
      </c>
      <c r="R4345" s="1">
        <f>Retail_Sales_Analyis[[#This Row],[Final_Price]]-Retail_Sales_Analyis[[#This Row],[Total_Price]]</f>
        <v>-1006.79</v>
      </c>
      <c r="S43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6" spans="1:19" x14ac:dyDescent="0.25">
      <c r="A4346" s="1" t="s">
        <v>5475</v>
      </c>
      <c r="B4346" s="2">
        <v>45630</v>
      </c>
      <c r="C4346" s="1" t="s">
        <v>73</v>
      </c>
      <c r="D4346" s="1" t="s">
        <v>55</v>
      </c>
      <c r="E4346" s="1" t="s">
        <v>62</v>
      </c>
      <c r="F4346" s="1" t="s">
        <v>69</v>
      </c>
      <c r="G4346" s="1" t="s">
        <v>169</v>
      </c>
      <c r="H4346" s="1" t="s">
        <v>348</v>
      </c>
      <c r="I4346" s="1">
        <v>831.65</v>
      </c>
      <c r="J4346" s="1">
        <v>4</v>
      </c>
      <c r="K4346" s="1">
        <v>3326.6</v>
      </c>
      <c r="L4346" s="1">
        <v>10</v>
      </c>
      <c r="M4346" s="1">
        <v>332.66</v>
      </c>
      <c r="N4346" s="1">
        <v>2993.94</v>
      </c>
      <c r="O4346" s="1" t="s">
        <v>33</v>
      </c>
      <c r="P4346" s="1" t="s">
        <v>2718</v>
      </c>
      <c r="Q4346" s="1">
        <v>4</v>
      </c>
      <c r="R4346" s="1">
        <f>Retail_Sales_Analyis[[#This Row],[Final_Price]]-Retail_Sales_Analyis[[#This Row],[Total_Price]]</f>
        <v>-332.65999999999985</v>
      </c>
      <c r="S43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7" spans="1:19" x14ac:dyDescent="0.25">
      <c r="A4347" s="1" t="s">
        <v>5476</v>
      </c>
      <c r="B4347" s="2">
        <v>45436</v>
      </c>
      <c r="C4347" s="1" t="s">
        <v>42</v>
      </c>
      <c r="D4347" s="1" t="s">
        <v>144</v>
      </c>
      <c r="E4347" s="1" t="s">
        <v>29</v>
      </c>
      <c r="F4347" s="1" t="s">
        <v>30</v>
      </c>
      <c r="G4347" s="1" t="s">
        <v>22</v>
      </c>
      <c r="H4347" s="1" t="s">
        <v>51</v>
      </c>
      <c r="I4347" s="1">
        <v>584.6</v>
      </c>
      <c r="J4347" s="1">
        <v>6</v>
      </c>
      <c r="K4347" s="1">
        <v>3507.6</v>
      </c>
      <c r="L4347" s="1">
        <v>10</v>
      </c>
      <c r="M4347" s="1">
        <v>350.76</v>
      </c>
      <c r="N4347" s="1">
        <v>3156.84</v>
      </c>
      <c r="O4347" s="1" t="s">
        <v>46</v>
      </c>
      <c r="P4347" s="1" t="s">
        <v>2659</v>
      </c>
      <c r="Q4347" s="1">
        <v>4</v>
      </c>
      <c r="R4347" s="1">
        <f>Retail_Sales_Analyis[[#This Row],[Final_Price]]-Retail_Sales_Analyis[[#This Row],[Total_Price]]</f>
        <v>-350.75999999999976</v>
      </c>
      <c r="S43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48" spans="1:19" x14ac:dyDescent="0.25">
      <c r="A4348" s="1" t="s">
        <v>5477</v>
      </c>
      <c r="B4348" s="2">
        <v>45444</v>
      </c>
      <c r="C4348" s="1" t="s">
        <v>173</v>
      </c>
      <c r="D4348" s="1" t="s">
        <v>19</v>
      </c>
      <c r="E4348" s="1" t="s">
        <v>157</v>
      </c>
      <c r="F4348" s="1" t="s">
        <v>30</v>
      </c>
      <c r="G4348" s="1" t="s">
        <v>169</v>
      </c>
      <c r="H4348" s="1" t="s">
        <v>208</v>
      </c>
      <c r="I4348" s="1">
        <v>682.14</v>
      </c>
      <c r="J4348" s="1">
        <v>8</v>
      </c>
      <c r="K4348" s="1">
        <v>5457.12</v>
      </c>
      <c r="L4348" s="1">
        <v>5</v>
      </c>
      <c r="M4348" s="1">
        <v>272.86</v>
      </c>
      <c r="N4348" s="1">
        <v>5184.26</v>
      </c>
      <c r="O4348" s="1" t="s">
        <v>64</v>
      </c>
      <c r="P4348" s="1" t="s">
        <v>3545</v>
      </c>
      <c r="Q4348" s="1">
        <v>3</v>
      </c>
      <c r="R4348" s="1">
        <f>Retail_Sales_Analyis[[#This Row],[Final_Price]]-Retail_Sales_Analyis[[#This Row],[Total_Price]]</f>
        <v>-272.85999999999967</v>
      </c>
      <c r="S43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49" spans="1:19" x14ac:dyDescent="0.25">
      <c r="A4349" s="1" t="s">
        <v>5478</v>
      </c>
      <c r="B4349" s="2">
        <v>45413</v>
      </c>
      <c r="C4349" s="1" t="s">
        <v>42</v>
      </c>
      <c r="D4349" s="1" t="s">
        <v>55</v>
      </c>
      <c r="E4349" s="1" t="s">
        <v>163</v>
      </c>
      <c r="F4349" s="1" t="s">
        <v>37</v>
      </c>
      <c r="G4349" s="1" t="s">
        <v>85</v>
      </c>
      <c r="H4349" s="1" t="s">
        <v>180</v>
      </c>
      <c r="I4349" s="1">
        <v>3753.78</v>
      </c>
      <c r="J4349" s="1">
        <v>9</v>
      </c>
      <c r="K4349" s="1">
        <v>33784.019999999997</v>
      </c>
      <c r="L4349" s="1">
        <v>15</v>
      </c>
      <c r="M4349" s="1">
        <v>5067.6000000000004</v>
      </c>
      <c r="N4349" s="1">
        <v>28716.42</v>
      </c>
      <c r="O4349" s="1" t="s">
        <v>80</v>
      </c>
      <c r="P4349" s="1" t="s">
        <v>2551</v>
      </c>
      <c r="Q4349" s="1">
        <v>5</v>
      </c>
      <c r="R4349" s="1">
        <f>Retail_Sales_Analyis[[#This Row],[Final_Price]]-Retail_Sales_Analyis[[#This Row],[Total_Price]]</f>
        <v>-5067.5999999999985</v>
      </c>
      <c r="S434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50" spans="1:19" x14ac:dyDescent="0.25">
      <c r="A4350" s="1" t="s">
        <v>5479</v>
      </c>
      <c r="B4350" s="2">
        <v>45341</v>
      </c>
      <c r="C4350" s="1" t="s">
        <v>27</v>
      </c>
      <c r="D4350" s="1" t="s">
        <v>43</v>
      </c>
      <c r="E4350" s="1" t="s">
        <v>213</v>
      </c>
      <c r="F4350" s="1" t="s">
        <v>30</v>
      </c>
      <c r="G4350" s="1" t="s">
        <v>78</v>
      </c>
      <c r="H4350" s="1" t="s">
        <v>323</v>
      </c>
      <c r="I4350" s="1">
        <v>387.87</v>
      </c>
      <c r="J4350" s="1">
        <v>3</v>
      </c>
      <c r="K4350" s="1">
        <v>1163.6099999999999</v>
      </c>
      <c r="L4350" s="1">
        <v>0</v>
      </c>
      <c r="M4350" s="1">
        <v>0</v>
      </c>
      <c r="N4350" s="1">
        <v>1163.6099999999999</v>
      </c>
      <c r="O4350" s="1" t="s">
        <v>46</v>
      </c>
      <c r="P4350" s="1" t="s">
        <v>720</v>
      </c>
      <c r="Q4350" s="1">
        <v>4</v>
      </c>
      <c r="R4350" s="1">
        <f>Retail_Sales_Analyis[[#This Row],[Final_Price]]-Retail_Sales_Analyis[[#This Row],[Total_Price]]</f>
        <v>0</v>
      </c>
      <c r="S43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51" spans="1:19" x14ac:dyDescent="0.25">
      <c r="A4351" s="1" t="s">
        <v>5480</v>
      </c>
      <c r="B4351" s="2">
        <v>45317</v>
      </c>
      <c r="C4351" s="1" t="s">
        <v>36</v>
      </c>
      <c r="D4351" s="1" t="s">
        <v>144</v>
      </c>
      <c r="E4351" s="1" t="s">
        <v>94</v>
      </c>
      <c r="F4351" s="1" t="s">
        <v>37</v>
      </c>
      <c r="G4351" s="1" t="s">
        <v>78</v>
      </c>
      <c r="H4351" s="1" t="s">
        <v>136</v>
      </c>
      <c r="I4351" s="1">
        <v>433.18</v>
      </c>
      <c r="J4351" s="1">
        <v>1</v>
      </c>
      <c r="K4351" s="1">
        <v>433.18</v>
      </c>
      <c r="L4351" s="1">
        <v>10</v>
      </c>
      <c r="M4351" s="1">
        <v>43.32</v>
      </c>
      <c r="N4351" s="1">
        <v>389.86</v>
      </c>
      <c r="O4351" s="1" t="s">
        <v>24</v>
      </c>
      <c r="P4351" s="1" t="s">
        <v>2035</v>
      </c>
      <c r="Q4351" s="1">
        <v>2</v>
      </c>
      <c r="R4351" s="1">
        <f>Retail_Sales_Analyis[[#This Row],[Final_Price]]-Retail_Sales_Analyis[[#This Row],[Total_Price]]</f>
        <v>-43.319999999999993</v>
      </c>
      <c r="S435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52" spans="1:19" x14ac:dyDescent="0.25">
      <c r="A4352" s="1" t="s">
        <v>5481</v>
      </c>
      <c r="B4352" s="2">
        <v>45493</v>
      </c>
      <c r="C4352" s="1" t="s">
        <v>195</v>
      </c>
      <c r="D4352" s="1" t="s">
        <v>19</v>
      </c>
      <c r="E4352" s="1" t="s">
        <v>29</v>
      </c>
      <c r="F4352" s="1" t="s">
        <v>37</v>
      </c>
      <c r="G4352" s="1" t="s">
        <v>38</v>
      </c>
      <c r="H4352" s="1" t="s">
        <v>39</v>
      </c>
      <c r="I4352" s="1">
        <v>358.89</v>
      </c>
      <c r="J4352" s="1">
        <v>8</v>
      </c>
      <c r="K4352" s="1">
        <v>2871.12</v>
      </c>
      <c r="L4352" s="1">
        <v>15</v>
      </c>
      <c r="M4352" s="1">
        <v>430.67</v>
      </c>
      <c r="N4352" s="1">
        <v>2440.4499999999998</v>
      </c>
      <c r="O4352" s="1" t="s">
        <v>46</v>
      </c>
      <c r="P4352" s="1" t="s">
        <v>1881</v>
      </c>
      <c r="Q4352" s="1">
        <v>5</v>
      </c>
      <c r="R4352" s="1">
        <f>Retail_Sales_Analyis[[#This Row],[Final_Price]]-Retail_Sales_Analyis[[#This Row],[Total_Price]]</f>
        <v>-430.67000000000007</v>
      </c>
      <c r="S43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53" spans="1:19" x14ac:dyDescent="0.25">
      <c r="A4353" s="1" t="s">
        <v>5482</v>
      </c>
      <c r="B4353" s="2">
        <v>45584</v>
      </c>
      <c r="C4353" s="1" t="s">
        <v>76</v>
      </c>
      <c r="D4353" s="1" t="s">
        <v>19</v>
      </c>
      <c r="E4353" s="1" t="s">
        <v>62</v>
      </c>
      <c r="F4353" s="1" t="s">
        <v>30</v>
      </c>
      <c r="G4353" s="1" t="s">
        <v>22</v>
      </c>
      <c r="H4353" s="1" t="s">
        <v>133</v>
      </c>
      <c r="I4353" s="1">
        <v>618.4</v>
      </c>
      <c r="J4353" s="1">
        <v>2</v>
      </c>
      <c r="K4353" s="1">
        <v>1236.8</v>
      </c>
      <c r="L4353" s="1">
        <v>5</v>
      </c>
      <c r="M4353" s="1">
        <v>61.84</v>
      </c>
      <c r="N4353" s="1">
        <v>1174.96</v>
      </c>
      <c r="O4353" s="1" t="s">
        <v>24</v>
      </c>
      <c r="P4353" s="1" t="s">
        <v>3349</v>
      </c>
      <c r="Q4353" s="1">
        <v>1</v>
      </c>
      <c r="R4353" s="1">
        <f>Retail_Sales_Analyis[[#This Row],[Final_Price]]-Retail_Sales_Analyis[[#This Row],[Total_Price]]</f>
        <v>-61.839999999999918</v>
      </c>
      <c r="S435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54" spans="1:19" x14ac:dyDescent="0.25">
      <c r="A4354" s="1" t="s">
        <v>5483</v>
      </c>
      <c r="B4354" s="2">
        <v>45573</v>
      </c>
      <c r="C4354" s="1" t="s">
        <v>76</v>
      </c>
      <c r="D4354" s="1" t="s">
        <v>28</v>
      </c>
      <c r="E4354" s="1" t="s">
        <v>104</v>
      </c>
      <c r="F4354" s="1" t="s">
        <v>30</v>
      </c>
      <c r="G4354" s="1" t="s">
        <v>22</v>
      </c>
      <c r="H4354" s="1" t="s">
        <v>51</v>
      </c>
      <c r="I4354" s="1">
        <v>271.47000000000003</v>
      </c>
      <c r="J4354" s="1">
        <v>5</v>
      </c>
      <c r="K4354" s="1">
        <v>1357.35</v>
      </c>
      <c r="L4354" s="1">
        <v>0</v>
      </c>
      <c r="M4354" s="1">
        <v>0</v>
      </c>
      <c r="N4354" s="1">
        <v>1357.35</v>
      </c>
      <c r="O4354" s="1" t="s">
        <v>46</v>
      </c>
      <c r="P4354" s="1" t="s">
        <v>1345</v>
      </c>
      <c r="Q4354" s="1">
        <v>4</v>
      </c>
      <c r="R4354" s="1">
        <f>Retail_Sales_Analyis[[#This Row],[Final_Price]]-Retail_Sales_Analyis[[#This Row],[Total_Price]]</f>
        <v>0</v>
      </c>
      <c r="S43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55" spans="1:19" x14ac:dyDescent="0.25">
      <c r="A4355" s="1" t="s">
        <v>5484</v>
      </c>
      <c r="B4355" s="2">
        <v>45543</v>
      </c>
      <c r="C4355" s="1" t="s">
        <v>116</v>
      </c>
      <c r="D4355" s="1" t="s">
        <v>49</v>
      </c>
      <c r="E4355" s="1" t="s">
        <v>342</v>
      </c>
      <c r="F4355" s="1" t="s">
        <v>84</v>
      </c>
      <c r="G4355" s="1" t="s">
        <v>112</v>
      </c>
      <c r="H4355" s="1" t="s">
        <v>223</v>
      </c>
      <c r="I4355" s="1">
        <v>1807.52</v>
      </c>
      <c r="J4355" s="1">
        <v>5</v>
      </c>
      <c r="K4355" s="1">
        <v>9037.6</v>
      </c>
      <c r="L4355" s="1">
        <v>0</v>
      </c>
      <c r="M4355" s="1">
        <v>0</v>
      </c>
      <c r="N4355" s="1">
        <v>9037.6</v>
      </c>
      <c r="O4355" s="1" t="s">
        <v>80</v>
      </c>
      <c r="P4355" s="1" t="s">
        <v>2228</v>
      </c>
      <c r="Q4355" s="1">
        <v>3</v>
      </c>
      <c r="R4355" s="1">
        <f>Retail_Sales_Analyis[[#This Row],[Final_Price]]-Retail_Sales_Analyis[[#This Row],[Total_Price]]</f>
        <v>0</v>
      </c>
      <c r="S43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56" spans="1:19" x14ac:dyDescent="0.25">
      <c r="A4356" s="1" t="s">
        <v>5485</v>
      </c>
      <c r="B4356" s="2">
        <v>45370</v>
      </c>
      <c r="C4356" s="1" t="s">
        <v>61</v>
      </c>
      <c r="D4356" s="1" t="s">
        <v>28</v>
      </c>
      <c r="E4356" s="1" t="s">
        <v>285</v>
      </c>
      <c r="F4356" s="1" t="s">
        <v>37</v>
      </c>
      <c r="G4356" s="1" t="s">
        <v>85</v>
      </c>
      <c r="H4356" s="1" t="s">
        <v>98</v>
      </c>
      <c r="I4356" s="1">
        <v>3504.77</v>
      </c>
      <c r="J4356" s="1">
        <v>1</v>
      </c>
      <c r="K4356" s="1">
        <v>3504.77</v>
      </c>
      <c r="L4356" s="1">
        <v>5</v>
      </c>
      <c r="M4356" s="1">
        <v>175.24</v>
      </c>
      <c r="N4356" s="1">
        <v>3329.53</v>
      </c>
      <c r="O4356" s="1" t="s">
        <v>80</v>
      </c>
      <c r="P4356" s="1" t="s">
        <v>1818</v>
      </c>
      <c r="Q4356" s="1">
        <v>5</v>
      </c>
      <c r="R4356" s="1">
        <f>Retail_Sales_Analyis[[#This Row],[Final_Price]]-Retail_Sales_Analyis[[#This Row],[Total_Price]]</f>
        <v>-175.23999999999978</v>
      </c>
      <c r="S43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57" spans="1:19" x14ac:dyDescent="0.25">
      <c r="A4357" s="1" t="s">
        <v>5486</v>
      </c>
      <c r="B4357" s="2">
        <v>45319</v>
      </c>
      <c r="C4357" s="1" t="s">
        <v>36</v>
      </c>
      <c r="D4357" s="1" t="s">
        <v>49</v>
      </c>
      <c r="E4357" s="1" t="s">
        <v>302</v>
      </c>
      <c r="F4357" s="1" t="s">
        <v>30</v>
      </c>
      <c r="G4357" s="1" t="s">
        <v>22</v>
      </c>
      <c r="H4357" s="1" t="s">
        <v>277</v>
      </c>
      <c r="I4357" s="1">
        <v>685.59</v>
      </c>
      <c r="J4357" s="1">
        <v>5</v>
      </c>
      <c r="K4357" s="1">
        <v>3427.95</v>
      </c>
      <c r="L4357" s="1">
        <v>10</v>
      </c>
      <c r="M4357" s="1">
        <v>342.8</v>
      </c>
      <c r="N4357" s="1">
        <v>3085.15</v>
      </c>
      <c r="O4357" s="1" t="s">
        <v>64</v>
      </c>
      <c r="P4357" s="1" t="s">
        <v>1963</v>
      </c>
      <c r="Q4357" s="1">
        <v>3</v>
      </c>
      <c r="R4357" s="1">
        <f>Retail_Sales_Analyis[[#This Row],[Final_Price]]-Retail_Sales_Analyis[[#This Row],[Total_Price]]</f>
        <v>-342.79999999999973</v>
      </c>
      <c r="S43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58" spans="1:19" x14ac:dyDescent="0.25">
      <c r="A4358" s="1" t="s">
        <v>5487</v>
      </c>
      <c r="B4358" s="2">
        <v>45476</v>
      </c>
      <c r="C4358" s="1" t="s">
        <v>195</v>
      </c>
      <c r="D4358" s="1" t="s">
        <v>55</v>
      </c>
      <c r="E4358" s="1" t="s">
        <v>207</v>
      </c>
      <c r="F4358" s="1" t="s">
        <v>30</v>
      </c>
      <c r="G4358" s="1" t="s">
        <v>112</v>
      </c>
      <c r="H4358" s="1" t="s">
        <v>113</v>
      </c>
      <c r="I4358" s="1">
        <v>1682.77</v>
      </c>
      <c r="J4358" s="1">
        <v>7</v>
      </c>
      <c r="K4358" s="1">
        <v>11779.39</v>
      </c>
      <c r="L4358" s="1">
        <v>0</v>
      </c>
      <c r="M4358" s="1">
        <v>0</v>
      </c>
      <c r="N4358" s="1">
        <v>11779.39</v>
      </c>
      <c r="O4358" s="1" t="s">
        <v>80</v>
      </c>
      <c r="P4358" s="1" t="s">
        <v>2214</v>
      </c>
      <c r="Q4358" s="1">
        <v>2</v>
      </c>
      <c r="R4358" s="1">
        <f>Retail_Sales_Analyis[[#This Row],[Final_Price]]-Retail_Sales_Analyis[[#This Row],[Total_Price]]</f>
        <v>0</v>
      </c>
      <c r="S43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59" spans="1:19" x14ac:dyDescent="0.25">
      <c r="A4359" s="1" t="s">
        <v>5488</v>
      </c>
      <c r="B4359" s="2">
        <v>45293</v>
      </c>
      <c r="C4359" s="1" t="s">
        <v>36</v>
      </c>
      <c r="D4359" s="1" t="s">
        <v>28</v>
      </c>
      <c r="E4359" s="1" t="s">
        <v>44</v>
      </c>
      <c r="F4359" s="1" t="s">
        <v>37</v>
      </c>
      <c r="G4359" s="1" t="s">
        <v>85</v>
      </c>
      <c r="H4359" s="1" t="s">
        <v>98</v>
      </c>
      <c r="I4359" s="1">
        <v>2217.61</v>
      </c>
      <c r="J4359" s="1">
        <v>6</v>
      </c>
      <c r="K4359" s="1">
        <v>13305.66</v>
      </c>
      <c r="L4359" s="1">
        <v>20</v>
      </c>
      <c r="M4359" s="1">
        <v>2661.13</v>
      </c>
      <c r="N4359" s="1">
        <v>10644.53</v>
      </c>
      <c r="O4359" s="1" t="s">
        <v>80</v>
      </c>
      <c r="P4359" s="1" t="s">
        <v>338</v>
      </c>
      <c r="Q4359" s="1">
        <v>1</v>
      </c>
      <c r="R4359" s="1">
        <f>Retail_Sales_Analyis[[#This Row],[Final_Price]]-Retail_Sales_Analyis[[#This Row],[Total_Price]]</f>
        <v>-2661.1299999999992</v>
      </c>
      <c r="S43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60" spans="1:19" x14ac:dyDescent="0.25">
      <c r="A4360" s="1" t="s">
        <v>5489</v>
      </c>
      <c r="B4360" s="2">
        <v>45510</v>
      </c>
      <c r="C4360" s="1" t="s">
        <v>93</v>
      </c>
      <c r="D4360" s="1" t="s">
        <v>28</v>
      </c>
      <c r="E4360" s="1" t="s">
        <v>199</v>
      </c>
      <c r="F4360" s="1" t="s">
        <v>84</v>
      </c>
      <c r="G4360" s="1" t="s">
        <v>57</v>
      </c>
      <c r="H4360" s="1" t="s">
        <v>101</v>
      </c>
      <c r="I4360" s="1">
        <v>1178.54</v>
      </c>
      <c r="J4360" s="1">
        <v>5</v>
      </c>
      <c r="K4360" s="1">
        <v>5892.7</v>
      </c>
      <c r="L4360" s="1">
        <v>20</v>
      </c>
      <c r="M4360" s="1">
        <v>1178.54</v>
      </c>
      <c r="N4360" s="1">
        <v>4714.16</v>
      </c>
      <c r="O4360" s="1" t="s">
        <v>64</v>
      </c>
      <c r="P4360" s="1" t="s">
        <v>1766</v>
      </c>
      <c r="Q4360" s="1">
        <v>3</v>
      </c>
      <c r="R4360" s="1">
        <f>Retail_Sales_Analyis[[#This Row],[Final_Price]]-Retail_Sales_Analyis[[#This Row],[Total_Price]]</f>
        <v>-1178.54</v>
      </c>
      <c r="S436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61" spans="1:19" x14ac:dyDescent="0.25">
      <c r="A4361" s="1" t="s">
        <v>5490</v>
      </c>
      <c r="B4361" s="2">
        <v>45336</v>
      </c>
      <c r="C4361" s="1" t="s">
        <v>27</v>
      </c>
      <c r="D4361" s="1" t="s">
        <v>55</v>
      </c>
      <c r="E4361" s="1" t="s">
        <v>151</v>
      </c>
      <c r="F4361" s="1" t="s">
        <v>30</v>
      </c>
      <c r="G4361" s="1" t="s">
        <v>22</v>
      </c>
      <c r="H4361" s="1" t="s">
        <v>51</v>
      </c>
      <c r="I4361" s="1">
        <v>761.88</v>
      </c>
      <c r="J4361" s="1">
        <v>10</v>
      </c>
      <c r="K4361" s="1">
        <v>7618.8</v>
      </c>
      <c r="L4361" s="1">
        <v>0</v>
      </c>
      <c r="M4361" s="1">
        <v>0</v>
      </c>
      <c r="N4361" s="1">
        <v>7618.8</v>
      </c>
      <c r="O4361" s="1" t="s">
        <v>24</v>
      </c>
      <c r="P4361" s="1" t="s">
        <v>184</v>
      </c>
      <c r="Q4361" s="1">
        <v>1</v>
      </c>
      <c r="R4361" s="1">
        <f>Retail_Sales_Analyis[[#This Row],[Final_Price]]-Retail_Sales_Analyis[[#This Row],[Total_Price]]</f>
        <v>0</v>
      </c>
      <c r="S436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62" spans="1:19" x14ac:dyDescent="0.25">
      <c r="A4362" s="1" t="s">
        <v>5491</v>
      </c>
      <c r="B4362" s="2">
        <v>45442</v>
      </c>
      <c r="C4362" s="1" t="s">
        <v>42</v>
      </c>
      <c r="D4362" s="1" t="s">
        <v>67</v>
      </c>
      <c r="E4362" s="1" t="s">
        <v>44</v>
      </c>
      <c r="F4362" s="1" t="s">
        <v>21</v>
      </c>
      <c r="G4362" s="1" t="s">
        <v>112</v>
      </c>
      <c r="H4362" s="1" t="s">
        <v>118</v>
      </c>
      <c r="I4362" s="1">
        <v>1552.21</v>
      </c>
      <c r="J4362" s="1">
        <v>9</v>
      </c>
      <c r="K4362" s="1">
        <v>13969.89</v>
      </c>
      <c r="L4362" s="1">
        <v>20</v>
      </c>
      <c r="M4362" s="1">
        <v>2793.98</v>
      </c>
      <c r="N4362" s="1">
        <v>11175.91</v>
      </c>
      <c r="O4362" s="1" t="s">
        <v>80</v>
      </c>
      <c r="P4362" s="1" t="s">
        <v>522</v>
      </c>
      <c r="Q4362" s="1">
        <v>4</v>
      </c>
      <c r="R4362" s="1">
        <f>Retail_Sales_Analyis[[#This Row],[Final_Price]]-Retail_Sales_Analyis[[#This Row],[Total_Price]]</f>
        <v>-2793.9799999999996</v>
      </c>
      <c r="S43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63" spans="1:19" x14ac:dyDescent="0.25">
      <c r="A4363" s="1" t="s">
        <v>5492</v>
      </c>
      <c r="B4363" s="2">
        <v>45630</v>
      </c>
      <c r="C4363" s="1" t="s">
        <v>73</v>
      </c>
      <c r="D4363" s="1" t="s">
        <v>55</v>
      </c>
      <c r="E4363" s="1" t="s">
        <v>111</v>
      </c>
      <c r="F4363" s="1" t="s">
        <v>84</v>
      </c>
      <c r="G4363" s="1" t="s">
        <v>78</v>
      </c>
      <c r="H4363" s="1" t="s">
        <v>79</v>
      </c>
      <c r="I4363" s="1">
        <v>285.72000000000003</v>
      </c>
      <c r="J4363" s="1">
        <v>10</v>
      </c>
      <c r="K4363" s="1">
        <v>2857.2</v>
      </c>
      <c r="L4363" s="1">
        <v>5</v>
      </c>
      <c r="M4363" s="1">
        <v>142.86000000000001</v>
      </c>
      <c r="N4363" s="1">
        <v>2714.34</v>
      </c>
      <c r="O4363" s="1" t="s">
        <v>24</v>
      </c>
      <c r="P4363" s="1" t="s">
        <v>2924</v>
      </c>
      <c r="Q4363" s="1">
        <v>4</v>
      </c>
      <c r="R4363" s="1">
        <f>Retail_Sales_Analyis[[#This Row],[Final_Price]]-Retail_Sales_Analyis[[#This Row],[Total_Price]]</f>
        <v>-142.85999999999967</v>
      </c>
      <c r="S436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64" spans="1:19" x14ac:dyDescent="0.25">
      <c r="A4364" s="1" t="s">
        <v>5493</v>
      </c>
      <c r="B4364" s="2">
        <v>45612</v>
      </c>
      <c r="C4364" s="1" t="s">
        <v>18</v>
      </c>
      <c r="D4364" s="1" t="s">
        <v>19</v>
      </c>
      <c r="E4364" s="1" t="s">
        <v>207</v>
      </c>
      <c r="F4364" s="1" t="s">
        <v>69</v>
      </c>
      <c r="G4364" s="1" t="s">
        <v>31</v>
      </c>
      <c r="H4364" s="1" t="s">
        <v>250</v>
      </c>
      <c r="I4364" s="1">
        <v>83.08</v>
      </c>
      <c r="J4364" s="1">
        <v>1</v>
      </c>
      <c r="K4364" s="1">
        <v>83.08</v>
      </c>
      <c r="L4364" s="1">
        <v>10</v>
      </c>
      <c r="M4364" s="1">
        <v>8.31</v>
      </c>
      <c r="N4364" s="1">
        <v>74.77</v>
      </c>
      <c r="O4364" s="1" t="s">
        <v>80</v>
      </c>
      <c r="P4364" s="1" t="s">
        <v>1324</v>
      </c>
      <c r="Q4364" s="1">
        <v>1</v>
      </c>
      <c r="R4364" s="1">
        <f>Retail_Sales_Analyis[[#This Row],[Final_Price]]-Retail_Sales_Analyis[[#This Row],[Total_Price]]</f>
        <v>-8.3100000000000023</v>
      </c>
      <c r="S43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65" spans="1:19" x14ac:dyDescent="0.25">
      <c r="A4365" s="1" t="s">
        <v>5494</v>
      </c>
      <c r="B4365" s="2">
        <v>45599</v>
      </c>
      <c r="C4365" s="1" t="s">
        <v>18</v>
      </c>
      <c r="D4365" s="1" t="s">
        <v>49</v>
      </c>
      <c r="E4365" s="1" t="s">
        <v>121</v>
      </c>
      <c r="F4365" s="1" t="s">
        <v>84</v>
      </c>
      <c r="G4365" s="1" t="s">
        <v>169</v>
      </c>
      <c r="H4365" s="1" t="s">
        <v>366</v>
      </c>
      <c r="I4365" s="1">
        <v>1371.98</v>
      </c>
      <c r="J4365" s="1">
        <v>4</v>
      </c>
      <c r="K4365" s="1">
        <v>5487.92</v>
      </c>
      <c r="L4365" s="1">
        <v>20</v>
      </c>
      <c r="M4365" s="1">
        <v>1097.58</v>
      </c>
      <c r="N4365" s="1">
        <v>4390.34</v>
      </c>
      <c r="O4365" s="1" t="s">
        <v>80</v>
      </c>
      <c r="P4365" s="1" t="s">
        <v>562</v>
      </c>
      <c r="Q4365" s="1">
        <v>3</v>
      </c>
      <c r="R4365" s="1">
        <f>Retail_Sales_Analyis[[#This Row],[Final_Price]]-Retail_Sales_Analyis[[#This Row],[Total_Price]]</f>
        <v>-1097.58</v>
      </c>
      <c r="S436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66" spans="1:19" x14ac:dyDescent="0.25">
      <c r="A4366" s="1" t="s">
        <v>5495</v>
      </c>
      <c r="B4366" s="2">
        <v>45537</v>
      </c>
      <c r="C4366" s="1" t="s">
        <v>116</v>
      </c>
      <c r="D4366" s="1" t="s">
        <v>43</v>
      </c>
      <c r="E4366" s="1" t="s">
        <v>166</v>
      </c>
      <c r="F4366" s="1" t="s">
        <v>30</v>
      </c>
      <c r="G4366" s="1" t="s">
        <v>85</v>
      </c>
      <c r="H4366" s="1" t="s">
        <v>90</v>
      </c>
      <c r="I4366" s="1">
        <v>1383.72</v>
      </c>
      <c r="J4366" s="1">
        <v>1</v>
      </c>
      <c r="K4366" s="1">
        <v>1383.72</v>
      </c>
      <c r="L4366" s="1">
        <v>0</v>
      </c>
      <c r="M4366" s="1">
        <v>0</v>
      </c>
      <c r="N4366" s="1">
        <v>1383.72</v>
      </c>
      <c r="O4366" s="1" t="s">
        <v>33</v>
      </c>
      <c r="P4366" s="1" t="s">
        <v>1818</v>
      </c>
      <c r="Q4366" s="1">
        <v>3</v>
      </c>
      <c r="R4366" s="1">
        <f>Retail_Sales_Analyis[[#This Row],[Final_Price]]-Retail_Sales_Analyis[[#This Row],[Total_Price]]</f>
        <v>0</v>
      </c>
      <c r="S43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67" spans="1:19" x14ac:dyDescent="0.25">
      <c r="A4367" s="1" t="s">
        <v>5496</v>
      </c>
      <c r="B4367" s="2">
        <v>45394</v>
      </c>
      <c r="C4367" s="1" t="s">
        <v>54</v>
      </c>
      <c r="D4367" s="1" t="s">
        <v>144</v>
      </c>
      <c r="E4367" s="1" t="s">
        <v>107</v>
      </c>
      <c r="F4367" s="1" t="s">
        <v>30</v>
      </c>
      <c r="G4367" s="1" t="s">
        <v>22</v>
      </c>
      <c r="H4367" s="1" t="s">
        <v>51</v>
      </c>
      <c r="I4367" s="1">
        <v>996.26</v>
      </c>
      <c r="J4367" s="1">
        <v>6</v>
      </c>
      <c r="K4367" s="1">
        <v>5977.56</v>
      </c>
      <c r="L4367" s="1">
        <v>5</v>
      </c>
      <c r="M4367" s="1">
        <v>298.88</v>
      </c>
      <c r="N4367" s="1">
        <v>5678.68</v>
      </c>
      <c r="O4367" s="1" t="s">
        <v>64</v>
      </c>
      <c r="P4367" s="1" t="s">
        <v>1037</v>
      </c>
      <c r="Q4367" s="1">
        <v>1</v>
      </c>
      <c r="R4367" s="1">
        <f>Retail_Sales_Analyis[[#This Row],[Final_Price]]-Retail_Sales_Analyis[[#This Row],[Total_Price]]</f>
        <v>-298.88000000000011</v>
      </c>
      <c r="S436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68" spans="1:19" x14ac:dyDescent="0.25">
      <c r="A4368" s="1" t="s">
        <v>5497</v>
      </c>
      <c r="B4368" s="2">
        <v>45341</v>
      </c>
      <c r="C4368" s="1" t="s">
        <v>27</v>
      </c>
      <c r="D4368" s="1" t="s">
        <v>43</v>
      </c>
      <c r="E4368" s="1" t="s">
        <v>207</v>
      </c>
      <c r="F4368" s="1" t="s">
        <v>21</v>
      </c>
      <c r="G4368" s="1" t="s">
        <v>22</v>
      </c>
      <c r="H4368" s="1" t="s">
        <v>133</v>
      </c>
      <c r="I4368" s="1">
        <v>301.77999999999997</v>
      </c>
      <c r="J4368" s="1">
        <v>7</v>
      </c>
      <c r="K4368" s="1">
        <v>2112.46</v>
      </c>
      <c r="L4368" s="1">
        <v>10</v>
      </c>
      <c r="M4368" s="1">
        <v>211.25</v>
      </c>
      <c r="N4368" s="1">
        <v>1901.21</v>
      </c>
      <c r="O4368" s="1" t="s">
        <v>80</v>
      </c>
      <c r="P4368" s="1" t="s">
        <v>918</v>
      </c>
      <c r="Q4368" s="1">
        <v>4</v>
      </c>
      <c r="R4368" s="1">
        <f>Retail_Sales_Analyis[[#This Row],[Final_Price]]-Retail_Sales_Analyis[[#This Row],[Total_Price]]</f>
        <v>-211.25</v>
      </c>
      <c r="S43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69" spans="1:19" x14ac:dyDescent="0.25">
      <c r="A4369" s="1" t="s">
        <v>5498</v>
      </c>
      <c r="B4369" s="2">
        <v>45305</v>
      </c>
      <c r="C4369" s="1" t="s">
        <v>36</v>
      </c>
      <c r="D4369" s="1" t="s">
        <v>49</v>
      </c>
      <c r="E4369" s="1" t="s">
        <v>44</v>
      </c>
      <c r="F4369" s="1" t="s">
        <v>30</v>
      </c>
      <c r="G4369" s="1" t="s">
        <v>85</v>
      </c>
      <c r="H4369" s="1" t="s">
        <v>90</v>
      </c>
      <c r="I4369" s="1">
        <v>2418.62</v>
      </c>
      <c r="J4369" s="1">
        <v>8</v>
      </c>
      <c r="K4369" s="1">
        <v>19348.96</v>
      </c>
      <c r="L4369" s="1">
        <v>20</v>
      </c>
      <c r="M4369" s="1">
        <v>3869.79</v>
      </c>
      <c r="N4369" s="1">
        <v>15479.17</v>
      </c>
      <c r="O4369" s="1" t="s">
        <v>80</v>
      </c>
      <c r="P4369" s="1" t="s">
        <v>1276</v>
      </c>
      <c r="Q4369" s="1">
        <v>3</v>
      </c>
      <c r="R4369" s="1">
        <f>Retail_Sales_Analyis[[#This Row],[Final_Price]]-Retail_Sales_Analyis[[#This Row],[Total_Price]]</f>
        <v>-3869.7899999999991</v>
      </c>
      <c r="S43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70" spans="1:19" x14ac:dyDescent="0.25">
      <c r="A4370" s="1" t="s">
        <v>5499</v>
      </c>
      <c r="B4370" s="2">
        <v>45397</v>
      </c>
      <c r="C4370" s="1" t="s">
        <v>54</v>
      </c>
      <c r="D4370" s="1" t="s">
        <v>43</v>
      </c>
      <c r="E4370" s="1" t="s">
        <v>312</v>
      </c>
      <c r="F4370" s="1" t="s">
        <v>37</v>
      </c>
      <c r="G4370" s="1" t="s">
        <v>112</v>
      </c>
      <c r="H4370" s="1" t="s">
        <v>183</v>
      </c>
      <c r="I4370" s="1">
        <v>589.89</v>
      </c>
      <c r="J4370" s="1">
        <v>10</v>
      </c>
      <c r="K4370" s="1">
        <v>5898.9</v>
      </c>
      <c r="L4370" s="1">
        <v>15</v>
      </c>
      <c r="M4370" s="1">
        <v>884.83</v>
      </c>
      <c r="N4370" s="1">
        <v>5014.07</v>
      </c>
      <c r="O4370" s="1" t="s">
        <v>80</v>
      </c>
      <c r="P4370" s="1" t="s">
        <v>3490</v>
      </c>
      <c r="Q4370" s="1">
        <v>5</v>
      </c>
      <c r="R4370" s="1">
        <f>Retail_Sales_Analyis[[#This Row],[Final_Price]]-Retail_Sales_Analyis[[#This Row],[Total_Price]]</f>
        <v>-884.82999999999993</v>
      </c>
      <c r="S43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71" spans="1:19" x14ac:dyDescent="0.25">
      <c r="A4371" s="1" t="s">
        <v>5500</v>
      </c>
      <c r="B4371" s="2">
        <v>45379</v>
      </c>
      <c r="C4371" s="1" t="s">
        <v>61</v>
      </c>
      <c r="D4371" s="1" t="s">
        <v>67</v>
      </c>
      <c r="E4371" s="1" t="s">
        <v>302</v>
      </c>
      <c r="F4371" s="1" t="s">
        <v>37</v>
      </c>
      <c r="G4371" s="1" t="s">
        <v>57</v>
      </c>
      <c r="H4371" s="1" t="s">
        <v>101</v>
      </c>
      <c r="I4371" s="1">
        <v>450.74</v>
      </c>
      <c r="J4371" s="1">
        <v>6</v>
      </c>
      <c r="K4371" s="1">
        <v>2704.44</v>
      </c>
      <c r="L4371" s="1">
        <v>20</v>
      </c>
      <c r="M4371" s="1">
        <v>540.89</v>
      </c>
      <c r="N4371" s="1">
        <v>2163.5500000000002</v>
      </c>
      <c r="O4371" s="1" t="s">
        <v>33</v>
      </c>
      <c r="P4371" s="1" t="s">
        <v>2007</v>
      </c>
      <c r="Q4371" s="1">
        <v>1</v>
      </c>
      <c r="R4371" s="1">
        <f>Retail_Sales_Analyis[[#This Row],[Final_Price]]-Retail_Sales_Analyis[[#This Row],[Total_Price]]</f>
        <v>-540.88999999999987</v>
      </c>
      <c r="S437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72" spans="1:19" x14ac:dyDescent="0.25">
      <c r="A4372" s="1" t="s">
        <v>5501</v>
      </c>
      <c r="B4372" s="2">
        <v>45618</v>
      </c>
      <c r="C4372" s="1" t="s">
        <v>18</v>
      </c>
      <c r="D4372" s="1" t="s">
        <v>144</v>
      </c>
      <c r="E4372" s="1" t="s">
        <v>239</v>
      </c>
      <c r="F4372" s="1" t="s">
        <v>69</v>
      </c>
      <c r="G4372" s="1" t="s">
        <v>38</v>
      </c>
      <c r="H4372" s="1" t="s">
        <v>214</v>
      </c>
      <c r="I4372" s="1">
        <v>367.86</v>
      </c>
      <c r="J4372" s="1">
        <v>2</v>
      </c>
      <c r="K4372" s="1">
        <v>735.72</v>
      </c>
      <c r="L4372" s="1">
        <v>0</v>
      </c>
      <c r="M4372" s="1">
        <v>0</v>
      </c>
      <c r="N4372" s="1">
        <v>735.72</v>
      </c>
      <c r="O4372" s="1" t="s">
        <v>46</v>
      </c>
      <c r="P4372" s="1" t="s">
        <v>545</v>
      </c>
      <c r="Q4372" s="1">
        <v>4</v>
      </c>
      <c r="R4372" s="1">
        <f>Retail_Sales_Analyis[[#This Row],[Final_Price]]-Retail_Sales_Analyis[[#This Row],[Total_Price]]</f>
        <v>0</v>
      </c>
      <c r="S43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3" spans="1:19" x14ac:dyDescent="0.25">
      <c r="A4373" s="1" t="s">
        <v>5502</v>
      </c>
      <c r="B4373" s="2">
        <v>45441</v>
      </c>
      <c r="C4373" s="1" t="s">
        <v>42</v>
      </c>
      <c r="D4373" s="1" t="s">
        <v>55</v>
      </c>
      <c r="E4373" s="1" t="s">
        <v>151</v>
      </c>
      <c r="F4373" s="1" t="s">
        <v>30</v>
      </c>
      <c r="G4373" s="1" t="s">
        <v>112</v>
      </c>
      <c r="H4373" s="1" t="s">
        <v>118</v>
      </c>
      <c r="I4373" s="1">
        <v>893.74</v>
      </c>
      <c r="J4373" s="1">
        <v>2</v>
      </c>
      <c r="K4373" s="1">
        <v>1787.48</v>
      </c>
      <c r="L4373" s="1">
        <v>0</v>
      </c>
      <c r="M4373" s="1">
        <v>0</v>
      </c>
      <c r="N4373" s="1">
        <v>1787.48</v>
      </c>
      <c r="O4373" s="1" t="s">
        <v>64</v>
      </c>
      <c r="P4373" s="1" t="s">
        <v>1870</v>
      </c>
      <c r="Q4373" s="1">
        <v>4</v>
      </c>
      <c r="R4373" s="1">
        <f>Retail_Sales_Analyis[[#This Row],[Final_Price]]-Retail_Sales_Analyis[[#This Row],[Total_Price]]</f>
        <v>0</v>
      </c>
      <c r="S43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4" spans="1:19" x14ac:dyDescent="0.25">
      <c r="A4374" s="1" t="s">
        <v>5503</v>
      </c>
      <c r="B4374" s="2">
        <v>45333</v>
      </c>
      <c r="C4374" s="1" t="s">
        <v>27</v>
      </c>
      <c r="D4374" s="1" t="s">
        <v>49</v>
      </c>
      <c r="E4374" s="1" t="s">
        <v>94</v>
      </c>
      <c r="F4374" s="1" t="s">
        <v>30</v>
      </c>
      <c r="G4374" s="1" t="s">
        <v>78</v>
      </c>
      <c r="H4374" s="1" t="s">
        <v>126</v>
      </c>
      <c r="I4374" s="1">
        <v>482.94</v>
      </c>
      <c r="J4374" s="1">
        <v>3</v>
      </c>
      <c r="K4374" s="1">
        <v>1448.82</v>
      </c>
      <c r="L4374" s="1">
        <v>10</v>
      </c>
      <c r="M4374" s="1">
        <v>144.88</v>
      </c>
      <c r="N4374" s="1">
        <v>1303.94</v>
      </c>
      <c r="O4374" s="1" t="s">
        <v>33</v>
      </c>
      <c r="P4374" s="1" t="s">
        <v>1132</v>
      </c>
      <c r="Q4374" s="1">
        <v>5</v>
      </c>
      <c r="R4374" s="1">
        <f>Retail_Sales_Analyis[[#This Row],[Final_Price]]-Retail_Sales_Analyis[[#This Row],[Total_Price]]</f>
        <v>-144.87999999999988</v>
      </c>
      <c r="S43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75" spans="1:19" x14ac:dyDescent="0.25">
      <c r="A4375" s="1" t="s">
        <v>5504</v>
      </c>
      <c r="B4375" s="2">
        <v>45534</v>
      </c>
      <c r="C4375" s="1" t="s">
        <v>93</v>
      </c>
      <c r="D4375" s="1" t="s">
        <v>144</v>
      </c>
      <c r="E4375" s="1" t="s">
        <v>163</v>
      </c>
      <c r="F4375" s="1" t="s">
        <v>37</v>
      </c>
      <c r="G4375" s="1" t="s">
        <v>169</v>
      </c>
      <c r="H4375" s="1" t="s">
        <v>170</v>
      </c>
      <c r="I4375" s="1">
        <v>1257.79</v>
      </c>
      <c r="J4375" s="1">
        <v>2</v>
      </c>
      <c r="K4375" s="1">
        <v>2515.58</v>
      </c>
      <c r="L4375" s="1">
        <v>20</v>
      </c>
      <c r="M4375" s="1">
        <v>503.12</v>
      </c>
      <c r="N4375" s="1">
        <v>2012.46</v>
      </c>
      <c r="O4375" s="1" t="s">
        <v>64</v>
      </c>
      <c r="P4375" s="1" t="s">
        <v>2098</v>
      </c>
      <c r="Q4375" s="1">
        <v>4</v>
      </c>
      <c r="R4375" s="1">
        <f>Retail_Sales_Analyis[[#This Row],[Final_Price]]-Retail_Sales_Analyis[[#This Row],[Total_Price]]</f>
        <v>-503.11999999999989</v>
      </c>
      <c r="S437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76" spans="1:19" x14ac:dyDescent="0.25">
      <c r="A4376" s="1" t="s">
        <v>5505</v>
      </c>
      <c r="B4376" s="2">
        <v>45351</v>
      </c>
      <c r="C4376" s="1" t="s">
        <v>27</v>
      </c>
      <c r="D4376" s="1" t="s">
        <v>67</v>
      </c>
      <c r="E4376" s="1" t="s">
        <v>312</v>
      </c>
      <c r="F4376" s="1" t="s">
        <v>21</v>
      </c>
      <c r="G4376" s="1" t="s">
        <v>31</v>
      </c>
      <c r="H4376" s="1" t="s">
        <v>32</v>
      </c>
      <c r="I4376" s="1">
        <v>110.77</v>
      </c>
      <c r="J4376" s="1">
        <v>10</v>
      </c>
      <c r="K4376" s="1">
        <v>1107.7</v>
      </c>
      <c r="L4376" s="1">
        <v>0</v>
      </c>
      <c r="M4376" s="1">
        <v>0</v>
      </c>
      <c r="N4376" s="1">
        <v>1107.7</v>
      </c>
      <c r="O4376" s="1" t="s">
        <v>80</v>
      </c>
      <c r="P4376" s="1" t="s">
        <v>1469</v>
      </c>
      <c r="Q4376" s="1">
        <v>2</v>
      </c>
      <c r="R4376" s="1">
        <f>Retail_Sales_Analyis[[#This Row],[Final_Price]]-Retail_Sales_Analyis[[#This Row],[Total_Price]]</f>
        <v>0</v>
      </c>
      <c r="S43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7" spans="1:19" x14ac:dyDescent="0.25">
      <c r="A4377" s="1" t="s">
        <v>5506</v>
      </c>
      <c r="B4377" s="2">
        <v>45449</v>
      </c>
      <c r="C4377" s="1" t="s">
        <v>173</v>
      </c>
      <c r="D4377" s="1" t="s">
        <v>67</v>
      </c>
      <c r="E4377" s="1" t="s">
        <v>157</v>
      </c>
      <c r="F4377" s="1" t="s">
        <v>69</v>
      </c>
      <c r="G4377" s="1" t="s">
        <v>22</v>
      </c>
      <c r="H4377" s="1" t="s">
        <v>277</v>
      </c>
      <c r="I4377" s="1">
        <v>788.75</v>
      </c>
      <c r="J4377" s="1">
        <v>5</v>
      </c>
      <c r="K4377" s="1">
        <v>3943.75</v>
      </c>
      <c r="L4377" s="1">
        <v>0</v>
      </c>
      <c r="M4377" s="1">
        <v>0</v>
      </c>
      <c r="N4377" s="1">
        <v>3943.75</v>
      </c>
      <c r="O4377" s="1" t="s">
        <v>33</v>
      </c>
      <c r="P4377" s="1" t="s">
        <v>2715</v>
      </c>
      <c r="Q4377" s="1">
        <v>4</v>
      </c>
      <c r="R4377" s="1">
        <f>Retail_Sales_Analyis[[#This Row],[Final_Price]]-Retail_Sales_Analyis[[#This Row],[Total_Price]]</f>
        <v>0</v>
      </c>
      <c r="S43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8" spans="1:19" x14ac:dyDescent="0.25">
      <c r="A4378" s="1" t="s">
        <v>5507</v>
      </c>
      <c r="B4378" s="2">
        <v>45495</v>
      </c>
      <c r="C4378" s="1" t="s">
        <v>195</v>
      </c>
      <c r="D4378" s="1" t="s">
        <v>43</v>
      </c>
      <c r="E4378" s="1" t="s">
        <v>168</v>
      </c>
      <c r="F4378" s="1" t="s">
        <v>37</v>
      </c>
      <c r="G4378" s="1" t="s">
        <v>169</v>
      </c>
      <c r="H4378" s="1" t="s">
        <v>175</v>
      </c>
      <c r="I4378" s="1">
        <v>823.87</v>
      </c>
      <c r="J4378" s="1">
        <v>5</v>
      </c>
      <c r="K4378" s="1">
        <v>4119.3500000000004</v>
      </c>
      <c r="L4378" s="1">
        <v>0</v>
      </c>
      <c r="M4378" s="1">
        <v>0</v>
      </c>
      <c r="N4378" s="1">
        <v>4119.3500000000004</v>
      </c>
      <c r="O4378" s="1" t="s">
        <v>64</v>
      </c>
      <c r="P4378" s="1" t="s">
        <v>2148</v>
      </c>
      <c r="Q4378" s="1">
        <v>4</v>
      </c>
      <c r="R4378" s="1">
        <f>Retail_Sales_Analyis[[#This Row],[Final_Price]]-Retail_Sales_Analyis[[#This Row],[Total_Price]]</f>
        <v>0</v>
      </c>
      <c r="S43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79" spans="1:19" x14ac:dyDescent="0.25">
      <c r="A4379" s="1" t="s">
        <v>5508</v>
      </c>
      <c r="B4379" s="2">
        <v>45533</v>
      </c>
      <c r="C4379" s="1" t="s">
        <v>93</v>
      </c>
      <c r="D4379" s="1" t="s">
        <v>67</v>
      </c>
      <c r="E4379" s="1" t="s">
        <v>239</v>
      </c>
      <c r="F4379" s="1" t="s">
        <v>84</v>
      </c>
      <c r="G4379" s="1" t="s">
        <v>78</v>
      </c>
      <c r="H4379" s="1" t="s">
        <v>146</v>
      </c>
      <c r="I4379" s="1">
        <v>277.08999999999997</v>
      </c>
      <c r="J4379" s="1">
        <v>6</v>
      </c>
      <c r="K4379" s="1">
        <v>1662.54</v>
      </c>
      <c r="L4379" s="1">
        <v>0</v>
      </c>
      <c r="M4379" s="1">
        <v>0</v>
      </c>
      <c r="N4379" s="1">
        <v>1662.54</v>
      </c>
      <c r="O4379" s="1" t="s">
        <v>46</v>
      </c>
      <c r="P4379" s="1" t="s">
        <v>190</v>
      </c>
      <c r="Q4379" s="1">
        <v>4</v>
      </c>
      <c r="R4379" s="1">
        <f>Retail_Sales_Analyis[[#This Row],[Final_Price]]-Retail_Sales_Analyis[[#This Row],[Total_Price]]</f>
        <v>0</v>
      </c>
      <c r="S43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0" spans="1:19" x14ac:dyDescent="0.25">
      <c r="A4380" s="1" t="s">
        <v>5509</v>
      </c>
      <c r="B4380" s="2">
        <v>45542</v>
      </c>
      <c r="C4380" s="1" t="s">
        <v>116</v>
      </c>
      <c r="D4380" s="1" t="s">
        <v>19</v>
      </c>
      <c r="E4380" s="1" t="s">
        <v>322</v>
      </c>
      <c r="F4380" s="1" t="s">
        <v>30</v>
      </c>
      <c r="G4380" s="1" t="s">
        <v>85</v>
      </c>
      <c r="H4380" s="1" t="s">
        <v>86</v>
      </c>
      <c r="I4380" s="1">
        <v>3879.49</v>
      </c>
      <c r="J4380" s="1">
        <v>2</v>
      </c>
      <c r="K4380" s="1">
        <v>7758.98</v>
      </c>
      <c r="L4380" s="1">
        <v>0</v>
      </c>
      <c r="M4380" s="1">
        <v>0</v>
      </c>
      <c r="N4380" s="1">
        <v>7758.98</v>
      </c>
      <c r="O4380" s="1" t="s">
        <v>80</v>
      </c>
      <c r="P4380" s="1" t="s">
        <v>2748</v>
      </c>
      <c r="Q4380" s="1">
        <v>3</v>
      </c>
      <c r="R4380" s="1">
        <f>Retail_Sales_Analyis[[#This Row],[Final_Price]]-Retail_Sales_Analyis[[#This Row],[Total_Price]]</f>
        <v>0</v>
      </c>
      <c r="S43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1" spans="1:19" x14ac:dyDescent="0.25">
      <c r="A4381" s="1" t="s">
        <v>5510</v>
      </c>
      <c r="B4381" s="2">
        <v>45630</v>
      </c>
      <c r="C4381" s="1" t="s">
        <v>73</v>
      </c>
      <c r="D4381" s="1" t="s">
        <v>55</v>
      </c>
      <c r="E4381" s="1" t="s">
        <v>77</v>
      </c>
      <c r="F4381" s="1" t="s">
        <v>21</v>
      </c>
      <c r="G4381" s="1" t="s">
        <v>169</v>
      </c>
      <c r="H4381" s="1" t="s">
        <v>208</v>
      </c>
      <c r="I4381" s="1">
        <v>990.77</v>
      </c>
      <c r="J4381" s="1">
        <v>6</v>
      </c>
      <c r="K4381" s="1">
        <v>5944.62</v>
      </c>
      <c r="L4381" s="1">
        <v>0</v>
      </c>
      <c r="M4381" s="1">
        <v>0</v>
      </c>
      <c r="N4381" s="1">
        <v>5944.62</v>
      </c>
      <c r="O4381" s="1" t="s">
        <v>64</v>
      </c>
      <c r="P4381" s="1" t="s">
        <v>478</v>
      </c>
      <c r="Q4381" s="1">
        <v>3</v>
      </c>
      <c r="R4381" s="1">
        <f>Retail_Sales_Analyis[[#This Row],[Final_Price]]-Retail_Sales_Analyis[[#This Row],[Total_Price]]</f>
        <v>0</v>
      </c>
      <c r="S43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2" spans="1:19" x14ac:dyDescent="0.25">
      <c r="A4382" s="1" t="s">
        <v>5511</v>
      </c>
      <c r="B4382" s="2">
        <v>45427</v>
      </c>
      <c r="C4382" s="1" t="s">
        <v>42</v>
      </c>
      <c r="D4382" s="1" t="s">
        <v>55</v>
      </c>
      <c r="E4382" s="1" t="s">
        <v>213</v>
      </c>
      <c r="F4382" s="1" t="s">
        <v>30</v>
      </c>
      <c r="G4382" s="1" t="s">
        <v>31</v>
      </c>
      <c r="H4382" s="1" t="s">
        <v>63</v>
      </c>
      <c r="I4382" s="1">
        <v>52.98</v>
      </c>
      <c r="J4382" s="1">
        <v>7</v>
      </c>
      <c r="K4382" s="1">
        <v>370.86</v>
      </c>
      <c r="L4382" s="1">
        <v>10</v>
      </c>
      <c r="M4382" s="1">
        <v>37.090000000000003</v>
      </c>
      <c r="N4382" s="1">
        <v>333.77</v>
      </c>
      <c r="O4382" s="1" t="s">
        <v>80</v>
      </c>
      <c r="P4382" s="1" t="s">
        <v>1341</v>
      </c>
      <c r="Q4382" s="1">
        <v>1</v>
      </c>
      <c r="R4382" s="1">
        <f>Retail_Sales_Analyis[[#This Row],[Final_Price]]-Retail_Sales_Analyis[[#This Row],[Total_Price]]</f>
        <v>-37.090000000000032</v>
      </c>
      <c r="S43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83" spans="1:19" x14ac:dyDescent="0.25">
      <c r="A4383" s="1" t="s">
        <v>5512</v>
      </c>
      <c r="B4383" s="2">
        <v>45338</v>
      </c>
      <c r="C4383" s="1" t="s">
        <v>27</v>
      </c>
      <c r="D4383" s="1" t="s">
        <v>144</v>
      </c>
      <c r="E4383" s="1" t="s">
        <v>186</v>
      </c>
      <c r="F4383" s="1" t="s">
        <v>21</v>
      </c>
      <c r="G4383" s="1" t="s">
        <v>85</v>
      </c>
      <c r="H4383" s="1" t="s">
        <v>297</v>
      </c>
      <c r="I4383" s="1">
        <v>2754.41</v>
      </c>
      <c r="J4383" s="1">
        <v>8</v>
      </c>
      <c r="K4383" s="1">
        <v>22035.279999999999</v>
      </c>
      <c r="L4383" s="1">
        <v>0</v>
      </c>
      <c r="M4383" s="1">
        <v>0</v>
      </c>
      <c r="N4383" s="1">
        <v>22035.279999999999</v>
      </c>
      <c r="O4383" s="1" t="s">
        <v>64</v>
      </c>
      <c r="P4383" s="1" t="s">
        <v>2518</v>
      </c>
      <c r="Q4383" s="1">
        <v>4</v>
      </c>
      <c r="R4383" s="1">
        <f>Retail_Sales_Analyis[[#This Row],[Final_Price]]-Retail_Sales_Analyis[[#This Row],[Total_Price]]</f>
        <v>0</v>
      </c>
      <c r="S43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4" spans="1:19" x14ac:dyDescent="0.25">
      <c r="A4384" s="1" t="s">
        <v>5513</v>
      </c>
      <c r="B4384" s="2">
        <v>45620</v>
      </c>
      <c r="C4384" s="1" t="s">
        <v>18</v>
      </c>
      <c r="D4384" s="1" t="s">
        <v>49</v>
      </c>
      <c r="E4384" s="1" t="s">
        <v>204</v>
      </c>
      <c r="F4384" s="1" t="s">
        <v>21</v>
      </c>
      <c r="G4384" s="1" t="s">
        <v>112</v>
      </c>
      <c r="H4384" s="1" t="s">
        <v>113</v>
      </c>
      <c r="I4384" s="1">
        <v>1484.86</v>
      </c>
      <c r="J4384" s="1">
        <v>4</v>
      </c>
      <c r="K4384" s="1">
        <v>5939.44</v>
      </c>
      <c r="L4384" s="1">
        <v>5</v>
      </c>
      <c r="M4384" s="1">
        <v>296.97000000000003</v>
      </c>
      <c r="N4384" s="1">
        <v>5642.47</v>
      </c>
      <c r="O4384" s="1" t="s">
        <v>80</v>
      </c>
      <c r="P4384" s="1" t="s">
        <v>459</v>
      </c>
      <c r="Q4384" s="1">
        <v>1</v>
      </c>
      <c r="R4384" s="1">
        <f>Retail_Sales_Analyis[[#This Row],[Final_Price]]-Retail_Sales_Analyis[[#This Row],[Total_Price]]</f>
        <v>-296.96999999999935</v>
      </c>
      <c r="S43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85" spans="1:19" x14ac:dyDescent="0.25">
      <c r="A4385" s="1" t="s">
        <v>5514</v>
      </c>
      <c r="B4385" s="2">
        <v>45570</v>
      </c>
      <c r="C4385" s="1" t="s">
        <v>76</v>
      </c>
      <c r="D4385" s="1" t="s">
        <v>19</v>
      </c>
      <c r="E4385" s="1" t="s">
        <v>68</v>
      </c>
      <c r="F4385" s="1" t="s">
        <v>69</v>
      </c>
      <c r="G4385" s="1" t="s">
        <v>22</v>
      </c>
      <c r="H4385" s="1" t="s">
        <v>51</v>
      </c>
      <c r="I4385" s="1">
        <v>326.69</v>
      </c>
      <c r="J4385" s="1">
        <v>4</v>
      </c>
      <c r="K4385" s="1">
        <v>1306.76</v>
      </c>
      <c r="L4385" s="1">
        <v>0</v>
      </c>
      <c r="M4385" s="1">
        <v>0</v>
      </c>
      <c r="N4385" s="1">
        <v>1306.76</v>
      </c>
      <c r="O4385" s="1" t="s">
        <v>64</v>
      </c>
      <c r="P4385" s="1" t="s">
        <v>1206</v>
      </c>
      <c r="Q4385" s="1">
        <v>4</v>
      </c>
      <c r="R4385" s="1">
        <f>Retail_Sales_Analyis[[#This Row],[Final_Price]]-Retail_Sales_Analyis[[#This Row],[Total_Price]]</f>
        <v>0</v>
      </c>
      <c r="S43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6" spans="1:19" x14ac:dyDescent="0.25">
      <c r="A4386" s="1" t="s">
        <v>5515</v>
      </c>
      <c r="B4386" s="2">
        <v>45490</v>
      </c>
      <c r="C4386" s="1" t="s">
        <v>195</v>
      </c>
      <c r="D4386" s="1" t="s">
        <v>55</v>
      </c>
      <c r="E4386" s="1" t="s">
        <v>322</v>
      </c>
      <c r="F4386" s="1" t="s">
        <v>84</v>
      </c>
      <c r="G4386" s="1" t="s">
        <v>22</v>
      </c>
      <c r="H4386" s="1" t="s">
        <v>51</v>
      </c>
      <c r="I4386" s="1">
        <v>433.14</v>
      </c>
      <c r="J4386" s="1">
        <v>10</v>
      </c>
      <c r="K4386" s="1">
        <v>4331.3999999999996</v>
      </c>
      <c r="L4386" s="1">
        <v>0</v>
      </c>
      <c r="M4386" s="1">
        <v>0</v>
      </c>
      <c r="N4386" s="1">
        <v>4331.3999999999996</v>
      </c>
      <c r="O4386" s="1" t="s">
        <v>80</v>
      </c>
      <c r="P4386" s="1" t="s">
        <v>1125</v>
      </c>
      <c r="Q4386" s="1">
        <v>5</v>
      </c>
      <c r="R4386" s="1">
        <f>Retail_Sales_Analyis[[#This Row],[Final_Price]]-Retail_Sales_Analyis[[#This Row],[Total_Price]]</f>
        <v>0</v>
      </c>
      <c r="S43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87" spans="1:19" x14ac:dyDescent="0.25">
      <c r="A4387" s="1" t="s">
        <v>5516</v>
      </c>
      <c r="B4387" s="2">
        <v>45386</v>
      </c>
      <c r="C4387" s="1" t="s">
        <v>54</v>
      </c>
      <c r="D4387" s="1" t="s">
        <v>67</v>
      </c>
      <c r="E4387" s="1" t="s">
        <v>132</v>
      </c>
      <c r="F4387" s="1" t="s">
        <v>21</v>
      </c>
      <c r="G4387" s="1" t="s">
        <v>38</v>
      </c>
      <c r="H4387" s="1" t="s">
        <v>108</v>
      </c>
      <c r="I4387" s="1">
        <v>476.2</v>
      </c>
      <c r="J4387" s="1">
        <v>8</v>
      </c>
      <c r="K4387" s="1">
        <v>3809.6</v>
      </c>
      <c r="L4387" s="1">
        <v>15</v>
      </c>
      <c r="M4387" s="1">
        <v>571.44000000000005</v>
      </c>
      <c r="N4387" s="1">
        <v>3238.16</v>
      </c>
      <c r="O4387" s="1" t="s">
        <v>33</v>
      </c>
      <c r="P4387" s="1" t="s">
        <v>707</v>
      </c>
      <c r="Q4387" s="1">
        <v>3</v>
      </c>
      <c r="R4387" s="1">
        <f>Retail_Sales_Analyis[[#This Row],[Final_Price]]-Retail_Sales_Analyis[[#This Row],[Total_Price]]</f>
        <v>-571.44000000000005</v>
      </c>
      <c r="S43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88" spans="1:19" x14ac:dyDescent="0.25">
      <c r="A4388" s="1" t="s">
        <v>5517</v>
      </c>
      <c r="B4388" s="2">
        <v>45481</v>
      </c>
      <c r="C4388" s="1" t="s">
        <v>195</v>
      </c>
      <c r="D4388" s="1" t="s">
        <v>43</v>
      </c>
      <c r="E4388" s="1" t="s">
        <v>261</v>
      </c>
      <c r="F4388" s="1" t="s">
        <v>69</v>
      </c>
      <c r="G4388" s="1" t="s">
        <v>38</v>
      </c>
      <c r="H4388" s="1" t="s">
        <v>422</v>
      </c>
      <c r="I4388" s="1">
        <v>524.97</v>
      </c>
      <c r="J4388" s="1">
        <v>4</v>
      </c>
      <c r="K4388" s="1">
        <v>2099.88</v>
      </c>
      <c r="L4388" s="1">
        <v>20</v>
      </c>
      <c r="M4388" s="1">
        <v>419.98</v>
      </c>
      <c r="N4388" s="1">
        <v>1679.9</v>
      </c>
      <c r="O4388" s="1" t="s">
        <v>24</v>
      </c>
      <c r="P4388" s="1" t="s">
        <v>3968</v>
      </c>
      <c r="Q4388" s="1">
        <v>2</v>
      </c>
      <c r="R4388" s="1">
        <f>Retail_Sales_Analyis[[#This Row],[Final_Price]]-Retail_Sales_Analyis[[#This Row],[Total_Price]]</f>
        <v>-419.98</v>
      </c>
      <c r="S43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89" spans="1:19" x14ac:dyDescent="0.25">
      <c r="A4389" s="1" t="s">
        <v>5518</v>
      </c>
      <c r="B4389" s="2">
        <v>45487</v>
      </c>
      <c r="C4389" s="1" t="s">
        <v>195</v>
      </c>
      <c r="D4389" s="1" t="s">
        <v>49</v>
      </c>
      <c r="E4389" s="1" t="s">
        <v>97</v>
      </c>
      <c r="F4389" s="1" t="s">
        <v>84</v>
      </c>
      <c r="G4389" s="1" t="s">
        <v>31</v>
      </c>
      <c r="H4389" s="1" t="s">
        <v>250</v>
      </c>
      <c r="I4389" s="1">
        <v>494.69</v>
      </c>
      <c r="J4389" s="1">
        <v>7</v>
      </c>
      <c r="K4389" s="1">
        <v>3462.83</v>
      </c>
      <c r="L4389" s="1">
        <v>5</v>
      </c>
      <c r="M4389" s="1">
        <v>173.14</v>
      </c>
      <c r="N4389" s="1">
        <v>3289.69</v>
      </c>
      <c r="O4389" s="1" t="s">
        <v>80</v>
      </c>
      <c r="P4389" s="1" t="s">
        <v>1240</v>
      </c>
      <c r="Q4389" s="1">
        <v>3</v>
      </c>
      <c r="R4389" s="1">
        <f>Retail_Sales_Analyis[[#This Row],[Final_Price]]-Retail_Sales_Analyis[[#This Row],[Total_Price]]</f>
        <v>-173.13999999999987</v>
      </c>
      <c r="S43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90" spans="1:19" x14ac:dyDescent="0.25">
      <c r="A4390" s="1" t="s">
        <v>5519</v>
      </c>
      <c r="B4390" s="2">
        <v>45481</v>
      </c>
      <c r="C4390" s="1" t="s">
        <v>195</v>
      </c>
      <c r="D4390" s="1" t="s">
        <v>43</v>
      </c>
      <c r="E4390" s="1" t="s">
        <v>174</v>
      </c>
      <c r="F4390" s="1" t="s">
        <v>21</v>
      </c>
      <c r="G4390" s="1" t="s">
        <v>112</v>
      </c>
      <c r="H4390" s="1" t="s">
        <v>118</v>
      </c>
      <c r="I4390" s="1">
        <v>844.86</v>
      </c>
      <c r="J4390" s="1">
        <v>7</v>
      </c>
      <c r="K4390" s="1">
        <v>5914.02</v>
      </c>
      <c r="L4390" s="1">
        <v>5</v>
      </c>
      <c r="M4390" s="1">
        <v>295.7</v>
      </c>
      <c r="N4390" s="1">
        <v>5618.32</v>
      </c>
      <c r="O4390" s="1" t="s">
        <v>80</v>
      </c>
      <c r="P4390" s="1" t="s">
        <v>3267</v>
      </c>
      <c r="Q4390" s="1">
        <v>2</v>
      </c>
      <c r="R4390" s="1">
        <f>Retail_Sales_Analyis[[#This Row],[Final_Price]]-Retail_Sales_Analyis[[#This Row],[Total_Price]]</f>
        <v>-295.70000000000073</v>
      </c>
      <c r="S43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91" spans="1:19" x14ac:dyDescent="0.25">
      <c r="A4391" s="1" t="s">
        <v>5520</v>
      </c>
      <c r="B4391" s="2">
        <v>45387</v>
      </c>
      <c r="C4391" s="1" t="s">
        <v>54</v>
      </c>
      <c r="D4391" s="1" t="s">
        <v>144</v>
      </c>
      <c r="E4391" s="1" t="s">
        <v>312</v>
      </c>
      <c r="F4391" s="1" t="s">
        <v>84</v>
      </c>
      <c r="G4391" s="1" t="s">
        <v>57</v>
      </c>
      <c r="H4391" s="1" t="s">
        <v>152</v>
      </c>
      <c r="I4391" s="1">
        <v>1311.13</v>
      </c>
      <c r="J4391" s="1">
        <v>4</v>
      </c>
      <c r="K4391" s="1">
        <v>5244.52</v>
      </c>
      <c r="L4391" s="1">
        <v>20</v>
      </c>
      <c r="M4391" s="1">
        <v>1048.9000000000001</v>
      </c>
      <c r="N4391" s="1">
        <v>4195.62</v>
      </c>
      <c r="O4391" s="1" t="s">
        <v>24</v>
      </c>
      <c r="P4391" s="1" t="s">
        <v>1595</v>
      </c>
      <c r="Q4391" s="1">
        <v>4</v>
      </c>
      <c r="R4391" s="1">
        <f>Retail_Sales_Analyis[[#This Row],[Final_Price]]-Retail_Sales_Analyis[[#This Row],[Total_Price]]</f>
        <v>-1048.9000000000005</v>
      </c>
      <c r="S43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92" spans="1:19" x14ac:dyDescent="0.25">
      <c r="A4392" s="1" t="s">
        <v>5521</v>
      </c>
      <c r="B4392" s="2">
        <v>45520</v>
      </c>
      <c r="C4392" s="1" t="s">
        <v>93</v>
      </c>
      <c r="D4392" s="1" t="s">
        <v>144</v>
      </c>
      <c r="E4392" s="1" t="s">
        <v>186</v>
      </c>
      <c r="F4392" s="1" t="s">
        <v>21</v>
      </c>
      <c r="G4392" s="1" t="s">
        <v>78</v>
      </c>
      <c r="H4392" s="1" t="s">
        <v>146</v>
      </c>
      <c r="I4392" s="1">
        <v>286.08</v>
      </c>
      <c r="J4392" s="1">
        <v>4</v>
      </c>
      <c r="K4392" s="1">
        <v>1144.32</v>
      </c>
      <c r="L4392" s="1">
        <v>10</v>
      </c>
      <c r="M4392" s="1">
        <v>114.43</v>
      </c>
      <c r="N4392" s="1">
        <v>1029.8900000000001</v>
      </c>
      <c r="O4392" s="1" t="s">
        <v>80</v>
      </c>
      <c r="P4392" s="1" t="s">
        <v>2691</v>
      </c>
      <c r="Q4392" s="1">
        <v>2</v>
      </c>
      <c r="R4392" s="1">
        <f>Retail_Sales_Analyis[[#This Row],[Final_Price]]-Retail_Sales_Analyis[[#This Row],[Total_Price]]</f>
        <v>-114.42999999999984</v>
      </c>
      <c r="S43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393" spans="1:19" x14ac:dyDescent="0.25">
      <c r="A4393" s="1" t="s">
        <v>5522</v>
      </c>
      <c r="B4393" s="2">
        <v>45314</v>
      </c>
      <c r="C4393" s="1" t="s">
        <v>36</v>
      </c>
      <c r="D4393" s="1" t="s">
        <v>28</v>
      </c>
      <c r="E4393" s="1" t="s">
        <v>141</v>
      </c>
      <c r="F4393" s="1" t="s">
        <v>37</v>
      </c>
      <c r="G4393" s="1" t="s">
        <v>78</v>
      </c>
      <c r="H4393" s="1" t="s">
        <v>79</v>
      </c>
      <c r="I4393" s="1">
        <v>380.44</v>
      </c>
      <c r="J4393" s="1">
        <v>2</v>
      </c>
      <c r="K4393" s="1">
        <v>760.88</v>
      </c>
      <c r="L4393" s="1">
        <v>5</v>
      </c>
      <c r="M4393" s="1">
        <v>38.04</v>
      </c>
      <c r="N4393" s="1">
        <v>722.84</v>
      </c>
      <c r="O4393" s="1" t="s">
        <v>33</v>
      </c>
      <c r="P4393" s="1" t="s">
        <v>230</v>
      </c>
      <c r="Q4393" s="1">
        <v>3</v>
      </c>
      <c r="R4393" s="1">
        <f>Retail_Sales_Analyis[[#This Row],[Final_Price]]-Retail_Sales_Analyis[[#This Row],[Total_Price]]</f>
        <v>-38.039999999999964</v>
      </c>
      <c r="S439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94" spans="1:19" x14ac:dyDescent="0.25">
      <c r="A4394" s="1" t="s">
        <v>5523</v>
      </c>
      <c r="B4394" s="2">
        <v>45426</v>
      </c>
      <c r="C4394" s="1" t="s">
        <v>42</v>
      </c>
      <c r="D4394" s="1" t="s">
        <v>28</v>
      </c>
      <c r="E4394" s="1" t="s">
        <v>125</v>
      </c>
      <c r="F4394" s="1" t="s">
        <v>84</v>
      </c>
      <c r="G4394" s="1" t="s">
        <v>57</v>
      </c>
      <c r="H4394" s="1" t="s">
        <v>58</v>
      </c>
      <c r="I4394" s="1">
        <v>578.48</v>
      </c>
      <c r="J4394" s="1">
        <v>1</v>
      </c>
      <c r="K4394" s="1">
        <v>578.48</v>
      </c>
      <c r="L4394" s="1">
        <v>20</v>
      </c>
      <c r="M4394" s="1">
        <v>115.7</v>
      </c>
      <c r="N4394" s="1">
        <v>462.78</v>
      </c>
      <c r="O4394" s="1" t="s">
        <v>24</v>
      </c>
      <c r="P4394" s="1" t="s">
        <v>4775</v>
      </c>
      <c r="Q4394" s="1">
        <v>5</v>
      </c>
      <c r="R4394" s="1">
        <f>Retail_Sales_Analyis[[#This Row],[Final_Price]]-Retail_Sales_Analyis[[#This Row],[Total_Price]]</f>
        <v>-115.70000000000005</v>
      </c>
      <c r="S43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95" spans="1:19" x14ac:dyDescent="0.25">
      <c r="A4395" s="1" t="s">
        <v>5524</v>
      </c>
      <c r="B4395" s="2">
        <v>45517</v>
      </c>
      <c r="C4395" s="1" t="s">
        <v>93</v>
      </c>
      <c r="D4395" s="1" t="s">
        <v>28</v>
      </c>
      <c r="E4395" s="1" t="s">
        <v>83</v>
      </c>
      <c r="F4395" s="1" t="s">
        <v>84</v>
      </c>
      <c r="G4395" s="1" t="s">
        <v>78</v>
      </c>
      <c r="H4395" s="1" t="s">
        <v>146</v>
      </c>
      <c r="I4395" s="1">
        <v>182.38</v>
      </c>
      <c r="J4395" s="1">
        <v>6</v>
      </c>
      <c r="K4395" s="1">
        <v>1094.28</v>
      </c>
      <c r="L4395" s="1">
        <v>0</v>
      </c>
      <c r="M4395" s="1">
        <v>0</v>
      </c>
      <c r="N4395" s="1">
        <v>1094.28</v>
      </c>
      <c r="O4395" s="1" t="s">
        <v>64</v>
      </c>
      <c r="P4395" s="1" t="s">
        <v>4064</v>
      </c>
      <c r="Q4395" s="1">
        <v>5</v>
      </c>
      <c r="R4395" s="1">
        <f>Retail_Sales_Analyis[[#This Row],[Final_Price]]-Retail_Sales_Analyis[[#This Row],[Total_Price]]</f>
        <v>0</v>
      </c>
      <c r="S43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396" spans="1:19" x14ac:dyDescent="0.25">
      <c r="A4396" s="1" t="s">
        <v>5525</v>
      </c>
      <c r="B4396" s="2">
        <v>45530</v>
      </c>
      <c r="C4396" s="1" t="s">
        <v>93</v>
      </c>
      <c r="D4396" s="1" t="s">
        <v>43</v>
      </c>
      <c r="E4396" s="1" t="s">
        <v>132</v>
      </c>
      <c r="F4396" s="1" t="s">
        <v>37</v>
      </c>
      <c r="G4396" s="1" t="s">
        <v>169</v>
      </c>
      <c r="H4396" s="1" t="s">
        <v>175</v>
      </c>
      <c r="I4396" s="1">
        <v>881.62</v>
      </c>
      <c r="J4396" s="1">
        <v>5</v>
      </c>
      <c r="K4396" s="1">
        <v>4408.1000000000004</v>
      </c>
      <c r="L4396" s="1">
        <v>20</v>
      </c>
      <c r="M4396" s="1">
        <v>881.62</v>
      </c>
      <c r="N4396" s="1">
        <v>3526.48</v>
      </c>
      <c r="O4396" s="1" t="s">
        <v>24</v>
      </c>
      <c r="P4396" s="1" t="s">
        <v>695</v>
      </c>
      <c r="Q4396" s="1">
        <v>3</v>
      </c>
      <c r="R4396" s="1">
        <f>Retail_Sales_Analyis[[#This Row],[Final_Price]]-Retail_Sales_Analyis[[#This Row],[Total_Price]]</f>
        <v>-881.62000000000035</v>
      </c>
      <c r="S43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97" spans="1:19" x14ac:dyDescent="0.25">
      <c r="A4397" s="1" t="s">
        <v>5526</v>
      </c>
      <c r="B4397" s="2">
        <v>45426</v>
      </c>
      <c r="C4397" s="1" t="s">
        <v>42</v>
      </c>
      <c r="D4397" s="1" t="s">
        <v>28</v>
      </c>
      <c r="E4397" s="1" t="s">
        <v>97</v>
      </c>
      <c r="F4397" s="1" t="s">
        <v>69</v>
      </c>
      <c r="G4397" s="1" t="s">
        <v>22</v>
      </c>
      <c r="H4397" s="1" t="s">
        <v>51</v>
      </c>
      <c r="I4397" s="1">
        <v>209.85</v>
      </c>
      <c r="J4397" s="1">
        <v>7</v>
      </c>
      <c r="K4397" s="1">
        <v>1468.95</v>
      </c>
      <c r="L4397" s="1">
        <v>20</v>
      </c>
      <c r="M4397" s="1">
        <v>293.79000000000002</v>
      </c>
      <c r="N4397" s="1">
        <v>1175.1600000000001</v>
      </c>
      <c r="O4397" s="1" t="s">
        <v>64</v>
      </c>
      <c r="P4397" s="1" t="s">
        <v>3985</v>
      </c>
      <c r="Q4397" s="1">
        <v>2</v>
      </c>
      <c r="R4397" s="1">
        <f>Retail_Sales_Analyis[[#This Row],[Final_Price]]-Retail_Sales_Analyis[[#This Row],[Total_Price]]</f>
        <v>-293.78999999999996</v>
      </c>
      <c r="S43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398" spans="1:19" x14ac:dyDescent="0.25">
      <c r="A4398" s="1" t="s">
        <v>5527</v>
      </c>
      <c r="B4398" s="2">
        <v>45407</v>
      </c>
      <c r="C4398" s="1" t="s">
        <v>54</v>
      </c>
      <c r="D4398" s="1" t="s">
        <v>67</v>
      </c>
      <c r="E4398" s="1" t="s">
        <v>351</v>
      </c>
      <c r="F4398" s="1" t="s">
        <v>69</v>
      </c>
      <c r="G4398" s="1" t="s">
        <v>112</v>
      </c>
      <c r="H4398" s="1" t="s">
        <v>118</v>
      </c>
      <c r="I4398" s="1">
        <v>1095.77</v>
      </c>
      <c r="J4398" s="1">
        <v>3</v>
      </c>
      <c r="K4398" s="1">
        <v>3287.31</v>
      </c>
      <c r="L4398" s="1">
        <v>5</v>
      </c>
      <c r="M4398" s="1">
        <v>164.37</v>
      </c>
      <c r="N4398" s="1">
        <v>3122.94</v>
      </c>
      <c r="O4398" s="1" t="s">
        <v>64</v>
      </c>
      <c r="P4398" s="1" t="s">
        <v>1292</v>
      </c>
      <c r="Q4398" s="1">
        <v>2</v>
      </c>
      <c r="R4398" s="1">
        <f>Retail_Sales_Analyis[[#This Row],[Final_Price]]-Retail_Sales_Analyis[[#This Row],[Total_Price]]</f>
        <v>-164.36999999999989</v>
      </c>
      <c r="S439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399" spans="1:19" x14ac:dyDescent="0.25">
      <c r="A4399" s="1" t="s">
        <v>5528</v>
      </c>
      <c r="B4399" s="2">
        <v>45429</v>
      </c>
      <c r="C4399" s="1" t="s">
        <v>42</v>
      </c>
      <c r="D4399" s="1" t="s">
        <v>144</v>
      </c>
      <c r="E4399" s="1" t="s">
        <v>302</v>
      </c>
      <c r="F4399" s="1" t="s">
        <v>37</v>
      </c>
      <c r="G4399" s="1" t="s">
        <v>85</v>
      </c>
      <c r="H4399" s="1" t="s">
        <v>98</v>
      </c>
      <c r="I4399" s="1">
        <v>4732.3999999999996</v>
      </c>
      <c r="J4399" s="1">
        <v>6</v>
      </c>
      <c r="K4399" s="1">
        <v>28394.400000000001</v>
      </c>
      <c r="L4399" s="1">
        <v>0</v>
      </c>
      <c r="M4399" s="1">
        <v>0</v>
      </c>
      <c r="N4399" s="1">
        <v>28394.400000000001</v>
      </c>
      <c r="O4399" s="1" t="s">
        <v>80</v>
      </c>
      <c r="P4399" s="1" t="s">
        <v>1273</v>
      </c>
      <c r="Q4399" s="1">
        <v>2</v>
      </c>
      <c r="R4399" s="1">
        <f>Retail_Sales_Analyis[[#This Row],[Final_Price]]-Retail_Sales_Analyis[[#This Row],[Total_Price]]</f>
        <v>0</v>
      </c>
      <c r="S43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0" spans="1:19" x14ac:dyDescent="0.25">
      <c r="A4400" s="1" t="s">
        <v>5529</v>
      </c>
      <c r="B4400" s="2">
        <v>45580</v>
      </c>
      <c r="C4400" s="1" t="s">
        <v>76</v>
      </c>
      <c r="D4400" s="1" t="s">
        <v>28</v>
      </c>
      <c r="E4400" s="1" t="s">
        <v>139</v>
      </c>
      <c r="F4400" s="1" t="s">
        <v>30</v>
      </c>
      <c r="G4400" s="1" t="s">
        <v>57</v>
      </c>
      <c r="H4400" s="1" t="s">
        <v>158</v>
      </c>
      <c r="I4400" s="1">
        <v>320.70999999999998</v>
      </c>
      <c r="J4400" s="1">
        <v>7</v>
      </c>
      <c r="K4400" s="1">
        <v>2244.9699999999998</v>
      </c>
      <c r="L4400" s="1">
        <v>0</v>
      </c>
      <c r="M4400" s="1">
        <v>0</v>
      </c>
      <c r="N4400" s="1">
        <v>2244.9699999999998</v>
      </c>
      <c r="O4400" s="1" t="s">
        <v>24</v>
      </c>
      <c r="P4400" s="1" t="s">
        <v>1395</v>
      </c>
      <c r="Q4400" s="1">
        <v>1</v>
      </c>
      <c r="R4400" s="1">
        <f>Retail_Sales_Analyis[[#This Row],[Final_Price]]-Retail_Sales_Analyis[[#This Row],[Total_Price]]</f>
        <v>0</v>
      </c>
      <c r="S44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1" spans="1:19" x14ac:dyDescent="0.25">
      <c r="A4401" s="1" t="s">
        <v>5530</v>
      </c>
      <c r="B4401" s="2">
        <v>45323</v>
      </c>
      <c r="C4401" s="1" t="s">
        <v>27</v>
      </c>
      <c r="D4401" s="1" t="s">
        <v>67</v>
      </c>
      <c r="E4401" s="1" t="s">
        <v>207</v>
      </c>
      <c r="F4401" s="1" t="s">
        <v>21</v>
      </c>
      <c r="G4401" s="1" t="s">
        <v>169</v>
      </c>
      <c r="H4401" s="1" t="s">
        <v>175</v>
      </c>
      <c r="I4401" s="1">
        <v>1339.74</v>
      </c>
      <c r="J4401" s="1">
        <v>10</v>
      </c>
      <c r="K4401" s="1">
        <v>13397.4</v>
      </c>
      <c r="L4401" s="1">
        <v>10</v>
      </c>
      <c r="M4401" s="1">
        <v>1339.74</v>
      </c>
      <c r="N4401" s="1">
        <v>12057.66</v>
      </c>
      <c r="O4401" s="1" t="s">
        <v>33</v>
      </c>
      <c r="P4401" s="1" t="s">
        <v>524</v>
      </c>
      <c r="Q4401" s="1">
        <v>1</v>
      </c>
      <c r="R4401" s="1">
        <f>Retail_Sales_Analyis[[#This Row],[Final_Price]]-Retail_Sales_Analyis[[#This Row],[Total_Price]]</f>
        <v>-1339.7399999999998</v>
      </c>
      <c r="S44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02" spans="1:19" x14ac:dyDescent="0.25">
      <c r="A4402" s="1" t="s">
        <v>5531</v>
      </c>
      <c r="B4402" s="2">
        <v>45369</v>
      </c>
      <c r="C4402" s="1" t="s">
        <v>61</v>
      </c>
      <c r="D4402" s="1" t="s">
        <v>43</v>
      </c>
      <c r="E4402" s="1" t="s">
        <v>302</v>
      </c>
      <c r="F4402" s="1" t="s">
        <v>84</v>
      </c>
      <c r="G4402" s="1" t="s">
        <v>169</v>
      </c>
      <c r="H4402" s="1" t="s">
        <v>208</v>
      </c>
      <c r="I4402" s="1">
        <v>977.2</v>
      </c>
      <c r="J4402" s="1">
        <v>10</v>
      </c>
      <c r="K4402" s="1">
        <v>9772</v>
      </c>
      <c r="L4402" s="1">
        <v>5</v>
      </c>
      <c r="M4402" s="1">
        <v>488.6</v>
      </c>
      <c r="N4402" s="1">
        <v>9283.4</v>
      </c>
      <c r="O4402" s="1" t="s">
        <v>46</v>
      </c>
      <c r="P4402" s="1" t="s">
        <v>482</v>
      </c>
      <c r="Q4402" s="1">
        <v>2</v>
      </c>
      <c r="R4402" s="1">
        <f>Retail_Sales_Analyis[[#This Row],[Final_Price]]-Retail_Sales_Analyis[[#This Row],[Total_Price]]</f>
        <v>-488.60000000000036</v>
      </c>
      <c r="S440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03" spans="1:19" x14ac:dyDescent="0.25">
      <c r="A4403" s="1" t="s">
        <v>5532</v>
      </c>
      <c r="B4403" s="2">
        <v>45648</v>
      </c>
      <c r="C4403" s="1" t="s">
        <v>73</v>
      </c>
      <c r="D4403" s="1" t="s">
        <v>49</v>
      </c>
      <c r="E4403" s="1" t="s">
        <v>239</v>
      </c>
      <c r="F4403" s="1" t="s">
        <v>69</v>
      </c>
      <c r="G4403" s="1" t="s">
        <v>22</v>
      </c>
      <c r="H4403" s="1" t="s">
        <v>277</v>
      </c>
      <c r="I4403" s="1">
        <v>239.69</v>
      </c>
      <c r="J4403" s="1">
        <v>9</v>
      </c>
      <c r="K4403" s="1">
        <v>2157.21</v>
      </c>
      <c r="L4403" s="1">
        <v>0</v>
      </c>
      <c r="M4403" s="1">
        <v>0</v>
      </c>
      <c r="N4403" s="1">
        <v>2157.21</v>
      </c>
      <c r="O4403" s="1" t="s">
        <v>33</v>
      </c>
      <c r="P4403" s="1" t="s">
        <v>467</v>
      </c>
      <c r="Q4403" s="1">
        <v>5</v>
      </c>
      <c r="R4403" s="1">
        <f>Retail_Sales_Analyis[[#This Row],[Final_Price]]-Retail_Sales_Analyis[[#This Row],[Total_Price]]</f>
        <v>0</v>
      </c>
      <c r="S44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4" spans="1:19" x14ac:dyDescent="0.25">
      <c r="A4404" s="1" t="s">
        <v>5533</v>
      </c>
      <c r="B4404" s="2">
        <v>45633</v>
      </c>
      <c r="C4404" s="1" t="s">
        <v>73</v>
      </c>
      <c r="D4404" s="1" t="s">
        <v>19</v>
      </c>
      <c r="E4404" s="1" t="s">
        <v>111</v>
      </c>
      <c r="F4404" s="1" t="s">
        <v>84</v>
      </c>
      <c r="G4404" s="1" t="s">
        <v>85</v>
      </c>
      <c r="H4404" s="1" t="s">
        <v>297</v>
      </c>
      <c r="I4404" s="1">
        <v>2163.64</v>
      </c>
      <c r="J4404" s="1">
        <v>8</v>
      </c>
      <c r="K4404" s="1">
        <v>17309.12</v>
      </c>
      <c r="L4404" s="1">
        <v>0</v>
      </c>
      <c r="M4404" s="1">
        <v>0</v>
      </c>
      <c r="N4404" s="1">
        <v>17309.12</v>
      </c>
      <c r="O4404" s="1" t="s">
        <v>33</v>
      </c>
      <c r="P4404" s="1" t="s">
        <v>4285</v>
      </c>
      <c r="Q4404" s="1">
        <v>2</v>
      </c>
      <c r="R4404" s="1">
        <f>Retail_Sales_Analyis[[#This Row],[Final_Price]]-Retail_Sales_Analyis[[#This Row],[Total_Price]]</f>
        <v>0</v>
      </c>
      <c r="S44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5" spans="1:19" x14ac:dyDescent="0.25">
      <c r="A4405" s="1" t="s">
        <v>5534</v>
      </c>
      <c r="B4405" s="2">
        <v>45341</v>
      </c>
      <c r="C4405" s="1" t="s">
        <v>27</v>
      </c>
      <c r="D4405" s="1" t="s">
        <v>43</v>
      </c>
      <c r="E4405" s="1" t="s">
        <v>50</v>
      </c>
      <c r="F4405" s="1" t="s">
        <v>37</v>
      </c>
      <c r="G4405" s="1" t="s">
        <v>31</v>
      </c>
      <c r="H4405" s="1" t="s">
        <v>329</v>
      </c>
      <c r="I4405" s="1">
        <v>465.59</v>
      </c>
      <c r="J4405" s="1">
        <v>4</v>
      </c>
      <c r="K4405" s="1">
        <v>1862.36</v>
      </c>
      <c r="L4405" s="1">
        <v>10</v>
      </c>
      <c r="M4405" s="1">
        <v>186.24</v>
      </c>
      <c r="N4405" s="1">
        <v>1676.12</v>
      </c>
      <c r="O4405" s="1" t="s">
        <v>24</v>
      </c>
      <c r="P4405" s="1" t="s">
        <v>2268</v>
      </c>
      <c r="Q4405" s="1">
        <v>2</v>
      </c>
      <c r="R4405" s="1">
        <f>Retail_Sales_Analyis[[#This Row],[Final_Price]]-Retail_Sales_Analyis[[#This Row],[Total_Price]]</f>
        <v>-186.24</v>
      </c>
      <c r="S44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06" spans="1:19" x14ac:dyDescent="0.25">
      <c r="A4406" s="1" t="s">
        <v>5535</v>
      </c>
      <c r="B4406" s="2">
        <v>45335</v>
      </c>
      <c r="C4406" s="1" t="s">
        <v>27</v>
      </c>
      <c r="D4406" s="1" t="s">
        <v>28</v>
      </c>
      <c r="E4406" s="1" t="s">
        <v>207</v>
      </c>
      <c r="F4406" s="1" t="s">
        <v>37</v>
      </c>
      <c r="G4406" s="1" t="s">
        <v>85</v>
      </c>
      <c r="H4406" s="1" t="s">
        <v>297</v>
      </c>
      <c r="I4406" s="1">
        <v>4653.6400000000003</v>
      </c>
      <c r="J4406" s="1">
        <v>6</v>
      </c>
      <c r="K4406" s="1">
        <v>27921.84</v>
      </c>
      <c r="L4406" s="1">
        <v>20</v>
      </c>
      <c r="M4406" s="1">
        <v>5584.37</v>
      </c>
      <c r="N4406" s="1">
        <v>22337.47</v>
      </c>
      <c r="O4406" s="1" t="s">
        <v>33</v>
      </c>
      <c r="P4406" s="1" t="s">
        <v>232</v>
      </c>
      <c r="Q4406" s="1">
        <v>2</v>
      </c>
      <c r="R4406" s="1">
        <f>Retail_Sales_Analyis[[#This Row],[Final_Price]]-Retail_Sales_Analyis[[#This Row],[Total_Price]]</f>
        <v>-5584.369999999999</v>
      </c>
      <c r="S440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07" spans="1:19" x14ac:dyDescent="0.25">
      <c r="A4407" s="1" t="s">
        <v>5536</v>
      </c>
      <c r="B4407" s="2">
        <v>45634</v>
      </c>
      <c r="C4407" s="1" t="s">
        <v>73</v>
      </c>
      <c r="D4407" s="1" t="s">
        <v>49</v>
      </c>
      <c r="E4407" s="1" t="s">
        <v>166</v>
      </c>
      <c r="F4407" s="1" t="s">
        <v>69</v>
      </c>
      <c r="G4407" s="1" t="s">
        <v>112</v>
      </c>
      <c r="H4407" s="1" t="s">
        <v>113</v>
      </c>
      <c r="I4407" s="1">
        <v>1977.42</v>
      </c>
      <c r="J4407" s="1">
        <v>5</v>
      </c>
      <c r="K4407" s="1">
        <v>9887.1</v>
      </c>
      <c r="L4407" s="1">
        <v>5</v>
      </c>
      <c r="M4407" s="1">
        <v>494.36</v>
      </c>
      <c r="N4407" s="1">
        <v>9392.74</v>
      </c>
      <c r="O4407" s="1" t="s">
        <v>46</v>
      </c>
      <c r="P4407" s="1" t="s">
        <v>242</v>
      </c>
      <c r="Q4407" s="1">
        <v>5</v>
      </c>
      <c r="R4407" s="1">
        <f>Retail_Sales_Analyis[[#This Row],[Final_Price]]-Retail_Sales_Analyis[[#This Row],[Total_Price]]</f>
        <v>-494.36000000000058</v>
      </c>
      <c r="S44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08" spans="1:19" x14ac:dyDescent="0.25">
      <c r="A4408" s="1" t="s">
        <v>5537</v>
      </c>
      <c r="B4408" s="2">
        <v>45468</v>
      </c>
      <c r="C4408" s="1" t="s">
        <v>173</v>
      </c>
      <c r="D4408" s="1" t="s">
        <v>28</v>
      </c>
      <c r="E4408" s="1" t="s">
        <v>62</v>
      </c>
      <c r="F4408" s="1" t="s">
        <v>21</v>
      </c>
      <c r="G4408" s="1" t="s">
        <v>85</v>
      </c>
      <c r="H4408" s="1" t="s">
        <v>297</v>
      </c>
      <c r="I4408" s="1">
        <v>1924.15</v>
      </c>
      <c r="J4408" s="1">
        <v>8</v>
      </c>
      <c r="K4408" s="1">
        <v>15393.2</v>
      </c>
      <c r="L4408" s="1">
        <v>0</v>
      </c>
      <c r="M4408" s="1">
        <v>0</v>
      </c>
      <c r="N4408" s="1">
        <v>15393.2</v>
      </c>
      <c r="O4408" s="1" t="s">
        <v>80</v>
      </c>
      <c r="P4408" s="1" t="s">
        <v>773</v>
      </c>
      <c r="Q4408" s="1">
        <v>1</v>
      </c>
      <c r="R4408" s="1">
        <f>Retail_Sales_Analyis[[#This Row],[Final_Price]]-Retail_Sales_Analyis[[#This Row],[Total_Price]]</f>
        <v>0</v>
      </c>
      <c r="S44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09" spans="1:19" x14ac:dyDescent="0.25">
      <c r="A4409" s="1" t="s">
        <v>5538</v>
      </c>
      <c r="B4409" s="2">
        <v>45569</v>
      </c>
      <c r="C4409" s="1" t="s">
        <v>76</v>
      </c>
      <c r="D4409" s="1" t="s">
        <v>144</v>
      </c>
      <c r="E4409" s="1" t="s">
        <v>151</v>
      </c>
      <c r="F4409" s="1" t="s">
        <v>37</v>
      </c>
      <c r="G4409" s="1" t="s">
        <v>57</v>
      </c>
      <c r="H4409" s="1" t="s">
        <v>101</v>
      </c>
      <c r="I4409" s="1">
        <v>578.52</v>
      </c>
      <c r="J4409" s="1">
        <v>8</v>
      </c>
      <c r="K4409" s="1">
        <v>4628.16</v>
      </c>
      <c r="L4409" s="1">
        <v>15</v>
      </c>
      <c r="M4409" s="1">
        <v>694.22</v>
      </c>
      <c r="N4409" s="1">
        <v>3933.94</v>
      </c>
      <c r="O4409" s="1" t="s">
        <v>64</v>
      </c>
      <c r="P4409" s="1" t="s">
        <v>691</v>
      </c>
      <c r="Q4409" s="1">
        <v>3</v>
      </c>
      <c r="R4409" s="1">
        <f>Retail_Sales_Analyis[[#This Row],[Final_Price]]-Retail_Sales_Analyis[[#This Row],[Total_Price]]</f>
        <v>-694.2199999999998</v>
      </c>
      <c r="S440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10" spans="1:19" x14ac:dyDescent="0.25">
      <c r="A4410" s="1" t="s">
        <v>5539</v>
      </c>
      <c r="B4410" s="2">
        <v>45503</v>
      </c>
      <c r="C4410" s="1" t="s">
        <v>195</v>
      </c>
      <c r="D4410" s="1" t="s">
        <v>28</v>
      </c>
      <c r="E4410" s="1" t="s">
        <v>77</v>
      </c>
      <c r="F4410" s="1" t="s">
        <v>30</v>
      </c>
      <c r="G4410" s="1" t="s">
        <v>38</v>
      </c>
      <c r="H4410" s="1" t="s">
        <v>70</v>
      </c>
      <c r="I4410" s="1">
        <v>569.54</v>
      </c>
      <c r="J4410" s="1">
        <v>4</v>
      </c>
      <c r="K4410" s="1">
        <v>2278.16</v>
      </c>
      <c r="L4410" s="1">
        <v>10</v>
      </c>
      <c r="M4410" s="1">
        <v>227.82</v>
      </c>
      <c r="N4410" s="1">
        <v>2050.34</v>
      </c>
      <c r="O4410" s="1" t="s">
        <v>46</v>
      </c>
      <c r="P4410" s="1" t="s">
        <v>2876</v>
      </c>
      <c r="Q4410" s="1">
        <v>4</v>
      </c>
      <c r="R4410" s="1">
        <f>Retail_Sales_Analyis[[#This Row],[Final_Price]]-Retail_Sales_Analyis[[#This Row],[Total_Price]]</f>
        <v>-227.81999999999971</v>
      </c>
      <c r="S44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11" spans="1:19" x14ac:dyDescent="0.25">
      <c r="A4411" s="1" t="s">
        <v>5540</v>
      </c>
      <c r="B4411" s="2">
        <v>45593</v>
      </c>
      <c r="C4411" s="1" t="s">
        <v>76</v>
      </c>
      <c r="D4411" s="1" t="s">
        <v>43</v>
      </c>
      <c r="E4411" s="1" t="s">
        <v>89</v>
      </c>
      <c r="F4411" s="1" t="s">
        <v>30</v>
      </c>
      <c r="G4411" s="1" t="s">
        <v>57</v>
      </c>
      <c r="H4411" s="1" t="s">
        <v>152</v>
      </c>
      <c r="I4411" s="1">
        <v>1616.41</v>
      </c>
      <c r="J4411" s="1">
        <v>7</v>
      </c>
      <c r="K4411" s="1">
        <v>11314.87</v>
      </c>
      <c r="L4411" s="1">
        <v>20</v>
      </c>
      <c r="M4411" s="1">
        <v>2262.9699999999998</v>
      </c>
      <c r="N4411" s="1">
        <v>9051.9</v>
      </c>
      <c r="O4411" s="1" t="s">
        <v>46</v>
      </c>
      <c r="P4411" s="1" t="s">
        <v>1307</v>
      </c>
      <c r="Q4411" s="1">
        <v>3</v>
      </c>
      <c r="R4411" s="1">
        <f>Retail_Sales_Analyis[[#This Row],[Final_Price]]-Retail_Sales_Analyis[[#This Row],[Total_Price]]</f>
        <v>-2262.9700000000012</v>
      </c>
      <c r="S441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12" spans="1:19" x14ac:dyDescent="0.25">
      <c r="A4412" s="1" t="s">
        <v>5541</v>
      </c>
      <c r="B4412" s="2">
        <v>45408</v>
      </c>
      <c r="C4412" s="1" t="s">
        <v>54</v>
      </c>
      <c r="D4412" s="1" t="s">
        <v>144</v>
      </c>
      <c r="E4412" s="1" t="s">
        <v>145</v>
      </c>
      <c r="F4412" s="1" t="s">
        <v>69</v>
      </c>
      <c r="G4412" s="1" t="s">
        <v>112</v>
      </c>
      <c r="H4412" s="1" t="s">
        <v>223</v>
      </c>
      <c r="I4412" s="1">
        <v>1213.33</v>
      </c>
      <c r="J4412" s="1">
        <v>10</v>
      </c>
      <c r="K4412" s="1">
        <v>12133.3</v>
      </c>
      <c r="L4412" s="1">
        <v>0</v>
      </c>
      <c r="M4412" s="1">
        <v>0</v>
      </c>
      <c r="N4412" s="1">
        <v>12133.3</v>
      </c>
      <c r="O4412" s="1" t="s">
        <v>46</v>
      </c>
      <c r="P4412" s="1" t="s">
        <v>2553</v>
      </c>
      <c r="Q4412" s="1">
        <v>4</v>
      </c>
      <c r="R4412" s="1">
        <f>Retail_Sales_Analyis[[#This Row],[Final_Price]]-Retail_Sales_Analyis[[#This Row],[Total_Price]]</f>
        <v>0</v>
      </c>
      <c r="S44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13" spans="1:19" x14ac:dyDescent="0.25">
      <c r="A4413" s="1" t="s">
        <v>5542</v>
      </c>
      <c r="B4413" s="2">
        <v>45575</v>
      </c>
      <c r="C4413" s="1" t="s">
        <v>76</v>
      </c>
      <c r="D4413" s="1" t="s">
        <v>67</v>
      </c>
      <c r="E4413" s="1" t="s">
        <v>199</v>
      </c>
      <c r="F4413" s="1" t="s">
        <v>30</v>
      </c>
      <c r="G4413" s="1" t="s">
        <v>57</v>
      </c>
      <c r="H4413" s="1" t="s">
        <v>58</v>
      </c>
      <c r="I4413" s="1">
        <v>2558.36</v>
      </c>
      <c r="J4413" s="1">
        <v>6</v>
      </c>
      <c r="K4413" s="1">
        <v>15350.16</v>
      </c>
      <c r="L4413" s="1">
        <v>15</v>
      </c>
      <c r="M4413" s="1">
        <v>2302.52</v>
      </c>
      <c r="N4413" s="1">
        <v>13047.64</v>
      </c>
      <c r="O4413" s="1" t="s">
        <v>46</v>
      </c>
      <c r="P4413" s="1" t="s">
        <v>2909</v>
      </c>
      <c r="Q4413" s="1">
        <v>1</v>
      </c>
      <c r="R4413" s="1">
        <f>Retail_Sales_Analyis[[#This Row],[Final_Price]]-Retail_Sales_Analyis[[#This Row],[Total_Price]]</f>
        <v>-2302.5200000000004</v>
      </c>
      <c r="S44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14" spans="1:19" x14ac:dyDescent="0.25">
      <c r="A4414" s="1" t="s">
        <v>5543</v>
      </c>
      <c r="B4414" s="2">
        <v>45323</v>
      </c>
      <c r="C4414" s="1" t="s">
        <v>27</v>
      </c>
      <c r="D4414" s="1" t="s">
        <v>67</v>
      </c>
      <c r="E4414" s="1" t="s">
        <v>342</v>
      </c>
      <c r="F4414" s="1" t="s">
        <v>84</v>
      </c>
      <c r="G4414" s="1" t="s">
        <v>57</v>
      </c>
      <c r="H4414" s="1" t="s">
        <v>122</v>
      </c>
      <c r="I4414" s="1">
        <v>1579.95</v>
      </c>
      <c r="J4414" s="1">
        <v>1</v>
      </c>
      <c r="K4414" s="1">
        <v>1579.95</v>
      </c>
      <c r="L4414" s="1">
        <v>0</v>
      </c>
      <c r="M4414" s="1">
        <v>0</v>
      </c>
      <c r="N4414" s="1">
        <v>1579.95</v>
      </c>
      <c r="O4414" s="1" t="s">
        <v>33</v>
      </c>
      <c r="P4414" s="1" t="s">
        <v>379</v>
      </c>
      <c r="Q4414" s="1">
        <v>4</v>
      </c>
      <c r="R4414" s="1">
        <f>Retail_Sales_Analyis[[#This Row],[Final_Price]]-Retail_Sales_Analyis[[#This Row],[Total_Price]]</f>
        <v>0</v>
      </c>
      <c r="S44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15" spans="1:19" x14ac:dyDescent="0.25">
      <c r="A4415" s="1" t="s">
        <v>5544</v>
      </c>
      <c r="B4415" s="2">
        <v>45490</v>
      </c>
      <c r="C4415" s="1" t="s">
        <v>195</v>
      </c>
      <c r="D4415" s="1" t="s">
        <v>55</v>
      </c>
      <c r="E4415" s="1" t="s">
        <v>77</v>
      </c>
      <c r="F4415" s="1" t="s">
        <v>30</v>
      </c>
      <c r="G4415" s="1" t="s">
        <v>112</v>
      </c>
      <c r="H4415" s="1" t="s">
        <v>113</v>
      </c>
      <c r="I4415" s="1">
        <v>673.35</v>
      </c>
      <c r="J4415" s="1">
        <v>3</v>
      </c>
      <c r="K4415" s="1">
        <v>2020.05</v>
      </c>
      <c r="L4415" s="1">
        <v>0</v>
      </c>
      <c r="M4415" s="1">
        <v>0</v>
      </c>
      <c r="N4415" s="1">
        <v>2020.05</v>
      </c>
      <c r="O4415" s="1" t="s">
        <v>24</v>
      </c>
      <c r="P4415" s="1" t="s">
        <v>2228</v>
      </c>
      <c r="Q4415" s="1">
        <v>2</v>
      </c>
      <c r="R4415" s="1">
        <f>Retail_Sales_Analyis[[#This Row],[Final_Price]]-Retail_Sales_Analyis[[#This Row],[Total_Price]]</f>
        <v>0</v>
      </c>
      <c r="S44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16" spans="1:19" x14ac:dyDescent="0.25">
      <c r="A4416" s="1" t="s">
        <v>5545</v>
      </c>
      <c r="B4416" s="2">
        <v>45559</v>
      </c>
      <c r="C4416" s="1" t="s">
        <v>116</v>
      </c>
      <c r="D4416" s="1" t="s">
        <v>28</v>
      </c>
      <c r="E4416" s="1" t="s">
        <v>132</v>
      </c>
      <c r="F4416" s="1" t="s">
        <v>69</v>
      </c>
      <c r="G4416" s="1" t="s">
        <v>112</v>
      </c>
      <c r="H4416" s="1" t="s">
        <v>118</v>
      </c>
      <c r="I4416" s="1">
        <v>789.42</v>
      </c>
      <c r="J4416" s="1">
        <v>4</v>
      </c>
      <c r="K4416" s="1">
        <v>3157.68</v>
      </c>
      <c r="L4416" s="1">
        <v>0</v>
      </c>
      <c r="M4416" s="1">
        <v>0</v>
      </c>
      <c r="N4416" s="1">
        <v>3157.68</v>
      </c>
      <c r="O4416" s="1" t="s">
        <v>46</v>
      </c>
      <c r="P4416" s="1" t="s">
        <v>1705</v>
      </c>
      <c r="Q4416" s="1">
        <v>4</v>
      </c>
      <c r="R4416" s="1">
        <f>Retail_Sales_Analyis[[#This Row],[Final_Price]]-Retail_Sales_Analyis[[#This Row],[Total_Price]]</f>
        <v>0</v>
      </c>
      <c r="S44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17" spans="1:19" x14ac:dyDescent="0.25">
      <c r="A4417" s="1" t="s">
        <v>5546</v>
      </c>
      <c r="B4417" s="2">
        <v>45506</v>
      </c>
      <c r="C4417" s="1" t="s">
        <v>93</v>
      </c>
      <c r="D4417" s="1" t="s">
        <v>144</v>
      </c>
      <c r="E4417" s="1" t="s">
        <v>50</v>
      </c>
      <c r="F4417" s="1" t="s">
        <v>21</v>
      </c>
      <c r="G4417" s="1" t="s">
        <v>112</v>
      </c>
      <c r="H4417" s="1" t="s">
        <v>223</v>
      </c>
      <c r="I4417" s="1">
        <v>573.14</v>
      </c>
      <c r="J4417" s="1">
        <v>5</v>
      </c>
      <c r="K4417" s="1">
        <v>2865.7</v>
      </c>
      <c r="L4417" s="1">
        <v>5</v>
      </c>
      <c r="M4417" s="1">
        <v>143.28</v>
      </c>
      <c r="N4417" s="1">
        <v>2722.42</v>
      </c>
      <c r="O4417" s="1" t="s">
        <v>24</v>
      </c>
      <c r="P4417" s="1" t="s">
        <v>737</v>
      </c>
      <c r="Q4417" s="1">
        <v>1</v>
      </c>
      <c r="R4417" s="1">
        <f>Retail_Sales_Analyis[[#This Row],[Final_Price]]-Retail_Sales_Analyis[[#This Row],[Total_Price]]</f>
        <v>-143.27999999999975</v>
      </c>
      <c r="S44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18" spans="1:19" x14ac:dyDescent="0.25">
      <c r="A4418" s="1" t="s">
        <v>5547</v>
      </c>
      <c r="B4418" s="2">
        <v>45566</v>
      </c>
      <c r="C4418" s="1" t="s">
        <v>76</v>
      </c>
      <c r="D4418" s="1" t="s">
        <v>28</v>
      </c>
      <c r="E4418" s="1" t="s">
        <v>111</v>
      </c>
      <c r="F4418" s="1" t="s">
        <v>84</v>
      </c>
      <c r="G4418" s="1" t="s">
        <v>57</v>
      </c>
      <c r="H4418" s="1" t="s">
        <v>158</v>
      </c>
      <c r="I4418" s="1">
        <v>719.66</v>
      </c>
      <c r="J4418" s="1">
        <v>7</v>
      </c>
      <c r="K4418" s="1">
        <v>5037.62</v>
      </c>
      <c r="L4418" s="1">
        <v>0</v>
      </c>
      <c r="M4418" s="1">
        <v>0</v>
      </c>
      <c r="N4418" s="1">
        <v>5037.62</v>
      </c>
      <c r="O4418" s="1" t="s">
        <v>64</v>
      </c>
      <c r="P4418" s="1" t="s">
        <v>911</v>
      </c>
      <c r="Q4418" s="1">
        <v>4</v>
      </c>
      <c r="R4418" s="1">
        <f>Retail_Sales_Analyis[[#This Row],[Final_Price]]-Retail_Sales_Analyis[[#This Row],[Total_Price]]</f>
        <v>0</v>
      </c>
      <c r="S44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19" spans="1:19" x14ac:dyDescent="0.25">
      <c r="A4419" s="1" t="s">
        <v>5548</v>
      </c>
      <c r="B4419" s="2">
        <v>45643</v>
      </c>
      <c r="C4419" s="1" t="s">
        <v>73</v>
      </c>
      <c r="D4419" s="1" t="s">
        <v>28</v>
      </c>
      <c r="E4419" s="1" t="s">
        <v>125</v>
      </c>
      <c r="F4419" s="1" t="s">
        <v>21</v>
      </c>
      <c r="G4419" s="1" t="s">
        <v>169</v>
      </c>
      <c r="H4419" s="1" t="s">
        <v>348</v>
      </c>
      <c r="I4419" s="1">
        <v>1191.8900000000001</v>
      </c>
      <c r="J4419" s="1">
        <v>3</v>
      </c>
      <c r="K4419" s="1">
        <v>3575.67</v>
      </c>
      <c r="L4419" s="1">
        <v>20</v>
      </c>
      <c r="M4419" s="1">
        <v>715.13</v>
      </c>
      <c r="N4419" s="1">
        <v>2860.54</v>
      </c>
      <c r="O4419" s="1" t="s">
        <v>33</v>
      </c>
      <c r="P4419" s="1" t="s">
        <v>1699</v>
      </c>
      <c r="Q4419" s="1">
        <v>4</v>
      </c>
      <c r="R4419" s="1">
        <f>Retail_Sales_Analyis[[#This Row],[Final_Price]]-Retail_Sales_Analyis[[#This Row],[Total_Price]]</f>
        <v>-715.13000000000011</v>
      </c>
      <c r="S441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20" spans="1:19" x14ac:dyDescent="0.25">
      <c r="A4420" s="1" t="s">
        <v>5549</v>
      </c>
      <c r="B4420" s="2">
        <v>45535</v>
      </c>
      <c r="C4420" s="1" t="s">
        <v>93</v>
      </c>
      <c r="D4420" s="1" t="s">
        <v>19</v>
      </c>
      <c r="E4420" s="1" t="s">
        <v>157</v>
      </c>
      <c r="F4420" s="1" t="s">
        <v>37</v>
      </c>
      <c r="G4420" s="1" t="s">
        <v>22</v>
      </c>
      <c r="H4420" s="1" t="s">
        <v>133</v>
      </c>
      <c r="I4420" s="1">
        <v>434.27</v>
      </c>
      <c r="J4420" s="1">
        <v>9</v>
      </c>
      <c r="K4420" s="1">
        <v>3908.43</v>
      </c>
      <c r="L4420" s="1">
        <v>0</v>
      </c>
      <c r="M4420" s="1">
        <v>0</v>
      </c>
      <c r="N4420" s="1">
        <v>3908.43</v>
      </c>
      <c r="O4420" s="1" t="s">
        <v>64</v>
      </c>
      <c r="P4420" s="1" t="s">
        <v>2122</v>
      </c>
      <c r="Q4420" s="1">
        <v>1</v>
      </c>
      <c r="R4420" s="1">
        <f>Retail_Sales_Analyis[[#This Row],[Final_Price]]-Retail_Sales_Analyis[[#This Row],[Total_Price]]</f>
        <v>0</v>
      </c>
      <c r="S44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1" spans="1:19" x14ac:dyDescent="0.25">
      <c r="A4421" s="1" t="s">
        <v>5550</v>
      </c>
      <c r="B4421" s="2">
        <v>45585</v>
      </c>
      <c r="C4421" s="1" t="s">
        <v>76</v>
      </c>
      <c r="D4421" s="1" t="s">
        <v>49</v>
      </c>
      <c r="E4421" s="1" t="s">
        <v>117</v>
      </c>
      <c r="F4421" s="1" t="s">
        <v>30</v>
      </c>
      <c r="G4421" s="1" t="s">
        <v>169</v>
      </c>
      <c r="H4421" s="1" t="s">
        <v>348</v>
      </c>
      <c r="I4421" s="1">
        <v>445.29</v>
      </c>
      <c r="J4421" s="1">
        <v>10</v>
      </c>
      <c r="K4421" s="1">
        <v>4452.8999999999996</v>
      </c>
      <c r="L4421" s="1">
        <v>0</v>
      </c>
      <c r="M4421" s="1">
        <v>0</v>
      </c>
      <c r="N4421" s="1">
        <v>4452.8999999999996</v>
      </c>
      <c r="O4421" s="1" t="s">
        <v>46</v>
      </c>
      <c r="P4421" s="1" t="s">
        <v>2718</v>
      </c>
      <c r="Q4421" s="1">
        <v>4</v>
      </c>
      <c r="R4421" s="1">
        <f>Retail_Sales_Analyis[[#This Row],[Final_Price]]-Retail_Sales_Analyis[[#This Row],[Total_Price]]</f>
        <v>0</v>
      </c>
      <c r="S44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2" spans="1:19" x14ac:dyDescent="0.25">
      <c r="A4422" s="1" t="s">
        <v>5551</v>
      </c>
      <c r="B4422" s="2">
        <v>45412</v>
      </c>
      <c r="C4422" s="1" t="s">
        <v>54</v>
      </c>
      <c r="D4422" s="1" t="s">
        <v>28</v>
      </c>
      <c r="E4422" s="1" t="s">
        <v>192</v>
      </c>
      <c r="F4422" s="1" t="s">
        <v>84</v>
      </c>
      <c r="G4422" s="1" t="s">
        <v>78</v>
      </c>
      <c r="H4422" s="1" t="s">
        <v>79</v>
      </c>
      <c r="I4422" s="1">
        <v>421.68</v>
      </c>
      <c r="J4422" s="1">
        <v>10</v>
      </c>
      <c r="K4422" s="1">
        <v>4216.8</v>
      </c>
      <c r="L4422" s="1">
        <v>0</v>
      </c>
      <c r="M4422" s="1">
        <v>0</v>
      </c>
      <c r="N4422" s="1">
        <v>4216.8</v>
      </c>
      <c r="O4422" s="1" t="s">
        <v>24</v>
      </c>
      <c r="P4422" s="1" t="s">
        <v>5552</v>
      </c>
      <c r="Q4422" s="1">
        <v>5</v>
      </c>
      <c r="R4422" s="1">
        <f>Retail_Sales_Analyis[[#This Row],[Final_Price]]-Retail_Sales_Analyis[[#This Row],[Total_Price]]</f>
        <v>0</v>
      </c>
      <c r="S44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3" spans="1:19" x14ac:dyDescent="0.25">
      <c r="A4423" s="1" t="s">
        <v>5553</v>
      </c>
      <c r="B4423" s="2">
        <v>45535</v>
      </c>
      <c r="C4423" s="1" t="s">
        <v>93</v>
      </c>
      <c r="D4423" s="1" t="s">
        <v>19</v>
      </c>
      <c r="E4423" s="1" t="s">
        <v>328</v>
      </c>
      <c r="F4423" s="1" t="s">
        <v>30</v>
      </c>
      <c r="G4423" s="1" t="s">
        <v>112</v>
      </c>
      <c r="H4423" s="1" t="s">
        <v>223</v>
      </c>
      <c r="I4423" s="1">
        <v>1762.26</v>
      </c>
      <c r="J4423" s="1">
        <v>6</v>
      </c>
      <c r="K4423" s="1">
        <v>10573.56</v>
      </c>
      <c r="L4423" s="1">
        <v>5</v>
      </c>
      <c r="M4423" s="1">
        <v>528.67999999999995</v>
      </c>
      <c r="N4423" s="1">
        <v>10044.879999999999</v>
      </c>
      <c r="O4423" s="1" t="s">
        <v>33</v>
      </c>
      <c r="P4423" s="1" t="s">
        <v>230</v>
      </c>
      <c r="Q4423" s="1">
        <v>2</v>
      </c>
      <c r="R4423" s="1">
        <f>Retail_Sales_Analyis[[#This Row],[Final_Price]]-Retail_Sales_Analyis[[#This Row],[Total_Price]]</f>
        <v>-528.68000000000029</v>
      </c>
      <c r="S44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24" spans="1:19" x14ac:dyDescent="0.25">
      <c r="A4424" s="1" t="s">
        <v>5554</v>
      </c>
      <c r="B4424" s="2">
        <v>45445</v>
      </c>
      <c r="C4424" s="1" t="s">
        <v>173</v>
      </c>
      <c r="D4424" s="1" t="s">
        <v>49</v>
      </c>
      <c r="E4424" s="1" t="s">
        <v>29</v>
      </c>
      <c r="F4424" s="1" t="s">
        <v>30</v>
      </c>
      <c r="G4424" s="1" t="s">
        <v>22</v>
      </c>
      <c r="H4424" s="1" t="s">
        <v>23</v>
      </c>
      <c r="I4424" s="1">
        <v>491.84</v>
      </c>
      <c r="J4424" s="1">
        <v>6</v>
      </c>
      <c r="K4424" s="1">
        <v>2951.04</v>
      </c>
      <c r="L4424" s="1">
        <v>0</v>
      </c>
      <c r="M4424" s="1">
        <v>0</v>
      </c>
      <c r="N4424" s="1">
        <v>2951.04</v>
      </c>
      <c r="O4424" s="1" t="s">
        <v>33</v>
      </c>
      <c r="P4424" s="1" t="s">
        <v>2389</v>
      </c>
      <c r="Q4424" s="1">
        <v>4</v>
      </c>
      <c r="R4424" s="1">
        <f>Retail_Sales_Analyis[[#This Row],[Final_Price]]-Retail_Sales_Analyis[[#This Row],[Total_Price]]</f>
        <v>0</v>
      </c>
      <c r="S44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5" spans="1:19" x14ac:dyDescent="0.25">
      <c r="A4425" s="1" t="s">
        <v>5555</v>
      </c>
      <c r="B4425" s="2">
        <v>45332</v>
      </c>
      <c r="C4425" s="1" t="s">
        <v>27</v>
      </c>
      <c r="D4425" s="1" t="s">
        <v>19</v>
      </c>
      <c r="E4425" s="1" t="s">
        <v>174</v>
      </c>
      <c r="F4425" s="1" t="s">
        <v>69</v>
      </c>
      <c r="G4425" s="1" t="s">
        <v>38</v>
      </c>
      <c r="H4425" s="1" t="s">
        <v>39</v>
      </c>
      <c r="I4425" s="1">
        <v>267.87</v>
      </c>
      <c r="J4425" s="1">
        <v>1</v>
      </c>
      <c r="K4425" s="1">
        <v>267.87</v>
      </c>
      <c r="L4425" s="1">
        <v>0</v>
      </c>
      <c r="M4425" s="1">
        <v>0</v>
      </c>
      <c r="N4425" s="1">
        <v>267.87</v>
      </c>
      <c r="O4425" s="1" t="s">
        <v>64</v>
      </c>
      <c r="P4425" s="1" t="s">
        <v>1271</v>
      </c>
      <c r="Q4425" s="1">
        <v>5</v>
      </c>
      <c r="R4425" s="1">
        <f>Retail_Sales_Analyis[[#This Row],[Final_Price]]-Retail_Sales_Analyis[[#This Row],[Total_Price]]</f>
        <v>0</v>
      </c>
      <c r="S44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6" spans="1:19" x14ac:dyDescent="0.25">
      <c r="A4426" s="1" t="s">
        <v>5556</v>
      </c>
      <c r="B4426" s="2">
        <v>45494</v>
      </c>
      <c r="C4426" s="1" t="s">
        <v>195</v>
      </c>
      <c r="D4426" s="1" t="s">
        <v>49</v>
      </c>
      <c r="E4426" s="1" t="s">
        <v>236</v>
      </c>
      <c r="F4426" s="1" t="s">
        <v>30</v>
      </c>
      <c r="G4426" s="1" t="s">
        <v>169</v>
      </c>
      <c r="H4426" s="1" t="s">
        <v>208</v>
      </c>
      <c r="I4426" s="1">
        <v>776.22</v>
      </c>
      <c r="J4426" s="1">
        <v>6</v>
      </c>
      <c r="K4426" s="1">
        <v>4657.32</v>
      </c>
      <c r="L4426" s="1">
        <v>15</v>
      </c>
      <c r="M4426" s="1">
        <v>698.6</v>
      </c>
      <c r="N4426" s="1">
        <v>3958.72</v>
      </c>
      <c r="O4426" s="1" t="s">
        <v>33</v>
      </c>
      <c r="P4426" s="1" t="s">
        <v>379</v>
      </c>
      <c r="Q4426" s="1">
        <v>1</v>
      </c>
      <c r="R4426" s="1">
        <f>Retail_Sales_Analyis[[#This Row],[Final_Price]]-Retail_Sales_Analyis[[#This Row],[Total_Price]]</f>
        <v>-698.59999999999991</v>
      </c>
      <c r="S442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27" spans="1:19" x14ac:dyDescent="0.25">
      <c r="A4427" s="1" t="s">
        <v>5557</v>
      </c>
      <c r="B4427" s="2">
        <v>45657</v>
      </c>
      <c r="C4427" s="1" t="s">
        <v>73</v>
      </c>
      <c r="D4427" s="1" t="s">
        <v>28</v>
      </c>
      <c r="E4427" s="1" t="s">
        <v>239</v>
      </c>
      <c r="F4427" s="1" t="s">
        <v>30</v>
      </c>
      <c r="G4427" s="1" t="s">
        <v>85</v>
      </c>
      <c r="H4427" s="1" t="s">
        <v>98</v>
      </c>
      <c r="I4427" s="1">
        <v>2465.33</v>
      </c>
      <c r="J4427" s="1">
        <v>8</v>
      </c>
      <c r="K4427" s="1">
        <v>19722.64</v>
      </c>
      <c r="L4427" s="1">
        <v>5</v>
      </c>
      <c r="M4427" s="1">
        <v>986.13</v>
      </c>
      <c r="N4427" s="1">
        <v>18736.509999999998</v>
      </c>
      <c r="O4427" s="1" t="s">
        <v>33</v>
      </c>
      <c r="P4427" s="1" t="s">
        <v>2924</v>
      </c>
      <c r="Q4427" s="1">
        <v>3</v>
      </c>
      <c r="R4427" s="1">
        <f>Retail_Sales_Analyis[[#This Row],[Final_Price]]-Retail_Sales_Analyis[[#This Row],[Total_Price]]</f>
        <v>-986.13000000000102</v>
      </c>
      <c r="S44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28" spans="1:19" x14ac:dyDescent="0.25">
      <c r="A4428" s="1" t="s">
        <v>5558</v>
      </c>
      <c r="B4428" s="2">
        <v>45309</v>
      </c>
      <c r="C4428" s="1" t="s">
        <v>36</v>
      </c>
      <c r="D4428" s="1" t="s">
        <v>67</v>
      </c>
      <c r="E4428" s="1" t="s">
        <v>68</v>
      </c>
      <c r="F4428" s="1" t="s">
        <v>69</v>
      </c>
      <c r="G4428" s="1" t="s">
        <v>112</v>
      </c>
      <c r="H4428" s="1" t="s">
        <v>118</v>
      </c>
      <c r="I4428" s="1">
        <v>1206.23</v>
      </c>
      <c r="J4428" s="1">
        <v>8</v>
      </c>
      <c r="K4428" s="1">
        <v>9649.84</v>
      </c>
      <c r="L4428" s="1">
        <v>0</v>
      </c>
      <c r="M4428" s="1">
        <v>0</v>
      </c>
      <c r="N4428" s="1">
        <v>9649.84</v>
      </c>
      <c r="O4428" s="1" t="s">
        <v>64</v>
      </c>
      <c r="P4428" s="1" t="s">
        <v>1264</v>
      </c>
      <c r="Q4428" s="1">
        <v>2</v>
      </c>
      <c r="R4428" s="1">
        <f>Retail_Sales_Analyis[[#This Row],[Final_Price]]-Retail_Sales_Analyis[[#This Row],[Total_Price]]</f>
        <v>0</v>
      </c>
      <c r="S44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29" spans="1:19" x14ac:dyDescent="0.25">
      <c r="A4429" s="1" t="s">
        <v>5559</v>
      </c>
      <c r="B4429" s="2">
        <v>45549</v>
      </c>
      <c r="C4429" s="1" t="s">
        <v>116</v>
      </c>
      <c r="D4429" s="1" t="s">
        <v>19</v>
      </c>
      <c r="E4429" s="1" t="s">
        <v>139</v>
      </c>
      <c r="F4429" s="1" t="s">
        <v>84</v>
      </c>
      <c r="G4429" s="1" t="s">
        <v>31</v>
      </c>
      <c r="H4429" s="1" t="s">
        <v>63</v>
      </c>
      <c r="I4429" s="1">
        <v>123.45</v>
      </c>
      <c r="J4429" s="1">
        <v>2</v>
      </c>
      <c r="K4429" s="1">
        <v>246.9</v>
      </c>
      <c r="L4429" s="1">
        <v>0</v>
      </c>
      <c r="M4429" s="1">
        <v>0</v>
      </c>
      <c r="N4429" s="1">
        <v>246.9</v>
      </c>
      <c r="O4429" s="1" t="s">
        <v>80</v>
      </c>
      <c r="P4429" s="1" t="s">
        <v>3434</v>
      </c>
      <c r="Q4429" s="1">
        <v>4</v>
      </c>
      <c r="R4429" s="1">
        <f>Retail_Sales_Analyis[[#This Row],[Final_Price]]-Retail_Sales_Analyis[[#This Row],[Total_Price]]</f>
        <v>0</v>
      </c>
      <c r="S44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30" spans="1:19" x14ac:dyDescent="0.25">
      <c r="A4430" s="1" t="s">
        <v>5560</v>
      </c>
      <c r="B4430" s="2">
        <v>45584</v>
      </c>
      <c r="C4430" s="1" t="s">
        <v>76</v>
      </c>
      <c r="D4430" s="1" t="s">
        <v>19</v>
      </c>
      <c r="E4430" s="1" t="s">
        <v>83</v>
      </c>
      <c r="F4430" s="1" t="s">
        <v>37</v>
      </c>
      <c r="G4430" s="1" t="s">
        <v>169</v>
      </c>
      <c r="H4430" s="1" t="s">
        <v>348</v>
      </c>
      <c r="I4430" s="1">
        <v>1278.81</v>
      </c>
      <c r="J4430" s="1">
        <v>9</v>
      </c>
      <c r="K4430" s="1">
        <v>11509.29</v>
      </c>
      <c r="L4430" s="1">
        <v>20</v>
      </c>
      <c r="M4430" s="1">
        <v>2301.86</v>
      </c>
      <c r="N4430" s="1">
        <v>9207.43</v>
      </c>
      <c r="O4430" s="1" t="s">
        <v>64</v>
      </c>
      <c r="P4430" s="1" t="s">
        <v>3552</v>
      </c>
      <c r="Q4430" s="1">
        <v>1</v>
      </c>
      <c r="R4430" s="1">
        <f>Retail_Sales_Analyis[[#This Row],[Final_Price]]-Retail_Sales_Analyis[[#This Row],[Total_Price]]</f>
        <v>-2301.8600000000006</v>
      </c>
      <c r="S443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31" spans="1:19" x14ac:dyDescent="0.25">
      <c r="A4431" s="1" t="s">
        <v>5561</v>
      </c>
      <c r="B4431" s="2">
        <v>45556</v>
      </c>
      <c r="C4431" s="1" t="s">
        <v>116</v>
      </c>
      <c r="D4431" s="1" t="s">
        <v>19</v>
      </c>
      <c r="E4431" s="1" t="s">
        <v>236</v>
      </c>
      <c r="F4431" s="1" t="s">
        <v>30</v>
      </c>
      <c r="G4431" s="1" t="s">
        <v>169</v>
      </c>
      <c r="H4431" s="1" t="s">
        <v>208</v>
      </c>
      <c r="I4431" s="1">
        <v>380.03</v>
      </c>
      <c r="J4431" s="1">
        <v>3</v>
      </c>
      <c r="K4431" s="1">
        <v>1140.0899999999999</v>
      </c>
      <c r="L4431" s="1">
        <v>15</v>
      </c>
      <c r="M4431" s="1">
        <v>171.01</v>
      </c>
      <c r="N4431" s="1">
        <v>969.08</v>
      </c>
      <c r="O4431" s="1" t="s">
        <v>46</v>
      </c>
      <c r="P4431" s="1" t="s">
        <v>1482</v>
      </c>
      <c r="Q4431" s="1">
        <v>1</v>
      </c>
      <c r="R4431" s="1">
        <f>Retail_Sales_Analyis[[#This Row],[Final_Price]]-Retail_Sales_Analyis[[#This Row],[Total_Price]]</f>
        <v>-171.00999999999988</v>
      </c>
      <c r="S443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32" spans="1:19" x14ac:dyDescent="0.25">
      <c r="A4432" s="1" t="s">
        <v>5562</v>
      </c>
      <c r="B4432" s="2">
        <v>45584</v>
      </c>
      <c r="C4432" s="1" t="s">
        <v>76</v>
      </c>
      <c r="D4432" s="1" t="s">
        <v>19</v>
      </c>
      <c r="E4432" s="1" t="s">
        <v>285</v>
      </c>
      <c r="F4432" s="1" t="s">
        <v>21</v>
      </c>
      <c r="G4432" s="1" t="s">
        <v>38</v>
      </c>
      <c r="H4432" s="1" t="s">
        <v>422</v>
      </c>
      <c r="I4432" s="1">
        <v>720.79</v>
      </c>
      <c r="J4432" s="1">
        <v>7</v>
      </c>
      <c r="K4432" s="1">
        <v>5045.53</v>
      </c>
      <c r="L4432" s="1">
        <v>5</v>
      </c>
      <c r="M4432" s="1">
        <v>252.28</v>
      </c>
      <c r="N4432" s="1">
        <v>4793.25</v>
      </c>
      <c r="O4432" s="1" t="s">
        <v>64</v>
      </c>
      <c r="P4432" s="1" t="s">
        <v>2055</v>
      </c>
      <c r="Q4432" s="1">
        <v>1</v>
      </c>
      <c r="R4432" s="1">
        <f>Retail_Sales_Analyis[[#This Row],[Final_Price]]-Retail_Sales_Analyis[[#This Row],[Total_Price]]</f>
        <v>-252.27999999999975</v>
      </c>
      <c r="S443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33" spans="1:19" x14ac:dyDescent="0.25">
      <c r="A4433" s="1" t="s">
        <v>5563</v>
      </c>
      <c r="B4433" s="2">
        <v>45638</v>
      </c>
      <c r="C4433" s="1" t="s">
        <v>73</v>
      </c>
      <c r="D4433" s="1" t="s">
        <v>67</v>
      </c>
      <c r="E4433" s="1" t="s">
        <v>285</v>
      </c>
      <c r="F4433" s="1" t="s">
        <v>69</v>
      </c>
      <c r="G4433" s="1" t="s">
        <v>169</v>
      </c>
      <c r="H4433" s="1" t="s">
        <v>348</v>
      </c>
      <c r="I4433" s="1">
        <v>1374.84</v>
      </c>
      <c r="J4433" s="1">
        <v>5</v>
      </c>
      <c r="K4433" s="1">
        <v>6874.2</v>
      </c>
      <c r="L4433" s="1">
        <v>0</v>
      </c>
      <c r="M4433" s="1">
        <v>0</v>
      </c>
      <c r="N4433" s="1">
        <v>6874.2</v>
      </c>
      <c r="O4433" s="1" t="s">
        <v>80</v>
      </c>
      <c r="P4433" s="1" t="s">
        <v>710</v>
      </c>
      <c r="Q4433" s="1">
        <v>1</v>
      </c>
      <c r="R4433" s="1">
        <f>Retail_Sales_Analyis[[#This Row],[Final_Price]]-Retail_Sales_Analyis[[#This Row],[Total_Price]]</f>
        <v>0</v>
      </c>
      <c r="S44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34" spans="1:19" x14ac:dyDescent="0.25">
      <c r="A4434" s="1" t="s">
        <v>5564</v>
      </c>
      <c r="B4434" s="2">
        <v>45609</v>
      </c>
      <c r="C4434" s="1" t="s">
        <v>18</v>
      </c>
      <c r="D4434" s="1" t="s">
        <v>55</v>
      </c>
      <c r="E4434" s="1" t="s">
        <v>411</v>
      </c>
      <c r="F4434" s="1" t="s">
        <v>69</v>
      </c>
      <c r="G4434" s="1" t="s">
        <v>78</v>
      </c>
      <c r="H4434" s="1" t="s">
        <v>323</v>
      </c>
      <c r="I4434" s="1">
        <v>557.11</v>
      </c>
      <c r="J4434" s="1">
        <v>6</v>
      </c>
      <c r="K4434" s="1">
        <v>3342.66</v>
      </c>
      <c r="L4434" s="1">
        <v>15</v>
      </c>
      <c r="M4434" s="1">
        <v>501.4</v>
      </c>
      <c r="N4434" s="1">
        <v>2841.26</v>
      </c>
      <c r="O4434" s="1" t="s">
        <v>24</v>
      </c>
      <c r="P4434" s="1" t="s">
        <v>1176</v>
      </c>
      <c r="Q4434" s="1">
        <v>5</v>
      </c>
      <c r="R4434" s="1">
        <f>Retail_Sales_Analyis[[#This Row],[Final_Price]]-Retail_Sales_Analyis[[#This Row],[Total_Price]]</f>
        <v>-501.39999999999964</v>
      </c>
      <c r="S44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35" spans="1:19" x14ac:dyDescent="0.25">
      <c r="A4435" s="1" t="s">
        <v>5565</v>
      </c>
      <c r="B4435" s="2">
        <v>45367</v>
      </c>
      <c r="C4435" s="1" t="s">
        <v>61</v>
      </c>
      <c r="D4435" s="1" t="s">
        <v>19</v>
      </c>
      <c r="E4435" s="1" t="s">
        <v>207</v>
      </c>
      <c r="F4435" s="1" t="s">
        <v>37</v>
      </c>
      <c r="G4435" s="1" t="s">
        <v>112</v>
      </c>
      <c r="H4435" s="1" t="s">
        <v>113</v>
      </c>
      <c r="I4435" s="1">
        <v>881.25</v>
      </c>
      <c r="J4435" s="1">
        <v>2</v>
      </c>
      <c r="K4435" s="1">
        <v>1762.5</v>
      </c>
      <c r="L4435" s="1">
        <v>15</v>
      </c>
      <c r="M4435" s="1">
        <v>264.38</v>
      </c>
      <c r="N4435" s="1">
        <v>1498.12</v>
      </c>
      <c r="O4435" s="1" t="s">
        <v>24</v>
      </c>
      <c r="P4435" s="1" t="s">
        <v>555</v>
      </c>
      <c r="Q4435" s="1">
        <v>4</v>
      </c>
      <c r="R4435" s="1">
        <f>Retail_Sales_Analyis[[#This Row],[Final_Price]]-Retail_Sales_Analyis[[#This Row],[Total_Price]]</f>
        <v>-264.38000000000011</v>
      </c>
      <c r="S44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36" spans="1:19" x14ac:dyDescent="0.25">
      <c r="A4436" s="1" t="s">
        <v>5566</v>
      </c>
      <c r="B4436" s="2">
        <v>45353</v>
      </c>
      <c r="C4436" s="1" t="s">
        <v>61</v>
      </c>
      <c r="D4436" s="1" t="s">
        <v>19</v>
      </c>
      <c r="E4436" s="1" t="s">
        <v>312</v>
      </c>
      <c r="F4436" s="1" t="s">
        <v>21</v>
      </c>
      <c r="G4436" s="1" t="s">
        <v>112</v>
      </c>
      <c r="H4436" s="1" t="s">
        <v>288</v>
      </c>
      <c r="I4436" s="1">
        <v>656.4</v>
      </c>
      <c r="J4436" s="1">
        <v>1</v>
      </c>
      <c r="K4436" s="1">
        <v>656.4</v>
      </c>
      <c r="L4436" s="1">
        <v>0</v>
      </c>
      <c r="M4436" s="1">
        <v>0</v>
      </c>
      <c r="N4436" s="1">
        <v>656.4</v>
      </c>
      <c r="O4436" s="1" t="s">
        <v>24</v>
      </c>
      <c r="P4436" s="1" t="s">
        <v>1011</v>
      </c>
      <c r="Q4436" s="1">
        <v>2</v>
      </c>
      <c r="R4436" s="1">
        <f>Retail_Sales_Analyis[[#This Row],[Final_Price]]-Retail_Sales_Analyis[[#This Row],[Total_Price]]</f>
        <v>0</v>
      </c>
      <c r="S443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37" spans="1:19" x14ac:dyDescent="0.25">
      <c r="A4437" s="1" t="s">
        <v>5567</v>
      </c>
      <c r="B4437" s="2">
        <v>45521</v>
      </c>
      <c r="C4437" s="1" t="s">
        <v>93</v>
      </c>
      <c r="D4437" s="1" t="s">
        <v>19</v>
      </c>
      <c r="E4437" s="1" t="s">
        <v>236</v>
      </c>
      <c r="F4437" s="1" t="s">
        <v>37</v>
      </c>
      <c r="G4437" s="1" t="s">
        <v>57</v>
      </c>
      <c r="H4437" s="1" t="s">
        <v>152</v>
      </c>
      <c r="I4437" s="1">
        <v>2061.0700000000002</v>
      </c>
      <c r="J4437" s="1">
        <v>9</v>
      </c>
      <c r="K4437" s="1">
        <v>18549.63</v>
      </c>
      <c r="L4437" s="1">
        <v>15</v>
      </c>
      <c r="M4437" s="1">
        <v>2782.44</v>
      </c>
      <c r="N4437" s="1">
        <v>15767.19</v>
      </c>
      <c r="O4437" s="1" t="s">
        <v>24</v>
      </c>
      <c r="P4437" s="1" t="s">
        <v>1552</v>
      </c>
      <c r="Q4437" s="1">
        <v>4</v>
      </c>
      <c r="R4437" s="1">
        <f>Retail_Sales_Analyis[[#This Row],[Final_Price]]-Retail_Sales_Analyis[[#This Row],[Total_Price]]</f>
        <v>-2782.4400000000005</v>
      </c>
      <c r="S44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38" spans="1:19" x14ac:dyDescent="0.25">
      <c r="A4438" s="1" t="s">
        <v>5568</v>
      </c>
      <c r="B4438" s="2">
        <v>45380</v>
      </c>
      <c r="C4438" s="1" t="s">
        <v>61</v>
      </c>
      <c r="D4438" s="1" t="s">
        <v>144</v>
      </c>
      <c r="E4438" s="1" t="s">
        <v>157</v>
      </c>
      <c r="F4438" s="1" t="s">
        <v>37</v>
      </c>
      <c r="G4438" s="1" t="s">
        <v>57</v>
      </c>
      <c r="H4438" s="1" t="s">
        <v>158</v>
      </c>
      <c r="I4438" s="1">
        <v>1516.36</v>
      </c>
      <c r="J4438" s="1">
        <v>7</v>
      </c>
      <c r="K4438" s="1">
        <v>10614.52</v>
      </c>
      <c r="L4438" s="1">
        <v>0</v>
      </c>
      <c r="M4438" s="1">
        <v>0</v>
      </c>
      <c r="N4438" s="1">
        <v>10614.52</v>
      </c>
      <c r="O4438" s="1" t="s">
        <v>33</v>
      </c>
      <c r="P4438" s="1" t="s">
        <v>3718</v>
      </c>
      <c r="Q4438" s="1">
        <v>3</v>
      </c>
      <c r="R4438" s="1">
        <f>Retail_Sales_Analyis[[#This Row],[Final_Price]]-Retail_Sales_Analyis[[#This Row],[Total_Price]]</f>
        <v>0</v>
      </c>
      <c r="S44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39" spans="1:19" x14ac:dyDescent="0.25">
      <c r="A4439" s="1" t="s">
        <v>5569</v>
      </c>
      <c r="B4439" s="2">
        <v>45377</v>
      </c>
      <c r="C4439" s="1" t="s">
        <v>61</v>
      </c>
      <c r="D4439" s="1" t="s">
        <v>28</v>
      </c>
      <c r="E4439" s="1" t="s">
        <v>97</v>
      </c>
      <c r="F4439" s="1" t="s">
        <v>69</v>
      </c>
      <c r="G4439" s="1" t="s">
        <v>169</v>
      </c>
      <c r="H4439" s="1" t="s">
        <v>175</v>
      </c>
      <c r="I4439" s="1">
        <v>648.91999999999996</v>
      </c>
      <c r="J4439" s="1">
        <v>3</v>
      </c>
      <c r="K4439" s="1">
        <v>1946.76</v>
      </c>
      <c r="L4439" s="1">
        <v>20</v>
      </c>
      <c r="M4439" s="1">
        <v>389.35</v>
      </c>
      <c r="N4439" s="1">
        <v>1557.41</v>
      </c>
      <c r="O4439" s="1" t="s">
        <v>33</v>
      </c>
      <c r="P4439" s="1" t="s">
        <v>643</v>
      </c>
      <c r="Q4439" s="1">
        <v>1</v>
      </c>
      <c r="R4439" s="1">
        <f>Retail_Sales_Analyis[[#This Row],[Final_Price]]-Retail_Sales_Analyis[[#This Row],[Total_Price]]</f>
        <v>-389.34999999999991</v>
      </c>
      <c r="S443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40" spans="1:19" x14ac:dyDescent="0.25">
      <c r="A4440" s="1" t="s">
        <v>5570</v>
      </c>
      <c r="B4440" s="2">
        <v>45400</v>
      </c>
      <c r="C4440" s="1" t="s">
        <v>54</v>
      </c>
      <c r="D4440" s="1" t="s">
        <v>67</v>
      </c>
      <c r="E4440" s="1" t="s">
        <v>199</v>
      </c>
      <c r="F4440" s="1" t="s">
        <v>21</v>
      </c>
      <c r="G4440" s="1" t="s">
        <v>85</v>
      </c>
      <c r="H4440" s="1" t="s">
        <v>180</v>
      </c>
      <c r="I4440" s="1">
        <v>1300.48</v>
      </c>
      <c r="J4440" s="1">
        <v>7</v>
      </c>
      <c r="K4440" s="1">
        <v>9103.36</v>
      </c>
      <c r="L4440" s="1">
        <v>20</v>
      </c>
      <c r="M4440" s="1">
        <v>1820.67</v>
      </c>
      <c r="N4440" s="1">
        <v>7282.69</v>
      </c>
      <c r="O4440" s="1" t="s">
        <v>46</v>
      </c>
      <c r="P4440" s="1" t="s">
        <v>469</v>
      </c>
      <c r="Q4440" s="1">
        <v>2</v>
      </c>
      <c r="R4440" s="1">
        <f>Retail_Sales_Analyis[[#This Row],[Final_Price]]-Retail_Sales_Analyis[[#This Row],[Total_Price]]</f>
        <v>-1820.670000000001</v>
      </c>
      <c r="S44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41" spans="1:19" x14ac:dyDescent="0.25">
      <c r="A4441" s="1" t="s">
        <v>5571</v>
      </c>
      <c r="B4441" s="2">
        <v>45390</v>
      </c>
      <c r="C4441" s="1" t="s">
        <v>54</v>
      </c>
      <c r="D4441" s="1" t="s">
        <v>43</v>
      </c>
      <c r="E4441" s="1" t="s">
        <v>302</v>
      </c>
      <c r="F4441" s="1" t="s">
        <v>21</v>
      </c>
      <c r="G4441" s="1" t="s">
        <v>169</v>
      </c>
      <c r="H4441" s="1" t="s">
        <v>208</v>
      </c>
      <c r="I4441" s="1">
        <v>604.16999999999996</v>
      </c>
      <c r="J4441" s="1">
        <v>8</v>
      </c>
      <c r="K4441" s="1">
        <v>4833.3599999999997</v>
      </c>
      <c r="L4441" s="1">
        <v>0</v>
      </c>
      <c r="M4441" s="1">
        <v>0</v>
      </c>
      <c r="N4441" s="1">
        <v>4833.3599999999997</v>
      </c>
      <c r="O4441" s="1" t="s">
        <v>46</v>
      </c>
      <c r="P4441" s="1" t="s">
        <v>1197</v>
      </c>
      <c r="Q4441" s="1">
        <v>4</v>
      </c>
      <c r="R4441" s="1">
        <f>Retail_Sales_Analyis[[#This Row],[Final_Price]]-Retail_Sales_Analyis[[#This Row],[Total_Price]]</f>
        <v>0</v>
      </c>
      <c r="S44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42" spans="1:19" x14ac:dyDescent="0.25">
      <c r="A4442" s="1" t="s">
        <v>5572</v>
      </c>
      <c r="B4442" s="2">
        <v>45356</v>
      </c>
      <c r="C4442" s="1" t="s">
        <v>61</v>
      </c>
      <c r="D4442" s="1" t="s">
        <v>28</v>
      </c>
      <c r="E4442" s="1" t="s">
        <v>68</v>
      </c>
      <c r="F4442" s="1" t="s">
        <v>37</v>
      </c>
      <c r="G4442" s="1" t="s">
        <v>85</v>
      </c>
      <c r="H4442" s="1" t="s">
        <v>98</v>
      </c>
      <c r="I4442" s="1">
        <v>1915.3</v>
      </c>
      <c r="J4442" s="1">
        <v>1</v>
      </c>
      <c r="K4442" s="1">
        <v>1915.3</v>
      </c>
      <c r="L4442" s="1">
        <v>15</v>
      </c>
      <c r="M4442" s="1">
        <v>287.29000000000002</v>
      </c>
      <c r="N4442" s="1">
        <v>1628.01</v>
      </c>
      <c r="O4442" s="1" t="s">
        <v>33</v>
      </c>
      <c r="P4442" s="1" t="s">
        <v>2639</v>
      </c>
      <c r="Q4442" s="1">
        <v>3</v>
      </c>
      <c r="R4442" s="1">
        <f>Retail_Sales_Analyis[[#This Row],[Final_Price]]-Retail_Sales_Analyis[[#This Row],[Total_Price]]</f>
        <v>-287.28999999999996</v>
      </c>
      <c r="S44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43" spans="1:19" x14ac:dyDescent="0.25">
      <c r="A4443" s="1" t="s">
        <v>5573</v>
      </c>
      <c r="B4443" s="2">
        <v>45313</v>
      </c>
      <c r="C4443" s="1" t="s">
        <v>36</v>
      </c>
      <c r="D4443" s="1" t="s">
        <v>43</v>
      </c>
      <c r="E4443" s="1" t="s">
        <v>139</v>
      </c>
      <c r="F4443" s="1" t="s">
        <v>84</v>
      </c>
      <c r="G4443" s="1" t="s">
        <v>169</v>
      </c>
      <c r="H4443" s="1" t="s">
        <v>348</v>
      </c>
      <c r="I4443" s="1">
        <v>1404.68</v>
      </c>
      <c r="J4443" s="1">
        <v>5</v>
      </c>
      <c r="K4443" s="1">
        <v>7023.4</v>
      </c>
      <c r="L4443" s="1">
        <v>5</v>
      </c>
      <c r="M4443" s="1">
        <v>351.17</v>
      </c>
      <c r="N4443" s="1">
        <v>6672.23</v>
      </c>
      <c r="O4443" s="1" t="s">
        <v>24</v>
      </c>
      <c r="P4443" s="1" t="s">
        <v>358</v>
      </c>
      <c r="Q4443" s="1">
        <v>2</v>
      </c>
      <c r="R4443" s="1">
        <f>Retail_Sales_Analyis[[#This Row],[Final_Price]]-Retail_Sales_Analyis[[#This Row],[Total_Price]]</f>
        <v>-351.17000000000007</v>
      </c>
      <c r="S444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44" spans="1:19" x14ac:dyDescent="0.25">
      <c r="A4444" s="1" t="s">
        <v>5574</v>
      </c>
      <c r="B4444" s="2">
        <v>45508</v>
      </c>
      <c r="C4444" s="1" t="s">
        <v>93</v>
      </c>
      <c r="D4444" s="1" t="s">
        <v>49</v>
      </c>
      <c r="E4444" s="1" t="s">
        <v>199</v>
      </c>
      <c r="F4444" s="1" t="s">
        <v>69</v>
      </c>
      <c r="G4444" s="1" t="s">
        <v>78</v>
      </c>
      <c r="H4444" s="1" t="s">
        <v>79</v>
      </c>
      <c r="I4444" s="1">
        <v>432.56</v>
      </c>
      <c r="J4444" s="1">
        <v>6</v>
      </c>
      <c r="K4444" s="1">
        <v>2595.36</v>
      </c>
      <c r="L4444" s="1">
        <v>10</v>
      </c>
      <c r="M4444" s="1">
        <v>259.54000000000002</v>
      </c>
      <c r="N4444" s="1">
        <v>2335.8200000000002</v>
      </c>
      <c r="O4444" s="1" t="s">
        <v>64</v>
      </c>
      <c r="P4444" s="1" t="s">
        <v>1407</v>
      </c>
      <c r="Q4444" s="1">
        <v>2</v>
      </c>
      <c r="R4444" s="1">
        <f>Retail_Sales_Analyis[[#This Row],[Final_Price]]-Retail_Sales_Analyis[[#This Row],[Total_Price]]</f>
        <v>-259.53999999999996</v>
      </c>
      <c r="S44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45" spans="1:19" x14ac:dyDescent="0.25">
      <c r="A4445" s="1" t="s">
        <v>5575</v>
      </c>
      <c r="B4445" s="2">
        <v>45332</v>
      </c>
      <c r="C4445" s="1" t="s">
        <v>27</v>
      </c>
      <c r="D4445" s="1" t="s">
        <v>19</v>
      </c>
      <c r="E4445" s="1" t="s">
        <v>166</v>
      </c>
      <c r="F4445" s="1" t="s">
        <v>21</v>
      </c>
      <c r="G4445" s="1" t="s">
        <v>78</v>
      </c>
      <c r="H4445" s="1" t="s">
        <v>146</v>
      </c>
      <c r="I4445" s="1">
        <v>179.08</v>
      </c>
      <c r="J4445" s="1">
        <v>8</v>
      </c>
      <c r="K4445" s="1">
        <v>1432.64</v>
      </c>
      <c r="L4445" s="1">
        <v>0</v>
      </c>
      <c r="M4445" s="1">
        <v>0</v>
      </c>
      <c r="N4445" s="1">
        <v>1432.64</v>
      </c>
      <c r="O4445" s="1" t="s">
        <v>33</v>
      </c>
      <c r="P4445" s="1" t="s">
        <v>1284</v>
      </c>
      <c r="Q4445" s="1">
        <v>3</v>
      </c>
      <c r="R4445" s="1">
        <f>Retail_Sales_Analyis[[#This Row],[Final_Price]]-Retail_Sales_Analyis[[#This Row],[Total_Price]]</f>
        <v>0</v>
      </c>
      <c r="S44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46" spans="1:19" x14ac:dyDescent="0.25">
      <c r="A4446" s="1" t="s">
        <v>5576</v>
      </c>
      <c r="B4446" s="2">
        <v>45641</v>
      </c>
      <c r="C4446" s="1" t="s">
        <v>73</v>
      </c>
      <c r="D4446" s="1" t="s">
        <v>49</v>
      </c>
      <c r="E4446" s="1" t="s">
        <v>302</v>
      </c>
      <c r="F4446" s="1" t="s">
        <v>37</v>
      </c>
      <c r="G4446" s="1" t="s">
        <v>57</v>
      </c>
      <c r="H4446" s="1" t="s">
        <v>152</v>
      </c>
      <c r="I4446" s="1">
        <v>2850.37</v>
      </c>
      <c r="J4446" s="1">
        <v>5</v>
      </c>
      <c r="K4446" s="1">
        <v>14251.85</v>
      </c>
      <c r="L4446" s="1">
        <v>10</v>
      </c>
      <c r="M4446" s="1">
        <v>1425.19</v>
      </c>
      <c r="N4446" s="1">
        <v>12826.66</v>
      </c>
      <c r="O4446" s="1" t="s">
        <v>46</v>
      </c>
      <c r="P4446" s="1" t="s">
        <v>2347</v>
      </c>
      <c r="Q4446" s="1">
        <v>1</v>
      </c>
      <c r="R4446" s="1">
        <f>Retail_Sales_Analyis[[#This Row],[Final_Price]]-Retail_Sales_Analyis[[#This Row],[Total_Price]]</f>
        <v>-1425.1900000000005</v>
      </c>
      <c r="S44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47" spans="1:19" x14ac:dyDescent="0.25">
      <c r="A4447" s="1" t="s">
        <v>5577</v>
      </c>
      <c r="B4447" s="2">
        <v>45514</v>
      </c>
      <c r="C4447" s="1" t="s">
        <v>93</v>
      </c>
      <c r="D4447" s="1" t="s">
        <v>19</v>
      </c>
      <c r="E4447" s="1" t="s">
        <v>20</v>
      </c>
      <c r="F4447" s="1" t="s">
        <v>30</v>
      </c>
      <c r="G4447" s="1" t="s">
        <v>78</v>
      </c>
      <c r="H4447" s="1" t="s">
        <v>323</v>
      </c>
      <c r="I4447" s="1">
        <v>196.53</v>
      </c>
      <c r="J4447" s="1">
        <v>4</v>
      </c>
      <c r="K4447" s="1">
        <v>786.12</v>
      </c>
      <c r="L4447" s="1">
        <v>5</v>
      </c>
      <c r="M4447" s="1">
        <v>39.31</v>
      </c>
      <c r="N4447" s="1">
        <v>746.81</v>
      </c>
      <c r="O4447" s="1" t="s">
        <v>24</v>
      </c>
      <c r="P4447" s="1" t="s">
        <v>1672</v>
      </c>
      <c r="Q4447" s="1">
        <v>2</v>
      </c>
      <c r="R4447" s="1">
        <f>Retail_Sales_Analyis[[#This Row],[Final_Price]]-Retail_Sales_Analyis[[#This Row],[Total_Price]]</f>
        <v>-39.310000000000059</v>
      </c>
      <c r="S44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48" spans="1:19" x14ac:dyDescent="0.25">
      <c r="A4448" s="1" t="s">
        <v>5578</v>
      </c>
      <c r="B4448" s="2">
        <v>45395</v>
      </c>
      <c r="C4448" s="1" t="s">
        <v>54</v>
      </c>
      <c r="D4448" s="1" t="s">
        <v>19</v>
      </c>
      <c r="E4448" s="1" t="s">
        <v>285</v>
      </c>
      <c r="F4448" s="1" t="s">
        <v>37</v>
      </c>
      <c r="G4448" s="1" t="s">
        <v>22</v>
      </c>
      <c r="H4448" s="1" t="s">
        <v>23</v>
      </c>
      <c r="I4448" s="1">
        <v>706.19</v>
      </c>
      <c r="J4448" s="1">
        <v>1</v>
      </c>
      <c r="K4448" s="1">
        <v>706.19</v>
      </c>
      <c r="L4448" s="1">
        <v>5</v>
      </c>
      <c r="M4448" s="1">
        <v>35.31</v>
      </c>
      <c r="N4448" s="1">
        <v>670.88</v>
      </c>
      <c r="O4448" s="1" t="s">
        <v>80</v>
      </c>
      <c r="P4448" s="1" t="s">
        <v>2371</v>
      </c>
      <c r="Q4448" s="1">
        <v>5</v>
      </c>
      <c r="R4448" s="1">
        <f>Retail_Sales_Analyis[[#This Row],[Final_Price]]-Retail_Sales_Analyis[[#This Row],[Total_Price]]</f>
        <v>-35.310000000000059</v>
      </c>
      <c r="S44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49" spans="1:19" x14ac:dyDescent="0.25">
      <c r="A4449" s="1" t="s">
        <v>5579</v>
      </c>
      <c r="B4449" s="2">
        <v>45613</v>
      </c>
      <c r="C4449" s="1" t="s">
        <v>18</v>
      </c>
      <c r="D4449" s="1" t="s">
        <v>49</v>
      </c>
      <c r="E4449" s="1" t="s">
        <v>322</v>
      </c>
      <c r="F4449" s="1" t="s">
        <v>84</v>
      </c>
      <c r="G4449" s="1" t="s">
        <v>31</v>
      </c>
      <c r="H4449" s="1" t="s">
        <v>45</v>
      </c>
      <c r="I4449" s="1">
        <v>242.71</v>
      </c>
      <c r="J4449" s="1">
        <v>6</v>
      </c>
      <c r="K4449" s="1">
        <v>1456.26</v>
      </c>
      <c r="L4449" s="1">
        <v>5</v>
      </c>
      <c r="M4449" s="1">
        <v>72.81</v>
      </c>
      <c r="N4449" s="1">
        <v>1383.45</v>
      </c>
      <c r="O4449" s="1" t="s">
        <v>33</v>
      </c>
      <c r="P4449" s="1" t="s">
        <v>3273</v>
      </c>
      <c r="Q4449" s="1">
        <v>1</v>
      </c>
      <c r="R4449" s="1">
        <f>Retail_Sales_Analyis[[#This Row],[Final_Price]]-Retail_Sales_Analyis[[#This Row],[Total_Price]]</f>
        <v>-72.809999999999945</v>
      </c>
      <c r="S44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50" spans="1:19" x14ac:dyDescent="0.25">
      <c r="A4450" s="1" t="s">
        <v>5580</v>
      </c>
      <c r="B4450" s="2">
        <v>45367</v>
      </c>
      <c r="C4450" s="1" t="s">
        <v>61</v>
      </c>
      <c r="D4450" s="1" t="s">
        <v>19</v>
      </c>
      <c r="E4450" s="1" t="s">
        <v>44</v>
      </c>
      <c r="F4450" s="1" t="s">
        <v>30</v>
      </c>
      <c r="G4450" s="1" t="s">
        <v>57</v>
      </c>
      <c r="H4450" s="1" t="s">
        <v>152</v>
      </c>
      <c r="I4450" s="1">
        <v>968.01</v>
      </c>
      <c r="J4450" s="1">
        <v>6</v>
      </c>
      <c r="K4450" s="1">
        <v>5808.06</v>
      </c>
      <c r="L4450" s="1">
        <v>15</v>
      </c>
      <c r="M4450" s="1">
        <v>871.21</v>
      </c>
      <c r="N4450" s="1">
        <v>4936.8500000000004</v>
      </c>
      <c r="O4450" s="1" t="s">
        <v>46</v>
      </c>
      <c r="P4450" s="1" t="s">
        <v>1181</v>
      </c>
      <c r="Q4450" s="1">
        <v>3</v>
      </c>
      <c r="R4450" s="1">
        <f>Retail_Sales_Analyis[[#This Row],[Final_Price]]-Retail_Sales_Analyis[[#This Row],[Total_Price]]</f>
        <v>-871.21</v>
      </c>
      <c r="S44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1" spans="1:19" x14ac:dyDescent="0.25">
      <c r="A4451" s="1" t="s">
        <v>5581</v>
      </c>
      <c r="B4451" s="2">
        <v>45596</v>
      </c>
      <c r="C4451" s="1" t="s">
        <v>76</v>
      </c>
      <c r="D4451" s="1" t="s">
        <v>67</v>
      </c>
      <c r="E4451" s="1" t="s">
        <v>29</v>
      </c>
      <c r="F4451" s="1" t="s">
        <v>69</v>
      </c>
      <c r="G4451" s="1" t="s">
        <v>31</v>
      </c>
      <c r="H4451" s="1" t="s">
        <v>250</v>
      </c>
      <c r="I4451" s="1">
        <v>157.15</v>
      </c>
      <c r="J4451" s="1">
        <v>4</v>
      </c>
      <c r="K4451" s="1">
        <v>628.6</v>
      </c>
      <c r="L4451" s="1">
        <v>0</v>
      </c>
      <c r="M4451" s="1">
        <v>0</v>
      </c>
      <c r="N4451" s="1">
        <v>628.6</v>
      </c>
      <c r="O4451" s="1" t="s">
        <v>80</v>
      </c>
      <c r="P4451" s="1" t="s">
        <v>2392</v>
      </c>
      <c r="Q4451" s="1">
        <v>4</v>
      </c>
      <c r="R4451" s="1">
        <f>Retail_Sales_Analyis[[#This Row],[Final_Price]]-Retail_Sales_Analyis[[#This Row],[Total_Price]]</f>
        <v>0</v>
      </c>
      <c r="S44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52" spans="1:19" x14ac:dyDescent="0.25">
      <c r="A4452" s="1" t="s">
        <v>5582</v>
      </c>
      <c r="B4452" s="2">
        <v>45424</v>
      </c>
      <c r="C4452" s="1" t="s">
        <v>42</v>
      </c>
      <c r="D4452" s="1" t="s">
        <v>49</v>
      </c>
      <c r="E4452" s="1" t="s">
        <v>307</v>
      </c>
      <c r="F4452" s="1" t="s">
        <v>21</v>
      </c>
      <c r="G4452" s="1" t="s">
        <v>31</v>
      </c>
      <c r="H4452" s="1" t="s">
        <v>329</v>
      </c>
      <c r="I4452" s="1">
        <v>92.2</v>
      </c>
      <c r="J4452" s="1">
        <v>7</v>
      </c>
      <c r="K4452" s="1">
        <v>645.4</v>
      </c>
      <c r="L4452" s="1">
        <v>10</v>
      </c>
      <c r="M4452" s="1">
        <v>64.540000000000006</v>
      </c>
      <c r="N4452" s="1">
        <v>580.86</v>
      </c>
      <c r="O4452" s="1" t="s">
        <v>46</v>
      </c>
      <c r="P4452" s="1" t="s">
        <v>1090</v>
      </c>
      <c r="Q4452" s="1">
        <v>2</v>
      </c>
      <c r="R4452" s="1">
        <f>Retail_Sales_Analyis[[#This Row],[Final_Price]]-Retail_Sales_Analyis[[#This Row],[Total_Price]]</f>
        <v>-64.539999999999964</v>
      </c>
      <c r="S445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3" spans="1:19" x14ac:dyDescent="0.25">
      <c r="A4453" s="1" t="s">
        <v>5583</v>
      </c>
      <c r="B4453" s="2">
        <v>45455</v>
      </c>
      <c r="C4453" s="1" t="s">
        <v>173</v>
      </c>
      <c r="D4453" s="1" t="s">
        <v>55</v>
      </c>
      <c r="E4453" s="1" t="s">
        <v>83</v>
      </c>
      <c r="F4453" s="1" t="s">
        <v>37</v>
      </c>
      <c r="G4453" s="1" t="s">
        <v>31</v>
      </c>
      <c r="H4453" s="1" t="s">
        <v>63</v>
      </c>
      <c r="I4453" s="1">
        <v>71.95</v>
      </c>
      <c r="J4453" s="1">
        <v>1</v>
      </c>
      <c r="K4453" s="1">
        <v>71.95</v>
      </c>
      <c r="L4453" s="1">
        <v>20</v>
      </c>
      <c r="M4453" s="1">
        <v>14.39</v>
      </c>
      <c r="N4453" s="1">
        <v>57.56</v>
      </c>
      <c r="O4453" s="1" t="s">
        <v>80</v>
      </c>
      <c r="P4453" s="1" t="s">
        <v>759</v>
      </c>
      <c r="Q4453" s="1">
        <v>2</v>
      </c>
      <c r="R4453" s="1">
        <f>Retail_Sales_Analyis[[#This Row],[Final_Price]]-Retail_Sales_Analyis[[#This Row],[Total_Price]]</f>
        <v>-14.39</v>
      </c>
      <c r="S44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54" spans="1:19" x14ac:dyDescent="0.25">
      <c r="A4454" s="1" t="s">
        <v>5584</v>
      </c>
      <c r="B4454" s="2">
        <v>45326</v>
      </c>
      <c r="C4454" s="1" t="s">
        <v>27</v>
      </c>
      <c r="D4454" s="1" t="s">
        <v>49</v>
      </c>
      <c r="E4454" s="1" t="s">
        <v>199</v>
      </c>
      <c r="F4454" s="1" t="s">
        <v>37</v>
      </c>
      <c r="G4454" s="1" t="s">
        <v>169</v>
      </c>
      <c r="H4454" s="1" t="s">
        <v>170</v>
      </c>
      <c r="I4454" s="1">
        <v>692.97</v>
      </c>
      <c r="J4454" s="1">
        <v>7</v>
      </c>
      <c r="K4454" s="1">
        <v>4850.79</v>
      </c>
      <c r="L4454" s="1">
        <v>10</v>
      </c>
      <c r="M4454" s="1">
        <v>485.08</v>
      </c>
      <c r="N4454" s="1">
        <v>4365.71</v>
      </c>
      <c r="O4454" s="1" t="s">
        <v>80</v>
      </c>
      <c r="P4454" s="1" t="s">
        <v>340</v>
      </c>
      <c r="Q4454" s="1">
        <v>4</v>
      </c>
      <c r="R4454" s="1">
        <f>Retail_Sales_Analyis[[#This Row],[Final_Price]]-Retail_Sales_Analyis[[#This Row],[Total_Price]]</f>
        <v>-485.07999999999993</v>
      </c>
      <c r="S445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5" spans="1:19" x14ac:dyDescent="0.25">
      <c r="A4455" s="1" t="s">
        <v>5585</v>
      </c>
      <c r="B4455" s="2">
        <v>45336</v>
      </c>
      <c r="C4455" s="1" t="s">
        <v>27</v>
      </c>
      <c r="D4455" s="1" t="s">
        <v>55</v>
      </c>
      <c r="E4455" s="1" t="s">
        <v>89</v>
      </c>
      <c r="F4455" s="1" t="s">
        <v>30</v>
      </c>
      <c r="G4455" s="1" t="s">
        <v>78</v>
      </c>
      <c r="H4455" s="1" t="s">
        <v>146</v>
      </c>
      <c r="I4455" s="1">
        <v>404.1</v>
      </c>
      <c r="J4455" s="1">
        <v>6</v>
      </c>
      <c r="K4455" s="1">
        <v>2424.6</v>
      </c>
      <c r="L4455" s="1">
        <v>15</v>
      </c>
      <c r="M4455" s="1">
        <v>363.69</v>
      </c>
      <c r="N4455" s="1">
        <v>2060.91</v>
      </c>
      <c r="O4455" s="1" t="s">
        <v>46</v>
      </c>
      <c r="P4455" s="1" t="s">
        <v>584</v>
      </c>
      <c r="Q4455" s="1">
        <v>1</v>
      </c>
      <c r="R4455" s="1">
        <f>Retail_Sales_Analyis[[#This Row],[Final_Price]]-Retail_Sales_Analyis[[#This Row],[Total_Price]]</f>
        <v>-363.69000000000005</v>
      </c>
      <c r="S445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6" spans="1:19" x14ac:dyDescent="0.25">
      <c r="A4456" s="1" t="s">
        <v>5586</v>
      </c>
      <c r="B4456" s="2">
        <v>45490</v>
      </c>
      <c r="C4456" s="1" t="s">
        <v>195</v>
      </c>
      <c r="D4456" s="1" t="s">
        <v>55</v>
      </c>
      <c r="E4456" s="1" t="s">
        <v>207</v>
      </c>
      <c r="F4456" s="1" t="s">
        <v>84</v>
      </c>
      <c r="G4456" s="1" t="s">
        <v>85</v>
      </c>
      <c r="H4456" s="1" t="s">
        <v>90</v>
      </c>
      <c r="I4456" s="1">
        <v>1269.68</v>
      </c>
      <c r="J4456" s="1">
        <v>5</v>
      </c>
      <c r="K4456" s="1">
        <v>6348.4</v>
      </c>
      <c r="L4456" s="1">
        <v>5</v>
      </c>
      <c r="M4456" s="1">
        <v>317.42</v>
      </c>
      <c r="N4456" s="1">
        <v>6030.98</v>
      </c>
      <c r="O4456" s="1" t="s">
        <v>64</v>
      </c>
      <c r="P4456" s="1" t="s">
        <v>1892</v>
      </c>
      <c r="Q4456" s="1">
        <v>4</v>
      </c>
      <c r="R4456" s="1">
        <f>Retail_Sales_Analyis[[#This Row],[Final_Price]]-Retail_Sales_Analyis[[#This Row],[Total_Price]]</f>
        <v>-317.42000000000007</v>
      </c>
      <c r="S445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57" spans="1:19" x14ac:dyDescent="0.25">
      <c r="A4457" s="1" t="s">
        <v>5587</v>
      </c>
      <c r="B4457" s="2">
        <v>45576</v>
      </c>
      <c r="C4457" s="1" t="s">
        <v>76</v>
      </c>
      <c r="D4457" s="1" t="s">
        <v>144</v>
      </c>
      <c r="E4457" s="1" t="s">
        <v>192</v>
      </c>
      <c r="F4457" s="1" t="s">
        <v>69</v>
      </c>
      <c r="G4457" s="1" t="s">
        <v>22</v>
      </c>
      <c r="H4457" s="1" t="s">
        <v>23</v>
      </c>
      <c r="I4457" s="1">
        <v>792.81</v>
      </c>
      <c r="J4457" s="1">
        <v>10</v>
      </c>
      <c r="K4457" s="1">
        <v>7928.1</v>
      </c>
      <c r="L4457" s="1">
        <v>10</v>
      </c>
      <c r="M4457" s="1">
        <v>792.81</v>
      </c>
      <c r="N4457" s="1">
        <v>7135.29</v>
      </c>
      <c r="O4457" s="1" t="s">
        <v>64</v>
      </c>
      <c r="P4457" s="1" t="s">
        <v>303</v>
      </c>
      <c r="Q4457" s="1">
        <v>3</v>
      </c>
      <c r="R4457" s="1">
        <f>Retail_Sales_Analyis[[#This Row],[Final_Price]]-Retail_Sales_Analyis[[#This Row],[Total_Price]]</f>
        <v>-792.8100000000004</v>
      </c>
      <c r="S44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58" spans="1:19" x14ac:dyDescent="0.25">
      <c r="A4458" s="1" t="s">
        <v>5588</v>
      </c>
      <c r="B4458" s="2">
        <v>45495</v>
      </c>
      <c r="C4458" s="1" t="s">
        <v>195</v>
      </c>
      <c r="D4458" s="1" t="s">
        <v>43</v>
      </c>
      <c r="E4458" s="1" t="s">
        <v>117</v>
      </c>
      <c r="F4458" s="1" t="s">
        <v>69</v>
      </c>
      <c r="G4458" s="1" t="s">
        <v>169</v>
      </c>
      <c r="H4458" s="1" t="s">
        <v>208</v>
      </c>
      <c r="I4458" s="1">
        <v>1016.19</v>
      </c>
      <c r="J4458" s="1">
        <v>5</v>
      </c>
      <c r="K4458" s="1">
        <v>5080.95</v>
      </c>
      <c r="L4458" s="1">
        <v>0</v>
      </c>
      <c r="M4458" s="1">
        <v>0</v>
      </c>
      <c r="N4458" s="1">
        <v>5080.95</v>
      </c>
      <c r="O4458" s="1" t="s">
        <v>33</v>
      </c>
      <c r="P4458" s="1" t="s">
        <v>880</v>
      </c>
      <c r="Q4458" s="1">
        <v>2</v>
      </c>
      <c r="R4458" s="1">
        <f>Retail_Sales_Analyis[[#This Row],[Final_Price]]-Retail_Sales_Analyis[[#This Row],[Total_Price]]</f>
        <v>0</v>
      </c>
      <c r="S44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59" spans="1:19" x14ac:dyDescent="0.25">
      <c r="A4459" s="1" t="s">
        <v>5589</v>
      </c>
      <c r="B4459" s="2">
        <v>45574</v>
      </c>
      <c r="C4459" s="1" t="s">
        <v>76</v>
      </c>
      <c r="D4459" s="1" t="s">
        <v>55</v>
      </c>
      <c r="E4459" s="1" t="s">
        <v>239</v>
      </c>
      <c r="F4459" s="1" t="s">
        <v>37</v>
      </c>
      <c r="G4459" s="1" t="s">
        <v>112</v>
      </c>
      <c r="H4459" s="1" t="s">
        <v>183</v>
      </c>
      <c r="I4459" s="1">
        <v>1965.61</v>
      </c>
      <c r="J4459" s="1">
        <v>1</v>
      </c>
      <c r="K4459" s="1">
        <v>1965.61</v>
      </c>
      <c r="L4459" s="1">
        <v>5</v>
      </c>
      <c r="M4459" s="1">
        <v>98.28</v>
      </c>
      <c r="N4459" s="1">
        <v>1867.33</v>
      </c>
      <c r="O4459" s="1" t="s">
        <v>80</v>
      </c>
      <c r="P4459" s="1" t="s">
        <v>4059</v>
      </c>
      <c r="Q4459" s="1">
        <v>2</v>
      </c>
      <c r="R4459" s="1">
        <f>Retail_Sales_Analyis[[#This Row],[Final_Price]]-Retail_Sales_Analyis[[#This Row],[Total_Price]]</f>
        <v>-98.279999999999973</v>
      </c>
      <c r="S44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60" spans="1:19" x14ac:dyDescent="0.25">
      <c r="A4460" s="1" t="s">
        <v>5590</v>
      </c>
      <c r="B4460" s="2">
        <v>45458</v>
      </c>
      <c r="C4460" s="1" t="s">
        <v>173</v>
      </c>
      <c r="D4460" s="1" t="s">
        <v>19</v>
      </c>
      <c r="E4460" s="1" t="s">
        <v>107</v>
      </c>
      <c r="F4460" s="1" t="s">
        <v>21</v>
      </c>
      <c r="G4460" s="1" t="s">
        <v>169</v>
      </c>
      <c r="H4460" s="1" t="s">
        <v>348</v>
      </c>
      <c r="I4460" s="1">
        <v>1423.86</v>
      </c>
      <c r="J4460" s="1">
        <v>6</v>
      </c>
      <c r="K4460" s="1">
        <v>8543.16</v>
      </c>
      <c r="L4460" s="1">
        <v>10</v>
      </c>
      <c r="M4460" s="1">
        <v>854.32</v>
      </c>
      <c r="N4460" s="1">
        <v>7688.84</v>
      </c>
      <c r="O4460" s="1" t="s">
        <v>64</v>
      </c>
      <c r="P4460" s="1" t="s">
        <v>1048</v>
      </c>
      <c r="Q4460" s="1">
        <v>5</v>
      </c>
      <c r="R4460" s="1">
        <f>Retail_Sales_Analyis[[#This Row],[Final_Price]]-Retail_Sales_Analyis[[#This Row],[Total_Price]]</f>
        <v>-854.31999999999971</v>
      </c>
      <c r="S44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61" spans="1:19" x14ac:dyDescent="0.25">
      <c r="A4461" s="1" t="s">
        <v>5591</v>
      </c>
      <c r="B4461" s="2">
        <v>45433</v>
      </c>
      <c r="C4461" s="1" t="s">
        <v>42</v>
      </c>
      <c r="D4461" s="1" t="s">
        <v>28</v>
      </c>
      <c r="E4461" s="1" t="s">
        <v>411</v>
      </c>
      <c r="F4461" s="1" t="s">
        <v>37</v>
      </c>
      <c r="G4461" s="1" t="s">
        <v>57</v>
      </c>
      <c r="H4461" s="1" t="s">
        <v>152</v>
      </c>
      <c r="I4461" s="1">
        <v>719.06</v>
      </c>
      <c r="J4461" s="1">
        <v>7</v>
      </c>
      <c r="K4461" s="1">
        <v>5033.42</v>
      </c>
      <c r="L4461" s="1">
        <v>5</v>
      </c>
      <c r="M4461" s="1">
        <v>251.67</v>
      </c>
      <c r="N4461" s="1">
        <v>4781.75</v>
      </c>
      <c r="O4461" s="1" t="s">
        <v>33</v>
      </c>
      <c r="P4461" s="1" t="s">
        <v>1833</v>
      </c>
      <c r="Q4461" s="1">
        <v>2</v>
      </c>
      <c r="R4461" s="1">
        <f>Retail_Sales_Analyis[[#This Row],[Final_Price]]-Retail_Sales_Analyis[[#This Row],[Total_Price]]</f>
        <v>-251.67000000000007</v>
      </c>
      <c r="S44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62" spans="1:19" x14ac:dyDescent="0.25">
      <c r="A4462" s="1" t="s">
        <v>5592</v>
      </c>
      <c r="B4462" s="2">
        <v>45558</v>
      </c>
      <c r="C4462" s="1" t="s">
        <v>116</v>
      </c>
      <c r="D4462" s="1" t="s">
        <v>43</v>
      </c>
      <c r="E4462" s="1" t="s">
        <v>168</v>
      </c>
      <c r="F4462" s="1" t="s">
        <v>69</v>
      </c>
      <c r="G4462" s="1" t="s">
        <v>57</v>
      </c>
      <c r="H4462" s="1" t="s">
        <v>122</v>
      </c>
      <c r="I4462" s="1">
        <v>2583.6799999999998</v>
      </c>
      <c r="J4462" s="1">
        <v>7</v>
      </c>
      <c r="K4462" s="1">
        <v>18085.759999999998</v>
      </c>
      <c r="L4462" s="1">
        <v>0</v>
      </c>
      <c r="M4462" s="1">
        <v>0</v>
      </c>
      <c r="N4462" s="1">
        <v>18085.759999999998</v>
      </c>
      <c r="O4462" s="1" t="s">
        <v>33</v>
      </c>
      <c r="P4462" s="1" t="s">
        <v>1657</v>
      </c>
      <c r="Q4462" s="1">
        <v>2</v>
      </c>
      <c r="R4462" s="1">
        <f>Retail_Sales_Analyis[[#This Row],[Final_Price]]-Retail_Sales_Analyis[[#This Row],[Total_Price]]</f>
        <v>0</v>
      </c>
      <c r="S446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63" spans="1:19" x14ac:dyDescent="0.25">
      <c r="A4463" s="1" t="s">
        <v>5593</v>
      </c>
      <c r="B4463" s="2">
        <v>45526</v>
      </c>
      <c r="C4463" s="1" t="s">
        <v>93</v>
      </c>
      <c r="D4463" s="1" t="s">
        <v>67</v>
      </c>
      <c r="E4463" s="1" t="s">
        <v>20</v>
      </c>
      <c r="F4463" s="1" t="s">
        <v>69</v>
      </c>
      <c r="G4463" s="1" t="s">
        <v>169</v>
      </c>
      <c r="H4463" s="1" t="s">
        <v>175</v>
      </c>
      <c r="I4463" s="1">
        <v>410.31</v>
      </c>
      <c r="J4463" s="1">
        <v>5</v>
      </c>
      <c r="K4463" s="1">
        <v>2051.5500000000002</v>
      </c>
      <c r="L4463" s="1">
        <v>20</v>
      </c>
      <c r="M4463" s="1">
        <v>410.31</v>
      </c>
      <c r="N4463" s="1">
        <v>1641.24</v>
      </c>
      <c r="O4463" s="1" t="s">
        <v>64</v>
      </c>
      <c r="P4463" s="1" t="s">
        <v>1770</v>
      </c>
      <c r="Q4463" s="1">
        <v>4</v>
      </c>
      <c r="R4463" s="1">
        <f>Retail_Sales_Analyis[[#This Row],[Final_Price]]-Retail_Sales_Analyis[[#This Row],[Total_Price]]</f>
        <v>-410.31000000000017</v>
      </c>
      <c r="S44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64" spans="1:19" x14ac:dyDescent="0.25">
      <c r="A4464" s="1" t="s">
        <v>5594</v>
      </c>
      <c r="B4464" s="2">
        <v>45298</v>
      </c>
      <c r="C4464" s="1" t="s">
        <v>36</v>
      </c>
      <c r="D4464" s="1" t="s">
        <v>49</v>
      </c>
      <c r="E4464" s="1" t="s">
        <v>129</v>
      </c>
      <c r="F4464" s="1" t="s">
        <v>37</v>
      </c>
      <c r="G4464" s="1" t="s">
        <v>85</v>
      </c>
      <c r="H4464" s="1" t="s">
        <v>98</v>
      </c>
      <c r="I4464" s="1">
        <v>2262.19</v>
      </c>
      <c r="J4464" s="1">
        <v>8</v>
      </c>
      <c r="K4464" s="1">
        <v>18097.52</v>
      </c>
      <c r="L4464" s="1">
        <v>0</v>
      </c>
      <c r="M4464" s="1">
        <v>0</v>
      </c>
      <c r="N4464" s="1">
        <v>18097.52</v>
      </c>
      <c r="O4464" s="1" t="s">
        <v>33</v>
      </c>
      <c r="P4464" s="1" t="s">
        <v>3011</v>
      </c>
      <c r="Q4464" s="1">
        <v>3</v>
      </c>
      <c r="R4464" s="1">
        <f>Retail_Sales_Analyis[[#This Row],[Final_Price]]-Retail_Sales_Analyis[[#This Row],[Total_Price]]</f>
        <v>0</v>
      </c>
      <c r="S44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65" spans="1:19" x14ac:dyDescent="0.25">
      <c r="A4465" s="1" t="s">
        <v>5595</v>
      </c>
      <c r="B4465" s="2">
        <v>45650</v>
      </c>
      <c r="C4465" s="1" t="s">
        <v>73</v>
      </c>
      <c r="D4465" s="1" t="s">
        <v>28</v>
      </c>
      <c r="E4465" s="1" t="s">
        <v>89</v>
      </c>
      <c r="F4465" s="1" t="s">
        <v>21</v>
      </c>
      <c r="G4465" s="1" t="s">
        <v>38</v>
      </c>
      <c r="H4465" s="1" t="s">
        <v>214</v>
      </c>
      <c r="I4465" s="1">
        <v>108.31</v>
      </c>
      <c r="J4465" s="1">
        <v>5</v>
      </c>
      <c r="K4465" s="1">
        <v>541.54999999999995</v>
      </c>
      <c r="L4465" s="1">
        <v>0</v>
      </c>
      <c r="M4465" s="1">
        <v>0</v>
      </c>
      <c r="N4465" s="1">
        <v>541.54999999999995</v>
      </c>
      <c r="O4465" s="1" t="s">
        <v>24</v>
      </c>
      <c r="P4465" s="1" t="s">
        <v>5552</v>
      </c>
      <c r="Q4465" s="1">
        <v>4</v>
      </c>
      <c r="R4465" s="1">
        <f>Retail_Sales_Analyis[[#This Row],[Final_Price]]-Retail_Sales_Analyis[[#This Row],[Total_Price]]</f>
        <v>0</v>
      </c>
      <c r="S44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66" spans="1:19" x14ac:dyDescent="0.25">
      <c r="A4466" s="1" t="s">
        <v>5596</v>
      </c>
      <c r="B4466" s="2">
        <v>45611</v>
      </c>
      <c r="C4466" s="1" t="s">
        <v>18</v>
      </c>
      <c r="D4466" s="1" t="s">
        <v>144</v>
      </c>
      <c r="E4466" s="1" t="s">
        <v>97</v>
      </c>
      <c r="F4466" s="1" t="s">
        <v>84</v>
      </c>
      <c r="G4466" s="1" t="s">
        <v>31</v>
      </c>
      <c r="H4466" s="1" t="s">
        <v>63</v>
      </c>
      <c r="I4466" s="1">
        <v>100.37</v>
      </c>
      <c r="J4466" s="1">
        <v>9</v>
      </c>
      <c r="K4466" s="1">
        <v>903.33</v>
      </c>
      <c r="L4466" s="1">
        <v>5</v>
      </c>
      <c r="M4466" s="1">
        <v>45.17</v>
      </c>
      <c r="N4466" s="1">
        <v>858.16</v>
      </c>
      <c r="O4466" s="1" t="s">
        <v>24</v>
      </c>
      <c r="P4466" s="1" t="s">
        <v>2137</v>
      </c>
      <c r="Q4466" s="1">
        <v>5</v>
      </c>
      <c r="R4466" s="1">
        <f>Retail_Sales_Analyis[[#This Row],[Final_Price]]-Retail_Sales_Analyis[[#This Row],[Total_Price]]</f>
        <v>-45.170000000000073</v>
      </c>
      <c r="S446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67" spans="1:19" x14ac:dyDescent="0.25">
      <c r="A4467" s="1" t="s">
        <v>5597</v>
      </c>
      <c r="B4467" s="2">
        <v>45592</v>
      </c>
      <c r="C4467" s="1" t="s">
        <v>76</v>
      </c>
      <c r="D4467" s="1" t="s">
        <v>49</v>
      </c>
      <c r="E4467" s="1" t="s">
        <v>125</v>
      </c>
      <c r="F4467" s="1" t="s">
        <v>37</v>
      </c>
      <c r="G4467" s="1" t="s">
        <v>85</v>
      </c>
      <c r="H4467" s="1" t="s">
        <v>180</v>
      </c>
      <c r="I4467" s="1">
        <v>1201.6600000000001</v>
      </c>
      <c r="J4467" s="1">
        <v>6</v>
      </c>
      <c r="K4467" s="1">
        <v>7209.96</v>
      </c>
      <c r="L4467" s="1">
        <v>10</v>
      </c>
      <c r="M4467" s="1">
        <v>721</v>
      </c>
      <c r="N4467" s="1">
        <v>6488.96</v>
      </c>
      <c r="O4467" s="1" t="s">
        <v>64</v>
      </c>
      <c r="P4467" s="1" t="s">
        <v>1264</v>
      </c>
      <c r="Q4467" s="1">
        <v>3</v>
      </c>
      <c r="R4467" s="1">
        <f>Retail_Sales_Analyis[[#This Row],[Final_Price]]-Retail_Sales_Analyis[[#This Row],[Total_Price]]</f>
        <v>-721</v>
      </c>
      <c r="S44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68" spans="1:19" x14ac:dyDescent="0.25">
      <c r="A4468" s="1" t="s">
        <v>5598</v>
      </c>
      <c r="B4468" s="2">
        <v>45559</v>
      </c>
      <c r="C4468" s="1" t="s">
        <v>116</v>
      </c>
      <c r="D4468" s="1" t="s">
        <v>28</v>
      </c>
      <c r="E4468" s="1" t="s">
        <v>97</v>
      </c>
      <c r="F4468" s="1" t="s">
        <v>84</v>
      </c>
      <c r="G4468" s="1" t="s">
        <v>78</v>
      </c>
      <c r="H4468" s="1" t="s">
        <v>323</v>
      </c>
      <c r="I4468" s="1">
        <v>460.09</v>
      </c>
      <c r="J4468" s="1">
        <v>9</v>
      </c>
      <c r="K4468" s="1">
        <v>4140.8100000000004</v>
      </c>
      <c r="L4468" s="1">
        <v>5</v>
      </c>
      <c r="M4468" s="1">
        <v>207.04</v>
      </c>
      <c r="N4468" s="1">
        <v>3933.77</v>
      </c>
      <c r="O4468" s="1" t="s">
        <v>33</v>
      </c>
      <c r="P4468" s="1" t="s">
        <v>1535</v>
      </c>
      <c r="Q4468" s="1">
        <v>5</v>
      </c>
      <c r="R4468" s="1">
        <f>Retail_Sales_Analyis[[#This Row],[Final_Price]]-Retail_Sales_Analyis[[#This Row],[Total_Price]]</f>
        <v>-207.04000000000042</v>
      </c>
      <c r="S446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69" spans="1:19" x14ac:dyDescent="0.25">
      <c r="A4469" s="1" t="s">
        <v>5599</v>
      </c>
      <c r="B4469" s="2">
        <v>45506</v>
      </c>
      <c r="C4469" s="1" t="s">
        <v>93</v>
      </c>
      <c r="D4469" s="1" t="s">
        <v>144</v>
      </c>
      <c r="E4469" s="1" t="s">
        <v>132</v>
      </c>
      <c r="F4469" s="1" t="s">
        <v>30</v>
      </c>
      <c r="G4469" s="1" t="s">
        <v>22</v>
      </c>
      <c r="H4469" s="1" t="s">
        <v>277</v>
      </c>
      <c r="I4469" s="1">
        <v>737.12</v>
      </c>
      <c r="J4469" s="1">
        <v>3</v>
      </c>
      <c r="K4469" s="1">
        <v>2211.36</v>
      </c>
      <c r="L4469" s="1">
        <v>5</v>
      </c>
      <c r="M4469" s="1">
        <v>110.57</v>
      </c>
      <c r="N4469" s="1">
        <v>2100.79</v>
      </c>
      <c r="O4469" s="1" t="s">
        <v>64</v>
      </c>
      <c r="P4469" s="1" t="s">
        <v>496</v>
      </c>
      <c r="Q4469" s="1">
        <v>4</v>
      </c>
      <c r="R4469" s="1">
        <f>Retail_Sales_Analyis[[#This Row],[Final_Price]]-Retail_Sales_Analyis[[#This Row],[Total_Price]]</f>
        <v>-110.57000000000016</v>
      </c>
      <c r="S446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70" spans="1:19" x14ac:dyDescent="0.25">
      <c r="A4470" s="1" t="s">
        <v>5600</v>
      </c>
      <c r="B4470" s="2">
        <v>45349</v>
      </c>
      <c r="C4470" s="1" t="s">
        <v>27</v>
      </c>
      <c r="D4470" s="1" t="s">
        <v>28</v>
      </c>
      <c r="E4470" s="1" t="s">
        <v>132</v>
      </c>
      <c r="F4470" s="1" t="s">
        <v>21</v>
      </c>
      <c r="G4470" s="1" t="s">
        <v>85</v>
      </c>
      <c r="H4470" s="1" t="s">
        <v>98</v>
      </c>
      <c r="I4470" s="1">
        <v>3082.29</v>
      </c>
      <c r="J4470" s="1">
        <v>2</v>
      </c>
      <c r="K4470" s="1">
        <v>6164.58</v>
      </c>
      <c r="L4470" s="1">
        <v>5</v>
      </c>
      <c r="M4470" s="1">
        <v>308.23</v>
      </c>
      <c r="N4470" s="1">
        <v>5856.35</v>
      </c>
      <c r="O4470" s="1" t="s">
        <v>24</v>
      </c>
      <c r="P4470" s="1" t="s">
        <v>1568</v>
      </c>
      <c r="Q4470" s="1">
        <v>2</v>
      </c>
      <c r="R4470" s="1">
        <f>Retail_Sales_Analyis[[#This Row],[Final_Price]]-Retail_Sales_Analyis[[#This Row],[Total_Price]]</f>
        <v>-308.22999999999956</v>
      </c>
      <c r="S447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71" spans="1:19" x14ac:dyDescent="0.25">
      <c r="A4471" s="1" t="s">
        <v>5601</v>
      </c>
      <c r="B4471" s="2">
        <v>45504</v>
      </c>
      <c r="C4471" s="1" t="s">
        <v>195</v>
      </c>
      <c r="D4471" s="1" t="s">
        <v>55</v>
      </c>
      <c r="E4471" s="1" t="s">
        <v>542</v>
      </c>
      <c r="F4471" s="1" t="s">
        <v>37</v>
      </c>
      <c r="G4471" s="1" t="s">
        <v>57</v>
      </c>
      <c r="H4471" s="1" t="s">
        <v>158</v>
      </c>
      <c r="I4471" s="1">
        <v>490.27</v>
      </c>
      <c r="J4471" s="1">
        <v>2</v>
      </c>
      <c r="K4471" s="1">
        <v>980.54</v>
      </c>
      <c r="L4471" s="1">
        <v>0</v>
      </c>
      <c r="M4471" s="1">
        <v>0</v>
      </c>
      <c r="N4471" s="1">
        <v>980.54</v>
      </c>
      <c r="O4471" s="1" t="s">
        <v>64</v>
      </c>
      <c r="P4471" s="1" t="s">
        <v>2122</v>
      </c>
      <c r="Q4471" s="1">
        <v>1</v>
      </c>
      <c r="R4471" s="1">
        <f>Retail_Sales_Analyis[[#This Row],[Final_Price]]-Retail_Sales_Analyis[[#This Row],[Total_Price]]</f>
        <v>0</v>
      </c>
      <c r="S44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2" spans="1:19" x14ac:dyDescent="0.25">
      <c r="A4472" s="1" t="s">
        <v>5602</v>
      </c>
      <c r="B4472" s="2">
        <v>45368</v>
      </c>
      <c r="C4472" s="1" t="s">
        <v>61</v>
      </c>
      <c r="D4472" s="1" t="s">
        <v>49</v>
      </c>
      <c r="E4472" s="1" t="s">
        <v>196</v>
      </c>
      <c r="F4472" s="1" t="s">
        <v>30</v>
      </c>
      <c r="G4472" s="1" t="s">
        <v>78</v>
      </c>
      <c r="H4472" s="1" t="s">
        <v>146</v>
      </c>
      <c r="I4472" s="1">
        <v>317.83</v>
      </c>
      <c r="J4472" s="1">
        <v>1</v>
      </c>
      <c r="K4472" s="1">
        <v>317.83</v>
      </c>
      <c r="L4472" s="1">
        <v>0</v>
      </c>
      <c r="M4472" s="1">
        <v>0</v>
      </c>
      <c r="N4472" s="1">
        <v>317.83</v>
      </c>
      <c r="O4472" s="1" t="s">
        <v>46</v>
      </c>
      <c r="P4472" s="1" t="s">
        <v>3028</v>
      </c>
      <c r="Q4472" s="1">
        <v>4</v>
      </c>
      <c r="R4472" s="1">
        <f>Retail_Sales_Analyis[[#This Row],[Final_Price]]-Retail_Sales_Analyis[[#This Row],[Total_Price]]</f>
        <v>0</v>
      </c>
      <c r="S44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3" spans="1:19" x14ac:dyDescent="0.25">
      <c r="A4473" s="1" t="s">
        <v>5603</v>
      </c>
      <c r="B4473" s="2">
        <v>45367</v>
      </c>
      <c r="C4473" s="1" t="s">
        <v>61</v>
      </c>
      <c r="D4473" s="1" t="s">
        <v>19</v>
      </c>
      <c r="E4473" s="1" t="s">
        <v>125</v>
      </c>
      <c r="F4473" s="1" t="s">
        <v>21</v>
      </c>
      <c r="G4473" s="1" t="s">
        <v>38</v>
      </c>
      <c r="H4473" s="1" t="s">
        <v>39</v>
      </c>
      <c r="I4473" s="1">
        <v>219.37</v>
      </c>
      <c r="J4473" s="1">
        <v>3</v>
      </c>
      <c r="K4473" s="1">
        <v>658.11</v>
      </c>
      <c r="L4473" s="1">
        <v>20</v>
      </c>
      <c r="M4473" s="1">
        <v>131.62</v>
      </c>
      <c r="N4473" s="1">
        <v>526.49</v>
      </c>
      <c r="O4473" s="1" t="s">
        <v>64</v>
      </c>
      <c r="P4473" s="1" t="s">
        <v>2579</v>
      </c>
      <c r="Q4473" s="1">
        <v>2</v>
      </c>
      <c r="R4473" s="1">
        <f>Retail_Sales_Analyis[[#This Row],[Final_Price]]-Retail_Sales_Analyis[[#This Row],[Total_Price]]</f>
        <v>-131.62</v>
      </c>
      <c r="S44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74" spans="1:19" x14ac:dyDescent="0.25">
      <c r="A4474" s="1" t="s">
        <v>5604</v>
      </c>
      <c r="B4474" s="2">
        <v>45582</v>
      </c>
      <c r="C4474" s="1" t="s">
        <v>76</v>
      </c>
      <c r="D4474" s="1" t="s">
        <v>67</v>
      </c>
      <c r="E4474" s="1" t="s">
        <v>111</v>
      </c>
      <c r="F4474" s="1" t="s">
        <v>84</v>
      </c>
      <c r="G4474" s="1" t="s">
        <v>112</v>
      </c>
      <c r="H4474" s="1" t="s">
        <v>183</v>
      </c>
      <c r="I4474" s="1">
        <v>1226.1400000000001</v>
      </c>
      <c r="J4474" s="1">
        <v>4</v>
      </c>
      <c r="K4474" s="1">
        <v>4904.5600000000004</v>
      </c>
      <c r="L4474" s="1">
        <v>10</v>
      </c>
      <c r="M4474" s="1">
        <v>490.46</v>
      </c>
      <c r="N4474" s="1">
        <v>4414.1000000000004</v>
      </c>
      <c r="O4474" s="1" t="s">
        <v>46</v>
      </c>
      <c r="P4474" s="1" t="s">
        <v>4128</v>
      </c>
      <c r="Q4474" s="1">
        <v>4</v>
      </c>
      <c r="R4474" s="1">
        <f>Retail_Sales_Analyis[[#This Row],[Final_Price]]-Retail_Sales_Analyis[[#This Row],[Total_Price]]</f>
        <v>-490.46000000000004</v>
      </c>
      <c r="S44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75" spans="1:19" x14ac:dyDescent="0.25">
      <c r="A4475" s="1" t="s">
        <v>5605</v>
      </c>
      <c r="B4475" s="2">
        <v>45593</v>
      </c>
      <c r="C4475" s="1" t="s">
        <v>76</v>
      </c>
      <c r="D4475" s="1" t="s">
        <v>43</v>
      </c>
      <c r="E4475" s="1" t="s">
        <v>139</v>
      </c>
      <c r="F4475" s="1" t="s">
        <v>30</v>
      </c>
      <c r="G4475" s="1" t="s">
        <v>57</v>
      </c>
      <c r="H4475" s="1" t="s">
        <v>122</v>
      </c>
      <c r="I4475" s="1">
        <v>2526.71</v>
      </c>
      <c r="J4475" s="1">
        <v>2</v>
      </c>
      <c r="K4475" s="1">
        <v>5053.42</v>
      </c>
      <c r="L4475" s="1">
        <v>0</v>
      </c>
      <c r="M4475" s="1">
        <v>0</v>
      </c>
      <c r="N4475" s="1">
        <v>5053.42</v>
      </c>
      <c r="O4475" s="1" t="s">
        <v>33</v>
      </c>
      <c r="P4475" s="1" t="s">
        <v>3543</v>
      </c>
      <c r="Q4475" s="1">
        <v>1</v>
      </c>
      <c r="R4475" s="1">
        <f>Retail_Sales_Analyis[[#This Row],[Final_Price]]-Retail_Sales_Analyis[[#This Row],[Total_Price]]</f>
        <v>0</v>
      </c>
      <c r="S44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6" spans="1:19" x14ac:dyDescent="0.25">
      <c r="A4476" s="1" t="s">
        <v>5606</v>
      </c>
      <c r="B4476" s="2">
        <v>45590</v>
      </c>
      <c r="C4476" s="1" t="s">
        <v>76</v>
      </c>
      <c r="D4476" s="1" t="s">
        <v>144</v>
      </c>
      <c r="E4476" s="1" t="s">
        <v>322</v>
      </c>
      <c r="F4476" s="1" t="s">
        <v>69</v>
      </c>
      <c r="G4476" s="1" t="s">
        <v>31</v>
      </c>
      <c r="H4476" s="1" t="s">
        <v>45</v>
      </c>
      <c r="I4476" s="1">
        <v>142.30000000000001</v>
      </c>
      <c r="J4476" s="1">
        <v>10</v>
      </c>
      <c r="K4476" s="1">
        <v>1423</v>
      </c>
      <c r="L4476" s="1">
        <v>0</v>
      </c>
      <c r="M4476" s="1">
        <v>0</v>
      </c>
      <c r="N4476" s="1">
        <v>1423</v>
      </c>
      <c r="O4476" s="1" t="s">
        <v>24</v>
      </c>
      <c r="P4476" s="1" t="s">
        <v>896</v>
      </c>
      <c r="Q4476" s="1">
        <v>2</v>
      </c>
      <c r="R4476" s="1">
        <f>Retail_Sales_Analyis[[#This Row],[Final_Price]]-Retail_Sales_Analyis[[#This Row],[Total_Price]]</f>
        <v>0</v>
      </c>
      <c r="S44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7" spans="1:19" x14ac:dyDescent="0.25">
      <c r="A4477" s="1" t="s">
        <v>5607</v>
      </c>
      <c r="B4477" s="2">
        <v>45343</v>
      </c>
      <c r="C4477" s="1" t="s">
        <v>27</v>
      </c>
      <c r="D4477" s="1" t="s">
        <v>55</v>
      </c>
      <c r="E4477" s="1" t="s">
        <v>89</v>
      </c>
      <c r="F4477" s="1" t="s">
        <v>21</v>
      </c>
      <c r="G4477" s="1" t="s">
        <v>85</v>
      </c>
      <c r="H4477" s="1" t="s">
        <v>98</v>
      </c>
      <c r="I4477" s="1">
        <v>2503.14</v>
      </c>
      <c r="J4477" s="1">
        <v>1</v>
      </c>
      <c r="K4477" s="1">
        <v>2503.14</v>
      </c>
      <c r="L4477" s="1">
        <v>10</v>
      </c>
      <c r="M4477" s="1">
        <v>250.31</v>
      </c>
      <c r="N4477" s="1">
        <v>2252.83</v>
      </c>
      <c r="O4477" s="1" t="s">
        <v>24</v>
      </c>
      <c r="P4477" s="1" t="s">
        <v>1206</v>
      </c>
      <c r="Q4477" s="1">
        <v>5</v>
      </c>
      <c r="R4477" s="1">
        <f>Retail_Sales_Analyis[[#This Row],[Final_Price]]-Retail_Sales_Analyis[[#This Row],[Total_Price]]</f>
        <v>-250.30999999999995</v>
      </c>
      <c r="S44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78" spans="1:19" x14ac:dyDescent="0.25">
      <c r="A4478" s="1" t="s">
        <v>5608</v>
      </c>
      <c r="B4478" s="2">
        <v>45346</v>
      </c>
      <c r="C4478" s="1" t="s">
        <v>27</v>
      </c>
      <c r="D4478" s="1" t="s">
        <v>19</v>
      </c>
      <c r="E4478" s="1" t="s">
        <v>351</v>
      </c>
      <c r="F4478" s="1" t="s">
        <v>30</v>
      </c>
      <c r="G4478" s="1" t="s">
        <v>169</v>
      </c>
      <c r="H4478" s="1" t="s">
        <v>175</v>
      </c>
      <c r="I4478" s="1">
        <v>428.05</v>
      </c>
      <c r="J4478" s="1">
        <v>4</v>
      </c>
      <c r="K4478" s="1">
        <v>1712.2</v>
      </c>
      <c r="L4478" s="1">
        <v>0</v>
      </c>
      <c r="M4478" s="1">
        <v>0</v>
      </c>
      <c r="N4478" s="1">
        <v>1712.2</v>
      </c>
      <c r="O4478" s="1" t="s">
        <v>33</v>
      </c>
      <c r="P4478" s="1" t="s">
        <v>1647</v>
      </c>
      <c r="Q4478" s="1">
        <v>5</v>
      </c>
      <c r="R4478" s="1">
        <f>Retail_Sales_Analyis[[#This Row],[Final_Price]]-Retail_Sales_Analyis[[#This Row],[Total_Price]]</f>
        <v>0</v>
      </c>
      <c r="S44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79" spans="1:19" x14ac:dyDescent="0.25">
      <c r="A4479" s="1" t="s">
        <v>5609</v>
      </c>
      <c r="B4479" s="2">
        <v>45580</v>
      </c>
      <c r="C4479" s="1" t="s">
        <v>76</v>
      </c>
      <c r="D4479" s="1" t="s">
        <v>28</v>
      </c>
      <c r="E4479" s="1" t="s">
        <v>117</v>
      </c>
      <c r="F4479" s="1" t="s">
        <v>21</v>
      </c>
      <c r="G4479" s="1" t="s">
        <v>57</v>
      </c>
      <c r="H4479" s="1" t="s">
        <v>122</v>
      </c>
      <c r="I4479" s="1">
        <v>208.72</v>
      </c>
      <c r="J4479" s="1">
        <v>8</v>
      </c>
      <c r="K4479" s="1">
        <v>1669.76</v>
      </c>
      <c r="L4479" s="1">
        <v>15</v>
      </c>
      <c r="M4479" s="1">
        <v>250.46</v>
      </c>
      <c r="N4479" s="1">
        <v>1419.3</v>
      </c>
      <c r="O4479" s="1" t="s">
        <v>46</v>
      </c>
      <c r="P4479" s="1" t="s">
        <v>1502</v>
      </c>
      <c r="Q4479" s="1">
        <v>4</v>
      </c>
      <c r="R4479" s="1">
        <f>Retail_Sales_Analyis[[#This Row],[Final_Price]]-Retail_Sales_Analyis[[#This Row],[Total_Price]]</f>
        <v>-250.46000000000004</v>
      </c>
      <c r="S44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80" spans="1:19" x14ac:dyDescent="0.25">
      <c r="A4480" s="1" t="s">
        <v>5610</v>
      </c>
      <c r="B4480" s="2">
        <v>45343</v>
      </c>
      <c r="C4480" s="1" t="s">
        <v>27</v>
      </c>
      <c r="D4480" s="1" t="s">
        <v>55</v>
      </c>
      <c r="E4480" s="1" t="s">
        <v>196</v>
      </c>
      <c r="F4480" s="1" t="s">
        <v>30</v>
      </c>
      <c r="G4480" s="1" t="s">
        <v>169</v>
      </c>
      <c r="H4480" s="1" t="s">
        <v>208</v>
      </c>
      <c r="I4480" s="1">
        <v>568</v>
      </c>
      <c r="J4480" s="1">
        <v>4</v>
      </c>
      <c r="K4480" s="1">
        <v>2272</v>
      </c>
      <c r="L4480" s="1">
        <v>5</v>
      </c>
      <c r="M4480" s="1">
        <v>113.6</v>
      </c>
      <c r="N4480" s="1">
        <v>2158.4</v>
      </c>
      <c r="O4480" s="1" t="s">
        <v>24</v>
      </c>
      <c r="P4480" s="1" t="s">
        <v>482</v>
      </c>
      <c r="Q4480" s="1">
        <v>3</v>
      </c>
      <c r="R4480" s="1">
        <f>Retail_Sales_Analyis[[#This Row],[Final_Price]]-Retail_Sales_Analyis[[#This Row],[Total_Price]]</f>
        <v>-113.59999999999991</v>
      </c>
      <c r="S448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81" spans="1:19" x14ac:dyDescent="0.25">
      <c r="A4481" s="1" t="s">
        <v>5611</v>
      </c>
      <c r="B4481" s="2">
        <v>45438</v>
      </c>
      <c r="C4481" s="1" t="s">
        <v>42</v>
      </c>
      <c r="D4481" s="1" t="s">
        <v>49</v>
      </c>
      <c r="E4481" s="1" t="s">
        <v>44</v>
      </c>
      <c r="F4481" s="1" t="s">
        <v>37</v>
      </c>
      <c r="G4481" s="1" t="s">
        <v>85</v>
      </c>
      <c r="H4481" s="1" t="s">
        <v>180</v>
      </c>
      <c r="I4481" s="1">
        <v>4369.26</v>
      </c>
      <c r="J4481" s="1">
        <v>6</v>
      </c>
      <c r="K4481" s="1">
        <v>26215.56</v>
      </c>
      <c r="L4481" s="1">
        <v>0</v>
      </c>
      <c r="M4481" s="1">
        <v>0</v>
      </c>
      <c r="N4481" s="1">
        <v>26215.56</v>
      </c>
      <c r="O4481" s="1" t="s">
        <v>24</v>
      </c>
      <c r="P4481" s="1" t="s">
        <v>1595</v>
      </c>
      <c r="Q4481" s="1">
        <v>4</v>
      </c>
      <c r="R4481" s="1">
        <f>Retail_Sales_Analyis[[#This Row],[Final_Price]]-Retail_Sales_Analyis[[#This Row],[Total_Price]]</f>
        <v>0</v>
      </c>
      <c r="S44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82" spans="1:19" x14ac:dyDescent="0.25">
      <c r="A4482" s="1" t="s">
        <v>5612</v>
      </c>
      <c r="B4482" s="2">
        <v>45566</v>
      </c>
      <c r="C4482" s="1" t="s">
        <v>76</v>
      </c>
      <c r="D4482" s="1" t="s">
        <v>28</v>
      </c>
      <c r="E4482" s="1" t="s">
        <v>68</v>
      </c>
      <c r="F4482" s="1" t="s">
        <v>21</v>
      </c>
      <c r="G4482" s="1" t="s">
        <v>78</v>
      </c>
      <c r="H4482" s="1" t="s">
        <v>146</v>
      </c>
      <c r="I4482" s="1">
        <v>563.20000000000005</v>
      </c>
      <c r="J4482" s="1">
        <v>6</v>
      </c>
      <c r="K4482" s="1">
        <v>3379.2</v>
      </c>
      <c r="L4482" s="1">
        <v>15</v>
      </c>
      <c r="M4482" s="1">
        <v>506.88</v>
      </c>
      <c r="N4482" s="1">
        <v>2872.32</v>
      </c>
      <c r="O4482" s="1" t="s">
        <v>80</v>
      </c>
      <c r="P4482" s="1" t="s">
        <v>1931</v>
      </c>
      <c r="Q4482" s="1">
        <v>5</v>
      </c>
      <c r="R4482" s="1">
        <f>Retail_Sales_Analyis[[#This Row],[Final_Price]]-Retail_Sales_Analyis[[#This Row],[Total_Price]]</f>
        <v>-506.87999999999965</v>
      </c>
      <c r="S44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83" spans="1:19" x14ac:dyDescent="0.25">
      <c r="A4483" s="1" t="s">
        <v>5613</v>
      </c>
      <c r="B4483" s="2">
        <v>45468</v>
      </c>
      <c r="C4483" s="1" t="s">
        <v>173</v>
      </c>
      <c r="D4483" s="1" t="s">
        <v>28</v>
      </c>
      <c r="E4483" s="1" t="s">
        <v>104</v>
      </c>
      <c r="F4483" s="1" t="s">
        <v>84</v>
      </c>
      <c r="G4483" s="1" t="s">
        <v>38</v>
      </c>
      <c r="H4483" s="1" t="s">
        <v>70</v>
      </c>
      <c r="I4483" s="1">
        <v>606.48</v>
      </c>
      <c r="J4483" s="1">
        <v>2</v>
      </c>
      <c r="K4483" s="1">
        <v>1212.96</v>
      </c>
      <c r="L4483" s="1">
        <v>20</v>
      </c>
      <c r="M4483" s="1">
        <v>242.59</v>
      </c>
      <c r="N4483" s="1">
        <v>970.37</v>
      </c>
      <c r="O4483" s="1" t="s">
        <v>80</v>
      </c>
      <c r="P4483" s="1" t="s">
        <v>2663</v>
      </c>
      <c r="Q4483" s="1">
        <v>1</v>
      </c>
      <c r="R4483" s="1">
        <f>Retail_Sales_Analyis[[#This Row],[Final_Price]]-Retail_Sales_Analyis[[#This Row],[Total_Price]]</f>
        <v>-242.59000000000003</v>
      </c>
      <c r="S44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84" spans="1:19" x14ac:dyDescent="0.25">
      <c r="A4484" s="1" t="s">
        <v>5614</v>
      </c>
      <c r="B4484" s="2">
        <v>45502</v>
      </c>
      <c r="C4484" s="1" t="s">
        <v>195</v>
      </c>
      <c r="D4484" s="1" t="s">
        <v>43</v>
      </c>
      <c r="E4484" s="1" t="s">
        <v>68</v>
      </c>
      <c r="F4484" s="1" t="s">
        <v>84</v>
      </c>
      <c r="G4484" s="1" t="s">
        <v>85</v>
      </c>
      <c r="H4484" s="1" t="s">
        <v>90</v>
      </c>
      <c r="I4484" s="1">
        <v>3607.64</v>
      </c>
      <c r="J4484" s="1">
        <v>4</v>
      </c>
      <c r="K4484" s="1">
        <v>14430.56</v>
      </c>
      <c r="L4484" s="1">
        <v>10</v>
      </c>
      <c r="M4484" s="1">
        <v>1443.06</v>
      </c>
      <c r="N4484" s="1">
        <v>12987.5</v>
      </c>
      <c r="O4484" s="1" t="s">
        <v>46</v>
      </c>
      <c r="P4484" s="1" t="s">
        <v>3419</v>
      </c>
      <c r="Q4484" s="1">
        <v>1</v>
      </c>
      <c r="R4484" s="1">
        <f>Retail_Sales_Analyis[[#This Row],[Final_Price]]-Retail_Sales_Analyis[[#This Row],[Total_Price]]</f>
        <v>-1443.0599999999995</v>
      </c>
      <c r="S44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85" spans="1:19" x14ac:dyDescent="0.25">
      <c r="A4485" s="1" t="s">
        <v>5615</v>
      </c>
      <c r="B4485" s="2">
        <v>45427</v>
      </c>
      <c r="C4485" s="1" t="s">
        <v>42</v>
      </c>
      <c r="D4485" s="1" t="s">
        <v>55</v>
      </c>
      <c r="E4485" s="1" t="s">
        <v>213</v>
      </c>
      <c r="F4485" s="1" t="s">
        <v>69</v>
      </c>
      <c r="G4485" s="1" t="s">
        <v>31</v>
      </c>
      <c r="H4485" s="1" t="s">
        <v>32</v>
      </c>
      <c r="I4485" s="1">
        <v>316.2</v>
      </c>
      <c r="J4485" s="1">
        <v>9</v>
      </c>
      <c r="K4485" s="1">
        <v>2845.8</v>
      </c>
      <c r="L4485" s="1">
        <v>20</v>
      </c>
      <c r="M4485" s="1">
        <v>569.16</v>
      </c>
      <c r="N4485" s="1">
        <v>2276.64</v>
      </c>
      <c r="O4485" s="1" t="s">
        <v>64</v>
      </c>
      <c r="P4485" s="1" t="s">
        <v>437</v>
      </c>
      <c r="Q4485" s="1">
        <v>3</v>
      </c>
      <c r="R4485" s="1">
        <f>Retail_Sales_Analyis[[#This Row],[Final_Price]]-Retail_Sales_Analyis[[#This Row],[Total_Price]]</f>
        <v>-569.16000000000031</v>
      </c>
      <c r="S448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86" spans="1:19" x14ac:dyDescent="0.25">
      <c r="A4486" s="1" t="s">
        <v>5616</v>
      </c>
      <c r="B4486" s="2">
        <v>45488</v>
      </c>
      <c r="C4486" s="1" t="s">
        <v>195</v>
      </c>
      <c r="D4486" s="1" t="s">
        <v>43</v>
      </c>
      <c r="E4486" s="1" t="s">
        <v>166</v>
      </c>
      <c r="F4486" s="1" t="s">
        <v>21</v>
      </c>
      <c r="G4486" s="1" t="s">
        <v>78</v>
      </c>
      <c r="H4486" s="1" t="s">
        <v>146</v>
      </c>
      <c r="I4486" s="1">
        <v>359.02</v>
      </c>
      <c r="J4486" s="1">
        <v>6</v>
      </c>
      <c r="K4486" s="1">
        <v>2154.12</v>
      </c>
      <c r="L4486" s="1">
        <v>5</v>
      </c>
      <c r="M4486" s="1">
        <v>107.71</v>
      </c>
      <c r="N4486" s="1">
        <v>2046.41</v>
      </c>
      <c r="O4486" s="1" t="s">
        <v>46</v>
      </c>
      <c r="P4486" s="1" t="s">
        <v>1215</v>
      </c>
      <c r="Q4486" s="1">
        <v>1</v>
      </c>
      <c r="R4486" s="1">
        <f>Retail_Sales_Analyis[[#This Row],[Final_Price]]-Retail_Sales_Analyis[[#This Row],[Total_Price]]</f>
        <v>-107.70999999999981</v>
      </c>
      <c r="S448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87" spans="1:19" x14ac:dyDescent="0.25">
      <c r="A4487" s="1" t="s">
        <v>5617</v>
      </c>
      <c r="B4487" s="2">
        <v>45627</v>
      </c>
      <c r="C4487" s="1" t="s">
        <v>73</v>
      </c>
      <c r="D4487" s="1" t="s">
        <v>49</v>
      </c>
      <c r="E4487" s="1" t="s">
        <v>111</v>
      </c>
      <c r="F4487" s="1" t="s">
        <v>69</v>
      </c>
      <c r="G4487" s="1" t="s">
        <v>112</v>
      </c>
      <c r="H4487" s="1" t="s">
        <v>288</v>
      </c>
      <c r="I4487" s="1">
        <v>1657.71</v>
      </c>
      <c r="J4487" s="1">
        <v>7</v>
      </c>
      <c r="K4487" s="1">
        <v>11603.97</v>
      </c>
      <c r="L4487" s="1">
        <v>5</v>
      </c>
      <c r="M4487" s="1">
        <v>580.20000000000005</v>
      </c>
      <c r="N4487" s="1">
        <v>11023.77</v>
      </c>
      <c r="O4487" s="1" t="s">
        <v>33</v>
      </c>
      <c r="P4487" s="1" t="s">
        <v>3118</v>
      </c>
      <c r="Q4487" s="1">
        <v>4</v>
      </c>
      <c r="R4487" s="1">
        <f>Retail_Sales_Analyis[[#This Row],[Final_Price]]-Retail_Sales_Analyis[[#This Row],[Total_Price]]</f>
        <v>-580.19999999999891</v>
      </c>
      <c r="S44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88" spans="1:19" x14ac:dyDescent="0.25">
      <c r="A4488" s="1" t="s">
        <v>5618</v>
      </c>
      <c r="B4488" s="2">
        <v>45540</v>
      </c>
      <c r="C4488" s="1" t="s">
        <v>116</v>
      </c>
      <c r="D4488" s="1" t="s">
        <v>67</v>
      </c>
      <c r="E4488" s="1" t="s">
        <v>542</v>
      </c>
      <c r="F4488" s="1" t="s">
        <v>84</v>
      </c>
      <c r="G4488" s="1" t="s">
        <v>57</v>
      </c>
      <c r="H4488" s="1" t="s">
        <v>152</v>
      </c>
      <c r="I4488" s="1">
        <v>479.63</v>
      </c>
      <c r="J4488" s="1">
        <v>2</v>
      </c>
      <c r="K4488" s="1">
        <v>959.26</v>
      </c>
      <c r="L4488" s="1">
        <v>15</v>
      </c>
      <c r="M4488" s="1">
        <v>143.88999999999999</v>
      </c>
      <c r="N4488" s="1">
        <v>815.37</v>
      </c>
      <c r="O4488" s="1" t="s">
        <v>33</v>
      </c>
      <c r="P4488" s="1" t="s">
        <v>545</v>
      </c>
      <c r="Q4488" s="1">
        <v>1</v>
      </c>
      <c r="R4488" s="1">
        <f>Retail_Sales_Analyis[[#This Row],[Final_Price]]-Retail_Sales_Analyis[[#This Row],[Total_Price]]</f>
        <v>-143.88999999999999</v>
      </c>
      <c r="S44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89" spans="1:19" x14ac:dyDescent="0.25">
      <c r="A4489" s="1" t="s">
        <v>5619</v>
      </c>
      <c r="B4489" s="2">
        <v>45584</v>
      </c>
      <c r="C4489" s="1" t="s">
        <v>76</v>
      </c>
      <c r="D4489" s="1" t="s">
        <v>19</v>
      </c>
      <c r="E4489" s="1" t="s">
        <v>186</v>
      </c>
      <c r="F4489" s="1" t="s">
        <v>30</v>
      </c>
      <c r="G4489" s="1" t="s">
        <v>78</v>
      </c>
      <c r="H4489" s="1" t="s">
        <v>146</v>
      </c>
      <c r="I4489" s="1">
        <v>161.5</v>
      </c>
      <c r="J4489" s="1">
        <v>4</v>
      </c>
      <c r="K4489" s="1">
        <v>646</v>
      </c>
      <c r="L4489" s="1">
        <v>5</v>
      </c>
      <c r="M4489" s="1">
        <v>32.299999999999997</v>
      </c>
      <c r="N4489" s="1">
        <v>613.70000000000005</v>
      </c>
      <c r="O4489" s="1" t="s">
        <v>64</v>
      </c>
      <c r="P4489" s="1" t="s">
        <v>520</v>
      </c>
      <c r="Q4489" s="1">
        <v>1</v>
      </c>
      <c r="R4489" s="1">
        <f>Retail_Sales_Analyis[[#This Row],[Final_Price]]-Retail_Sales_Analyis[[#This Row],[Total_Price]]</f>
        <v>-32.299999999999955</v>
      </c>
      <c r="S44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490" spans="1:19" x14ac:dyDescent="0.25">
      <c r="A4490" s="1" t="s">
        <v>5620</v>
      </c>
      <c r="B4490" s="2">
        <v>45603</v>
      </c>
      <c r="C4490" s="1" t="s">
        <v>18</v>
      </c>
      <c r="D4490" s="1" t="s">
        <v>67</v>
      </c>
      <c r="E4490" s="1" t="s">
        <v>77</v>
      </c>
      <c r="F4490" s="1" t="s">
        <v>21</v>
      </c>
      <c r="G4490" s="1" t="s">
        <v>112</v>
      </c>
      <c r="H4490" s="1" t="s">
        <v>113</v>
      </c>
      <c r="I4490" s="1">
        <v>1231.5</v>
      </c>
      <c r="J4490" s="1">
        <v>10</v>
      </c>
      <c r="K4490" s="1">
        <v>12315</v>
      </c>
      <c r="L4490" s="1">
        <v>0</v>
      </c>
      <c r="M4490" s="1">
        <v>0</v>
      </c>
      <c r="N4490" s="1">
        <v>12315</v>
      </c>
      <c r="O4490" s="1" t="s">
        <v>33</v>
      </c>
      <c r="P4490" s="1" t="s">
        <v>4693</v>
      </c>
      <c r="Q4490" s="1">
        <v>1</v>
      </c>
      <c r="R4490" s="1">
        <f>Retail_Sales_Analyis[[#This Row],[Final_Price]]-Retail_Sales_Analyis[[#This Row],[Total_Price]]</f>
        <v>0</v>
      </c>
      <c r="S44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91" spans="1:19" x14ac:dyDescent="0.25">
      <c r="A4491" s="1" t="s">
        <v>5621</v>
      </c>
      <c r="B4491" s="2">
        <v>45534</v>
      </c>
      <c r="C4491" s="1" t="s">
        <v>93</v>
      </c>
      <c r="D4491" s="1" t="s">
        <v>144</v>
      </c>
      <c r="E4491" s="1" t="s">
        <v>157</v>
      </c>
      <c r="F4491" s="1" t="s">
        <v>30</v>
      </c>
      <c r="G4491" s="1" t="s">
        <v>57</v>
      </c>
      <c r="H4491" s="1" t="s">
        <v>152</v>
      </c>
      <c r="I4491" s="1">
        <v>1359.67</v>
      </c>
      <c r="J4491" s="1">
        <v>9</v>
      </c>
      <c r="K4491" s="1">
        <v>12237.03</v>
      </c>
      <c r="L4491" s="1">
        <v>10</v>
      </c>
      <c r="M4491" s="1">
        <v>1223.7</v>
      </c>
      <c r="N4491" s="1">
        <v>11013.33</v>
      </c>
      <c r="O4491" s="1" t="s">
        <v>64</v>
      </c>
      <c r="P4491" s="1" t="s">
        <v>278</v>
      </c>
      <c r="Q4491" s="1">
        <v>1</v>
      </c>
      <c r="R4491" s="1">
        <f>Retail_Sales_Analyis[[#This Row],[Final_Price]]-Retail_Sales_Analyis[[#This Row],[Total_Price]]</f>
        <v>-1223.7000000000007</v>
      </c>
      <c r="S44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92" spans="1:19" x14ac:dyDescent="0.25">
      <c r="A4492" s="1" t="s">
        <v>5622</v>
      </c>
      <c r="B4492" s="2">
        <v>45311</v>
      </c>
      <c r="C4492" s="1" t="s">
        <v>36</v>
      </c>
      <c r="D4492" s="1" t="s">
        <v>19</v>
      </c>
      <c r="E4492" s="1" t="s">
        <v>129</v>
      </c>
      <c r="F4492" s="1" t="s">
        <v>30</v>
      </c>
      <c r="G4492" s="1" t="s">
        <v>78</v>
      </c>
      <c r="H4492" s="1" t="s">
        <v>126</v>
      </c>
      <c r="I4492" s="1">
        <v>208.32</v>
      </c>
      <c r="J4492" s="1">
        <v>8</v>
      </c>
      <c r="K4492" s="1">
        <v>1666.56</v>
      </c>
      <c r="L4492" s="1">
        <v>0</v>
      </c>
      <c r="M4492" s="1">
        <v>0</v>
      </c>
      <c r="N4492" s="1">
        <v>1666.56</v>
      </c>
      <c r="O4492" s="1" t="s">
        <v>24</v>
      </c>
      <c r="P4492" s="1" t="s">
        <v>240</v>
      </c>
      <c r="Q4492" s="1">
        <v>4</v>
      </c>
      <c r="R4492" s="1">
        <f>Retail_Sales_Analyis[[#This Row],[Final_Price]]-Retail_Sales_Analyis[[#This Row],[Total_Price]]</f>
        <v>0</v>
      </c>
      <c r="S44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93" spans="1:19" x14ac:dyDescent="0.25">
      <c r="A4493" s="1" t="s">
        <v>5623</v>
      </c>
      <c r="B4493" s="2">
        <v>45380</v>
      </c>
      <c r="C4493" s="1" t="s">
        <v>61</v>
      </c>
      <c r="D4493" s="1" t="s">
        <v>144</v>
      </c>
      <c r="E4493" s="1" t="s">
        <v>107</v>
      </c>
      <c r="F4493" s="1" t="s">
        <v>30</v>
      </c>
      <c r="G4493" s="1" t="s">
        <v>38</v>
      </c>
      <c r="H4493" s="1" t="s">
        <v>214</v>
      </c>
      <c r="I4493" s="1">
        <v>308.99</v>
      </c>
      <c r="J4493" s="1">
        <v>9</v>
      </c>
      <c r="K4493" s="1">
        <v>2780.91</v>
      </c>
      <c r="L4493" s="1">
        <v>0</v>
      </c>
      <c r="M4493" s="1">
        <v>0</v>
      </c>
      <c r="N4493" s="1">
        <v>2780.91</v>
      </c>
      <c r="O4493" s="1" t="s">
        <v>33</v>
      </c>
      <c r="P4493" s="1" t="s">
        <v>4704</v>
      </c>
      <c r="Q4493" s="1">
        <v>2</v>
      </c>
      <c r="R4493" s="1">
        <f>Retail_Sales_Analyis[[#This Row],[Final_Price]]-Retail_Sales_Analyis[[#This Row],[Total_Price]]</f>
        <v>0</v>
      </c>
      <c r="S449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94" spans="1:19" x14ac:dyDescent="0.25">
      <c r="A4494" s="1" t="s">
        <v>5624</v>
      </c>
      <c r="B4494" s="2">
        <v>45433</v>
      </c>
      <c r="C4494" s="1" t="s">
        <v>42</v>
      </c>
      <c r="D4494" s="1" t="s">
        <v>28</v>
      </c>
      <c r="E4494" s="1" t="s">
        <v>104</v>
      </c>
      <c r="F4494" s="1" t="s">
        <v>84</v>
      </c>
      <c r="G4494" s="1" t="s">
        <v>78</v>
      </c>
      <c r="H4494" s="1" t="s">
        <v>79</v>
      </c>
      <c r="I4494" s="1">
        <v>495.5</v>
      </c>
      <c r="J4494" s="1">
        <v>6</v>
      </c>
      <c r="K4494" s="1">
        <v>2973</v>
      </c>
      <c r="L4494" s="1">
        <v>20</v>
      </c>
      <c r="M4494" s="1">
        <v>594.6</v>
      </c>
      <c r="N4494" s="1">
        <v>2378.4</v>
      </c>
      <c r="O4494" s="1" t="s">
        <v>64</v>
      </c>
      <c r="P4494" s="1" t="s">
        <v>161</v>
      </c>
      <c r="Q4494" s="1">
        <v>5</v>
      </c>
      <c r="R4494" s="1">
        <f>Retail_Sales_Analyis[[#This Row],[Final_Price]]-Retail_Sales_Analyis[[#This Row],[Total_Price]]</f>
        <v>-594.59999999999991</v>
      </c>
      <c r="S44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95" spans="1:19" x14ac:dyDescent="0.25">
      <c r="A4495" s="1" t="s">
        <v>5625</v>
      </c>
      <c r="B4495" s="2">
        <v>45498</v>
      </c>
      <c r="C4495" s="1" t="s">
        <v>195</v>
      </c>
      <c r="D4495" s="1" t="s">
        <v>67</v>
      </c>
      <c r="E4495" s="1" t="s">
        <v>337</v>
      </c>
      <c r="F4495" s="1" t="s">
        <v>69</v>
      </c>
      <c r="G4495" s="1" t="s">
        <v>78</v>
      </c>
      <c r="H4495" s="1" t="s">
        <v>146</v>
      </c>
      <c r="I4495" s="1">
        <v>323.07</v>
      </c>
      <c r="J4495" s="1">
        <v>8</v>
      </c>
      <c r="K4495" s="1">
        <v>2584.56</v>
      </c>
      <c r="L4495" s="1">
        <v>10</v>
      </c>
      <c r="M4495" s="1">
        <v>258.45999999999998</v>
      </c>
      <c r="N4495" s="1">
        <v>2326.1</v>
      </c>
      <c r="O4495" s="1" t="s">
        <v>24</v>
      </c>
      <c r="P4495" s="1" t="s">
        <v>1412</v>
      </c>
      <c r="Q4495" s="1">
        <v>2</v>
      </c>
      <c r="R4495" s="1">
        <f>Retail_Sales_Analyis[[#This Row],[Final_Price]]-Retail_Sales_Analyis[[#This Row],[Total_Price]]</f>
        <v>-258.46000000000004</v>
      </c>
      <c r="S449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96" spans="1:19" x14ac:dyDescent="0.25">
      <c r="A4496" s="1" t="s">
        <v>5626</v>
      </c>
      <c r="B4496" s="2">
        <v>45365</v>
      </c>
      <c r="C4496" s="1" t="s">
        <v>61</v>
      </c>
      <c r="D4496" s="1" t="s">
        <v>67</v>
      </c>
      <c r="E4496" s="1" t="s">
        <v>125</v>
      </c>
      <c r="F4496" s="1" t="s">
        <v>30</v>
      </c>
      <c r="G4496" s="1" t="s">
        <v>112</v>
      </c>
      <c r="H4496" s="1" t="s">
        <v>183</v>
      </c>
      <c r="I4496" s="1">
        <v>1018.38</v>
      </c>
      <c r="J4496" s="1">
        <v>9</v>
      </c>
      <c r="K4496" s="1">
        <v>9165.42</v>
      </c>
      <c r="L4496" s="1">
        <v>20</v>
      </c>
      <c r="M4496" s="1">
        <v>1833.08</v>
      </c>
      <c r="N4496" s="1">
        <v>7332.34</v>
      </c>
      <c r="O4496" s="1" t="s">
        <v>80</v>
      </c>
      <c r="P4496" s="1" t="s">
        <v>791</v>
      </c>
      <c r="Q4496" s="1">
        <v>1</v>
      </c>
      <c r="R4496" s="1">
        <f>Retail_Sales_Analyis[[#This Row],[Final_Price]]-Retail_Sales_Analyis[[#This Row],[Total_Price]]</f>
        <v>-1833.08</v>
      </c>
      <c r="S44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497" spans="1:19" x14ac:dyDescent="0.25">
      <c r="A4497" s="1" t="s">
        <v>5627</v>
      </c>
      <c r="B4497" s="2">
        <v>45608</v>
      </c>
      <c r="C4497" s="1" t="s">
        <v>18</v>
      </c>
      <c r="D4497" s="1" t="s">
        <v>28</v>
      </c>
      <c r="E4497" s="1" t="s">
        <v>174</v>
      </c>
      <c r="F4497" s="1" t="s">
        <v>69</v>
      </c>
      <c r="G4497" s="1" t="s">
        <v>78</v>
      </c>
      <c r="H4497" s="1" t="s">
        <v>79</v>
      </c>
      <c r="I4497" s="1">
        <v>564.17999999999995</v>
      </c>
      <c r="J4497" s="1">
        <v>9</v>
      </c>
      <c r="K4497" s="1">
        <v>5077.62</v>
      </c>
      <c r="L4497" s="1">
        <v>0</v>
      </c>
      <c r="M4497" s="1">
        <v>0</v>
      </c>
      <c r="N4497" s="1">
        <v>5077.62</v>
      </c>
      <c r="O4497" s="1" t="s">
        <v>80</v>
      </c>
      <c r="P4497" s="1" t="s">
        <v>1749</v>
      </c>
      <c r="Q4497" s="1">
        <v>5</v>
      </c>
      <c r="R4497" s="1">
        <f>Retail_Sales_Analyis[[#This Row],[Final_Price]]-Retail_Sales_Analyis[[#This Row],[Total_Price]]</f>
        <v>0</v>
      </c>
      <c r="S44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498" spans="1:19" x14ac:dyDescent="0.25">
      <c r="A4498" s="1" t="s">
        <v>5628</v>
      </c>
      <c r="B4498" s="2">
        <v>45603</v>
      </c>
      <c r="C4498" s="1" t="s">
        <v>18</v>
      </c>
      <c r="D4498" s="1" t="s">
        <v>67</v>
      </c>
      <c r="E4498" s="1" t="s">
        <v>77</v>
      </c>
      <c r="F4498" s="1" t="s">
        <v>37</v>
      </c>
      <c r="G4498" s="1" t="s">
        <v>38</v>
      </c>
      <c r="H4498" s="1" t="s">
        <v>422</v>
      </c>
      <c r="I4498" s="1">
        <v>325.27999999999997</v>
      </c>
      <c r="J4498" s="1">
        <v>6</v>
      </c>
      <c r="K4498" s="1">
        <v>1951.68</v>
      </c>
      <c r="L4498" s="1">
        <v>15</v>
      </c>
      <c r="M4498" s="1">
        <v>292.75</v>
      </c>
      <c r="N4498" s="1">
        <v>1658.93</v>
      </c>
      <c r="O4498" s="1" t="s">
        <v>33</v>
      </c>
      <c r="P4498" s="1" t="s">
        <v>1833</v>
      </c>
      <c r="Q4498" s="1">
        <v>5</v>
      </c>
      <c r="R4498" s="1">
        <f>Retail_Sales_Analyis[[#This Row],[Final_Price]]-Retail_Sales_Analyis[[#This Row],[Total_Price]]</f>
        <v>-292.75</v>
      </c>
      <c r="S44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499" spans="1:19" x14ac:dyDescent="0.25">
      <c r="A4499" s="1" t="s">
        <v>5629</v>
      </c>
      <c r="B4499" s="2">
        <v>45640</v>
      </c>
      <c r="C4499" s="1" t="s">
        <v>73</v>
      </c>
      <c r="D4499" s="1" t="s">
        <v>19</v>
      </c>
      <c r="E4499" s="1" t="s">
        <v>111</v>
      </c>
      <c r="F4499" s="1" t="s">
        <v>30</v>
      </c>
      <c r="G4499" s="1" t="s">
        <v>31</v>
      </c>
      <c r="H4499" s="1" t="s">
        <v>63</v>
      </c>
      <c r="I4499" s="1">
        <v>182.49</v>
      </c>
      <c r="J4499" s="1">
        <v>3</v>
      </c>
      <c r="K4499" s="1">
        <v>547.47</v>
      </c>
      <c r="L4499" s="1">
        <v>0</v>
      </c>
      <c r="M4499" s="1">
        <v>0</v>
      </c>
      <c r="N4499" s="1">
        <v>547.47</v>
      </c>
      <c r="O4499" s="1" t="s">
        <v>46</v>
      </c>
      <c r="P4499" s="1" t="s">
        <v>3528</v>
      </c>
      <c r="Q4499" s="1">
        <v>3</v>
      </c>
      <c r="R4499" s="1">
        <f>Retail_Sales_Analyis[[#This Row],[Final_Price]]-Retail_Sales_Analyis[[#This Row],[Total_Price]]</f>
        <v>0</v>
      </c>
      <c r="S449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0" spans="1:19" x14ac:dyDescent="0.25">
      <c r="A4500" s="1" t="s">
        <v>5630</v>
      </c>
      <c r="B4500" s="2">
        <v>45647</v>
      </c>
      <c r="C4500" s="1" t="s">
        <v>73</v>
      </c>
      <c r="D4500" s="1" t="s">
        <v>19</v>
      </c>
      <c r="E4500" s="1" t="s">
        <v>157</v>
      </c>
      <c r="F4500" s="1" t="s">
        <v>84</v>
      </c>
      <c r="G4500" s="1" t="s">
        <v>169</v>
      </c>
      <c r="H4500" s="1" t="s">
        <v>175</v>
      </c>
      <c r="I4500" s="1">
        <v>1407.89</v>
      </c>
      <c r="J4500" s="1">
        <v>6</v>
      </c>
      <c r="K4500" s="1">
        <v>8447.34</v>
      </c>
      <c r="L4500" s="1">
        <v>5</v>
      </c>
      <c r="M4500" s="1">
        <v>422.37</v>
      </c>
      <c r="N4500" s="1">
        <v>8024.97</v>
      </c>
      <c r="O4500" s="1" t="s">
        <v>33</v>
      </c>
      <c r="P4500" s="1" t="s">
        <v>971</v>
      </c>
      <c r="Q4500" s="1">
        <v>3</v>
      </c>
      <c r="R4500" s="1">
        <f>Retail_Sales_Analyis[[#This Row],[Final_Price]]-Retail_Sales_Analyis[[#This Row],[Total_Price]]</f>
        <v>-422.36999999999989</v>
      </c>
      <c r="S45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01" spans="1:19" x14ac:dyDescent="0.25">
      <c r="A4501" s="1" t="s">
        <v>5631</v>
      </c>
      <c r="B4501" s="2">
        <v>45497</v>
      </c>
      <c r="C4501" s="1" t="s">
        <v>195</v>
      </c>
      <c r="D4501" s="1" t="s">
        <v>55</v>
      </c>
      <c r="E4501" s="1" t="s">
        <v>89</v>
      </c>
      <c r="F4501" s="1" t="s">
        <v>84</v>
      </c>
      <c r="G4501" s="1" t="s">
        <v>85</v>
      </c>
      <c r="H4501" s="1" t="s">
        <v>297</v>
      </c>
      <c r="I4501" s="1">
        <v>1468.17</v>
      </c>
      <c r="J4501" s="1">
        <v>7</v>
      </c>
      <c r="K4501" s="1">
        <v>10277.19</v>
      </c>
      <c r="L4501" s="1">
        <v>15</v>
      </c>
      <c r="M4501" s="1">
        <v>1541.58</v>
      </c>
      <c r="N4501" s="1">
        <v>8735.61</v>
      </c>
      <c r="O4501" s="1" t="s">
        <v>33</v>
      </c>
      <c r="P4501" s="1" t="s">
        <v>3770</v>
      </c>
      <c r="Q4501" s="1">
        <v>3</v>
      </c>
      <c r="R4501" s="1">
        <f>Retail_Sales_Analyis[[#This Row],[Final_Price]]-Retail_Sales_Analyis[[#This Row],[Total_Price]]</f>
        <v>-1541.58</v>
      </c>
      <c r="S45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02" spans="1:19" x14ac:dyDescent="0.25">
      <c r="A4502" s="1" t="s">
        <v>5632</v>
      </c>
      <c r="B4502" s="2">
        <v>45311</v>
      </c>
      <c r="C4502" s="1" t="s">
        <v>36</v>
      </c>
      <c r="D4502" s="1" t="s">
        <v>19</v>
      </c>
      <c r="E4502" s="1" t="s">
        <v>328</v>
      </c>
      <c r="F4502" s="1" t="s">
        <v>37</v>
      </c>
      <c r="G4502" s="1" t="s">
        <v>57</v>
      </c>
      <c r="H4502" s="1" t="s">
        <v>152</v>
      </c>
      <c r="I4502" s="1">
        <v>2789.32</v>
      </c>
      <c r="J4502" s="1">
        <v>1</v>
      </c>
      <c r="K4502" s="1">
        <v>2789.32</v>
      </c>
      <c r="L4502" s="1">
        <v>0</v>
      </c>
      <c r="M4502" s="1">
        <v>0</v>
      </c>
      <c r="N4502" s="1">
        <v>2789.32</v>
      </c>
      <c r="O4502" s="1" t="s">
        <v>64</v>
      </c>
      <c r="P4502" s="1" t="s">
        <v>469</v>
      </c>
      <c r="Q4502" s="1">
        <v>3</v>
      </c>
      <c r="R4502" s="1">
        <f>Retail_Sales_Analyis[[#This Row],[Final_Price]]-Retail_Sales_Analyis[[#This Row],[Total_Price]]</f>
        <v>0</v>
      </c>
      <c r="S45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3" spans="1:19" x14ac:dyDescent="0.25">
      <c r="A4503" s="1" t="s">
        <v>5633</v>
      </c>
      <c r="B4503" s="2">
        <v>45494</v>
      </c>
      <c r="C4503" s="1" t="s">
        <v>195</v>
      </c>
      <c r="D4503" s="1" t="s">
        <v>49</v>
      </c>
      <c r="E4503" s="1" t="s">
        <v>337</v>
      </c>
      <c r="F4503" s="1" t="s">
        <v>84</v>
      </c>
      <c r="G4503" s="1" t="s">
        <v>112</v>
      </c>
      <c r="H4503" s="1" t="s">
        <v>118</v>
      </c>
      <c r="I4503" s="1">
        <v>1606.59</v>
      </c>
      <c r="J4503" s="1">
        <v>9</v>
      </c>
      <c r="K4503" s="1">
        <v>14459.31</v>
      </c>
      <c r="L4503" s="1">
        <v>0</v>
      </c>
      <c r="M4503" s="1">
        <v>0</v>
      </c>
      <c r="N4503" s="1">
        <v>14459.31</v>
      </c>
      <c r="O4503" s="1" t="s">
        <v>33</v>
      </c>
      <c r="P4503" s="1" t="s">
        <v>1728</v>
      </c>
      <c r="Q4503" s="1">
        <v>4</v>
      </c>
      <c r="R4503" s="1">
        <f>Retail_Sales_Analyis[[#This Row],[Final_Price]]-Retail_Sales_Analyis[[#This Row],[Total_Price]]</f>
        <v>0</v>
      </c>
      <c r="S45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4" spans="1:19" x14ac:dyDescent="0.25">
      <c r="A4504" s="1" t="s">
        <v>5634</v>
      </c>
      <c r="B4504" s="2">
        <v>45461</v>
      </c>
      <c r="C4504" s="1" t="s">
        <v>173</v>
      </c>
      <c r="D4504" s="1" t="s">
        <v>28</v>
      </c>
      <c r="E4504" s="1" t="s">
        <v>157</v>
      </c>
      <c r="F4504" s="1" t="s">
        <v>37</v>
      </c>
      <c r="G4504" s="1" t="s">
        <v>38</v>
      </c>
      <c r="H4504" s="1" t="s">
        <v>422</v>
      </c>
      <c r="I4504" s="1">
        <v>767.4</v>
      </c>
      <c r="J4504" s="1">
        <v>6</v>
      </c>
      <c r="K4504" s="1">
        <v>4604.3999999999996</v>
      </c>
      <c r="L4504" s="1">
        <v>0</v>
      </c>
      <c r="M4504" s="1">
        <v>0</v>
      </c>
      <c r="N4504" s="1">
        <v>4604.3999999999996</v>
      </c>
      <c r="O4504" s="1" t="s">
        <v>80</v>
      </c>
      <c r="P4504" s="1" t="s">
        <v>1906</v>
      </c>
      <c r="Q4504" s="1">
        <v>3</v>
      </c>
      <c r="R4504" s="1">
        <f>Retail_Sales_Analyis[[#This Row],[Final_Price]]-Retail_Sales_Analyis[[#This Row],[Total_Price]]</f>
        <v>0</v>
      </c>
      <c r="S45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5" spans="1:19" x14ac:dyDescent="0.25">
      <c r="A4505" s="1" t="s">
        <v>5635</v>
      </c>
      <c r="B4505" s="2">
        <v>45645</v>
      </c>
      <c r="C4505" s="1" t="s">
        <v>73</v>
      </c>
      <c r="D4505" s="1" t="s">
        <v>67</v>
      </c>
      <c r="E4505" s="1" t="s">
        <v>411</v>
      </c>
      <c r="F4505" s="1" t="s">
        <v>30</v>
      </c>
      <c r="G4505" s="1" t="s">
        <v>112</v>
      </c>
      <c r="H4505" s="1" t="s">
        <v>118</v>
      </c>
      <c r="I4505" s="1">
        <v>556.12</v>
      </c>
      <c r="J4505" s="1">
        <v>5</v>
      </c>
      <c r="K4505" s="1">
        <v>2780.6</v>
      </c>
      <c r="L4505" s="1">
        <v>15</v>
      </c>
      <c r="M4505" s="1">
        <v>417.09</v>
      </c>
      <c r="N4505" s="1">
        <v>2363.5100000000002</v>
      </c>
      <c r="O4505" s="1" t="s">
        <v>33</v>
      </c>
      <c r="P4505" s="1" t="s">
        <v>242</v>
      </c>
      <c r="Q4505" s="1">
        <v>3</v>
      </c>
      <c r="R4505" s="1">
        <f>Retail_Sales_Analyis[[#This Row],[Final_Price]]-Retail_Sales_Analyis[[#This Row],[Total_Price]]</f>
        <v>-417.08999999999969</v>
      </c>
      <c r="S450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06" spans="1:19" x14ac:dyDescent="0.25">
      <c r="A4506" s="1" t="s">
        <v>5636</v>
      </c>
      <c r="B4506" s="2">
        <v>45413</v>
      </c>
      <c r="C4506" s="1" t="s">
        <v>42</v>
      </c>
      <c r="D4506" s="1" t="s">
        <v>55</v>
      </c>
      <c r="E4506" s="1" t="s">
        <v>411</v>
      </c>
      <c r="F4506" s="1" t="s">
        <v>21</v>
      </c>
      <c r="G4506" s="1" t="s">
        <v>31</v>
      </c>
      <c r="H4506" s="1" t="s">
        <v>32</v>
      </c>
      <c r="I4506" s="1">
        <v>287.79000000000002</v>
      </c>
      <c r="J4506" s="1">
        <v>4</v>
      </c>
      <c r="K4506" s="1">
        <v>1151.1600000000001</v>
      </c>
      <c r="L4506" s="1">
        <v>0</v>
      </c>
      <c r="M4506" s="1">
        <v>0</v>
      </c>
      <c r="N4506" s="1">
        <v>1151.1600000000001</v>
      </c>
      <c r="O4506" s="1" t="s">
        <v>80</v>
      </c>
      <c r="P4506" s="1" t="s">
        <v>401</v>
      </c>
      <c r="Q4506" s="1">
        <v>4</v>
      </c>
      <c r="R4506" s="1">
        <f>Retail_Sales_Analyis[[#This Row],[Final_Price]]-Retail_Sales_Analyis[[#This Row],[Total_Price]]</f>
        <v>0</v>
      </c>
      <c r="S45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7" spans="1:19" x14ac:dyDescent="0.25">
      <c r="A4507" s="1" t="s">
        <v>5637</v>
      </c>
      <c r="B4507" s="2">
        <v>45317</v>
      </c>
      <c r="C4507" s="1" t="s">
        <v>36</v>
      </c>
      <c r="D4507" s="1" t="s">
        <v>144</v>
      </c>
      <c r="E4507" s="1" t="s">
        <v>94</v>
      </c>
      <c r="F4507" s="1" t="s">
        <v>69</v>
      </c>
      <c r="G4507" s="1" t="s">
        <v>22</v>
      </c>
      <c r="H4507" s="1" t="s">
        <v>133</v>
      </c>
      <c r="I4507" s="1">
        <v>425.64</v>
      </c>
      <c r="J4507" s="1">
        <v>9</v>
      </c>
      <c r="K4507" s="1">
        <v>3830.76</v>
      </c>
      <c r="L4507" s="1">
        <v>10</v>
      </c>
      <c r="M4507" s="1">
        <v>383.08</v>
      </c>
      <c r="N4507" s="1">
        <v>3447.68</v>
      </c>
      <c r="O4507" s="1" t="s">
        <v>80</v>
      </c>
      <c r="P4507" s="1" t="s">
        <v>1630</v>
      </c>
      <c r="Q4507" s="1">
        <v>2</v>
      </c>
      <c r="R4507" s="1">
        <f>Retail_Sales_Analyis[[#This Row],[Final_Price]]-Retail_Sales_Analyis[[#This Row],[Total_Price]]</f>
        <v>-383.08000000000038</v>
      </c>
      <c r="S45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08" spans="1:19" x14ac:dyDescent="0.25">
      <c r="A4508" s="1" t="s">
        <v>5638</v>
      </c>
      <c r="B4508" s="2">
        <v>45535</v>
      </c>
      <c r="C4508" s="1" t="s">
        <v>93</v>
      </c>
      <c r="D4508" s="1" t="s">
        <v>19</v>
      </c>
      <c r="E4508" s="1" t="s">
        <v>342</v>
      </c>
      <c r="F4508" s="1" t="s">
        <v>69</v>
      </c>
      <c r="G4508" s="1" t="s">
        <v>85</v>
      </c>
      <c r="H4508" s="1" t="s">
        <v>180</v>
      </c>
      <c r="I4508" s="1">
        <v>2773.93</v>
      </c>
      <c r="J4508" s="1">
        <v>1</v>
      </c>
      <c r="K4508" s="1">
        <v>2773.93</v>
      </c>
      <c r="L4508" s="1">
        <v>0</v>
      </c>
      <c r="M4508" s="1">
        <v>0</v>
      </c>
      <c r="N4508" s="1">
        <v>2773.93</v>
      </c>
      <c r="O4508" s="1" t="s">
        <v>64</v>
      </c>
      <c r="P4508" s="1" t="s">
        <v>955</v>
      </c>
      <c r="Q4508" s="1">
        <v>5</v>
      </c>
      <c r="R4508" s="1">
        <f>Retail_Sales_Analyis[[#This Row],[Final_Price]]-Retail_Sales_Analyis[[#This Row],[Total_Price]]</f>
        <v>0</v>
      </c>
      <c r="S45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09" spans="1:19" x14ac:dyDescent="0.25">
      <c r="A4509" s="1" t="s">
        <v>5639</v>
      </c>
      <c r="B4509" s="2">
        <v>45429</v>
      </c>
      <c r="C4509" s="1" t="s">
        <v>42</v>
      </c>
      <c r="D4509" s="1" t="s">
        <v>144</v>
      </c>
      <c r="E4509" s="1" t="s">
        <v>121</v>
      </c>
      <c r="F4509" s="1" t="s">
        <v>30</v>
      </c>
      <c r="G4509" s="1" t="s">
        <v>78</v>
      </c>
      <c r="H4509" s="1" t="s">
        <v>79</v>
      </c>
      <c r="I4509" s="1">
        <v>190.13</v>
      </c>
      <c r="J4509" s="1">
        <v>9</v>
      </c>
      <c r="K4509" s="1">
        <v>1711.17</v>
      </c>
      <c r="L4509" s="1">
        <v>0</v>
      </c>
      <c r="M4509" s="1">
        <v>0</v>
      </c>
      <c r="N4509" s="1">
        <v>1711.17</v>
      </c>
      <c r="O4509" s="1" t="s">
        <v>64</v>
      </c>
      <c r="P4509" s="1" t="s">
        <v>345</v>
      </c>
      <c r="Q4509" s="1">
        <v>1</v>
      </c>
      <c r="R4509" s="1">
        <f>Retail_Sales_Analyis[[#This Row],[Final_Price]]-Retail_Sales_Analyis[[#This Row],[Total_Price]]</f>
        <v>0</v>
      </c>
      <c r="S45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10" spans="1:19" x14ac:dyDescent="0.25">
      <c r="A4510" s="1" t="s">
        <v>5640</v>
      </c>
      <c r="B4510" s="2">
        <v>45482</v>
      </c>
      <c r="C4510" s="1" t="s">
        <v>195</v>
      </c>
      <c r="D4510" s="1" t="s">
        <v>28</v>
      </c>
      <c r="E4510" s="1" t="s">
        <v>89</v>
      </c>
      <c r="F4510" s="1" t="s">
        <v>37</v>
      </c>
      <c r="G4510" s="1" t="s">
        <v>78</v>
      </c>
      <c r="H4510" s="1" t="s">
        <v>79</v>
      </c>
      <c r="I4510" s="1">
        <v>400.59</v>
      </c>
      <c r="J4510" s="1">
        <v>2</v>
      </c>
      <c r="K4510" s="1">
        <v>801.18</v>
      </c>
      <c r="L4510" s="1">
        <v>0</v>
      </c>
      <c r="M4510" s="1">
        <v>0</v>
      </c>
      <c r="N4510" s="1">
        <v>801.18</v>
      </c>
      <c r="O4510" s="1" t="s">
        <v>80</v>
      </c>
      <c r="P4510" s="1" t="s">
        <v>513</v>
      </c>
      <c r="Q4510" s="1">
        <v>3</v>
      </c>
      <c r="R4510" s="1">
        <f>Retail_Sales_Analyis[[#This Row],[Final_Price]]-Retail_Sales_Analyis[[#This Row],[Total_Price]]</f>
        <v>0</v>
      </c>
      <c r="S45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11" spans="1:19" x14ac:dyDescent="0.25">
      <c r="A4511" s="1" t="s">
        <v>5641</v>
      </c>
      <c r="B4511" s="2">
        <v>45302</v>
      </c>
      <c r="C4511" s="1" t="s">
        <v>36</v>
      </c>
      <c r="D4511" s="1" t="s">
        <v>67</v>
      </c>
      <c r="E4511" s="1" t="s">
        <v>151</v>
      </c>
      <c r="F4511" s="1" t="s">
        <v>37</v>
      </c>
      <c r="G4511" s="1" t="s">
        <v>57</v>
      </c>
      <c r="H4511" s="1" t="s">
        <v>152</v>
      </c>
      <c r="I4511" s="1">
        <v>1146.96</v>
      </c>
      <c r="J4511" s="1">
        <v>1</v>
      </c>
      <c r="K4511" s="1">
        <v>1146.96</v>
      </c>
      <c r="L4511" s="1">
        <v>5</v>
      </c>
      <c r="M4511" s="1">
        <v>57.35</v>
      </c>
      <c r="N4511" s="1">
        <v>1089.6099999999999</v>
      </c>
      <c r="O4511" s="1" t="s">
        <v>24</v>
      </c>
      <c r="P4511" s="1" t="s">
        <v>99</v>
      </c>
      <c r="Q4511" s="1">
        <v>4</v>
      </c>
      <c r="R4511" s="1">
        <f>Retail_Sales_Analyis[[#This Row],[Final_Price]]-Retail_Sales_Analyis[[#This Row],[Total_Price]]</f>
        <v>-57.350000000000136</v>
      </c>
      <c r="S45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12" spans="1:19" x14ac:dyDescent="0.25">
      <c r="A4512" s="1" t="s">
        <v>5642</v>
      </c>
      <c r="B4512" s="2">
        <v>45464</v>
      </c>
      <c r="C4512" s="1" t="s">
        <v>173</v>
      </c>
      <c r="D4512" s="1" t="s">
        <v>144</v>
      </c>
      <c r="E4512" s="1" t="s">
        <v>77</v>
      </c>
      <c r="F4512" s="1" t="s">
        <v>37</v>
      </c>
      <c r="G4512" s="1" t="s">
        <v>22</v>
      </c>
      <c r="H4512" s="1" t="s">
        <v>277</v>
      </c>
      <c r="I4512" s="1">
        <v>584.82000000000005</v>
      </c>
      <c r="J4512" s="1">
        <v>8</v>
      </c>
      <c r="K4512" s="1">
        <v>4678.5600000000004</v>
      </c>
      <c r="L4512" s="1">
        <v>20</v>
      </c>
      <c r="M4512" s="1">
        <v>935.71</v>
      </c>
      <c r="N4512" s="1">
        <v>3742.85</v>
      </c>
      <c r="O4512" s="1" t="s">
        <v>33</v>
      </c>
      <c r="P4512" s="1" t="s">
        <v>3234</v>
      </c>
      <c r="Q4512" s="1">
        <v>2</v>
      </c>
      <c r="R4512" s="1">
        <f>Retail_Sales_Analyis[[#This Row],[Final_Price]]-Retail_Sales_Analyis[[#This Row],[Total_Price]]</f>
        <v>-935.71000000000049</v>
      </c>
      <c r="S45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13" spans="1:19" x14ac:dyDescent="0.25">
      <c r="A4513" s="1" t="s">
        <v>5643</v>
      </c>
      <c r="B4513" s="2">
        <v>45447</v>
      </c>
      <c r="C4513" s="1" t="s">
        <v>173</v>
      </c>
      <c r="D4513" s="1" t="s">
        <v>28</v>
      </c>
      <c r="E4513" s="1" t="s">
        <v>132</v>
      </c>
      <c r="F4513" s="1" t="s">
        <v>69</v>
      </c>
      <c r="G4513" s="1" t="s">
        <v>112</v>
      </c>
      <c r="H4513" s="1" t="s">
        <v>113</v>
      </c>
      <c r="I4513" s="1">
        <v>1665.34</v>
      </c>
      <c r="J4513" s="1">
        <v>3</v>
      </c>
      <c r="K4513" s="1">
        <v>4996.0200000000004</v>
      </c>
      <c r="L4513" s="1">
        <v>15</v>
      </c>
      <c r="M4513" s="1">
        <v>749.4</v>
      </c>
      <c r="N4513" s="1">
        <v>4246.62</v>
      </c>
      <c r="O4513" s="1" t="s">
        <v>64</v>
      </c>
      <c r="P4513" s="1" t="s">
        <v>710</v>
      </c>
      <c r="Q4513" s="1">
        <v>1</v>
      </c>
      <c r="R4513" s="1">
        <f>Retail_Sales_Analyis[[#This Row],[Final_Price]]-Retail_Sales_Analyis[[#This Row],[Total_Price]]</f>
        <v>-749.40000000000055</v>
      </c>
      <c r="S45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14" spans="1:19" x14ac:dyDescent="0.25">
      <c r="A4514" s="1" t="s">
        <v>5644</v>
      </c>
      <c r="B4514" s="2">
        <v>45451</v>
      </c>
      <c r="C4514" s="1" t="s">
        <v>173</v>
      </c>
      <c r="D4514" s="1" t="s">
        <v>19</v>
      </c>
      <c r="E4514" s="1" t="s">
        <v>213</v>
      </c>
      <c r="F4514" s="1" t="s">
        <v>30</v>
      </c>
      <c r="G4514" s="1" t="s">
        <v>31</v>
      </c>
      <c r="H4514" s="1" t="s">
        <v>329</v>
      </c>
      <c r="I4514" s="1">
        <v>122.97</v>
      </c>
      <c r="J4514" s="1">
        <v>5</v>
      </c>
      <c r="K4514" s="1">
        <v>614.85</v>
      </c>
      <c r="L4514" s="1">
        <v>5</v>
      </c>
      <c r="M4514" s="1">
        <v>30.74</v>
      </c>
      <c r="N4514" s="1">
        <v>584.11</v>
      </c>
      <c r="O4514" s="1" t="s">
        <v>24</v>
      </c>
      <c r="P4514" s="1" t="s">
        <v>705</v>
      </c>
      <c r="Q4514" s="1">
        <v>4</v>
      </c>
      <c r="R4514" s="1">
        <f>Retail_Sales_Analyis[[#This Row],[Final_Price]]-Retail_Sales_Analyis[[#This Row],[Total_Price]]</f>
        <v>-30.740000000000009</v>
      </c>
      <c r="S451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15" spans="1:19" x14ac:dyDescent="0.25">
      <c r="A4515" s="1" t="s">
        <v>5645</v>
      </c>
      <c r="B4515" s="2">
        <v>45435</v>
      </c>
      <c r="C4515" s="1" t="s">
        <v>42</v>
      </c>
      <c r="D4515" s="1" t="s">
        <v>67</v>
      </c>
      <c r="E4515" s="1" t="s">
        <v>89</v>
      </c>
      <c r="F4515" s="1" t="s">
        <v>21</v>
      </c>
      <c r="G4515" s="1" t="s">
        <v>38</v>
      </c>
      <c r="H4515" s="1" t="s">
        <v>422</v>
      </c>
      <c r="I4515" s="1">
        <v>365.81</v>
      </c>
      <c r="J4515" s="1">
        <v>7</v>
      </c>
      <c r="K4515" s="1">
        <v>2560.67</v>
      </c>
      <c r="L4515" s="1">
        <v>0</v>
      </c>
      <c r="M4515" s="1">
        <v>0</v>
      </c>
      <c r="N4515" s="1">
        <v>2560.67</v>
      </c>
      <c r="O4515" s="1" t="s">
        <v>46</v>
      </c>
      <c r="P4515" s="1" t="s">
        <v>2143</v>
      </c>
      <c r="Q4515" s="1">
        <v>5</v>
      </c>
      <c r="R4515" s="1">
        <f>Retail_Sales_Analyis[[#This Row],[Final_Price]]-Retail_Sales_Analyis[[#This Row],[Total_Price]]</f>
        <v>0</v>
      </c>
      <c r="S45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16" spans="1:19" x14ac:dyDescent="0.25">
      <c r="A4516" s="1" t="s">
        <v>5646</v>
      </c>
      <c r="B4516" s="2">
        <v>45543</v>
      </c>
      <c r="C4516" s="1" t="s">
        <v>116</v>
      </c>
      <c r="D4516" s="1" t="s">
        <v>49</v>
      </c>
      <c r="E4516" s="1" t="s">
        <v>77</v>
      </c>
      <c r="F4516" s="1" t="s">
        <v>37</v>
      </c>
      <c r="G4516" s="1" t="s">
        <v>38</v>
      </c>
      <c r="H4516" s="1" t="s">
        <v>39</v>
      </c>
      <c r="I4516" s="1">
        <v>759.03</v>
      </c>
      <c r="J4516" s="1">
        <v>9</v>
      </c>
      <c r="K4516" s="1">
        <v>6831.27</v>
      </c>
      <c r="L4516" s="1">
        <v>0</v>
      </c>
      <c r="M4516" s="1">
        <v>0</v>
      </c>
      <c r="N4516" s="1">
        <v>6831.27</v>
      </c>
      <c r="O4516" s="1" t="s">
        <v>64</v>
      </c>
      <c r="P4516" s="1" t="s">
        <v>478</v>
      </c>
      <c r="Q4516" s="1">
        <v>5</v>
      </c>
      <c r="R4516" s="1">
        <f>Retail_Sales_Analyis[[#This Row],[Final_Price]]-Retail_Sales_Analyis[[#This Row],[Total_Price]]</f>
        <v>0</v>
      </c>
      <c r="S45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17" spans="1:19" x14ac:dyDescent="0.25">
      <c r="A4517" s="1" t="s">
        <v>5647</v>
      </c>
      <c r="B4517" s="2">
        <v>45648</v>
      </c>
      <c r="C4517" s="1" t="s">
        <v>73</v>
      </c>
      <c r="D4517" s="1" t="s">
        <v>49</v>
      </c>
      <c r="E4517" s="1" t="s">
        <v>97</v>
      </c>
      <c r="F4517" s="1" t="s">
        <v>84</v>
      </c>
      <c r="G4517" s="1" t="s">
        <v>169</v>
      </c>
      <c r="H4517" s="1" t="s">
        <v>366</v>
      </c>
      <c r="I4517" s="1">
        <v>1336.74</v>
      </c>
      <c r="J4517" s="1">
        <v>3</v>
      </c>
      <c r="K4517" s="1">
        <v>4010.22</v>
      </c>
      <c r="L4517" s="1">
        <v>0</v>
      </c>
      <c r="M4517" s="1">
        <v>0</v>
      </c>
      <c r="N4517" s="1">
        <v>4010.22</v>
      </c>
      <c r="O4517" s="1" t="s">
        <v>46</v>
      </c>
      <c r="P4517" s="1" t="s">
        <v>1339</v>
      </c>
      <c r="Q4517" s="1">
        <v>4</v>
      </c>
      <c r="R4517" s="1">
        <f>Retail_Sales_Analyis[[#This Row],[Final_Price]]-Retail_Sales_Analyis[[#This Row],[Total_Price]]</f>
        <v>0</v>
      </c>
      <c r="S45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18" spans="1:19" x14ac:dyDescent="0.25">
      <c r="A4518" s="1" t="s">
        <v>5648</v>
      </c>
      <c r="B4518" s="2">
        <v>45642</v>
      </c>
      <c r="C4518" s="1" t="s">
        <v>73</v>
      </c>
      <c r="D4518" s="1" t="s">
        <v>43</v>
      </c>
      <c r="E4518" s="1" t="s">
        <v>351</v>
      </c>
      <c r="F4518" s="1" t="s">
        <v>84</v>
      </c>
      <c r="G4518" s="1" t="s">
        <v>85</v>
      </c>
      <c r="H4518" s="1" t="s">
        <v>90</v>
      </c>
      <c r="I4518" s="1">
        <v>2830.23</v>
      </c>
      <c r="J4518" s="1">
        <v>6</v>
      </c>
      <c r="K4518" s="1">
        <v>16981.38</v>
      </c>
      <c r="L4518" s="1">
        <v>10</v>
      </c>
      <c r="M4518" s="1">
        <v>1698.14</v>
      </c>
      <c r="N4518" s="1">
        <v>15283.24</v>
      </c>
      <c r="O4518" s="1" t="s">
        <v>24</v>
      </c>
      <c r="P4518" s="1" t="s">
        <v>465</v>
      </c>
      <c r="Q4518" s="1">
        <v>3</v>
      </c>
      <c r="R4518" s="1">
        <f>Retail_Sales_Analyis[[#This Row],[Final_Price]]-Retail_Sales_Analyis[[#This Row],[Total_Price]]</f>
        <v>-1698.1400000000012</v>
      </c>
      <c r="S451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19" spans="1:19" x14ac:dyDescent="0.25">
      <c r="A4519" s="1" t="s">
        <v>5649</v>
      </c>
      <c r="B4519" s="2">
        <v>45342</v>
      </c>
      <c r="C4519" s="1" t="s">
        <v>27</v>
      </c>
      <c r="D4519" s="1" t="s">
        <v>28</v>
      </c>
      <c r="E4519" s="1" t="s">
        <v>62</v>
      </c>
      <c r="F4519" s="1" t="s">
        <v>84</v>
      </c>
      <c r="G4519" s="1" t="s">
        <v>38</v>
      </c>
      <c r="H4519" s="1" t="s">
        <v>39</v>
      </c>
      <c r="I4519" s="1">
        <v>722.35</v>
      </c>
      <c r="J4519" s="1">
        <v>10</v>
      </c>
      <c r="K4519" s="1">
        <v>7223.5</v>
      </c>
      <c r="L4519" s="1">
        <v>15</v>
      </c>
      <c r="M4519" s="1">
        <v>1083.52</v>
      </c>
      <c r="N4519" s="1">
        <v>6139.98</v>
      </c>
      <c r="O4519" s="1" t="s">
        <v>46</v>
      </c>
      <c r="P4519" s="1" t="s">
        <v>2376</v>
      </c>
      <c r="Q4519" s="1">
        <v>4</v>
      </c>
      <c r="R4519" s="1">
        <f>Retail_Sales_Analyis[[#This Row],[Final_Price]]-Retail_Sales_Analyis[[#This Row],[Total_Price]]</f>
        <v>-1083.5200000000004</v>
      </c>
      <c r="S451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20" spans="1:19" x14ac:dyDescent="0.25">
      <c r="A4520" s="1" t="s">
        <v>5650</v>
      </c>
      <c r="B4520" s="2">
        <v>45408</v>
      </c>
      <c r="C4520" s="1" t="s">
        <v>54</v>
      </c>
      <c r="D4520" s="1" t="s">
        <v>144</v>
      </c>
      <c r="E4520" s="1" t="s">
        <v>117</v>
      </c>
      <c r="F4520" s="1" t="s">
        <v>84</v>
      </c>
      <c r="G4520" s="1" t="s">
        <v>22</v>
      </c>
      <c r="H4520" s="1" t="s">
        <v>23</v>
      </c>
      <c r="I4520" s="1">
        <v>905.58</v>
      </c>
      <c r="J4520" s="1">
        <v>10</v>
      </c>
      <c r="K4520" s="1">
        <v>9055.7999999999993</v>
      </c>
      <c r="L4520" s="1">
        <v>0</v>
      </c>
      <c r="M4520" s="1">
        <v>0</v>
      </c>
      <c r="N4520" s="1">
        <v>9055.7999999999993</v>
      </c>
      <c r="O4520" s="1" t="s">
        <v>46</v>
      </c>
      <c r="P4520" s="1" t="s">
        <v>1185</v>
      </c>
      <c r="Q4520" s="1">
        <v>5</v>
      </c>
      <c r="R4520" s="1">
        <f>Retail_Sales_Analyis[[#This Row],[Final_Price]]-Retail_Sales_Analyis[[#This Row],[Total_Price]]</f>
        <v>0</v>
      </c>
      <c r="S452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21" spans="1:19" x14ac:dyDescent="0.25">
      <c r="A4521" s="1" t="s">
        <v>5651</v>
      </c>
      <c r="B4521" s="2">
        <v>45360</v>
      </c>
      <c r="C4521" s="1" t="s">
        <v>61</v>
      </c>
      <c r="D4521" s="1" t="s">
        <v>19</v>
      </c>
      <c r="E4521" s="1" t="s">
        <v>151</v>
      </c>
      <c r="F4521" s="1" t="s">
        <v>84</v>
      </c>
      <c r="G4521" s="1" t="s">
        <v>112</v>
      </c>
      <c r="H4521" s="1" t="s">
        <v>288</v>
      </c>
      <c r="I4521" s="1">
        <v>1627.92</v>
      </c>
      <c r="J4521" s="1">
        <v>8</v>
      </c>
      <c r="K4521" s="1">
        <v>13023.36</v>
      </c>
      <c r="L4521" s="1">
        <v>5</v>
      </c>
      <c r="M4521" s="1">
        <v>651.16999999999996</v>
      </c>
      <c r="N4521" s="1">
        <v>12372.19</v>
      </c>
      <c r="O4521" s="1" t="s">
        <v>33</v>
      </c>
      <c r="P4521" s="1" t="s">
        <v>369</v>
      </c>
      <c r="Q4521" s="1">
        <v>4</v>
      </c>
      <c r="R4521" s="1">
        <f>Retail_Sales_Analyis[[#This Row],[Final_Price]]-Retail_Sales_Analyis[[#This Row],[Total_Price]]</f>
        <v>-651.17000000000007</v>
      </c>
      <c r="S452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22" spans="1:19" x14ac:dyDescent="0.25">
      <c r="A4522" s="1" t="s">
        <v>5652</v>
      </c>
      <c r="B4522" s="2">
        <v>45445</v>
      </c>
      <c r="C4522" s="1" t="s">
        <v>173</v>
      </c>
      <c r="D4522" s="1" t="s">
        <v>49</v>
      </c>
      <c r="E4522" s="1" t="s">
        <v>411</v>
      </c>
      <c r="F4522" s="1" t="s">
        <v>37</v>
      </c>
      <c r="G4522" s="1" t="s">
        <v>57</v>
      </c>
      <c r="H4522" s="1" t="s">
        <v>58</v>
      </c>
      <c r="I4522" s="1">
        <v>1687.17</v>
      </c>
      <c r="J4522" s="1">
        <v>6</v>
      </c>
      <c r="K4522" s="1">
        <v>10123.02</v>
      </c>
      <c r="L4522" s="1">
        <v>0</v>
      </c>
      <c r="M4522" s="1">
        <v>0</v>
      </c>
      <c r="N4522" s="1">
        <v>10123.02</v>
      </c>
      <c r="O4522" s="1" t="s">
        <v>46</v>
      </c>
      <c r="P4522" s="1" t="s">
        <v>1649</v>
      </c>
      <c r="Q4522" s="1">
        <v>2</v>
      </c>
      <c r="R4522" s="1">
        <f>Retail_Sales_Analyis[[#This Row],[Final_Price]]-Retail_Sales_Analyis[[#This Row],[Total_Price]]</f>
        <v>0</v>
      </c>
      <c r="S45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23" spans="1:19" x14ac:dyDescent="0.25">
      <c r="A4523" s="1" t="s">
        <v>5653</v>
      </c>
      <c r="B4523" s="2">
        <v>45518</v>
      </c>
      <c r="C4523" s="1" t="s">
        <v>93</v>
      </c>
      <c r="D4523" s="1" t="s">
        <v>55</v>
      </c>
      <c r="E4523" s="1" t="s">
        <v>312</v>
      </c>
      <c r="F4523" s="1" t="s">
        <v>30</v>
      </c>
      <c r="G4523" s="1" t="s">
        <v>169</v>
      </c>
      <c r="H4523" s="1" t="s">
        <v>170</v>
      </c>
      <c r="I4523" s="1">
        <v>845.49</v>
      </c>
      <c r="J4523" s="1">
        <v>7</v>
      </c>
      <c r="K4523" s="1">
        <v>5918.43</v>
      </c>
      <c r="L4523" s="1">
        <v>0</v>
      </c>
      <c r="M4523" s="1">
        <v>0</v>
      </c>
      <c r="N4523" s="1">
        <v>5918.43</v>
      </c>
      <c r="O4523" s="1" t="s">
        <v>80</v>
      </c>
      <c r="P4523" s="1" t="s">
        <v>3467</v>
      </c>
      <c r="Q4523" s="1">
        <v>5</v>
      </c>
      <c r="R4523" s="1">
        <f>Retail_Sales_Analyis[[#This Row],[Final_Price]]-Retail_Sales_Analyis[[#This Row],[Total_Price]]</f>
        <v>0</v>
      </c>
      <c r="S45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24" spans="1:19" x14ac:dyDescent="0.25">
      <c r="A4524" s="1" t="s">
        <v>5654</v>
      </c>
      <c r="B4524" s="2">
        <v>45456</v>
      </c>
      <c r="C4524" s="1" t="s">
        <v>173</v>
      </c>
      <c r="D4524" s="1" t="s">
        <v>67</v>
      </c>
      <c r="E4524" s="1" t="s">
        <v>239</v>
      </c>
      <c r="F4524" s="1" t="s">
        <v>84</v>
      </c>
      <c r="G4524" s="1" t="s">
        <v>22</v>
      </c>
      <c r="H4524" s="1" t="s">
        <v>51</v>
      </c>
      <c r="I4524" s="1">
        <v>546.02</v>
      </c>
      <c r="J4524" s="1">
        <v>7</v>
      </c>
      <c r="K4524" s="1">
        <v>3822.14</v>
      </c>
      <c r="L4524" s="1">
        <v>20</v>
      </c>
      <c r="M4524" s="1">
        <v>764.43</v>
      </c>
      <c r="N4524" s="1">
        <v>3057.71</v>
      </c>
      <c r="O4524" s="1" t="s">
        <v>24</v>
      </c>
      <c r="P4524" s="1" t="s">
        <v>875</v>
      </c>
      <c r="Q4524" s="1">
        <v>5</v>
      </c>
      <c r="R4524" s="1">
        <f>Retail_Sales_Analyis[[#This Row],[Final_Price]]-Retail_Sales_Analyis[[#This Row],[Total_Price]]</f>
        <v>-764.42999999999984</v>
      </c>
      <c r="S452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25" spans="1:19" x14ac:dyDescent="0.25">
      <c r="A4525" s="1" t="s">
        <v>5655</v>
      </c>
      <c r="B4525" s="2">
        <v>45429</v>
      </c>
      <c r="C4525" s="1" t="s">
        <v>42</v>
      </c>
      <c r="D4525" s="1" t="s">
        <v>144</v>
      </c>
      <c r="E4525" s="1" t="s">
        <v>104</v>
      </c>
      <c r="F4525" s="1" t="s">
        <v>84</v>
      </c>
      <c r="G4525" s="1" t="s">
        <v>57</v>
      </c>
      <c r="H4525" s="1" t="s">
        <v>158</v>
      </c>
      <c r="I4525" s="1">
        <v>658.31</v>
      </c>
      <c r="J4525" s="1">
        <v>5</v>
      </c>
      <c r="K4525" s="1">
        <v>3291.55</v>
      </c>
      <c r="L4525" s="1">
        <v>0</v>
      </c>
      <c r="M4525" s="1">
        <v>0</v>
      </c>
      <c r="N4525" s="1">
        <v>3291.55</v>
      </c>
      <c r="O4525" s="1" t="s">
        <v>46</v>
      </c>
      <c r="P4525" s="1" t="s">
        <v>159</v>
      </c>
      <c r="Q4525" s="1">
        <v>5</v>
      </c>
      <c r="R4525" s="1">
        <f>Retail_Sales_Analyis[[#This Row],[Final_Price]]-Retail_Sales_Analyis[[#This Row],[Total_Price]]</f>
        <v>0</v>
      </c>
      <c r="S45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26" spans="1:19" x14ac:dyDescent="0.25">
      <c r="A4526" s="1" t="s">
        <v>5656</v>
      </c>
      <c r="B4526" s="2">
        <v>45505</v>
      </c>
      <c r="C4526" s="1" t="s">
        <v>93</v>
      </c>
      <c r="D4526" s="1" t="s">
        <v>67</v>
      </c>
      <c r="E4526" s="1" t="s">
        <v>411</v>
      </c>
      <c r="F4526" s="1" t="s">
        <v>69</v>
      </c>
      <c r="G4526" s="1" t="s">
        <v>169</v>
      </c>
      <c r="H4526" s="1" t="s">
        <v>348</v>
      </c>
      <c r="I4526" s="1">
        <v>822.27</v>
      </c>
      <c r="J4526" s="1">
        <v>10</v>
      </c>
      <c r="K4526" s="1">
        <v>8222.7000000000007</v>
      </c>
      <c r="L4526" s="1">
        <v>5</v>
      </c>
      <c r="M4526" s="1">
        <v>411.14</v>
      </c>
      <c r="N4526" s="1">
        <v>7811.56</v>
      </c>
      <c r="O4526" s="1" t="s">
        <v>24</v>
      </c>
      <c r="P4526" s="1" t="s">
        <v>1022</v>
      </c>
      <c r="Q4526" s="1">
        <v>5</v>
      </c>
      <c r="R4526" s="1">
        <f>Retail_Sales_Analyis[[#This Row],[Final_Price]]-Retail_Sales_Analyis[[#This Row],[Total_Price]]</f>
        <v>-411.14000000000033</v>
      </c>
      <c r="S452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27" spans="1:19" x14ac:dyDescent="0.25">
      <c r="A4527" s="1" t="s">
        <v>5657</v>
      </c>
      <c r="B4527" s="2">
        <v>45601</v>
      </c>
      <c r="C4527" s="1" t="s">
        <v>18</v>
      </c>
      <c r="D4527" s="1" t="s">
        <v>28</v>
      </c>
      <c r="E4527" s="1" t="s">
        <v>204</v>
      </c>
      <c r="F4527" s="1" t="s">
        <v>21</v>
      </c>
      <c r="G4527" s="1" t="s">
        <v>31</v>
      </c>
      <c r="H4527" s="1" t="s">
        <v>63</v>
      </c>
      <c r="I4527" s="1">
        <v>308.82</v>
      </c>
      <c r="J4527" s="1">
        <v>1</v>
      </c>
      <c r="K4527" s="1">
        <v>308.82</v>
      </c>
      <c r="L4527" s="1">
        <v>15</v>
      </c>
      <c r="M4527" s="1">
        <v>46.32</v>
      </c>
      <c r="N4527" s="1">
        <v>262.5</v>
      </c>
      <c r="O4527" s="1" t="s">
        <v>46</v>
      </c>
      <c r="P4527" s="1" t="s">
        <v>2639</v>
      </c>
      <c r="Q4527" s="1">
        <v>4</v>
      </c>
      <c r="R4527" s="1">
        <f>Retail_Sales_Analyis[[#This Row],[Final_Price]]-Retail_Sales_Analyis[[#This Row],[Total_Price]]</f>
        <v>-46.319999999999993</v>
      </c>
      <c r="S45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28" spans="1:19" x14ac:dyDescent="0.25">
      <c r="A4528" s="1" t="s">
        <v>5658</v>
      </c>
      <c r="B4528" s="2">
        <v>45622</v>
      </c>
      <c r="C4528" s="1" t="s">
        <v>18</v>
      </c>
      <c r="D4528" s="1" t="s">
        <v>28</v>
      </c>
      <c r="E4528" s="1" t="s">
        <v>83</v>
      </c>
      <c r="F4528" s="1" t="s">
        <v>69</v>
      </c>
      <c r="G4528" s="1" t="s">
        <v>22</v>
      </c>
      <c r="H4528" s="1" t="s">
        <v>51</v>
      </c>
      <c r="I4528" s="1">
        <v>237.13</v>
      </c>
      <c r="J4528" s="1">
        <v>5</v>
      </c>
      <c r="K4528" s="1">
        <v>1185.6500000000001</v>
      </c>
      <c r="L4528" s="1">
        <v>20</v>
      </c>
      <c r="M4528" s="1">
        <v>237.13</v>
      </c>
      <c r="N4528" s="1">
        <v>948.52</v>
      </c>
      <c r="O4528" s="1" t="s">
        <v>46</v>
      </c>
      <c r="P4528" s="1" t="s">
        <v>2624</v>
      </c>
      <c r="Q4528" s="1">
        <v>4</v>
      </c>
      <c r="R4528" s="1">
        <f>Retail_Sales_Analyis[[#This Row],[Final_Price]]-Retail_Sales_Analyis[[#This Row],[Total_Price]]</f>
        <v>-237.13000000000011</v>
      </c>
      <c r="S452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29" spans="1:19" x14ac:dyDescent="0.25">
      <c r="A4529" s="1" t="s">
        <v>5659</v>
      </c>
      <c r="B4529" s="2">
        <v>45337</v>
      </c>
      <c r="C4529" s="1" t="s">
        <v>27</v>
      </c>
      <c r="D4529" s="1" t="s">
        <v>67</v>
      </c>
      <c r="E4529" s="1" t="s">
        <v>68</v>
      </c>
      <c r="F4529" s="1" t="s">
        <v>30</v>
      </c>
      <c r="G4529" s="1" t="s">
        <v>169</v>
      </c>
      <c r="H4529" s="1" t="s">
        <v>175</v>
      </c>
      <c r="I4529" s="1">
        <v>340.86</v>
      </c>
      <c r="J4529" s="1">
        <v>8</v>
      </c>
      <c r="K4529" s="1">
        <v>2726.88</v>
      </c>
      <c r="L4529" s="1">
        <v>20</v>
      </c>
      <c r="M4529" s="1">
        <v>545.38</v>
      </c>
      <c r="N4529" s="1">
        <v>2181.5</v>
      </c>
      <c r="O4529" s="1" t="s">
        <v>33</v>
      </c>
      <c r="P4529" s="1" t="s">
        <v>1773</v>
      </c>
      <c r="Q4529" s="1">
        <v>1</v>
      </c>
      <c r="R4529" s="1">
        <f>Retail_Sales_Analyis[[#This Row],[Final_Price]]-Retail_Sales_Analyis[[#This Row],[Total_Price]]</f>
        <v>-545.38000000000011</v>
      </c>
      <c r="S452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30" spans="1:19" x14ac:dyDescent="0.25">
      <c r="A4530" s="1" t="s">
        <v>5660</v>
      </c>
      <c r="B4530" s="2">
        <v>45388</v>
      </c>
      <c r="C4530" s="1" t="s">
        <v>54</v>
      </c>
      <c r="D4530" s="1" t="s">
        <v>19</v>
      </c>
      <c r="E4530" s="1" t="s">
        <v>342</v>
      </c>
      <c r="F4530" s="1" t="s">
        <v>84</v>
      </c>
      <c r="G4530" s="1" t="s">
        <v>112</v>
      </c>
      <c r="H4530" s="1" t="s">
        <v>223</v>
      </c>
      <c r="I4530" s="1">
        <v>1039.96</v>
      </c>
      <c r="J4530" s="1">
        <v>5</v>
      </c>
      <c r="K4530" s="1">
        <v>5199.8</v>
      </c>
      <c r="L4530" s="1">
        <v>0</v>
      </c>
      <c r="M4530" s="1">
        <v>0</v>
      </c>
      <c r="N4530" s="1">
        <v>5199.8</v>
      </c>
      <c r="O4530" s="1" t="s">
        <v>80</v>
      </c>
      <c r="P4530" s="1" t="s">
        <v>2882</v>
      </c>
      <c r="Q4530" s="1">
        <v>3</v>
      </c>
      <c r="R4530" s="1">
        <f>Retail_Sales_Analyis[[#This Row],[Final_Price]]-Retail_Sales_Analyis[[#This Row],[Total_Price]]</f>
        <v>0</v>
      </c>
      <c r="S45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31" spans="1:19" x14ac:dyDescent="0.25">
      <c r="A4531" s="1" t="s">
        <v>5661</v>
      </c>
      <c r="B4531" s="2">
        <v>45518</v>
      </c>
      <c r="C4531" s="1" t="s">
        <v>93</v>
      </c>
      <c r="D4531" s="1" t="s">
        <v>55</v>
      </c>
      <c r="E4531" s="1" t="s">
        <v>44</v>
      </c>
      <c r="F4531" s="1" t="s">
        <v>30</v>
      </c>
      <c r="G4531" s="1" t="s">
        <v>78</v>
      </c>
      <c r="H4531" s="1" t="s">
        <v>136</v>
      </c>
      <c r="I4531" s="1">
        <v>515.51</v>
      </c>
      <c r="J4531" s="1">
        <v>3</v>
      </c>
      <c r="K4531" s="1">
        <v>1546.53</v>
      </c>
      <c r="L4531" s="1">
        <v>0</v>
      </c>
      <c r="M4531" s="1">
        <v>0</v>
      </c>
      <c r="N4531" s="1">
        <v>1546.53</v>
      </c>
      <c r="O4531" s="1" t="s">
        <v>33</v>
      </c>
      <c r="P4531" s="1" t="s">
        <v>2324</v>
      </c>
      <c r="Q4531" s="1">
        <v>2</v>
      </c>
      <c r="R4531" s="1">
        <f>Retail_Sales_Analyis[[#This Row],[Final_Price]]-Retail_Sales_Analyis[[#This Row],[Total_Price]]</f>
        <v>0</v>
      </c>
      <c r="S45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32" spans="1:19" x14ac:dyDescent="0.25">
      <c r="A4532" s="1" t="s">
        <v>5662</v>
      </c>
      <c r="B4532" s="2">
        <v>45400</v>
      </c>
      <c r="C4532" s="1" t="s">
        <v>54</v>
      </c>
      <c r="D4532" s="1" t="s">
        <v>67</v>
      </c>
      <c r="E4532" s="1" t="s">
        <v>121</v>
      </c>
      <c r="F4532" s="1" t="s">
        <v>69</v>
      </c>
      <c r="G4532" s="1" t="s">
        <v>38</v>
      </c>
      <c r="H4532" s="1" t="s">
        <v>70</v>
      </c>
      <c r="I4532" s="1">
        <v>288.36</v>
      </c>
      <c r="J4532" s="1">
        <v>6</v>
      </c>
      <c r="K4532" s="1">
        <v>1730.16</v>
      </c>
      <c r="L4532" s="1">
        <v>15</v>
      </c>
      <c r="M4532" s="1">
        <v>259.52</v>
      </c>
      <c r="N4532" s="1">
        <v>1470.64</v>
      </c>
      <c r="O4532" s="1" t="s">
        <v>46</v>
      </c>
      <c r="P4532" s="1" t="s">
        <v>159</v>
      </c>
      <c r="Q4532" s="1">
        <v>4</v>
      </c>
      <c r="R4532" s="1">
        <f>Retail_Sales_Analyis[[#This Row],[Final_Price]]-Retail_Sales_Analyis[[#This Row],[Total_Price]]</f>
        <v>-259.52</v>
      </c>
      <c r="S45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33" spans="1:19" x14ac:dyDescent="0.25">
      <c r="A4533" s="1" t="s">
        <v>5663</v>
      </c>
      <c r="B4533" s="2">
        <v>45500</v>
      </c>
      <c r="C4533" s="1" t="s">
        <v>195</v>
      </c>
      <c r="D4533" s="1" t="s">
        <v>19</v>
      </c>
      <c r="E4533" s="1" t="s">
        <v>196</v>
      </c>
      <c r="F4533" s="1" t="s">
        <v>30</v>
      </c>
      <c r="G4533" s="1" t="s">
        <v>57</v>
      </c>
      <c r="H4533" s="1" t="s">
        <v>158</v>
      </c>
      <c r="I4533" s="1">
        <v>2131.5700000000002</v>
      </c>
      <c r="J4533" s="1">
        <v>3</v>
      </c>
      <c r="K4533" s="1">
        <v>6394.71</v>
      </c>
      <c r="L4533" s="1">
        <v>0</v>
      </c>
      <c r="M4533" s="1">
        <v>0</v>
      </c>
      <c r="N4533" s="1">
        <v>6394.71</v>
      </c>
      <c r="O4533" s="1" t="s">
        <v>46</v>
      </c>
      <c r="P4533" s="1" t="s">
        <v>1773</v>
      </c>
      <c r="Q4533" s="1">
        <v>1</v>
      </c>
      <c r="R4533" s="1">
        <f>Retail_Sales_Analyis[[#This Row],[Final_Price]]-Retail_Sales_Analyis[[#This Row],[Total_Price]]</f>
        <v>0</v>
      </c>
      <c r="S453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34" spans="1:19" x14ac:dyDescent="0.25">
      <c r="A4534" s="1" t="s">
        <v>5664</v>
      </c>
      <c r="B4534" s="2">
        <v>45540</v>
      </c>
      <c r="C4534" s="1" t="s">
        <v>116</v>
      </c>
      <c r="D4534" s="1" t="s">
        <v>67</v>
      </c>
      <c r="E4534" s="1" t="s">
        <v>139</v>
      </c>
      <c r="F4534" s="1" t="s">
        <v>21</v>
      </c>
      <c r="G4534" s="1" t="s">
        <v>57</v>
      </c>
      <c r="H4534" s="1" t="s">
        <v>152</v>
      </c>
      <c r="I4534" s="1">
        <v>2120.31</v>
      </c>
      <c r="J4534" s="1">
        <v>3</v>
      </c>
      <c r="K4534" s="1">
        <v>6360.93</v>
      </c>
      <c r="L4534" s="1">
        <v>5</v>
      </c>
      <c r="M4534" s="1">
        <v>318.05</v>
      </c>
      <c r="N4534" s="1">
        <v>6042.88</v>
      </c>
      <c r="O4534" s="1" t="s">
        <v>33</v>
      </c>
      <c r="P4534" s="1" t="s">
        <v>2122</v>
      </c>
      <c r="Q4534" s="1">
        <v>2</v>
      </c>
      <c r="R4534" s="1">
        <f>Retail_Sales_Analyis[[#This Row],[Final_Price]]-Retail_Sales_Analyis[[#This Row],[Total_Price]]</f>
        <v>-318.05000000000018</v>
      </c>
      <c r="S45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35" spans="1:19" x14ac:dyDescent="0.25">
      <c r="A4535" s="1" t="s">
        <v>5665</v>
      </c>
      <c r="B4535" s="2">
        <v>45556</v>
      </c>
      <c r="C4535" s="1" t="s">
        <v>116</v>
      </c>
      <c r="D4535" s="1" t="s">
        <v>19</v>
      </c>
      <c r="E4535" s="1" t="s">
        <v>97</v>
      </c>
      <c r="F4535" s="1" t="s">
        <v>84</v>
      </c>
      <c r="G4535" s="1" t="s">
        <v>22</v>
      </c>
      <c r="H4535" s="1" t="s">
        <v>187</v>
      </c>
      <c r="I4535" s="1">
        <v>461.59</v>
      </c>
      <c r="J4535" s="1">
        <v>9</v>
      </c>
      <c r="K4535" s="1">
        <v>4154.3100000000004</v>
      </c>
      <c r="L4535" s="1">
        <v>10</v>
      </c>
      <c r="M4535" s="1">
        <v>415.43</v>
      </c>
      <c r="N4535" s="1">
        <v>3738.88</v>
      </c>
      <c r="O4535" s="1" t="s">
        <v>33</v>
      </c>
      <c r="P4535" s="1" t="s">
        <v>379</v>
      </c>
      <c r="Q4535" s="1">
        <v>1</v>
      </c>
      <c r="R4535" s="1">
        <f>Retail_Sales_Analyis[[#This Row],[Final_Price]]-Retail_Sales_Analyis[[#This Row],[Total_Price]]</f>
        <v>-415.43000000000029</v>
      </c>
      <c r="S453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36" spans="1:19" x14ac:dyDescent="0.25">
      <c r="A4536" s="1" t="s">
        <v>5666</v>
      </c>
      <c r="B4536" s="2">
        <v>45483</v>
      </c>
      <c r="C4536" s="1" t="s">
        <v>195</v>
      </c>
      <c r="D4536" s="1" t="s">
        <v>55</v>
      </c>
      <c r="E4536" s="1" t="s">
        <v>29</v>
      </c>
      <c r="F4536" s="1" t="s">
        <v>69</v>
      </c>
      <c r="G4536" s="1" t="s">
        <v>38</v>
      </c>
      <c r="H4536" s="1" t="s">
        <v>214</v>
      </c>
      <c r="I4536" s="1">
        <v>614.77</v>
      </c>
      <c r="J4536" s="1">
        <v>7</v>
      </c>
      <c r="K4536" s="1">
        <v>4303.3900000000003</v>
      </c>
      <c r="L4536" s="1">
        <v>20</v>
      </c>
      <c r="M4536" s="1">
        <v>860.68</v>
      </c>
      <c r="N4536" s="1">
        <v>3442.71</v>
      </c>
      <c r="O4536" s="1" t="s">
        <v>33</v>
      </c>
      <c r="P4536" s="1" t="s">
        <v>657</v>
      </c>
      <c r="Q4536" s="1">
        <v>1</v>
      </c>
      <c r="R4536" s="1">
        <f>Retail_Sales_Analyis[[#This Row],[Final_Price]]-Retail_Sales_Analyis[[#This Row],[Total_Price]]</f>
        <v>-860.68000000000029</v>
      </c>
      <c r="S45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37" spans="1:19" x14ac:dyDescent="0.25">
      <c r="A4537" s="1" t="s">
        <v>5667</v>
      </c>
      <c r="B4537" s="2">
        <v>45320</v>
      </c>
      <c r="C4537" s="1" t="s">
        <v>36</v>
      </c>
      <c r="D4537" s="1" t="s">
        <v>43</v>
      </c>
      <c r="E4537" s="1" t="s">
        <v>285</v>
      </c>
      <c r="F4537" s="1" t="s">
        <v>30</v>
      </c>
      <c r="G4537" s="1" t="s">
        <v>22</v>
      </c>
      <c r="H4537" s="1" t="s">
        <v>187</v>
      </c>
      <c r="I4537" s="1">
        <v>632.24</v>
      </c>
      <c r="J4537" s="1">
        <v>3</v>
      </c>
      <c r="K4537" s="1">
        <v>1896.72</v>
      </c>
      <c r="L4537" s="1">
        <v>20</v>
      </c>
      <c r="M4537" s="1">
        <v>379.34</v>
      </c>
      <c r="N4537" s="1">
        <v>1517.38</v>
      </c>
      <c r="O4537" s="1" t="s">
        <v>33</v>
      </c>
      <c r="P4537" s="1" t="s">
        <v>1705</v>
      </c>
      <c r="Q4537" s="1">
        <v>4</v>
      </c>
      <c r="R4537" s="1">
        <f>Retail_Sales_Analyis[[#This Row],[Final_Price]]-Retail_Sales_Analyis[[#This Row],[Total_Price]]</f>
        <v>-379.33999999999992</v>
      </c>
      <c r="S453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38" spans="1:19" x14ac:dyDescent="0.25">
      <c r="A4538" s="1" t="s">
        <v>5668</v>
      </c>
      <c r="B4538" s="2">
        <v>45555</v>
      </c>
      <c r="C4538" s="1" t="s">
        <v>116</v>
      </c>
      <c r="D4538" s="1" t="s">
        <v>144</v>
      </c>
      <c r="E4538" s="1" t="s">
        <v>111</v>
      </c>
      <c r="F4538" s="1" t="s">
        <v>69</v>
      </c>
      <c r="G4538" s="1" t="s">
        <v>85</v>
      </c>
      <c r="H4538" s="1" t="s">
        <v>90</v>
      </c>
      <c r="I4538" s="1">
        <v>4849.66</v>
      </c>
      <c r="J4538" s="1">
        <v>5</v>
      </c>
      <c r="K4538" s="1">
        <v>24248.3</v>
      </c>
      <c r="L4538" s="1">
        <v>0</v>
      </c>
      <c r="M4538" s="1">
        <v>0</v>
      </c>
      <c r="N4538" s="1">
        <v>24248.3</v>
      </c>
      <c r="O4538" s="1" t="s">
        <v>46</v>
      </c>
      <c r="P4538" s="1" t="s">
        <v>2268</v>
      </c>
      <c r="Q4538" s="1">
        <v>1</v>
      </c>
      <c r="R4538" s="1">
        <f>Retail_Sales_Analyis[[#This Row],[Final_Price]]-Retail_Sales_Analyis[[#This Row],[Total_Price]]</f>
        <v>0</v>
      </c>
      <c r="S45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39" spans="1:19" x14ac:dyDescent="0.25">
      <c r="A4539" s="1" t="s">
        <v>5669</v>
      </c>
      <c r="B4539" s="2">
        <v>45373</v>
      </c>
      <c r="C4539" s="1" t="s">
        <v>61</v>
      </c>
      <c r="D4539" s="1" t="s">
        <v>144</v>
      </c>
      <c r="E4539" s="1" t="s">
        <v>285</v>
      </c>
      <c r="F4539" s="1" t="s">
        <v>84</v>
      </c>
      <c r="G4539" s="1" t="s">
        <v>22</v>
      </c>
      <c r="H4539" s="1" t="s">
        <v>133</v>
      </c>
      <c r="I4539" s="1">
        <v>545.88</v>
      </c>
      <c r="J4539" s="1">
        <v>4</v>
      </c>
      <c r="K4539" s="1">
        <v>2183.52</v>
      </c>
      <c r="L4539" s="1">
        <v>5</v>
      </c>
      <c r="M4539" s="1">
        <v>109.18</v>
      </c>
      <c r="N4539" s="1">
        <v>2074.34</v>
      </c>
      <c r="O4539" s="1" t="s">
        <v>33</v>
      </c>
      <c r="P4539" s="1" t="s">
        <v>1027</v>
      </c>
      <c r="Q4539" s="1">
        <v>4</v>
      </c>
      <c r="R4539" s="1">
        <f>Retail_Sales_Analyis[[#This Row],[Final_Price]]-Retail_Sales_Analyis[[#This Row],[Total_Price]]</f>
        <v>-109.17999999999984</v>
      </c>
      <c r="S45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40" spans="1:19" x14ac:dyDescent="0.25">
      <c r="A4540" s="1" t="s">
        <v>5670</v>
      </c>
      <c r="B4540" s="2">
        <v>45325</v>
      </c>
      <c r="C4540" s="1" t="s">
        <v>27</v>
      </c>
      <c r="D4540" s="1" t="s">
        <v>19</v>
      </c>
      <c r="E4540" s="1" t="s">
        <v>132</v>
      </c>
      <c r="F4540" s="1" t="s">
        <v>37</v>
      </c>
      <c r="G4540" s="1" t="s">
        <v>85</v>
      </c>
      <c r="H4540" s="1" t="s">
        <v>180</v>
      </c>
      <c r="I4540" s="1">
        <v>2963.89</v>
      </c>
      <c r="J4540" s="1">
        <v>7</v>
      </c>
      <c r="K4540" s="1">
        <v>20747.23</v>
      </c>
      <c r="L4540" s="1">
        <v>0</v>
      </c>
      <c r="M4540" s="1">
        <v>0</v>
      </c>
      <c r="N4540" s="1">
        <v>20747.23</v>
      </c>
      <c r="O4540" s="1" t="s">
        <v>80</v>
      </c>
      <c r="P4540" s="1" t="s">
        <v>119</v>
      </c>
      <c r="Q4540" s="1">
        <v>1</v>
      </c>
      <c r="R4540" s="1">
        <f>Retail_Sales_Analyis[[#This Row],[Final_Price]]-Retail_Sales_Analyis[[#This Row],[Total_Price]]</f>
        <v>0</v>
      </c>
      <c r="S454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41" spans="1:19" x14ac:dyDescent="0.25">
      <c r="A4541" s="1" t="s">
        <v>5671</v>
      </c>
      <c r="B4541" s="2">
        <v>45451</v>
      </c>
      <c r="C4541" s="1" t="s">
        <v>173</v>
      </c>
      <c r="D4541" s="1" t="s">
        <v>19</v>
      </c>
      <c r="E4541" s="1" t="s">
        <v>62</v>
      </c>
      <c r="F4541" s="1" t="s">
        <v>84</v>
      </c>
      <c r="G4541" s="1" t="s">
        <v>57</v>
      </c>
      <c r="H4541" s="1" t="s">
        <v>58</v>
      </c>
      <c r="I4541" s="1">
        <v>1829.44</v>
      </c>
      <c r="J4541" s="1">
        <v>1</v>
      </c>
      <c r="K4541" s="1">
        <v>1829.44</v>
      </c>
      <c r="L4541" s="1">
        <v>20</v>
      </c>
      <c r="M4541" s="1">
        <v>365.89</v>
      </c>
      <c r="N4541" s="1">
        <v>1463.55</v>
      </c>
      <c r="O4541" s="1" t="s">
        <v>33</v>
      </c>
      <c r="P4541" s="1" t="s">
        <v>1299</v>
      </c>
      <c r="Q4541" s="1">
        <v>2</v>
      </c>
      <c r="R4541" s="1">
        <f>Retail_Sales_Analyis[[#This Row],[Final_Price]]-Retail_Sales_Analyis[[#This Row],[Total_Price]]</f>
        <v>-365.8900000000001</v>
      </c>
      <c r="S454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42" spans="1:19" x14ac:dyDescent="0.25">
      <c r="A4542" s="1" t="s">
        <v>5672</v>
      </c>
      <c r="B4542" s="2">
        <v>45655</v>
      </c>
      <c r="C4542" s="1" t="s">
        <v>73</v>
      </c>
      <c r="D4542" s="1" t="s">
        <v>49</v>
      </c>
      <c r="E4542" s="1" t="s">
        <v>50</v>
      </c>
      <c r="F4542" s="1" t="s">
        <v>69</v>
      </c>
      <c r="G4542" s="1" t="s">
        <v>78</v>
      </c>
      <c r="H4542" s="1" t="s">
        <v>79</v>
      </c>
      <c r="I4542" s="1">
        <v>194.6</v>
      </c>
      <c r="J4542" s="1">
        <v>10</v>
      </c>
      <c r="K4542" s="1">
        <v>1946</v>
      </c>
      <c r="L4542" s="1">
        <v>0</v>
      </c>
      <c r="M4542" s="1">
        <v>0</v>
      </c>
      <c r="N4542" s="1">
        <v>1946</v>
      </c>
      <c r="O4542" s="1" t="s">
        <v>46</v>
      </c>
      <c r="P4542" s="1" t="s">
        <v>5673</v>
      </c>
      <c r="Q4542" s="1">
        <v>4</v>
      </c>
      <c r="R4542" s="1">
        <f>Retail_Sales_Analyis[[#This Row],[Final_Price]]-Retail_Sales_Analyis[[#This Row],[Total_Price]]</f>
        <v>0</v>
      </c>
      <c r="S45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43" spans="1:19" x14ac:dyDescent="0.25">
      <c r="A4543" s="1" t="s">
        <v>5674</v>
      </c>
      <c r="B4543" s="2">
        <v>45551</v>
      </c>
      <c r="C4543" s="1" t="s">
        <v>116</v>
      </c>
      <c r="D4543" s="1" t="s">
        <v>43</v>
      </c>
      <c r="E4543" s="1" t="s">
        <v>104</v>
      </c>
      <c r="F4543" s="1" t="s">
        <v>37</v>
      </c>
      <c r="G4543" s="1" t="s">
        <v>112</v>
      </c>
      <c r="H4543" s="1" t="s">
        <v>288</v>
      </c>
      <c r="I4543" s="1">
        <v>1437.32</v>
      </c>
      <c r="J4543" s="1">
        <v>3</v>
      </c>
      <c r="K4543" s="1">
        <v>4311.96</v>
      </c>
      <c r="L4543" s="1">
        <v>0</v>
      </c>
      <c r="M4543" s="1">
        <v>0</v>
      </c>
      <c r="N4543" s="1">
        <v>4311.96</v>
      </c>
      <c r="O4543" s="1" t="s">
        <v>24</v>
      </c>
      <c r="P4543" s="1" t="s">
        <v>2000</v>
      </c>
      <c r="Q4543" s="1">
        <v>4</v>
      </c>
      <c r="R4543" s="1">
        <f>Retail_Sales_Analyis[[#This Row],[Final_Price]]-Retail_Sales_Analyis[[#This Row],[Total_Price]]</f>
        <v>0</v>
      </c>
      <c r="S454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44" spans="1:19" x14ac:dyDescent="0.25">
      <c r="A4544" s="1" t="s">
        <v>5675</v>
      </c>
      <c r="B4544" s="2">
        <v>45498</v>
      </c>
      <c r="C4544" s="1" t="s">
        <v>195</v>
      </c>
      <c r="D4544" s="1" t="s">
        <v>67</v>
      </c>
      <c r="E4544" s="1" t="s">
        <v>107</v>
      </c>
      <c r="F4544" s="1" t="s">
        <v>21</v>
      </c>
      <c r="G4544" s="1" t="s">
        <v>169</v>
      </c>
      <c r="H4544" s="1" t="s">
        <v>366</v>
      </c>
      <c r="I4544" s="1">
        <v>558.91</v>
      </c>
      <c r="J4544" s="1">
        <v>5</v>
      </c>
      <c r="K4544" s="1">
        <v>2794.55</v>
      </c>
      <c r="L4544" s="1">
        <v>20</v>
      </c>
      <c r="M4544" s="1">
        <v>558.91</v>
      </c>
      <c r="N4544" s="1">
        <v>2235.64</v>
      </c>
      <c r="O4544" s="1" t="s">
        <v>80</v>
      </c>
      <c r="P4544" s="1" t="s">
        <v>2872</v>
      </c>
      <c r="Q4544" s="1">
        <v>1</v>
      </c>
      <c r="R4544" s="1">
        <f>Retail_Sales_Analyis[[#This Row],[Final_Price]]-Retail_Sales_Analyis[[#This Row],[Total_Price]]</f>
        <v>-558.91000000000031</v>
      </c>
      <c r="S454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45" spans="1:19" x14ac:dyDescent="0.25">
      <c r="A4545" s="1" t="s">
        <v>5676</v>
      </c>
      <c r="B4545" s="2">
        <v>45361</v>
      </c>
      <c r="C4545" s="1" t="s">
        <v>61</v>
      </c>
      <c r="D4545" s="1" t="s">
        <v>49</v>
      </c>
      <c r="E4545" s="1" t="s">
        <v>50</v>
      </c>
      <c r="F4545" s="1" t="s">
        <v>30</v>
      </c>
      <c r="G4545" s="1" t="s">
        <v>31</v>
      </c>
      <c r="H4545" s="1" t="s">
        <v>63</v>
      </c>
      <c r="I4545" s="1">
        <v>154.26</v>
      </c>
      <c r="J4545" s="1">
        <v>7</v>
      </c>
      <c r="K4545" s="1">
        <v>1079.82</v>
      </c>
      <c r="L4545" s="1">
        <v>10</v>
      </c>
      <c r="M4545" s="1">
        <v>107.98</v>
      </c>
      <c r="N4545" s="1">
        <v>971.84</v>
      </c>
      <c r="O4545" s="1" t="s">
        <v>64</v>
      </c>
      <c r="P4545" s="1" t="s">
        <v>253</v>
      </c>
      <c r="Q4545" s="1">
        <v>3</v>
      </c>
      <c r="R4545" s="1">
        <f>Retail_Sales_Analyis[[#This Row],[Final_Price]]-Retail_Sales_Analyis[[#This Row],[Total_Price]]</f>
        <v>-107.9799999999999</v>
      </c>
      <c r="S45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46" spans="1:19" x14ac:dyDescent="0.25">
      <c r="A4546" s="1" t="s">
        <v>5677</v>
      </c>
      <c r="B4546" s="2">
        <v>45560</v>
      </c>
      <c r="C4546" s="1" t="s">
        <v>116</v>
      </c>
      <c r="D4546" s="1" t="s">
        <v>55</v>
      </c>
      <c r="E4546" s="1" t="s">
        <v>50</v>
      </c>
      <c r="F4546" s="1" t="s">
        <v>37</v>
      </c>
      <c r="G4546" s="1" t="s">
        <v>112</v>
      </c>
      <c r="H4546" s="1" t="s">
        <v>223</v>
      </c>
      <c r="I4546" s="1">
        <v>1545.06</v>
      </c>
      <c r="J4546" s="1">
        <v>10</v>
      </c>
      <c r="K4546" s="1">
        <v>15450.6</v>
      </c>
      <c r="L4546" s="1">
        <v>15</v>
      </c>
      <c r="M4546" s="1">
        <v>2317.59</v>
      </c>
      <c r="N4546" s="1">
        <v>13133.01</v>
      </c>
      <c r="O4546" s="1" t="s">
        <v>46</v>
      </c>
      <c r="P4546" s="1" t="s">
        <v>1593</v>
      </c>
      <c r="Q4546" s="1">
        <v>5</v>
      </c>
      <c r="R4546" s="1">
        <f>Retail_Sales_Analyis[[#This Row],[Final_Price]]-Retail_Sales_Analyis[[#This Row],[Total_Price]]</f>
        <v>-2317.59</v>
      </c>
      <c r="S45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47" spans="1:19" x14ac:dyDescent="0.25">
      <c r="A4547" s="1" t="s">
        <v>5678</v>
      </c>
      <c r="B4547" s="2">
        <v>45583</v>
      </c>
      <c r="C4547" s="1" t="s">
        <v>76</v>
      </c>
      <c r="D4547" s="1" t="s">
        <v>144</v>
      </c>
      <c r="E4547" s="1" t="s">
        <v>192</v>
      </c>
      <c r="F4547" s="1" t="s">
        <v>37</v>
      </c>
      <c r="G4547" s="1" t="s">
        <v>85</v>
      </c>
      <c r="H4547" s="1" t="s">
        <v>90</v>
      </c>
      <c r="I4547" s="1">
        <v>4388.2</v>
      </c>
      <c r="J4547" s="1">
        <v>7</v>
      </c>
      <c r="K4547" s="1">
        <v>30717.4</v>
      </c>
      <c r="L4547" s="1">
        <v>0</v>
      </c>
      <c r="M4547" s="1">
        <v>0</v>
      </c>
      <c r="N4547" s="1">
        <v>30717.4</v>
      </c>
      <c r="O4547" s="1" t="s">
        <v>24</v>
      </c>
      <c r="P4547" s="1" t="s">
        <v>463</v>
      </c>
      <c r="Q4547" s="1">
        <v>2</v>
      </c>
      <c r="R4547" s="1">
        <f>Retail_Sales_Analyis[[#This Row],[Final_Price]]-Retail_Sales_Analyis[[#This Row],[Total_Price]]</f>
        <v>0</v>
      </c>
      <c r="S45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48" spans="1:19" x14ac:dyDescent="0.25">
      <c r="A4548" s="1" t="s">
        <v>5679</v>
      </c>
      <c r="B4548" s="2">
        <v>45306</v>
      </c>
      <c r="C4548" s="1" t="s">
        <v>36</v>
      </c>
      <c r="D4548" s="1" t="s">
        <v>43</v>
      </c>
      <c r="E4548" s="1" t="s">
        <v>411</v>
      </c>
      <c r="F4548" s="1" t="s">
        <v>84</v>
      </c>
      <c r="G4548" s="1" t="s">
        <v>85</v>
      </c>
      <c r="H4548" s="1" t="s">
        <v>90</v>
      </c>
      <c r="I4548" s="1">
        <v>2848.59</v>
      </c>
      <c r="J4548" s="1">
        <v>10</v>
      </c>
      <c r="K4548" s="1">
        <v>28485.9</v>
      </c>
      <c r="L4548" s="1">
        <v>0</v>
      </c>
      <c r="M4548" s="1">
        <v>0</v>
      </c>
      <c r="N4548" s="1">
        <v>28485.9</v>
      </c>
      <c r="O4548" s="1" t="s">
        <v>46</v>
      </c>
      <c r="P4548" s="1" t="s">
        <v>5397</v>
      </c>
      <c r="Q4548" s="1">
        <v>4</v>
      </c>
      <c r="R4548" s="1">
        <f>Retail_Sales_Analyis[[#This Row],[Final_Price]]-Retail_Sales_Analyis[[#This Row],[Total_Price]]</f>
        <v>0</v>
      </c>
      <c r="S45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49" spans="1:19" x14ac:dyDescent="0.25">
      <c r="A4549" s="1" t="s">
        <v>5680</v>
      </c>
      <c r="B4549" s="2">
        <v>45380</v>
      </c>
      <c r="C4549" s="1" t="s">
        <v>61</v>
      </c>
      <c r="D4549" s="1" t="s">
        <v>144</v>
      </c>
      <c r="E4549" s="1" t="s">
        <v>196</v>
      </c>
      <c r="F4549" s="1" t="s">
        <v>37</v>
      </c>
      <c r="G4549" s="1" t="s">
        <v>169</v>
      </c>
      <c r="H4549" s="1" t="s">
        <v>208</v>
      </c>
      <c r="I4549" s="1">
        <v>1084.23</v>
      </c>
      <c r="J4549" s="1">
        <v>1</v>
      </c>
      <c r="K4549" s="1">
        <v>1084.23</v>
      </c>
      <c r="L4549" s="1">
        <v>20</v>
      </c>
      <c r="M4549" s="1">
        <v>216.85</v>
      </c>
      <c r="N4549" s="1">
        <v>867.38</v>
      </c>
      <c r="O4549" s="1" t="s">
        <v>64</v>
      </c>
      <c r="P4549" s="1" t="s">
        <v>3617</v>
      </c>
      <c r="Q4549" s="1">
        <v>2</v>
      </c>
      <c r="R4549" s="1">
        <f>Retail_Sales_Analyis[[#This Row],[Final_Price]]-Retail_Sales_Analyis[[#This Row],[Total_Price]]</f>
        <v>-216.85000000000002</v>
      </c>
      <c r="S454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50" spans="1:19" x14ac:dyDescent="0.25">
      <c r="A4550" s="1" t="s">
        <v>5681</v>
      </c>
      <c r="B4550" s="2">
        <v>45390</v>
      </c>
      <c r="C4550" s="1" t="s">
        <v>54</v>
      </c>
      <c r="D4550" s="1" t="s">
        <v>43</v>
      </c>
      <c r="E4550" s="1" t="s">
        <v>196</v>
      </c>
      <c r="F4550" s="1" t="s">
        <v>30</v>
      </c>
      <c r="G4550" s="1" t="s">
        <v>22</v>
      </c>
      <c r="H4550" s="1" t="s">
        <v>51</v>
      </c>
      <c r="I4550" s="1">
        <v>743.98</v>
      </c>
      <c r="J4550" s="1">
        <v>10</v>
      </c>
      <c r="K4550" s="1">
        <v>7439.8</v>
      </c>
      <c r="L4550" s="1">
        <v>0</v>
      </c>
      <c r="M4550" s="1">
        <v>0</v>
      </c>
      <c r="N4550" s="1">
        <v>7439.8</v>
      </c>
      <c r="O4550" s="1" t="s">
        <v>64</v>
      </c>
      <c r="P4550" s="1" t="s">
        <v>1755</v>
      </c>
      <c r="Q4550" s="1">
        <v>2</v>
      </c>
      <c r="R4550" s="1">
        <f>Retail_Sales_Analyis[[#This Row],[Final_Price]]-Retail_Sales_Analyis[[#This Row],[Total_Price]]</f>
        <v>0</v>
      </c>
      <c r="S455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51" spans="1:19" x14ac:dyDescent="0.25">
      <c r="A4551" s="1" t="s">
        <v>5682</v>
      </c>
      <c r="B4551" s="2">
        <v>45394</v>
      </c>
      <c r="C4551" s="1" t="s">
        <v>54</v>
      </c>
      <c r="D4551" s="1" t="s">
        <v>144</v>
      </c>
      <c r="E4551" s="1" t="s">
        <v>139</v>
      </c>
      <c r="F4551" s="1" t="s">
        <v>84</v>
      </c>
      <c r="G4551" s="1" t="s">
        <v>57</v>
      </c>
      <c r="H4551" s="1" t="s">
        <v>122</v>
      </c>
      <c r="I4551" s="1">
        <v>2091.86</v>
      </c>
      <c r="J4551" s="1">
        <v>8</v>
      </c>
      <c r="K4551" s="1">
        <v>16734.88</v>
      </c>
      <c r="L4551" s="1">
        <v>0</v>
      </c>
      <c r="M4551" s="1">
        <v>0</v>
      </c>
      <c r="N4551" s="1">
        <v>16734.88</v>
      </c>
      <c r="O4551" s="1" t="s">
        <v>46</v>
      </c>
      <c r="P4551" s="1" t="s">
        <v>725</v>
      </c>
      <c r="Q4551" s="1">
        <v>2</v>
      </c>
      <c r="R4551" s="1">
        <f>Retail_Sales_Analyis[[#This Row],[Final_Price]]-Retail_Sales_Analyis[[#This Row],[Total_Price]]</f>
        <v>0</v>
      </c>
      <c r="S45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52" spans="1:19" x14ac:dyDescent="0.25">
      <c r="A4552" s="1" t="s">
        <v>5683</v>
      </c>
      <c r="B4552" s="2">
        <v>45321</v>
      </c>
      <c r="C4552" s="1" t="s">
        <v>36</v>
      </c>
      <c r="D4552" s="1" t="s">
        <v>28</v>
      </c>
      <c r="E4552" s="1" t="s">
        <v>328</v>
      </c>
      <c r="F4552" s="1" t="s">
        <v>30</v>
      </c>
      <c r="G4552" s="1" t="s">
        <v>22</v>
      </c>
      <c r="H4552" s="1" t="s">
        <v>23</v>
      </c>
      <c r="I4552" s="1">
        <v>579.24</v>
      </c>
      <c r="J4552" s="1">
        <v>8</v>
      </c>
      <c r="K4552" s="1">
        <v>4633.92</v>
      </c>
      <c r="L4552" s="1">
        <v>0</v>
      </c>
      <c r="M4552" s="1">
        <v>0</v>
      </c>
      <c r="N4552" s="1">
        <v>4633.92</v>
      </c>
      <c r="O4552" s="1" t="s">
        <v>46</v>
      </c>
      <c r="P4552" s="1" t="s">
        <v>588</v>
      </c>
      <c r="Q4552" s="1">
        <v>5</v>
      </c>
      <c r="R4552" s="1">
        <f>Retail_Sales_Analyis[[#This Row],[Final_Price]]-Retail_Sales_Analyis[[#This Row],[Total_Price]]</f>
        <v>0</v>
      </c>
      <c r="S45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53" spans="1:19" x14ac:dyDescent="0.25">
      <c r="A4553" s="1" t="s">
        <v>5684</v>
      </c>
      <c r="B4553" s="2">
        <v>45419</v>
      </c>
      <c r="C4553" s="1" t="s">
        <v>42</v>
      </c>
      <c r="D4553" s="1" t="s">
        <v>28</v>
      </c>
      <c r="E4553" s="1" t="s">
        <v>68</v>
      </c>
      <c r="F4553" s="1" t="s">
        <v>37</v>
      </c>
      <c r="G4553" s="1" t="s">
        <v>57</v>
      </c>
      <c r="H4553" s="1" t="s">
        <v>152</v>
      </c>
      <c r="I4553" s="1">
        <v>2485.62</v>
      </c>
      <c r="J4553" s="1">
        <v>3</v>
      </c>
      <c r="K4553" s="1">
        <v>7456.86</v>
      </c>
      <c r="L4553" s="1">
        <v>20</v>
      </c>
      <c r="M4553" s="1">
        <v>1491.37</v>
      </c>
      <c r="N4553" s="1">
        <v>5965.49</v>
      </c>
      <c r="O4553" s="1" t="s">
        <v>33</v>
      </c>
      <c r="P4553" s="1" t="s">
        <v>496</v>
      </c>
      <c r="Q4553" s="1">
        <v>4</v>
      </c>
      <c r="R4553" s="1">
        <f>Retail_Sales_Analyis[[#This Row],[Final_Price]]-Retail_Sales_Analyis[[#This Row],[Total_Price]]</f>
        <v>-1491.37</v>
      </c>
      <c r="S455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54" spans="1:19" x14ac:dyDescent="0.25">
      <c r="A4554" s="1" t="s">
        <v>5685</v>
      </c>
      <c r="B4554" s="2">
        <v>45308</v>
      </c>
      <c r="C4554" s="1" t="s">
        <v>36</v>
      </c>
      <c r="D4554" s="1" t="s">
        <v>55</v>
      </c>
      <c r="E4554" s="1" t="s">
        <v>186</v>
      </c>
      <c r="F4554" s="1" t="s">
        <v>21</v>
      </c>
      <c r="G4554" s="1" t="s">
        <v>57</v>
      </c>
      <c r="H4554" s="1" t="s">
        <v>152</v>
      </c>
      <c r="I4554" s="1">
        <v>1322.89</v>
      </c>
      <c r="J4554" s="1">
        <v>6</v>
      </c>
      <c r="K4554" s="1">
        <v>7937.34</v>
      </c>
      <c r="L4554" s="1">
        <v>0</v>
      </c>
      <c r="M4554" s="1">
        <v>0</v>
      </c>
      <c r="N4554" s="1">
        <v>7937.34</v>
      </c>
      <c r="O4554" s="1" t="s">
        <v>46</v>
      </c>
      <c r="P4554" s="1" t="s">
        <v>580</v>
      </c>
      <c r="Q4554" s="1">
        <v>3</v>
      </c>
      <c r="R4554" s="1">
        <f>Retail_Sales_Analyis[[#This Row],[Final_Price]]-Retail_Sales_Analyis[[#This Row],[Total_Price]]</f>
        <v>0</v>
      </c>
      <c r="S45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55" spans="1:19" x14ac:dyDescent="0.25">
      <c r="A4555" s="1" t="s">
        <v>5686</v>
      </c>
      <c r="B4555" s="2">
        <v>45525</v>
      </c>
      <c r="C4555" s="1" t="s">
        <v>93</v>
      </c>
      <c r="D4555" s="1" t="s">
        <v>55</v>
      </c>
      <c r="E4555" s="1" t="s">
        <v>29</v>
      </c>
      <c r="F4555" s="1" t="s">
        <v>69</v>
      </c>
      <c r="G4555" s="1" t="s">
        <v>31</v>
      </c>
      <c r="H4555" s="1" t="s">
        <v>45</v>
      </c>
      <c r="I4555" s="1">
        <v>322.85000000000002</v>
      </c>
      <c r="J4555" s="1">
        <v>5</v>
      </c>
      <c r="K4555" s="1">
        <v>1614.25</v>
      </c>
      <c r="L4555" s="1">
        <v>20</v>
      </c>
      <c r="M4555" s="1">
        <v>322.85000000000002</v>
      </c>
      <c r="N4555" s="1">
        <v>1291.4000000000001</v>
      </c>
      <c r="O4555" s="1" t="s">
        <v>46</v>
      </c>
      <c r="P4555" s="1" t="s">
        <v>1937</v>
      </c>
      <c r="Q4555" s="1">
        <v>5</v>
      </c>
      <c r="R4555" s="1">
        <f>Retail_Sales_Analyis[[#This Row],[Final_Price]]-Retail_Sales_Analyis[[#This Row],[Total_Price]]</f>
        <v>-322.84999999999991</v>
      </c>
      <c r="S45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56" spans="1:19" x14ac:dyDescent="0.25">
      <c r="A4556" s="1" t="s">
        <v>5687</v>
      </c>
      <c r="B4556" s="2">
        <v>45317</v>
      </c>
      <c r="C4556" s="1" t="s">
        <v>36</v>
      </c>
      <c r="D4556" s="1" t="s">
        <v>144</v>
      </c>
      <c r="E4556" s="1" t="s">
        <v>104</v>
      </c>
      <c r="F4556" s="1" t="s">
        <v>84</v>
      </c>
      <c r="G4556" s="1" t="s">
        <v>22</v>
      </c>
      <c r="H4556" s="1" t="s">
        <v>187</v>
      </c>
      <c r="I4556" s="1">
        <v>774.96</v>
      </c>
      <c r="J4556" s="1">
        <v>8</v>
      </c>
      <c r="K4556" s="1">
        <v>6199.68</v>
      </c>
      <c r="L4556" s="1">
        <v>10</v>
      </c>
      <c r="M4556" s="1">
        <v>619.97</v>
      </c>
      <c r="N4556" s="1">
        <v>5579.71</v>
      </c>
      <c r="O4556" s="1" t="s">
        <v>64</v>
      </c>
      <c r="P4556" s="1" t="s">
        <v>3230</v>
      </c>
      <c r="Q4556" s="1">
        <v>5</v>
      </c>
      <c r="R4556" s="1">
        <f>Retail_Sales_Analyis[[#This Row],[Final_Price]]-Retail_Sales_Analyis[[#This Row],[Total_Price]]</f>
        <v>-619.97000000000025</v>
      </c>
      <c r="S45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57" spans="1:19" x14ac:dyDescent="0.25">
      <c r="A4557" s="1" t="s">
        <v>5688</v>
      </c>
      <c r="B4557" s="2">
        <v>45476</v>
      </c>
      <c r="C4557" s="1" t="s">
        <v>195</v>
      </c>
      <c r="D4557" s="1" t="s">
        <v>55</v>
      </c>
      <c r="E4557" s="1" t="s">
        <v>312</v>
      </c>
      <c r="F4557" s="1" t="s">
        <v>21</v>
      </c>
      <c r="G4557" s="1" t="s">
        <v>38</v>
      </c>
      <c r="H4557" s="1" t="s">
        <v>70</v>
      </c>
      <c r="I4557" s="1">
        <v>155.47999999999999</v>
      </c>
      <c r="J4557" s="1">
        <v>3</v>
      </c>
      <c r="K4557" s="1">
        <v>466.44</v>
      </c>
      <c r="L4557" s="1">
        <v>20</v>
      </c>
      <c r="M4557" s="1">
        <v>93.29</v>
      </c>
      <c r="N4557" s="1">
        <v>373.15</v>
      </c>
      <c r="O4557" s="1" t="s">
        <v>80</v>
      </c>
      <c r="P4557" s="1" t="s">
        <v>830</v>
      </c>
      <c r="Q4557" s="1">
        <v>4</v>
      </c>
      <c r="R4557" s="1">
        <f>Retail_Sales_Analyis[[#This Row],[Final_Price]]-Retail_Sales_Analyis[[#This Row],[Total_Price]]</f>
        <v>-93.29000000000002</v>
      </c>
      <c r="S455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58" spans="1:19" x14ac:dyDescent="0.25">
      <c r="A4558" s="1" t="s">
        <v>5689</v>
      </c>
      <c r="B4558" s="2">
        <v>45652</v>
      </c>
      <c r="C4558" s="1" t="s">
        <v>73</v>
      </c>
      <c r="D4558" s="1" t="s">
        <v>67</v>
      </c>
      <c r="E4558" s="1" t="s">
        <v>111</v>
      </c>
      <c r="F4558" s="1" t="s">
        <v>30</v>
      </c>
      <c r="G4558" s="1" t="s">
        <v>31</v>
      </c>
      <c r="H4558" s="1" t="s">
        <v>32</v>
      </c>
      <c r="I4558" s="1">
        <v>165.7</v>
      </c>
      <c r="J4558" s="1">
        <v>9</v>
      </c>
      <c r="K4558" s="1">
        <v>1491.3</v>
      </c>
      <c r="L4558" s="1">
        <v>5</v>
      </c>
      <c r="M4558" s="1">
        <v>74.56</v>
      </c>
      <c r="N4558" s="1">
        <v>1416.74</v>
      </c>
      <c r="O4558" s="1" t="s">
        <v>80</v>
      </c>
      <c r="P4558" s="1" t="s">
        <v>4578</v>
      </c>
      <c r="Q4558" s="1">
        <v>1</v>
      </c>
      <c r="R4558" s="1">
        <f>Retail_Sales_Analyis[[#This Row],[Final_Price]]-Retail_Sales_Analyis[[#This Row],[Total_Price]]</f>
        <v>-74.559999999999945</v>
      </c>
      <c r="S45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59" spans="1:19" x14ac:dyDescent="0.25">
      <c r="A4559" s="1" t="s">
        <v>5690</v>
      </c>
      <c r="B4559" s="2">
        <v>45393</v>
      </c>
      <c r="C4559" s="1" t="s">
        <v>54</v>
      </c>
      <c r="D4559" s="1" t="s">
        <v>67</v>
      </c>
      <c r="E4559" s="1" t="s">
        <v>121</v>
      </c>
      <c r="F4559" s="1" t="s">
        <v>30</v>
      </c>
      <c r="G4559" s="1" t="s">
        <v>31</v>
      </c>
      <c r="H4559" s="1" t="s">
        <v>32</v>
      </c>
      <c r="I4559" s="1">
        <v>367.23</v>
      </c>
      <c r="J4559" s="1">
        <v>3</v>
      </c>
      <c r="K4559" s="1">
        <v>1101.69</v>
      </c>
      <c r="L4559" s="1">
        <v>10</v>
      </c>
      <c r="M4559" s="1">
        <v>110.17</v>
      </c>
      <c r="N4559" s="1">
        <v>991.52</v>
      </c>
      <c r="O4559" s="1" t="s">
        <v>33</v>
      </c>
      <c r="P4559" s="1" t="s">
        <v>975</v>
      </c>
      <c r="Q4559" s="1">
        <v>5</v>
      </c>
      <c r="R4559" s="1">
        <f>Retail_Sales_Analyis[[#This Row],[Final_Price]]-Retail_Sales_Analyis[[#This Row],[Total_Price]]</f>
        <v>-110.17000000000007</v>
      </c>
      <c r="S45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60" spans="1:19" x14ac:dyDescent="0.25">
      <c r="A4560" s="1" t="s">
        <v>5691</v>
      </c>
      <c r="B4560" s="2">
        <v>45432</v>
      </c>
      <c r="C4560" s="1" t="s">
        <v>42</v>
      </c>
      <c r="D4560" s="1" t="s">
        <v>43</v>
      </c>
      <c r="E4560" s="1" t="s">
        <v>111</v>
      </c>
      <c r="F4560" s="1" t="s">
        <v>21</v>
      </c>
      <c r="G4560" s="1" t="s">
        <v>38</v>
      </c>
      <c r="H4560" s="1" t="s">
        <v>39</v>
      </c>
      <c r="I4560" s="1">
        <v>620.55999999999995</v>
      </c>
      <c r="J4560" s="1">
        <v>8</v>
      </c>
      <c r="K4560" s="1">
        <v>4964.4799999999996</v>
      </c>
      <c r="L4560" s="1">
        <v>0</v>
      </c>
      <c r="M4560" s="1">
        <v>0</v>
      </c>
      <c r="N4560" s="1">
        <v>4964.4799999999996</v>
      </c>
      <c r="O4560" s="1" t="s">
        <v>24</v>
      </c>
      <c r="P4560" s="1" t="s">
        <v>4578</v>
      </c>
      <c r="Q4560" s="1">
        <v>5</v>
      </c>
      <c r="R4560" s="1">
        <f>Retail_Sales_Analyis[[#This Row],[Final_Price]]-Retail_Sales_Analyis[[#This Row],[Total_Price]]</f>
        <v>0</v>
      </c>
      <c r="S45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61" spans="1:19" x14ac:dyDescent="0.25">
      <c r="A4561" s="1" t="s">
        <v>5692</v>
      </c>
      <c r="B4561" s="2">
        <v>45480</v>
      </c>
      <c r="C4561" s="1" t="s">
        <v>195</v>
      </c>
      <c r="D4561" s="1" t="s">
        <v>49</v>
      </c>
      <c r="E4561" s="1" t="s">
        <v>192</v>
      </c>
      <c r="F4561" s="1" t="s">
        <v>21</v>
      </c>
      <c r="G4561" s="1" t="s">
        <v>38</v>
      </c>
      <c r="H4561" s="1" t="s">
        <v>39</v>
      </c>
      <c r="I4561" s="1">
        <v>284.70999999999998</v>
      </c>
      <c r="J4561" s="1">
        <v>1</v>
      </c>
      <c r="K4561" s="1">
        <v>284.70999999999998</v>
      </c>
      <c r="L4561" s="1">
        <v>5</v>
      </c>
      <c r="M4561" s="1">
        <v>14.24</v>
      </c>
      <c r="N4561" s="1">
        <v>270.47000000000003</v>
      </c>
      <c r="O4561" s="1" t="s">
        <v>24</v>
      </c>
      <c r="P4561" s="1" t="s">
        <v>767</v>
      </c>
      <c r="Q4561" s="1">
        <v>5</v>
      </c>
      <c r="R4561" s="1">
        <f>Retail_Sales_Analyis[[#This Row],[Final_Price]]-Retail_Sales_Analyis[[#This Row],[Total_Price]]</f>
        <v>-14.239999999999952</v>
      </c>
      <c r="S45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62" spans="1:19" x14ac:dyDescent="0.25">
      <c r="A4562" s="1" t="s">
        <v>5693</v>
      </c>
      <c r="B4562" s="2">
        <v>45529</v>
      </c>
      <c r="C4562" s="1" t="s">
        <v>93</v>
      </c>
      <c r="D4562" s="1" t="s">
        <v>49</v>
      </c>
      <c r="E4562" s="1" t="s">
        <v>302</v>
      </c>
      <c r="F4562" s="1" t="s">
        <v>30</v>
      </c>
      <c r="G4562" s="1" t="s">
        <v>38</v>
      </c>
      <c r="H4562" s="1" t="s">
        <v>214</v>
      </c>
      <c r="I4562" s="1">
        <v>650.70000000000005</v>
      </c>
      <c r="J4562" s="1">
        <v>4</v>
      </c>
      <c r="K4562" s="1">
        <v>2602.8000000000002</v>
      </c>
      <c r="L4562" s="1">
        <v>5</v>
      </c>
      <c r="M4562" s="1">
        <v>130.13999999999999</v>
      </c>
      <c r="N4562" s="1">
        <v>2472.66</v>
      </c>
      <c r="O4562" s="1" t="s">
        <v>24</v>
      </c>
      <c r="P4562" s="1" t="s">
        <v>1659</v>
      </c>
      <c r="Q4562" s="1">
        <v>2</v>
      </c>
      <c r="R4562" s="1">
        <f>Retail_Sales_Analyis[[#This Row],[Final_Price]]-Retail_Sales_Analyis[[#This Row],[Total_Price]]</f>
        <v>-130.14000000000033</v>
      </c>
      <c r="S456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63" spans="1:19" x14ac:dyDescent="0.25">
      <c r="A4563" s="1" t="s">
        <v>5694</v>
      </c>
      <c r="B4563" s="2">
        <v>45550</v>
      </c>
      <c r="C4563" s="1" t="s">
        <v>116</v>
      </c>
      <c r="D4563" s="1" t="s">
        <v>49</v>
      </c>
      <c r="E4563" s="1" t="s">
        <v>337</v>
      </c>
      <c r="F4563" s="1" t="s">
        <v>37</v>
      </c>
      <c r="G4563" s="1" t="s">
        <v>169</v>
      </c>
      <c r="H4563" s="1" t="s">
        <v>175</v>
      </c>
      <c r="I4563" s="1">
        <v>1044.3900000000001</v>
      </c>
      <c r="J4563" s="1">
        <v>4</v>
      </c>
      <c r="K4563" s="1">
        <v>4177.5600000000004</v>
      </c>
      <c r="L4563" s="1">
        <v>20</v>
      </c>
      <c r="M4563" s="1">
        <v>835.51</v>
      </c>
      <c r="N4563" s="1">
        <v>3342.05</v>
      </c>
      <c r="O4563" s="1" t="s">
        <v>46</v>
      </c>
      <c r="P4563" s="1" t="s">
        <v>846</v>
      </c>
      <c r="Q4563" s="1">
        <v>3</v>
      </c>
      <c r="R4563" s="1">
        <f>Retail_Sales_Analyis[[#This Row],[Final_Price]]-Retail_Sales_Analyis[[#This Row],[Total_Price]]</f>
        <v>-835.51000000000022</v>
      </c>
      <c r="S45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64" spans="1:19" x14ac:dyDescent="0.25">
      <c r="A4564" s="1" t="s">
        <v>5695</v>
      </c>
      <c r="B4564" s="2">
        <v>45495</v>
      </c>
      <c r="C4564" s="1" t="s">
        <v>195</v>
      </c>
      <c r="D4564" s="1" t="s">
        <v>43</v>
      </c>
      <c r="E4564" s="1" t="s">
        <v>322</v>
      </c>
      <c r="F4564" s="1" t="s">
        <v>30</v>
      </c>
      <c r="G4564" s="1" t="s">
        <v>57</v>
      </c>
      <c r="H4564" s="1" t="s">
        <v>158</v>
      </c>
      <c r="I4564" s="1">
        <v>785.27</v>
      </c>
      <c r="J4564" s="1">
        <v>2</v>
      </c>
      <c r="K4564" s="1">
        <v>1570.54</v>
      </c>
      <c r="L4564" s="1">
        <v>15</v>
      </c>
      <c r="M4564" s="1">
        <v>235.58</v>
      </c>
      <c r="N4564" s="1">
        <v>1334.96</v>
      </c>
      <c r="O4564" s="1" t="s">
        <v>24</v>
      </c>
      <c r="P4564" s="1" t="s">
        <v>1584</v>
      </c>
      <c r="Q4564" s="1">
        <v>1</v>
      </c>
      <c r="R4564" s="1">
        <f>Retail_Sales_Analyis[[#This Row],[Final_Price]]-Retail_Sales_Analyis[[#This Row],[Total_Price]]</f>
        <v>-235.57999999999993</v>
      </c>
      <c r="S456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65" spans="1:19" x14ac:dyDescent="0.25">
      <c r="A4565" s="1" t="s">
        <v>5696</v>
      </c>
      <c r="B4565" s="2">
        <v>45617</v>
      </c>
      <c r="C4565" s="1" t="s">
        <v>18</v>
      </c>
      <c r="D4565" s="1" t="s">
        <v>67</v>
      </c>
      <c r="E4565" s="1" t="s">
        <v>111</v>
      </c>
      <c r="F4565" s="1" t="s">
        <v>37</v>
      </c>
      <c r="G4565" s="1" t="s">
        <v>38</v>
      </c>
      <c r="H4565" s="1" t="s">
        <v>422</v>
      </c>
      <c r="I4565" s="1">
        <v>376.97</v>
      </c>
      <c r="J4565" s="1">
        <v>4</v>
      </c>
      <c r="K4565" s="1">
        <v>1507.88</v>
      </c>
      <c r="L4565" s="1">
        <v>0</v>
      </c>
      <c r="M4565" s="1">
        <v>0</v>
      </c>
      <c r="N4565" s="1">
        <v>1507.88</v>
      </c>
      <c r="O4565" s="1" t="s">
        <v>64</v>
      </c>
      <c r="P4565" s="1" t="s">
        <v>153</v>
      </c>
      <c r="Q4565" s="1">
        <v>4</v>
      </c>
      <c r="R4565" s="1">
        <f>Retail_Sales_Analyis[[#This Row],[Final_Price]]-Retail_Sales_Analyis[[#This Row],[Total_Price]]</f>
        <v>0</v>
      </c>
      <c r="S45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66" spans="1:19" x14ac:dyDescent="0.25">
      <c r="A4566" s="1" t="s">
        <v>5697</v>
      </c>
      <c r="B4566" s="2">
        <v>45355</v>
      </c>
      <c r="C4566" s="1" t="s">
        <v>61</v>
      </c>
      <c r="D4566" s="1" t="s">
        <v>43</v>
      </c>
      <c r="E4566" s="1" t="s">
        <v>261</v>
      </c>
      <c r="F4566" s="1" t="s">
        <v>37</v>
      </c>
      <c r="G4566" s="1" t="s">
        <v>169</v>
      </c>
      <c r="H4566" s="1" t="s">
        <v>348</v>
      </c>
      <c r="I4566" s="1">
        <v>630.28</v>
      </c>
      <c r="J4566" s="1">
        <v>4</v>
      </c>
      <c r="K4566" s="1">
        <v>2521.12</v>
      </c>
      <c r="L4566" s="1">
        <v>0</v>
      </c>
      <c r="M4566" s="1">
        <v>0</v>
      </c>
      <c r="N4566" s="1">
        <v>2521.12</v>
      </c>
      <c r="O4566" s="1" t="s">
        <v>33</v>
      </c>
      <c r="P4566" s="1" t="s">
        <v>928</v>
      </c>
      <c r="Q4566" s="1">
        <v>3</v>
      </c>
      <c r="R4566" s="1">
        <f>Retail_Sales_Analyis[[#This Row],[Final_Price]]-Retail_Sales_Analyis[[#This Row],[Total_Price]]</f>
        <v>0</v>
      </c>
      <c r="S45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67" spans="1:19" x14ac:dyDescent="0.25">
      <c r="A4567" s="1" t="s">
        <v>5698</v>
      </c>
      <c r="B4567" s="2">
        <v>45640</v>
      </c>
      <c r="C4567" s="1" t="s">
        <v>73</v>
      </c>
      <c r="D4567" s="1" t="s">
        <v>19</v>
      </c>
      <c r="E4567" s="1" t="s">
        <v>56</v>
      </c>
      <c r="F4567" s="1" t="s">
        <v>21</v>
      </c>
      <c r="G4567" s="1" t="s">
        <v>31</v>
      </c>
      <c r="H4567" s="1" t="s">
        <v>250</v>
      </c>
      <c r="I4567" s="1">
        <v>53.07</v>
      </c>
      <c r="J4567" s="1">
        <v>2</v>
      </c>
      <c r="K4567" s="1">
        <v>106.14</v>
      </c>
      <c r="L4567" s="1">
        <v>15</v>
      </c>
      <c r="M4567" s="1">
        <v>15.92</v>
      </c>
      <c r="N4567" s="1">
        <v>90.22</v>
      </c>
      <c r="O4567" s="1" t="s">
        <v>33</v>
      </c>
      <c r="P4567" s="1" t="s">
        <v>457</v>
      </c>
      <c r="Q4567" s="1">
        <v>2</v>
      </c>
      <c r="R4567" s="1">
        <f>Retail_Sales_Analyis[[#This Row],[Final_Price]]-Retail_Sales_Analyis[[#This Row],[Total_Price]]</f>
        <v>-15.920000000000002</v>
      </c>
      <c r="S45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68" spans="1:19" x14ac:dyDescent="0.25">
      <c r="A4568" s="1" t="s">
        <v>5699</v>
      </c>
      <c r="B4568" s="2">
        <v>45307</v>
      </c>
      <c r="C4568" s="1" t="s">
        <v>36</v>
      </c>
      <c r="D4568" s="1" t="s">
        <v>28</v>
      </c>
      <c r="E4568" s="1" t="s">
        <v>236</v>
      </c>
      <c r="F4568" s="1" t="s">
        <v>69</v>
      </c>
      <c r="G4568" s="1" t="s">
        <v>31</v>
      </c>
      <c r="H4568" s="1" t="s">
        <v>329</v>
      </c>
      <c r="I4568" s="1">
        <v>87.54</v>
      </c>
      <c r="J4568" s="1">
        <v>1</v>
      </c>
      <c r="K4568" s="1">
        <v>87.54</v>
      </c>
      <c r="L4568" s="1">
        <v>0</v>
      </c>
      <c r="M4568" s="1">
        <v>0</v>
      </c>
      <c r="N4568" s="1">
        <v>87.54</v>
      </c>
      <c r="O4568" s="1" t="s">
        <v>46</v>
      </c>
      <c r="P4568" s="1" t="s">
        <v>1056</v>
      </c>
      <c r="Q4568" s="1">
        <v>5</v>
      </c>
      <c r="R4568" s="1">
        <f>Retail_Sales_Analyis[[#This Row],[Final_Price]]-Retail_Sales_Analyis[[#This Row],[Total_Price]]</f>
        <v>0</v>
      </c>
      <c r="S45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69" spans="1:19" x14ac:dyDescent="0.25">
      <c r="A4569" s="1" t="s">
        <v>5700</v>
      </c>
      <c r="B4569" s="2">
        <v>45415</v>
      </c>
      <c r="C4569" s="1" t="s">
        <v>42</v>
      </c>
      <c r="D4569" s="1" t="s">
        <v>144</v>
      </c>
      <c r="E4569" s="1" t="s">
        <v>157</v>
      </c>
      <c r="F4569" s="1" t="s">
        <v>37</v>
      </c>
      <c r="G4569" s="1" t="s">
        <v>169</v>
      </c>
      <c r="H4569" s="1" t="s">
        <v>170</v>
      </c>
      <c r="I4569" s="1">
        <v>1039.9000000000001</v>
      </c>
      <c r="J4569" s="1">
        <v>3</v>
      </c>
      <c r="K4569" s="1">
        <v>3119.7</v>
      </c>
      <c r="L4569" s="1">
        <v>20</v>
      </c>
      <c r="M4569" s="1">
        <v>623.94000000000005</v>
      </c>
      <c r="N4569" s="1">
        <v>2495.7600000000002</v>
      </c>
      <c r="O4569" s="1" t="s">
        <v>64</v>
      </c>
      <c r="P4569" s="1" t="s">
        <v>407</v>
      </c>
      <c r="Q4569" s="1">
        <v>3</v>
      </c>
      <c r="R4569" s="1">
        <f>Retail_Sales_Analyis[[#This Row],[Final_Price]]-Retail_Sales_Analyis[[#This Row],[Total_Price]]</f>
        <v>-623.9399999999996</v>
      </c>
      <c r="S456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70" spans="1:19" x14ac:dyDescent="0.25">
      <c r="A4570" s="1" t="s">
        <v>5701</v>
      </c>
      <c r="B4570" s="2">
        <v>45482</v>
      </c>
      <c r="C4570" s="1" t="s">
        <v>195</v>
      </c>
      <c r="D4570" s="1" t="s">
        <v>28</v>
      </c>
      <c r="E4570" s="1" t="s">
        <v>207</v>
      </c>
      <c r="F4570" s="1" t="s">
        <v>37</v>
      </c>
      <c r="G4570" s="1" t="s">
        <v>169</v>
      </c>
      <c r="H4570" s="1" t="s">
        <v>366</v>
      </c>
      <c r="I4570" s="1">
        <v>929.06</v>
      </c>
      <c r="J4570" s="1">
        <v>6</v>
      </c>
      <c r="K4570" s="1">
        <v>5574.36</v>
      </c>
      <c r="L4570" s="1">
        <v>0</v>
      </c>
      <c r="M4570" s="1">
        <v>0</v>
      </c>
      <c r="N4570" s="1">
        <v>5574.36</v>
      </c>
      <c r="O4570" s="1" t="s">
        <v>80</v>
      </c>
      <c r="P4570" s="1" t="s">
        <v>2425</v>
      </c>
      <c r="Q4570" s="1">
        <v>4</v>
      </c>
      <c r="R4570" s="1">
        <f>Retail_Sales_Analyis[[#This Row],[Final_Price]]-Retail_Sales_Analyis[[#This Row],[Total_Price]]</f>
        <v>0</v>
      </c>
      <c r="S45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71" spans="1:19" x14ac:dyDescent="0.25">
      <c r="A4571" s="1" t="s">
        <v>5702</v>
      </c>
      <c r="B4571" s="2">
        <v>45542</v>
      </c>
      <c r="C4571" s="1" t="s">
        <v>116</v>
      </c>
      <c r="D4571" s="1" t="s">
        <v>19</v>
      </c>
      <c r="E4571" s="1" t="s">
        <v>204</v>
      </c>
      <c r="F4571" s="1" t="s">
        <v>37</v>
      </c>
      <c r="G4571" s="1" t="s">
        <v>78</v>
      </c>
      <c r="H4571" s="1" t="s">
        <v>79</v>
      </c>
      <c r="I4571" s="1">
        <v>589.13</v>
      </c>
      <c r="J4571" s="1">
        <v>5</v>
      </c>
      <c r="K4571" s="1">
        <v>2945.65</v>
      </c>
      <c r="L4571" s="1">
        <v>0</v>
      </c>
      <c r="M4571" s="1">
        <v>0</v>
      </c>
      <c r="N4571" s="1">
        <v>2945.65</v>
      </c>
      <c r="O4571" s="1" t="s">
        <v>46</v>
      </c>
      <c r="P4571" s="1" t="s">
        <v>723</v>
      </c>
      <c r="Q4571" s="1">
        <v>5</v>
      </c>
      <c r="R4571" s="1">
        <f>Retail_Sales_Analyis[[#This Row],[Final_Price]]-Retail_Sales_Analyis[[#This Row],[Total_Price]]</f>
        <v>0</v>
      </c>
      <c r="S45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72" spans="1:19" x14ac:dyDescent="0.25">
      <c r="A4572" s="1" t="s">
        <v>5703</v>
      </c>
      <c r="B4572" s="2">
        <v>45596</v>
      </c>
      <c r="C4572" s="1" t="s">
        <v>76</v>
      </c>
      <c r="D4572" s="1" t="s">
        <v>67</v>
      </c>
      <c r="E4572" s="1" t="s">
        <v>351</v>
      </c>
      <c r="F4572" s="1" t="s">
        <v>30</v>
      </c>
      <c r="G4572" s="1" t="s">
        <v>38</v>
      </c>
      <c r="H4572" s="1" t="s">
        <v>108</v>
      </c>
      <c r="I4572" s="1">
        <v>158.41999999999999</v>
      </c>
      <c r="J4572" s="1">
        <v>9</v>
      </c>
      <c r="K4572" s="1">
        <v>1425.78</v>
      </c>
      <c r="L4572" s="1">
        <v>15</v>
      </c>
      <c r="M4572" s="1">
        <v>213.87</v>
      </c>
      <c r="N4572" s="1">
        <v>1211.9100000000001</v>
      </c>
      <c r="O4572" s="1" t="s">
        <v>24</v>
      </c>
      <c r="P4572" s="1" t="s">
        <v>1261</v>
      </c>
      <c r="Q4572" s="1">
        <v>1</v>
      </c>
      <c r="R4572" s="1">
        <f>Retail_Sales_Analyis[[#This Row],[Final_Price]]-Retail_Sales_Analyis[[#This Row],[Total_Price]]</f>
        <v>-213.86999999999989</v>
      </c>
      <c r="S45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73" spans="1:19" x14ac:dyDescent="0.25">
      <c r="A4573" s="1" t="s">
        <v>5704</v>
      </c>
      <c r="B4573" s="2">
        <v>45520</v>
      </c>
      <c r="C4573" s="1" t="s">
        <v>93</v>
      </c>
      <c r="D4573" s="1" t="s">
        <v>144</v>
      </c>
      <c r="E4573" s="1" t="s">
        <v>166</v>
      </c>
      <c r="F4573" s="1" t="s">
        <v>84</v>
      </c>
      <c r="G4573" s="1" t="s">
        <v>169</v>
      </c>
      <c r="H4573" s="1" t="s">
        <v>175</v>
      </c>
      <c r="I4573" s="1">
        <v>1195.6300000000001</v>
      </c>
      <c r="J4573" s="1">
        <v>2</v>
      </c>
      <c r="K4573" s="1">
        <v>2391.2600000000002</v>
      </c>
      <c r="L4573" s="1">
        <v>15</v>
      </c>
      <c r="M4573" s="1">
        <v>358.69</v>
      </c>
      <c r="N4573" s="1">
        <v>2032.57</v>
      </c>
      <c r="O4573" s="1" t="s">
        <v>24</v>
      </c>
      <c r="P4573" s="1" t="s">
        <v>1000</v>
      </c>
      <c r="Q4573" s="1">
        <v>5</v>
      </c>
      <c r="R4573" s="1">
        <f>Retail_Sales_Analyis[[#This Row],[Final_Price]]-Retail_Sales_Analyis[[#This Row],[Total_Price]]</f>
        <v>-358.69000000000028</v>
      </c>
      <c r="S45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74" spans="1:19" x14ac:dyDescent="0.25">
      <c r="A4574" s="1" t="s">
        <v>5705</v>
      </c>
      <c r="B4574" s="2">
        <v>45382</v>
      </c>
      <c r="C4574" s="1" t="s">
        <v>61</v>
      </c>
      <c r="D4574" s="1" t="s">
        <v>49</v>
      </c>
      <c r="E4574" s="1" t="s">
        <v>77</v>
      </c>
      <c r="F4574" s="1" t="s">
        <v>21</v>
      </c>
      <c r="G4574" s="1" t="s">
        <v>22</v>
      </c>
      <c r="H4574" s="1" t="s">
        <v>133</v>
      </c>
      <c r="I4574" s="1">
        <v>864.42</v>
      </c>
      <c r="J4574" s="1">
        <v>3</v>
      </c>
      <c r="K4574" s="1">
        <v>2593.2600000000002</v>
      </c>
      <c r="L4574" s="1">
        <v>5</v>
      </c>
      <c r="M4574" s="1">
        <v>129.66</v>
      </c>
      <c r="N4574" s="1">
        <v>2463.6</v>
      </c>
      <c r="O4574" s="1" t="s">
        <v>33</v>
      </c>
      <c r="P4574" s="1" t="s">
        <v>2201</v>
      </c>
      <c r="Q4574" s="1">
        <v>5</v>
      </c>
      <c r="R4574" s="1">
        <f>Retail_Sales_Analyis[[#This Row],[Final_Price]]-Retail_Sales_Analyis[[#This Row],[Total_Price]]</f>
        <v>-129.66000000000031</v>
      </c>
      <c r="S457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75" spans="1:19" x14ac:dyDescent="0.25">
      <c r="A4575" s="1" t="s">
        <v>5706</v>
      </c>
      <c r="B4575" s="2">
        <v>45534</v>
      </c>
      <c r="C4575" s="1" t="s">
        <v>93</v>
      </c>
      <c r="D4575" s="1" t="s">
        <v>144</v>
      </c>
      <c r="E4575" s="1" t="s">
        <v>166</v>
      </c>
      <c r="F4575" s="1" t="s">
        <v>30</v>
      </c>
      <c r="G4575" s="1" t="s">
        <v>38</v>
      </c>
      <c r="H4575" s="1" t="s">
        <v>108</v>
      </c>
      <c r="I4575" s="1">
        <v>797.68</v>
      </c>
      <c r="J4575" s="1">
        <v>10</v>
      </c>
      <c r="K4575" s="1">
        <v>7976.8</v>
      </c>
      <c r="L4575" s="1">
        <v>5</v>
      </c>
      <c r="M4575" s="1">
        <v>398.84</v>
      </c>
      <c r="N4575" s="1">
        <v>7577.96</v>
      </c>
      <c r="O4575" s="1" t="s">
        <v>33</v>
      </c>
      <c r="P4575" s="1" t="s">
        <v>1067</v>
      </c>
      <c r="Q4575" s="1">
        <v>1</v>
      </c>
      <c r="R4575" s="1">
        <f>Retail_Sales_Analyis[[#This Row],[Final_Price]]-Retail_Sales_Analyis[[#This Row],[Total_Price]]</f>
        <v>-398.84000000000015</v>
      </c>
      <c r="S457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76" spans="1:19" x14ac:dyDescent="0.25">
      <c r="A4576" s="1" t="s">
        <v>5707</v>
      </c>
      <c r="B4576" s="2">
        <v>45592</v>
      </c>
      <c r="C4576" s="1" t="s">
        <v>76</v>
      </c>
      <c r="D4576" s="1" t="s">
        <v>49</v>
      </c>
      <c r="E4576" s="1" t="s">
        <v>236</v>
      </c>
      <c r="F4576" s="1" t="s">
        <v>21</v>
      </c>
      <c r="G4576" s="1" t="s">
        <v>78</v>
      </c>
      <c r="H4576" s="1" t="s">
        <v>136</v>
      </c>
      <c r="I4576" s="1">
        <v>217.35</v>
      </c>
      <c r="J4576" s="1">
        <v>8</v>
      </c>
      <c r="K4576" s="1">
        <v>1738.8</v>
      </c>
      <c r="L4576" s="1">
        <v>0</v>
      </c>
      <c r="M4576" s="1">
        <v>0</v>
      </c>
      <c r="N4576" s="1">
        <v>1738.8</v>
      </c>
      <c r="O4576" s="1" t="s">
        <v>24</v>
      </c>
      <c r="P4576" s="1" t="s">
        <v>2076</v>
      </c>
      <c r="Q4576" s="1">
        <v>3</v>
      </c>
      <c r="R4576" s="1">
        <f>Retail_Sales_Analyis[[#This Row],[Final_Price]]-Retail_Sales_Analyis[[#This Row],[Total_Price]]</f>
        <v>0</v>
      </c>
      <c r="S45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77" spans="1:19" x14ac:dyDescent="0.25">
      <c r="A4577" s="1" t="s">
        <v>5708</v>
      </c>
      <c r="B4577" s="2">
        <v>45574</v>
      </c>
      <c r="C4577" s="1" t="s">
        <v>76</v>
      </c>
      <c r="D4577" s="1" t="s">
        <v>55</v>
      </c>
      <c r="E4577" s="1" t="s">
        <v>261</v>
      </c>
      <c r="F4577" s="1" t="s">
        <v>37</v>
      </c>
      <c r="G4577" s="1" t="s">
        <v>22</v>
      </c>
      <c r="H4577" s="1" t="s">
        <v>277</v>
      </c>
      <c r="I4577" s="1">
        <v>805.7</v>
      </c>
      <c r="J4577" s="1">
        <v>7</v>
      </c>
      <c r="K4577" s="1">
        <v>5639.9</v>
      </c>
      <c r="L4577" s="1">
        <v>10</v>
      </c>
      <c r="M4577" s="1">
        <v>563.99</v>
      </c>
      <c r="N4577" s="1">
        <v>5075.91</v>
      </c>
      <c r="O4577" s="1" t="s">
        <v>46</v>
      </c>
      <c r="P4577" s="1" t="s">
        <v>87</v>
      </c>
      <c r="Q4577" s="1">
        <v>5</v>
      </c>
      <c r="R4577" s="1">
        <f>Retail_Sales_Analyis[[#This Row],[Final_Price]]-Retail_Sales_Analyis[[#This Row],[Total_Price]]</f>
        <v>-563.98999999999978</v>
      </c>
      <c r="S45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78" spans="1:19" x14ac:dyDescent="0.25">
      <c r="A4578" s="1" t="s">
        <v>5709</v>
      </c>
      <c r="B4578" s="2">
        <v>45471</v>
      </c>
      <c r="C4578" s="1" t="s">
        <v>173</v>
      </c>
      <c r="D4578" s="1" t="s">
        <v>144</v>
      </c>
      <c r="E4578" s="1" t="s">
        <v>44</v>
      </c>
      <c r="F4578" s="1" t="s">
        <v>69</v>
      </c>
      <c r="G4578" s="1" t="s">
        <v>31</v>
      </c>
      <c r="H4578" s="1" t="s">
        <v>63</v>
      </c>
      <c r="I4578" s="1">
        <v>433.73</v>
      </c>
      <c r="J4578" s="1">
        <v>2</v>
      </c>
      <c r="K4578" s="1">
        <v>867.46</v>
      </c>
      <c r="L4578" s="1">
        <v>15</v>
      </c>
      <c r="M4578" s="1">
        <v>130.12</v>
      </c>
      <c r="N4578" s="1">
        <v>737.34</v>
      </c>
      <c r="O4578" s="1" t="s">
        <v>80</v>
      </c>
      <c r="P4578" s="1" t="s">
        <v>562</v>
      </c>
      <c r="Q4578" s="1">
        <v>2</v>
      </c>
      <c r="R4578" s="1">
        <f>Retail_Sales_Analyis[[#This Row],[Final_Price]]-Retail_Sales_Analyis[[#This Row],[Total_Price]]</f>
        <v>-130.12</v>
      </c>
      <c r="S45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79" spans="1:19" x14ac:dyDescent="0.25">
      <c r="A4579" s="1" t="s">
        <v>5710</v>
      </c>
      <c r="B4579" s="2">
        <v>45468</v>
      </c>
      <c r="C4579" s="1" t="s">
        <v>173</v>
      </c>
      <c r="D4579" s="1" t="s">
        <v>28</v>
      </c>
      <c r="E4579" s="1" t="s">
        <v>163</v>
      </c>
      <c r="F4579" s="1" t="s">
        <v>37</v>
      </c>
      <c r="G4579" s="1" t="s">
        <v>169</v>
      </c>
      <c r="H4579" s="1" t="s">
        <v>175</v>
      </c>
      <c r="I4579" s="1">
        <v>974.11</v>
      </c>
      <c r="J4579" s="1">
        <v>2</v>
      </c>
      <c r="K4579" s="1">
        <v>1948.22</v>
      </c>
      <c r="L4579" s="1">
        <v>5</v>
      </c>
      <c r="M4579" s="1">
        <v>97.41</v>
      </c>
      <c r="N4579" s="1">
        <v>1850.81</v>
      </c>
      <c r="O4579" s="1" t="s">
        <v>24</v>
      </c>
      <c r="P4579" s="1" t="s">
        <v>2872</v>
      </c>
      <c r="Q4579" s="1">
        <v>3</v>
      </c>
      <c r="R4579" s="1">
        <f>Retail_Sales_Analyis[[#This Row],[Final_Price]]-Retail_Sales_Analyis[[#This Row],[Total_Price]]</f>
        <v>-97.410000000000082</v>
      </c>
      <c r="S457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580" spans="1:19" x14ac:dyDescent="0.25">
      <c r="A4580" s="1" t="s">
        <v>5711</v>
      </c>
      <c r="B4580" s="2">
        <v>45375</v>
      </c>
      <c r="C4580" s="1" t="s">
        <v>61</v>
      </c>
      <c r="D4580" s="1" t="s">
        <v>49</v>
      </c>
      <c r="E4580" s="1" t="s">
        <v>163</v>
      </c>
      <c r="F4580" s="1" t="s">
        <v>21</v>
      </c>
      <c r="G4580" s="1" t="s">
        <v>169</v>
      </c>
      <c r="H4580" s="1" t="s">
        <v>170</v>
      </c>
      <c r="I4580" s="1">
        <v>899.06</v>
      </c>
      <c r="J4580" s="1">
        <v>6</v>
      </c>
      <c r="K4580" s="1">
        <v>5394.36</v>
      </c>
      <c r="L4580" s="1">
        <v>0</v>
      </c>
      <c r="M4580" s="1">
        <v>0</v>
      </c>
      <c r="N4580" s="1">
        <v>5394.36</v>
      </c>
      <c r="O4580" s="1" t="s">
        <v>33</v>
      </c>
      <c r="P4580" s="1" t="s">
        <v>710</v>
      </c>
      <c r="Q4580" s="1">
        <v>1</v>
      </c>
      <c r="R4580" s="1">
        <f>Retail_Sales_Analyis[[#This Row],[Final_Price]]-Retail_Sales_Analyis[[#This Row],[Total_Price]]</f>
        <v>0</v>
      </c>
      <c r="S45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1" spans="1:19" x14ac:dyDescent="0.25">
      <c r="A4581" s="1" t="s">
        <v>5712</v>
      </c>
      <c r="B4581" s="2">
        <v>45424</v>
      </c>
      <c r="C4581" s="1" t="s">
        <v>42</v>
      </c>
      <c r="D4581" s="1" t="s">
        <v>49</v>
      </c>
      <c r="E4581" s="1" t="s">
        <v>204</v>
      </c>
      <c r="F4581" s="1" t="s">
        <v>30</v>
      </c>
      <c r="G4581" s="1" t="s">
        <v>31</v>
      </c>
      <c r="H4581" s="1" t="s">
        <v>45</v>
      </c>
      <c r="I4581" s="1">
        <v>221.64</v>
      </c>
      <c r="J4581" s="1">
        <v>6</v>
      </c>
      <c r="K4581" s="1">
        <v>1329.84</v>
      </c>
      <c r="L4581" s="1">
        <v>0</v>
      </c>
      <c r="M4581" s="1">
        <v>0</v>
      </c>
      <c r="N4581" s="1">
        <v>1329.84</v>
      </c>
      <c r="O4581" s="1" t="s">
        <v>46</v>
      </c>
      <c r="P4581" s="1" t="s">
        <v>1677</v>
      </c>
      <c r="Q4581" s="1">
        <v>3</v>
      </c>
      <c r="R4581" s="1">
        <f>Retail_Sales_Analyis[[#This Row],[Final_Price]]-Retail_Sales_Analyis[[#This Row],[Total_Price]]</f>
        <v>0</v>
      </c>
      <c r="S458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2" spans="1:19" x14ac:dyDescent="0.25">
      <c r="A4582" s="1" t="s">
        <v>5713</v>
      </c>
      <c r="B4582" s="2">
        <v>45644</v>
      </c>
      <c r="C4582" s="1" t="s">
        <v>73</v>
      </c>
      <c r="D4582" s="1" t="s">
        <v>55</v>
      </c>
      <c r="E4582" s="1" t="s">
        <v>44</v>
      </c>
      <c r="F4582" s="1" t="s">
        <v>37</v>
      </c>
      <c r="G4582" s="1" t="s">
        <v>38</v>
      </c>
      <c r="H4582" s="1" t="s">
        <v>422</v>
      </c>
      <c r="I4582" s="1">
        <v>622.62</v>
      </c>
      <c r="J4582" s="1">
        <v>10</v>
      </c>
      <c r="K4582" s="1">
        <v>6226.2</v>
      </c>
      <c r="L4582" s="1">
        <v>0</v>
      </c>
      <c r="M4582" s="1">
        <v>0</v>
      </c>
      <c r="N4582" s="1">
        <v>6226.2</v>
      </c>
      <c r="O4582" s="1" t="s">
        <v>64</v>
      </c>
      <c r="P4582" s="1" t="s">
        <v>5673</v>
      </c>
      <c r="Q4582" s="1">
        <v>4</v>
      </c>
      <c r="R4582" s="1">
        <f>Retail_Sales_Analyis[[#This Row],[Final_Price]]-Retail_Sales_Analyis[[#This Row],[Total_Price]]</f>
        <v>0</v>
      </c>
      <c r="S458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3" spans="1:19" x14ac:dyDescent="0.25">
      <c r="A4583" s="1" t="s">
        <v>5714</v>
      </c>
      <c r="B4583" s="2">
        <v>45338</v>
      </c>
      <c r="C4583" s="1" t="s">
        <v>27</v>
      </c>
      <c r="D4583" s="1" t="s">
        <v>144</v>
      </c>
      <c r="E4583" s="1" t="s">
        <v>312</v>
      </c>
      <c r="F4583" s="1" t="s">
        <v>84</v>
      </c>
      <c r="G4583" s="1" t="s">
        <v>112</v>
      </c>
      <c r="H4583" s="1" t="s">
        <v>118</v>
      </c>
      <c r="I4583" s="1">
        <v>1772.07</v>
      </c>
      <c r="J4583" s="1">
        <v>2</v>
      </c>
      <c r="K4583" s="1">
        <v>3544.14</v>
      </c>
      <c r="L4583" s="1">
        <v>0</v>
      </c>
      <c r="M4583" s="1">
        <v>0</v>
      </c>
      <c r="N4583" s="1">
        <v>3544.14</v>
      </c>
      <c r="O4583" s="1" t="s">
        <v>24</v>
      </c>
      <c r="P4583" s="1" t="s">
        <v>397</v>
      </c>
      <c r="Q4583" s="1">
        <v>2</v>
      </c>
      <c r="R4583" s="1">
        <f>Retail_Sales_Analyis[[#This Row],[Final_Price]]-Retail_Sales_Analyis[[#This Row],[Total_Price]]</f>
        <v>0</v>
      </c>
      <c r="S45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4" spans="1:19" x14ac:dyDescent="0.25">
      <c r="A4584" s="1" t="s">
        <v>5715</v>
      </c>
      <c r="B4584" s="2">
        <v>45437</v>
      </c>
      <c r="C4584" s="1" t="s">
        <v>42</v>
      </c>
      <c r="D4584" s="1" t="s">
        <v>19</v>
      </c>
      <c r="E4584" s="1" t="s">
        <v>94</v>
      </c>
      <c r="F4584" s="1" t="s">
        <v>21</v>
      </c>
      <c r="G4584" s="1" t="s">
        <v>22</v>
      </c>
      <c r="H4584" s="1" t="s">
        <v>23</v>
      </c>
      <c r="I4584" s="1">
        <v>528.57000000000005</v>
      </c>
      <c r="J4584" s="1">
        <v>5</v>
      </c>
      <c r="K4584" s="1">
        <v>2642.85</v>
      </c>
      <c r="L4584" s="1">
        <v>10</v>
      </c>
      <c r="M4584" s="1">
        <v>264.29000000000002</v>
      </c>
      <c r="N4584" s="1">
        <v>2378.56</v>
      </c>
      <c r="O4584" s="1" t="s">
        <v>33</v>
      </c>
      <c r="P4584" s="1" t="s">
        <v>2098</v>
      </c>
      <c r="Q4584" s="1">
        <v>1</v>
      </c>
      <c r="R4584" s="1">
        <f>Retail_Sales_Analyis[[#This Row],[Final_Price]]-Retail_Sales_Analyis[[#This Row],[Total_Price]]</f>
        <v>-264.28999999999996</v>
      </c>
      <c r="S45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85" spans="1:19" x14ac:dyDescent="0.25">
      <c r="A4585" s="1" t="s">
        <v>5716</v>
      </c>
      <c r="B4585" s="2">
        <v>45306</v>
      </c>
      <c r="C4585" s="1" t="s">
        <v>36</v>
      </c>
      <c r="D4585" s="1" t="s">
        <v>43</v>
      </c>
      <c r="E4585" s="1" t="s">
        <v>157</v>
      </c>
      <c r="F4585" s="1" t="s">
        <v>69</v>
      </c>
      <c r="G4585" s="1" t="s">
        <v>169</v>
      </c>
      <c r="H4585" s="1" t="s">
        <v>348</v>
      </c>
      <c r="I4585" s="1">
        <v>1170.74</v>
      </c>
      <c r="J4585" s="1">
        <v>9</v>
      </c>
      <c r="K4585" s="1">
        <v>10536.66</v>
      </c>
      <c r="L4585" s="1">
        <v>0</v>
      </c>
      <c r="M4585" s="1">
        <v>0</v>
      </c>
      <c r="N4585" s="1">
        <v>10536.66</v>
      </c>
      <c r="O4585" s="1" t="s">
        <v>46</v>
      </c>
      <c r="P4585" s="1" t="s">
        <v>707</v>
      </c>
      <c r="Q4585" s="1">
        <v>2</v>
      </c>
      <c r="R4585" s="1">
        <f>Retail_Sales_Analyis[[#This Row],[Final_Price]]-Retail_Sales_Analyis[[#This Row],[Total_Price]]</f>
        <v>0</v>
      </c>
      <c r="S45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6" spans="1:19" x14ac:dyDescent="0.25">
      <c r="A4586" s="1" t="s">
        <v>5717</v>
      </c>
      <c r="B4586" s="2">
        <v>45489</v>
      </c>
      <c r="C4586" s="1" t="s">
        <v>195</v>
      </c>
      <c r="D4586" s="1" t="s">
        <v>28</v>
      </c>
      <c r="E4586" s="1" t="s">
        <v>192</v>
      </c>
      <c r="F4586" s="1" t="s">
        <v>30</v>
      </c>
      <c r="G4586" s="1" t="s">
        <v>22</v>
      </c>
      <c r="H4586" s="1" t="s">
        <v>187</v>
      </c>
      <c r="I4586" s="1">
        <v>262.88</v>
      </c>
      <c r="J4586" s="1">
        <v>1</v>
      </c>
      <c r="K4586" s="1">
        <v>262.88</v>
      </c>
      <c r="L4586" s="1">
        <v>0</v>
      </c>
      <c r="M4586" s="1">
        <v>0</v>
      </c>
      <c r="N4586" s="1">
        <v>262.88</v>
      </c>
      <c r="O4586" s="1" t="s">
        <v>33</v>
      </c>
      <c r="P4586" s="1" t="s">
        <v>667</v>
      </c>
      <c r="Q4586" s="1">
        <v>5</v>
      </c>
      <c r="R4586" s="1">
        <f>Retail_Sales_Analyis[[#This Row],[Final_Price]]-Retail_Sales_Analyis[[#This Row],[Total_Price]]</f>
        <v>0</v>
      </c>
      <c r="S45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7" spans="1:19" x14ac:dyDescent="0.25">
      <c r="A4587" s="1" t="s">
        <v>5718</v>
      </c>
      <c r="B4587" s="2">
        <v>45317</v>
      </c>
      <c r="C4587" s="1" t="s">
        <v>36</v>
      </c>
      <c r="D4587" s="1" t="s">
        <v>144</v>
      </c>
      <c r="E4587" s="1" t="s">
        <v>117</v>
      </c>
      <c r="F4587" s="1" t="s">
        <v>69</v>
      </c>
      <c r="G4587" s="1" t="s">
        <v>22</v>
      </c>
      <c r="H4587" s="1" t="s">
        <v>277</v>
      </c>
      <c r="I4587" s="1">
        <v>661.43</v>
      </c>
      <c r="J4587" s="1">
        <v>3</v>
      </c>
      <c r="K4587" s="1">
        <v>1984.29</v>
      </c>
      <c r="L4587" s="1">
        <v>15</v>
      </c>
      <c r="M4587" s="1">
        <v>297.64</v>
      </c>
      <c r="N4587" s="1">
        <v>1686.65</v>
      </c>
      <c r="O4587" s="1" t="s">
        <v>64</v>
      </c>
      <c r="P4587" s="1" t="s">
        <v>1407</v>
      </c>
      <c r="Q4587" s="1">
        <v>5</v>
      </c>
      <c r="R4587" s="1">
        <f>Retail_Sales_Analyis[[#This Row],[Final_Price]]-Retail_Sales_Analyis[[#This Row],[Total_Price]]</f>
        <v>-297.63999999999987</v>
      </c>
      <c r="S45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88" spans="1:19" x14ac:dyDescent="0.25">
      <c r="A4588" s="1" t="s">
        <v>5719</v>
      </c>
      <c r="B4588" s="2">
        <v>45375</v>
      </c>
      <c r="C4588" s="1" t="s">
        <v>61</v>
      </c>
      <c r="D4588" s="1" t="s">
        <v>49</v>
      </c>
      <c r="E4588" s="1" t="s">
        <v>239</v>
      </c>
      <c r="F4588" s="1" t="s">
        <v>30</v>
      </c>
      <c r="G4588" s="1" t="s">
        <v>22</v>
      </c>
      <c r="H4588" s="1" t="s">
        <v>133</v>
      </c>
      <c r="I4588" s="1">
        <v>746.54</v>
      </c>
      <c r="J4588" s="1">
        <v>6</v>
      </c>
      <c r="K4588" s="1">
        <v>4479.24</v>
      </c>
      <c r="L4588" s="1">
        <v>0</v>
      </c>
      <c r="M4588" s="1">
        <v>0</v>
      </c>
      <c r="N4588" s="1">
        <v>4479.24</v>
      </c>
      <c r="O4588" s="1" t="s">
        <v>24</v>
      </c>
      <c r="P4588" s="1" t="s">
        <v>425</v>
      </c>
      <c r="Q4588" s="1">
        <v>4</v>
      </c>
      <c r="R4588" s="1">
        <f>Retail_Sales_Analyis[[#This Row],[Final_Price]]-Retail_Sales_Analyis[[#This Row],[Total_Price]]</f>
        <v>0</v>
      </c>
      <c r="S458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89" spans="1:19" x14ac:dyDescent="0.25">
      <c r="A4589" s="1" t="s">
        <v>5720</v>
      </c>
      <c r="B4589" s="2">
        <v>45584</v>
      </c>
      <c r="C4589" s="1" t="s">
        <v>76</v>
      </c>
      <c r="D4589" s="1" t="s">
        <v>19</v>
      </c>
      <c r="E4589" s="1" t="s">
        <v>174</v>
      </c>
      <c r="F4589" s="1" t="s">
        <v>37</v>
      </c>
      <c r="G4589" s="1" t="s">
        <v>112</v>
      </c>
      <c r="H4589" s="1" t="s">
        <v>288</v>
      </c>
      <c r="I4589" s="1">
        <v>1148.6300000000001</v>
      </c>
      <c r="J4589" s="1">
        <v>2</v>
      </c>
      <c r="K4589" s="1">
        <v>2297.2600000000002</v>
      </c>
      <c r="L4589" s="1">
        <v>15</v>
      </c>
      <c r="M4589" s="1">
        <v>344.59</v>
      </c>
      <c r="N4589" s="1">
        <v>1952.67</v>
      </c>
      <c r="O4589" s="1" t="s">
        <v>33</v>
      </c>
      <c r="P4589" s="1" t="s">
        <v>332</v>
      </c>
      <c r="Q4589" s="1">
        <v>3</v>
      </c>
      <c r="R4589" s="1">
        <f>Retail_Sales_Analyis[[#This Row],[Final_Price]]-Retail_Sales_Analyis[[#This Row],[Total_Price]]</f>
        <v>-344.59000000000015</v>
      </c>
      <c r="S45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90" spans="1:19" x14ac:dyDescent="0.25">
      <c r="A4590" s="1" t="s">
        <v>5721</v>
      </c>
      <c r="B4590" s="2">
        <v>45401</v>
      </c>
      <c r="C4590" s="1" t="s">
        <v>54</v>
      </c>
      <c r="D4590" s="1" t="s">
        <v>144</v>
      </c>
      <c r="E4590" s="1" t="s">
        <v>213</v>
      </c>
      <c r="F4590" s="1" t="s">
        <v>30</v>
      </c>
      <c r="G4590" s="1" t="s">
        <v>112</v>
      </c>
      <c r="H4590" s="1" t="s">
        <v>223</v>
      </c>
      <c r="I4590" s="1">
        <v>1848.68</v>
      </c>
      <c r="J4590" s="1">
        <v>8</v>
      </c>
      <c r="K4590" s="1">
        <v>14789.44</v>
      </c>
      <c r="L4590" s="1">
        <v>10</v>
      </c>
      <c r="M4590" s="1">
        <v>1478.94</v>
      </c>
      <c r="N4590" s="1">
        <v>13310.5</v>
      </c>
      <c r="O4590" s="1" t="s">
        <v>46</v>
      </c>
      <c r="P4590" s="1" t="s">
        <v>3610</v>
      </c>
      <c r="Q4590" s="1">
        <v>2</v>
      </c>
      <c r="R4590" s="1">
        <f>Retail_Sales_Analyis[[#This Row],[Final_Price]]-Retail_Sales_Analyis[[#This Row],[Total_Price]]</f>
        <v>-1478.9400000000005</v>
      </c>
      <c r="S45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91" spans="1:19" x14ac:dyDescent="0.25">
      <c r="A4591" s="1" t="s">
        <v>5722</v>
      </c>
      <c r="B4591" s="2">
        <v>45405</v>
      </c>
      <c r="C4591" s="1" t="s">
        <v>54</v>
      </c>
      <c r="D4591" s="1" t="s">
        <v>28</v>
      </c>
      <c r="E4591" s="1" t="s">
        <v>83</v>
      </c>
      <c r="F4591" s="1" t="s">
        <v>37</v>
      </c>
      <c r="G4591" s="1" t="s">
        <v>78</v>
      </c>
      <c r="H4591" s="1" t="s">
        <v>323</v>
      </c>
      <c r="I4591" s="1">
        <v>355.45</v>
      </c>
      <c r="J4591" s="1">
        <v>2</v>
      </c>
      <c r="K4591" s="1">
        <v>710.9</v>
      </c>
      <c r="L4591" s="1">
        <v>10</v>
      </c>
      <c r="M4591" s="1">
        <v>71.09</v>
      </c>
      <c r="N4591" s="1">
        <v>639.80999999999995</v>
      </c>
      <c r="O4591" s="1" t="s">
        <v>33</v>
      </c>
      <c r="P4591" s="1" t="s">
        <v>853</v>
      </c>
      <c r="Q4591" s="1">
        <v>4</v>
      </c>
      <c r="R4591" s="1">
        <f>Retail_Sales_Analyis[[#This Row],[Final_Price]]-Retail_Sales_Analyis[[#This Row],[Total_Price]]</f>
        <v>-71.090000000000032</v>
      </c>
      <c r="S459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92" spans="1:19" x14ac:dyDescent="0.25">
      <c r="A4592" s="1" t="s">
        <v>5723</v>
      </c>
      <c r="B4592" s="2">
        <v>45623</v>
      </c>
      <c r="C4592" s="1" t="s">
        <v>18</v>
      </c>
      <c r="D4592" s="1" t="s">
        <v>55</v>
      </c>
      <c r="E4592" s="1" t="s">
        <v>163</v>
      </c>
      <c r="F4592" s="1" t="s">
        <v>21</v>
      </c>
      <c r="G4592" s="1" t="s">
        <v>22</v>
      </c>
      <c r="H4592" s="1" t="s">
        <v>51</v>
      </c>
      <c r="I4592" s="1">
        <v>304.98</v>
      </c>
      <c r="J4592" s="1">
        <v>2</v>
      </c>
      <c r="K4592" s="1">
        <v>609.96</v>
      </c>
      <c r="L4592" s="1">
        <v>10</v>
      </c>
      <c r="M4592" s="1">
        <v>61</v>
      </c>
      <c r="N4592" s="1">
        <v>548.96</v>
      </c>
      <c r="O4592" s="1" t="s">
        <v>64</v>
      </c>
      <c r="P4592" s="1" t="s">
        <v>627</v>
      </c>
      <c r="Q4592" s="1">
        <v>2</v>
      </c>
      <c r="R4592" s="1">
        <f>Retail_Sales_Analyis[[#This Row],[Final_Price]]-Retail_Sales_Analyis[[#This Row],[Total_Price]]</f>
        <v>-61</v>
      </c>
      <c r="S459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93" spans="1:19" x14ac:dyDescent="0.25">
      <c r="A4593" s="1" t="s">
        <v>5724</v>
      </c>
      <c r="B4593" s="2">
        <v>45407</v>
      </c>
      <c r="C4593" s="1" t="s">
        <v>54</v>
      </c>
      <c r="D4593" s="1" t="s">
        <v>67</v>
      </c>
      <c r="E4593" s="1" t="s">
        <v>307</v>
      </c>
      <c r="F4593" s="1" t="s">
        <v>21</v>
      </c>
      <c r="G4593" s="1" t="s">
        <v>169</v>
      </c>
      <c r="H4593" s="1" t="s">
        <v>175</v>
      </c>
      <c r="I4593" s="1">
        <v>546.36</v>
      </c>
      <c r="J4593" s="1">
        <v>10</v>
      </c>
      <c r="K4593" s="1">
        <v>5463.6</v>
      </c>
      <c r="L4593" s="1">
        <v>20</v>
      </c>
      <c r="M4593" s="1">
        <v>1092.72</v>
      </c>
      <c r="N4593" s="1">
        <v>4370.88</v>
      </c>
      <c r="O4593" s="1" t="s">
        <v>64</v>
      </c>
      <c r="P4593" s="1" t="s">
        <v>2170</v>
      </c>
      <c r="Q4593" s="1">
        <v>1</v>
      </c>
      <c r="R4593" s="1">
        <f>Retail_Sales_Analyis[[#This Row],[Final_Price]]-Retail_Sales_Analyis[[#This Row],[Total_Price]]</f>
        <v>-1092.7200000000003</v>
      </c>
      <c r="S45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594" spans="1:19" x14ac:dyDescent="0.25">
      <c r="A4594" s="1" t="s">
        <v>5725</v>
      </c>
      <c r="B4594" s="2">
        <v>45638</v>
      </c>
      <c r="C4594" s="1" t="s">
        <v>73</v>
      </c>
      <c r="D4594" s="1" t="s">
        <v>67</v>
      </c>
      <c r="E4594" s="1" t="s">
        <v>56</v>
      </c>
      <c r="F4594" s="1" t="s">
        <v>30</v>
      </c>
      <c r="G4594" s="1" t="s">
        <v>85</v>
      </c>
      <c r="H4594" s="1" t="s">
        <v>180</v>
      </c>
      <c r="I4594" s="1">
        <v>3488.64</v>
      </c>
      <c r="J4594" s="1">
        <v>9</v>
      </c>
      <c r="K4594" s="1">
        <v>31397.759999999998</v>
      </c>
      <c r="L4594" s="1">
        <v>0</v>
      </c>
      <c r="M4594" s="1">
        <v>0</v>
      </c>
      <c r="N4594" s="1">
        <v>31397.759999999998</v>
      </c>
      <c r="O4594" s="1" t="s">
        <v>64</v>
      </c>
      <c r="P4594" s="1" t="s">
        <v>2344</v>
      </c>
      <c r="Q4594" s="1">
        <v>4</v>
      </c>
      <c r="R4594" s="1">
        <f>Retail_Sales_Analyis[[#This Row],[Final_Price]]-Retail_Sales_Analyis[[#This Row],[Total_Price]]</f>
        <v>0</v>
      </c>
      <c r="S45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95" spans="1:19" x14ac:dyDescent="0.25">
      <c r="A4595" s="1" t="s">
        <v>5726</v>
      </c>
      <c r="B4595" s="2">
        <v>45397</v>
      </c>
      <c r="C4595" s="1" t="s">
        <v>54</v>
      </c>
      <c r="D4595" s="1" t="s">
        <v>43</v>
      </c>
      <c r="E4595" s="1" t="s">
        <v>132</v>
      </c>
      <c r="F4595" s="1" t="s">
        <v>84</v>
      </c>
      <c r="G4595" s="1" t="s">
        <v>112</v>
      </c>
      <c r="H4595" s="1" t="s">
        <v>183</v>
      </c>
      <c r="I4595" s="1">
        <v>1516.81</v>
      </c>
      <c r="J4595" s="1">
        <v>2</v>
      </c>
      <c r="K4595" s="1">
        <v>3033.62</v>
      </c>
      <c r="L4595" s="1">
        <v>0</v>
      </c>
      <c r="M4595" s="1">
        <v>0</v>
      </c>
      <c r="N4595" s="1">
        <v>3033.62</v>
      </c>
      <c r="O4595" s="1" t="s">
        <v>24</v>
      </c>
      <c r="P4595" s="1" t="s">
        <v>2480</v>
      </c>
      <c r="Q4595" s="1">
        <v>3</v>
      </c>
      <c r="R4595" s="1">
        <f>Retail_Sales_Analyis[[#This Row],[Final_Price]]-Retail_Sales_Analyis[[#This Row],[Total_Price]]</f>
        <v>0</v>
      </c>
      <c r="S45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96" spans="1:19" x14ac:dyDescent="0.25">
      <c r="A4596" s="1" t="s">
        <v>5727</v>
      </c>
      <c r="B4596" s="2">
        <v>45429</v>
      </c>
      <c r="C4596" s="1" t="s">
        <v>42</v>
      </c>
      <c r="D4596" s="1" t="s">
        <v>144</v>
      </c>
      <c r="E4596" s="1" t="s">
        <v>337</v>
      </c>
      <c r="F4596" s="1" t="s">
        <v>37</v>
      </c>
      <c r="G4596" s="1" t="s">
        <v>38</v>
      </c>
      <c r="H4596" s="1" t="s">
        <v>422</v>
      </c>
      <c r="I4596" s="1">
        <v>581.65</v>
      </c>
      <c r="J4596" s="1">
        <v>7</v>
      </c>
      <c r="K4596" s="1">
        <v>4071.55</v>
      </c>
      <c r="L4596" s="1">
        <v>10</v>
      </c>
      <c r="M4596" s="1">
        <v>407.16</v>
      </c>
      <c r="N4596" s="1">
        <v>3664.39</v>
      </c>
      <c r="O4596" s="1" t="s">
        <v>80</v>
      </c>
      <c r="P4596" s="1" t="s">
        <v>1299</v>
      </c>
      <c r="Q4596" s="1">
        <v>5</v>
      </c>
      <c r="R4596" s="1">
        <f>Retail_Sales_Analyis[[#This Row],[Final_Price]]-Retail_Sales_Analyis[[#This Row],[Total_Price]]</f>
        <v>-407.16000000000031</v>
      </c>
      <c r="S45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597" spans="1:19" x14ac:dyDescent="0.25">
      <c r="A4597" s="1" t="s">
        <v>5728</v>
      </c>
      <c r="B4597" s="2">
        <v>45625</v>
      </c>
      <c r="C4597" s="1" t="s">
        <v>18</v>
      </c>
      <c r="D4597" s="1" t="s">
        <v>144</v>
      </c>
      <c r="E4597" s="1" t="s">
        <v>261</v>
      </c>
      <c r="F4597" s="1" t="s">
        <v>37</v>
      </c>
      <c r="G4597" s="1" t="s">
        <v>85</v>
      </c>
      <c r="H4597" s="1" t="s">
        <v>180</v>
      </c>
      <c r="I4597" s="1">
        <v>4021.37</v>
      </c>
      <c r="J4597" s="1">
        <v>3</v>
      </c>
      <c r="K4597" s="1">
        <v>12064.11</v>
      </c>
      <c r="L4597" s="1">
        <v>0</v>
      </c>
      <c r="M4597" s="1">
        <v>0</v>
      </c>
      <c r="N4597" s="1">
        <v>12064.11</v>
      </c>
      <c r="O4597" s="1" t="s">
        <v>80</v>
      </c>
      <c r="P4597" s="1" t="s">
        <v>476</v>
      </c>
      <c r="Q4597" s="1">
        <v>2</v>
      </c>
      <c r="R4597" s="1">
        <f>Retail_Sales_Analyis[[#This Row],[Final_Price]]-Retail_Sales_Analyis[[#This Row],[Total_Price]]</f>
        <v>0</v>
      </c>
      <c r="S45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98" spans="1:19" x14ac:dyDescent="0.25">
      <c r="A4598" s="1" t="s">
        <v>5729</v>
      </c>
      <c r="B4598" s="2">
        <v>45501</v>
      </c>
      <c r="C4598" s="1" t="s">
        <v>195</v>
      </c>
      <c r="D4598" s="1" t="s">
        <v>49</v>
      </c>
      <c r="E4598" s="1" t="s">
        <v>192</v>
      </c>
      <c r="F4598" s="1" t="s">
        <v>69</v>
      </c>
      <c r="G4598" s="1" t="s">
        <v>112</v>
      </c>
      <c r="H4598" s="1" t="s">
        <v>183</v>
      </c>
      <c r="I4598" s="1">
        <v>1309.58</v>
      </c>
      <c r="J4598" s="1">
        <v>3</v>
      </c>
      <c r="K4598" s="1">
        <v>3928.74</v>
      </c>
      <c r="L4598" s="1">
        <v>0</v>
      </c>
      <c r="M4598" s="1">
        <v>0</v>
      </c>
      <c r="N4598" s="1">
        <v>3928.74</v>
      </c>
      <c r="O4598" s="1" t="s">
        <v>33</v>
      </c>
      <c r="P4598" s="1" t="s">
        <v>1364</v>
      </c>
      <c r="Q4598" s="1">
        <v>1</v>
      </c>
      <c r="R4598" s="1">
        <f>Retail_Sales_Analyis[[#This Row],[Final_Price]]-Retail_Sales_Analyis[[#This Row],[Total_Price]]</f>
        <v>0</v>
      </c>
      <c r="S45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599" spans="1:19" x14ac:dyDescent="0.25">
      <c r="A4599" s="1" t="s">
        <v>5730</v>
      </c>
      <c r="B4599" s="2">
        <v>45554</v>
      </c>
      <c r="C4599" s="1" t="s">
        <v>116</v>
      </c>
      <c r="D4599" s="1" t="s">
        <v>67</v>
      </c>
      <c r="E4599" s="1" t="s">
        <v>111</v>
      </c>
      <c r="F4599" s="1" t="s">
        <v>21</v>
      </c>
      <c r="G4599" s="1" t="s">
        <v>85</v>
      </c>
      <c r="H4599" s="1" t="s">
        <v>297</v>
      </c>
      <c r="I4599" s="1">
        <v>3940.9</v>
      </c>
      <c r="J4599" s="1">
        <v>7</v>
      </c>
      <c r="K4599" s="1">
        <v>27586.3</v>
      </c>
      <c r="L4599" s="1">
        <v>15</v>
      </c>
      <c r="M4599" s="1">
        <v>4137.9399999999996</v>
      </c>
      <c r="N4599" s="1">
        <v>23448.36</v>
      </c>
      <c r="O4599" s="1" t="s">
        <v>64</v>
      </c>
      <c r="P4599" s="1" t="s">
        <v>993</v>
      </c>
      <c r="Q4599" s="1">
        <v>4</v>
      </c>
      <c r="R4599" s="1">
        <f>Retail_Sales_Analyis[[#This Row],[Final_Price]]-Retail_Sales_Analyis[[#This Row],[Total_Price]]</f>
        <v>-4137.9399999999987</v>
      </c>
      <c r="S45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00" spans="1:19" x14ac:dyDescent="0.25">
      <c r="A4600" s="1" t="s">
        <v>5731</v>
      </c>
      <c r="B4600" s="2">
        <v>45302</v>
      </c>
      <c r="C4600" s="1" t="s">
        <v>36</v>
      </c>
      <c r="D4600" s="1" t="s">
        <v>67</v>
      </c>
      <c r="E4600" s="1" t="s">
        <v>207</v>
      </c>
      <c r="F4600" s="1" t="s">
        <v>69</v>
      </c>
      <c r="G4600" s="1" t="s">
        <v>78</v>
      </c>
      <c r="H4600" s="1" t="s">
        <v>323</v>
      </c>
      <c r="I4600" s="1">
        <v>428.57</v>
      </c>
      <c r="J4600" s="1">
        <v>10</v>
      </c>
      <c r="K4600" s="1">
        <v>4285.7</v>
      </c>
      <c r="L4600" s="1">
        <v>0</v>
      </c>
      <c r="M4600" s="1">
        <v>0</v>
      </c>
      <c r="N4600" s="1">
        <v>4285.7</v>
      </c>
      <c r="O4600" s="1" t="s">
        <v>46</v>
      </c>
      <c r="P4600" s="1" t="s">
        <v>2069</v>
      </c>
      <c r="Q4600" s="1">
        <v>1</v>
      </c>
      <c r="R4600" s="1">
        <f>Retail_Sales_Analyis[[#This Row],[Final_Price]]-Retail_Sales_Analyis[[#This Row],[Total_Price]]</f>
        <v>0</v>
      </c>
      <c r="S46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1" spans="1:19" x14ac:dyDescent="0.25">
      <c r="A4601" s="1" t="s">
        <v>5732</v>
      </c>
      <c r="B4601" s="2">
        <v>45641</v>
      </c>
      <c r="C4601" s="1" t="s">
        <v>73</v>
      </c>
      <c r="D4601" s="1" t="s">
        <v>49</v>
      </c>
      <c r="E4601" s="1" t="s">
        <v>411</v>
      </c>
      <c r="F4601" s="1" t="s">
        <v>84</v>
      </c>
      <c r="G4601" s="1" t="s">
        <v>22</v>
      </c>
      <c r="H4601" s="1" t="s">
        <v>133</v>
      </c>
      <c r="I4601" s="1">
        <v>548.47</v>
      </c>
      <c r="J4601" s="1">
        <v>7</v>
      </c>
      <c r="K4601" s="1">
        <v>3839.29</v>
      </c>
      <c r="L4601" s="1">
        <v>0</v>
      </c>
      <c r="M4601" s="1">
        <v>0</v>
      </c>
      <c r="N4601" s="1">
        <v>3839.29</v>
      </c>
      <c r="O4601" s="1" t="s">
        <v>80</v>
      </c>
      <c r="P4601" s="1" t="s">
        <v>807</v>
      </c>
      <c r="Q4601" s="1">
        <v>4</v>
      </c>
      <c r="R4601" s="1">
        <f>Retail_Sales_Analyis[[#This Row],[Final_Price]]-Retail_Sales_Analyis[[#This Row],[Total_Price]]</f>
        <v>0</v>
      </c>
      <c r="S46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2" spans="1:19" x14ac:dyDescent="0.25">
      <c r="A4602" s="1" t="s">
        <v>5733</v>
      </c>
      <c r="B4602" s="2">
        <v>45296</v>
      </c>
      <c r="C4602" s="1" t="s">
        <v>36</v>
      </c>
      <c r="D4602" s="1" t="s">
        <v>144</v>
      </c>
      <c r="E4602" s="1" t="s">
        <v>121</v>
      </c>
      <c r="F4602" s="1" t="s">
        <v>84</v>
      </c>
      <c r="G4602" s="1" t="s">
        <v>22</v>
      </c>
      <c r="H4602" s="1" t="s">
        <v>23</v>
      </c>
      <c r="I4602" s="1">
        <v>508.61</v>
      </c>
      <c r="J4602" s="1">
        <v>1</v>
      </c>
      <c r="K4602" s="1">
        <v>508.61</v>
      </c>
      <c r="L4602" s="1">
        <v>0</v>
      </c>
      <c r="M4602" s="1">
        <v>0</v>
      </c>
      <c r="N4602" s="1">
        <v>508.61</v>
      </c>
      <c r="O4602" s="1" t="s">
        <v>46</v>
      </c>
      <c r="P4602" s="1" t="s">
        <v>326</v>
      </c>
      <c r="Q4602" s="1">
        <v>2</v>
      </c>
      <c r="R4602" s="1">
        <f>Retail_Sales_Analyis[[#This Row],[Final_Price]]-Retail_Sales_Analyis[[#This Row],[Total_Price]]</f>
        <v>0</v>
      </c>
      <c r="S46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3" spans="1:19" x14ac:dyDescent="0.25">
      <c r="A4603" s="1" t="s">
        <v>5734</v>
      </c>
      <c r="B4603" s="2">
        <v>45534</v>
      </c>
      <c r="C4603" s="1" t="s">
        <v>93</v>
      </c>
      <c r="D4603" s="1" t="s">
        <v>144</v>
      </c>
      <c r="E4603" s="1" t="s">
        <v>199</v>
      </c>
      <c r="F4603" s="1" t="s">
        <v>30</v>
      </c>
      <c r="G4603" s="1" t="s">
        <v>57</v>
      </c>
      <c r="H4603" s="1" t="s">
        <v>101</v>
      </c>
      <c r="I4603" s="1">
        <v>2466.2800000000002</v>
      </c>
      <c r="J4603" s="1">
        <v>10</v>
      </c>
      <c r="K4603" s="1">
        <v>24662.799999999999</v>
      </c>
      <c r="L4603" s="1">
        <v>0</v>
      </c>
      <c r="M4603" s="1">
        <v>0</v>
      </c>
      <c r="N4603" s="1">
        <v>24662.799999999999</v>
      </c>
      <c r="O4603" s="1" t="s">
        <v>64</v>
      </c>
      <c r="P4603" s="1" t="s">
        <v>2718</v>
      </c>
      <c r="Q4603" s="1">
        <v>3</v>
      </c>
      <c r="R4603" s="1">
        <f>Retail_Sales_Analyis[[#This Row],[Final_Price]]-Retail_Sales_Analyis[[#This Row],[Total_Price]]</f>
        <v>0</v>
      </c>
      <c r="S46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4" spans="1:19" x14ac:dyDescent="0.25">
      <c r="A4604" s="1" t="s">
        <v>5735</v>
      </c>
      <c r="B4604" s="2">
        <v>45359</v>
      </c>
      <c r="C4604" s="1" t="s">
        <v>61</v>
      </c>
      <c r="D4604" s="1" t="s">
        <v>144</v>
      </c>
      <c r="E4604" s="1" t="s">
        <v>56</v>
      </c>
      <c r="F4604" s="1" t="s">
        <v>21</v>
      </c>
      <c r="G4604" s="1" t="s">
        <v>112</v>
      </c>
      <c r="H4604" s="1" t="s">
        <v>288</v>
      </c>
      <c r="I4604" s="1">
        <v>1421.67</v>
      </c>
      <c r="J4604" s="1">
        <v>1</v>
      </c>
      <c r="K4604" s="1">
        <v>1421.67</v>
      </c>
      <c r="L4604" s="1">
        <v>10</v>
      </c>
      <c r="M4604" s="1">
        <v>142.16999999999999</v>
      </c>
      <c r="N4604" s="1">
        <v>1279.5</v>
      </c>
      <c r="O4604" s="1" t="s">
        <v>33</v>
      </c>
      <c r="P4604" s="1" t="s">
        <v>828</v>
      </c>
      <c r="Q4604" s="1">
        <v>5</v>
      </c>
      <c r="R4604" s="1">
        <f>Retail_Sales_Analyis[[#This Row],[Final_Price]]-Retail_Sales_Analyis[[#This Row],[Total_Price]]</f>
        <v>-142.17000000000007</v>
      </c>
      <c r="S46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05" spans="1:19" x14ac:dyDescent="0.25">
      <c r="A4605" s="1" t="s">
        <v>5736</v>
      </c>
      <c r="B4605" s="2">
        <v>45623</v>
      </c>
      <c r="C4605" s="1" t="s">
        <v>18</v>
      </c>
      <c r="D4605" s="1" t="s">
        <v>55</v>
      </c>
      <c r="E4605" s="1" t="s">
        <v>174</v>
      </c>
      <c r="F4605" s="1" t="s">
        <v>37</v>
      </c>
      <c r="G4605" s="1" t="s">
        <v>31</v>
      </c>
      <c r="H4605" s="1" t="s">
        <v>329</v>
      </c>
      <c r="I4605" s="1">
        <v>417.75</v>
      </c>
      <c r="J4605" s="1">
        <v>9</v>
      </c>
      <c r="K4605" s="1">
        <v>3759.75</v>
      </c>
      <c r="L4605" s="1">
        <v>0</v>
      </c>
      <c r="M4605" s="1">
        <v>0</v>
      </c>
      <c r="N4605" s="1">
        <v>3759.75</v>
      </c>
      <c r="O4605" s="1" t="s">
        <v>46</v>
      </c>
      <c r="P4605" s="1" t="s">
        <v>2208</v>
      </c>
      <c r="Q4605" s="1">
        <v>1</v>
      </c>
      <c r="R4605" s="1">
        <f>Retail_Sales_Analyis[[#This Row],[Final_Price]]-Retail_Sales_Analyis[[#This Row],[Total_Price]]</f>
        <v>0</v>
      </c>
      <c r="S46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6" spans="1:19" x14ac:dyDescent="0.25">
      <c r="A4606" s="1" t="s">
        <v>5737</v>
      </c>
      <c r="B4606" s="2">
        <v>45380</v>
      </c>
      <c r="C4606" s="1" t="s">
        <v>61</v>
      </c>
      <c r="D4606" s="1" t="s">
        <v>144</v>
      </c>
      <c r="E4606" s="1" t="s">
        <v>29</v>
      </c>
      <c r="F4606" s="1" t="s">
        <v>84</v>
      </c>
      <c r="G4606" s="1" t="s">
        <v>112</v>
      </c>
      <c r="H4606" s="1" t="s">
        <v>288</v>
      </c>
      <c r="I4606" s="1">
        <v>1084.26</v>
      </c>
      <c r="J4606" s="1">
        <v>9</v>
      </c>
      <c r="K4606" s="1">
        <v>9758.34</v>
      </c>
      <c r="L4606" s="1">
        <v>0</v>
      </c>
      <c r="M4606" s="1">
        <v>0</v>
      </c>
      <c r="N4606" s="1">
        <v>9758.34</v>
      </c>
      <c r="O4606" s="1" t="s">
        <v>80</v>
      </c>
      <c r="P4606" s="1" t="s">
        <v>1399</v>
      </c>
      <c r="Q4606" s="1">
        <v>3</v>
      </c>
      <c r="R4606" s="1">
        <f>Retail_Sales_Analyis[[#This Row],[Final_Price]]-Retail_Sales_Analyis[[#This Row],[Total_Price]]</f>
        <v>0</v>
      </c>
      <c r="S46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7" spans="1:19" x14ac:dyDescent="0.25">
      <c r="A4607" s="1" t="s">
        <v>5738</v>
      </c>
      <c r="B4607" s="2">
        <v>45599</v>
      </c>
      <c r="C4607" s="1" t="s">
        <v>18</v>
      </c>
      <c r="D4607" s="1" t="s">
        <v>49</v>
      </c>
      <c r="E4607" s="1" t="s">
        <v>157</v>
      </c>
      <c r="F4607" s="1" t="s">
        <v>84</v>
      </c>
      <c r="G4607" s="1" t="s">
        <v>112</v>
      </c>
      <c r="H4607" s="1" t="s">
        <v>223</v>
      </c>
      <c r="I4607" s="1">
        <v>914.98</v>
      </c>
      <c r="J4607" s="1">
        <v>1</v>
      </c>
      <c r="K4607" s="1">
        <v>914.98</v>
      </c>
      <c r="L4607" s="1">
        <v>0</v>
      </c>
      <c r="M4607" s="1">
        <v>0</v>
      </c>
      <c r="N4607" s="1">
        <v>914.98</v>
      </c>
      <c r="O4607" s="1" t="s">
        <v>46</v>
      </c>
      <c r="P4607" s="1" t="s">
        <v>4035</v>
      </c>
      <c r="Q4607" s="1">
        <v>4</v>
      </c>
      <c r="R4607" s="1">
        <f>Retail_Sales_Analyis[[#This Row],[Final_Price]]-Retail_Sales_Analyis[[#This Row],[Total_Price]]</f>
        <v>0</v>
      </c>
      <c r="S460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08" spans="1:19" x14ac:dyDescent="0.25">
      <c r="A4608" s="1" t="s">
        <v>5739</v>
      </c>
      <c r="B4608" s="2">
        <v>45296</v>
      </c>
      <c r="C4608" s="1" t="s">
        <v>36</v>
      </c>
      <c r="D4608" s="1" t="s">
        <v>144</v>
      </c>
      <c r="E4608" s="1" t="s">
        <v>307</v>
      </c>
      <c r="F4608" s="1" t="s">
        <v>84</v>
      </c>
      <c r="G4608" s="1" t="s">
        <v>31</v>
      </c>
      <c r="H4608" s="1" t="s">
        <v>329</v>
      </c>
      <c r="I4608" s="1">
        <v>222.72</v>
      </c>
      <c r="J4608" s="1">
        <v>10</v>
      </c>
      <c r="K4608" s="1">
        <v>2227.1999999999998</v>
      </c>
      <c r="L4608" s="1">
        <v>20</v>
      </c>
      <c r="M4608" s="1">
        <v>445.44</v>
      </c>
      <c r="N4608" s="1">
        <v>1781.76</v>
      </c>
      <c r="O4608" s="1" t="s">
        <v>64</v>
      </c>
      <c r="P4608" s="1" t="s">
        <v>2639</v>
      </c>
      <c r="Q4608" s="1">
        <v>4</v>
      </c>
      <c r="R4608" s="1">
        <f>Retail_Sales_Analyis[[#This Row],[Final_Price]]-Retail_Sales_Analyis[[#This Row],[Total_Price]]</f>
        <v>-445.43999999999983</v>
      </c>
      <c r="S46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09" spans="1:19" x14ac:dyDescent="0.25">
      <c r="A4609" s="1" t="s">
        <v>5740</v>
      </c>
      <c r="B4609" s="2">
        <v>45406</v>
      </c>
      <c r="C4609" s="1" t="s">
        <v>54</v>
      </c>
      <c r="D4609" s="1" t="s">
        <v>55</v>
      </c>
      <c r="E4609" s="1" t="s">
        <v>29</v>
      </c>
      <c r="F4609" s="1" t="s">
        <v>37</v>
      </c>
      <c r="G4609" s="1" t="s">
        <v>112</v>
      </c>
      <c r="H4609" s="1" t="s">
        <v>118</v>
      </c>
      <c r="I4609" s="1">
        <v>923.98</v>
      </c>
      <c r="J4609" s="1">
        <v>10</v>
      </c>
      <c r="K4609" s="1">
        <v>9239.7999999999993</v>
      </c>
      <c r="L4609" s="1">
        <v>0</v>
      </c>
      <c r="M4609" s="1">
        <v>0</v>
      </c>
      <c r="N4609" s="1">
        <v>9239.7999999999993</v>
      </c>
      <c r="O4609" s="1" t="s">
        <v>46</v>
      </c>
      <c r="P4609" s="1" t="s">
        <v>269</v>
      </c>
      <c r="Q4609" s="1">
        <v>5</v>
      </c>
      <c r="R4609" s="1">
        <f>Retail_Sales_Analyis[[#This Row],[Final_Price]]-Retail_Sales_Analyis[[#This Row],[Total_Price]]</f>
        <v>0</v>
      </c>
      <c r="S46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10" spans="1:19" x14ac:dyDescent="0.25">
      <c r="A4610" s="1" t="s">
        <v>5741</v>
      </c>
      <c r="B4610" s="2">
        <v>45421</v>
      </c>
      <c r="C4610" s="1" t="s">
        <v>42</v>
      </c>
      <c r="D4610" s="1" t="s">
        <v>67</v>
      </c>
      <c r="E4610" s="1" t="s">
        <v>56</v>
      </c>
      <c r="F4610" s="1" t="s">
        <v>69</v>
      </c>
      <c r="G4610" s="1" t="s">
        <v>31</v>
      </c>
      <c r="H4610" s="1" t="s">
        <v>329</v>
      </c>
      <c r="I4610" s="1">
        <v>106.92</v>
      </c>
      <c r="J4610" s="1">
        <v>9</v>
      </c>
      <c r="K4610" s="1">
        <v>962.28</v>
      </c>
      <c r="L4610" s="1">
        <v>10</v>
      </c>
      <c r="M4610" s="1">
        <v>96.23</v>
      </c>
      <c r="N4610" s="1">
        <v>866.05</v>
      </c>
      <c r="O4610" s="1" t="s">
        <v>24</v>
      </c>
      <c r="P4610" s="1" t="s">
        <v>269</v>
      </c>
      <c r="Q4610" s="1">
        <v>2</v>
      </c>
      <c r="R4610" s="1">
        <f>Retail_Sales_Analyis[[#This Row],[Final_Price]]-Retail_Sales_Analyis[[#This Row],[Total_Price]]</f>
        <v>-96.230000000000018</v>
      </c>
      <c r="S46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11" spans="1:19" x14ac:dyDescent="0.25">
      <c r="A4611" s="1" t="s">
        <v>5742</v>
      </c>
      <c r="B4611" s="2">
        <v>45603</v>
      </c>
      <c r="C4611" s="1" t="s">
        <v>18</v>
      </c>
      <c r="D4611" s="1" t="s">
        <v>67</v>
      </c>
      <c r="E4611" s="1" t="s">
        <v>328</v>
      </c>
      <c r="F4611" s="1" t="s">
        <v>37</v>
      </c>
      <c r="G4611" s="1" t="s">
        <v>78</v>
      </c>
      <c r="H4611" s="1" t="s">
        <v>79</v>
      </c>
      <c r="I4611" s="1">
        <v>599</v>
      </c>
      <c r="J4611" s="1">
        <v>1</v>
      </c>
      <c r="K4611" s="1">
        <v>599</v>
      </c>
      <c r="L4611" s="1">
        <v>15</v>
      </c>
      <c r="M4611" s="1">
        <v>89.85</v>
      </c>
      <c r="N4611" s="1">
        <v>509.15</v>
      </c>
      <c r="O4611" s="1" t="s">
        <v>24</v>
      </c>
      <c r="P4611" s="1" t="s">
        <v>286</v>
      </c>
      <c r="Q4611" s="1">
        <v>3</v>
      </c>
      <c r="R4611" s="1">
        <f>Retail_Sales_Analyis[[#This Row],[Final_Price]]-Retail_Sales_Analyis[[#This Row],[Total_Price]]</f>
        <v>-89.850000000000023</v>
      </c>
      <c r="S46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12" spans="1:19" x14ac:dyDescent="0.25">
      <c r="A4612" s="1" t="s">
        <v>5743</v>
      </c>
      <c r="B4612" s="2">
        <v>45448</v>
      </c>
      <c r="C4612" s="1" t="s">
        <v>173</v>
      </c>
      <c r="D4612" s="1" t="s">
        <v>55</v>
      </c>
      <c r="E4612" s="1" t="s">
        <v>83</v>
      </c>
      <c r="F4612" s="1" t="s">
        <v>21</v>
      </c>
      <c r="G4612" s="1" t="s">
        <v>169</v>
      </c>
      <c r="H4612" s="1" t="s">
        <v>170</v>
      </c>
      <c r="I4612" s="1">
        <v>954.5</v>
      </c>
      <c r="J4612" s="1">
        <v>6</v>
      </c>
      <c r="K4612" s="1">
        <v>5727</v>
      </c>
      <c r="L4612" s="1">
        <v>5</v>
      </c>
      <c r="M4612" s="1">
        <v>286.35000000000002</v>
      </c>
      <c r="N4612" s="1">
        <v>5440.65</v>
      </c>
      <c r="O4612" s="1" t="s">
        <v>46</v>
      </c>
      <c r="P4612" s="1" t="s">
        <v>900</v>
      </c>
      <c r="Q4612" s="1">
        <v>3</v>
      </c>
      <c r="R4612" s="1">
        <f>Retail_Sales_Analyis[[#This Row],[Final_Price]]-Retail_Sales_Analyis[[#This Row],[Total_Price]]</f>
        <v>-286.35000000000036</v>
      </c>
      <c r="S461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13" spans="1:19" x14ac:dyDescent="0.25">
      <c r="A4613" s="1" t="s">
        <v>5744</v>
      </c>
      <c r="B4613" s="2">
        <v>45656</v>
      </c>
      <c r="C4613" s="1" t="s">
        <v>73</v>
      </c>
      <c r="D4613" s="1" t="s">
        <v>43</v>
      </c>
      <c r="E4613" s="1" t="s">
        <v>236</v>
      </c>
      <c r="F4613" s="1" t="s">
        <v>84</v>
      </c>
      <c r="G4613" s="1" t="s">
        <v>112</v>
      </c>
      <c r="H4613" s="1" t="s">
        <v>183</v>
      </c>
      <c r="I4613" s="1">
        <v>924.12</v>
      </c>
      <c r="J4613" s="1">
        <v>8</v>
      </c>
      <c r="K4613" s="1">
        <v>7392.96</v>
      </c>
      <c r="L4613" s="1">
        <v>0</v>
      </c>
      <c r="M4613" s="1">
        <v>0</v>
      </c>
      <c r="N4613" s="1">
        <v>7392.96</v>
      </c>
      <c r="O4613" s="1" t="s">
        <v>24</v>
      </c>
      <c r="P4613" s="1" t="s">
        <v>2459</v>
      </c>
      <c r="Q4613" s="1">
        <v>4</v>
      </c>
      <c r="R4613" s="1">
        <f>Retail_Sales_Analyis[[#This Row],[Final_Price]]-Retail_Sales_Analyis[[#This Row],[Total_Price]]</f>
        <v>0</v>
      </c>
      <c r="S46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14" spans="1:19" x14ac:dyDescent="0.25">
      <c r="A4614" s="1" t="s">
        <v>5745</v>
      </c>
      <c r="B4614" s="2">
        <v>45655</v>
      </c>
      <c r="C4614" s="1" t="s">
        <v>73</v>
      </c>
      <c r="D4614" s="1" t="s">
        <v>49</v>
      </c>
      <c r="E4614" s="1" t="s">
        <v>157</v>
      </c>
      <c r="F4614" s="1" t="s">
        <v>30</v>
      </c>
      <c r="G4614" s="1" t="s">
        <v>78</v>
      </c>
      <c r="H4614" s="1" t="s">
        <v>79</v>
      </c>
      <c r="I4614" s="1">
        <v>349.99</v>
      </c>
      <c r="J4614" s="1">
        <v>6</v>
      </c>
      <c r="K4614" s="1">
        <v>2099.94</v>
      </c>
      <c r="L4614" s="1">
        <v>0</v>
      </c>
      <c r="M4614" s="1">
        <v>0</v>
      </c>
      <c r="N4614" s="1">
        <v>2099.94</v>
      </c>
      <c r="O4614" s="1" t="s">
        <v>64</v>
      </c>
      <c r="P4614" s="1" t="s">
        <v>445</v>
      </c>
      <c r="Q4614" s="1">
        <v>2</v>
      </c>
      <c r="R4614" s="1">
        <f>Retail_Sales_Analyis[[#This Row],[Final_Price]]-Retail_Sales_Analyis[[#This Row],[Total_Price]]</f>
        <v>0</v>
      </c>
      <c r="S46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15" spans="1:19" x14ac:dyDescent="0.25">
      <c r="A4615" s="1" t="s">
        <v>5746</v>
      </c>
      <c r="B4615" s="2">
        <v>45621</v>
      </c>
      <c r="C4615" s="1" t="s">
        <v>18</v>
      </c>
      <c r="D4615" s="1" t="s">
        <v>43</v>
      </c>
      <c r="E4615" s="1" t="s">
        <v>322</v>
      </c>
      <c r="F4615" s="1" t="s">
        <v>21</v>
      </c>
      <c r="G4615" s="1" t="s">
        <v>85</v>
      </c>
      <c r="H4615" s="1" t="s">
        <v>90</v>
      </c>
      <c r="I4615" s="1">
        <v>2442.91</v>
      </c>
      <c r="J4615" s="1">
        <v>6</v>
      </c>
      <c r="K4615" s="1">
        <v>14657.46</v>
      </c>
      <c r="L4615" s="1">
        <v>20</v>
      </c>
      <c r="M4615" s="1">
        <v>2931.49</v>
      </c>
      <c r="N4615" s="1">
        <v>11725.97</v>
      </c>
      <c r="O4615" s="1" t="s">
        <v>46</v>
      </c>
      <c r="P4615" s="1" t="s">
        <v>1633</v>
      </c>
      <c r="Q4615" s="1">
        <v>1</v>
      </c>
      <c r="R4615" s="1">
        <f>Retail_Sales_Analyis[[#This Row],[Final_Price]]-Retail_Sales_Analyis[[#This Row],[Total_Price]]</f>
        <v>-2931.49</v>
      </c>
      <c r="S46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16" spans="1:19" x14ac:dyDescent="0.25">
      <c r="A4616" s="1" t="s">
        <v>5747</v>
      </c>
      <c r="B4616" s="2">
        <v>45432</v>
      </c>
      <c r="C4616" s="1" t="s">
        <v>42</v>
      </c>
      <c r="D4616" s="1" t="s">
        <v>43</v>
      </c>
      <c r="E4616" s="1" t="s">
        <v>213</v>
      </c>
      <c r="F4616" s="1" t="s">
        <v>69</v>
      </c>
      <c r="G4616" s="1" t="s">
        <v>85</v>
      </c>
      <c r="H4616" s="1" t="s">
        <v>180</v>
      </c>
      <c r="I4616" s="1">
        <v>2872.46</v>
      </c>
      <c r="J4616" s="1">
        <v>2</v>
      </c>
      <c r="K4616" s="1">
        <v>5744.92</v>
      </c>
      <c r="L4616" s="1">
        <v>20</v>
      </c>
      <c r="M4616" s="1">
        <v>1148.98</v>
      </c>
      <c r="N4616" s="1">
        <v>4595.9399999999996</v>
      </c>
      <c r="O4616" s="1" t="s">
        <v>33</v>
      </c>
      <c r="P4616" s="1" t="s">
        <v>1898</v>
      </c>
      <c r="Q4616" s="1">
        <v>5</v>
      </c>
      <c r="R4616" s="1">
        <f>Retail_Sales_Analyis[[#This Row],[Final_Price]]-Retail_Sales_Analyis[[#This Row],[Total_Price]]</f>
        <v>-1148.9800000000005</v>
      </c>
      <c r="S461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17" spans="1:19" x14ac:dyDescent="0.25">
      <c r="A4617" s="1" t="s">
        <v>5748</v>
      </c>
      <c r="B4617" s="2">
        <v>45508</v>
      </c>
      <c r="C4617" s="1" t="s">
        <v>93</v>
      </c>
      <c r="D4617" s="1" t="s">
        <v>49</v>
      </c>
      <c r="E4617" s="1" t="s">
        <v>139</v>
      </c>
      <c r="F4617" s="1" t="s">
        <v>30</v>
      </c>
      <c r="G4617" s="1" t="s">
        <v>78</v>
      </c>
      <c r="H4617" s="1" t="s">
        <v>79</v>
      </c>
      <c r="I4617" s="1">
        <v>473.8</v>
      </c>
      <c r="J4617" s="1">
        <v>2</v>
      </c>
      <c r="K4617" s="1">
        <v>947.6</v>
      </c>
      <c r="L4617" s="1">
        <v>0</v>
      </c>
      <c r="M4617" s="1">
        <v>0</v>
      </c>
      <c r="N4617" s="1">
        <v>947.6</v>
      </c>
      <c r="O4617" s="1" t="s">
        <v>80</v>
      </c>
      <c r="P4617" s="1" t="s">
        <v>1280</v>
      </c>
      <c r="Q4617" s="1">
        <v>1</v>
      </c>
      <c r="R4617" s="1">
        <f>Retail_Sales_Analyis[[#This Row],[Final_Price]]-Retail_Sales_Analyis[[#This Row],[Total_Price]]</f>
        <v>0</v>
      </c>
      <c r="S46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18" spans="1:19" x14ac:dyDescent="0.25">
      <c r="A4618" s="1" t="s">
        <v>5749</v>
      </c>
      <c r="B4618" s="2">
        <v>45484</v>
      </c>
      <c r="C4618" s="1" t="s">
        <v>195</v>
      </c>
      <c r="D4618" s="1" t="s">
        <v>67</v>
      </c>
      <c r="E4618" s="1" t="s">
        <v>97</v>
      </c>
      <c r="F4618" s="1" t="s">
        <v>37</v>
      </c>
      <c r="G4618" s="1" t="s">
        <v>112</v>
      </c>
      <c r="H4618" s="1" t="s">
        <v>118</v>
      </c>
      <c r="I4618" s="1">
        <v>1622.99</v>
      </c>
      <c r="J4618" s="1">
        <v>5</v>
      </c>
      <c r="K4618" s="1">
        <v>8114.95</v>
      </c>
      <c r="L4618" s="1">
        <v>0</v>
      </c>
      <c r="M4618" s="1">
        <v>0</v>
      </c>
      <c r="N4618" s="1">
        <v>8114.95</v>
      </c>
      <c r="O4618" s="1" t="s">
        <v>64</v>
      </c>
      <c r="P4618" s="1" t="s">
        <v>2303</v>
      </c>
      <c r="Q4618" s="1">
        <v>1</v>
      </c>
      <c r="R4618" s="1">
        <f>Retail_Sales_Analyis[[#This Row],[Final_Price]]-Retail_Sales_Analyis[[#This Row],[Total_Price]]</f>
        <v>0</v>
      </c>
      <c r="S46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19" spans="1:19" x14ac:dyDescent="0.25">
      <c r="A4619" s="1" t="s">
        <v>5750</v>
      </c>
      <c r="B4619" s="2">
        <v>45470</v>
      </c>
      <c r="C4619" s="1" t="s">
        <v>173</v>
      </c>
      <c r="D4619" s="1" t="s">
        <v>67</v>
      </c>
      <c r="E4619" s="1" t="s">
        <v>132</v>
      </c>
      <c r="F4619" s="1" t="s">
        <v>84</v>
      </c>
      <c r="G4619" s="1" t="s">
        <v>38</v>
      </c>
      <c r="H4619" s="1" t="s">
        <v>39</v>
      </c>
      <c r="I4619" s="1">
        <v>784.27</v>
      </c>
      <c r="J4619" s="1">
        <v>6</v>
      </c>
      <c r="K4619" s="1">
        <v>4705.62</v>
      </c>
      <c r="L4619" s="1">
        <v>0</v>
      </c>
      <c r="M4619" s="1">
        <v>0</v>
      </c>
      <c r="N4619" s="1">
        <v>4705.62</v>
      </c>
      <c r="O4619" s="1" t="s">
        <v>46</v>
      </c>
      <c r="P4619" s="1" t="s">
        <v>387</v>
      </c>
      <c r="Q4619" s="1">
        <v>4</v>
      </c>
      <c r="R4619" s="1">
        <f>Retail_Sales_Analyis[[#This Row],[Final_Price]]-Retail_Sales_Analyis[[#This Row],[Total_Price]]</f>
        <v>0</v>
      </c>
      <c r="S46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20" spans="1:19" x14ac:dyDescent="0.25">
      <c r="A4620" s="1" t="s">
        <v>5751</v>
      </c>
      <c r="B4620" s="2">
        <v>45527</v>
      </c>
      <c r="C4620" s="1" t="s">
        <v>93</v>
      </c>
      <c r="D4620" s="1" t="s">
        <v>144</v>
      </c>
      <c r="E4620" s="1" t="s">
        <v>107</v>
      </c>
      <c r="F4620" s="1" t="s">
        <v>69</v>
      </c>
      <c r="G4620" s="1" t="s">
        <v>57</v>
      </c>
      <c r="H4620" s="1" t="s">
        <v>101</v>
      </c>
      <c r="I4620" s="1">
        <v>2446.21</v>
      </c>
      <c r="J4620" s="1">
        <v>3</v>
      </c>
      <c r="K4620" s="1">
        <v>7338.63</v>
      </c>
      <c r="L4620" s="1">
        <v>5</v>
      </c>
      <c r="M4620" s="1">
        <v>366.93</v>
      </c>
      <c r="N4620" s="1">
        <v>6971.7</v>
      </c>
      <c r="O4620" s="1" t="s">
        <v>33</v>
      </c>
      <c r="P4620" s="1" t="s">
        <v>3543</v>
      </c>
      <c r="Q4620" s="1">
        <v>5</v>
      </c>
      <c r="R4620" s="1">
        <f>Retail_Sales_Analyis[[#This Row],[Final_Price]]-Retail_Sales_Analyis[[#This Row],[Total_Price]]</f>
        <v>-366.93000000000029</v>
      </c>
      <c r="S46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21" spans="1:19" x14ac:dyDescent="0.25">
      <c r="A4621" s="1" t="s">
        <v>5752</v>
      </c>
      <c r="B4621" s="2">
        <v>45421</v>
      </c>
      <c r="C4621" s="1" t="s">
        <v>42</v>
      </c>
      <c r="D4621" s="1" t="s">
        <v>67</v>
      </c>
      <c r="E4621" s="1" t="s">
        <v>342</v>
      </c>
      <c r="F4621" s="1" t="s">
        <v>84</v>
      </c>
      <c r="G4621" s="1" t="s">
        <v>38</v>
      </c>
      <c r="H4621" s="1" t="s">
        <v>108</v>
      </c>
      <c r="I4621" s="1">
        <v>258.29000000000002</v>
      </c>
      <c r="J4621" s="1">
        <v>8</v>
      </c>
      <c r="K4621" s="1">
        <v>2066.3200000000002</v>
      </c>
      <c r="L4621" s="1">
        <v>20</v>
      </c>
      <c r="M4621" s="1">
        <v>413.26</v>
      </c>
      <c r="N4621" s="1">
        <v>1653.06</v>
      </c>
      <c r="O4621" s="1" t="s">
        <v>80</v>
      </c>
      <c r="P4621" s="1" t="s">
        <v>3896</v>
      </c>
      <c r="Q4621" s="1">
        <v>2</v>
      </c>
      <c r="R4621" s="1">
        <f>Retail_Sales_Analyis[[#This Row],[Final_Price]]-Retail_Sales_Analyis[[#This Row],[Total_Price]]</f>
        <v>-413.26000000000022</v>
      </c>
      <c r="S462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22" spans="1:19" x14ac:dyDescent="0.25">
      <c r="A4622" s="1" t="s">
        <v>5753</v>
      </c>
      <c r="B4622" s="2">
        <v>45403</v>
      </c>
      <c r="C4622" s="1" t="s">
        <v>54</v>
      </c>
      <c r="D4622" s="1" t="s">
        <v>49</v>
      </c>
      <c r="E4622" s="1" t="s">
        <v>111</v>
      </c>
      <c r="F4622" s="1" t="s">
        <v>30</v>
      </c>
      <c r="G4622" s="1" t="s">
        <v>85</v>
      </c>
      <c r="H4622" s="1" t="s">
        <v>180</v>
      </c>
      <c r="I4622" s="1">
        <v>1712.67</v>
      </c>
      <c r="J4622" s="1">
        <v>4</v>
      </c>
      <c r="K4622" s="1">
        <v>6850.68</v>
      </c>
      <c r="L4622" s="1">
        <v>10</v>
      </c>
      <c r="M4622" s="1">
        <v>685.07</v>
      </c>
      <c r="N4622" s="1">
        <v>6165.61</v>
      </c>
      <c r="O4622" s="1" t="s">
        <v>24</v>
      </c>
      <c r="P4622" s="1" t="s">
        <v>1995</v>
      </c>
      <c r="Q4622" s="1">
        <v>4</v>
      </c>
      <c r="R4622" s="1">
        <f>Retail_Sales_Analyis[[#This Row],[Final_Price]]-Retail_Sales_Analyis[[#This Row],[Total_Price]]</f>
        <v>-685.07000000000062</v>
      </c>
      <c r="S46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23" spans="1:19" x14ac:dyDescent="0.25">
      <c r="A4623" s="1" t="s">
        <v>5754</v>
      </c>
      <c r="B4623" s="2">
        <v>45530</v>
      </c>
      <c r="C4623" s="1" t="s">
        <v>93</v>
      </c>
      <c r="D4623" s="1" t="s">
        <v>43</v>
      </c>
      <c r="E4623" s="1" t="s">
        <v>322</v>
      </c>
      <c r="F4623" s="1" t="s">
        <v>21</v>
      </c>
      <c r="G4623" s="1" t="s">
        <v>57</v>
      </c>
      <c r="H4623" s="1" t="s">
        <v>58</v>
      </c>
      <c r="I4623" s="1">
        <v>2471.36</v>
      </c>
      <c r="J4623" s="1">
        <v>8</v>
      </c>
      <c r="K4623" s="1">
        <v>19770.88</v>
      </c>
      <c r="L4623" s="1">
        <v>0</v>
      </c>
      <c r="M4623" s="1">
        <v>0</v>
      </c>
      <c r="N4623" s="1">
        <v>19770.88</v>
      </c>
      <c r="O4623" s="1" t="s">
        <v>64</v>
      </c>
      <c r="P4623" s="1" t="s">
        <v>1466</v>
      </c>
      <c r="Q4623" s="1">
        <v>3</v>
      </c>
      <c r="R4623" s="1">
        <f>Retail_Sales_Analyis[[#This Row],[Final_Price]]-Retail_Sales_Analyis[[#This Row],[Total_Price]]</f>
        <v>0</v>
      </c>
      <c r="S46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24" spans="1:19" x14ac:dyDescent="0.25">
      <c r="A4624" s="1" t="s">
        <v>5755</v>
      </c>
      <c r="B4624" s="2">
        <v>45446</v>
      </c>
      <c r="C4624" s="1" t="s">
        <v>173</v>
      </c>
      <c r="D4624" s="1" t="s">
        <v>43</v>
      </c>
      <c r="E4624" s="1" t="s">
        <v>141</v>
      </c>
      <c r="F4624" s="1" t="s">
        <v>37</v>
      </c>
      <c r="G4624" s="1" t="s">
        <v>57</v>
      </c>
      <c r="H4624" s="1" t="s">
        <v>122</v>
      </c>
      <c r="I4624" s="1">
        <v>2566.89</v>
      </c>
      <c r="J4624" s="1">
        <v>10</v>
      </c>
      <c r="K4624" s="1">
        <v>25668.9</v>
      </c>
      <c r="L4624" s="1">
        <v>0</v>
      </c>
      <c r="M4624" s="1">
        <v>0</v>
      </c>
      <c r="N4624" s="1">
        <v>25668.9</v>
      </c>
      <c r="O4624" s="1" t="s">
        <v>64</v>
      </c>
      <c r="P4624" s="1" t="s">
        <v>1789</v>
      </c>
      <c r="Q4624" s="1">
        <v>3</v>
      </c>
      <c r="R4624" s="1">
        <f>Retail_Sales_Analyis[[#This Row],[Final_Price]]-Retail_Sales_Analyis[[#This Row],[Total_Price]]</f>
        <v>0</v>
      </c>
      <c r="S46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25" spans="1:19" x14ac:dyDescent="0.25">
      <c r="A4625" s="1" t="s">
        <v>5756</v>
      </c>
      <c r="B4625" s="2">
        <v>45638</v>
      </c>
      <c r="C4625" s="1" t="s">
        <v>73</v>
      </c>
      <c r="D4625" s="1" t="s">
        <v>67</v>
      </c>
      <c r="E4625" s="1" t="s">
        <v>351</v>
      </c>
      <c r="F4625" s="1" t="s">
        <v>21</v>
      </c>
      <c r="G4625" s="1" t="s">
        <v>57</v>
      </c>
      <c r="H4625" s="1" t="s">
        <v>58</v>
      </c>
      <c r="I4625" s="1">
        <v>1290.24</v>
      </c>
      <c r="J4625" s="1">
        <v>5</v>
      </c>
      <c r="K4625" s="1">
        <v>6451.2</v>
      </c>
      <c r="L4625" s="1">
        <v>20</v>
      </c>
      <c r="M4625" s="1">
        <v>1290.24</v>
      </c>
      <c r="N4625" s="1">
        <v>5160.96</v>
      </c>
      <c r="O4625" s="1" t="s">
        <v>64</v>
      </c>
      <c r="P4625" s="1" t="s">
        <v>1870</v>
      </c>
      <c r="Q4625" s="1">
        <v>4</v>
      </c>
      <c r="R4625" s="1">
        <f>Retail_Sales_Analyis[[#This Row],[Final_Price]]-Retail_Sales_Analyis[[#This Row],[Total_Price]]</f>
        <v>-1290.2399999999998</v>
      </c>
      <c r="S462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26" spans="1:19" x14ac:dyDescent="0.25">
      <c r="A4626" s="1" t="s">
        <v>5757</v>
      </c>
      <c r="B4626" s="2">
        <v>45558</v>
      </c>
      <c r="C4626" s="1" t="s">
        <v>116</v>
      </c>
      <c r="D4626" s="1" t="s">
        <v>43</v>
      </c>
      <c r="E4626" s="1" t="s">
        <v>168</v>
      </c>
      <c r="F4626" s="1" t="s">
        <v>84</v>
      </c>
      <c r="G4626" s="1" t="s">
        <v>22</v>
      </c>
      <c r="H4626" s="1" t="s">
        <v>277</v>
      </c>
      <c r="I4626" s="1">
        <v>742.39</v>
      </c>
      <c r="J4626" s="1">
        <v>4</v>
      </c>
      <c r="K4626" s="1">
        <v>2969.56</v>
      </c>
      <c r="L4626" s="1">
        <v>0</v>
      </c>
      <c r="M4626" s="1">
        <v>0</v>
      </c>
      <c r="N4626" s="1">
        <v>2969.56</v>
      </c>
      <c r="O4626" s="1" t="s">
        <v>46</v>
      </c>
      <c r="P4626" s="1" t="s">
        <v>2828</v>
      </c>
      <c r="Q4626" s="1">
        <v>3</v>
      </c>
      <c r="R4626" s="1">
        <f>Retail_Sales_Analyis[[#This Row],[Final_Price]]-Retail_Sales_Analyis[[#This Row],[Total_Price]]</f>
        <v>0</v>
      </c>
      <c r="S46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27" spans="1:19" x14ac:dyDescent="0.25">
      <c r="A4627" s="1" t="s">
        <v>5758</v>
      </c>
      <c r="B4627" s="2">
        <v>45611</v>
      </c>
      <c r="C4627" s="1" t="s">
        <v>18</v>
      </c>
      <c r="D4627" s="1" t="s">
        <v>144</v>
      </c>
      <c r="E4627" s="1" t="s">
        <v>342</v>
      </c>
      <c r="F4627" s="1" t="s">
        <v>84</v>
      </c>
      <c r="G4627" s="1" t="s">
        <v>38</v>
      </c>
      <c r="H4627" s="1" t="s">
        <v>422</v>
      </c>
      <c r="I4627" s="1">
        <v>766.63</v>
      </c>
      <c r="J4627" s="1">
        <v>9</v>
      </c>
      <c r="K4627" s="1">
        <v>6899.67</v>
      </c>
      <c r="L4627" s="1">
        <v>20</v>
      </c>
      <c r="M4627" s="1">
        <v>1379.93</v>
      </c>
      <c r="N4627" s="1">
        <v>5519.74</v>
      </c>
      <c r="O4627" s="1" t="s">
        <v>24</v>
      </c>
      <c r="P4627" s="1" t="s">
        <v>3359</v>
      </c>
      <c r="Q4627" s="1">
        <v>3</v>
      </c>
      <c r="R4627" s="1">
        <f>Retail_Sales_Analyis[[#This Row],[Final_Price]]-Retail_Sales_Analyis[[#This Row],[Total_Price]]</f>
        <v>-1379.9300000000003</v>
      </c>
      <c r="S46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28" spans="1:19" x14ac:dyDescent="0.25">
      <c r="A4628" s="1" t="s">
        <v>5759</v>
      </c>
      <c r="B4628" s="2">
        <v>45495</v>
      </c>
      <c r="C4628" s="1" t="s">
        <v>195</v>
      </c>
      <c r="D4628" s="1" t="s">
        <v>43</v>
      </c>
      <c r="E4628" s="1" t="s">
        <v>141</v>
      </c>
      <c r="F4628" s="1" t="s">
        <v>69</v>
      </c>
      <c r="G4628" s="1" t="s">
        <v>78</v>
      </c>
      <c r="H4628" s="1" t="s">
        <v>79</v>
      </c>
      <c r="I4628" s="1">
        <v>562.27</v>
      </c>
      <c r="J4628" s="1">
        <v>7</v>
      </c>
      <c r="K4628" s="1">
        <v>3935.89</v>
      </c>
      <c r="L4628" s="1">
        <v>15</v>
      </c>
      <c r="M4628" s="1">
        <v>590.38</v>
      </c>
      <c r="N4628" s="1">
        <v>3345.51</v>
      </c>
      <c r="O4628" s="1" t="s">
        <v>64</v>
      </c>
      <c r="P4628" s="1" t="s">
        <v>360</v>
      </c>
      <c r="Q4628" s="1">
        <v>1</v>
      </c>
      <c r="R4628" s="1">
        <f>Retail_Sales_Analyis[[#This Row],[Final_Price]]-Retail_Sales_Analyis[[#This Row],[Total_Price]]</f>
        <v>-590.37999999999965</v>
      </c>
      <c r="S46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29" spans="1:19" x14ac:dyDescent="0.25">
      <c r="A4629" s="1" t="s">
        <v>5760</v>
      </c>
      <c r="B4629" s="2">
        <v>45591</v>
      </c>
      <c r="C4629" s="1" t="s">
        <v>76</v>
      </c>
      <c r="D4629" s="1" t="s">
        <v>19</v>
      </c>
      <c r="E4629" s="1" t="s">
        <v>186</v>
      </c>
      <c r="F4629" s="1" t="s">
        <v>37</v>
      </c>
      <c r="G4629" s="1" t="s">
        <v>31</v>
      </c>
      <c r="H4629" s="1" t="s">
        <v>32</v>
      </c>
      <c r="I4629" s="1">
        <v>401.48</v>
      </c>
      <c r="J4629" s="1">
        <v>4</v>
      </c>
      <c r="K4629" s="1">
        <v>1605.92</v>
      </c>
      <c r="L4629" s="1">
        <v>15</v>
      </c>
      <c r="M4629" s="1">
        <v>240.89</v>
      </c>
      <c r="N4629" s="1">
        <v>1365.03</v>
      </c>
      <c r="O4629" s="1" t="s">
        <v>24</v>
      </c>
      <c r="P4629" s="1" t="s">
        <v>3419</v>
      </c>
      <c r="Q4629" s="1">
        <v>2</v>
      </c>
      <c r="R4629" s="1">
        <f>Retail_Sales_Analyis[[#This Row],[Final_Price]]-Retail_Sales_Analyis[[#This Row],[Total_Price]]</f>
        <v>-240.8900000000001</v>
      </c>
      <c r="S46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0" spans="1:19" x14ac:dyDescent="0.25">
      <c r="A4630" s="1" t="s">
        <v>5761</v>
      </c>
      <c r="B4630" s="2">
        <v>45344</v>
      </c>
      <c r="C4630" s="1" t="s">
        <v>27</v>
      </c>
      <c r="D4630" s="1" t="s">
        <v>67</v>
      </c>
      <c r="E4630" s="1" t="s">
        <v>328</v>
      </c>
      <c r="F4630" s="1" t="s">
        <v>21</v>
      </c>
      <c r="G4630" s="1" t="s">
        <v>85</v>
      </c>
      <c r="H4630" s="1" t="s">
        <v>98</v>
      </c>
      <c r="I4630" s="1">
        <v>1962.7</v>
      </c>
      <c r="J4630" s="1">
        <v>4</v>
      </c>
      <c r="K4630" s="1">
        <v>7850.8</v>
      </c>
      <c r="L4630" s="1">
        <v>15</v>
      </c>
      <c r="M4630" s="1">
        <v>1177.6199999999999</v>
      </c>
      <c r="N4630" s="1">
        <v>6673.18</v>
      </c>
      <c r="O4630" s="1" t="s">
        <v>80</v>
      </c>
      <c r="P4630" s="1" t="s">
        <v>1908</v>
      </c>
      <c r="Q4630" s="1">
        <v>5</v>
      </c>
      <c r="R4630" s="1">
        <f>Retail_Sales_Analyis[[#This Row],[Final_Price]]-Retail_Sales_Analyis[[#This Row],[Total_Price]]</f>
        <v>-1177.6199999999999</v>
      </c>
      <c r="S463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1" spans="1:19" x14ac:dyDescent="0.25">
      <c r="A4631" s="1" t="s">
        <v>5762</v>
      </c>
      <c r="B4631" s="2">
        <v>45295</v>
      </c>
      <c r="C4631" s="1" t="s">
        <v>36</v>
      </c>
      <c r="D4631" s="1" t="s">
        <v>67</v>
      </c>
      <c r="E4631" s="1" t="s">
        <v>44</v>
      </c>
      <c r="F4631" s="1" t="s">
        <v>37</v>
      </c>
      <c r="G4631" s="1" t="s">
        <v>22</v>
      </c>
      <c r="H4631" s="1" t="s">
        <v>133</v>
      </c>
      <c r="I4631" s="1">
        <v>814.81</v>
      </c>
      <c r="J4631" s="1">
        <v>6</v>
      </c>
      <c r="K4631" s="1">
        <v>4888.8599999999997</v>
      </c>
      <c r="L4631" s="1">
        <v>0</v>
      </c>
      <c r="M4631" s="1">
        <v>0</v>
      </c>
      <c r="N4631" s="1">
        <v>4888.8599999999997</v>
      </c>
      <c r="O4631" s="1" t="s">
        <v>80</v>
      </c>
      <c r="P4631" s="1" t="s">
        <v>549</v>
      </c>
      <c r="Q4631" s="1">
        <v>2</v>
      </c>
      <c r="R4631" s="1">
        <f>Retail_Sales_Analyis[[#This Row],[Final_Price]]-Retail_Sales_Analyis[[#This Row],[Total_Price]]</f>
        <v>0</v>
      </c>
      <c r="S46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32" spans="1:19" x14ac:dyDescent="0.25">
      <c r="A4632" s="1" t="s">
        <v>5763</v>
      </c>
      <c r="B4632" s="2">
        <v>45553</v>
      </c>
      <c r="C4632" s="1" t="s">
        <v>116</v>
      </c>
      <c r="D4632" s="1" t="s">
        <v>55</v>
      </c>
      <c r="E4632" s="1" t="s">
        <v>121</v>
      </c>
      <c r="F4632" s="1" t="s">
        <v>69</v>
      </c>
      <c r="G4632" s="1" t="s">
        <v>112</v>
      </c>
      <c r="H4632" s="1" t="s">
        <v>223</v>
      </c>
      <c r="I4632" s="1">
        <v>1667.32</v>
      </c>
      <c r="J4632" s="1">
        <v>4</v>
      </c>
      <c r="K4632" s="1">
        <v>6669.28</v>
      </c>
      <c r="L4632" s="1">
        <v>20</v>
      </c>
      <c r="M4632" s="1">
        <v>1333.86</v>
      </c>
      <c r="N4632" s="1">
        <v>5335.42</v>
      </c>
      <c r="O4632" s="1" t="s">
        <v>80</v>
      </c>
      <c r="P4632" s="1" t="s">
        <v>621</v>
      </c>
      <c r="Q4632" s="1">
        <v>4</v>
      </c>
      <c r="R4632" s="1">
        <f>Retail_Sales_Analyis[[#This Row],[Final_Price]]-Retail_Sales_Analyis[[#This Row],[Total_Price]]</f>
        <v>-1333.8599999999997</v>
      </c>
      <c r="S463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33" spans="1:19" x14ac:dyDescent="0.25">
      <c r="A4633" s="1" t="s">
        <v>5764</v>
      </c>
      <c r="B4633" s="2">
        <v>45631</v>
      </c>
      <c r="C4633" s="1" t="s">
        <v>73</v>
      </c>
      <c r="D4633" s="1" t="s">
        <v>67</v>
      </c>
      <c r="E4633" s="1" t="s">
        <v>342</v>
      </c>
      <c r="F4633" s="1" t="s">
        <v>21</v>
      </c>
      <c r="G4633" s="1" t="s">
        <v>38</v>
      </c>
      <c r="H4633" s="1" t="s">
        <v>108</v>
      </c>
      <c r="I4633" s="1">
        <v>128.07</v>
      </c>
      <c r="J4633" s="1">
        <v>8</v>
      </c>
      <c r="K4633" s="1">
        <v>1024.56</v>
      </c>
      <c r="L4633" s="1">
        <v>15</v>
      </c>
      <c r="M4633" s="1">
        <v>153.68</v>
      </c>
      <c r="N4633" s="1">
        <v>870.88</v>
      </c>
      <c r="O4633" s="1" t="s">
        <v>64</v>
      </c>
      <c r="P4633" s="1" t="s">
        <v>601</v>
      </c>
      <c r="Q4633" s="1">
        <v>4</v>
      </c>
      <c r="R4633" s="1">
        <f>Retail_Sales_Analyis[[#This Row],[Final_Price]]-Retail_Sales_Analyis[[#This Row],[Total_Price]]</f>
        <v>-153.67999999999995</v>
      </c>
      <c r="S46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4" spans="1:19" x14ac:dyDescent="0.25">
      <c r="A4634" s="1" t="s">
        <v>5765</v>
      </c>
      <c r="B4634" s="2">
        <v>45483</v>
      </c>
      <c r="C4634" s="1" t="s">
        <v>195</v>
      </c>
      <c r="D4634" s="1" t="s">
        <v>55</v>
      </c>
      <c r="E4634" s="1" t="s">
        <v>261</v>
      </c>
      <c r="F4634" s="1" t="s">
        <v>84</v>
      </c>
      <c r="G4634" s="1" t="s">
        <v>78</v>
      </c>
      <c r="H4634" s="1" t="s">
        <v>136</v>
      </c>
      <c r="I4634" s="1">
        <v>480.16</v>
      </c>
      <c r="J4634" s="1">
        <v>10</v>
      </c>
      <c r="K4634" s="1">
        <v>4801.6000000000004</v>
      </c>
      <c r="L4634" s="1">
        <v>5</v>
      </c>
      <c r="M4634" s="1">
        <v>240.08</v>
      </c>
      <c r="N4634" s="1">
        <v>4561.5200000000004</v>
      </c>
      <c r="O4634" s="1" t="s">
        <v>33</v>
      </c>
      <c r="P4634" s="1" t="s">
        <v>727</v>
      </c>
      <c r="Q4634" s="1">
        <v>2</v>
      </c>
      <c r="R4634" s="1">
        <f>Retail_Sales_Analyis[[#This Row],[Final_Price]]-Retail_Sales_Analyis[[#This Row],[Total_Price]]</f>
        <v>-240.07999999999993</v>
      </c>
      <c r="S46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35" spans="1:19" x14ac:dyDescent="0.25">
      <c r="A4635" s="1" t="s">
        <v>5766</v>
      </c>
      <c r="B4635" s="2">
        <v>45579</v>
      </c>
      <c r="C4635" s="1" t="s">
        <v>76</v>
      </c>
      <c r="D4635" s="1" t="s">
        <v>43</v>
      </c>
      <c r="E4635" s="1" t="s">
        <v>163</v>
      </c>
      <c r="F4635" s="1" t="s">
        <v>84</v>
      </c>
      <c r="G4635" s="1" t="s">
        <v>78</v>
      </c>
      <c r="H4635" s="1" t="s">
        <v>146</v>
      </c>
      <c r="I4635" s="1">
        <v>586.94000000000005</v>
      </c>
      <c r="J4635" s="1">
        <v>8</v>
      </c>
      <c r="K4635" s="1">
        <v>4695.5200000000004</v>
      </c>
      <c r="L4635" s="1">
        <v>0</v>
      </c>
      <c r="M4635" s="1">
        <v>0</v>
      </c>
      <c r="N4635" s="1">
        <v>4695.5200000000004</v>
      </c>
      <c r="O4635" s="1" t="s">
        <v>80</v>
      </c>
      <c r="P4635" s="1" t="s">
        <v>707</v>
      </c>
      <c r="Q4635" s="1">
        <v>1</v>
      </c>
      <c r="R4635" s="1">
        <f>Retail_Sales_Analyis[[#This Row],[Final_Price]]-Retail_Sales_Analyis[[#This Row],[Total_Price]]</f>
        <v>0</v>
      </c>
      <c r="S46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36" spans="1:19" x14ac:dyDescent="0.25">
      <c r="A4636" s="1" t="s">
        <v>5767</v>
      </c>
      <c r="B4636" s="2">
        <v>45623</v>
      </c>
      <c r="C4636" s="1" t="s">
        <v>18</v>
      </c>
      <c r="D4636" s="1" t="s">
        <v>55</v>
      </c>
      <c r="E4636" s="1" t="s">
        <v>239</v>
      </c>
      <c r="F4636" s="1" t="s">
        <v>84</v>
      </c>
      <c r="G4636" s="1" t="s">
        <v>85</v>
      </c>
      <c r="H4636" s="1" t="s">
        <v>98</v>
      </c>
      <c r="I4636" s="1">
        <v>1759.63</v>
      </c>
      <c r="J4636" s="1">
        <v>1</v>
      </c>
      <c r="K4636" s="1">
        <v>1759.63</v>
      </c>
      <c r="L4636" s="1">
        <v>10</v>
      </c>
      <c r="M4636" s="1">
        <v>175.96</v>
      </c>
      <c r="N4636" s="1">
        <v>1583.67</v>
      </c>
      <c r="O4636" s="1" t="s">
        <v>33</v>
      </c>
      <c r="P4636" s="1" t="s">
        <v>2342</v>
      </c>
      <c r="Q4636" s="1">
        <v>1</v>
      </c>
      <c r="R4636" s="1">
        <f>Retail_Sales_Analyis[[#This Row],[Final_Price]]-Retail_Sales_Analyis[[#This Row],[Total_Price]]</f>
        <v>-175.96000000000004</v>
      </c>
      <c r="S46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7" spans="1:19" x14ac:dyDescent="0.25">
      <c r="A4637" s="1" t="s">
        <v>5768</v>
      </c>
      <c r="B4637" s="2">
        <v>45596</v>
      </c>
      <c r="C4637" s="1" t="s">
        <v>76</v>
      </c>
      <c r="D4637" s="1" t="s">
        <v>67</v>
      </c>
      <c r="E4637" s="1" t="s">
        <v>542</v>
      </c>
      <c r="F4637" s="1" t="s">
        <v>84</v>
      </c>
      <c r="G4637" s="1" t="s">
        <v>85</v>
      </c>
      <c r="H4637" s="1" t="s">
        <v>180</v>
      </c>
      <c r="I4637" s="1">
        <v>2856.57</v>
      </c>
      <c r="J4637" s="1">
        <v>1</v>
      </c>
      <c r="K4637" s="1">
        <v>2856.57</v>
      </c>
      <c r="L4637" s="1">
        <v>15</v>
      </c>
      <c r="M4637" s="1">
        <v>428.49</v>
      </c>
      <c r="N4637" s="1">
        <v>2428.08</v>
      </c>
      <c r="O4637" s="1" t="s">
        <v>33</v>
      </c>
      <c r="P4637" s="1" t="s">
        <v>1589</v>
      </c>
      <c r="Q4637" s="1">
        <v>3</v>
      </c>
      <c r="R4637" s="1">
        <f>Retail_Sales_Analyis[[#This Row],[Final_Price]]-Retail_Sales_Analyis[[#This Row],[Total_Price]]</f>
        <v>-428.49000000000024</v>
      </c>
      <c r="S46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8" spans="1:19" x14ac:dyDescent="0.25">
      <c r="A4638" s="1" t="s">
        <v>5769</v>
      </c>
      <c r="B4638" s="2">
        <v>45603</v>
      </c>
      <c r="C4638" s="1" t="s">
        <v>18</v>
      </c>
      <c r="D4638" s="1" t="s">
        <v>67</v>
      </c>
      <c r="E4638" s="1" t="s">
        <v>207</v>
      </c>
      <c r="F4638" s="1" t="s">
        <v>69</v>
      </c>
      <c r="G4638" s="1" t="s">
        <v>22</v>
      </c>
      <c r="H4638" s="1" t="s">
        <v>23</v>
      </c>
      <c r="I4638" s="1">
        <v>283.45</v>
      </c>
      <c r="J4638" s="1">
        <v>10</v>
      </c>
      <c r="K4638" s="1">
        <v>2834.5</v>
      </c>
      <c r="L4638" s="1">
        <v>10</v>
      </c>
      <c r="M4638" s="1">
        <v>283.45</v>
      </c>
      <c r="N4638" s="1">
        <v>2551.0500000000002</v>
      </c>
      <c r="O4638" s="1" t="s">
        <v>33</v>
      </c>
      <c r="P4638" s="1" t="s">
        <v>4744</v>
      </c>
      <c r="Q4638" s="1">
        <v>2</v>
      </c>
      <c r="R4638" s="1">
        <f>Retail_Sales_Analyis[[#This Row],[Final_Price]]-Retail_Sales_Analyis[[#This Row],[Total_Price]]</f>
        <v>-283.44999999999982</v>
      </c>
      <c r="S46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39" spans="1:19" x14ac:dyDescent="0.25">
      <c r="A4639" s="1" t="s">
        <v>5770</v>
      </c>
      <c r="B4639" s="2">
        <v>45436</v>
      </c>
      <c r="C4639" s="1" t="s">
        <v>42</v>
      </c>
      <c r="D4639" s="1" t="s">
        <v>144</v>
      </c>
      <c r="E4639" s="1" t="s">
        <v>121</v>
      </c>
      <c r="F4639" s="1" t="s">
        <v>37</v>
      </c>
      <c r="G4639" s="1" t="s">
        <v>85</v>
      </c>
      <c r="H4639" s="1" t="s">
        <v>90</v>
      </c>
      <c r="I4639" s="1">
        <v>3595.67</v>
      </c>
      <c r="J4639" s="1">
        <v>2</v>
      </c>
      <c r="K4639" s="1">
        <v>7191.34</v>
      </c>
      <c r="L4639" s="1">
        <v>5</v>
      </c>
      <c r="M4639" s="1">
        <v>359.57</v>
      </c>
      <c r="N4639" s="1">
        <v>6831.77</v>
      </c>
      <c r="O4639" s="1" t="s">
        <v>80</v>
      </c>
      <c r="P4639" s="1" t="s">
        <v>1102</v>
      </c>
      <c r="Q4639" s="1">
        <v>5</v>
      </c>
      <c r="R4639" s="1">
        <f>Retail_Sales_Analyis[[#This Row],[Final_Price]]-Retail_Sales_Analyis[[#This Row],[Total_Price]]</f>
        <v>-359.56999999999971</v>
      </c>
      <c r="S46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40" spans="1:19" x14ac:dyDescent="0.25">
      <c r="A4640" s="1" t="s">
        <v>5771</v>
      </c>
      <c r="B4640" s="2">
        <v>45444</v>
      </c>
      <c r="C4640" s="1" t="s">
        <v>173</v>
      </c>
      <c r="D4640" s="1" t="s">
        <v>19</v>
      </c>
      <c r="E4640" s="1" t="s">
        <v>236</v>
      </c>
      <c r="F4640" s="1" t="s">
        <v>69</v>
      </c>
      <c r="G4640" s="1" t="s">
        <v>22</v>
      </c>
      <c r="H4640" s="1" t="s">
        <v>51</v>
      </c>
      <c r="I4640" s="1">
        <v>882.82</v>
      </c>
      <c r="J4640" s="1">
        <v>9</v>
      </c>
      <c r="K4640" s="1">
        <v>7945.38</v>
      </c>
      <c r="L4640" s="1">
        <v>15</v>
      </c>
      <c r="M4640" s="1">
        <v>1191.81</v>
      </c>
      <c r="N4640" s="1">
        <v>6753.57</v>
      </c>
      <c r="O4640" s="1" t="s">
        <v>80</v>
      </c>
      <c r="P4640" s="1" t="s">
        <v>3627</v>
      </c>
      <c r="Q4640" s="1">
        <v>1</v>
      </c>
      <c r="R4640" s="1">
        <f>Retail_Sales_Analyis[[#This Row],[Final_Price]]-Retail_Sales_Analyis[[#This Row],[Total_Price]]</f>
        <v>-1191.8100000000004</v>
      </c>
      <c r="S46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1" spans="1:19" x14ac:dyDescent="0.25">
      <c r="A4641" s="1" t="s">
        <v>5772</v>
      </c>
      <c r="B4641" s="2">
        <v>45642</v>
      </c>
      <c r="C4641" s="1" t="s">
        <v>73</v>
      </c>
      <c r="D4641" s="1" t="s">
        <v>43</v>
      </c>
      <c r="E4641" s="1" t="s">
        <v>285</v>
      </c>
      <c r="F4641" s="1" t="s">
        <v>30</v>
      </c>
      <c r="G4641" s="1" t="s">
        <v>112</v>
      </c>
      <c r="H4641" s="1" t="s">
        <v>118</v>
      </c>
      <c r="I4641" s="1">
        <v>1590.37</v>
      </c>
      <c r="J4641" s="1">
        <v>3</v>
      </c>
      <c r="K4641" s="1">
        <v>4771.1099999999997</v>
      </c>
      <c r="L4641" s="1">
        <v>0</v>
      </c>
      <c r="M4641" s="1">
        <v>0</v>
      </c>
      <c r="N4641" s="1">
        <v>4771.1099999999997</v>
      </c>
      <c r="O4641" s="1" t="s">
        <v>64</v>
      </c>
      <c r="P4641" s="1" t="s">
        <v>1129</v>
      </c>
      <c r="Q4641" s="1">
        <v>5</v>
      </c>
      <c r="R4641" s="1">
        <f>Retail_Sales_Analyis[[#This Row],[Final_Price]]-Retail_Sales_Analyis[[#This Row],[Total_Price]]</f>
        <v>0</v>
      </c>
      <c r="S46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42" spans="1:19" x14ac:dyDescent="0.25">
      <c r="A4642" s="1" t="s">
        <v>5773</v>
      </c>
      <c r="B4642" s="2">
        <v>45347</v>
      </c>
      <c r="C4642" s="1" t="s">
        <v>27</v>
      </c>
      <c r="D4642" s="1" t="s">
        <v>49</v>
      </c>
      <c r="E4642" s="1" t="s">
        <v>89</v>
      </c>
      <c r="F4642" s="1" t="s">
        <v>21</v>
      </c>
      <c r="G4642" s="1" t="s">
        <v>78</v>
      </c>
      <c r="H4642" s="1" t="s">
        <v>126</v>
      </c>
      <c r="I4642" s="1">
        <v>568</v>
      </c>
      <c r="J4642" s="1">
        <v>7</v>
      </c>
      <c r="K4642" s="1">
        <v>3976</v>
      </c>
      <c r="L4642" s="1">
        <v>10</v>
      </c>
      <c r="M4642" s="1">
        <v>397.6</v>
      </c>
      <c r="N4642" s="1">
        <v>3578.4</v>
      </c>
      <c r="O4642" s="1" t="s">
        <v>24</v>
      </c>
      <c r="P4642" s="1" t="s">
        <v>1056</v>
      </c>
      <c r="Q4642" s="1">
        <v>4</v>
      </c>
      <c r="R4642" s="1">
        <f>Retail_Sales_Analyis[[#This Row],[Final_Price]]-Retail_Sales_Analyis[[#This Row],[Total_Price]]</f>
        <v>-397.59999999999991</v>
      </c>
      <c r="S46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3" spans="1:19" x14ac:dyDescent="0.25">
      <c r="A4643" s="1" t="s">
        <v>5774</v>
      </c>
      <c r="B4643" s="2">
        <v>45538</v>
      </c>
      <c r="C4643" s="1" t="s">
        <v>116</v>
      </c>
      <c r="D4643" s="1" t="s">
        <v>28</v>
      </c>
      <c r="E4643" s="1" t="s">
        <v>312</v>
      </c>
      <c r="F4643" s="1" t="s">
        <v>37</v>
      </c>
      <c r="G4643" s="1" t="s">
        <v>38</v>
      </c>
      <c r="H4643" s="1" t="s">
        <v>39</v>
      </c>
      <c r="I4643" s="1">
        <v>566.08000000000004</v>
      </c>
      <c r="J4643" s="1">
        <v>10</v>
      </c>
      <c r="K4643" s="1">
        <v>5660.8</v>
      </c>
      <c r="L4643" s="1">
        <v>20</v>
      </c>
      <c r="M4643" s="1">
        <v>1132.1600000000001</v>
      </c>
      <c r="N4643" s="1">
        <v>4528.6400000000003</v>
      </c>
      <c r="O4643" s="1" t="s">
        <v>33</v>
      </c>
      <c r="P4643" s="1" t="s">
        <v>3787</v>
      </c>
      <c r="Q4643" s="1">
        <v>5</v>
      </c>
      <c r="R4643" s="1">
        <f>Retail_Sales_Analyis[[#This Row],[Final_Price]]-Retail_Sales_Analyis[[#This Row],[Total_Price]]</f>
        <v>-1132.1599999999999</v>
      </c>
      <c r="S46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44" spans="1:19" x14ac:dyDescent="0.25">
      <c r="A4644" s="1" t="s">
        <v>5775</v>
      </c>
      <c r="B4644" s="2">
        <v>45324</v>
      </c>
      <c r="C4644" s="1" t="s">
        <v>27</v>
      </c>
      <c r="D4644" s="1" t="s">
        <v>144</v>
      </c>
      <c r="E4644" s="1" t="s">
        <v>204</v>
      </c>
      <c r="F4644" s="1" t="s">
        <v>37</v>
      </c>
      <c r="G4644" s="1" t="s">
        <v>169</v>
      </c>
      <c r="H4644" s="1" t="s">
        <v>208</v>
      </c>
      <c r="I4644" s="1">
        <v>969.13</v>
      </c>
      <c r="J4644" s="1">
        <v>9</v>
      </c>
      <c r="K4644" s="1">
        <v>8722.17</v>
      </c>
      <c r="L4644" s="1">
        <v>0</v>
      </c>
      <c r="M4644" s="1">
        <v>0</v>
      </c>
      <c r="N4644" s="1">
        <v>8722.17</v>
      </c>
      <c r="O4644" s="1" t="s">
        <v>46</v>
      </c>
      <c r="P4644" s="1" t="s">
        <v>360</v>
      </c>
      <c r="Q4644" s="1">
        <v>5</v>
      </c>
      <c r="R4644" s="1">
        <f>Retail_Sales_Analyis[[#This Row],[Final_Price]]-Retail_Sales_Analyis[[#This Row],[Total_Price]]</f>
        <v>0</v>
      </c>
      <c r="S46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45" spans="1:19" x14ac:dyDescent="0.25">
      <c r="A4645" s="1" t="s">
        <v>5776</v>
      </c>
      <c r="B4645" s="2">
        <v>45464</v>
      </c>
      <c r="C4645" s="1" t="s">
        <v>173</v>
      </c>
      <c r="D4645" s="1" t="s">
        <v>144</v>
      </c>
      <c r="E4645" s="1" t="s">
        <v>342</v>
      </c>
      <c r="F4645" s="1" t="s">
        <v>30</v>
      </c>
      <c r="G4645" s="1" t="s">
        <v>78</v>
      </c>
      <c r="H4645" s="1" t="s">
        <v>323</v>
      </c>
      <c r="I4645" s="1">
        <v>265.83999999999997</v>
      </c>
      <c r="J4645" s="1">
        <v>9</v>
      </c>
      <c r="K4645" s="1">
        <v>2392.56</v>
      </c>
      <c r="L4645" s="1">
        <v>5</v>
      </c>
      <c r="M4645" s="1">
        <v>119.63</v>
      </c>
      <c r="N4645" s="1">
        <v>2272.9299999999998</v>
      </c>
      <c r="O4645" s="1" t="s">
        <v>80</v>
      </c>
      <c r="P4645" s="1" t="s">
        <v>286</v>
      </c>
      <c r="Q4645" s="1">
        <v>5</v>
      </c>
      <c r="R4645" s="1">
        <f>Retail_Sales_Analyis[[#This Row],[Final_Price]]-Retail_Sales_Analyis[[#This Row],[Total_Price]]</f>
        <v>-119.63000000000011</v>
      </c>
      <c r="S464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46" spans="1:19" x14ac:dyDescent="0.25">
      <c r="A4646" s="1" t="s">
        <v>5777</v>
      </c>
      <c r="B4646" s="2">
        <v>45433</v>
      </c>
      <c r="C4646" s="1" t="s">
        <v>42</v>
      </c>
      <c r="D4646" s="1" t="s">
        <v>28</v>
      </c>
      <c r="E4646" s="1" t="s">
        <v>117</v>
      </c>
      <c r="F4646" s="1" t="s">
        <v>21</v>
      </c>
      <c r="G4646" s="1" t="s">
        <v>57</v>
      </c>
      <c r="H4646" s="1" t="s">
        <v>101</v>
      </c>
      <c r="I4646" s="1">
        <v>913.94</v>
      </c>
      <c r="J4646" s="1">
        <v>6</v>
      </c>
      <c r="K4646" s="1">
        <v>5483.64</v>
      </c>
      <c r="L4646" s="1">
        <v>10</v>
      </c>
      <c r="M4646" s="1">
        <v>548.36</v>
      </c>
      <c r="N4646" s="1">
        <v>4935.28</v>
      </c>
      <c r="O4646" s="1" t="s">
        <v>33</v>
      </c>
      <c r="P4646" s="1" t="s">
        <v>1544</v>
      </c>
      <c r="Q4646" s="1">
        <v>4</v>
      </c>
      <c r="R4646" s="1">
        <f>Retail_Sales_Analyis[[#This Row],[Final_Price]]-Retail_Sales_Analyis[[#This Row],[Total_Price]]</f>
        <v>-548.36000000000058</v>
      </c>
      <c r="S46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7" spans="1:19" x14ac:dyDescent="0.25">
      <c r="A4647" s="1" t="s">
        <v>5778</v>
      </c>
      <c r="B4647" s="2">
        <v>45619</v>
      </c>
      <c r="C4647" s="1" t="s">
        <v>18</v>
      </c>
      <c r="D4647" s="1" t="s">
        <v>19</v>
      </c>
      <c r="E4647" s="1" t="s">
        <v>302</v>
      </c>
      <c r="F4647" s="1" t="s">
        <v>69</v>
      </c>
      <c r="G4647" s="1" t="s">
        <v>112</v>
      </c>
      <c r="H4647" s="1" t="s">
        <v>113</v>
      </c>
      <c r="I4647" s="1">
        <v>649.94000000000005</v>
      </c>
      <c r="J4647" s="1">
        <v>2</v>
      </c>
      <c r="K4647" s="1">
        <v>1299.8800000000001</v>
      </c>
      <c r="L4647" s="1">
        <v>15</v>
      </c>
      <c r="M4647" s="1">
        <v>194.98</v>
      </c>
      <c r="N4647" s="1">
        <v>1104.9000000000001</v>
      </c>
      <c r="O4647" s="1" t="s">
        <v>80</v>
      </c>
      <c r="P4647" s="1" t="s">
        <v>427</v>
      </c>
      <c r="Q4647" s="1">
        <v>1</v>
      </c>
      <c r="R4647" s="1">
        <f>Retail_Sales_Analyis[[#This Row],[Final_Price]]-Retail_Sales_Analyis[[#This Row],[Total_Price]]</f>
        <v>-194.98000000000002</v>
      </c>
      <c r="S464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8" spans="1:19" x14ac:dyDescent="0.25">
      <c r="A4648" s="1" t="s">
        <v>5779</v>
      </c>
      <c r="B4648" s="2">
        <v>45458</v>
      </c>
      <c r="C4648" s="1" t="s">
        <v>173</v>
      </c>
      <c r="D4648" s="1" t="s">
        <v>19</v>
      </c>
      <c r="E4648" s="1" t="s">
        <v>125</v>
      </c>
      <c r="F4648" s="1" t="s">
        <v>37</v>
      </c>
      <c r="G4648" s="1" t="s">
        <v>22</v>
      </c>
      <c r="H4648" s="1" t="s">
        <v>277</v>
      </c>
      <c r="I4648" s="1">
        <v>244.89</v>
      </c>
      <c r="J4648" s="1">
        <v>10</v>
      </c>
      <c r="K4648" s="1">
        <v>2448.9</v>
      </c>
      <c r="L4648" s="1">
        <v>10</v>
      </c>
      <c r="M4648" s="1">
        <v>244.89</v>
      </c>
      <c r="N4648" s="1">
        <v>2204.0100000000002</v>
      </c>
      <c r="O4648" s="1" t="s">
        <v>33</v>
      </c>
      <c r="P4648" s="1" t="s">
        <v>147</v>
      </c>
      <c r="Q4648" s="1">
        <v>3</v>
      </c>
      <c r="R4648" s="1">
        <f>Retail_Sales_Analyis[[#This Row],[Final_Price]]-Retail_Sales_Analyis[[#This Row],[Total_Price]]</f>
        <v>-244.88999999999987</v>
      </c>
      <c r="S46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49" spans="1:19" x14ac:dyDescent="0.25">
      <c r="A4649" s="1" t="s">
        <v>5780</v>
      </c>
      <c r="B4649" s="2">
        <v>45433</v>
      </c>
      <c r="C4649" s="1" t="s">
        <v>42</v>
      </c>
      <c r="D4649" s="1" t="s">
        <v>28</v>
      </c>
      <c r="E4649" s="1" t="s">
        <v>20</v>
      </c>
      <c r="F4649" s="1" t="s">
        <v>30</v>
      </c>
      <c r="G4649" s="1" t="s">
        <v>31</v>
      </c>
      <c r="H4649" s="1" t="s">
        <v>45</v>
      </c>
      <c r="I4649" s="1">
        <v>53.88</v>
      </c>
      <c r="J4649" s="1">
        <v>4</v>
      </c>
      <c r="K4649" s="1">
        <v>215.52</v>
      </c>
      <c r="L4649" s="1">
        <v>5</v>
      </c>
      <c r="M4649" s="1">
        <v>10.78</v>
      </c>
      <c r="N4649" s="1">
        <v>204.74</v>
      </c>
      <c r="O4649" s="1" t="s">
        <v>80</v>
      </c>
      <c r="P4649" s="1" t="s">
        <v>5781</v>
      </c>
      <c r="Q4649" s="1">
        <v>2</v>
      </c>
      <c r="R4649" s="1">
        <f>Retail_Sales_Analyis[[#This Row],[Final_Price]]-Retail_Sales_Analyis[[#This Row],[Total_Price]]</f>
        <v>-10.780000000000001</v>
      </c>
      <c r="S464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50" spans="1:19" x14ac:dyDescent="0.25">
      <c r="A4650" s="1" t="s">
        <v>5782</v>
      </c>
      <c r="B4650" s="2">
        <v>45425</v>
      </c>
      <c r="C4650" s="1" t="s">
        <v>42</v>
      </c>
      <c r="D4650" s="1" t="s">
        <v>43</v>
      </c>
      <c r="E4650" s="1" t="s">
        <v>44</v>
      </c>
      <c r="F4650" s="1" t="s">
        <v>37</v>
      </c>
      <c r="G4650" s="1" t="s">
        <v>57</v>
      </c>
      <c r="H4650" s="1" t="s">
        <v>58</v>
      </c>
      <c r="I4650" s="1">
        <v>499.36</v>
      </c>
      <c r="J4650" s="1">
        <v>7</v>
      </c>
      <c r="K4650" s="1">
        <v>3495.52</v>
      </c>
      <c r="L4650" s="1">
        <v>15</v>
      </c>
      <c r="M4650" s="1">
        <v>524.33000000000004</v>
      </c>
      <c r="N4650" s="1">
        <v>2971.19</v>
      </c>
      <c r="O4650" s="1" t="s">
        <v>80</v>
      </c>
      <c r="P4650" s="1" t="s">
        <v>2137</v>
      </c>
      <c r="Q4650" s="1">
        <v>5</v>
      </c>
      <c r="R4650" s="1">
        <f>Retail_Sales_Analyis[[#This Row],[Final_Price]]-Retail_Sales_Analyis[[#This Row],[Total_Price]]</f>
        <v>-524.32999999999993</v>
      </c>
      <c r="S46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51" spans="1:19" x14ac:dyDescent="0.25">
      <c r="A4651" s="1" t="s">
        <v>5783</v>
      </c>
      <c r="B4651" s="2">
        <v>45627</v>
      </c>
      <c r="C4651" s="1" t="s">
        <v>73</v>
      </c>
      <c r="D4651" s="1" t="s">
        <v>49</v>
      </c>
      <c r="E4651" s="1" t="s">
        <v>29</v>
      </c>
      <c r="F4651" s="1" t="s">
        <v>69</v>
      </c>
      <c r="G4651" s="1" t="s">
        <v>169</v>
      </c>
      <c r="H4651" s="1" t="s">
        <v>175</v>
      </c>
      <c r="I4651" s="1">
        <v>1243.82</v>
      </c>
      <c r="J4651" s="1">
        <v>6</v>
      </c>
      <c r="K4651" s="1">
        <v>7462.92</v>
      </c>
      <c r="L4651" s="1">
        <v>5</v>
      </c>
      <c r="M4651" s="1">
        <v>373.15</v>
      </c>
      <c r="N4651" s="1">
        <v>7089.77</v>
      </c>
      <c r="O4651" s="1" t="s">
        <v>80</v>
      </c>
      <c r="P4651" s="1" t="s">
        <v>1979</v>
      </c>
      <c r="Q4651" s="1">
        <v>1</v>
      </c>
      <c r="R4651" s="1">
        <f>Retail_Sales_Analyis[[#This Row],[Final_Price]]-Retail_Sales_Analyis[[#This Row],[Total_Price]]</f>
        <v>-373.14999999999964</v>
      </c>
      <c r="S465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52" spans="1:19" x14ac:dyDescent="0.25">
      <c r="A4652" s="1" t="s">
        <v>5784</v>
      </c>
      <c r="B4652" s="2">
        <v>45656</v>
      </c>
      <c r="C4652" s="1" t="s">
        <v>73</v>
      </c>
      <c r="D4652" s="1" t="s">
        <v>43</v>
      </c>
      <c r="E4652" s="1" t="s">
        <v>121</v>
      </c>
      <c r="F4652" s="1" t="s">
        <v>21</v>
      </c>
      <c r="G4652" s="1" t="s">
        <v>169</v>
      </c>
      <c r="H4652" s="1" t="s">
        <v>175</v>
      </c>
      <c r="I4652" s="1">
        <v>1282.26</v>
      </c>
      <c r="J4652" s="1">
        <v>2</v>
      </c>
      <c r="K4652" s="1">
        <v>2564.52</v>
      </c>
      <c r="L4652" s="1">
        <v>20</v>
      </c>
      <c r="M4652" s="1">
        <v>512.9</v>
      </c>
      <c r="N4652" s="1">
        <v>2051.62</v>
      </c>
      <c r="O4652" s="1" t="s">
        <v>33</v>
      </c>
      <c r="P4652" s="1" t="s">
        <v>1221</v>
      </c>
      <c r="Q4652" s="1">
        <v>3</v>
      </c>
      <c r="R4652" s="1">
        <f>Retail_Sales_Analyis[[#This Row],[Final_Price]]-Retail_Sales_Analyis[[#This Row],[Total_Price]]</f>
        <v>-512.90000000000009</v>
      </c>
      <c r="S465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53" spans="1:19" x14ac:dyDescent="0.25">
      <c r="A4653" s="1" t="s">
        <v>5785</v>
      </c>
      <c r="B4653" s="2">
        <v>45625</v>
      </c>
      <c r="C4653" s="1" t="s">
        <v>18</v>
      </c>
      <c r="D4653" s="1" t="s">
        <v>144</v>
      </c>
      <c r="E4653" s="1" t="s">
        <v>44</v>
      </c>
      <c r="F4653" s="1" t="s">
        <v>84</v>
      </c>
      <c r="G4653" s="1" t="s">
        <v>31</v>
      </c>
      <c r="H4653" s="1" t="s">
        <v>45</v>
      </c>
      <c r="I4653" s="1">
        <v>321.02999999999997</v>
      </c>
      <c r="J4653" s="1">
        <v>5</v>
      </c>
      <c r="K4653" s="1">
        <v>1605.15</v>
      </c>
      <c r="L4653" s="1">
        <v>0</v>
      </c>
      <c r="M4653" s="1">
        <v>0</v>
      </c>
      <c r="N4653" s="1">
        <v>1605.15</v>
      </c>
      <c r="O4653" s="1" t="s">
        <v>64</v>
      </c>
      <c r="P4653" s="1" t="s">
        <v>1412</v>
      </c>
      <c r="Q4653" s="1">
        <v>1</v>
      </c>
      <c r="R4653" s="1">
        <f>Retail_Sales_Analyis[[#This Row],[Final_Price]]-Retail_Sales_Analyis[[#This Row],[Total_Price]]</f>
        <v>0</v>
      </c>
      <c r="S46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54" spans="1:19" x14ac:dyDescent="0.25">
      <c r="A4654" s="1" t="s">
        <v>5786</v>
      </c>
      <c r="B4654" s="2">
        <v>45444</v>
      </c>
      <c r="C4654" s="1" t="s">
        <v>173</v>
      </c>
      <c r="D4654" s="1" t="s">
        <v>19</v>
      </c>
      <c r="E4654" s="1" t="s">
        <v>261</v>
      </c>
      <c r="F4654" s="1" t="s">
        <v>69</v>
      </c>
      <c r="G4654" s="1" t="s">
        <v>31</v>
      </c>
      <c r="H4654" s="1" t="s">
        <v>250</v>
      </c>
      <c r="I4654" s="1">
        <v>375.09</v>
      </c>
      <c r="J4654" s="1">
        <v>1</v>
      </c>
      <c r="K4654" s="1">
        <v>375.09</v>
      </c>
      <c r="L4654" s="1">
        <v>0</v>
      </c>
      <c r="M4654" s="1">
        <v>0</v>
      </c>
      <c r="N4654" s="1">
        <v>375.09</v>
      </c>
      <c r="O4654" s="1" t="s">
        <v>80</v>
      </c>
      <c r="P4654" s="1" t="s">
        <v>2590</v>
      </c>
      <c r="Q4654" s="1">
        <v>4</v>
      </c>
      <c r="R4654" s="1">
        <f>Retail_Sales_Analyis[[#This Row],[Final_Price]]-Retail_Sales_Analyis[[#This Row],[Total_Price]]</f>
        <v>0</v>
      </c>
      <c r="S46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55" spans="1:19" x14ac:dyDescent="0.25">
      <c r="A4655" s="1" t="s">
        <v>5787</v>
      </c>
      <c r="B4655" s="2">
        <v>45388</v>
      </c>
      <c r="C4655" s="1" t="s">
        <v>54</v>
      </c>
      <c r="D4655" s="1" t="s">
        <v>19</v>
      </c>
      <c r="E4655" s="1" t="s">
        <v>97</v>
      </c>
      <c r="F4655" s="1" t="s">
        <v>69</v>
      </c>
      <c r="G4655" s="1" t="s">
        <v>112</v>
      </c>
      <c r="H4655" s="1" t="s">
        <v>183</v>
      </c>
      <c r="I4655" s="1">
        <v>963.36</v>
      </c>
      <c r="J4655" s="1">
        <v>1</v>
      </c>
      <c r="K4655" s="1">
        <v>963.36</v>
      </c>
      <c r="L4655" s="1">
        <v>5</v>
      </c>
      <c r="M4655" s="1">
        <v>48.17</v>
      </c>
      <c r="N4655" s="1">
        <v>915.19</v>
      </c>
      <c r="O4655" s="1" t="s">
        <v>80</v>
      </c>
      <c r="P4655" s="1" t="s">
        <v>375</v>
      </c>
      <c r="Q4655" s="1">
        <v>3</v>
      </c>
      <c r="R4655" s="1">
        <f>Retail_Sales_Analyis[[#This Row],[Final_Price]]-Retail_Sales_Analyis[[#This Row],[Total_Price]]</f>
        <v>-48.169999999999959</v>
      </c>
      <c r="S465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56" spans="1:19" x14ac:dyDescent="0.25">
      <c r="A4656" s="1" t="s">
        <v>5788</v>
      </c>
      <c r="B4656" s="2">
        <v>45368</v>
      </c>
      <c r="C4656" s="1" t="s">
        <v>61</v>
      </c>
      <c r="D4656" s="1" t="s">
        <v>49</v>
      </c>
      <c r="E4656" s="1" t="s">
        <v>68</v>
      </c>
      <c r="F4656" s="1" t="s">
        <v>37</v>
      </c>
      <c r="G4656" s="1" t="s">
        <v>112</v>
      </c>
      <c r="H4656" s="1" t="s">
        <v>223</v>
      </c>
      <c r="I4656" s="1">
        <v>998.08</v>
      </c>
      <c r="J4656" s="1">
        <v>8</v>
      </c>
      <c r="K4656" s="1">
        <v>7984.64</v>
      </c>
      <c r="L4656" s="1">
        <v>0</v>
      </c>
      <c r="M4656" s="1">
        <v>0</v>
      </c>
      <c r="N4656" s="1">
        <v>7984.64</v>
      </c>
      <c r="O4656" s="1" t="s">
        <v>33</v>
      </c>
      <c r="P4656" s="1" t="s">
        <v>1579</v>
      </c>
      <c r="Q4656" s="1">
        <v>4</v>
      </c>
      <c r="R4656" s="1">
        <f>Retail_Sales_Analyis[[#This Row],[Final_Price]]-Retail_Sales_Analyis[[#This Row],[Total_Price]]</f>
        <v>0</v>
      </c>
      <c r="S465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57" spans="1:19" x14ac:dyDescent="0.25">
      <c r="A4657" s="1" t="s">
        <v>5789</v>
      </c>
      <c r="B4657" s="2">
        <v>45556</v>
      </c>
      <c r="C4657" s="1" t="s">
        <v>116</v>
      </c>
      <c r="D4657" s="1" t="s">
        <v>19</v>
      </c>
      <c r="E4657" s="1" t="s">
        <v>62</v>
      </c>
      <c r="F4657" s="1" t="s">
        <v>30</v>
      </c>
      <c r="G4657" s="1" t="s">
        <v>31</v>
      </c>
      <c r="H4657" s="1" t="s">
        <v>45</v>
      </c>
      <c r="I4657" s="1">
        <v>347.99</v>
      </c>
      <c r="J4657" s="1">
        <v>7</v>
      </c>
      <c r="K4657" s="1">
        <v>2435.9299999999998</v>
      </c>
      <c r="L4657" s="1">
        <v>0</v>
      </c>
      <c r="M4657" s="1">
        <v>0</v>
      </c>
      <c r="N4657" s="1">
        <v>2435.9299999999998</v>
      </c>
      <c r="O4657" s="1" t="s">
        <v>64</v>
      </c>
      <c r="P4657" s="1" t="s">
        <v>4059</v>
      </c>
      <c r="Q4657" s="1">
        <v>3</v>
      </c>
      <c r="R4657" s="1">
        <f>Retail_Sales_Analyis[[#This Row],[Final_Price]]-Retail_Sales_Analyis[[#This Row],[Total_Price]]</f>
        <v>0</v>
      </c>
      <c r="S46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58" spans="1:19" x14ac:dyDescent="0.25">
      <c r="A4658" s="1" t="s">
        <v>5790</v>
      </c>
      <c r="B4658" s="2">
        <v>45415</v>
      </c>
      <c r="C4658" s="1" t="s">
        <v>42</v>
      </c>
      <c r="D4658" s="1" t="s">
        <v>144</v>
      </c>
      <c r="E4658" s="1" t="s">
        <v>50</v>
      </c>
      <c r="F4658" s="1" t="s">
        <v>21</v>
      </c>
      <c r="G4658" s="1" t="s">
        <v>38</v>
      </c>
      <c r="H4658" s="1" t="s">
        <v>422</v>
      </c>
      <c r="I4658" s="1">
        <v>493.55</v>
      </c>
      <c r="J4658" s="1">
        <v>7</v>
      </c>
      <c r="K4658" s="1">
        <v>3454.85</v>
      </c>
      <c r="L4658" s="1">
        <v>5</v>
      </c>
      <c r="M4658" s="1">
        <v>172.74</v>
      </c>
      <c r="N4658" s="1">
        <v>3282.11</v>
      </c>
      <c r="O4658" s="1" t="s">
        <v>33</v>
      </c>
      <c r="P4658" s="1" t="s">
        <v>2763</v>
      </c>
      <c r="Q4658" s="1">
        <v>2</v>
      </c>
      <c r="R4658" s="1">
        <f>Retail_Sales_Analyis[[#This Row],[Final_Price]]-Retail_Sales_Analyis[[#This Row],[Total_Price]]</f>
        <v>-172.73999999999978</v>
      </c>
      <c r="S465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59" spans="1:19" x14ac:dyDescent="0.25">
      <c r="A4659" s="1" t="s">
        <v>5791</v>
      </c>
      <c r="B4659" s="2">
        <v>45321</v>
      </c>
      <c r="C4659" s="1" t="s">
        <v>36</v>
      </c>
      <c r="D4659" s="1" t="s">
        <v>28</v>
      </c>
      <c r="E4659" s="1" t="s">
        <v>342</v>
      </c>
      <c r="F4659" s="1" t="s">
        <v>69</v>
      </c>
      <c r="G4659" s="1" t="s">
        <v>112</v>
      </c>
      <c r="H4659" s="1" t="s">
        <v>288</v>
      </c>
      <c r="I4659" s="1">
        <v>743.03</v>
      </c>
      <c r="J4659" s="1">
        <v>7</v>
      </c>
      <c r="K4659" s="1">
        <v>5201.21</v>
      </c>
      <c r="L4659" s="1">
        <v>5</v>
      </c>
      <c r="M4659" s="1">
        <v>260.06</v>
      </c>
      <c r="N4659" s="1">
        <v>4941.1499999999996</v>
      </c>
      <c r="O4659" s="1" t="s">
        <v>80</v>
      </c>
      <c r="P4659" s="1" t="s">
        <v>2755</v>
      </c>
      <c r="Q4659" s="1">
        <v>3</v>
      </c>
      <c r="R4659" s="1">
        <f>Retail_Sales_Analyis[[#This Row],[Final_Price]]-Retail_Sales_Analyis[[#This Row],[Total_Price]]</f>
        <v>-260.0600000000004</v>
      </c>
      <c r="S46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60" spans="1:19" x14ac:dyDescent="0.25">
      <c r="A4660" s="1" t="s">
        <v>5792</v>
      </c>
      <c r="B4660" s="2">
        <v>45599</v>
      </c>
      <c r="C4660" s="1" t="s">
        <v>18</v>
      </c>
      <c r="D4660" s="1" t="s">
        <v>49</v>
      </c>
      <c r="E4660" s="1" t="s">
        <v>236</v>
      </c>
      <c r="F4660" s="1" t="s">
        <v>69</v>
      </c>
      <c r="G4660" s="1" t="s">
        <v>112</v>
      </c>
      <c r="H4660" s="1" t="s">
        <v>223</v>
      </c>
      <c r="I4660" s="1">
        <v>971.65</v>
      </c>
      <c r="J4660" s="1">
        <v>5</v>
      </c>
      <c r="K4660" s="1">
        <v>4858.25</v>
      </c>
      <c r="L4660" s="1">
        <v>0</v>
      </c>
      <c r="M4660" s="1">
        <v>0</v>
      </c>
      <c r="N4660" s="1">
        <v>4858.25</v>
      </c>
      <c r="O4660" s="1" t="s">
        <v>64</v>
      </c>
      <c r="P4660" s="1" t="s">
        <v>798</v>
      </c>
      <c r="Q4660" s="1">
        <v>5</v>
      </c>
      <c r="R4660" s="1">
        <f>Retail_Sales_Analyis[[#This Row],[Final_Price]]-Retail_Sales_Analyis[[#This Row],[Total_Price]]</f>
        <v>0</v>
      </c>
      <c r="S46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1" spans="1:19" x14ac:dyDescent="0.25">
      <c r="A4661" s="1" t="s">
        <v>5793</v>
      </c>
      <c r="B4661" s="2">
        <v>45498</v>
      </c>
      <c r="C4661" s="1" t="s">
        <v>195</v>
      </c>
      <c r="D4661" s="1" t="s">
        <v>67</v>
      </c>
      <c r="E4661" s="1" t="s">
        <v>50</v>
      </c>
      <c r="F4661" s="1" t="s">
        <v>21</v>
      </c>
      <c r="G4661" s="1" t="s">
        <v>57</v>
      </c>
      <c r="H4661" s="1" t="s">
        <v>122</v>
      </c>
      <c r="I4661" s="1">
        <v>1340.03</v>
      </c>
      <c r="J4661" s="1">
        <v>9</v>
      </c>
      <c r="K4661" s="1">
        <v>12060.27</v>
      </c>
      <c r="L4661" s="1">
        <v>10</v>
      </c>
      <c r="M4661" s="1">
        <v>1206.03</v>
      </c>
      <c r="N4661" s="1">
        <v>10854.24</v>
      </c>
      <c r="O4661" s="1" t="s">
        <v>64</v>
      </c>
      <c r="P4661" s="1" t="s">
        <v>5794</v>
      </c>
      <c r="Q4661" s="1">
        <v>2</v>
      </c>
      <c r="R4661" s="1">
        <f>Retail_Sales_Analyis[[#This Row],[Final_Price]]-Retail_Sales_Analyis[[#This Row],[Total_Price]]</f>
        <v>-1206.0300000000007</v>
      </c>
      <c r="S466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62" spans="1:19" x14ac:dyDescent="0.25">
      <c r="A4662" s="1" t="s">
        <v>5795</v>
      </c>
      <c r="B4662" s="2">
        <v>45630</v>
      </c>
      <c r="C4662" s="1" t="s">
        <v>73</v>
      </c>
      <c r="D4662" s="1" t="s">
        <v>55</v>
      </c>
      <c r="E4662" s="1" t="s">
        <v>107</v>
      </c>
      <c r="F4662" s="1" t="s">
        <v>30</v>
      </c>
      <c r="G4662" s="1" t="s">
        <v>57</v>
      </c>
      <c r="H4662" s="1" t="s">
        <v>122</v>
      </c>
      <c r="I4662" s="1">
        <v>2065.94</v>
      </c>
      <c r="J4662" s="1">
        <v>10</v>
      </c>
      <c r="K4662" s="1">
        <v>20659.400000000001</v>
      </c>
      <c r="L4662" s="1">
        <v>10</v>
      </c>
      <c r="M4662" s="1">
        <v>2065.94</v>
      </c>
      <c r="N4662" s="1">
        <v>18593.46</v>
      </c>
      <c r="O4662" s="1" t="s">
        <v>33</v>
      </c>
      <c r="P4662" s="1" t="s">
        <v>1341</v>
      </c>
      <c r="Q4662" s="1">
        <v>2</v>
      </c>
      <c r="R4662" s="1">
        <f>Retail_Sales_Analyis[[#This Row],[Final_Price]]-Retail_Sales_Analyis[[#This Row],[Total_Price]]</f>
        <v>-2065.9400000000023</v>
      </c>
      <c r="S46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63" spans="1:19" x14ac:dyDescent="0.25">
      <c r="A4663" s="1" t="s">
        <v>5796</v>
      </c>
      <c r="B4663" s="2">
        <v>45455</v>
      </c>
      <c r="C4663" s="1" t="s">
        <v>173</v>
      </c>
      <c r="D4663" s="1" t="s">
        <v>55</v>
      </c>
      <c r="E4663" s="1" t="s">
        <v>302</v>
      </c>
      <c r="F4663" s="1" t="s">
        <v>37</v>
      </c>
      <c r="G4663" s="1" t="s">
        <v>38</v>
      </c>
      <c r="H4663" s="1" t="s">
        <v>108</v>
      </c>
      <c r="I4663" s="1">
        <v>554.42999999999995</v>
      </c>
      <c r="J4663" s="1">
        <v>7</v>
      </c>
      <c r="K4663" s="1">
        <v>3881.01</v>
      </c>
      <c r="L4663" s="1">
        <v>0</v>
      </c>
      <c r="M4663" s="1">
        <v>0</v>
      </c>
      <c r="N4663" s="1">
        <v>3881.01</v>
      </c>
      <c r="O4663" s="1" t="s">
        <v>80</v>
      </c>
      <c r="P4663" s="1" t="s">
        <v>665</v>
      </c>
      <c r="Q4663" s="1">
        <v>4</v>
      </c>
      <c r="R4663" s="1">
        <f>Retail_Sales_Analyis[[#This Row],[Final_Price]]-Retail_Sales_Analyis[[#This Row],[Total_Price]]</f>
        <v>0</v>
      </c>
      <c r="S46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4" spans="1:19" x14ac:dyDescent="0.25">
      <c r="A4664" s="1" t="s">
        <v>5797</v>
      </c>
      <c r="B4664" s="2">
        <v>45640</v>
      </c>
      <c r="C4664" s="1" t="s">
        <v>73</v>
      </c>
      <c r="D4664" s="1" t="s">
        <v>19</v>
      </c>
      <c r="E4664" s="1" t="s">
        <v>163</v>
      </c>
      <c r="F4664" s="1" t="s">
        <v>30</v>
      </c>
      <c r="G4664" s="1" t="s">
        <v>57</v>
      </c>
      <c r="H4664" s="1" t="s">
        <v>158</v>
      </c>
      <c r="I4664" s="1">
        <v>1324.04</v>
      </c>
      <c r="J4664" s="1">
        <v>8</v>
      </c>
      <c r="K4664" s="1">
        <v>10592.32</v>
      </c>
      <c r="L4664" s="1">
        <v>0</v>
      </c>
      <c r="M4664" s="1">
        <v>0</v>
      </c>
      <c r="N4664" s="1">
        <v>10592.32</v>
      </c>
      <c r="O4664" s="1" t="s">
        <v>80</v>
      </c>
      <c r="P4664" s="1" t="s">
        <v>1979</v>
      </c>
      <c r="Q4664" s="1">
        <v>1</v>
      </c>
      <c r="R4664" s="1">
        <f>Retail_Sales_Analyis[[#This Row],[Final_Price]]-Retail_Sales_Analyis[[#This Row],[Total_Price]]</f>
        <v>0</v>
      </c>
      <c r="S46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5" spans="1:19" x14ac:dyDescent="0.25">
      <c r="A4665" s="1" t="s">
        <v>5798</v>
      </c>
      <c r="B4665" s="2">
        <v>45363</v>
      </c>
      <c r="C4665" s="1" t="s">
        <v>61</v>
      </c>
      <c r="D4665" s="1" t="s">
        <v>28</v>
      </c>
      <c r="E4665" s="1" t="s">
        <v>83</v>
      </c>
      <c r="F4665" s="1" t="s">
        <v>21</v>
      </c>
      <c r="G4665" s="1" t="s">
        <v>31</v>
      </c>
      <c r="H4665" s="1" t="s">
        <v>329</v>
      </c>
      <c r="I4665" s="1">
        <v>367.72</v>
      </c>
      <c r="J4665" s="1">
        <v>10</v>
      </c>
      <c r="K4665" s="1">
        <v>3677.2</v>
      </c>
      <c r="L4665" s="1">
        <v>0</v>
      </c>
      <c r="M4665" s="1">
        <v>0</v>
      </c>
      <c r="N4665" s="1">
        <v>3677.2</v>
      </c>
      <c r="O4665" s="1" t="s">
        <v>33</v>
      </c>
      <c r="P4665" s="1" t="s">
        <v>1153</v>
      </c>
      <c r="Q4665" s="1">
        <v>2</v>
      </c>
      <c r="R4665" s="1">
        <f>Retail_Sales_Analyis[[#This Row],[Final_Price]]-Retail_Sales_Analyis[[#This Row],[Total_Price]]</f>
        <v>0</v>
      </c>
      <c r="S46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6" spans="1:19" x14ac:dyDescent="0.25">
      <c r="A4666" s="1" t="s">
        <v>5799</v>
      </c>
      <c r="B4666" s="2">
        <v>45305</v>
      </c>
      <c r="C4666" s="1" t="s">
        <v>36</v>
      </c>
      <c r="D4666" s="1" t="s">
        <v>49</v>
      </c>
      <c r="E4666" s="1" t="s">
        <v>302</v>
      </c>
      <c r="F4666" s="1" t="s">
        <v>69</v>
      </c>
      <c r="G4666" s="1" t="s">
        <v>78</v>
      </c>
      <c r="H4666" s="1" t="s">
        <v>79</v>
      </c>
      <c r="I4666" s="1">
        <v>441.39</v>
      </c>
      <c r="J4666" s="1">
        <v>1</v>
      </c>
      <c r="K4666" s="1">
        <v>441.39</v>
      </c>
      <c r="L4666" s="1">
        <v>0</v>
      </c>
      <c r="M4666" s="1">
        <v>0</v>
      </c>
      <c r="N4666" s="1">
        <v>441.39</v>
      </c>
      <c r="O4666" s="1" t="s">
        <v>24</v>
      </c>
      <c r="P4666" s="1" t="s">
        <v>308</v>
      </c>
      <c r="Q4666" s="1">
        <v>2</v>
      </c>
      <c r="R4666" s="1">
        <f>Retail_Sales_Analyis[[#This Row],[Final_Price]]-Retail_Sales_Analyis[[#This Row],[Total_Price]]</f>
        <v>0</v>
      </c>
      <c r="S46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7" spans="1:19" x14ac:dyDescent="0.25">
      <c r="A4667" s="1" t="s">
        <v>5800</v>
      </c>
      <c r="B4667" s="2">
        <v>45627</v>
      </c>
      <c r="C4667" s="1" t="s">
        <v>73</v>
      </c>
      <c r="D4667" s="1" t="s">
        <v>49</v>
      </c>
      <c r="E4667" s="1" t="s">
        <v>94</v>
      </c>
      <c r="F4667" s="1" t="s">
        <v>84</v>
      </c>
      <c r="G4667" s="1" t="s">
        <v>38</v>
      </c>
      <c r="H4667" s="1" t="s">
        <v>108</v>
      </c>
      <c r="I4667" s="1">
        <v>545.69000000000005</v>
      </c>
      <c r="J4667" s="1">
        <v>1</v>
      </c>
      <c r="K4667" s="1">
        <v>545.69000000000005</v>
      </c>
      <c r="L4667" s="1">
        <v>10</v>
      </c>
      <c r="M4667" s="1">
        <v>54.57</v>
      </c>
      <c r="N4667" s="1">
        <v>491.12</v>
      </c>
      <c r="O4667" s="1" t="s">
        <v>33</v>
      </c>
      <c r="P4667" s="1" t="s">
        <v>1497</v>
      </c>
      <c r="Q4667" s="1">
        <v>1</v>
      </c>
      <c r="R4667" s="1">
        <f>Retail_Sales_Analyis[[#This Row],[Final_Price]]-Retail_Sales_Analyis[[#This Row],[Total_Price]]</f>
        <v>-54.57000000000005</v>
      </c>
      <c r="S466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68" spans="1:19" x14ac:dyDescent="0.25">
      <c r="A4668" s="1" t="s">
        <v>5801</v>
      </c>
      <c r="B4668" s="2">
        <v>45546</v>
      </c>
      <c r="C4668" s="1" t="s">
        <v>116</v>
      </c>
      <c r="D4668" s="1" t="s">
        <v>55</v>
      </c>
      <c r="E4668" s="1" t="s">
        <v>542</v>
      </c>
      <c r="F4668" s="1" t="s">
        <v>69</v>
      </c>
      <c r="G4668" s="1" t="s">
        <v>112</v>
      </c>
      <c r="H4668" s="1" t="s">
        <v>183</v>
      </c>
      <c r="I4668" s="1">
        <v>1860.61</v>
      </c>
      <c r="J4668" s="1">
        <v>2</v>
      </c>
      <c r="K4668" s="1">
        <v>3721.22</v>
      </c>
      <c r="L4668" s="1">
        <v>0</v>
      </c>
      <c r="M4668" s="1">
        <v>0</v>
      </c>
      <c r="N4668" s="1">
        <v>3721.22</v>
      </c>
      <c r="O4668" s="1" t="s">
        <v>24</v>
      </c>
      <c r="P4668" s="1" t="s">
        <v>1462</v>
      </c>
      <c r="Q4668" s="1">
        <v>5</v>
      </c>
      <c r="R4668" s="1">
        <f>Retail_Sales_Analyis[[#This Row],[Final_Price]]-Retail_Sales_Analyis[[#This Row],[Total_Price]]</f>
        <v>0</v>
      </c>
      <c r="S46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69" spans="1:19" x14ac:dyDescent="0.25">
      <c r="A4669" s="1" t="s">
        <v>5802</v>
      </c>
      <c r="B4669" s="2">
        <v>45443</v>
      </c>
      <c r="C4669" s="1" t="s">
        <v>42</v>
      </c>
      <c r="D4669" s="1" t="s">
        <v>144</v>
      </c>
      <c r="E4669" s="1" t="s">
        <v>342</v>
      </c>
      <c r="F4669" s="1" t="s">
        <v>37</v>
      </c>
      <c r="G4669" s="1" t="s">
        <v>78</v>
      </c>
      <c r="H4669" s="1" t="s">
        <v>126</v>
      </c>
      <c r="I4669" s="1">
        <v>542.85</v>
      </c>
      <c r="J4669" s="1">
        <v>5</v>
      </c>
      <c r="K4669" s="1">
        <v>2714.25</v>
      </c>
      <c r="L4669" s="1">
        <v>0</v>
      </c>
      <c r="M4669" s="1">
        <v>0</v>
      </c>
      <c r="N4669" s="1">
        <v>2714.25</v>
      </c>
      <c r="O4669" s="1" t="s">
        <v>46</v>
      </c>
      <c r="P4669" s="1" t="s">
        <v>246</v>
      </c>
      <c r="Q4669" s="1">
        <v>2</v>
      </c>
      <c r="R4669" s="1">
        <f>Retail_Sales_Analyis[[#This Row],[Final_Price]]-Retail_Sales_Analyis[[#This Row],[Total_Price]]</f>
        <v>0</v>
      </c>
      <c r="S466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0" spans="1:19" x14ac:dyDescent="0.25">
      <c r="A4670" s="1" t="s">
        <v>5803</v>
      </c>
      <c r="B4670" s="2">
        <v>45424</v>
      </c>
      <c r="C4670" s="1" t="s">
        <v>42</v>
      </c>
      <c r="D4670" s="1" t="s">
        <v>49</v>
      </c>
      <c r="E4670" s="1" t="s">
        <v>174</v>
      </c>
      <c r="F4670" s="1" t="s">
        <v>21</v>
      </c>
      <c r="G4670" s="1" t="s">
        <v>31</v>
      </c>
      <c r="H4670" s="1" t="s">
        <v>45</v>
      </c>
      <c r="I4670" s="1">
        <v>441.18</v>
      </c>
      <c r="J4670" s="1">
        <v>7</v>
      </c>
      <c r="K4670" s="1">
        <v>3088.26</v>
      </c>
      <c r="L4670" s="1">
        <v>0</v>
      </c>
      <c r="M4670" s="1">
        <v>0</v>
      </c>
      <c r="N4670" s="1">
        <v>3088.26</v>
      </c>
      <c r="O4670" s="1" t="s">
        <v>33</v>
      </c>
      <c r="P4670" s="1" t="s">
        <v>2216</v>
      </c>
      <c r="Q4670" s="1">
        <v>3</v>
      </c>
      <c r="R4670" s="1">
        <f>Retail_Sales_Analyis[[#This Row],[Final_Price]]-Retail_Sales_Analyis[[#This Row],[Total_Price]]</f>
        <v>0</v>
      </c>
      <c r="S46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1" spans="1:19" x14ac:dyDescent="0.25">
      <c r="A4671" s="1" t="s">
        <v>5804</v>
      </c>
      <c r="B4671" s="2">
        <v>45506</v>
      </c>
      <c r="C4671" s="1" t="s">
        <v>93</v>
      </c>
      <c r="D4671" s="1" t="s">
        <v>144</v>
      </c>
      <c r="E4671" s="1" t="s">
        <v>213</v>
      </c>
      <c r="F4671" s="1" t="s">
        <v>69</v>
      </c>
      <c r="G4671" s="1" t="s">
        <v>112</v>
      </c>
      <c r="H4671" s="1" t="s">
        <v>118</v>
      </c>
      <c r="I4671" s="1">
        <v>771.35</v>
      </c>
      <c r="J4671" s="1">
        <v>3</v>
      </c>
      <c r="K4671" s="1">
        <v>2314.0500000000002</v>
      </c>
      <c r="L4671" s="1">
        <v>0</v>
      </c>
      <c r="M4671" s="1">
        <v>0</v>
      </c>
      <c r="N4671" s="1">
        <v>2314.0500000000002</v>
      </c>
      <c r="O4671" s="1" t="s">
        <v>80</v>
      </c>
      <c r="P4671" s="1" t="s">
        <v>4285</v>
      </c>
      <c r="Q4671" s="1">
        <v>5</v>
      </c>
      <c r="R4671" s="1">
        <f>Retail_Sales_Analyis[[#This Row],[Final_Price]]-Retail_Sales_Analyis[[#This Row],[Total_Price]]</f>
        <v>0</v>
      </c>
      <c r="S46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2" spans="1:19" x14ac:dyDescent="0.25">
      <c r="A4672" s="1" t="s">
        <v>5805</v>
      </c>
      <c r="B4672" s="2">
        <v>45499</v>
      </c>
      <c r="C4672" s="1" t="s">
        <v>195</v>
      </c>
      <c r="D4672" s="1" t="s">
        <v>144</v>
      </c>
      <c r="E4672" s="1" t="s">
        <v>207</v>
      </c>
      <c r="F4672" s="1" t="s">
        <v>30</v>
      </c>
      <c r="G4672" s="1" t="s">
        <v>57</v>
      </c>
      <c r="H4672" s="1" t="s">
        <v>152</v>
      </c>
      <c r="I4672" s="1">
        <v>1597.41</v>
      </c>
      <c r="J4672" s="1">
        <v>4</v>
      </c>
      <c r="K4672" s="1">
        <v>6389.64</v>
      </c>
      <c r="L4672" s="1">
        <v>0</v>
      </c>
      <c r="M4672" s="1">
        <v>0</v>
      </c>
      <c r="N4672" s="1">
        <v>6389.64</v>
      </c>
      <c r="O4672" s="1" t="s">
        <v>24</v>
      </c>
      <c r="P4672" s="1" t="s">
        <v>570</v>
      </c>
      <c r="Q4672" s="1">
        <v>4</v>
      </c>
      <c r="R4672" s="1">
        <f>Retail_Sales_Analyis[[#This Row],[Final_Price]]-Retail_Sales_Analyis[[#This Row],[Total_Price]]</f>
        <v>0</v>
      </c>
      <c r="S46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3" spans="1:19" x14ac:dyDescent="0.25">
      <c r="A4673" s="1" t="s">
        <v>5806</v>
      </c>
      <c r="B4673" s="2">
        <v>45490</v>
      </c>
      <c r="C4673" s="1" t="s">
        <v>195</v>
      </c>
      <c r="D4673" s="1" t="s">
        <v>55</v>
      </c>
      <c r="E4673" s="1" t="s">
        <v>328</v>
      </c>
      <c r="F4673" s="1" t="s">
        <v>84</v>
      </c>
      <c r="G4673" s="1" t="s">
        <v>22</v>
      </c>
      <c r="H4673" s="1" t="s">
        <v>187</v>
      </c>
      <c r="I4673" s="1">
        <v>909.3</v>
      </c>
      <c r="J4673" s="1">
        <v>1</v>
      </c>
      <c r="K4673" s="1">
        <v>909.3</v>
      </c>
      <c r="L4673" s="1">
        <v>15</v>
      </c>
      <c r="M4673" s="1">
        <v>136.38999999999999</v>
      </c>
      <c r="N4673" s="1">
        <v>772.91</v>
      </c>
      <c r="O4673" s="1" t="s">
        <v>33</v>
      </c>
      <c r="P4673" s="1" t="s">
        <v>3770</v>
      </c>
      <c r="Q4673" s="1">
        <v>1</v>
      </c>
      <c r="R4673" s="1">
        <f>Retail_Sales_Analyis[[#This Row],[Final_Price]]-Retail_Sales_Analyis[[#This Row],[Total_Price]]</f>
        <v>-136.38999999999999</v>
      </c>
      <c r="S467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74" spans="1:19" x14ac:dyDescent="0.25">
      <c r="A4674" s="1" t="s">
        <v>5807</v>
      </c>
      <c r="B4674" s="2">
        <v>45310</v>
      </c>
      <c r="C4674" s="1" t="s">
        <v>36</v>
      </c>
      <c r="D4674" s="1" t="s">
        <v>144</v>
      </c>
      <c r="E4674" s="1" t="s">
        <v>157</v>
      </c>
      <c r="F4674" s="1" t="s">
        <v>21</v>
      </c>
      <c r="G4674" s="1" t="s">
        <v>22</v>
      </c>
      <c r="H4674" s="1" t="s">
        <v>133</v>
      </c>
      <c r="I4674" s="1">
        <v>891.62</v>
      </c>
      <c r="J4674" s="1">
        <v>8</v>
      </c>
      <c r="K4674" s="1">
        <v>7132.96</v>
      </c>
      <c r="L4674" s="1">
        <v>0</v>
      </c>
      <c r="M4674" s="1">
        <v>0</v>
      </c>
      <c r="N4674" s="1">
        <v>7132.96</v>
      </c>
      <c r="O4674" s="1" t="s">
        <v>64</v>
      </c>
      <c r="P4674" s="1" t="s">
        <v>171</v>
      </c>
      <c r="Q4674" s="1">
        <v>3</v>
      </c>
      <c r="R4674" s="1">
        <f>Retail_Sales_Analyis[[#This Row],[Final_Price]]-Retail_Sales_Analyis[[#This Row],[Total_Price]]</f>
        <v>0</v>
      </c>
      <c r="S46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5" spans="1:19" x14ac:dyDescent="0.25">
      <c r="A4675" s="1" t="s">
        <v>5808</v>
      </c>
      <c r="B4675" s="2">
        <v>45590</v>
      </c>
      <c r="C4675" s="1" t="s">
        <v>76</v>
      </c>
      <c r="D4675" s="1" t="s">
        <v>144</v>
      </c>
      <c r="E4675" s="1" t="s">
        <v>151</v>
      </c>
      <c r="F4675" s="1" t="s">
        <v>21</v>
      </c>
      <c r="G4675" s="1" t="s">
        <v>112</v>
      </c>
      <c r="H4675" s="1" t="s">
        <v>223</v>
      </c>
      <c r="I4675" s="1">
        <v>1110.72</v>
      </c>
      <c r="J4675" s="1">
        <v>3</v>
      </c>
      <c r="K4675" s="1">
        <v>3332.16</v>
      </c>
      <c r="L4675" s="1">
        <v>0</v>
      </c>
      <c r="M4675" s="1">
        <v>0</v>
      </c>
      <c r="N4675" s="1">
        <v>3332.16</v>
      </c>
      <c r="O4675" s="1" t="s">
        <v>33</v>
      </c>
      <c r="P4675" s="1" t="s">
        <v>2076</v>
      </c>
      <c r="Q4675" s="1">
        <v>4</v>
      </c>
      <c r="R4675" s="1">
        <f>Retail_Sales_Analyis[[#This Row],[Final_Price]]-Retail_Sales_Analyis[[#This Row],[Total_Price]]</f>
        <v>0</v>
      </c>
      <c r="S467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6" spans="1:19" x14ac:dyDescent="0.25">
      <c r="A4676" s="1" t="s">
        <v>5809</v>
      </c>
      <c r="B4676" s="2">
        <v>45654</v>
      </c>
      <c r="C4676" s="1" t="s">
        <v>73</v>
      </c>
      <c r="D4676" s="1" t="s">
        <v>19</v>
      </c>
      <c r="E4676" s="1" t="s">
        <v>166</v>
      </c>
      <c r="F4676" s="1" t="s">
        <v>21</v>
      </c>
      <c r="G4676" s="1" t="s">
        <v>38</v>
      </c>
      <c r="H4676" s="1" t="s">
        <v>108</v>
      </c>
      <c r="I4676" s="1">
        <v>336.9</v>
      </c>
      <c r="J4676" s="1">
        <v>7</v>
      </c>
      <c r="K4676" s="1">
        <v>2358.3000000000002</v>
      </c>
      <c r="L4676" s="1">
        <v>15</v>
      </c>
      <c r="M4676" s="1">
        <v>353.75</v>
      </c>
      <c r="N4676" s="1">
        <v>2004.55</v>
      </c>
      <c r="O4676" s="1" t="s">
        <v>46</v>
      </c>
      <c r="P4676" s="1" t="s">
        <v>655</v>
      </c>
      <c r="Q4676" s="1">
        <v>1</v>
      </c>
      <c r="R4676" s="1">
        <f>Retail_Sales_Analyis[[#This Row],[Final_Price]]-Retail_Sales_Analyis[[#This Row],[Total_Price]]</f>
        <v>-353.75000000000023</v>
      </c>
      <c r="S46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77" spans="1:19" x14ac:dyDescent="0.25">
      <c r="A4677" s="1" t="s">
        <v>5810</v>
      </c>
      <c r="B4677" s="2">
        <v>45584</v>
      </c>
      <c r="C4677" s="1" t="s">
        <v>76</v>
      </c>
      <c r="D4677" s="1" t="s">
        <v>19</v>
      </c>
      <c r="E4677" s="1" t="s">
        <v>157</v>
      </c>
      <c r="F4677" s="1" t="s">
        <v>21</v>
      </c>
      <c r="G4677" s="1" t="s">
        <v>31</v>
      </c>
      <c r="H4677" s="1" t="s">
        <v>32</v>
      </c>
      <c r="I4677" s="1">
        <v>352.36</v>
      </c>
      <c r="J4677" s="1">
        <v>5</v>
      </c>
      <c r="K4677" s="1">
        <v>1761.8</v>
      </c>
      <c r="L4677" s="1">
        <v>0</v>
      </c>
      <c r="M4677" s="1">
        <v>0</v>
      </c>
      <c r="N4677" s="1">
        <v>1761.8</v>
      </c>
      <c r="O4677" s="1" t="s">
        <v>24</v>
      </c>
      <c r="P4677" s="1" t="s">
        <v>5811</v>
      </c>
      <c r="Q4677" s="1">
        <v>4</v>
      </c>
      <c r="R4677" s="1">
        <f>Retail_Sales_Analyis[[#This Row],[Final_Price]]-Retail_Sales_Analyis[[#This Row],[Total_Price]]</f>
        <v>0</v>
      </c>
      <c r="S46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78" spans="1:19" x14ac:dyDescent="0.25">
      <c r="A4678" s="1" t="s">
        <v>5812</v>
      </c>
      <c r="B4678" s="2">
        <v>45389</v>
      </c>
      <c r="C4678" s="1" t="s">
        <v>54</v>
      </c>
      <c r="D4678" s="1" t="s">
        <v>49</v>
      </c>
      <c r="E4678" s="1" t="s">
        <v>204</v>
      </c>
      <c r="F4678" s="1" t="s">
        <v>69</v>
      </c>
      <c r="G4678" s="1" t="s">
        <v>78</v>
      </c>
      <c r="H4678" s="1" t="s">
        <v>126</v>
      </c>
      <c r="I4678" s="1">
        <v>544.75</v>
      </c>
      <c r="J4678" s="1">
        <v>4</v>
      </c>
      <c r="K4678" s="1">
        <v>2179</v>
      </c>
      <c r="L4678" s="1">
        <v>15</v>
      </c>
      <c r="M4678" s="1">
        <v>326.85000000000002</v>
      </c>
      <c r="N4678" s="1">
        <v>1852.15</v>
      </c>
      <c r="O4678" s="1" t="s">
        <v>80</v>
      </c>
      <c r="P4678" s="1" t="s">
        <v>4963</v>
      </c>
      <c r="Q4678" s="1">
        <v>5</v>
      </c>
      <c r="R4678" s="1">
        <f>Retail_Sales_Analyis[[#This Row],[Final_Price]]-Retail_Sales_Analyis[[#This Row],[Total_Price]]</f>
        <v>-326.84999999999991</v>
      </c>
      <c r="S46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79" spans="1:19" x14ac:dyDescent="0.25">
      <c r="A4679" s="1" t="s">
        <v>5813</v>
      </c>
      <c r="B4679" s="2">
        <v>45467</v>
      </c>
      <c r="C4679" s="1" t="s">
        <v>173</v>
      </c>
      <c r="D4679" s="1" t="s">
        <v>43</v>
      </c>
      <c r="E4679" s="1" t="s">
        <v>117</v>
      </c>
      <c r="F4679" s="1" t="s">
        <v>21</v>
      </c>
      <c r="G4679" s="1" t="s">
        <v>78</v>
      </c>
      <c r="H4679" s="1" t="s">
        <v>126</v>
      </c>
      <c r="I4679" s="1">
        <v>437.69</v>
      </c>
      <c r="J4679" s="1">
        <v>9</v>
      </c>
      <c r="K4679" s="1">
        <v>3939.21</v>
      </c>
      <c r="L4679" s="1">
        <v>5</v>
      </c>
      <c r="M4679" s="1">
        <v>196.96</v>
      </c>
      <c r="N4679" s="1">
        <v>3742.25</v>
      </c>
      <c r="O4679" s="1" t="s">
        <v>46</v>
      </c>
      <c r="P4679" s="1" t="s">
        <v>2731</v>
      </c>
      <c r="Q4679" s="1">
        <v>5</v>
      </c>
      <c r="R4679" s="1">
        <f>Retail_Sales_Analyis[[#This Row],[Final_Price]]-Retail_Sales_Analyis[[#This Row],[Total_Price]]</f>
        <v>-196.96000000000004</v>
      </c>
      <c r="S467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80" spans="1:19" x14ac:dyDescent="0.25">
      <c r="A4680" s="1" t="s">
        <v>5814</v>
      </c>
      <c r="B4680" s="2">
        <v>45657</v>
      </c>
      <c r="C4680" s="1" t="s">
        <v>73</v>
      </c>
      <c r="D4680" s="1" t="s">
        <v>28</v>
      </c>
      <c r="E4680" s="1" t="s">
        <v>174</v>
      </c>
      <c r="F4680" s="1" t="s">
        <v>21</v>
      </c>
      <c r="G4680" s="1" t="s">
        <v>38</v>
      </c>
      <c r="H4680" s="1" t="s">
        <v>39</v>
      </c>
      <c r="I4680" s="1">
        <v>571.16999999999996</v>
      </c>
      <c r="J4680" s="1">
        <v>6</v>
      </c>
      <c r="K4680" s="1">
        <v>3427.02</v>
      </c>
      <c r="L4680" s="1">
        <v>0</v>
      </c>
      <c r="M4680" s="1">
        <v>0</v>
      </c>
      <c r="N4680" s="1">
        <v>3427.02</v>
      </c>
      <c r="O4680" s="1" t="s">
        <v>80</v>
      </c>
      <c r="P4680" s="1" t="s">
        <v>1892</v>
      </c>
      <c r="Q4680" s="1">
        <v>2</v>
      </c>
      <c r="R4680" s="1">
        <f>Retail_Sales_Analyis[[#This Row],[Final_Price]]-Retail_Sales_Analyis[[#This Row],[Total_Price]]</f>
        <v>0</v>
      </c>
      <c r="S46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81" spans="1:19" x14ac:dyDescent="0.25">
      <c r="A4681" s="1" t="s">
        <v>5815</v>
      </c>
      <c r="B4681" s="2">
        <v>45405</v>
      </c>
      <c r="C4681" s="1" t="s">
        <v>54</v>
      </c>
      <c r="D4681" s="1" t="s">
        <v>28</v>
      </c>
      <c r="E4681" s="1" t="s">
        <v>104</v>
      </c>
      <c r="F4681" s="1" t="s">
        <v>21</v>
      </c>
      <c r="G4681" s="1" t="s">
        <v>169</v>
      </c>
      <c r="H4681" s="1" t="s">
        <v>348</v>
      </c>
      <c r="I4681" s="1">
        <v>1408.36</v>
      </c>
      <c r="J4681" s="1">
        <v>5</v>
      </c>
      <c r="K4681" s="1">
        <v>7041.8</v>
      </c>
      <c r="L4681" s="1">
        <v>15</v>
      </c>
      <c r="M4681" s="1">
        <v>1056.27</v>
      </c>
      <c r="N4681" s="1">
        <v>5985.53</v>
      </c>
      <c r="O4681" s="1" t="s">
        <v>64</v>
      </c>
      <c r="P4681" s="1" t="s">
        <v>1313</v>
      </c>
      <c r="Q4681" s="1">
        <v>1</v>
      </c>
      <c r="R4681" s="1">
        <f>Retail_Sales_Analyis[[#This Row],[Final_Price]]-Retail_Sales_Analyis[[#This Row],[Total_Price]]</f>
        <v>-1056.2700000000004</v>
      </c>
      <c r="S46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82" spans="1:19" x14ac:dyDescent="0.25">
      <c r="A4682" s="1" t="s">
        <v>5816</v>
      </c>
      <c r="B4682" s="2">
        <v>45643</v>
      </c>
      <c r="C4682" s="1" t="s">
        <v>73</v>
      </c>
      <c r="D4682" s="1" t="s">
        <v>28</v>
      </c>
      <c r="E4682" s="1" t="s">
        <v>20</v>
      </c>
      <c r="F4682" s="1" t="s">
        <v>30</v>
      </c>
      <c r="G4682" s="1" t="s">
        <v>85</v>
      </c>
      <c r="H4682" s="1" t="s">
        <v>90</v>
      </c>
      <c r="I4682" s="1">
        <v>4838.2</v>
      </c>
      <c r="J4682" s="1">
        <v>8</v>
      </c>
      <c r="K4682" s="1">
        <v>38705.599999999999</v>
      </c>
      <c r="L4682" s="1">
        <v>15</v>
      </c>
      <c r="M4682" s="1">
        <v>5805.84</v>
      </c>
      <c r="N4682" s="1">
        <v>32899.760000000002</v>
      </c>
      <c r="O4682" s="1" t="s">
        <v>46</v>
      </c>
      <c r="P4682" s="1" t="s">
        <v>2782</v>
      </c>
      <c r="Q4682" s="1">
        <v>3</v>
      </c>
      <c r="R4682" s="1">
        <f>Retail_Sales_Analyis[[#This Row],[Final_Price]]-Retail_Sales_Analyis[[#This Row],[Total_Price]]</f>
        <v>-5805.8399999999965</v>
      </c>
      <c r="S46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83" spans="1:19" x14ac:dyDescent="0.25">
      <c r="A4683" s="1" t="s">
        <v>5817</v>
      </c>
      <c r="B4683" s="2">
        <v>45565</v>
      </c>
      <c r="C4683" s="1" t="s">
        <v>116</v>
      </c>
      <c r="D4683" s="1" t="s">
        <v>43</v>
      </c>
      <c r="E4683" s="1" t="s">
        <v>302</v>
      </c>
      <c r="F4683" s="1" t="s">
        <v>69</v>
      </c>
      <c r="G4683" s="1" t="s">
        <v>57</v>
      </c>
      <c r="H4683" s="1" t="s">
        <v>101</v>
      </c>
      <c r="I4683" s="1">
        <v>1860.8</v>
      </c>
      <c r="J4683" s="1">
        <v>5</v>
      </c>
      <c r="K4683" s="1">
        <v>9304</v>
      </c>
      <c r="L4683" s="1">
        <v>0</v>
      </c>
      <c r="M4683" s="1">
        <v>0</v>
      </c>
      <c r="N4683" s="1">
        <v>9304</v>
      </c>
      <c r="O4683" s="1" t="s">
        <v>33</v>
      </c>
      <c r="P4683" s="1" t="s">
        <v>1589</v>
      </c>
      <c r="Q4683" s="1">
        <v>5</v>
      </c>
      <c r="R4683" s="1">
        <f>Retail_Sales_Analyis[[#This Row],[Final_Price]]-Retail_Sales_Analyis[[#This Row],[Total_Price]]</f>
        <v>0</v>
      </c>
      <c r="S468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84" spans="1:19" x14ac:dyDescent="0.25">
      <c r="A4684" s="1" t="s">
        <v>5818</v>
      </c>
      <c r="B4684" s="2">
        <v>45618</v>
      </c>
      <c r="C4684" s="1" t="s">
        <v>18</v>
      </c>
      <c r="D4684" s="1" t="s">
        <v>144</v>
      </c>
      <c r="E4684" s="1" t="s">
        <v>328</v>
      </c>
      <c r="F4684" s="1" t="s">
        <v>69</v>
      </c>
      <c r="G4684" s="1" t="s">
        <v>38</v>
      </c>
      <c r="H4684" s="1" t="s">
        <v>39</v>
      </c>
      <c r="I4684" s="1">
        <v>306.45</v>
      </c>
      <c r="J4684" s="1">
        <v>8</v>
      </c>
      <c r="K4684" s="1">
        <v>2451.6</v>
      </c>
      <c r="L4684" s="1">
        <v>5</v>
      </c>
      <c r="M4684" s="1">
        <v>122.58</v>
      </c>
      <c r="N4684" s="1">
        <v>2329.02</v>
      </c>
      <c r="O4684" s="1" t="s">
        <v>64</v>
      </c>
      <c r="P4684" s="1" t="s">
        <v>1508</v>
      </c>
      <c r="Q4684" s="1">
        <v>3</v>
      </c>
      <c r="R4684" s="1">
        <f>Retail_Sales_Analyis[[#This Row],[Final_Price]]-Retail_Sales_Analyis[[#This Row],[Total_Price]]</f>
        <v>-122.57999999999993</v>
      </c>
      <c r="S468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85" spans="1:19" x14ac:dyDescent="0.25">
      <c r="A4685" s="1" t="s">
        <v>5819</v>
      </c>
      <c r="B4685" s="2">
        <v>45535</v>
      </c>
      <c r="C4685" s="1" t="s">
        <v>93</v>
      </c>
      <c r="D4685" s="1" t="s">
        <v>19</v>
      </c>
      <c r="E4685" s="1" t="s">
        <v>196</v>
      </c>
      <c r="F4685" s="1" t="s">
        <v>37</v>
      </c>
      <c r="G4685" s="1" t="s">
        <v>38</v>
      </c>
      <c r="H4685" s="1" t="s">
        <v>70</v>
      </c>
      <c r="I4685" s="1">
        <v>436.58</v>
      </c>
      <c r="J4685" s="1">
        <v>9</v>
      </c>
      <c r="K4685" s="1">
        <v>3929.22</v>
      </c>
      <c r="L4685" s="1">
        <v>0</v>
      </c>
      <c r="M4685" s="1">
        <v>0</v>
      </c>
      <c r="N4685" s="1">
        <v>3929.22</v>
      </c>
      <c r="O4685" s="1" t="s">
        <v>46</v>
      </c>
      <c r="P4685" s="1" t="s">
        <v>2177</v>
      </c>
      <c r="Q4685" s="1">
        <v>1</v>
      </c>
      <c r="R4685" s="1">
        <f>Retail_Sales_Analyis[[#This Row],[Final_Price]]-Retail_Sales_Analyis[[#This Row],[Total_Price]]</f>
        <v>0</v>
      </c>
      <c r="S46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86" spans="1:19" x14ac:dyDescent="0.25">
      <c r="A4686" s="1" t="s">
        <v>5820</v>
      </c>
      <c r="B4686" s="2">
        <v>45635</v>
      </c>
      <c r="C4686" s="1" t="s">
        <v>73</v>
      </c>
      <c r="D4686" s="1" t="s">
        <v>43</v>
      </c>
      <c r="E4686" s="1" t="s">
        <v>94</v>
      </c>
      <c r="F4686" s="1" t="s">
        <v>30</v>
      </c>
      <c r="G4686" s="1" t="s">
        <v>31</v>
      </c>
      <c r="H4686" s="1" t="s">
        <v>329</v>
      </c>
      <c r="I4686" s="1">
        <v>59.8</v>
      </c>
      <c r="J4686" s="1">
        <v>10</v>
      </c>
      <c r="K4686" s="1">
        <v>598</v>
      </c>
      <c r="L4686" s="1">
        <v>10</v>
      </c>
      <c r="M4686" s="1">
        <v>59.8</v>
      </c>
      <c r="N4686" s="1">
        <v>538.20000000000005</v>
      </c>
      <c r="O4686" s="1" t="s">
        <v>33</v>
      </c>
      <c r="P4686" s="1" t="s">
        <v>2863</v>
      </c>
      <c r="Q4686" s="1">
        <v>5</v>
      </c>
      <c r="R4686" s="1">
        <f>Retail_Sales_Analyis[[#This Row],[Final_Price]]-Retail_Sales_Analyis[[#This Row],[Total_Price]]</f>
        <v>-59.799999999999955</v>
      </c>
      <c r="S468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87" spans="1:19" x14ac:dyDescent="0.25">
      <c r="A4687" s="1" t="s">
        <v>5821</v>
      </c>
      <c r="B4687" s="2">
        <v>45475</v>
      </c>
      <c r="C4687" s="1" t="s">
        <v>195</v>
      </c>
      <c r="D4687" s="1" t="s">
        <v>28</v>
      </c>
      <c r="E4687" s="1" t="s">
        <v>322</v>
      </c>
      <c r="F4687" s="1" t="s">
        <v>21</v>
      </c>
      <c r="G4687" s="1" t="s">
        <v>85</v>
      </c>
      <c r="H4687" s="1" t="s">
        <v>90</v>
      </c>
      <c r="I4687" s="1">
        <v>3279.67</v>
      </c>
      <c r="J4687" s="1">
        <v>2</v>
      </c>
      <c r="K4687" s="1">
        <v>6559.34</v>
      </c>
      <c r="L4687" s="1">
        <v>5</v>
      </c>
      <c r="M4687" s="1">
        <v>327.97</v>
      </c>
      <c r="N4687" s="1">
        <v>6231.37</v>
      </c>
      <c r="O4687" s="1" t="s">
        <v>46</v>
      </c>
      <c r="P4687" s="1" t="s">
        <v>2572</v>
      </c>
      <c r="Q4687" s="1">
        <v>2</v>
      </c>
      <c r="R4687" s="1">
        <f>Retail_Sales_Analyis[[#This Row],[Final_Price]]-Retail_Sales_Analyis[[#This Row],[Total_Price]]</f>
        <v>-327.97000000000025</v>
      </c>
      <c r="S46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88" spans="1:19" x14ac:dyDescent="0.25">
      <c r="A4688" s="1" t="s">
        <v>5822</v>
      </c>
      <c r="B4688" s="2">
        <v>45551</v>
      </c>
      <c r="C4688" s="1" t="s">
        <v>116</v>
      </c>
      <c r="D4688" s="1" t="s">
        <v>43</v>
      </c>
      <c r="E4688" s="1" t="s">
        <v>77</v>
      </c>
      <c r="F4688" s="1" t="s">
        <v>21</v>
      </c>
      <c r="G4688" s="1" t="s">
        <v>85</v>
      </c>
      <c r="H4688" s="1" t="s">
        <v>86</v>
      </c>
      <c r="I4688" s="1">
        <v>2421.98</v>
      </c>
      <c r="J4688" s="1">
        <v>6</v>
      </c>
      <c r="K4688" s="1">
        <v>14531.88</v>
      </c>
      <c r="L4688" s="1">
        <v>10</v>
      </c>
      <c r="M4688" s="1">
        <v>1453.19</v>
      </c>
      <c r="N4688" s="1">
        <v>13078.69</v>
      </c>
      <c r="O4688" s="1" t="s">
        <v>33</v>
      </c>
      <c r="P4688" s="1" t="s">
        <v>655</v>
      </c>
      <c r="Q4688" s="1">
        <v>1</v>
      </c>
      <c r="R4688" s="1">
        <f>Retail_Sales_Analyis[[#This Row],[Final_Price]]-Retail_Sales_Analyis[[#This Row],[Total_Price]]</f>
        <v>-1453.1899999999987</v>
      </c>
      <c r="S46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89" spans="1:19" x14ac:dyDescent="0.25">
      <c r="A4689" s="1" t="s">
        <v>5823</v>
      </c>
      <c r="B4689" s="2">
        <v>45445</v>
      </c>
      <c r="C4689" s="1" t="s">
        <v>173</v>
      </c>
      <c r="D4689" s="1" t="s">
        <v>49</v>
      </c>
      <c r="E4689" s="1" t="s">
        <v>196</v>
      </c>
      <c r="F4689" s="1" t="s">
        <v>37</v>
      </c>
      <c r="G4689" s="1" t="s">
        <v>169</v>
      </c>
      <c r="H4689" s="1" t="s">
        <v>208</v>
      </c>
      <c r="I4689" s="1">
        <v>710.86</v>
      </c>
      <c r="J4689" s="1">
        <v>6</v>
      </c>
      <c r="K4689" s="1">
        <v>4265.16</v>
      </c>
      <c r="L4689" s="1">
        <v>5</v>
      </c>
      <c r="M4689" s="1">
        <v>213.26</v>
      </c>
      <c r="N4689" s="1">
        <v>4051.9</v>
      </c>
      <c r="O4689" s="1" t="s">
        <v>80</v>
      </c>
      <c r="P4689" s="1" t="s">
        <v>2613</v>
      </c>
      <c r="Q4689" s="1">
        <v>5</v>
      </c>
      <c r="R4689" s="1">
        <f>Retail_Sales_Analyis[[#This Row],[Final_Price]]-Retail_Sales_Analyis[[#This Row],[Total_Price]]</f>
        <v>-213.25999999999976</v>
      </c>
      <c r="S468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90" spans="1:19" x14ac:dyDescent="0.25">
      <c r="A4690" s="1" t="s">
        <v>5824</v>
      </c>
      <c r="B4690" s="2">
        <v>45379</v>
      </c>
      <c r="C4690" s="1" t="s">
        <v>61</v>
      </c>
      <c r="D4690" s="1" t="s">
        <v>67</v>
      </c>
      <c r="E4690" s="1" t="s">
        <v>20</v>
      </c>
      <c r="F4690" s="1" t="s">
        <v>21</v>
      </c>
      <c r="G4690" s="1" t="s">
        <v>38</v>
      </c>
      <c r="H4690" s="1" t="s">
        <v>214</v>
      </c>
      <c r="I4690" s="1">
        <v>285.14999999999998</v>
      </c>
      <c r="J4690" s="1">
        <v>6</v>
      </c>
      <c r="K4690" s="1">
        <v>1710.9</v>
      </c>
      <c r="L4690" s="1">
        <v>5</v>
      </c>
      <c r="M4690" s="1">
        <v>85.55</v>
      </c>
      <c r="N4690" s="1">
        <v>1625.35</v>
      </c>
      <c r="O4690" s="1" t="s">
        <v>46</v>
      </c>
      <c r="P4690" s="1" t="s">
        <v>3248</v>
      </c>
      <c r="Q4690" s="1">
        <v>1</v>
      </c>
      <c r="R4690" s="1">
        <f>Retail_Sales_Analyis[[#This Row],[Final_Price]]-Retail_Sales_Analyis[[#This Row],[Total_Price]]</f>
        <v>-85.550000000000182</v>
      </c>
      <c r="S46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691" spans="1:19" x14ac:dyDescent="0.25">
      <c r="A4691" s="1" t="s">
        <v>5825</v>
      </c>
      <c r="B4691" s="2">
        <v>45628</v>
      </c>
      <c r="C4691" s="1" t="s">
        <v>73</v>
      </c>
      <c r="D4691" s="1" t="s">
        <v>43</v>
      </c>
      <c r="E4691" s="1" t="s">
        <v>168</v>
      </c>
      <c r="F4691" s="1" t="s">
        <v>37</v>
      </c>
      <c r="G4691" s="1" t="s">
        <v>57</v>
      </c>
      <c r="H4691" s="1" t="s">
        <v>158</v>
      </c>
      <c r="I4691" s="1">
        <v>772.81</v>
      </c>
      <c r="J4691" s="1">
        <v>5</v>
      </c>
      <c r="K4691" s="1">
        <v>3864.05</v>
      </c>
      <c r="L4691" s="1">
        <v>0</v>
      </c>
      <c r="M4691" s="1">
        <v>0</v>
      </c>
      <c r="N4691" s="1">
        <v>3864.05</v>
      </c>
      <c r="O4691" s="1" t="s">
        <v>24</v>
      </c>
      <c r="P4691" s="1" t="s">
        <v>1251</v>
      </c>
      <c r="Q4691" s="1">
        <v>4</v>
      </c>
      <c r="R4691" s="1">
        <f>Retail_Sales_Analyis[[#This Row],[Final_Price]]-Retail_Sales_Analyis[[#This Row],[Total_Price]]</f>
        <v>0</v>
      </c>
      <c r="S46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2" spans="1:19" x14ac:dyDescent="0.25">
      <c r="A4692" s="1" t="s">
        <v>5826</v>
      </c>
      <c r="B4692" s="2">
        <v>45577</v>
      </c>
      <c r="C4692" s="1" t="s">
        <v>76</v>
      </c>
      <c r="D4692" s="1" t="s">
        <v>19</v>
      </c>
      <c r="E4692" s="1" t="s">
        <v>62</v>
      </c>
      <c r="F4692" s="1" t="s">
        <v>84</v>
      </c>
      <c r="G4692" s="1" t="s">
        <v>112</v>
      </c>
      <c r="H4692" s="1" t="s">
        <v>288</v>
      </c>
      <c r="I4692" s="1">
        <v>1779.98</v>
      </c>
      <c r="J4692" s="1">
        <v>4</v>
      </c>
      <c r="K4692" s="1">
        <v>7119.92</v>
      </c>
      <c r="L4692" s="1">
        <v>0</v>
      </c>
      <c r="M4692" s="1">
        <v>0</v>
      </c>
      <c r="N4692" s="1">
        <v>7119.92</v>
      </c>
      <c r="O4692" s="1" t="s">
        <v>64</v>
      </c>
      <c r="P4692" s="1" t="s">
        <v>685</v>
      </c>
      <c r="Q4692" s="1">
        <v>5</v>
      </c>
      <c r="R4692" s="1">
        <f>Retail_Sales_Analyis[[#This Row],[Final_Price]]-Retail_Sales_Analyis[[#This Row],[Total_Price]]</f>
        <v>0</v>
      </c>
      <c r="S46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3" spans="1:19" x14ac:dyDescent="0.25">
      <c r="A4693" s="1" t="s">
        <v>5827</v>
      </c>
      <c r="B4693" s="2">
        <v>45384</v>
      </c>
      <c r="C4693" s="1" t="s">
        <v>54</v>
      </c>
      <c r="D4693" s="1" t="s">
        <v>28</v>
      </c>
      <c r="E4693" s="1" t="s">
        <v>50</v>
      </c>
      <c r="F4693" s="1" t="s">
        <v>37</v>
      </c>
      <c r="G4693" s="1" t="s">
        <v>38</v>
      </c>
      <c r="H4693" s="1" t="s">
        <v>214</v>
      </c>
      <c r="I4693" s="1">
        <v>325.87</v>
      </c>
      <c r="J4693" s="1">
        <v>8</v>
      </c>
      <c r="K4693" s="1">
        <v>2606.96</v>
      </c>
      <c r="L4693" s="1">
        <v>10</v>
      </c>
      <c r="M4693" s="1">
        <v>260.7</v>
      </c>
      <c r="N4693" s="1">
        <v>2346.2600000000002</v>
      </c>
      <c r="O4693" s="1" t="s">
        <v>46</v>
      </c>
      <c r="P4693" s="1" t="s">
        <v>476</v>
      </c>
      <c r="Q4693" s="1">
        <v>3</v>
      </c>
      <c r="R4693" s="1">
        <f>Retail_Sales_Analyis[[#This Row],[Final_Price]]-Retail_Sales_Analyis[[#This Row],[Total_Price]]</f>
        <v>-260.69999999999982</v>
      </c>
      <c r="S46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694" spans="1:19" x14ac:dyDescent="0.25">
      <c r="A4694" s="1" t="s">
        <v>5828</v>
      </c>
      <c r="B4694" s="2">
        <v>45442</v>
      </c>
      <c r="C4694" s="1" t="s">
        <v>42</v>
      </c>
      <c r="D4694" s="1" t="s">
        <v>67</v>
      </c>
      <c r="E4694" s="1" t="s">
        <v>192</v>
      </c>
      <c r="F4694" s="1" t="s">
        <v>37</v>
      </c>
      <c r="G4694" s="1" t="s">
        <v>31</v>
      </c>
      <c r="H4694" s="1" t="s">
        <v>250</v>
      </c>
      <c r="I4694" s="1">
        <v>498.57</v>
      </c>
      <c r="J4694" s="1">
        <v>2</v>
      </c>
      <c r="K4694" s="1">
        <v>997.14</v>
      </c>
      <c r="L4694" s="1">
        <v>0</v>
      </c>
      <c r="M4694" s="1">
        <v>0</v>
      </c>
      <c r="N4694" s="1">
        <v>997.14</v>
      </c>
      <c r="O4694" s="1" t="s">
        <v>80</v>
      </c>
      <c r="P4694" s="1" t="s">
        <v>2226</v>
      </c>
      <c r="Q4694" s="1">
        <v>2</v>
      </c>
      <c r="R4694" s="1">
        <f>Retail_Sales_Analyis[[#This Row],[Final_Price]]-Retail_Sales_Analyis[[#This Row],[Total_Price]]</f>
        <v>0</v>
      </c>
      <c r="S46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5" spans="1:19" x14ac:dyDescent="0.25">
      <c r="A4695" s="1" t="s">
        <v>5829</v>
      </c>
      <c r="B4695" s="2">
        <v>45341</v>
      </c>
      <c r="C4695" s="1" t="s">
        <v>27</v>
      </c>
      <c r="D4695" s="1" t="s">
        <v>43</v>
      </c>
      <c r="E4695" s="1" t="s">
        <v>166</v>
      </c>
      <c r="F4695" s="1" t="s">
        <v>30</v>
      </c>
      <c r="G4695" s="1" t="s">
        <v>169</v>
      </c>
      <c r="H4695" s="1" t="s">
        <v>366</v>
      </c>
      <c r="I4695" s="1">
        <v>772.14</v>
      </c>
      <c r="J4695" s="1">
        <v>3</v>
      </c>
      <c r="K4695" s="1">
        <v>2316.42</v>
      </c>
      <c r="L4695" s="1">
        <v>0</v>
      </c>
      <c r="M4695" s="1">
        <v>0</v>
      </c>
      <c r="N4695" s="1">
        <v>2316.42</v>
      </c>
      <c r="O4695" s="1" t="s">
        <v>80</v>
      </c>
      <c r="P4695" s="1" t="s">
        <v>2597</v>
      </c>
      <c r="Q4695" s="1">
        <v>1</v>
      </c>
      <c r="R4695" s="1">
        <f>Retail_Sales_Analyis[[#This Row],[Final_Price]]-Retail_Sales_Analyis[[#This Row],[Total_Price]]</f>
        <v>0</v>
      </c>
      <c r="S46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6" spans="1:19" x14ac:dyDescent="0.25">
      <c r="A4696" s="1" t="s">
        <v>5830</v>
      </c>
      <c r="B4696" s="2">
        <v>45533</v>
      </c>
      <c r="C4696" s="1" t="s">
        <v>93</v>
      </c>
      <c r="D4696" s="1" t="s">
        <v>67</v>
      </c>
      <c r="E4696" s="1" t="s">
        <v>111</v>
      </c>
      <c r="F4696" s="1" t="s">
        <v>69</v>
      </c>
      <c r="G4696" s="1" t="s">
        <v>31</v>
      </c>
      <c r="H4696" s="1" t="s">
        <v>45</v>
      </c>
      <c r="I4696" s="1">
        <v>277.35000000000002</v>
      </c>
      <c r="J4696" s="1">
        <v>4</v>
      </c>
      <c r="K4696" s="1">
        <v>1109.4000000000001</v>
      </c>
      <c r="L4696" s="1">
        <v>20</v>
      </c>
      <c r="M4696" s="1">
        <v>221.88</v>
      </c>
      <c r="N4696" s="1">
        <v>887.52</v>
      </c>
      <c r="O4696" s="1" t="s">
        <v>33</v>
      </c>
      <c r="P4696" s="1" t="s">
        <v>1574</v>
      </c>
      <c r="Q4696" s="1">
        <v>4</v>
      </c>
      <c r="R4696" s="1">
        <f>Retail_Sales_Analyis[[#This Row],[Final_Price]]-Retail_Sales_Analyis[[#This Row],[Total_Price]]</f>
        <v>-221.88000000000011</v>
      </c>
      <c r="S469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697" spans="1:19" x14ac:dyDescent="0.25">
      <c r="A4697" s="1" t="s">
        <v>5831</v>
      </c>
      <c r="B4697" s="2">
        <v>45357</v>
      </c>
      <c r="C4697" s="1" t="s">
        <v>61</v>
      </c>
      <c r="D4697" s="1" t="s">
        <v>55</v>
      </c>
      <c r="E4697" s="1" t="s">
        <v>68</v>
      </c>
      <c r="F4697" s="1" t="s">
        <v>69</v>
      </c>
      <c r="G4697" s="1" t="s">
        <v>78</v>
      </c>
      <c r="H4697" s="1" t="s">
        <v>79</v>
      </c>
      <c r="I4697" s="1">
        <v>349.78</v>
      </c>
      <c r="J4697" s="1">
        <v>10</v>
      </c>
      <c r="K4697" s="1">
        <v>3497.8</v>
      </c>
      <c r="L4697" s="1">
        <v>0</v>
      </c>
      <c r="M4697" s="1">
        <v>0</v>
      </c>
      <c r="N4697" s="1">
        <v>3497.8</v>
      </c>
      <c r="O4697" s="1" t="s">
        <v>24</v>
      </c>
      <c r="P4697" s="1" t="s">
        <v>1873</v>
      </c>
      <c r="Q4697" s="1">
        <v>4</v>
      </c>
      <c r="R4697" s="1">
        <f>Retail_Sales_Analyis[[#This Row],[Final_Price]]-Retail_Sales_Analyis[[#This Row],[Total_Price]]</f>
        <v>0</v>
      </c>
      <c r="S46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8" spans="1:19" x14ac:dyDescent="0.25">
      <c r="A4698" s="1" t="s">
        <v>5832</v>
      </c>
      <c r="B4698" s="2">
        <v>45424</v>
      </c>
      <c r="C4698" s="1" t="s">
        <v>42</v>
      </c>
      <c r="D4698" s="1" t="s">
        <v>49</v>
      </c>
      <c r="E4698" s="1" t="s">
        <v>302</v>
      </c>
      <c r="F4698" s="1" t="s">
        <v>30</v>
      </c>
      <c r="G4698" s="1" t="s">
        <v>57</v>
      </c>
      <c r="H4698" s="1" t="s">
        <v>101</v>
      </c>
      <c r="I4698" s="1">
        <v>1442.6</v>
      </c>
      <c r="J4698" s="1">
        <v>3</v>
      </c>
      <c r="K4698" s="1">
        <v>4327.8</v>
      </c>
      <c r="L4698" s="1">
        <v>0</v>
      </c>
      <c r="M4698" s="1">
        <v>0</v>
      </c>
      <c r="N4698" s="1">
        <v>4327.8</v>
      </c>
      <c r="O4698" s="1" t="s">
        <v>64</v>
      </c>
      <c r="P4698" s="1" t="s">
        <v>2170</v>
      </c>
      <c r="Q4698" s="1">
        <v>2</v>
      </c>
      <c r="R4698" s="1">
        <f>Retail_Sales_Analyis[[#This Row],[Final_Price]]-Retail_Sales_Analyis[[#This Row],[Total_Price]]</f>
        <v>0</v>
      </c>
      <c r="S46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699" spans="1:19" x14ac:dyDescent="0.25">
      <c r="A4699" s="1" t="s">
        <v>5833</v>
      </c>
      <c r="B4699" s="2">
        <v>45578</v>
      </c>
      <c r="C4699" s="1" t="s">
        <v>76</v>
      </c>
      <c r="D4699" s="1" t="s">
        <v>49</v>
      </c>
      <c r="E4699" s="1" t="s">
        <v>151</v>
      </c>
      <c r="F4699" s="1" t="s">
        <v>69</v>
      </c>
      <c r="G4699" s="1" t="s">
        <v>85</v>
      </c>
      <c r="H4699" s="1" t="s">
        <v>297</v>
      </c>
      <c r="I4699" s="1">
        <v>4831.13</v>
      </c>
      <c r="J4699" s="1">
        <v>8</v>
      </c>
      <c r="K4699" s="1">
        <v>38649.040000000001</v>
      </c>
      <c r="L4699" s="1">
        <v>10</v>
      </c>
      <c r="M4699" s="1">
        <v>3864.9</v>
      </c>
      <c r="N4699" s="1">
        <v>34784.14</v>
      </c>
      <c r="O4699" s="1" t="s">
        <v>80</v>
      </c>
      <c r="P4699" s="1" t="s">
        <v>673</v>
      </c>
      <c r="Q4699" s="1">
        <v>1</v>
      </c>
      <c r="R4699" s="1">
        <f>Retail_Sales_Analyis[[#This Row],[Final_Price]]-Retail_Sales_Analyis[[#This Row],[Total_Price]]</f>
        <v>-3864.9000000000015</v>
      </c>
      <c r="S46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00" spans="1:19" x14ac:dyDescent="0.25">
      <c r="A4700" s="1" t="s">
        <v>5834</v>
      </c>
      <c r="B4700" s="2">
        <v>45385</v>
      </c>
      <c r="C4700" s="1" t="s">
        <v>54</v>
      </c>
      <c r="D4700" s="1" t="s">
        <v>55</v>
      </c>
      <c r="E4700" s="1" t="s">
        <v>44</v>
      </c>
      <c r="F4700" s="1" t="s">
        <v>69</v>
      </c>
      <c r="G4700" s="1" t="s">
        <v>31</v>
      </c>
      <c r="H4700" s="1" t="s">
        <v>45</v>
      </c>
      <c r="I4700" s="1">
        <v>329.68</v>
      </c>
      <c r="J4700" s="1">
        <v>4</v>
      </c>
      <c r="K4700" s="1">
        <v>1318.72</v>
      </c>
      <c r="L4700" s="1">
        <v>5</v>
      </c>
      <c r="M4700" s="1">
        <v>65.94</v>
      </c>
      <c r="N4700" s="1">
        <v>1252.78</v>
      </c>
      <c r="O4700" s="1" t="s">
        <v>80</v>
      </c>
      <c r="P4700" s="1" t="s">
        <v>1474</v>
      </c>
      <c r="Q4700" s="1">
        <v>5</v>
      </c>
      <c r="R4700" s="1">
        <f>Retail_Sales_Analyis[[#This Row],[Final_Price]]-Retail_Sales_Analyis[[#This Row],[Total_Price]]</f>
        <v>-65.940000000000055</v>
      </c>
      <c r="S470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01" spans="1:19" x14ac:dyDescent="0.25">
      <c r="A4701" s="1" t="s">
        <v>5835</v>
      </c>
      <c r="B4701" s="2">
        <v>45640</v>
      </c>
      <c r="C4701" s="1" t="s">
        <v>73</v>
      </c>
      <c r="D4701" s="1" t="s">
        <v>19</v>
      </c>
      <c r="E4701" s="1" t="s">
        <v>302</v>
      </c>
      <c r="F4701" s="1" t="s">
        <v>21</v>
      </c>
      <c r="G4701" s="1" t="s">
        <v>78</v>
      </c>
      <c r="H4701" s="1" t="s">
        <v>146</v>
      </c>
      <c r="I4701" s="1">
        <v>465.17</v>
      </c>
      <c r="J4701" s="1">
        <v>4</v>
      </c>
      <c r="K4701" s="1">
        <v>1860.68</v>
      </c>
      <c r="L4701" s="1">
        <v>10</v>
      </c>
      <c r="M4701" s="1">
        <v>186.07</v>
      </c>
      <c r="N4701" s="1">
        <v>1674.61</v>
      </c>
      <c r="O4701" s="1" t="s">
        <v>80</v>
      </c>
      <c r="P4701" s="1" t="s">
        <v>119</v>
      </c>
      <c r="Q4701" s="1">
        <v>5</v>
      </c>
      <c r="R4701" s="1">
        <f>Retail_Sales_Analyis[[#This Row],[Final_Price]]-Retail_Sales_Analyis[[#This Row],[Total_Price]]</f>
        <v>-186.07000000000016</v>
      </c>
      <c r="S470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02" spans="1:19" x14ac:dyDescent="0.25">
      <c r="A4702" s="1" t="s">
        <v>5836</v>
      </c>
      <c r="B4702" s="2">
        <v>45463</v>
      </c>
      <c r="C4702" s="1" t="s">
        <v>173</v>
      </c>
      <c r="D4702" s="1" t="s">
        <v>67</v>
      </c>
      <c r="E4702" s="1" t="s">
        <v>141</v>
      </c>
      <c r="F4702" s="1" t="s">
        <v>21</v>
      </c>
      <c r="G4702" s="1" t="s">
        <v>169</v>
      </c>
      <c r="H4702" s="1" t="s">
        <v>170</v>
      </c>
      <c r="I4702" s="1">
        <v>660.65</v>
      </c>
      <c r="J4702" s="1">
        <v>5</v>
      </c>
      <c r="K4702" s="1">
        <v>3303.25</v>
      </c>
      <c r="L4702" s="1">
        <v>0</v>
      </c>
      <c r="M4702" s="1">
        <v>0</v>
      </c>
      <c r="N4702" s="1">
        <v>3303.25</v>
      </c>
      <c r="O4702" s="1" t="s">
        <v>24</v>
      </c>
      <c r="P4702" s="1" t="s">
        <v>1393</v>
      </c>
      <c r="Q4702" s="1">
        <v>5</v>
      </c>
      <c r="R4702" s="1">
        <f>Retail_Sales_Analyis[[#This Row],[Final_Price]]-Retail_Sales_Analyis[[#This Row],[Total_Price]]</f>
        <v>0</v>
      </c>
      <c r="S47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3" spans="1:19" x14ac:dyDescent="0.25">
      <c r="A4703" s="1" t="s">
        <v>5837</v>
      </c>
      <c r="B4703" s="2">
        <v>45627</v>
      </c>
      <c r="C4703" s="1" t="s">
        <v>73</v>
      </c>
      <c r="D4703" s="1" t="s">
        <v>49</v>
      </c>
      <c r="E4703" s="1" t="s">
        <v>207</v>
      </c>
      <c r="F4703" s="1" t="s">
        <v>21</v>
      </c>
      <c r="G4703" s="1" t="s">
        <v>78</v>
      </c>
      <c r="H4703" s="1" t="s">
        <v>136</v>
      </c>
      <c r="I4703" s="1">
        <v>587.89</v>
      </c>
      <c r="J4703" s="1">
        <v>10</v>
      </c>
      <c r="K4703" s="1">
        <v>5878.9</v>
      </c>
      <c r="L4703" s="1">
        <v>0</v>
      </c>
      <c r="M4703" s="1">
        <v>0</v>
      </c>
      <c r="N4703" s="1">
        <v>5878.9</v>
      </c>
      <c r="O4703" s="1" t="s">
        <v>80</v>
      </c>
      <c r="P4703" s="1" t="s">
        <v>476</v>
      </c>
      <c r="Q4703" s="1">
        <v>2</v>
      </c>
      <c r="R4703" s="1">
        <f>Retail_Sales_Analyis[[#This Row],[Final_Price]]-Retail_Sales_Analyis[[#This Row],[Total_Price]]</f>
        <v>0</v>
      </c>
      <c r="S47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4" spans="1:19" x14ac:dyDescent="0.25">
      <c r="A4704" s="1" t="s">
        <v>5838</v>
      </c>
      <c r="B4704" s="2">
        <v>45337</v>
      </c>
      <c r="C4704" s="1" t="s">
        <v>27</v>
      </c>
      <c r="D4704" s="1" t="s">
        <v>67</v>
      </c>
      <c r="E4704" s="1" t="s">
        <v>204</v>
      </c>
      <c r="F4704" s="1" t="s">
        <v>84</v>
      </c>
      <c r="G4704" s="1" t="s">
        <v>112</v>
      </c>
      <c r="H4704" s="1" t="s">
        <v>223</v>
      </c>
      <c r="I4704" s="1">
        <v>1129.1099999999999</v>
      </c>
      <c r="J4704" s="1">
        <v>6</v>
      </c>
      <c r="K4704" s="1">
        <v>6774.66</v>
      </c>
      <c r="L4704" s="1">
        <v>0</v>
      </c>
      <c r="M4704" s="1">
        <v>0</v>
      </c>
      <c r="N4704" s="1">
        <v>6774.66</v>
      </c>
      <c r="O4704" s="1" t="s">
        <v>46</v>
      </c>
      <c r="P4704" s="1" t="s">
        <v>812</v>
      </c>
      <c r="Q4704" s="1">
        <v>5</v>
      </c>
      <c r="R4704" s="1">
        <f>Retail_Sales_Analyis[[#This Row],[Final_Price]]-Retail_Sales_Analyis[[#This Row],[Total_Price]]</f>
        <v>0</v>
      </c>
      <c r="S470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5" spans="1:19" x14ac:dyDescent="0.25">
      <c r="A4705" s="1" t="s">
        <v>5839</v>
      </c>
      <c r="B4705" s="2">
        <v>45405</v>
      </c>
      <c r="C4705" s="1" t="s">
        <v>54</v>
      </c>
      <c r="D4705" s="1" t="s">
        <v>28</v>
      </c>
      <c r="E4705" s="1" t="s">
        <v>542</v>
      </c>
      <c r="F4705" s="1" t="s">
        <v>30</v>
      </c>
      <c r="G4705" s="1" t="s">
        <v>85</v>
      </c>
      <c r="H4705" s="1" t="s">
        <v>86</v>
      </c>
      <c r="I4705" s="1">
        <v>4714.07</v>
      </c>
      <c r="J4705" s="1">
        <v>8</v>
      </c>
      <c r="K4705" s="1">
        <v>37712.559999999998</v>
      </c>
      <c r="L4705" s="1">
        <v>20</v>
      </c>
      <c r="M4705" s="1">
        <v>7542.51</v>
      </c>
      <c r="N4705" s="1">
        <v>30170.05</v>
      </c>
      <c r="O4705" s="1" t="s">
        <v>80</v>
      </c>
      <c r="P4705" s="1" t="s">
        <v>631</v>
      </c>
      <c r="Q4705" s="1">
        <v>4</v>
      </c>
      <c r="R4705" s="1">
        <f>Retail_Sales_Analyis[[#This Row],[Final_Price]]-Retail_Sales_Analyis[[#This Row],[Total_Price]]</f>
        <v>-7542.5099999999984</v>
      </c>
      <c r="S47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06" spans="1:19" x14ac:dyDescent="0.25">
      <c r="A4706" s="1" t="s">
        <v>5840</v>
      </c>
      <c r="B4706" s="2">
        <v>45473</v>
      </c>
      <c r="C4706" s="1" t="s">
        <v>173</v>
      </c>
      <c r="D4706" s="1" t="s">
        <v>49</v>
      </c>
      <c r="E4706" s="1" t="s">
        <v>77</v>
      </c>
      <c r="F4706" s="1" t="s">
        <v>21</v>
      </c>
      <c r="G4706" s="1" t="s">
        <v>78</v>
      </c>
      <c r="H4706" s="1" t="s">
        <v>146</v>
      </c>
      <c r="I4706" s="1">
        <v>236.88</v>
      </c>
      <c r="J4706" s="1">
        <v>4</v>
      </c>
      <c r="K4706" s="1">
        <v>947.52</v>
      </c>
      <c r="L4706" s="1">
        <v>0</v>
      </c>
      <c r="M4706" s="1">
        <v>0</v>
      </c>
      <c r="N4706" s="1">
        <v>947.52</v>
      </c>
      <c r="O4706" s="1" t="s">
        <v>33</v>
      </c>
      <c r="P4706" s="1" t="s">
        <v>1138</v>
      </c>
      <c r="Q4706" s="1">
        <v>5</v>
      </c>
      <c r="R4706" s="1">
        <f>Retail_Sales_Analyis[[#This Row],[Final_Price]]-Retail_Sales_Analyis[[#This Row],[Total_Price]]</f>
        <v>0</v>
      </c>
      <c r="S470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7" spans="1:19" x14ac:dyDescent="0.25">
      <c r="A4707" s="1" t="s">
        <v>5841</v>
      </c>
      <c r="B4707" s="2">
        <v>45406</v>
      </c>
      <c r="C4707" s="1" t="s">
        <v>54</v>
      </c>
      <c r="D4707" s="1" t="s">
        <v>55</v>
      </c>
      <c r="E4707" s="1" t="s">
        <v>302</v>
      </c>
      <c r="F4707" s="1" t="s">
        <v>37</v>
      </c>
      <c r="G4707" s="1" t="s">
        <v>57</v>
      </c>
      <c r="H4707" s="1" t="s">
        <v>158</v>
      </c>
      <c r="I4707" s="1">
        <v>2488.39</v>
      </c>
      <c r="J4707" s="1">
        <v>6</v>
      </c>
      <c r="K4707" s="1">
        <v>14930.34</v>
      </c>
      <c r="L4707" s="1">
        <v>5</v>
      </c>
      <c r="M4707" s="1">
        <v>746.52</v>
      </c>
      <c r="N4707" s="1">
        <v>14183.82</v>
      </c>
      <c r="O4707" s="1" t="s">
        <v>24</v>
      </c>
      <c r="P4707" s="1" t="s">
        <v>1791</v>
      </c>
      <c r="Q4707" s="1">
        <v>5</v>
      </c>
      <c r="R4707" s="1">
        <f>Retail_Sales_Analyis[[#This Row],[Final_Price]]-Retail_Sales_Analyis[[#This Row],[Total_Price]]</f>
        <v>-746.52000000000044</v>
      </c>
      <c r="S470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08" spans="1:19" x14ac:dyDescent="0.25">
      <c r="A4708" s="1" t="s">
        <v>5842</v>
      </c>
      <c r="B4708" s="2">
        <v>45449</v>
      </c>
      <c r="C4708" s="1" t="s">
        <v>173</v>
      </c>
      <c r="D4708" s="1" t="s">
        <v>67</v>
      </c>
      <c r="E4708" s="1" t="s">
        <v>337</v>
      </c>
      <c r="F4708" s="1" t="s">
        <v>37</v>
      </c>
      <c r="G4708" s="1" t="s">
        <v>31</v>
      </c>
      <c r="H4708" s="1" t="s">
        <v>32</v>
      </c>
      <c r="I4708" s="1">
        <v>212.35</v>
      </c>
      <c r="J4708" s="1">
        <v>1</v>
      </c>
      <c r="K4708" s="1">
        <v>212.35</v>
      </c>
      <c r="L4708" s="1">
        <v>0</v>
      </c>
      <c r="M4708" s="1">
        <v>0</v>
      </c>
      <c r="N4708" s="1">
        <v>212.35</v>
      </c>
      <c r="O4708" s="1" t="s">
        <v>24</v>
      </c>
      <c r="P4708" s="1" t="s">
        <v>2425</v>
      </c>
      <c r="Q4708" s="1">
        <v>1</v>
      </c>
      <c r="R4708" s="1">
        <f>Retail_Sales_Analyis[[#This Row],[Final_Price]]-Retail_Sales_Analyis[[#This Row],[Total_Price]]</f>
        <v>0</v>
      </c>
      <c r="S47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09" spans="1:19" x14ac:dyDescent="0.25">
      <c r="A4709" s="1" t="s">
        <v>5843</v>
      </c>
      <c r="B4709" s="2">
        <v>45507</v>
      </c>
      <c r="C4709" s="1" t="s">
        <v>93</v>
      </c>
      <c r="D4709" s="1" t="s">
        <v>19</v>
      </c>
      <c r="E4709" s="1" t="s">
        <v>139</v>
      </c>
      <c r="F4709" s="1" t="s">
        <v>69</v>
      </c>
      <c r="G4709" s="1" t="s">
        <v>31</v>
      </c>
      <c r="H4709" s="1" t="s">
        <v>45</v>
      </c>
      <c r="I4709" s="1">
        <v>240.87</v>
      </c>
      <c r="J4709" s="1">
        <v>10</v>
      </c>
      <c r="K4709" s="1">
        <v>2408.6999999999998</v>
      </c>
      <c r="L4709" s="1">
        <v>20</v>
      </c>
      <c r="M4709" s="1">
        <v>481.74</v>
      </c>
      <c r="N4709" s="1">
        <v>1926.96</v>
      </c>
      <c r="O4709" s="1" t="s">
        <v>80</v>
      </c>
      <c r="P4709" s="1" t="s">
        <v>782</v>
      </c>
      <c r="Q4709" s="1">
        <v>3</v>
      </c>
      <c r="R4709" s="1">
        <f>Retail_Sales_Analyis[[#This Row],[Final_Price]]-Retail_Sales_Analyis[[#This Row],[Total_Price]]</f>
        <v>-481.73999999999978</v>
      </c>
      <c r="S470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10" spans="1:19" x14ac:dyDescent="0.25">
      <c r="A4710" s="1" t="s">
        <v>5844</v>
      </c>
      <c r="B4710" s="2">
        <v>45461</v>
      </c>
      <c r="C4710" s="1" t="s">
        <v>173</v>
      </c>
      <c r="D4710" s="1" t="s">
        <v>28</v>
      </c>
      <c r="E4710" s="1" t="s">
        <v>20</v>
      </c>
      <c r="F4710" s="1" t="s">
        <v>37</v>
      </c>
      <c r="G4710" s="1" t="s">
        <v>112</v>
      </c>
      <c r="H4710" s="1" t="s">
        <v>118</v>
      </c>
      <c r="I4710" s="1">
        <v>680.94</v>
      </c>
      <c r="J4710" s="1">
        <v>3</v>
      </c>
      <c r="K4710" s="1">
        <v>2042.82</v>
      </c>
      <c r="L4710" s="1">
        <v>0</v>
      </c>
      <c r="M4710" s="1">
        <v>0</v>
      </c>
      <c r="N4710" s="1">
        <v>2042.82</v>
      </c>
      <c r="O4710" s="1" t="s">
        <v>64</v>
      </c>
      <c r="P4710" s="1" t="s">
        <v>1364</v>
      </c>
      <c r="Q4710" s="1">
        <v>5</v>
      </c>
      <c r="R4710" s="1">
        <f>Retail_Sales_Analyis[[#This Row],[Final_Price]]-Retail_Sales_Analyis[[#This Row],[Total_Price]]</f>
        <v>0</v>
      </c>
      <c r="S471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11" spans="1:19" x14ac:dyDescent="0.25">
      <c r="A4711" s="1" t="s">
        <v>5845</v>
      </c>
      <c r="B4711" s="2">
        <v>45482</v>
      </c>
      <c r="C4711" s="1" t="s">
        <v>195</v>
      </c>
      <c r="D4711" s="1" t="s">
        <v>28</v>
      </c>
      <c r="E4711" s="1" t="s">
        <v>121</v>
      </c>
      <c r="F4711" s="1" t="s">
        <v>84</v>
      </c>
      <c r="G4711" s="1" t="s">
        <v>22</v>
      </c>
      <c r="H4711" s="1" t="s">
        <v>23</v>
      </c>
      <c r="I4711" s="1">
        <v>276.44</v>
      </c>
      <c r="J4711" s="1">
        <v>1</v>
      </c>
      <c r="K4711" s="1">
        <v>276.44</v>
      </c>
      <c r="L4711" s="1">
        <v>0</v>
      </c>
      <c r="M4711" s="1">
        <v>0</v>
      </c>
      <c r="N4711" s="1">
        <v>276.44</v>
      </c>
      <c r="O4711" s="1" t="s">
        <v>64</v>
      </c>
      <c r="P4711" s="1" t="s">
        <v>1826</v>
      </c>
      <c r="Q4711" s="1">
        <v>4</v>
      </c>
      <c r="R4711" s="1">
        <f>Retail_Sales_Analyis[[#This Row],[Final_Price]]-Retail_Sales_Analyis[[#This Row],[Total_Price]]</f>
        <v>0</v>
      </c>
      <c r="S471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12" spans="1:19" x14ac:dyDescent="0.25">
      <c r="A4712" s="1" t="s">
        <v>5846</v>
      </c>
      <c r="B4712" s="2">
        <v>45425</v>
      </c>
      <c r="C4712" s="1" t="s">
        <v>42</v>
      </c>
      <c r="D4712" s="1" t="s">
        <v>43</v>
      </c>
      <c r="E4712" s="1" t="s">
        <v>94</v>
      </c>
      <c r="F4712" s="1" t="s">
        <v>69</v>
      </c>
      <c r="G4712" s="1" t="s">
        <v>85</v>
      </c>
      <c r="H4712" s="1" t="s">
        <v>90</v>
      </c>
      <c r="I4712" s="1">
        <v>2870.66</v>
      </c>
      <c r="J4712" s="1">
        <v>10</v>
      </c>
      <c r="K4712" s="1">
        <v>28706.6</v>
      </c>
      <c r="L4712" s="1">
        <v>20</v>
      </c>
      <c r="M4712" s="1">
        <v>5741.32</v>
      </c>
      <c r="N4712" s="1">
        <v>22965.279999999999</v>
      </c>
      <c r="O4712" s="1" t="s">
        <v>64</v>
      </c>
      <c r="P4712" s="1" t="s">
        <v>2821</v>
      </c>
      <c r="Q4712" s="1">
        <v>4</v>
      </c>
      <c r="R4712" s="1">
        <f>Retail_Sales_Analyis[[#This Row],[Final_Price]]-Retail_Sales_Analyis[[#This Row],[Total_Price]]</f>
        <v>-5741.32</v>
      </c>
      <c r="S471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13" spans="1:19" x14ac:dyDescent="0.25">
      <c r="A4713" s="1" t="s">
        <v>5847</v>
      </c>
      <c r="B4713" s="2">
        <v>45591</v>
      </c>
      <c r="C4713" s="1" t="s">
        <v>76</v>
      </c>
      <c r="D4713" s="1" t="s">
        <v>19</v>
      </c>
      <c r="E4713" s="1" t="s">
        <v>166</v>
      </c>
      <c r="F4713" s="1" t="s">
        <v>21</v>
      </c>
      <c r="G4713" s="1" t="s">
        <v>85</v>
      </c>
      <c r="H4713" s="1" t="s">
        <v>98</v>
      </c>
      <c r="I4713" s="1">
        <v>2580.89</v>
      </c>
      <c r="J4713" s="1">
        <v>9</v>
      </c>
      <c r="K4713" s="1">
        <v>23228.01</v>
      </c>
      <c r="L4713" s="1">
        <v>15</v>
      </c>
      <c r="M4713" s="1">
        <v>3484.2</v>
      </c>
      <c r="N4713" s="1">
        <v>19743.810000000001</v>
      </c>
      <c r="O4713" s="1" t="s">
        <v>80</v>
      </c>
      <c r="P4713" s="1" t="s">
        <v>1500</v>
      </c>
      <c r="Q4713" s="1">
        <v>4</v>
      </c>
      <c r="R4713" s="1">
        <f>Retail_Sales_Analyis[[#This Row],[Final_Price]]-Retail_Sales_Analyis[[#This Row],[Total_Price]]</f>
        <v>-3484.1999999999971</v>
      </c>
      <c r="S471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14" spans="1:19" x14ac:dyDescent="0.25">
      <c r="A4714" s="1" t="s">
        <v>5848</v>
      </c>
      <c r="B4714" s="2">
        <v>45442</v>
      </c>
      <c r="C4714" s="1" t="s">
        <v>42</v>
      </c>
      <c r="D4714" s="1" t="s">
        <v>67</v>
      </c>
      <c r="E4714" s="1" t="s">
        <v>44</v>
      </c>
      <c r="F4714" s="1" t="s">
        <v>21</v>
      </c>
      <c r="G4714" s="1" t="s">
        <v>169</v>
      </c>
      <c r="H4714" s="1" t="s">
        <v>175</v>
      </c>
      <c r="I4714" s="1">
        <v>496.22</v>
      </c>
      <c r="J4714" s="1">
        <v>5</v>
      </c>
      <c r="K4714" s="1">
        <v>2481.1</v>
      </c>
      <c r="L4714" s="1">
        <v>20</v>
      </c>
      <c r="M4714" s="1">
        <v>496.22</v>
      </c>
      <c r="N4714" s="1">
        <v>1984.88</v>
      </c>
      <c r="O4714" s="1" t="s">
        <v>64</v>
      </c>
      <c r="P4714" s="1" t="s">
        <v>1791</v>
      </c>
      <c r="Q4714" s="1">
        <v>5</v>
      </c>
      <c r="R4714" s="1">
        <f>Retail_Sales_Analyis[[#This Row],[Final_Price]]-Retail_Sales_Analyis[[#This Row],[Total_Price]]</f>
        <v>-496.2199999999998</v>
      </c>
      <c r="S471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15" spans="1:19" x14ac:dyDescent="0.25">
      <c r="A4715" s="1" t="s">
        <v>5849</v>
      </c>
      <c r="B4715" s="2">
        <v>45529</v>
      </c>
      <c r="C4715" s="1" t="s">
        <v>93</v>
      </c>
      <c r="D4715" s="1" t="s">
        <v>49</v>
      </c>
      <c r="E4715" s="1" t="s">
        <v>20</v>
      </c>
      <c r="F4715" s="1" t="s">
        <v>30</v>
      </c>
      <c r="G4715" s="1" t="s">
        <v>112</v>
      </c>
      <c r="H4715" s="1" t="s">
        <v>288</v>
      </c>
      <c r="I4715" s="1">
        <v>987.76</v>
      </c>
      <c r="J4715" s="1">
        <v>10</v>
      </c>
      <c r="K4715" s="1">
        <v>9877.6</v>
      </c>
      <c r="L4715" s="1">
        <v>0</v>
      </c>
      <c r="M4715" s="1">
        <v>0</v>
      </c>
      <c r="N4715" s="1">
        <v>9877.6</v>
      </c>
      <c r="O4715" s="1" t="s">
        <v>24</v>
      </c>
      <c r="P4715" s="1" t="s">
        <v>2143</v>
      </c>
      <c r="Q4715" s="1">
        <v>3</v>
      </c>
      <c r="R4715" s="1">
        <f>Retail_Sales_Analyis[[#This Row],[Final_Price]]-Retail_Sales_Analyis[[#This Row],[Total_Price]]</f>
        <v>0</v>
      </c>
      <c r="S47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16" spans="1:19" x14ac:dyDescent="0.25">
      <c r="A4716" s="1" t="s">
        <v>5850</v>
      </c>
      <c r="B4716" s="2">
        <v>45352</v>
      </c>
      <c r="C4716" s="1" t="s">
        <v>61</v>
      </c>
      <c r="D4716" s="1" t="s">
        <v>144</v>
      </c>
      <c r="E4716" s="1" t="s">
        <v>285</v>
      </c>
      <c r="F4716" s="1" t="s">
        <v>84</v>
      </c>
      <c r="G4716" s="1" t="s">
        <v>38</v>
      </c>
      <c r="H4716" s="1" t="s">
        <v>39</v>
      </c>
      <c r="I4716" s="1">
        <v>515.6</v>
      </c>
      <c r="J4716" s="1">
        <v>10</v>
      </c>
      <c r="K4716" s="1">
        <v>5156</v>
      </c>
      <c r="L4716" s="1">
        <v>5</v>
      </c>
      <c r="M4716" s="1">
        <v>257.8</v>
      </c>
      <c r="N4716" s="1">
        <v>4898.2</v>
      </c>
      <c r="O4716" s="1" t="s">
        <v>46</v>
      </c>
      <c r="P4716" s="1" t="s">
        <v>2081</v>
      </c>
      <c r="Q4716" s="1">
        <v>3</v>
      </c>
      <c r="R4716" s="1">
        <f>Retail_Sales_Analyis[[#This Row],[Final_Price]]-Retail_Sales_Analyis[[#This Row],[Total_Price]]</f>
        <v>-257.80000000000018</v>
      </c>
      <c r="S47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17" spans="1:19" x14ac:dyDescent="0.25">
      <c r="A4717" s="1" t="s">
        <v>5851</v>
      </c>
      <c r="B4717" s="2">
        <v>45532</v>
      </c>
      <c r="C4717" s="1" t="s">
        <v>93</v>
      </c>
      <c r="D4717" s="1" t="s">
        <v>55</v>
      </c>
      <c r="E4717" s="1" t="s">
        <v>196</v>
      </c>
      <c r="F4717" s="1" t="s">
        <v>21</v>
      </c>
      <c r="G4717" s="1" t="s">
        <v>22</v>
      </c>
      <c r="H4717" s="1" t="s">
        <v>23</v>
      </c>
      <c r="I4717" s="1">
        <v>706.4</v>
      </c>
      <c r="J4717" s="1">
        <v>4</v>
      </c>
      <c r="K4717" s="1">
        <v>2825.6</v>
      </c>
      <c r="L4717" s="1">
        <v>10</v>
      </c>
      <c r="M4717" s="1">
        <v>282.56</v>
      </c>
      <c r="N4717" s="1">
        <v>2543.04</v>
      </c>
      <c r="O4717" s="1" t="s">
        <v>46</v>
      </c>
      <c r="P4717" s="1" t="s">
        <v>1100</v>
      </c>
      <c r="Q4717" s="1">
        <v>1</v>
      </c>
      <c r="R4717" s="1">
        <f>Retail_Sales_Analyis[[#This Row],[Final_Price]]-Retail_Sales_Analyis[[#This Row],[Total_Price]]</f>
        <v>-282.55999999999995</v>
      </c>
      <c r="S471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18" spans="1:19" x14ac:dyDescent="0.25">
      <c r="A4718" s="1" t="s">
        <v>5852</v>
      </c>
      <c r="B4718" s="2">
        <v>45319</v>
      </c>
      <c r="C4718" s="1" t="s">
        <v>36</v>
      </c>
      <c r="D4718" s="1" t="s">
        <v>49</v>
      </c>
      <c r="E4718" s="1" t="s">
        <v>125</v>
      </c>
      <c r="F4718" s="1" t="s">
        <v>69</v>
      </c>
      <c r="G4718" s="1" t="s">
        <v>31</v>
      </c>
      <c r="H4718" s="1" t="s">
        <v>32</v>
      </c>
      <c r="I4718" s="1">
        <v>473.56</v>
      </c>
      <c r="J4718" s="1">
        <v>2</v>
      </c>
      <c r="K4718" s="1">
        <v>947.12</v>
      </c>
      <c r="L4718" s="1">
        <v>20</v>
      </c>
      <c r="M4718" s="1">
        <v>189.42</v>
      </c>
      <c r="N4718" s="1">
        <v>757.7</v>
      </c>
      <c r="O4718" s="1" t="s">
        <v>46</v>
      </c>
      <c r="P4718" s="1" t="s">
        <v>4744</v>
      </c>
      <c r="Q4718" s="1">
        <v>4</v>
      </c>
      <c r="R4718" s="1">
        <f>Retail_Sales_Analyis[[#This Row],[Final_Price]]-Retail_Sales_Analyis[[#This Row],[Total_Price]]</f>
        <v>-189.41999999999996</v>
      </c>
      <c r="S471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19" spans="1:19" x14ac:dyDescent="0.25">
      <c r="A4719" s="1" t="s">
        <v>5853</v>
      </c>
      <c r="B4719" s="2">
        <v>45616</v>
      </c>
      <c r="C4719" s="1" t="s">
        <v>18</v>
      </c>
      <c r="D4719" s="1" t="s">
        <v>55</v>
      </c>
      <c r="E4719" s="1" t="s">
        <v>107</v>
      </c>
      <c r="F4719" s="1" t="s">
        <v>30</v>
      </c>
      <c r="G4719" s="1" t="s">
        <v>78</v>
      </c>
      <c r="H4719" s="1" t="s">
        <v>79</v>
      </c>
      <c r="I4719" s="1">
        <v>441.18</v>
      </c>
      <c r="J4719" s="1">
        <v>1</v>
      </c>
      <c r="K4719" s="1">
        <v>441.18</v>
      </c>
      <c r="L4719" s="1">
        <v>0</v>
      </c>
      <c r="M4719" s="1">
        <v>0</v>
      </c>
      <c r="N4719" s="1">
        <v>441.18</v>
      </c>
      <c r="O4719" s="1" t="s">
        <v>24</v>
      </c>
      <c r="P4719" s="1" t="s">
        <v>1500</v>
      </c>
      <c r="Q4719" s="1">
        <v>5</v>
      </c>
      <c r="R4719" s="1">
        <f>Retail_Sales_Analyis[[#This Row],[Final_Price]]-Retail_Sales_Analyis[[#This Row],[Total_Price]]</f>
        <v>0</v>
      </c>
      <c r="S47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20" spans="1:19" x14ac:dyDescent="0.25">
      <c r="A4720" s="1" t="s">
        <v>5854</v>
      </c>
      <c r="B4720" s="2">
        <v>45590</v>
      </c>
      <c r="C4720" s="1" t="s">
        <v>76</v>
      </c>
      <c r="D4720" s="1" t="s">
        <v>144</v>
      </c>
      <c r="E4720" s="1" t="s">
        <v>312</v>
      </c>
      <c r="F4720" s="1" t="s">
        <v>21</v>
      </c>
      <c r="G4720" s="1" t="s">
        <v>169</v>
      </c>
      <c r="H4720" s="1" t="s">
        <v>208</v>
      </c>
      <c r="I4720" s="1">
        <v>1425.24</v>
      </c>
      <c r="J4720" s="1">
        <v>2</v>
      </c>
      <c r="K4720" s="1">
        <v>2850.48</v>
      </c>
      <c r="L4720" s="1">
        <v>15</v>
      </c>
      <c r="M4720" s="1">
        <v>427.57</v>
      </c>
      <c r="N4720" s="1">
        <v>2422.91</v>
      </c>
      <c r="O4720" s="1" t="s">
        <v>80</v>
      </c>
      <c r="P4720" s="1" t="s">
        <v>1561</v>
      </c>
      <c r="Q4720" s="1">
        <v>4</v>
      </c>
      <c r="R4720" s="1">
        <f>Retail_Sales_Analyis[[#This Row],[Final_Price]]-Retail_Sales_Analyis[[#This Row],[Total_Price]]</f>
        <v>-427.57000000000016</v>
      </c>
      <c r="S47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21" spans="1:19" x14ac:dyDescent="0.25">
      <c r="A4721" s="1" t="s">
        <v>5855</v>
      </c>
      <c r="B4721" s="2">
        <v>45589</v>
      </c>
      <c r="C4721" s="1" t="s">
        <v>76</v>
      </c>
      <c r="D4721" s="1" t="s">
        <v>67</v>
      </c>
      <c r="E4721" s="1" t="s">
        <v>302</v>
      </c>
      <c r="F4721" s="1" t="s">
        <v>37</v>
      </c>
      <c r="G4721" s="1" t="s">
        <v>31</v>
      </c>
      <c r="H4721" s="1" t="s">
        <v>63</v>
      </c>
      <c r="I4721" s="1">
        <v>310.57</v>
      </c>
      <c r="J4721" s="1">
        <v>5</v>
      </c>
      <c r="K4721" s="1">
        <v>1552.85</v>
      </c>
      <c r="L4721" s="1">
        <v>0</v>
      </c>
      <c r="M4721" s="1">
        <v>0</v>
      </c>
      <c r="N4721" s="1">
        <v>1552.85</v>
      </c>
      <c r="O4721" s="1" t="s">
        <v>46</v>
      </c>
      <c r="P4721" s="1" t="s">
        <v>1017</v>
      </c>
      <c r="Q4721" s="1">
        <v>4</v>
      </c>
      <c r="R4721" s="1">
        <f>Retail_Sales_Analyis[[#This Row],[Final_Price]]-Retail_Sales_Analyis[[#This Row],[Total_Price]]</f>
        <v>0</v>
      </c>
      <c r="S47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22" spans="1:19" x14ac:dyDescent="0.25">
      <c r="A4722" s="1" t="s">
        <v>5856</v>
      </c>
      <c r="B4722" s="2">
        <v>45609</v>
      </c>
      <c r="C4722" s="1" t="s">
        <v>18</v>
      </c>
      <c r="D4722" s="1" t="s">
        <v>55</v>
      </c>
      <c r="E4722" s="1" t="s">
        <v>204</v>
      </c>
      <c r="F4722" s="1" t="s">
        <v>30</v>
      </c>
      <c r="G4722" s="1" t="s">
        <v>22</v>
      </c>
      <c r="H4722" s="1" t="s">
        <v>51</v>
      </c>
      <c r="I4722" s="1">
        <v>782.56</v>
      </c>
      <c r="J4722" s="1">
        <v>7</v>
      </c>
      <c r="K4722" s="1">
        <v>5477.92</v>
      </c>
      <c r="L4722" s="1">
        <v>20</v>
      </c>
      <c r="M4722" s="1">
        <v>1095.58</v>
      </c>
      <c r="N4722" s="1">
        <v>4382.34</v>
      </c>
      <c r="O4722" s="1" t="s">
        <v>24</v>
      </c>
      <c r="P4722" s="1" t="s">
        <v>543</v>
      </c>
      <c r="Q4722" s="1">
        <v>1</v>
      </c>
      <c r="R4722" s="1">
        <f>Retail_Sales_Analyis[[#This Row],[Final_Price]]-Retail_Sales_Analyis[[#This Row],[Total_Price]]</f>
        <v>-1095.58</v>
      </c>
      <c r="S472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23" spans="1:19" x14ac:dyDescent="0.25">
      <c r="A4723" s="1" t="s">
        <v>5857</v>
      </c>
      <c r="B4723" s="2">
        <v>45328</v>
      </c>
      <c r="C4723" s="1" t="s">
        <v>27</v>
      </c>
      <c r="D4723" s="1" t="s">
        <v>28</v>
      </c>
      <c r="E4723" s="1" t="s">
        <v>129</v>
      </c>
      <c r="F4723" s="1" t="s">
        <v>69</v>
      </c>
      <c r="G4723" s="1" t="s">
        <v>38</v>
      </c>
      <c r="H4723" s="1" t="s">
        <v>214</v>
      </c>
      <c r="I4723" s="1">
        <v>290.48</v>
      </c>
      <c r="J4723" s="1">
        <v>1</v>
      </c>
      <c r="K4723" s="1">
        <v>290.48</v>
      </c>
      <c r="L4723" s="1">
        <v>20</v>
      </c>
      <c r="M4723" s="1">
        <v>58.1</v>
      </c>
      <c r="N4723" s="1">
        <v>232.38</v>
      </c>
      <c r="O4723" s="1" t="s">
        <v>24</v>
      </c>
      <c r="P4723" s="1" t="s">
        <v>1174</v>
      </c>
      <c r="Q4723" s="1">
        <v>1</v>
      </c>
      <c r="R4723" s="1">
        <f>Retail_Sales_Analyis[[#This Row],[Final_Price]]-Retail_Sales_Analyis[[#This Row],[Total_Price]]</f>
        <v>-58.100000000000023</v>
      </c>
      <c r="S472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24" spans="1:19" x14ac:dyDescent="0.25">
      <c r="A4724" s="1" t="s">
        <v>5858</v>
      </c>
      <c r="B4724" s="2">
        <v>45533</v>
      </c>
      <c r="C4724" s="1" t="s">
        <v>93</v>
      </c>
      <c r="D4724" s="1" t="s">
        <v>67</v>
      </c>
      <c r="E4724" s="1" t="s">
        <v>20</v>
      </c>
      <c r="F4724" s="1" t="s">
        <v>69</v>
      </c>
      <c r="G4724" s="1" t="s">
        <v>78</v>
      </c>
      <c r="H4724" s="1" t="s">
        <v>323</v>
      </c>
      <c r="I4724" s="1">
        <v>354.12</v>
      </c>
      <c r="J4724" s="1">
        <v>5</v>
      </c>
      <c r="K4724" s="1">
        <v>1770.6</v>
      </c>
      <c r="L4724" s="1">
        <v>5</v>
      </c>
      <c r="M4724" s="1">
        <v>88.53</v>
      </c>
      <c r="N4724" s="1">
        <v>1682.07</v>
      </c>
      <c r="O4724" s="1" t="s">
        <v>46</v>
      </c>
      <c r="P4724" s="1" t="s">
        <v>1223</v>
      </c>
      <c r="Q4724" s="1">
        <v>4</v>
      </c>
      <c r="R4724" s="1">
        <f>Retail_Sales_Analyis[[#This Row],[Final_Price]]-Retail_Sales_Analyis[[#This Row],[Total_Price]]</f>
        <v>-88.529999999999973</v>
      </c>
      <c r="S472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25" spans="1:19" x14ac:dyDescent="0.25">
      <c r="A4725" s="1" t="s">
        <v>5859</v>
      </c>
      <c r="B4725" s="2">
        <v>45391</v>
      </c>
      <c r="C4725" s="1" t="s">
        <v>54</v>
      </c>
      <c r="D4725" s="1" t="s">
        <v>28</v>
      </c>
      <c r="E4725" s="1" t="s">
        <v>351</v>
      </c>
      <c r="F4725" s="1" t="s">
        <v>37</v>
      </c>
      <c r="G4725" s="1" t="s">
        <v>31</v>
      </c>
      <c r="H4725" s="1" t="s">
        <v>250</v>
      </c>
      <c r="I4725" s="1">
        <v>376.3</v>
      </c>
      <c r="J4725" s="1">
        <v>10</v>
      </c>
      <c r="K4725" s="1">
        <v>3763</v>
      </c>
      <c r="L4725" s="1">
        <v>15</v>
      </c>
      <c r="M4725" s="1">
        <v>564.45000000000005</v>
      </c>
      <c r="N4725" s="1">
        <v>3198.55</v>
      </c>
      <c r="O4725" s="1" t="s">
        <v>33</v>
      </c>
      <c r="P4725" s="1" t="s">
        <v>300</v>
      </c>
      <c r="Q4725" s="1">
        <v>4</v>
      </c>
      <c r="R4725" s="1">
        <f>Retail_Sales_Analyis[[#This Row],[Final_Price]]-Retail_Sales_Analyis[[#This Row],[Total_Price]]</f>
        <v>-564.44999999999982</v>
      </c>
      <c r="S472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26" spans="1:19" x14ac:dyDescent="0.25">
      <c r="A4726" s="1" t="s">
        <v>5860</v>
      </c>
      <c r="B4726" s="2">
        <v>45548</v>
      </c>
      <c r="C4726" s="1" t="s">
        <v>116</v>
      </c>
      <c r="D4726" s="1" t="s">
        <v>144</v>
      </c>
      <c r="E4726" s="1" t="s">
        <v>174</v>
      </c>
      <c r="F4726" s="1" t="s">
        <v>21</v>
      </c>
      <c r="G4726" s="1" t="s">
        <v>112</v>
      </c>
      <c r="H4726" s="1" t="s">
        <v>118</v>
      </c>
      <c r="I4726" s="1">
        <v>504.07</v>
      </c>
      <c r="J4726" s="1">
        <v>9</v>
      </c>
      <c r="K4726" s="1">
        <v>4536.63</v>
      </c>
      <c r="L4726" s="1">
        <v>0</v>
      </c>
      <c r="M4726" s="1">
        <v>0</v>
      </c>
      <c r="N4726" s="1">
        <v>4536.63</v>
      </c>
      <c r="O4726" s="1" t="s">
        <v>80</v>
      </c>
      <c r="P4726" s="1" t="s">
        <v>5001</v>
      </c>
      <c r="Q4726" s="1">
        <v>1</v>
      </c>
      <c r="R4726" s="1">
        <f>Retail_Sales_Analyis[[#This Row],[Final_Price]]-Retail_Sales_Analyis[[#This Row],[Total_Price]]</f>
        <v>0</v>
      </c>
      <c r="S47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27" spans="1:19" x14ac:dyDescent="0.25">
      <c r="A4727" s="1" t="s">
        <v>5861</v>
      </c>
      <c r="B4727" s="2">
        <v>45353</v>
      </c>
      <c r="C4727" s="1" t="s">
        <v>61</v>
      </c>
      <c r="D4727" s="1" t="s">
        <v>19</v>
      </c>
      <c r="E4727" s="1" t="s">
        <v>322</v>
      </c>
      <c r="F4727" s="1" t="s">
        <v>30</v>
      </c>
      <c r="G4727" s="1" t="s">
        <v>57</v>
      </c>
      <c r="H4727" s="1" t="s">
        <v>152</v>
      </c>
      <c r="I4727" s="1">
        <v>1913.48</v>
      </c>
      <c r="J4727" s="1">
        <v>5</v>
      </c>
      <c r="K4727" s="1">
        <v>9567.4</v>
      </c>
      <c r="L4727" s="1">
        <v>20</v>
      </c>
      <c r="M4727" s="1">
        <v>1913.48</v>
      </c>
      <c r="N4727" s="1">
        <v>7653.92</v>
      </c>
      <c r="O4727" s="1" t="s">
        <v>33</v>
      </c>
      <c r="P4727" s="1" t="s">
        <v>3210</v>
      </c>
      <c r="Q4727" s="1">
        <v>2</v>
      </c>
      <c r="R4727" s="1">
        <f>Retail_Sales_Analyis[[#This Row],[Final_Price]]-Retail_Sales_Analyis[[#This Row],[Total_Price]]</f>
        <v>-1913.4799999999996</v>
      </c>
      <c r="S472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28" spans="1:19" x14ac:dyDescent="0.25">
      <c r="A4728" s="1" t="s">
        <v>5862</v>
      </c>
      <c r="B4728" s="2">
        <v>45640</v>
      </c>
      <c r="C4728" s="1" t="s">
        <v>73</v>
      </c>
      <c r="D4728" s="1" t="s">
        <v>19</v>
      </c>
      <c r="E4728" s="1" t="s">
        <v>125</v>
      </c>
      <c r="F4728" s="1" t="s">
        <v>69</v>
      </c>
      <c r="G4728" s="1" t="s">
        <v>31</v>
      </c>
      <c r="H4728" s="1" t="s">
        <v>329</v>
      </c>
      <c r="I4728" s="1">
        <v>438.72</v>
      </c>
      <c r="J4728" s="1">
        <v>2</v>
      </c>
      <c r="K4728" s="1">
        <v>877.44</v>
      </c>
      <c r="L4728" s="1">
        <v>20</v>
      </c>
      <c r="M4728" s="1">
        <v>175.49</v>
      </c>
      <c r="N4728" s="1">
        <v>701.95</v>
      </c>
      <c r="O4728" s="1" t="s">
        <v>33</v>
      </c>
      <c r="P4728" s="1" t="s">
        <v>667</v>
      </c>
      <c r="Q4728" s="1">
        <v>3</v>
      </c>
      <c r="R4728" s="1">
        <f>Retail_Sales_Analyis[[#This Row],[Final_Price]]-Retail_Sales_Analyis[[#This Row],[Total_Price]]</f>
        <v>-175.49</v>
      </c>
      <c r="S472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29" spans="1:19" x14ac:dyDescent="0.25">
      <c r="A4729" s="1" t="s">
        <v>5863</v>
      </c>
      <c r="B4729" s="2">
        <v>45487</v>
      </c>
      <c r="C4729" s="1" t="s">
        <v>195</v>
      </c>
      <c r="D4729" s="1" t="s">
        <v>49</v>
      </c>
      <c r="E4729" s="1" t="s">
        <v>157</v>
      </c>
      <c r="F4729" s="1" t="s">
        <v>69</v>
      </c>
      <c r="G4729" s="1" t="s">
        <v>112</v>
      </c>
      <c r="H4729" s="1" t="s">
        <v>118</v>
      </c>
      <c r="I4729" s="1">
        <v>805.76</v>
      </c>
      <c r="J4729" s="1">
        <v>5</v>
      </c>
      <c r="K4729" s="1">
        <v>4028.8</v>
      </c>
      <c r="L4729" s="1">
        <v>0</v>
      </c>
      <c r="M4729" s="1">
        <v>0</v>
      </c>
      <c r="N4729" s="1">
        <v>4028.8</v>
      </c>
      <c r="O4729" s="1" t="s">
        <v>80</v>
      </c>
      <c r="P4729" s="1" t="s">
        <v>524</v>
      </c>
      <c r="Q4729" s="1">
        <v>5</v>
      </c>
      <c r="R4729" s="1">
        <f>Retail_Sales_Analyis[[#This Row],[Final_Price]]-Retail_Sales_Analyis[[#This Row],[Total_Price]]</f>
        <v>0</v>
      </c>
      <c r="S47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30" spans="1:19" x14ac:dyDescent="0.25">
      <c r="A4730" s="1" t="s">
        <v>5864</v>
      </c>
      <c r="B4730" s="2">
        <v>45563</v>
      </c>
      <c r="C4730" s="1" t="s">
        <v>116</v>
      </c>
      <c r="D4730" s="1" t="s">
        <v>19</v>
      </c>
      <c r="E4730" s="1" t="s">
        <v>322</v>
      </c>
      <c r="F4730" s="1" t="s">
        <v>30</v>
      </c>
      <c r="G4730" s="1" t="s">
        <v>169</v>
      </c>
      <c r="H4730" s="1" t="s">
        <v>348</v>
      </c>
      <c r="I4730" s="1">
        <v>478.72</v>
      </c>
      <c r="J4730" s="1">
        <v>4</v>
      </c>
      <c r="K4730" s="1">
        <v>1914.88</v>
      </c>
      <c r="L4730" s="1">
        <v>0</v>
      </c>
      <c r="M4730" s="1">
        <v>0</v>
      </c>
      <c r="N4730" s="1">
        <v>1914.88</v>
      </c>
      <c r="O4730" s="1" t="s">
        <v>80</v>
      </c>
      <c r="P4730" s="1" t="s">
        <v>324</v>
      </c>
      <c r="Q4730" s="1">
        <v>4</v>
      </c>
      <c r="R4730" s="1">
        <f>Retail_Sales_Analyis[[#This Row],[Final_Price]]-Retail_Sales_Analyis[[#This Row],[Total_Price]]</f>
        <v>0</v>
      </c>
      <c r="S47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31" spans="1:19" x14ac:dyDescent="0.25">
      <c r="A4731" s="1" t="s">
        <v>5865</v>
      </c>
      <c r="B4731" s="2">
        <v>45444</v>
      </c>
      <c r="C4731" s="1" t="s">
        <v>173</v>
      </c>
      <c r="D4731" s="1" t="s">
        <v>19</v>
      </c>
      <c r="E4731" s="1" t="s">
        <v>207</v>
      </c>
      <c r="F4731" s="1" t="s">
        <v>84</v>
      </c>
      <c r="G4731" s="1" t="s">
        <v>112</v>
      </c>
      <c r="H4731" s="1" t="s">
        <v>288</v>
      </c>
      <c r="I4731" s="1">
        <v>667.33</v>
      </c>
      <c r="J4731" s="1">
        <v>1</v>
      </c>
      <c r="K4731" s="1">
        <v>667.33</v>
      </c>
      <c r="L4731" s="1">
        <v>5</v>
      </c>
      <c r="M4731" s="1">
        <v>33.369999999999997</v>
      </c>
      <c r="N4731" s="1">
        <v>633.96</v>
      </c>
      <c r="O4731" s="1" t="s">
        <v>33</v>
      </c>
      <c r="P4731" s="1" t="s">
        <v>543</v>
      </c>
      <c r="Q4731" s="1">
        <v>1</v>
      </c>
      <c r="R4731" s="1">
        <f>Retail_Sales_Analyis[[#This Row],[Final_Price]]-Retail_Sales_Analyis[[#This Row],[Total_Price]]</f>
        <v>-33.370000000000005</v>
      </c>
      <c r="S473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32" spans="1:19" x14ac:dyDescent="0.25">
      <c r="A4732" s="1" t="s">
        <v>5866</v>
      </c>
      <c r="B4732" s="2">
        <v>45503</v>
      </c>
      <c r="C4732" s="1" t="s">
        <v>195</v>
      </c>
      <c r="D4732" s="1" t="s">
        <v>28</v>
      </c>
      <c r="E4732" s="1" t="s">
        <v>111</v>
      </c>
      <c r="F4732" s="1" t="s">
        <v>30</v>
      </c>
      <c r="G4732" s="1" t="s">
        <v>57</v>
      </c>
      <c r="H4732" s="1" t="s">
        <v>58</v>
      </c>
      <c r="I4732" s="1">
        <v>2572.62</v>
      </c>
      <c r="J4732" s="1">
        <v>8</v>
      </c>
      <c r="K4732" s="1">
        <v>20580.96</v>
      </c>
      <c r="L4732" s="1">
        <v>0</v>
      </c>
      <c r="M4732" s="1">
        <v>0</v>
      </c>
      <c r="N4732" s="1">
        <v>20580.96</v>
      </c>
      <c r="O4732" s="1" t="s">
        <v>46</v>
      </c>
      <c r="P4732" s="1" t="s">
        <v>1257</v>
      </c>
      <c r="Q4732" s="1">
        <v>5</v>
      </c>
      <c r="R4732" s="1">
        <f>Retail_Sales_Analyis[[#This Row],[Final_Price]]-Retail_Sales_Analyis[[#This Row],[Total_Price]]</f>
        <v>0</v>
      </c>
      <c r="S47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33" spans="1:19" x14ac:dyDescent="0.25">
      <c r="A4733" s="1" t="s">
        <v>5867</v>
      </c>
      <c r="B4733" s="2">
        <v>45319</v>
      </c>
      <c r="C4733" s="1" t="s">
        <v>36</v>
      </c>
      <c r="D4733" s="1" t="s">
        <v>49</v>
      </c>
      <c r="E4733" s="1" t="s">
        <v>89</v>
      </c>
      <c r="F4733" s="1" t="s">
        <v>69</v>
      </c>
      <c r="G4733" s="1" t="s">
        <v>169</v>
      </c>
      <c r="H4733" s="1" t="s">
        <v>348</v>
      </c>
      <c r="I4733" s="1">
        <v>1088.3</v>
      </c>
      <c r="J4733" s="1">
        <v>10</v>
      </c>
      <c r="K4733" s="1">
        <v>10883</v>
      </c>
      <c r="L4733" s="1">
        <v>15</v>
      </c>
      <c r="M4733" s="1">
        <v>1632.45</v>
      </c>
      <c r="N4733" s="1">
        <v>9250.5499999999993</v>
      </c>
      <c r="O4733" s="1" t="s">
        <v>33</v>
      </c>
      <c r="P4733" s="1" t="s">
        <v>105</v>
      </c>
      <c r="Q4733" s="1">
        <v>4</v>
      </c>
      <c r="R4733" s="1">
        <f>Retail_Sales_Analyis[[#This Row],[Final_Price]]-Retail_Sales_Analyis[[#This Row],[Total_Price]]</f>
        <v>-1632.4500000000007</v>
      </c>
      <c r="S47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34" spans="1:19" x14ac:dyDescent="0.25">
      <c r="A4734" s="1" t="s">
        <v>5868</v>
      </c>
      <c r="B4734" s="2">
        <v>45369</v>
      </c>
      <c r="C4734" s="1" t="s">
        <v>61</v>
      </c>
      <c r="D4734" s="1" t="s">
        <v>43</v>
      </c>
      <c r="E4734" s="1" t="s">
        <v>196</v>
      </c>
      <c r="F4734" s="1" t="s">
        <v>84</v>
      </c>
      <c r="G4734" s="1" t="s">
        <v>57</v>
      </c>
      <c r="H4734" s="1" t="s">
        <v>152</v>
      </c>
      <c r="I4734" s="1">
        <v>1864.38</v>
      </c>
      <c r="J4734" s="1">
        <v>5</v>
      </c>
      <c r="K4734" s="1">
        <v>9321.9</v>
      </c>
      <c r="L4734" s="1">
        <v>5</v>
      </c>
      <c r="M4734" s="1">
        <v>466.1</v>
      </c>
      <c r="N4734" s="1">
        <v>8855.7999999999993</v>
      </c>
      <c r="O4734" s="1" t="s">
        <v>33</v>
      </c>
      <c r="P4734" s="1" t="s">
        <v>1544</v>
      </c>
      <c r="Q4734" s="1">
        <v>1</v>
      </c>
      <c r="R4734" s="1">
        <f>Retail_Sales_Analyis[[#This Row],[Final_Price]]-Retail_Sales_Analyis[[#This Row],[Total_Price]]</f>
        <v>-466.10000000000036</v>
      </c>
      <c r="S473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35" spans="1:19" x14ac:dyDescent="0.25">
      <c r="A4735" s="1" t="s">
        <v>5869</v>
      </c>
      <c r="B4735" s="2">
        <v>45362</v>
      </c>
      <c r="C4735" s="1" t="s">
        <v>61</v>
      </c>
      <c r="D4735" s="1" t="s">
        <v>43</v>
      </c>
      <c r="E4735" s="1" t="s">
        <v>107</v>
      </c>
      <c r="F4735" s="1" t="s">
        <v>84</v>
      </c>
      <c r="G4735" s="1" t="s">
        <v>112</v>
      </c>
      <c r="H4735" s="1" t="s">
        <v>183</v>
      </c>
      <c r="I4735" s="1">
        <v>1191.78</v>
      </c>
      <c r="J4735" s="1">
        <v>10</v>
      </c>
      <c r="K4735" s="1">
        <v>11917.8</v>
      </c>
      <c r="L4735" s="1">
        <v>5</v>
      </c>
      <c r="M4735" s="1">
        <v>595.89</v>
      </c>
      <c r="N4735" s="1">
        <v>11321.91</v>
      </c>
      <c r="O4735" s="1" t="s">
        <v>24</v>
      </c>
      <c r="P4735" s="1" t="s">
        <v>819</v>
      </c>
      <c r="Q4735" s="1">
        <v>2</v>
      </c>
      <c r="R4735" s="1">
        <f>Retail_Sales_Analyis[[#This Row],[Final_Price]]-Retail_Sales_Analyis[[#This Row],[Total_Price]]</f>
        <v>-595.88999999999942</v>
      </c>
      <c r="S473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36" spans="1:19" x14ac:dyDescent="0.25">
      <c r="A4736" s="1" t="s">
        <v>5870</v>
      </c>
      <c r="B4736" s="2">
        <v>45394</v>
      </c>
      <c r="C4736" s="1" t="s">
        <v>54</v>
      </c>
      <c r="D4736" s="1" t="s">
        <v>144</v>
      </c>
      <c r="E4736" s="1" t="s">
        <v>97</v>
      </c>
      <c r="F4736" s="1" t="s">
        <v>69</v>
      </c>
      <c r="G4736" s="1" t="s">
        <v>57</v>
      </c>
      <c r="H4736" s="1" t="s">
        <v>152</v>
      </c>
      <c r="I4736" s="1">
        <v>1636.72</v>
      </c>
      <c r="J4736" s="1">
        <v>8</v>
      </c>
      <c r="K4736" s="1">
        <v>13093.76</v>
      </c>
      <c r="L4736" s="1">
        <v>10</v>
      </c>
      <c r="M4736" s="1">
        <v>1309.3800000000001</v>
      </c>
      <c r="N4736" s="1">
        <v>11784.38</v>
      </c>
      <c r="O4736" s="1" t="s">
        <v>80</v>
      </c>
      <c r="P4736" s="1" t="s">
        <v>2170</v>
      </c>
      <c r="Q4736" s="1">
        <v>3</v>
      </c>
      <c r="R4736" s="1">
        <f>Retail_Sales_Analyis[[#This Row],[Final_Price]]-Retail_Sales_Analyis[[#This Row],[Total_Price]]</f>
        <v>-1309.380000000001</v>
      </c>
      <c r="S473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37" spans="1:19" x14ac:dyDescent="0.25">
      <c r="A4737" s="1" t="s">
        <v>5871</v>
      </c>
      <c r="B4737" s="2">
        <v>45467</v>
      </c>
      <c r="C4737" s="1" t="s">
        <v>173</v>
      </c>
      <c r="D4737" s="1" t="s">
        <v>43</v>
      </c>
      <c r="E4737" s="1" t="s">
        <v>139</v>
      </c>
      <c r="F4737" s="1" t="s">
        <v>69</v>
      </c>
      <c r="G4737" s="1" t="s">
        <v>85</v>
      </c>
      <c r="H4737" s="1" t="s">
        <v>180</v>
      </c>
      <c r="I4737" s="1">
        <v>4110.74</v>
      </c>
      <c r="J4737" s="1">
        <v>8</v>
      </c>
      <c r="K4737" s="1">
        <v>32885.919999999998</v>
      </c>
      <c r="L4737" s="1">
        <v>0</v>
      </c>
      <c r="M4737" s="1">
        <v>0</v>
      </c>
      <c r="N4737" s="1">
        <v>32885.919999999998</v>
      </c>
      <c r="O4737" s="1" t="s">
        <v>80</v>
      </c>
      <c r="P4737" s="1" t="s">
        <v>3463</v>
      </c>
      <c r="Q4737" s="1">
        <v>4</v>
      </c>
      <c r="R4737" s="1">
        <f>Retail_Sales_Analyis[[#This Row],[Final_Price]]-Retail_Sales_Analyis[[#This Row],[Total_Price]]</f>
        <v>0</v>
      </c>
      <c r="S47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38" spans="1:19" x14ac:dyDescent="0.25">
      <c r="A4738" s="1" t="s">
        <v>5872</v>
      </c>
      <c r="B4738" s="2">
        <v>45501</v>
      </c>
      <c r="C4738" s="1" t="s">
        <v>195</v>
      </c>
      <c r="D4738" s="1" t="s">
        <v>49</v>
      </c>
      <c r="E4738" s="1" t="s">
        <v>157</v>
      </c>
      <c r="F4738" s="1" t="s">
        <v>37</v>
      </c>
      <c r="G4738" s="1" t="s">
        <v>22</v>
      </c>
      <c r="H4738" s="1" t="s">
        <v>23</v>
      </c>
      <c r="I4738" s="1">
        <v>557.59</v>
      </c>
      <c r="J4738" s="1">
        <v>5</v>
      </c>
      <c r="K4738" s="1">
        <v>2787.95</v>
      </c>
      <c r="L4738" s="1">
        <v>10</v>
      </c>
      <c r="M4738" s="1">
        <v>278.8</v>
      </c>
      <c r="N4738" s="1">
        <v>2509.15</v>
      </c>
      <c r="O4738" s="1" t="s">
        <v>64</v>
      </c>
      <c r="P4738" s="1" t="s">
        <v>3230</v>
      </c>
      <c r="Q4738" s="1">
        <v>2</v>
      </c>
      <c r="R4738" s="1">
        <f>Retail_Sales_Analyis[[#This Row],[Final_Price]]-Retail_Sales_Analyis[[#This Row],[Total_Price]]</f>
        <v>-278.79999999999973</v>
      </c>
      <c r="S473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39" spans="1:19" x14ac:dyDescent="0.25">
      <c r="A4739" s="1" t="s">
        <v>5873</v>
      </c>
      <c r="B4739" s="2">
        <v>45583</v>
      </c>
      <c r="C4739" s="1" t="s">
        <v>76</v>
      </c>
      <c r="D4739" s="1" t="s">
        <v>144</v>
      </c>
      <c r="E4739" s="1" t="s">
        <v>411</v>
      </c>
      <c r="F4739" s="1" t="s">
        <v>37</v>
      </c>
      <c r="G4739" s="1" t="s">
        <v>31</v>
      </c>
      <c r="H4739" s="1" t="s">
        <v>329</v>
      </c>
      <c r="I4739" s="1">
        <v>454.72</v>
      </c>
      <c r="J4739" s="1">
        <v>5</v>
      </c>
      <c r="K4739" s="1">
        <v>2273.6</v>
      </c>
      <c r="L4739" s="1">
        <v>5</v>
      </c>
      <c r="M4739" s="1">
        <v>113.68</v>
      </c>
      <c r="N4739" s="1">
        <v>2159.92</v>
      </c>
      <c r="O4739" s="1" t="s">
        <v>46</v>
      </c>
      <c r="P4739" s="1" t="s">
        <v>532</v>
      </c>
      <c r="Q4739" s="1">
        <v>5</v>
      </c>
      <c r="R4739" s="1">
        <f>Retail_Sales_Analyis[[#This Row],[Final_Price]]-Retail_Sales_Analyis[[#This Row],[Total_Price]]</f>
        <v>-113.67999999999984</v>
      </c>
      <c r="S47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40" spans="1:19" x14ac:dyDescent="0.25">
      <c r="A4740" s="1" t="s">
        <v>5874</v>
      </c>
      <c r="B4740" s="2">
        <v>45526</v>
      </c>
      <c r="C4740" s="1" t="s">
        <v>93</v>
      </c>
      <c r="D4740" s="1" t="s">
        <v>67</v>
      </c>
      <c r="E4740" s="1" t="s">
        <v>166</v>
      </c>
      <c r="F4740" s="1" t="s">
        <v>69</v>
      </c>
      <c r="G4740" s="1" t="s">
        <v>57</v>
      </c>
      <c r="H4740" s="1" t="s">
        <v>101</v>
      </c>
      <c r="I4740" s="1">
        <v>1277</v>
      </c>
      <c r="J4740" s="1">
        <v>3</v>
      </c>
      <c r="K4740" s="1">
        <v>3831</v>
      </c>
      <c r="L4740" s="1">
        <v>15</v>
      </c>
      <c r="M4740" s="1">
        <v>574.65</v>
      </c>
      <c r="N4740" s="1">
        <v>3256.35</v>
      </c>
      <c r="O4740" s="1" t="s">
        <v>24</v>
      </c>
      <c r="P4740" s="1" t="s">
        <v>5408</v>
      </c>
      <c r="Q4740" s="1">
        <v>1</v>
      </c>
      <c r="R4740" s="1">
        <f>Retail_Sales_Analyis[[#This Row],[Final_Price]]-Retail_Sales_Analyis[[#This Row],[Total_Price]]</f>
        <v>-574.65000000000009</v>
      </c>
      <c r="S47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41" spans="1:19" x14ac:dyDescent="0.25">
      <c r="A4741" s="1" t="s">
        <v>5875</v>
      </c>
      <c r="B4741" s="2">
        <v>45365</v>
      </c>
      <c r="C4741" s="1" t="s">
        <v>61</v>
      </c>
      <c r="D4741" s="1" t="s">
        <v>67</v>
      </c>
      <c r="E4741" s="1" t="s">
        <v>174</v>
      </c>
      <c r="F4741" s="1" t="s">
        <v>69</v>
      </c>
      <c r="G4741" s="1" t="s">
        <v>169</v>
      </c>
      <c r="H4741" s="1" t="s">
        <v>175</v>
      </c>
      <c r="I4741" s="1">
        <v>321.32</v>
      </c>
      <c r="J4741" s="1">
        <v>3</v>
      </c>
      <c r="K4741" s="1">
        <v>963.96</v>
      </c>
      <c r="L4741" s="1">
        <v>10</v>
      </c>
      <c r="M4741" s="1">
        <v>96.4</v>
      </c>
      <c r="N4741" s="1">
        <v>867.56</v>
      </c>
      <c r="O4741" s="1" t="s">
        <v>64</v>
      </c>
      <c r="P4741" s="1" t="s">
        <v>513</v>
      </c>
      <c r="Q4741" s="1">
        <v>3</v>
      </c>
      <c r="R4741" s="1">
        <f>Retail_Sales_Analyis[[#This Row],[Final_Price]]-Retail_Sales_Analyis[[#This Row],[Total_Price]]</f>
        <v>-96.400000000000091</v>
      </c>
      <c r="S47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42" spans="1:19" x14ac:dyDescent="0.25">
      <c r="A4742" s="1" t="s">
        <v>5876</v>
      </c>
      <c r="B4742" s="2">
        <v>45453</v>
      </c>
      <c r="C4742" s="1" t="s">
        <v>173</v>
      </c>
      <c r="D4742" s="1" t="s">
        <v>43</v>
      </c>
      <c r="E4742" s="1" t="s">
        <v>196</v>
      </c>
      <c r="F4742" s="1" t="s">
        <v>30</v>
      </c>
      <c r="G4742" s="1" t="s">
        <v>169</v>
      </c>
      <c r="H4742" s="1" t="s">
        <v>366</v>
      </c>
      <c r="I4742" s="1">
        <v>839.26</v>
      </c>
      <c r="J4742" s="1">
        <v>7</v>
      </c>
      <c r="K4742" s="1">
        <v>5874.82</v>
      </c>
      <c r="L4742" s="1">
        <v>20</v>
      </c>
      <c r="M4742" s="1">
        <v>1174.96</v>
      </c>
      <c r="N4742" s="1">
        <v>4699.8599999999997</v>
      </c>
      <c r="O4742" s="1" t="s">
        <v>46</v>
      </c>
      <c r="P4742" s="1" t="s">
        <v>109</v>
      </c>
      <c r="Q4742" s="1">
        <v>1</v>
      </c>
      <c r="R4742" s="1">
        <f>Retail_Sales_Analyis[[#This Row],[Final_Price]]-Retail_Sales_Analyis[[#This Row],[Total_Price]]</f>
        <v>-1174.96</v>
      </c>
      <c r="S474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43" spans="1:19" x14ac:dyDescent="0.25">
      <c r="A4743" s="1" t="s">
        <v>5877</v>
      </c>
      <c r="B4743" s="2">
        <v>45384</v>
      </c>
      <c r="C4743" s="1" t="s">
        <v>54</v>
      </c>
      <c r="D4743" s="1" t="s">
        <v>28</v>
      </c>
      <c r="E4743" s="1" t="s">
        <v>83</v>
      </c>
      <c r="F4743" s="1" t="s">
        <v>84</v>
      </c>
      <c r="G4743" s="1" t="s">
        <v>85</v>
      </c>
      <c r="H4743" s="1" t="s">
        <v>98</v>
      </c>
      <c r="I4743" s="1">
        <v>3642.65</v>
      </c>
      <c r="J4743" s="1">
        <v>6</v>
      </c>
      <c r="K4743" s="1">
        <v>21855.9</v>
      </c>
      <c r="L4743" s="1">
        <v>10</v>
      </c>
      <c r="M4743" s="1">
        <v>2185.59</v>
      </c>
      <c r="N4743" s="1">
        <v>19670.310000000001</v>
      </c>
      <c r="O4743" s="1" t="s">
        <v>33</v>
      </c>
      <c r="P4743" s="1" t="s">
        <v>1568</v>
      </c>
      <c r="Q4743" s="1">
        <v>2</v>
      </c>
      <c r="R4743" s="1">
        <f>Retail_Sales_Analyis[[#This Row],[Final_Price]]-Retail_Sales_Analyis[[#This Row],[Total_Price]]</f>
        <v>-2185.59</v>
      </c>
      <c r="S47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44" spans="1:19" x14ac:dyDescent="0.25">
      <c r="A4744" s="1" t="s">
        <v>5878</v>
      </c>
      <c r="B4744" s="2">
        <v>45333</v>
      </c>
      <c r="C4744" s="1" t="s">
        <v>27</v>
      </c>
      <c r="D4744" s="1" t="s">
        <v>49</v>
      </c>
      <c r="E4744" s="1" t="s">
        <v>213</v>
      </c>
      <c r="F4744" s="1" t="s">
        <v>37</v>
      </c>
      <c r="G4744" s="1" t="s">
        <v>57</v>
      </c>
      <c r="H4744" s="1" t="s">
        <v>152</v>
      </c>
      <c r="I4744" s="1">
        <v>2669.56</v>
      </c>
      <c r="J4744" s="1">
        <v>10</v>
      </c>
      <c r="K4744" s="1">
        <v>26695.599999999999</v>
      </c>
      <c r="L4744" s="1">
        <v>0</v>
      </c>
      <c r="M4744" s="1">
        <v>0</v>
      </c>
      <c r="N4744" s="1">
        <v>26695.599999999999</v>
      </c>
      <c r="O4744" s="1" t="s">
        <v>46</v>
      </c>
      <c r="P4744" s="1" t="s">
        <v>524</v>
      </c>
      <c r="Q4744" s="1">
        <v>1</v>
      </c>
      <c r="R4744" s="1">
        <f>Retail_Sales_Analyis[[#This Row],[Final_Price]]-Retail_Sales_Analyis[[#This Row],[Total_Price]]</f>
        <v>0</v>
      </c>
      <c r="S47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45" spans="1:19" x14ac:dyDescent="0.25">
      <c r="A4745" s="1" t="s">
        <v>5879</v>
      </c>
      <c r="B4745" s="2">
        <v>45541</v>
      </c>
      <c r="C4745" s="1" t="s">
        <v>116</v>
      </c>
      <c r="D4745" s="1" t="s">
        <v>144</v>
      </c>
      <c r="E4745" s="1" t="s">
        <v>89</v>
      </c>
      <c r="F4745" s="1" t="s">
        <v>37</v>
      </c>
      <c r="G4745" s="1" t="s">
        <v>57</v>
      </c>
      <c r="H4745" s="1" t="s">
        <v>58</v>
      </c>
      <c r="I4745" s="1">
        <v>2460.02</v>
      </c>
      <c r="J4745" s="1">
        <v>1</v>
      </c>
      <c r="K4745" s="1">
        <v>2460.02</v>
      </c>
      <c r="L4745" s="1">
        <v>0</v>
      </c>
      <c r="M4745" s="1">
        <v>0</v>
      </c>
      <c r="N4745" s="1">
        <v>2460.02</v>
      </c>
      <c r="O4745" s="1" t="s">
        <v>46</v>
      </c>
      <c r="P4745" s="1" t="s">
        <v>4128</v>
      </c>
      <c r="Q4745" s="1">
        <v>4</v>
      </c>
      <c r="R4745" s="1">
        <f>Retail_Sales_Analyis[[#This Row],[Final_Price]]-Retail_Sales_Analyis[[#This Row],[Total_Price]]</f>
        <v>0</v>
      </c>
      <c r="S47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46" spans="1:19" x14ac:dyDescent="0.25">
      <c r="A4746" s="1" t="s">
        <v>5880</v>
      </c>
      <c r="B4746" s="2">
        <v>45462</v>
      </c>
      <c r="C4746" s="1" t="s">
        <v>173</v>
      </c>
      <c r="D4746" s="1" t="s">
        <v>55</v>
      </c>
      <c r="E4746" s="1" t="s">
        <v>192</v>
      </c>
      <c r="F4746" s="1" t="s">
        <v>30</v>
      </c>
      <c r="G4746" s="1" t="s">
        <v>22</v>
      </c>
      <c r="H4746" s="1" t="s">
        <v>277</v>
      </c>
      <c r="I4746" s="1">
        <v>425.14</v>
      </c>
      <c r="J4746" s="1">
        <v>5</v>
      </c>
      <c r="K4746" s="1">
        <v>2125.6999999999998</v>
      </c>
      <c r="L4746" s="1">
        <v>0</v>
      </c>
      <c r="M4746" s="1">
        <v>0</v>
      </c>
      <c r="N4746" s="1">
        <v>2125.6999999999998</v>
      </c>
      <c r="O4746" s="1" t="s">
        <v>46</v>
      </c>
      <c r="P4746" s="1" t="s">
        <v>253</v>
      </c>
      <c r="Q4746" s="1">
        <v>5</v>
      </c>
      <c r="R4746" s="1">
        <f>Retail_Sales_Analyis[[#This Row],[Final_Price]]-Retail_Sales_Analyis[[#This Row],[Total_Price]]</f>
        <v>0</v>
      </c>
      <c r="S474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47" spans="1:19" x14ac:dyDescent="0.25">
      <c r="A4747" s="1" t="s">
        <v>5881</v>
      </c>
      <c r="B4747" s="2">
        <v>45615</v>
      </c>
      <c r="C4747" s="1" t="s">
        <v>18</v>
      </c>
      <c r="D4747" s="1" t="s">
        <v>28</v>
      </c>
      <c r="E4747" s="1" t="s">
        <v>239</v>
      </c>
      <c r="F4747" s="1" t="s">
        <v>37</v>
      </c>
      <c r="G4747" s="1" t="s">
        <v>57</v>
      </c>
      <c r="H4747" s="1" t="s">
        <v>122</v>
      </c>
      <c r="I4747" s="1">
        <v>913.89</v>
      </c>
      <c r="J4747" s="1">
        <v>3</v>
      </c>
      <c r="K4747" s="1">
        <v>2741.67</v>
      </c>
      <c r="L4747" s="1">
        <v>5</v>
      </c>
      <c r="M4747" s="1">
        <v>137.08000000000001</v>
      </c>
      <c r="N4747" s="1">
        <v>2604.59</v>
      </c>
      <c r="O4747" s="1" t="s">
        <v>80</v>
      </c>
      <c r="P4747" s="1" t="s">
        <v>2526</v>
      </c>
      <c r="Q4747" s="1">
        <v>5</v>
      </c>
      <c r="R4747" s="1">
        <f>Retail_Sales_Analyis[[#This Row],[Final_Price]]-Retail_Sales_Analyis[[#This Row],[Total_Price]]</f>
        <v>-137.07999999999993</v>
      </c>
      <c r="S47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48" spans="1:19" x14ac:dyDescent="0.25">
      <c r="A4748" s="1" t="s">
        <v>5882</v>
      </c>
      <c r="B4748" s="2">
        <v>45382</v>
      </c>
      <c r="C4748" s="1" t="s">
        <v>61</v>
      </c>
      <c r="D4748" s="1" t="s">
        <v>49</v>
      </c>
      <c r="E4748" s="1" t="s">
        <v>50</v>
      </c>
      <c r="F4748" s="1" t="s">
        <v>84</v>
      </c>
      <c r="G4748" s="1" t="s">
        <v>85</v>
      </c>
      <c r="H4748" s="1" t="s">
        <v>86</v>
      </c>
      <c r="I4748" s="1">
        <v>4158.43</v>
      </c>
      <c r="J4748" s="1">
        <v>9</v>
      </c>
      <c r="K4748" s="1">
        <v>37425.870000000003</v>
      </c>
      <c r="L4748" s="1">
        <v>10</v>
      </c>
      <c r="M4748" s="1">
        <v>3742.59</v>
      </c>
      <c r="N4748" s="1">
        <v>33683.279999999999</v>
      </c>
      <c r="O4748" s="1" t="s">
        <v>24</v>
      </c>
      <c r="P4748" s="1" t="s">
        <v>945</v>
      </c>
      <c r="Q4748" s="1">
        <v>1</v>
      </c>
      <c r="R4748" s="1">
        <f>Retail_Sales_Analyis[[#This Row],[Final_Price]]-Retail_Sales_Analyis[[#This Row],[Total_Price]]</f>
        <v>-3742.5900000000038</v>
      </c>
      <c r="S474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49" spans="1:19" x14ac:dyDescent="0.25">
      <c r="A4749" s="1" t="s">
        <v>5883</v>
      </c>
      <c r="B4749" s="2">
        <v>45452</v>
      </c>
      <c r="C4749" s="1" t="s">
        <v>173</v>
      </c>
      <c r="D4749" s="1" t="s">
        <v>49</v>
      </c>
      <c r="E4749" s="1" t="s">
        <v>239</v>
      </c>
      <c r="F4749" s="1" t="s">
        <v>69</v>
      </c>
      <c r="G4749" s="1" t="s">
        <v>22</v>
      </c>
      <c r="H4749" s="1" t="s">
        <v>133</v>
      </c>
      <c r="I4749" s="1">
        <v>712.39</v>
      </c>
      <c r="J4749" s="1">
        <v>9</v>
      </c>
      <c r="K4749" s="1">
        <v>6411.51</v>
      </c>
      <c r="L4749" s="1">
        <v>0</v>
      </c>
      <c r="M4749" s="1">
        <v>0</v>
      </c>
      <c r="N4749" s="1">
        <v>6411.51</v>
      </c>
      <c r="O4749" s="1" t="s">
        <v>46</v>
      </c>
      <c r="P4749" s="1" t="s">
        <v>5552</v>
      </c>
      <c r="Q4749" s="1">
        <v>3</v>
      </c>
      <c r="R4749" s="1">
        <f>Retail_Sales_Analyis[[#This Row],[Final_Price]]-Retail_Sales_Analyis[[#This Row],[Total_Price]]</f>
        <v>0</v>
      </c>
      <c r="S47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0" spans="1:19" x14ac:dyDescent="0.25">
      <c r="A4750" s="1" t="s">
        <v>5884</v>
      </c>
      <c r="B4750" s="2">
        <v>45616</v>
      </c>
      <c r="C4750" s="1" t="s">
        <v>18</v>
      </c>
      <c r="D4750" s="1" t="s">
        <v>55</v>
      </c>
      <c r="E4750" s="1" t="s">
        <v>89</v>
      </c>
      <c r="F4750" s="1" t="s">
        <v>30</v>
      </c>
      <c r="G4750" s="1" t="s">
        <v>22</v>
      </c>
      <c r="H4750" s="1" t="s">
        <v>51</v>
      </c>
      <c r="I4750" s="1">
        <v>276.81</v>
      </c>
      <c r="J4750" s="1">
        <v>8</v>
      </c>
      <c r="K4750" s="1">
        <v>2214.48</v>
      </c>
      <c r="L4750" s="1">
        <v>20</v>
      </c>
      <c r="M4750" s="1">
        <v>442.9</v>
      </c>
      <c r="N4750" s="1">
        <v>1771.58</v>
      </c>
      <c r="O4750" s="1" t="s">
        <v>33</v>
      </c>
      <c r="P4750" s="1" t="s">
        <v>3095</v>
      </c>
      <c r="Q4750" s="1">
        <v>2</v>
      </c>
      <c r="R4750" s="1">
        <f>Retail_Sales_Analyis[[#This Row],[Final_Price]]-Retail_Sales_Analyis[[#This Row],[Total_Price]]</f>
        <v>-442.90000000000009</v>
      </c>
      <c r="S475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51" spans="1:19" x14ac:dyDescent="0.25">
      <c r="A4751" s="1" t="s">
        <v>5885</v>
      </c>
      <c r="B4751" s="2">
        <v>45321</v>
      </c>
      <c r="C4751" s="1" t="s">
        <v>36</v>
      </c>
      <c r="D4751" s="1" t="s">
        <v>28</v>
      </c>
      <c r="E4751" s="1" t="s">
        <v>62</v>
      </c>
      <c r="F4751" s="1" t="s">
        <v>84</v>
      </c>
      <c r="G4751" s="1" t="s">
        <v>112</v>
      </c>
      <c r="H4751" s="1" t="s">
        <v>288</v>
      </c>
      <c r="I4751" s="1">
        <v>1832.86</v>
      </c>
      <c r="J4751" s="1">
        <v>8</v>
      </c>
      <c r="K4751" s="1">
        <v>14662.88</v>
      </c>
      <c r="L4751" s="1">
        <v>0</v>
      </c>
      <c r="M4751" s="1">
        <v>0</v>
      </c>
      <c r="N4751" s="1">
        <v>14662.88</v>
      </c>
      <c r="O4751" s="1" t="s">
        <v>80</v>
      </c>
      <c r="P4751" s="1" t="s">
        <v>1235</v>
      </c>
      <c r="Q4751" s="1">
        <v>1</v>
      </c>
      <c r="R4751" s="1">
        <f>Retail_Sales_Analyis[[#This Row],[Final_Price]]-Retail_Sales_Analyis[[#This Row],[Total_Price]]</f>
        <v>0</v>
      </c>
      <c r="S47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2" spans="1:19" x14ac:dyDescent="0.25">
      <c r="A4752" s="1" t="s">
        <v>5886</v>
      </c>
      <c r="B4752" s="2">
        <v>45294</v>
      </c>
      <c r="C4752" s="1" t="s">
        <v>36</v>
      </c>
      <c r="D4752" s="1" t="s">
        <v>55</v>
      </c>
      <c r="E4752" s="1" t="s">
        <v>44</v>
      </c>
      <c r="F4752" s="1" t="s">
        <v>84</v>
      </c>
      <c r="G4752" s="1" t="s">
        <v>78</v>
      </c>
      <c r="H4752" s="1" t="s">
        <v>126</v>
      </c>
      <c r="I4752" s="1">
        <v>219.11</v>
      </c>
      <c r="J4752" s="1">
        <v>1</v>
      </c>
      <c r="K4752" s="1">
        <v>219.11</v>
      </c>
      <c r="L4752" s="1">
        <v>0</v>
      </c>
      <c r="M4752" s="1">
        <v>0</v>
      </c>
      <c r="N4752" s="1">
        <v>219.11</v>
      </c>
      <c r="O4752" s="1" t="s">
        <v>80</v>
      </c>
      <c r="P4752" s="1" t="s">
        <v>2828</v>
      </c>
      <c r="Q4752" s="1">
        <v>4</v>
      </c>
      <c r="R4752" s="1">
        <f>Retail_Sales_Analyis[[#This Row],[Final_Price]]-Retail_Sales_Analyis[[#This Row],[Total_Price]]</f>
        <v>0</v>
      </c>
      <c r="S47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3" spans="1:19" x14ac:dyDescent="0.25">
      <c r="A4753" s="1" t="s">
        <v>5887</v>
      </c>
      <c r="B4753" s="2">
        <v>45523</v>
      </c>
      <c r="C4753" s="1" t="s">
        <v>93</v>
      </c>
      <c r="D4753" s="1" t="s">
        <v>43</v>
      </c>
      <c r="E4753" s="1" t="s">
        <v>186</v>
      </c>
      <c r="F4753" s="1" t="s">
        <v>37</v>
      </c>
      <c r="G4753" s="1" t="s">
        <v>78</v>
      </c>
      <c r="H4753" s="1" t="s">
        <v>136</v>
      </c>
      <c r="I4753" s="1">
        <v>229.49</v>
      </c>
      <c r="J4753" s="1">
        <v>1</v>
      </c>
      <c r="K4753" s="1">
        <v>229.49</v>
      </c>
      <c r="L4753" s="1">
        <v>0</v>
      </c>
      <c r="M4753" s="1">
        <v>0</v>
      </c>
      <c r="N4753" s="1">
        <v>229.49</v>
      </c>
      <c r="O4753" s="1" t="s">
        <v>64</v>
      </c>
      <c r="P4753" s="1" t="s">
        <v>5888</v>
      </c>
      <c r="Q4753" s="1">
        <v>1</v>
      </c>
      <c r="R4753" s="1">
        <f>Retail_Sales_Analyis[[#This Row],[Final_Price]]-Retail_Sales_Analyis[[#This Row],[Total_Price]]</f>
        <v>0</v>
      </c>
      <c r="S47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4" spans="1:19" x14ac:dyDescent="0.25">
      <c r="A4754" s="1" t="s">
        <v>5889</v>
      </c>
      <c r="B4754" s="2">
        <v>45432</v>
      </c>
      <c r="C4754" s="1" t="s">
        <v>42</v>
      </c>
      <c r="D4754" s="1" t="s">
        <v>43</v>
      </c>
      <c r="E4754" s="1" t="s">
        <v>163</v>
      </c>
      <c r="F4754" s="1" t="s">
        <v>84</v>
      </c>
      <c r="G4754" s="1" t="s">
        <v>169</v>
      </c>
      <c r="H4754" s="1" t="s">
        <v>170</v>
      </c>
      <c r="I4754" s="1">
        <v>1337.82</v>
      </c>
      <c r="J4754" s="1">
        <v>2</v>
      </c>
      <c r="K4754" s="1">
        <v>2675.64</v>
      </c>
      <c r="L4754" s="1">
        <v>5</v>
      </c>
      <c r="M4754" s="1">
        <v>133.78</v>
      </c>
      <c r="N4754" s="1">
        <v>2541.86</v>
      </c>
      <c r="O4754" s="1" t="s">
        <v>46</v>
      </c>
      <c r="P4754" s="1" t="s">
        <v>841</v>
      </c>
      <c r="Q4754" s="1">
        <v>5</v>
      </c>
      <c r="R4754" s="1">
        <f>Retail_Sales_Analyis[[#This Row],[Final_Price]]-Retail_Sales_Analyis[[#This Row],[Total_Price]]</f>
        <v>-133.77999999999975</v>
      </c>
      <c r="S475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55" spans="1:19" x14ac:dyDescent="0.25">
      <c r="A4755" s="1" t="s">
        <v>5890</v>
      </c>
      <c r="B4755" s="2">
        <v>45399</v>
      </c>
      <c r="C4755" s="1" t="s">
        <v>54</v>
      </c>
      <c r="D4755" s="1" t="s">
        <v>55</v>
      </c>
      <c r="E4755" s="1" t="s">
        <v>151</v>
      </c>
      <c r="F4755" s="1" t="s">
        <v>37</v>
      </c>
      <c r="G4755" s="1" t="s">
        <v>85</v>
      </c>
      <c r="H4755" s="1" t="s">
        <v>98</v>
      </c>
      <c r="I4755" s="1">
        <v>3745.04</v>
      </c>
      <c r="J4755" s="1">
        <v>10</v>
      </c>
      <c r="K4755" s="1">
        <v>37450.400000000001</v>
      </c>
      <c r="L4755" s="1">
        <v>0</v>
      </c>
      <c r="M4755" s="1">
        <v>0</v>
      </c>
      <c r="N4755" s="1">
        <v>37450.400000000001</v>
      </c>
      <c r="O4755" s="1" t="s">
        <v>33</v>
      </c>
      <c r="P4755" s="1" t="s">
        <v>1820</v>
      </c>
      <c r="Q4755" s="1">
        <v>4</v>
      </c>
      <c r="R4755" s="1">
        <f>Retail_Sales_Analyis[[#This Row],[Final_Price]]-Retail_Sales_Analyis[[#This Row],[Total_Price]]</f>
        <v>0</v>
      </c>
      <c r="S47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6" spans="1:19" x14ac:dyDescent="0.25">
      <c r="A4756" s="1" t="s">
        <v>5891</v>
      </c>
      <c r="B4756" s="2">
        <v>45378</v>
      </c>
      <c r="C4756" s="1" t="s">
        <v>61</v>
      </c>
      <c r="D4756" s="1" t="s">
        <v>55</v>
      </c>
      <c r="E4756" s="1" t="s">
        <v>129</v>
      </c>
      <c r="F4756" s="1" t="s">
        <v>30</v>
      </c>
      <c r="G4756" s="1" t="s">
        <v>38</v>
      </c>
      <c r="H4756" s="1" t="s">
        <v>70</v>
      </c>
      <c r="I4756" s="1">
        <v>775.69</v>
      </c>
      <c r="J4756" s="1">
        <v>6</v>
      </c>
      <c r="K4756" s="1">
        <v>4654.1400000000003</v>
      </c>
      <c r="L4756" s="1">
        <v>20</v>
      </c>
      <c r="M4756" s="1">
        <v>930.83</v>
      </c>
      <c r="N4756" s="1">
        <v>3723.31</v>
      </c>
      <c r="O4756" s="1" t="s">
        <v>80</v>
      </c>
      <c r="P4756" s="1" t="s">
        <v>291</v>
      </c>
      <c r="Q4756" s="1">
        <v>2</v>
      </c>
      <c r="R4756" s="1">
        <f>Retail_Sales_Analyis[[#This Row],[Final_Price]]-Retail_Sales_Analyis[[#This Row],[Total_Price]]</f>
        <v>-930.83000000000038</v>
      </c>
      <c r="S47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57" spans="1:19" x14ac:dyDescent="0.25">
      <c r="A4757" s="1" t="s">
        <v>5892</v>
      </c>
      <c r="B4757" s="2">
        <v>45587</v>
      </c>
      <c r="C4757" s="1" t="s">
        <v>76</v>
      </c>
      <c r="D4757" s="1" t="s">
        <v>28</v>
      </c>
      <c r="E4757" s="1" t="s">
        <v>50</v>
      </c>
      <c r="F4757" s="1" t="s">
        <v>21</v>
      </c>
      <c r="G4757" s="1" t="s">
        <v>112</v>
      </c>
      <c r="H4757" s="1" t="s">
        <v>223</v>
      </c>
      <c r="I4757" s="1">
        <v>515.03</v>
      </c>
      <c r="J4757" s="1">
        <v>7</v>
      </c>
      <c r="K4757" s="1">
        <v>3605.21</v>
      </c>
      <c r="L4757" s="1">
        <v>0</v>
      </c>
      <c r="M4757" s="1">
        <v>0</v>
      </c>
      <c r="N4757" s="1">
        <v>3605.21</v>
      </c>
      <c r="O4757" s="1" t="s">
        <v>64</v>
      </c>
      <c r="P4757" s="1" t="s">
        <v>603</v>
      </c>
      <c r="Q4757" s="1">
        <v>3</v>
      </c>
      <c r="R4757" s="1">
        <f>Retail_Sales_Analyis[[#This Row],[Final_Price]]-Retail_Sales_Analyis[[#This Row],[Total_Price]]</f>
        <v>0</v>
      </c>
      <c r="S47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8" spans="1:19" x14ac:dyDescent="0.25">
      <c r="A4758" s="1" t="s">
        <v>5893</v>
      </c>
      <c r="B4758" s="2">
        <v>45373</v>
      </c>
      <c r="C4758" s="1" t="s">
        <v>61</v>
      </c>
      <c r="D4758" s="1" t="s">
        <v>144</v>
      </c>
      <c r="E4758" s="1" t="s">
        <v>196</v>
      </c>
      <c r="F4758" s="1" t="s">
        <v>30</v>
      </c>
      <c r="G4758" s="1" t="s">
        <v>31</v>
      </c>
      <c r="H4758" s="1" t="s">
        <v>32</v>
      </c>
      <c r="I4758" s="1">
        <v>363.81</v>
      </c>
      <c r="J4758" s="1">
        <v>8</v>
      </c>
      <c r="K4758" s="1">
        <v>2910.48</v>
      </c>
      <c r="L4758" s="1">
        <v>0</v>
      </c>
      <c r="M4758" s="1">
        <v>0</v>
      </c>
      <c r="N4758" s="1">
        <v>2910.48</v>
      </c>
      <c r="O4758" s="1" t="s">
        <v>80</v>
      </c>
      <c r="P4758" s="1" t="s">
        <v>3366</v>
      </c>
      <c r="Q4758" s="1">
        <v>3</v>
      </c>
      <c r="R4758" s="1">
        <f>Retail_Sales_Analyis[[#This Row],[Final_Price]]-Retail_Sales_Analyis[[#This Row],[Total_Price]]</f>
        <v>0</v>
      </c>
      <c r="S47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59" spans="1:19" x14ac:dyDescent="0.25">
      <c r="A4759" s="1" t="s">
        <v>5894</v>
      </c>
      <c r="B4759" s="2">
        <v>45542</v>
      </c>
      <c r="C4759" s="1" t="s">
        <v>116</v>
      </c>
      <c r="D4759" s="1" t="s">
        <v>19</v>
      </c>
      <c r="E4759" s="1" t="s">
        <v>151</v>
      </c>
      <c r="F4759" s="1" t="s">
        <v>21</v>
      </c>
      <c r="G4759" s="1" t="s">
        <v>85</v>
      </c>
      <c r="H4759" s="1" t="s">
        <v>86</v>
      </c>
      <c r="I4759" s="1">
        <v>3024.62</v>
      </c>
      <c r="J4759" s="1">
        <v>4</v>
      </c>
      <c r="K4759" s="1">
        <v>12098.48</v>
      </c>
      <c r="L4759" s="1">
        <v>10</v>
      </c>
      <c r="M4759" s="1">
        <v>1209.8499999999999</v>
      </c>
      <c r="N4759" s="1">
        <v>10888.63</v>
      </c>
      <c r="O4759" s="1" t="s">
        <v>46</v>
      </c>
      <c r="P4759" s="1" t="s">
        <v>445</v>
      </c>
      <c r="Q4759" s="1">
        <v>3</v>
      </c>
      <c r="R4759" s="1">
        <f>Retail_Sales_Analyis[[#This Row],[Final_Price]]-Retail_Sales_Analyis[[#This Row],[Total_Price]]</f>
        <v>-1209.8500000000004</v>
      </c>
      <c r="S475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60" spans="1:19" x14ac:dyDescent="0.25">
      <c r="A4760" s="1" t="s">
        <v>5895</v>
      </c>
      <c r="B4760" s="2">
        <v>45337</v>
      </c>
      <c r="C4760" s="1" t="s">
        <v>27</v>
      </c>
      <c r="D4760" s="1" t="s">
        <v>67</v>
      </c>
      <c r="E4760" s="1" t="s">
        <v>328</v>
      </c>
      <c r="F4760" s="1" t="s">
        <v>37</v>
      </c>
      <c r="G4760" s="1" t="s">
        <v>38</v>
      </c>
      <c r="H4760" s="1" t="s">
        <v>422</v>
      </c>
      <c r="I4760" s="1">
        <v>476.75</v>
      </c>
      <c r="J4760" s="1">
        <v>3</v>
      </c>
      <c r="K4760" s="1">
        <v>1430.25</v>
      </c>
      <c r="L4760" s="1">
        <v>0</v>
      </c>
      <c r="M4760" s="1">
        <v>0</v>
      </c>
      <c r="N4760" s="1">
        <v>1430.25</v>
      </c>
      <c r="O4760" s="1" t="s">
        <v>64</v>
      </c>
      <c r="P4760" s="1" t="s">
        <v>1593</v>
      </c>
      <c r="Q4760" s="1">
        <v>5</v>
      </c>
      <c r="R4760" s="1">
        <f>Retail_Sales_Analyis[[#This Row],[Final_Price]]-Retail_Sales_Analyis[[#This Row],[Total_Price]]</f>
        <v>0</v>
      </c>
      <c r="S47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1" spans="1:19" x14ac:dyDescent="0.25">
      <c r="A4761" s="1" t="s">
        <v>5896</v>
      </c>
      <c r="B4761" s="2">
        <v>45358</v>
      </c>
      <c r="C4761" s="1" t="s">
        <v>61</v>
      </c>
      <c r="D4761" s="1" t="s">
        <v>67</v>
      </c>
      <c r="E4761" s="1" t="s">
        <v>199</v>
      </c>
      <c r="F4761" s="1" t="s">
        <v>37</v>
      </c>
      <c r="G4761" s="1" t="s">
        <v>169</v>
      </c>
      <c r="H4761" s="1" t="s">
        <v>175</v>
      </c>
      <c r="I4761" s="1">
        <v>1077.54</v>
      </c>
      <c r="J4761" s="1">
        <v>6</v>
      </c>
      <c r="K4761" s="1">
        <v>6465.24</v>
      </c>
      <c r="L4761" s="1">
        <v>5</v>
      </c>
      <c r="M4761" s="1">
        <v>323.26</v>
      </c>
      <c r="N4761" s="1">
        <v>6141.98</v>
      </c>
      <c r="O4761" s="1" t="s">
        <v>33</v>
      </c>
      <c r="P4761" s="1" t="s">
        <v>1898</v>
      </c>
      <c r="Q4761" s="1">
        <v>5</v>
      </c>
      <c r="R4761" s="1">
        <f>Retail_Sales_Analyis[[#This Row],[Final_Price]]-Retail_Sales_Analyis[[#This Row],[Total_Price]]</f>
        <v>-323.26000000000022</v>
      </c>
      <c r="S476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62" spans="1:19" x14ac:dyDescent="0.25">
      <c r="A4762" s="1" t="s">
        <v>5897</v>
      </c>
      <c r="B4762" s="2">
        <v>45606</v>
      </c>
      <c r="C4762" s="1" t="s">
        <v>18</v>
      </c>
      <c r="D4762" s="1" t="s">
        <v>49</v>
      </c>
      <c r="E4762" s="1" t="s">
        <v>29</v>
      </c>
      <c r="F4762" s="1" t="s">
        <v>21</v>
      </c>
      <c r="G4762" s="1" t="s">
        <v>78</v>
      </c>
      <c r="H4762" s="1" t="s">
        <v>79</v>
      </c>
      <c r="I4762" s="1">
        <v>244.82</v>
      </c>
      <c r="J4762" s="1">
        <v>9</v>
      </c>
      <c r="K4762" s="1">
        <v>2203.38</v>
      </c>
      <c r="L4762" s="1">
        <v>20</v>
      </c>
      <c r="M4762" s="1">
        <v>440.68</v>
      </c>
      <c r="N4762" s="1">
        <v>1762.7</v>
      </c>
      <c r="O4762" s="1" t="s">
        <v>46</v>
      </c>
      <c r="P4762" s="1" t="s">
        <v>2676</v>
      </c>
      <c r="Q4762" s="1">
        <v>3</v>
      </c>
      <c r="R4762" s="1">
        <f>Retail_Sales_Analyis[[#This Row],[Final_Price]]-Retail_Sales_Analyis[[#This Row],[Total_Price]]</f>
        <v>-440.68000000000006</v>
      </c>
      <c r="S47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63" spans="1:19" x14ac:dyDescent="0.25">
      <c r="A4763" s="1" t="s">
        <v>5898</v>
      </c>
      <c r="B4763" s="2">
        <v>45514</v>
      </c>
      <c r="C4763" s="1" t="s">
        <v>93</v>
      </c>
      <c r="D4763" s="1" t="s">
        <v>19</v>
      </c>
      <c r="E4763" s="1" t="s">
        <v>44</v>
      </c>
      <c r="F4763" s="1" t="s">
        <v>21</v>
      </c>
      <c r="G4763" s="1" t="s">
        <v>57</v>
      </c>
      <c r="H4763" s="1" t="s">
        <v>58</v>
      </c>
      <c r="I4763" s="1">
        <v>1212.52</v>
      </c>
      <c r="J4763" s="1">
        <v>9</v>
      </c>
      <c r="K4763" s="1">
        <v>10912.68</v>
      </c>
      <c r="L4763" s="1">
        <v>20</v>
      </c>
      <c r="M4763" s="1">
        <v>2182.54</v>
      </c>
      <c r="N4763" s="1">
        <v>8730.14</v>
      </c>
      <c r="O4763" s="1" t="s">
        <v>64</v>
      </c>
      <c r="P4763" s="1" t="s">
        <v>1593</v>
      </c>
      <c r="Q4763" s="1">
        <v>5</v>
      </c>
      <c r="R4763" s="1">
        <f>Retail_Sales_Analyis[[#This Row],[Final_Price]]-Retail_Sales_Analyis[[#This Row],[Total_Price]]</f>
        <v>-2182.5400000000009</v>
      </c>
      <c r="S476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64" spans="1:19" x14ac:dyDescent="0.25">
      <c r="A4764" s="1" t="s">
        <v>5899</v>
      </c>
      <c r="B4764" s="2">
        <v>45616</v>
      </c>
      <c r="C4764" s="1" t="s">
        <v>18</v>
      </c>
      <c r="D4764" s="1" t="s">
        <v>55</v>
      </c>
      <c r="E4764" s="1" t="s">
        <v>199</v>
      </c>
      <c r="F4764" s="1" t="s">
        <v>21</v>
      </c>
      <c r="G4764" s="1" t="s">
        <v>31</v>
      </c>
      <c r="H4764" s="1" t="s">
        <v>63</v>
      </c>
      <c r="I4764" s="1">
        <v>453.75</v>
      </c>
      <c r="J4764" s="1">
        <v>6</v>
      </c>
      <c r="K4764" s="1">
        <v>2722.5</v>
      </c>
      <c r="L4764" s="1">
        <v>0</v>
      </c>
      <c r="M4764" s="1">
        <v>0</v>
      </c>
      <c r="N4764" s="1">
        <v>2722.5</v>
      </c>
      <c r="O4764" s="1" t="s">
        <v>64</v>
      </c>
      <c r="P4764" s="1" t="s">
        <v>2143</v>
      </c>
      <c r="Q4764" s="1">
        <v>2</v>
      </c>
      <c r="R4764" s="1">
        <f>Retail_Sales_Analyis[[#This Row],[Final_Price]]-Retail_Sales_Analyis[[#This Row],[Total_Price]]</f>
        <v>0</v>
      </c>
      <c r="S47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5" spans="1:19" x14ac:dyDescent="0.25">
      <c r="A4765" s="1" t="s">
        <v>5900</v>
      </c>
      <c r="B4765" s="2">
        <v>45511</v>
      </c>
      <c r="C4765" s="1" t="s">
        <v>93</v>
      </c>
      <c r="D4765" s="1" t="s">
        <v>55</v>
      </c>
      <c r="E4765" s="1" t="s">
        <v>302</v>
      </c>
      <c r="F4765" s="1" t="s">
        <v>30</v>
      </c>
      <c r="G4765" s="1" t="s">
        <v>85</v>
      </c>
      <c r="H4765" s="1" t="s">
        <v>297</v>
      </c>
      <c r="I4765" s="1">
        <v>3955.05</v>
      </c>
      <c r="J4765" s="1">
        <v>10</v>
      </c>
      <c r="K4765" s="1">
        <v>39550.5</v>
      </c>
      <c r="L4765" s="1">
        <v>0</v>
      </c>
      <c r="M4765" s="1">
        <v>0</v>
      </c>
      <c r="N4765" s="1">
        <v>39550.5</v>
      </c>
      <c r="O4765" s="1" t="s">
        <v>33</v>
      </c>
      <c r="P4765" s="1" t="s">
        <v>1273</v>
      </c>
      <c r="Q4765" s="1">
        <v>5</v>
      </c>
      <c r="R4765" s="1">
        <f>Retail_Sales_Analyis[[#This Row],[Final_Price]]-Retail_Sales_Analyis[[#This Row],[Total_Price]]</f>
        <v>0</v>
      </c>
      <c r="S476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6" spans="1:19" x14ac:dyDescent="0.25">
      <c r="A4766" s="1" t="s">
        <v>5901</v>
      </c>
      <c r="B4766" s="2">
        <v>45498</v>
      </c>
      <c r="C4766" s="1" t="s">
        <v>195</v>
      </c>
      <c r="D4766" s="1" t="s">
        <v>67</v>
      </c>
      <c r="E4766" s="1" t="s">
        <v>337</v>
      </c>
      <c r="F4766" s="1" t="s">
        <v>37</v>
      </c>
      <c r="G4766" s="1" t="s">
        <v>22</v>
      </c>
      <c r="H4766" s="1" t="s">
        <v>23</v>
      </c>
      <c r="I4766" s="1">
        <v>641.37</v>
      </c>
      <c r="J4766" s="1">
        <v>8</v>
      </c>
      <c r="K4766" s="1">
        <v>5130.96</v>
      </c>
      <c r="L4766" s="1">
        <v>0</v>
      </c>
      <c r="M4766" s="1">
        <v>0</v>
      </c>
      <c r="N4766" s="1">
        <v>5130.96</v>
      </c>
      <c r="O4766" s="1" t="s">
        <v>64</v>
      </c>
      <c r="P4766" s="1" t="s">
        <v>2817</v>
      </c>
      <c r="Q4766" s="1">
        <v>3</v>
      </c>
      <c r="R4766" s="1">
        <f>Retail_Sales_Analyis[[#This Row],[Final_Price]]-Retail_Sales_Analyis[[#This Row],[Total_Price]]</f>
        <v>0</v>
      </c>
      <c r="S476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7" spans="1:19" x14ac:dyDescent="0.25">
      <c r="A4767" s="1" t="s">
        <v>5902</v>
      </c>
      <c r="B4767" s="2">
        <v>45511</v>
      </c>
      <c r="C4767" s="1" t="s">
        <v>93</v>
      </c>
      <c r="D4767" s="1" t="s">
        <v>55</v>
      </c>
      <c r="E4767" s="1" t="s">
        <v>236</v>
      </c>
      <c r="F4767" s="1" t="s">
        <v>84</v>
      </c>
      <c r="G4767" s="1" t="s">
        <v>38</v>
      </c>
      <c r="H4767" s="1" t="s">
        <v>422</v>
      </c>
      <c r="I4767" s="1">
        <v>639.91</v>
      </c>
      <c r="J4767" s="1">
        <v>9</v>
      </c>
      <c r="K4767" s="1">
        <v>5759.19</v>
      </c>
      <c r="L4767" s="1">
        <v>0</v>
      </c>
      <c r="M4767" s="1">
        <v>0</v>
      </c>
      <c r="N4767" s="1">
        <v>5759.19</v>
      </c>
      <c r="O4767" s="1" t="s">
        <v>46</v>
      </c>
      <c r="P4767" s="1" t="s">
        <v>4125</v>
      </c>
      <c r="Q4767" s="1">
        <v>5</v>
      </c>
      <c r="R4767" s="1">
        <f>Retail_Sales_Analyis[[#This Row],[Final_Price]]-Retail_Sales_Analyis[[#This Row],[Total_Price]]</f>
        <v>0</v>
      </c>
      <c r="S47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8" spans="1:19" x14ac:dyDescent="0.25">
      <c r="A4768" s="1" t="s">
        <v>5903</v>
      </c>
      <c r="B4768" s="2">
        <v>45536</v>
      </c>
      <c r="C4768" s="1" t="s">
        <v>116</v>
      </c>
      <c r="D4768" s="1" t="s">
        <v>49</v>
      </c>
      <c r="E4768" s="1" t="s">
        <v>129</v>
      </c>
      <c r="F4768" s="1" t="s">
        <v>30</v>
      </c>
      <c r="G4768" s="1" t="s">
        <v>38</v>
      </c>
      <c r="H4768" s="1" t="s">
        <v>39</v>
      </c>
      <c r="I4768" s="1">
        <v>433.1</v>
      </c>
      <c r="J4768" s="1">
        <v>9</v>
      </c>
      <c r="K4768" s="1">
        <v>3897.9</v>
      </c>
      <c r="L4768" s="1">
        <v>0</v>
      </c>
      <c r="M4768" s="1">
        <v>0</v>
      </c>
      <c r="N4768" s="1">
        <v>3897.9</v>
      </c>
      <c r="O4768" s="1" t="s">
        <v>80</v>
      </c>
      <c r="P4768" s="1" t="s">
        <v>1192</v>
      </c>
      <c r="Q4768" s="1">
        <v>4</v>
      </c>
      <c r="R4768" s="1">
        <f>Retail_Sales_Analyis[[#This Row],[Final_Price]]-Retail_Sales_Analyis[[#This Row],[Total_Price]]</f>
        <v>0</v>
      </c>
      <c r="S476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69" spans="1:19" x14ac:dyDescent="0.25">
      <c r="A4769" s="1" t="s">
        <v>5904</v>
      </c>
      <c r="B4769" s="2">
        <v>45488</v>
      </c>
      <c r="C4769" s="1" t="s">
        <v>195</v>
      </c>
      <c r="D4769" s="1" t="s">
        <v>43</v>
      </c>
      <c r="E4769" s="1" t="s">
        <v>337</v>
      </c>
      <c r="F4769" s="1" t="s">
        <v>69</v>
      </c>
      <c r="G4769" s="1" t="s">
        <v>78</v>
      </c>
      <c r="H4769" s="1" t="s">
        <v>126</v>
      </c>
      <c r="I4769" s="1">
        <v>348.31</v>
      </c>
      <c r="J4769" s="1">
        <v>3</v>
      </c>
      <c r="K4769" s="1">
        <v>1044.93</v>
      </c>
      <c r="L4769" s="1">
        <v>10</v>
      </c>
      <c r="M4769" s="1">
        <v>104.49</v>
      </c>
      <c r="N4769" s="1">
        <v>940.44</v>
      </c>
      <c r="O4769" s="1" t="s">
        <v>64</v>
      </c>
      <c r="P4769" s="1" t="s">
        <v>3644</v>
      </c>
      <c r="Q4769" s="1">
        <v>4</v>
      </c>
      <c r="R4769" s="1">
        <f>Retail_Sales_Analyis[[#This Row],[Final_Price]]-Retail_Sales_Analyis[[#This Row],[Total_Price]]</f>
        <v>-104.49000000000001</v>
      </c>
      <c r="S47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70" spans="1:19" x14ac:dyDescent="0.25">
      <c r="A4770" s="1" t="s">
        <v>5905</v>
      </c>
      <c r="B4770" s="2">
        <v>45294</v>
      </c>
      <c r="C4770" s="1" t="s">
        <v>36</v>
      </c>
      <c r="D4770" s="1" t="s">
        <v>55</v>
      </c>
      <c r="E4770" s="1" t="s">
        <v>337</v>
      </c>
      <c r="F4770" s="1" t="s">
        <v>84</v>
      </c>
      <c r="G4770" s="1" t="s">
        <v>85</v>
      </c>
      <c r="H4770" s="1" t="s">
        <v>180</v>
      </c>
      <c r="I4770" s="1">
        <v>4475.74</v>
      </c>
      <c r="J4770" s="1">
        <v>8</v>
      </c>
      <c r="K4770" s="1">
        <v>35805.919999999998</v>
      </c>
      <c r="L4770" s="1">
        <v>15</v>
      </c>
      <c r="M4770" s="1">
        <v>5370.89</v>
      </c>
      <c r="N4770" s="1">
        <v>30435.03</v>
      </c>
      <c r="O4770" s="1" t="s">
        <v>64</v>
      </c>
      <c r="P4770" s="1" t="s">
        <v>665</v>
      </c>
      <c r="Q4770" s="1">
        <v>4</v>
      </c>
      <c r="R4770" s="1">
        <f>Retail_Sales_Analyis[[#This Row],[Final_Price]]-Retail_Sales_Analyis[[#This Row],[Total_Price]]</f>
        <v>-5370.8899999999994</v>
      </c>
      <c r="S477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71" spans="1:19" x14ac:dyDescent="0.25">
      <c r="A4771" s="1" t="s">
        <v>5906</v>
      </c>
      <c r="B4771" s="2">
        <v>45311</v>
      </c>
      <c r="C4771" s="1" t="s">
        <v>36</v>
      </c>
      <c r="D4771" s="1" t="s">
        <v>19</v>
      </c>
      <c r="E4771" s="1" t="s">
        <v>97</v>
      </c>
      <c r="F4771" s="1" t="s">
        <v>37</v>
      </c>
      <c r="G4771" s="1" t="s">
        <v>78</v>
      </c>
      <c r="H4771" s="1" t="s">
        <v>323</v>
      </c>
      <c r="I4771" s="1">
        <v>392.32</v>
      </c>
      <c r="J4771" s="1">
        <v>3</v>
      </c>
      <c r="K4771" s="1">
        <v>1176.96</v>
      </c>
      <c r="L4771" s="1">
        <v>5</v>
      </c>
      <c r="M4771" s="1">
        <v>58.85</v>
      </c>
      <c r="N4771" s="1">
        <v>1118.1099999999999</v>
      </c>
      <c r="O4771" s="1" t="s">
        <v>64</v>
      </c>
      <c r="P4771" s="1" t="s">
        <v>2062</v>
      </c>
      <c r="Q4771" s="1">
        <v>2</v>
      </c>
      <c r="R4771" s="1">
        <f>Retail_Sales_Analyis[[#This Row],[Final_Price]]-Retail_Sales_Analyis[[#This Row],[Total_Price]]</f>
        <v>-58.850000000000136</v>
      </c>
      <c r="S477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72" spans="1:19" x14ac:dyDescent="0.25">
      <c r="A4772" s="1" t="s">
        <v>5907</v>
      </c>
      <c r="B4772" s="2">
        <v>45565</v>
      </c>
      <c r="C4772" s="1" t="s">
        <v>116</v>
      </c>
      <c r="D4772" s="1" t="s">
        <v>43</v>
      </c>
      <c r="E4772" s="1" t="s">
        <v>186</v>
      </c>
      <c r="F4772" s="1" t="s">
        <v>21</v>
      </c>
      <c r="G4772" s="1" t="s">
        <v>22</v>
      </c>
      <c r="H4772" s="1" t="s">
        <v>51</v>
      </c>
      <c r="I4772" s="1">
        <v>498.62</v>
      </c>
      <c r="J4772" s="1">
        <v>1</v>
      </c>
      <c r="K4772" s="1">
        <v>498.62</v>
      </c>
      <c r="L4772" s="1">
        <v>0</v>
      </c>
      <c r="M4772" s="1">
        <v>0</v>
      </c>
      <c r="N4772" s="1">
        <v>498.62</v>
      </c>
      <c r="O4772" s="1" t="s">
        <v>24</v>
      </c>
      <c r="P4772" s="1" t="s">
        <v>3820</v>
      </c>
      <c r="Q4772" s="1">
        <v>3</v>
      </c>
      <c r="R4772" s="1">
        <f>Retail_Sales_Analyis[[#This Row],[Final_Price]]-Retail_Sales_Analyis[[#This Row],[Total_Price]]</f>
        <v>0</v>
      </c>
      <c r="S47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73" spans="1:19" x14ac:dyDescent="0.25">
      <c r="A4773" s="1" t="s">
        <v>5908</v>
      </c>
      <c r="B4773" s="2">
        <v>45394</v>
      </c>
      <c r="C4773" s="1" t="s">
        <v>54</v>
      </c>
      <c r="D4773" s="1" t="s">
        <v>144</v>
      </c>
      <c r="E4773" s="1" t="s">
        <v>94</v>
      </c>
      <c r="F4773" s="1" t="s">
        <v>69</v>
      </c>
      <c r="G4773" s="1" t="s">
        <v>31</v>
      </c>
      <c r="H4773" s="1" t="s">
        <v>329</v>
      </c>
      <c r="I4773" s="1">
        <v>494.69</v>
      </c>
      <c r="J4773" s="1">
        <v>4</v>
      </c>
      <c r="K4773" s="1">
        <v>1978.76</v>
      </c>
      <c r="L4773" s="1">
        <v>20</v>
      </c>
      <c r="M4773" s="1">
        <v>395.75</v>
      </c>
      <c r="N4773" s="1">
        <v>1583.01</v>
      </c>
      <c r="O4773" s="1" t="s">
        <v>46</v>
      </c>
      <c r="P4773" s="1" t="s">
        <v>1466</v>
      </c>
      <c r="Q4773" s="1">
        <v>1</v>
      </c>
      <c r="R4773" s="1">
        <f>Retail_Sales_Analyis[[#This Row],[Final_Price]]-Retail_Sales_Analyis[[#This Row],[Total_Price]]</f>
        <v>-395.75</v>
      </c>
      <c r="S477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74" spans="1:19" x14ac:dyDescent="0.25">
      <c r="A4774" s="1" t="s">
        <v>5909</v>
      </c>
      <c r="B4774" s="2">
        <v>45483</v>
      </c>
      <c r="C4774" s="1" t="s">
        <v>195</v>
      </c>
      <c r="D4774" s="1" t="s">
        <v>55</v>
      </c>
      <c r="E4774" s="1" t="s">
        <v>117</v>
      </c>
      <c r="F4774" s="1" t="s">
        <v>69</v>
      </c>
      <c r="G4774" s="1" t="s">
        <v>78</v>
      </c>
      <c r="H4774" s="1" t="s">
        <v>136</v>
      </c>
      <c r="I4774" s="1">
        <v>533.03</v>
      </c>
      <c r="J4774" s="1">
        <v>9</v>
      </c>
      <c r="K4774" s="1">
        <v>4797.2700000000004</v>
      </c>
      <c r="L4774" s="1">
        <v>10</v>
      </c>
      <c r="M4774" s="1">
        <v>479.73</v>
      </c>
      <c r="N4774" s="1">
        <v>4317.54</v>
      </c>
      <c r="O4774" s="1" t="s">
        <v>33</v>
      </c>
      <c r="P4774" s="1" t="s">
        <v>964</v>
      </c>
      <c r="Q4774" s="1">
        <v>2</v>
      </c>
      <c r="R4774" s="1">
        <f>Retail_Sales_Analyis[[#This Row],[Final_Price]]-Retail_Sales_Analyis[[#This Row],[Total_Price]]</f>
        <v>-479.73000000000047</v>
      </c>
      <c r="S47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75" spans="1:19" x14ac:dyDescent="0.25">
      <c r="A4775" s="1" t="s">
        <v>5910</v>
      </c>
      <c r="B4775" s="2">
        <v>45299</v>
      </c>
      <c r="C4775" s="1" t="s">
        <v>36</v>
      </c>
      <c r="D4775" s="1" t="s">
        <v>43</v>
      </c>
      <c r="E4775" s="1" t="s">
        <v>139</v>
      </c>
      <c r="F4775" s="1" t="s">
        <v>37</v>
      </c>
      <c r="G4775" s="1" t="s">
        <v>57</v>
      </c>
      <c r="H4775" s="1" t="s">
        <v>58</v>
      </c>
      <c r="I4775" s="1">
        <v>2965.28</v>
      </c>
      <c r="J4775" s="1">
        <v>10</v>
      </c>
      <c r="K4775" s="1">
        <v>29652.799999999999</v>
      </c>
      <c r="L4775" s="1">
        <v>10</v>
      </c>
      <c r="M4775" s="1">
        <v>2965.28</v>
      </c>
      <c r="N4775" s="1">
        <v>26687.52</v>
      </c>
      <c r="O4775" s="1" t="s">
        <v>33</v>
      </c>
      <c r="P4775" s="1" t="s">
        <v>308</v>
      </c>
      <c r="Q4775" s="1">
        <v>1</v>
      </c>
      <c r="R4775" s="1">
        <f>Retail_Sales_Analyis[[#This Row],[Final_Price]]-Retail_Sales_Analyis[[#This Row],[Total_Price]]</f>
        <v>-2965.2799999999988</v>
      </c>
      <c r="S47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76" spans="1:19" x14ac:dyDescent="0.25">
      <c r="A4776" s="1" t="s">
        <v>5911</v>
      </c>
      <c r="B4776" s="2">
        <v>45456</v>
      </c>
      <c r="C4776" s="1" t="s">
        <v>173</v>
      </c>
      <c r="D4776" s="1" t="s">
        <v>67</v>
      </c>
      <c r="E4776" s="1" t="s">
        <v>129</v>
      </c>
      <c r="F4776" s="1" t="s">
        <v>21</v>
      </c>
      <c r="G4776" s="1" t="s">
        <v>78</v>
      </c>
      <c r="H4776" s="1" t="s">
        <v>146</v>
      </c>
      <c r="I4776" s="1">
        <v>377.64</v>
      </c>
      <c r="J4776" s="1">
        <v>9</v>
      </c>
      <c r="K4776" s="1">
        <v>3398.76</v>
      </c>
      <c r="L4776" s="1">
        <v>10</v>
      </c>
      <c r="M4776" s="1">
        <v>339.88</v>
      </c>
      <c r="N4776" s="1">
        <v>3058.88</v>
      </c>
      <c r="O4776" s="1" t="s">
        <v>80</v>
      </c>
      <c r="P4776" s="1" t="s">
        <v>451</v>
      </c>
      <c r="Q4776" s="1">
        <v>1</v>
      </c>
      <c r="R4776" s="1">
        <f>Retail_Sales_Analyis[[#This Row],[Final_Price]]-Retail_Sales_Analyis[[#This Row],[Total_Price]]</f>
        <v>-339.88000000000011</v>
      </c>
      <c r="S477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77" spans="1:19" x14ac:dyDescent="0.25">
      <c r="A4777" s="1" t="s">
        <v>5912</v>
      </c>
      <c r="B4777" s="2">
        <v>45563</v>
      </c>
      <c r="C4777" s="1" t="s">
        <v>116</v>
      </c>
      <c r="D4777" s="1" t="s">
        <v>19</v>
      </c>
      <c r="E4777" s="1" t="s">
        <v>174</v>
      </c>
      <c r="F4777" s="1" t="s">
        <v>69</v>
      </c>
      <c r="G4777" s="1" t="s">
        <v>57</v>
      </c>
      <c r="H4777" s="1" t="s">
        <v>122</v>
      </c>
      <c r="I4777" s="1">
        <v>1292.97</v>
      </c>
      <c r="J4777" s="1">
        <v>6</v>
      </c>
      <c r="K4777" s="1">
        <v>7757.82</v>
      </c>
      <c r="L4777" s="1">
        <v>5</v>
      </c>
      <c r="M4777" s="1">
        <v>387.89</v>
      </c>
      <c r="N4777" s="1">
        <v>7369.93</v>
      </c>
      <c r="O4777" s="1" t="s">
        <v>46</v>
      </c>
      <c r="P4777" s="1" t="s">
        <v>423</v>
      </c>
      <c r="Q4777" s="1">
        <v>2</v>
      </c>
      <c r="R4777" s="1">
        <f>Retail_Sales_Analyis[[#This Row],[Final_Price]]-Retail_Sales_Analyis[[#This Row],[Total_Price]]</f>
        <v>-387.88999999999942</v>
      </c>
      <c r="S477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78" spans="1:19" x14ac:dyDescent="0.25">
      <c r="A4778" s="1" t="s">
        <v>5913</v>
      </c>
      <c r="B4778" s="2">
        <v>45389</v>
      </c>
      <c r="C4778" s="1" t="s">
        <v>54</v>
      </c>
      <c r="D4778" s="1" t="s">
        <v>49</v>
      </c>
      <c r="E4778" s="1" t="s">
        <v>121</v>
      </c>
      <c r="F4778" s="1" t="s">
        <v>21</v>
      </c>
      <c r="G4778" s="1" t="s">
        <v>22</v>
      </c>
      <c r="H4778" s="1" t="s">
        <v>277</v>
      </c>
      <c r="I4778" s="1">
        <v>845.15</v>
      </c>
      <c r="J4778" s="1">
        <v>6</v>
      </c>
      <c r="K4778" s="1">
        <v>5070.8999999999996</v>
      </c>
      <c r="L4778" s="1">
        <v>0</v>
      </c>
      <c r="M4778" s="1">
        <v>0</v>
      </c>
      <c r="N4778" s="1">
        <v>5070.8999999999996</v>
      </c>
      <c r="O4778" s="1" t="s">
        <v>64</v>
      </c>
      <c r="P4778" s="1" t="s">
        <v>480</v>
      </c>
      <c r="Q4778" s="1">
        <v>3</v>
      </c>
      <c r="R4778" s="1">
        <f>Retail_Sales_Analyis[[#This Row],[Final_Price]]-Retail_Sales_Analyis[[#This Row],[Total_Price]]</f>
        <v>0</v>
      </c>
      <c r="S477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79" spans="1:19" x14ac:dyDescent="0.25">
      <c r="A4779" s="1" t="s">
        <v>5914</v>
      </c>
      <c r="B4779" s="2">
        <v>45301</v>
      </c>
      <c r="C4779" s="1" t="s">
        <v>36</v>
      </c>
      <c r="D4779" s="1" t="s">
        <v>55</v>
      </c>
      <c r="E4779" s="1" t="s">
        <v>151</v>
      </c>
      <c r="F4779" s="1" t="s">
        <v>30</v>
      </c>
      <c r="G4779" s="1" t="s">
        <v>85</v>
      </c>
      <c r="H4779" s="1" t="s">
        <v>98</v>
      </c>
      <c r="I4779" s="1">
        <v>1048.0999999999999</v>
      </c>
      <c r="J4779" s="1">
        <v>4</v>
      </c>
      <c r="K4779" s="1">
        <v>4192.3999999999996</v>
      </c>
      <c r="L4779" s="1">
        <v>20</v>
      </c>
      <c r="M4779" s="1">
        <v>838.48</v>
      </c>
      <c r="N4779" s="1">
        <v>3353.92</v>
      </c>
      <c r="O4779" s="1" t="s">
        <v>46</v>
      </c>
      <c r="P4779" s="1" t="s">
        <v>3273</v>
      </c>
      <c r="Q4779" s="1">
        <v>4</v>
      </c>
      <c r="R4779" s="1">
        <f>Retail_Sales_Analyis[[#This Row],[Final_Price]]-Retail_Sales_Analyis[[#This Row],[Total_Price]]</f>
        <v>-838.47999999999956</v>
      </c>
      <c r="S477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80" spans="1:19" x14ac:dyDescent="0.25">
      <c r="A4780" s="1" t="s">
        <v>5915</v>
      </c>
      <c r="B4780" s="2">
        <v>45638</v>
      </c>
      <c r="C4780" s="1" t="s">
        <v>73</v>
      </c>
      <c r="D4780" s="1" t="s">
        <v>67</v>
      </c>
      <c r="E4780" s="1" t="s">
        <v>111</v>
      </c>
      <c r="F4780" s="1" t="s">
        <v>69</v>
      </c>
      <c r="G4780" s="1" t="s">
        <v>85</v>
      </c>
      <c r="H4780" s="1" t="s">
        <v>90</v>
      </c>
      <c r="I4780" s="1">
        <v>3263.11</v>
      </c>
      <c r="J4780" s="1">
        <v>7</v>
      </c>
      <c r="K4780" s="1">
        <v>22841.77</v>
      </c>
      <c r="L4780" s="1">
        <v>0</v>
      </c>
      <c r="M4780" s="1">
        <v>0</v>
      </c>
      <c r="N4780" s="1">
        <v>22841.77</v>
      </c>
      <c r="O4780" s="1" t="s">
        <v>64</v>
      </c>
      <c r="P4780" s="1" t="s">
        <v>2418</v>
      </c>
      <c r="Q4780" s="1">
        <v>5</v>
      </c>
      <c r="R4780" s="1">
        <f>Retail_Sales_Analyis[[#This Row],[Final_Price]]-Retail_Sales_Analyis[[#This Row],[Total_Price]]</f>
        <v>0</v>
      </c>
      <c r="S47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81" spans="1:19" x14ac:dyDescent="0.25">
      <c r="A4781" s="1" t="s">
        <v>5916</v>
      </c>
      <c r="B4781" s="2">
        <v>45294</v>
      </c>
      <c r="C4781" s="1" t="s">
        <v>36</v>
      </c>
      <c r="D4781" s="1" t="s">
        <v>55</v>
      </c>
      <c r="E4781" s="1" t="s">
        <v>89</v>
      </c>
      <c r="F4781" s="1" t="s">
        <v>84</v>
      </c>
      <c r="G4781" s="1" t="s">
        <v>22</v>
      </c>
      <c r="H4781" s="1" t="s">
        <v>133</v>
      </c>
      <c r="I4781" s="1">
        <v>932.66</v>
      </c>
      <c r="J4781" s="1">
        <v>7</v>
      </c>
      <c r="K4781" s="1">
        <v>6528.62</v>
      </c>
      <c r="L4781" s="1">
        <v>10</v>
      </c>
      <c r="M4781" s="1">
        <v>652.86</v>
      </c>
      <c r="N4781" s="1">
        <v>5875.76</v>
      </c>
      <c r="O4781" s="1" t="s">
        <v>80</v>
      </c>
      <c r="P4781" s="1" t="s">
        <v>269</v>
      </c>
      <c r="Q4781" s="1">
        <v>2</v>
      </c>
      <c r="R4781" s="1">
        <f>Retail_Sales_Analyis[[#This Row],[Final_Price]]-Retail_Sales_Analyis[[#This Row],[Total_Price]]</f>
        <v>-652.85999999999967</v>
      </c>
      <c r="S47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2" spans="1:19" x14ac:dyDescent="0.25">
      <c r="A4782" s="1" t="s">
        <v>5917</v>
      </c>
      <c r="B4782" s="2">
        <v>45612</v>
      </c>
      <c r="C4782" s="1" t="s">
        <v>18</v>
      </c>
      <c r="D4782" s="1" t="s">
        <v>19</v>
      </c>
      <c r="E4782" s="1" t="s">
        <v>139</v>
      </c>
      <c r="F4782" s="1" t="s">
        <v>21</v>
      </c>
      <c r="G4782" s="1" t="s">
        <v>78</v>
      </c>
      <c r="H4782" s="1" t="s">
        <v>79</v>
      </c>
      <c r="I4782" s="1">
        <v>166.62</v>
      </c>
      <c r="J4782" s="1">
        <v>7</v>
      </c>
      <c r="K4782" s="1">
        <v>1166.3399999999999</v>
      </c>
      <c r="L4782" s="1">
        <v>15</v>
      </c>
      <c r="M4782" s="1">
        <v>174.95</v>
      </c>
      <c r="N4782" s="1">
        <v>991.39</v>
      </c>
      <c r="O4782" s="1" t="s">
        <v>80</v>
      </c>
      <c r="P4782" s="1" t="s">
        <v>441</v>
      </c>
      <c r="Q4782" s="1">
        <v>2</v>
      </c>
      <c r="R4782" s="1">
        <f>Retail_Sales_Analyis[[#This Row],[Final_Price]]-Retail_Sales_Analyis[[#This Row],[Total_Price]]</f>
        <v>-174.94999999999993</v>
      </c>
      <c r="S47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3" spans="1:19" x14ac:dyDescent="0.25">
      <c r="A4783" s="1" t="s">
        <v>5918</v>
      </c>
      <c r="B4783" s="2">
        <v>45419</v>
      </c>
      <c r="C4783" s="1" t="s">
        <v>42</v>
      </c>
      <c r="D4783" s="1" t="s">
        <v>28</v>
      </c>
      <c r="E4783" s="1" t="s">
        <v>351</v>
      </c>
      <c r="F4783" s="1" t="s">
        <v>21</v>
      </c>
      <c r="G4783" s="1" t="s">
        <v>85</v>
      </c>
      <c r="H4783" s="1" t="s">
        <v>297</v>
      </c>
      <c r="I4783" s="1">
        <v>2524.54</v>
      </c>
      <c r="J4783" s="1">
        <v>10</v>
      </c>
      <c r="K4783" s="1">
        <v>25245.4</v>
      </c>
      <c r="L4783" s="1">
        <v>10</v>
      </c>
      <c r="M4783" s="1">
        <v>2524.54</v>
      </c>
      <c r="N4783" s="1">
        <v>22720.86</v>
      </c>
      <c r="O4783" s="1" t="s">
        <v>33</v>
      </c>
      <c r="P4783" s="1" t="s">
        <v>592</v>
      </c>
      <c r="Q4783" s="1">
        <v>1</v>
      </c>
      <c r="R4783" s="1">
        <f>Retail_Sales_Analyis[[#This Row],[Final_Price]]-Retail_Sales_Analyis[[#This Row],[Total_Price]]</f>
        <v>-2524.5400000000009</v>
      </c>
      <c r="S478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4" spans="1:19" x14ac:dyDescent="0.25">
      <c r="A4784" s="1" t="s">
        <v>5919</v>
      </c>
      <c r="B4784" s="2">
        <v>45407</v>
      </c>
      <c r="C4784" s="1" t="s">
        <v>54</v>
      </c>
      <c r="D4784" s="1" t="s">
        <v>67</v>
      </c>
      <c r="E4784" s="1" t="s">
        <v>261</v>
      </c>
      <c r="F4784" s="1" t="s">
        <v>21</v>
      </c>
      <c r="G4784" s="1" t="s">
        <v>78</v>
      </c>
      <c r="H4784" s="1" t="s">
        <v>136</v>
      </c>
      <c r="I4784" s="1">
        <v>507.75</v>
      </c>
      <c r="J4784" s="1">
        <v>2</v>
      </c>
      <c r="K4784" s="1">
        <v>1015.5</v>
      </c>
      <c r="L4784" s="1">
        <v>20</v>
      </c>
      <c r="M4784" s="1">
        <v>203.1</v>
      </c>
      <c r="N4784" s="1">
        <v>812.4</v>
      </c>
      <c r="O4784" s="1" t="s">
        <v>24</v>
      </c>
      <c r="P4784" s="1" t="s">
        <v>1125</v>
      </c>
      <c r="Q4784" s="1">
        <v>2</v>
      </c>
      <c r="R4784" s="1">
        <f>Retail_Sales_Analyis[[#This Row],[Final_Price]]-Retail_Sales_Analyis[[#This Row],[Total_Price]]</f>
        <v>-203.10000000000002</v>
      </c>
      <c r="S478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85" spans="1:19" x14ac:dyDescent="0.25">
      <c r="A4785" s="1" t="s">
        <v>5920</v>
      </c>
      <c r="B4785" s="2">
        <v>45647</v>
      </c>
      <c r="C4785" s="1" t="s">
        <v>73</v>
      </c>
      <c r="D4785" s="1" t="s">
        <v>19</v>
      </c>
      <c r="E4785" s="1" t="s">
        <v>166</v>
      </c>
      <c r="F4785" s="1" t="s">
        <v>37</v>
      </c>
      <c r="G4785" s="1" t="s">
        <v>112</v>
      </c>
      <c r="H4785" s="1" t="s">
        <v>118</v>
      </c>
      <c r="I4785" s="1">
        <v>1064.9100000000001</v>
      </c>
      <c r="J4785" s="1">
        <v>6</v>
      </c>
      <c r="K4785" s="1">
        <v>6389.46</v>
      </c>
      <c r="L4785" s="1">
        <v>15</v>
      </c>
      <c r="M4785" s="1">
        <v>958.42</v>
      </c>
      <c r="N4785" s="1">
        <v>5431.04</v>
      </c>
      <c r="O4785" s="1" t="s">
        <v>33</v>
      </c>
      <c r="P4785" s="1" t="s">
        <v>1228</v>
      </c>
      <c r="Q4785" s="1">
        <v>2</v>
      </c>
      <c r="R4785" s="1">
        <f>Retail_Sales_Analyis[[#This Row],[Final_Price]]-Retail_Sales_Analyis[[#This Row],[Total_Price]]</f>
        <v>-958.42000000000007</v>
      </c>
      <c r="S478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6" spans="1:19" x14ac:dyDescent="0.25">
      <c r="A4786" s="1" t="s">
        <v>5921</v>
      </c>
      <c r="B4786" s="2">
        <v>45468</v>
      </c>
      <c r="C4786" s="1" t="s">
        <v>173</v>
      </c>
      <c r="D4786" s="1" t="s">
        <v>28</v>
      </c>
      <c r="E4786" s="1" t="s">
        <v>163</v>
      </c>
      <c r="F4786" s="1" t="s">
        <v>84</v>
      </c>
      <c r="G4786" s="1" t="s">
        <v>22</v>
      </c>
      <c r="H4786" s="1" t="s">
        <v>187</v>
      </c>
      <c r="I4786" s="1">
        <v>440.07</v>
      </c>
      <c r="J4786" s="1">
        <v>3</v>
      </c>
      <c r="K4786" s="1">
        <v>1320.21</v>
      </c>
      <c r="L4786" s="1">
        <v>0</v>
      </c>
      <c r="M4786" s="1">
        <v>0</v>
      </c>
      <c r="N4786" s="1">
        <v>1320.21</v>
      </c>
      <c r="O4786" s="1" t="s">
        <v>46</v>
      </c>
      <c r="P4786" s="1" t="s">
        <v>447</v>
      </c>
      <c r="Q4786" s="1">
        <v>2</v>
      </c>
      <c r="R4786" s="1">
        <f>Retail_Sales_Analyis[[#This Row],[Final_Price]]-Retail_Sales_Analyis[[#This Row],[Total_Price]]</f>
        <v>0</v>
      </c>
      <c r="S47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87" spans="1:19" x14ac:dyDescent="0.25">
      <c r="A4787" s="1" t="s">
        <v>5922</v>
      </c>
      <c r="B4787" s="2">
        <v>45451</v>
      </c>
      <c r="C4787" s="1" t="s">
        <v>173</v>
      </c>
      <c r="D4787" s="1" t="s">
        <v>19</v>
      </c>
      <c r="E4787" s="1" t="s">
        <v>192</v>
      </c>
      <c r="F4787" s="1" t="s">
        <v>37</v>
      </c>
      <c r="G4787" s="1" t="s">
        <v>112</v>
      </c>
      <c r="H4787" s="1" t="s">
        <v>183</v>
      </c>
      <c r="I4787" s="1">
        <v>1834.38</v>
      </c>
      <c r="J4787" s="1">
        <v>9</v>
      </c>
      <c r="K4787" s="1">
        <v>16509.419999999998</v>
      </c>
      <c r="L4787" s="1">
        <v>5</v>
      </c>
      <c r="M4787" s="1">
        <v>825.47</v>
      </c>
      <c r="N4787" s="1">
        <v>15683.95</v>
      </c>
      <c r="O4787" s="1" t="s">
        <v>24</v>
      </c>
      <c r="P4787" s="1" t="s">
        <v>815</v>
      </c>
      <c r="Q4787" s="1">
        <v>5</v>
      </c>
      <c r="R4787" s="1">
        <f>Retail_Sales_Analyis[[#This Row],[Final_Price]]-Retail_Sales_Analyis[[#This Row],[Total_Price]]</f>
        <v>-825.46999999999753</v>
      </c>
      <c r="S478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88" spans="1:19" x14ac:dyDescent="0.25">
      <c r="A4788" s="1" t="s">
        <v>5923</v>
      </c>
      <c r="B4788" s="2">
        <v>45358</v>
      </c>
      <c r="C4788" s="1" t="s">
        <v>61</v>
      </c>
      <c r="D4788" s="1" t="s">
        <v>67</v>
      </c>
      <c r="E4788" s="1" t="s">
        <v>97</v>
      </c>
      <c r="F4788" s="1" t="s">
        <v>69</v>
      </c>
      <c r="G4788" s="1" t="s">
        <v>112</v>
      </c>
      <c r="H4788" s="1" t="s">
        <v>288</v>
      </c>
      <c r="I4788" s="1">
        <v>649.19000000000005</v>
      </c>
      <c r="J4788" s="1">
        <v>10</v>
      </c>
      <c r="K4788" s="1">
        <v>6491.9</v>
      </c>
      <c r="L4788" s="1">
        <v>15</v>
      </c>
      <c r="M4788" s="1">
        <v>973.78</v>
      </c>
      <c r="N4788" s="1">
        <v>5518.12</v>
      </c>
      <c r="O4788" s="1" t="s">
        <v>64</v>
      </c>
      <c r="P4788" s="1" t="s">
        <v>2551</v>
      </c>
      <c r="Q4788" s="1">
        <v>2</v>
      </c>
      <c r="R4788" s="1">
        <f>Retail_Sales_Analyis[[#This Row],[Final_Price]]-Retail_Sales_Analyis[[#This Row],[Total_Price]]</f>
        <v>-973.77999999999975</v>
      </c>
      <c r="S47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89" spans="1:19" x14ac:dyDescent="0.25">
      <c r="A4789" s="1" t="s">
        <v>5924</v>
      </c>
      <c r="B4789" s="2">
        <v>45344</v>
      </c>
      <c r="C4789" s="1" t="s">
        <v>27</v>
      </c>
      <c r="D4789" s="1" t="s">
        <v>67</v>
      </c>
      <c r="E4789" s="1" t="s">
        <v>104</v>
      </c>
      <c r="F4789" s="1" t="s">
        <v>84</v>
      </c>
      <c r="G4789" s="1" t="s">
        <v>57</v>
      </c>
      <c r="H4789" s="1" t="s">
        <v>58</v>
      </c>
      <c r="I4789" s="1">
        <v>1631.75</v>
      </c>
      <c r="J4789" s="1">
        <v>9</v>
      </c>
      <c r="K4789" s="1">
        <v>14685.75</v>
      </c>
      <c r="L4789" s="1">
        <v>15</v>
      </c>
      <c r="M4789" s="1">
        <v>2202.86</v>
      </c>
      <c r="N4789" s="1">
        <v>12482.89</v>
      </c>
      <c r="O4789" s="1" t="s">
        <v>46</v>
      </c>
      <c r="P4789" s="1" t="s">
        <v>271</v>
      </c>
      <c r="Q4789" s="1">
        <v>5</v>
      </c>
      <c r="R4789" s="1">
        <f>Retail_Sales_Analyis[[#This Row],[Final_Price]]-Retail_Sales_Analyis[[#This Row],[Total_Price]]</f>
        <v>-2202.8600000000006</v>
      </c>
      <c r="S478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90" spans="1:19" x14ac:dyDescent="0.25">
      <c r="A4790" s="1" t="s">
        <v>5925</v>
      </c>
      <c r="B4790" s="2">
        <v>45488</v>
      </c>
      <c r="C4790" s="1" t="s">
        <v>195</v>
      </c>
      <c r="D4790" s="1" t="s">
        <v>43</v>
      </c>
      <c r="E4790" s="1" t="s">
        <v>129</v>
      </c>
      <c r="F4790" s="1" t="s">
        <v>69</v>
      </c>
      <c r="G4790" s="1" t="s">
        <v>38</v>
      </c>
      <c r="H4790" s="1" t="s">
        <v>422</v>
      </c>
      <c r="I4790" s="1">
        <v>246.59</v>
      </c>
      <c r="J4790" s="1">
        <v>8</v>
      </c>
      <c r="K4790" s="1">
        <v>1972.72</v>
      </c>
      <c r="L4790" s="1">
        <v>0</v>
      </c>
      <c r="M4790" s="1">
        <v>0</v>
      </c>
      <c r="N4790" s="1">
        <v>1972.72</v>
      </c>
      <c r="O4790" s="1" t="s">
        <v>24</v>
      </c>
      <c r="P4790" s="1" t="s">
        <v>1791</v>
      </c>
      <c r="Q4790" s="1">
        <v>2</v>
      </c>
      <c r="R4790" s="1">
        <f>Retail_Sales_Analyis[[#This Row],[Final_Price]]-Retail_Sales_Analyis[[#This Row],[Total_Price]]</f>
        <v>0</v>
      </c>
      <c r="S479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91" spans="1:19" x14ac:dyDescent="0.25">
      <c r="A4791" s="1" t="s">
        <v>5926</v>
      </c>
      <c r="B4791" s="2">
        <v>45549</v>
      </c>
      <c r="C4791" s="1" t="s">
        <v>116</v>
      </c>
      <c r="D4791" s="1" t="s">
        <v>19</v>
      </c>
      <c r="E4791" s="1" t="s">
        <v>77</v>
      </c>
      <c r="F4791" s="1" t="s">
        <v>37</v>
      </c>
      <c r="G4791" s="1" t="s">
        <v>31</v>
      </c>
      <c r="H4791" s="1" t="s">
        <v>32</v>
      </c>
      <c r="I4791" s="1">
        <v>434.16</v>
      </c>
      <c r="J4791" s="1">
        <v>4</v>
      </c>
      <c r="K4791" s="1">
        <v>1736.64</v>
      </c>
      <c r="L4791" s="1">
        <v>20</v>
      </c>
      <c r="M4791" s="1">
        <v>347.33</v>
      </c>
      <c r="N4791" s="1">
        <v>1389.31</v>
      </c>
      <c r="O4791" s="1" t="s">
        <v>80</v>
      </c>
      <c r="P4791" s="1" t="s">
        <v>1052</v>
      </c>
      <c r="Q4791" s="1">
        <v>2</v>
      </c>
      <c r="R4791" s="1">
        <f>Retail_Sales_Analyis[[#This Row],[Final_Price]]-Retail_Sales_Analyis[[#This Row],[Total_Price]]</f>
        <v>-347.33000000000015</v>
      </c>
      <c r="S47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92" spans="1:19" x14ac:dyDescent="0.25">
      <c r="A4792" s="1" t="s">
        <v>5927</v>
      </c>
      <c r="B4792" s="2">
        <v>45593</v>
      </c>
      <c r="C4792" s="1" t="s">
        <v>76</v>
      </c>
      <c r="D4792" s="1" t="s">
        <v>43</v>
      </c>
      <c r="E4792" s="1" t="s">
        <v>168</v>
      </c>
      <c r="F4792" s="1" t="s">
        <v>21</v>
      </c>
      <c r="G4792" s="1" t="s">
        <v>169</v>
      </c>
      <c r="H4792" s="1" t="s">
        <v>170</v>
      </c>
      <c r="I4792" s="1">
        <v>365.79</v>
      </c>
      <c r="J4792" s="1">
        <v>5</v>
      </c>
      <c r="K4792" s="1">
        <v>1828.95</v>
      </c>
      <c r="L4792" s="1">
        <v>0</v>
      </c>
      <c r="M4792" s="1">
        <v>0</v>
      </c>
      <c r="N4792" s="1">
        <v>1828.95</v>
      </c>
      <c r="O4792" s="1" t="s">
        <v>80</v>
      </c>
      <c r="P4792" s="1" t="s">
        <v>2718</v>
      </c>
      <c r="Q4792" s="1">
        <v>3</v>
      </c>
      <c r="R4792" s="1">
        <f>Retail_Sales_Analyis[[#This Row],[Final_Price]]-Retail_Sales_Analyis[[#This Row],[Total_Price]]</f>
        <v>0</v>
      </c>
      <c r="S47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93" spans="1:19" x14ac:dyDescent="0.25">
      <c r="A4793" s="1" t="s">
        <v>5928</v>
      </c>
      <c r="B4793" s="2">
        <v>45448</v>
      </c>
      <c r="C4793" s="1" t="s">
        <v>173</v>
      </c>
      <c r="D4793" s="1" t="s">
        <v>55</v>
      </c>
      <c r="E4793" s="1" t="s">
        <v>97</v>
      </c>
      <c r="F4793" s="1" t="s">
        <v>30</v>
      </c>
      <c r="G4793" s="1" t="s">
        <v>31</v>
      </c>
      <c r="H4793" s="1" t="s">
        <v>45</v>
      </c>
      <c r="I4793" s="1">
        <v>485.85</v>
      </c>
      <c r="J4793" s="1">
        <v>6</v>
      </c>
      <c r="K4793" s="1">
        <v>2915.1</v>
      </c>
      <c r="L4793" s="1">
        <v>20</v>
      </c>
      <c r="M4793" s="1">
        <v>583.02</v>
      </c>
      <c r="N4793" s="1">
        <v>2332.08</v>
      </c>
      <c r="O4793" s="1" t="s">
        <v>33</v>
      </c>
      <c r="P4793" s="1" t="s">
        <v>1299</v>
      </c>
      <c r="Q4793" s="1">
        <v>5</v>
      </c>
      <c r="R4793" s="1">
        <f>Retail_Sales_Analyis[[#This Row],[Final_Price]]-Retail_Sales_Analyis[[#This Row],[Total_Price]]</f>
        <v>-583.02</v>
      </c>
      <c r="S479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94" spans="1:19" x14ac:dyDescent="0.25">
      <c r="A4794" s="1" t="s">
        <v>5929</v>
      </c>
      <c r="B4794" s="2">
        <v>45377</v>
      </c>
      <c r="C4794" s="1" t="s">
        <v>61</v>
      </c>
      <c r="D4794" s="1" t="s">
        <v>28</v>
      </c>
      <c r="E4794" s="1" t="s">
        <v>199</v>
      </c>
      <c r="F4794" s="1" t="s">
        <v>69</v>
      </c>
      <c r="G4794" s="1" t="s">
        <v>169</v>
      </c>
      <c r="H4794" s="1" t="s">
        <v>170</v>
      </c>
      <c r="I4794" s="1">
        <v>445.84</v>
      </c>
      <c r="J4794" s="1">
        <v>1</v>
      </c>
      <c r="K4794" s="1">
        <v>445.84</v>
      </c>
      <c r="L4794" s="1">
        <v>0</v>
      </c>
      <c r="M4794" s="1">
        <v>0</v>
      </c>
      <c r="N4794" s="1">
        <v>445.84</v>
      </c>
      <c r="O4794" s="1" t="s">
        <v>80</v>
      </c>
      <c r="P4794" s="1" t="s">
        <v>794</v>
      </c>
      <c r="Q4794" s="1">
        <v>4</v>
      </c>
      <c r="R4794" s="1">
        <f>Retail_Sales_Analyis[[#This Row],[Final_Price]]-Retail_Sales_Analyis[[#This Row],[Total_Price]]</f>
        <v>0</v>
      </c>
      <c r="S47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95" spans="1:19" x14ac:dyDescent="0.25">
      <c r="A4795" s="1" t="s">
        <v>5930</v>
      </c>
      <c r="B4795" s="2">
        <v>45325</v>
      </c>
      <c r="C4795" s="1" t="s">
        <v>27</v>
      </c>
      <c r="D4795" s="1" t="s">
        <v>19</v>
      </c>
      <c r="E4795" s="1" t="s">
        <v>168</v>
      </c>
      <c r="F4795" s="1" t="s">
        <v>69</v>
      </c>
      <c r="G4795" s="1" t="s">
        <v>169</v>
      </c>
      <c r="H4795" s="1" t="s">
        <v>366</v>
      </c>
      <c r="I4795" s="1">
        <v>425.76</v>
      </c>
      <c r="J4795" s="1">
        <v>3</v>
      </c>
      <c r="K4795" s="1">
        <v>1277.28</v>
      </c>
      <c r="L4795" s="1">
        <v>5</v>
      </c>
      <c r="M4795" s="1">
        <v>63.86</v>
      </c>
      <c r="N4795" s="1">
        <v>1213.42</v>
      </c>
      <c r="O4795" s="1" t="s">
        <v>46</v>
      </c>
      <c r="P4795" s="1" t="s">
        <v>1117</v>
      </c>
      <c r="Q4795" s="1">
        <v>5</v>
      </c>
      <c r="R4795" s="1">
        <f>Retail_Sales_Analyis[[#This Row],[Final_Price]]-Retail_Sales_Analyis[[#This Row],[Total_Price]]</f>
        <v>-63.8599999999999</v>
      </c>
      <c r="S479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796" spans="1:19" x14ac:dyDescent="0.25">
      <c r="A4796" s="1" t="s">
        <v>5931</v>
      </c>
      <c r="B4796" s="2">
        <v>45315</v>
      </c>
      <c r="C4796" s="1" t="s">
        <v>36</v>
      </c>
      <c r="D4796" s="1" t="s">
        <v>55</v>
      </c>
      <c r="E4796" s="1" t="s">
        <v>68</v>
      </c>
      <c r="F4796" s="1" t="s">
        <v>37</v>
      </c>
      <c r="G4796" s="1" t="s">
        <v>22</v>
      </c>
      <c r="H4796" s="1" t="s">
        <v>133</v>
      </c>
      <c r="I4796" s="1">
        <v>373.76</v>
      </c>
      <c r="J4796" s="1">
        <v>3</v>
      </c>
      <c r="K4796" s="1">
        <v>1121.28</v>
      </c>
      <c r="L4796" s="1">
        <v>15</v>
      </c>
      <c r="M4796" s="1">
        <v>168.19</v>
      </c>
      <c r="N4796" s="1">
        <v>953.09</v>
      </c>
      <c r="O4796" s="1" t="s">
        <v>64</v>
      </c>
      <c r="P4796" s="1" t="s">
        <v>1683</v>
      </c>
      <c r="Q4796" s="1">
        <v>1</v>
      </c>
      <c r="R4796" s="1">
        <f>Retail_Sales_Analyis[[#This Row],[Final_Price]]-Retail_Sales_Analyis[[#This Row],[Total_Price]]</f>
        <v>-168.18999999999994</v>
      </c>
      <c r="S479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797" spans="1:19" x14ac:dyDescent="0.25">
      <c r="A4797" s="1" t="s">
        <v>5932</v>
      </c>
      <c r="B4797" s="2">
        <v>45444</v>
      </c>
      <c r="C4797" s="1" t="s">
        <v>173</v>
      </c>
      <c r="D4797" s="1" t="s">
        <v>19</v>
      </c>
      <c r="E4797" s="1" t="s">
        <v>68</v>
      </c>
      <c r="F4797" s="1" t="s">
        <v>69</v>
      </c>
      <c r="G4797" s="1" t="s">
        <v>169</v>
      </c>
      <c r="H4797" s="1" t="s">
        <v>348</v>
      </c>
      <c r="I4797" s="1">
        <v>1243.8599999999999</v>
      </c>
      <c r="J4797" s="1">
        <v>1</v>
      </c>
      <c r="K4797" s="1">
        <v>1243.8599999999999</v>
      </c>
      <c r="L4797" s="1">
        <v>0</v>
      </c>
      <c r="M4797" s="1">
        <v>0</v>
      </c>
      <c r="N4797" s="1">
        <v>1243.8599999999999</v>
      </c>
      <c r="O4797" s="1" t="s">
        <v>64</v>
      </c>
      <c r="P4797" s="1" t="s">
        <v>315</v>
      </c>
      <c r="Q4797" s="1">
        <v>2</v>
      </c>
      <c r="R4797" s="1">
        <f>Retail_Sales_Analyis[[#This Row],[Final_Price]]-Retail_Sales_Analyis[[#This Row],[Total_Price]]</f>
        <v>0</v>
      </c>
      <c r="S479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798" spans="1:19" x14ac:dyDescent="0.25">
      <c r="A4798" s="1" t="s">
        <v>5933</v>
      </c>
      <c r="B4798" s="2">
        <v>45440</v>
      </c>
      <c r="C4798" s="1" t="s">
        <v>42</v>
      </c>
      <c r="D4798" s="1" t="s">
        <v>28</v>
      </c>
      <c r="E4798" s="1" t="s">
        <v>166</v>
      </c>
      <c r="F4798" s="1" t="s">
        <v>84</v>
      </c>
      <c r="G4798" s="1" t="s">
        <v>78</v>
      </c>
      <c r="H4798" s="1" t="s">
        <v>126</v>
      </c>
      <c r="I4798" s="1">
        <v>395</v>
      </c>
      <c r="J4798" s="1">
        <v>2</v>
      </c>
      <c r="K4798" s="1">
        <v>790</v>
      </c>
      <c r="L4798" s="1">
        <v>20</v>
      </c>
      <c r="M4798" s="1">
        <v>158</v>
      </c>
      <c r="N4798" s="1">
        <v>632</v>
      </c>
      <c r="O4798" s="1" t="s">
        <v>24</v>
      </c>
      <c r="P4798" s="1" t="s">
        <v>2204</v>
      </c>
      <c r="Q4798" s="1">
        <v>5</v>
      </c>
      <c r="R4798" s="1">
        <f>Retail_Sales_Analyis[[#This Row],[Final_Price]]-Retail_Sales_Analyis[[#This Row],[Total_Price]]</f>
        <v>-158</v>
      </c>
      <c r="S479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799" spans="1:19" x14ac:dyDescent="0.25">
      <c r="A4799" s="1" t="s">
        <v>5934</v>
      </c>
      <c r="B4799" s="2">
        <v>45525</v>
      </c>
      <c r="C4799" s="1" t="s">
        <v>93</v>
      </c>
      <c r="D4799" s="1" t="s">
        <v>55</v>
      </c>
      <c r="E4799" s="1" t="s">
        <v>121</v>
      </c>
      <c r="F4799" s="1" t="s">
        <v>30</v>
      </c>
      <c r="G4799" s="1" t="s">
        <v>85</v>
      </c>
      <c r="H4799" s="1" t="s">
        <v>297</v>
      </c>
      <c r="I4799" s="1">
        <v>2658.02</v>
      </c>
      <c r="J4799" s="1">
        <v>1</v>
      </c>
      <c r="K4799" s="1">
        <v>2658.02</v>
      </c>
      <c r="L4799" s="1">
        <v>20</v>
      </c>
      <c r="M4799" s="1">
        <v>531.6</v>
      </c>
      <c r="N4799" s="1">
        <v>2126.42</v>
      </c>
      <c r="O4799" s="1" t="s">
        <v>46</v>
      </c>
      <c r="P4799" s="1" t="s">
        <v>611</v>
      </c>
      <c r="Q4799" s="1">
        <v>1</v>
      </c>
      <c r="R4799" s="1">
        <f>Retail_Sales_Analyis[[#This Row],[Final_Price]]-Retail_Sales_Analyis[[#This Row],[Total_Price]]</f>
        <v>-531.59999999999991</v>
      </c>
      <c r="S479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00" spans="1:19" x14ac:dyDescent="0.25">
      <c r="A4800" s="1" t="s">
        <v>5935</v>
      </c>
      <c r="B4800" s="2">
        <v>45558</v>
      </c>
      <c r="C4800" s="1" t="s">
        <v>116</v>
      </c>
      <c r="D4800" s="1" t="s">
        <v>43</v>
      </c>
      <c r="E4800" s="1" t="s">
        <v>157</v>
      </c>
      <c r="F4800" s="1" t="s">
        <v>84</v>
      </c>
      <c r="G4800" s="1" t="s">
        <v>31</v>
      </c>
      <c r="H4800" s="1" t="s">
        <v>250</v>
      </c>
      <c r="I4800" s="1">
        <v>444.57</v>
      </c>
      <c r="J4800" s="1">
        <v>2</v>
      </c>
      <c r="K4800" s="1">
        <v>889.14</v>
      </c>
      <c r="L4800" s="1">
        <v>10</v>
      </c>
      <c r="M4800" s="1">
        <v>88.91</v>
      </c>
      <c r="N4800" s="1">
        <v>800.23</v>
      </c>
      <c r="O4800" s="1" t="s">
        <v>80</v>
      </c>
      <c r="P4800" s="1" t="s">
        <v>2748</v>
      </c>
      <c r="Q4800" s="1">
        <v>1</v>
      </c>
      <c r="R4800" s="1">
        <f>Retail_Sales_Analyis[[#This Row],[Final_Price]]-Retail_Sales_Analyis[[#This Row],[Total_Price]]</f>
        <v>-88.909999999999968</v>
      </c>
      <c r="S48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01" spans="1:19" x14ac:dyDescent="0.25">
      <c r="A4801" s="1" t="s">
        <v>5936</v>
      </c>
      <c r="B4801" s="2">
        <v>45597</v>
      </c>
      <c r="C4801" s="1" t="s">
        <v>18</v>
      </c>
      <c r="D4801" s="1" t="s">
        <v>144</v>
      </c>
      <c r="E4801" s="1" t="s">
        <v>89</v>
      </c>
      <c r="F4801" s="1" t="s">
        <v>21</v>
      </c>
      <c r="G4801" s="1" t="s">
        <v>57</v>
      </c>
      <c r="H4801" s="1" t="s">
        <v>152</v>
      </c>
      <c r="I4801" s="1">
        <v>2815.72</v>
      </c>
      <c r="J4801" s="1">
        <v>1</v>
      </c>
      <c r="K4801" s="1">
        <v>2815.72</v>
      </c>
      <c r="L4801" s="1">
        <v>20</v>
      </c>
      <c r="M4801" s="1">
        <v>563.14</v>
      </c>
      <c r="N4801" s="1">
        <v>2252.58</v>
      </c>
      <c r="O4801" s="1" t="s">
        <v>24</v>
      </c>
      <c r="P4801" s="1" t="s">
        <v>564</v>
      </c>
      <c r="Q4801" s="1">
        <v>4</v>
      </c>
      <c r="R4801" s="1">
        <f>Retail_Sales_Analyis[[#This Row],[Final_Price]]-Retail_Sales_Analyis[[#This Row],[Total_Price]]</f>
        <v>-563.13999999999987</v>
      </c>
      <c r="S480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02" spans="1:19" x14ac:dyDescent="0.25">
      <c r="A4802" s="1" t="s">
        <v>5937</v>
      </c>
      <c r="B4802" s="2">
        <v>45560</v>
      </c>
      <c r="C4802" s="1" t="s">
        <v>116</v>
      </c>
      <c r="D4802" s="1" t="s">
        <v>55</v>
      </c>
      <c r="E4802" s="1" t="s">
        <v>20</v>
      </c>
      <c r="F4802" s="1" t="s">
        <v>37</v>
      </c>
      <c r="G4802" s="1" t="s">
        <v>78</v>
      </c>
      <c r="H4802" s="1" t="s">
        <v>79</v>
      </c>
      <c r="I4802" s="1">
        <v>251.48</v>
      </c>
      <c r="J4802" s="1">
        <v>3</v>
      </c>
      <c r="K4802" s="1">
        <v>754.44</v>
      </c>
      <c r="L4802" s="1">
        <v>0</v>
      </c>
      <c r="M4802" s="1">
        <v>0</v>
      </c>
      <c r="N4802" s="1">
        <v>754.44</v>
      </c>
      <c r="O4802" s="1" t="s">
        <v>64</v>
      </c>
      <c r="P4802" s="1" t="s">
        <v>2418</v>
      </c>
      <c r="Q4802" s="1">
        <v>5</v>
      </c>
      <c r="R4802" s="1">
        <f>Retail_Sales_Analyis[[#This Row],[Final_Price]]-Retail_Sales_Analyis[[#This Row],[Total_Price]]</f>
        <v>0</v>
      </c>
      <c r="S480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03" spans="1:19" x14ac:dyDescent="0.25">
      <c r="A4803" s="1" t="s">
        <v>5938</v>
      </c>
      <c r="B4803" s="2">
        <v>45464</v>
      </c>
      <c r="C4803" s="1" t="s">
        <v>173</v>
      </c>
      <c r="D4803" s="1" t="s">
        <v>144</v>
      </c>
      <c r="E4803" s="1" t="s">
        <v>239</v>
      </c>
      <c r="F4803" s="1" t="s">
        <v>84</v>
      </c>
      <c r="G4803" s="1" t="s">
        <v>57</v>
      </c>
      <c r="H4803" s="1" t="s">
        <v>58</v>
      </c>
      <c r="I4803" s="1">
        <v>2873.97</v>
      </c>
      <c r="J4803" s="1">
        <v>3</v>
      </c>
      <c r="K4803" s="1">
        <v>8621.91</v>
      </c>
      <c r="L4803" s="1">
        <v>0</v>
      </c>
      <c r="M4803" s="1">
        <v>0</v>
      </c>
      <c r="N4803" s="1">
        <v>8621.91</v>
      </c>
      <c r="O4803" s="1" t="s">
        <v>80</v>
      </c>
      <c r="P4803" s="1" t="s">
        <v>741</v>
      </c>
      <c r="Q4803" s="1">
        <v>5</v>
      </c>
      <c r="R4803" s="1">
        <f>Retail_Sales_Analyis[[#This Row],[Final_Price]]-Retail_Sales_Analyis[[#This Row],[Total_Price]]</f>
        <v>0</v>
      </c>
      <c r="S480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04" spans="1:19" x14ac:dyDescent="0.25">
      <c r="A4804" s="1" t="s">
        <v>5939</v>
      </c>
      <c r="B4804" s="2">
        <v>45514</v>
      </c>
      <c r="C4804" s="1" t="s">
        <v>93</v>
      </c>
      <c r="D4804" s="1" t="s">
        <v>19</v>
      </c>
      <c r="E4804" s="1" t="s">
        <v>239</v>
      </c>
      <c r="F4804" s="1" t="s">
        <v>21</v>
      </c>
      <c r="G4804" s="1" t="s">
        <v>112</v>
      </c>
      <c r="H4804" s="1" t="s">
        <v>223</v>
      </c>
      <c r="I4804" s="1">
        <v>1798.37</v>
      </c>
      <c r="J4804" s="1">
        <v>5</v>
      </c>
      <c r="K4804" s="1">
        <v>8991.85</v>
      </c>
      <c r="L4804" s="1">
        <v>5</v>
      </c>
      <c r="M4804" s="1">
        <v>449.59</v>
      </c>
      <c r="N4804" s="1">
        <v>8542.26</v>
      </c>
      <c r="O4804" s="1" t="s">
        <v>80</v>
      </c>
      <c r="P4804" s="1" t="s">
        <v>896</v>
      </c>
      <c r="Q4804" s="1">
        <v>4</v>
      </c>
      <c r="R4804" s="1">
        <f>Retail_Sales_Analyis[[#This Row],[Final_Price]]-Retail_Sales_Analyis[[#This Row],[Total_Price]]</f>
        <v>-449.59000000000015</v>
      </c>
      <c r="S480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05" spans="1:19" x14ac:dyDescent="0.25">
      <c r="A4805" s="1" t="s">
        <v>5940</v>
      </c>
      <c r="B4805" s="2">
        <v>45643</v>
      </c>
      <c r="C4805" s="1" t="s">
        <v>73</v>
      </c>
      <c r="D4805" s="1" t="s">
        <v>28</v>
      </c>
      <c r="E4805" s="1" t="s">
        <v>342</v>
      </c>
      <c r="F4805" s="1" t="s">
        <v>30</v>
      </c>
      <c r="G4805" s="1" t="s">
        <v>22</v>
      </c>
      <c r="H4805" s="1" t="s">
        <v>133</v>
      </c>
      <c r="I4805" s="1">
        <v>948.54</v>
      </c>
      <c r="J4805" s="1">
        <v>8</v>
      </c>
      <c r="K4805" s="1">
        <v>7588.32</v>
      </c>
      <c r="L4805" s="1">
        <v>0</v>
      </c>
      <c r="M4805" s="1">
        <v>0</v>
      </c>
      <c r="N4805" s="1">
        <v>7588.32</v>
      </c>
      <c r="O4805" s="1" t="s">
        <v>33</v>
      </c>
      <c r="P4805" s="1" t="s">
        <v>197</v>
      </c>
      <c r="Q4805" s="1">
        <v>2</v>
      </c>
      <c r="R4805" s="1">
        <f>Retail_Sales_Analyis[[#This Row],[Final_Price]]-Retail_Sales_Analyis[[#This Row],[Total_Price]]</f>
        <v>0</v>
      </c>
      <c r="S480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06" spans="1:19" x14ac:dyDescent="0.25">
      <c r="A4806" s="1" t="s">
        <v>5941</v>
      </c>
      <c r="B4806" s="2">
        <v>45360</v>
      </c>
      <c r="C4806" s="1" t="s">
        <v>61</v>
      </c>
      <c r="D4806" s="1" t="s">
        <v>19</v>
      </c>
      <c r="E4806" s="1" t="s">
        <v>125</v>
      </c>
      <c r="F4806" s="1" t="s">
        <v>21</v>
      </c>
      <c r="G4806" s="1" t="s">
        <v>112</v>
      </c>
      <c r="H4806" s="1" t="s">
        <v>183</v>
      </c>
      <c r="I4806" s="1">
        <v>1933.89</v>
      </c>
      <c r="J4806" s="1">
        <v>1</v>
      </c>
      <c r="K4806" s="1">
        <v>1933.89</v>
      </c>
      <c r="L4806" s="1">
        <v>5</v>
      </c>
      <c r="M4806" s="1">
        <v>96.69</v>
      </c>
      <c r="N4806" s="1">
        <v>1837.2</v>
      </c>
      <c r="O4806" s="1" t="s">
        <v>64</v>
      </c>
      <c r="P4806" s="1" t="s">
        <v>178</v>
      </c>
      <c r="Q4806" s="1">
        <v>3</v>
      </c>
      <c r="R4806" s="1">
        <f>Retail_Sales_Analyis[[#This Row],[Final_Price]]-Retail_Sales_Analyis[[#This Row],[Total_Price]]</f>
        <v>-96.690000000000055</v>
      </c>
      <c r="S48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07" spans="1:19" x14ac:dyDescent="0.25">
      <c r="A4807" s="1" t="s">
        <v>5942</v>
      </c>
      <c r="B4807" s="2">
        <v>45467</v>
      </c>
      <c r="C4807" s="1" t="s">
        <v>173</v>
      </c>
      <c r="D4807" s="1" t="s">
        <v>43</v>
      </c>
      <c r="E4807" s="1" t="s">
        <v>68</v>
      </c>
      <c r="F4807" s="1" t="s">
        <v>30</v>
      </c>
      <c r="G4807" s="1" t="s">
        <v>57</v>
      </c>
      <c r="H4807" s="1" t="s">
        <v>158</v>
      </c>
      <c r="I4807" s="1">
        <v>276.22000000000003</v>
      </c>
      <c r="J4807" s="1">
        <v>7</v>
      </c>
      <c r="K4807" s="1">
        <v>1933.54</v>
      </c>
      <c r="L4807" s="1">
        <v>15</v>
      </c>
      <c r="M4807" s="1">
        <v>290.02999999999997</v>
      </c>
      <c r="N4807" s="1">
        <v>1643.51</v>
      </c>
      <c r="O4807" s="1" t="s">
        <v>64</v>
      </c>
      <c r="P4807" s="1" t="s">
        <v>3610</v>
      </c>
      <c r="Q4807" s="1">
        <v>4</v>
      </c>
      <c r="R4807" s="1">
        <f>Retail_Sales_Analyis[[#This Row],[Final_Price]]-Retail_Sales_Analyis[[#This Row],[Total_Price]]</f>
        <v>-290.02999999999997</v>
      </c>
      <c r="S48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08" spans="1:19" x14ac:dyDescent="0.25">
      <c r="A4808" s="1" t="s">
        <v>5943</v>
      </c>
      <c r="B4808" s="2">
        <v>45542</v>
      </c>
      <c r="C4808" s="1" t="s">
        <v>116</v>
      </c>
      <c r="D4808" s="1" t="s">
        <v>19</v>
      </c>
      <c r="E4808" s="1" t="s">
        <v>44</v>
      </c>
      <c r="F4808" s="1" t="s">
        <v>21</v>
      </c>
      <c r="G4808" s="1" t="s">
        <v>169</v>
      </c>
      <c r="H4808" s="1" t="s">
        <v>208</v>
      </c>
      <c r="I4808" s="1">
        <v>674.77</v>
      </c>
      <c r="J4808" s="1">
        <v>10</v>
      </c>
      <c r="K4808" s="1">
        <v>6747.7</v>
      </c>
      <c r="L4808" s="1">
        <v>0</v>
      </c>
      <c r="M4808" s="1">
        <v>0</v>
      </c>
      <c r="N4808" s="1">
        <v>6747.7</v>
      </c>
      <c r="O4808" s="1" t="s">
        <v>33</v>
      </c>
      <c r="P4808" s="1" t="s">
        <v>1557</v>
      </c>
      <c r="Q4808" s="1">
        <v>1</v>
      </c>
      <c r="R4808" s="1">
        <f>Retail_Sales_Analyis[[#This Row],[Final_Price]]-Retail_Sales_Analyis[[#This Row],[Total_Price]]</f>
        <v>0</v>
      </c>
      <c r="S480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09" spans="1:19" x14ac:dyDescent="0.25">
      <c r="A4809" s="1" t="s">
        <v>5944</v>
      </c>
      <c r="B4809" s="2">
        <v>45475</v>
      </c>
      <c r="C4809" s="1" t="s">
        <v>195</v>
      </c>
      <c r="D4809" s="1" t="s">
        <v>28</v>
      </c>
      <c r="E4809" s="1" t="s">
        <v>104</v>
      </c>
      <c r="F4809" s="1" t="s">
        <v>21</v>
      </c>
      <c r="G4809" s="1" t="s">
        <v>78</v>
      </c>
      <c r="H4809" s="1" t="s">
        <v>79</v>
      </c>
      <c r="I4809" s="1">
        <v>514.55999999999995</v>
      </c>
      <c r="J4809" s="1">
        <v>6</v>
      </c>
      <c r="K4809" s="1">
        <v>3087.36</v>
      </c>
      <c r="L4809" s="1">
        <v>0</v>
      </c>
      <c r="M4809" s="1">
        <v>0</v>
      </c>
      <c r="N4809" s="1">
        <v>3087.36</v>
      </c>
      <c r="O4809" s="1" t="s">
        <v>64</v>
      </c>
      <c r="P4809" s="1" t="s">
        <v>1155</v>
      </c>
      <c r="Q4809" s="1">
        <v>2</v>
      </c>
      <c r="R4809" s="1">
        <f>Retail_Sales_Analyis[[#This Row],[Final_Price]]-Retail_Sales_Analyis[[#This Row],[Total_Price]]</f>
        <v>0</v>
      </c>
      <c r="S480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0" spans="1:19" x14ac:dyDescent="0.25">
      <c r="A4810" s="1" t="s">
        <v>5945</v>
      </c>
      <c r="B4810" s="2">
        <v>45388</v>
      </c>
      <c r="C4810" s="1" t="s">
        <v>54</v>
      </c>
      <c r="D4810" s="1" t="s">
        <v>19</v>
      </c>
      <c r="E4810" s="1" t="s">
        <v>157</v>
      </c>
      <c r="F4810" s="1" t="s">
        <v>69</v>
      </c>
      <c r="G4810" s="1" t="s">
        <v>22</v>
      </c>
      <c r="H4810" s="1" t="s">
        <v>51</v>
      </c>
      <c r="I4810" s="1">
        <v>362.41</v>
      </c>
      <c r="J4810" s="1">
        <v>10</v>
      </c>
      <c r="K4810" s="1">
        <v>3624.1</v>
      </c>
      <c r="L4810" s="1">
        <v>20</v>
      </c>
      <c r="M4810" s="1">
        <v>724.82</v>
      </c>
      <c r="N4810" s="1">
        <v>2899.28</v>
      </c>
      <c r="O4810" s="1" t="s">
        <v>64</v>
      </c>
      <c r="P4810" s="1" t="s">
        <v>1117</v>
      </c>
      <c r="Q4810" s="1">
        <v>3</v>
      </c>
      <c r="R4810" s="1">
        <f>Retail_Sales_Analyis[[#This Row],[Final_Price]]-Retail_Sales_Analyis[[#This Row],[Total_Price]]</f>
        <v>-724.81999999999971</v>
      </c>
      <c r="S481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11" spans="1:19" x14ac:dyDescent="0.25">
      <c r="A4811" s="1" t="s">
        <v>5946</v>
      </c>
      <c r="B4811" s="2">
        <v>45376</v>
      </c>
      <c r="C4811" s="1" t="s">
        <v>61</v>
      </c>
      <c r="D4811" s="1" t="s">
        <v>43</v>
      </c>
      <c r="E4811" s="1" t="s">
        <v>29</v>
      </c>
      <c r="F4811" s="1" t="s">
        <v>84</v>
      </c>
      <c r="G4811" s="1" t="s">
        <v>169</v>
      </c>
      <c r="H4811" s="1" t="s">
        <v>366</v>
      </c>
      <c r="I4811" s="1">
        <v>705.56</v>
      </c>
      <c r="J4811" s="1">
        <v>7</v>
      </c>
      <c r="K4811" s="1">
        <v>4938.92</v>
      </c>
      <c r="L4811" s="1">
        <v>5</v>
      </c>
      <c r="M4811" s="1">
        <v>246.95</v>
      </c>
      <c r="N4811" s="1">
        <v>4691.97</v>
      </c>
      <c r="O4811" s="1" t="s">
        <v>46</v>
      </c>
      <c r="P4811" s="1" t="s">
        <v>3647</v>
      </c>
      <c r="Q4811" s="1">
        <v>2</v>
      </c>
      <c r="R4811" s="1">
        <f>Retail_Sales_Analyis[[#This Row],[Final_Price]]-Retail_Sales_Analyis[[#This Row],[Total_Price]]</f>
        <v>-246.94999999999982</v>
      </c>
      <c r="S481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12" spans="1:19" x14ac:dyDescent="0.25">
      <c r="A4812" s="1" t="s">
        <v>5947</v>
      </c>
      <c r="B4812" s="2">
        <v>45498</v>
      </c>
      <c r="C4812" s="1" t="s">
        <v>195</v>
      </c>
      <c r="D4812" s="1" t="s">
        <v>67</v>
      </c>
      <c r="E4812" s="1" t="s">
        <v>186</v>
      </c>
      <c r="F4812" s="1" t="s">
        <v>21</v>
      </c>
      <c r="G4812" s="1" t="s">
        <v>57</v>
      </c>
      <c r="H4812" s="1" t="s">
        <v>58</v>
      </c>
      <c r="I4812" s="1">
        <v>830.81</v>
      </c>
      <c r="J4812" s="1">
        <v>9</v>
      </c>
      <c r="K4812" s="1">
        <v>7477.29</v>
      </c>
      <c r="L4812" s="1">
        <v>0</v>
      </c>
      <c r="M4812" s="1">
        <v>0</v>
      </c>
      <c r="N4812" s="1">
        <v>7477.29</v>
      </c>
      <c r="O4812" s="1" t="s">
        <v>33</v>
      </c>
      <c r="P4812" s="1" t="s">
        <v>1675</v>
      </c>
      <c r="Q4812" s="1">
        <v>3</v>
      </c>
      <c r="R4812" s="1">
        <f>Retail_Sales_Analyis[[#This Row],[Final_Price]]-Retail_Sales_Analyis[[#This Row],[Total_Price]]</f>
        <v>0</v>
      </c>
      <c r="S48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3" spans="1:19" x14ac:dyDescent="0.25">
      <c r="A4813" s="1" t="s">
        <v>5948</v>
      </c>
      <c r="B4813" s="2">
        <v>45301</v>
      </c>
      <c r="C4813" s="1" t="s">
        <v>36</v>
      </c>
      <c r="D4813" s="1" t="s">
        <v>55</v>
      </c>
      <c r="E4813" s="1" t="s">
        <v>163</v>
      </c>
      <c r="F4813" s="1" t="s">
        <v>30</v>
      </c>
      <c r="G4813" s="1" t="s">
        <v>169</v>
      </c>
      <c r="H4813" s="1" t="s">
        <v>170</v>
      </c>
      <c r="I4813" s="1">
        <v>684.1</v>
      </c>
      <c r="J4813" s="1">
        <v>9</v>
      </c>
      <c r="K4813" s="1">
        <v>6156.9</v>
      </c>
      <c r="L4813" s="1">
        <v>0</v>
      </c>
      <c r="M4813" s="1">
        <v>0</v>
      </c>
      <c r="N4813" s="1">
        <v>6156.9</v>
      </c>
      <c r="O4813" s="1" t="s">
        <v>24</v>
      </c>
      <c r="P4813" s="1" t="s">
        <v>2691</v>
      </c>
      <c r="Q4813" s="1">
        <v>1</v>
      </c>
      <c r="R4813" s="1">
        <f>Retail_Sales_Analyis[[#This Row],[Final_Price]]-Retail_Sales_Analyis[[#This Row],[Total_Price]]</f>
        <v>0</v>
      </c>
      <c r="S48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4" spans="1:19" x14ac:dyDescent="0.25">
      <c r="A4814" s="1" t="s">
        <v>5949</v>
      </c>
      <c r="B4814" s="2">
        <v>45408</v>
      </c>
      <c r="C4814" s="1" t="s">
        <v>54</v>
      </c>
      <c r="D4814" s="1" t="s">
        <v>144</v>
      </c>
      <c r="E4814" s="1" t="s">
        <v>97</v>
      </c>
      <c r="F4814" s="1" t="s">
        <v>30</v>
      </c>
      <c r="G4814" s="1" t="s">
        <v>22</v>
      </c>
      <c r="H4814" s="1" t="s">
        <v>23</v>
      </c>
      <c r="I4814" s="1">
        <v>745.33</v>
      </c>
      <c r="J4814" s="1">
        <v>8</v>
      </c>
      <c r="K4814" s="1">
        <v>5962.64</v>
      </c>
      <c r="L4814" s="1">
        <v>0</v>
      </c>
      <c r="M4814" s="1">
        <v>0</v>
      </c>
      <c r="N4814" s="1">
        <v>5962.64</v>
      </c>
      <c r="O4814" s="1" t="s">
        <v>24</v>
      </c>
      <c r="P4814" s="1" t="s">
        <v>777</v>
      </c>
      <c r="Q4814" s="1">
        <v>1</v>
      </c>
      <c r="R4814" s="1">
        <f>Retail_Sales_Analyis[[#This Row],[Final_Price]]-Retail_Sales_Analyis[[#This Row],[Total_Price]]</f>
        <v>0</v>
      </c>
      <c r="S48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5" spans="1:19" x14ac:dyDescent="0.25">
      <c r="A4815" s="1" t="s">
        <v>5950</v>
      </c>
      <c r="B4815" s="2">
        <v>45406</v>
      </c>
      <c r="C4815" s="1" t="s">
        <v>54</v>
      </c>
      <c r="D4815" s="1" t="s">
        <v>55</v>
      </c>
      <c r="E4815" s="1" t="s">
        <v>196</v>
      </c>
      <c r="F4815" s="1" t="s">
        <v>30</v>
      </c>
      <c r="G4815" s="1" t="s">
        <v>57</v>
      </c>
      <c r="H4815" s="1" t="s">
        <v>152</v>
      </c>
      <c r="I4815" s="1">
        <v>950.37</v>
      </c>
      <c r="J4815" s="1">
        <v>6</v>
      </c>
      <c r="K4815" s="1">
        <v>5702.22</v>
      </c>
      <c r="L4815" s="1">
        <v>0</v>
      </c>
      <c r="M4815" s="1">
        <v>0</v>
      </c>
      <c r="N4815" s="1">
        <v>5702.22</v>
      </c>
      <c r="O4815" s="1" t="s">
        <v>24</v>
      </c>
      <c r="P4815" s="1" t="s">
        <v>770</v>
      </c>
      <c r="Q4815" s="1">
        <v>2</v>
      </c>
      <c r="R4815" s="1">
        <f>Retail_Sales_Analyis[[#This Row],[Final_Price]]-Retail_Sales_Analyis[[#This Row],[Total_Price]]</f>
        <v>0</v>
      </c>
      <c r="S481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6" spans="1:19" x14ac:dyDescent="0.25">
      <c r="A4816" s="1" t="s">
        <v>5951</v>
      </c>
      <c r="B4816" s="2">
        <v>45359</v>
      </c>
      <c r="C4816" s="1" t="s">
        <v>61</v>
      </c>
      <c r="D4816" s="1" t="s">
        <v>144</v>
      </c>
      <c r="E4816" s="1" t="s">
        <v>111</v>
      </c>
      <c r="F4816" s="1" t="s">
        <v>37</v>
      </c>
      <c r="G4816" s="1" t="s">
        <v>78</v>
      </c>
      <c r="H4816" s="1" t="s">
        <v>323</v>
      </c>
      <c r="I4816" s="1">
        <v>379.89</v>
      </c>
      <c r="J4816" s="1">
        <v>5</v>
      </c>
      <c r="K4816" s="1">
        <v>1899.45</v>
      </c>
      <c r="L4816" s="1">
        <v>5</v>
      </c>
      <c r="M4816" s="1">
        <v>94.97</v>
      </c>
      <c r="N4816" s="1">
        <v>1804.48</v>
      </c>
      <c r="O4816" s="1" t="s">
        <v>46</v>
      </c>
      <c r="P4816" s="1" t="s">
        <v>2572</v>
      </c>
      <c r="Q4816" s="1">
        <v>2</v>
      </c>
      <c r="R4816" s="1">
        <f>Retail_Sales_Analyis[[#This Row],[Final_Price]]-Retail_Sales_Analyis[[#This Row],[Total_Price]]</f>
        <v>-94.970000000000027</v>
      </c>
      <c r="S481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17" spans="1:19" x14ac:dyDescent="0.25">
      <c r="A4817" s="1" t="s">
        <v>5952</v>
      </c>
      <c r="B4817" s="2">
        <v>45400</v>
      </c>
      <c r="C4817" s="1" t="s">
        <v>54</v>
      </c>
      <c r="D4817" s="1" t="s">
        <v>67</v>
      </c>
      <c r="E4817" s="1" t="s">
        <v>121</v>
      </c>
      <c r="F4817" s="1" t="s">
        <v>30</v>
      </c>
      <c r="G4817" s="1" t="s">
        <v>169</v>
      </c>
      <c r="H4817" s="1" t="s">
        <v>170</v>
      </c>
      <c r="I4817" s="1">
        <v>325.51</v>
      </c>
      <c r="J4817" s="1">
        <v>4</v>
      </c>
      <c r="K4817" s="1">
        <v>1302.04</v>
      </c>
      <c r="L4817" s="1">
        <v>0</v>
      </c>
      <c r="M4817" s="1">
        <v>0</v>
      </c>
      <c r="N4817" s="1">
        <v>1302.04</v>
      </c>
      <c r="O4817" s="1" t="s">
        <v>24</v>
      </c>
      <c r="P4817" s="1" t="s">
        <v>922</v>
      </c>
      <c r="Q4817" s="1">
        <v>1</v>
      </c>
      <c r="R4817" s="1">
        <f>Retail_Sales_Analyis[[#This Row],[Final_Price]]-Retail_Sales_Analyis[[#This Row],[Total_Price]]</f>
        <v>0</v>
      </c>
      <c r="S481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8" spans="1:19" x14ac:dyDescent="0.25">
      <c r="A4818" s="1" t="s">
        <v>5953</v>
      </c>
      <c r="B4818" s="2">
        <v>45303</v>
      </c>
      <c r="C4818" s="1" t="s">
        <v>36</v>
      </c>
      <c r="D4818" s="1" t="s">
        <v>144</v>
      </c>
      <c r="E4818" s="1" t="s">
        <v>342</v>
      </c>
      <c r="F4818" s="1" t="s">
        <v>69</v>
      </c>
      <c r="G4818" s="1" t="s">
        <v>112</v>
      </c>
      <c r="H4818" s="1" t="s">
        <v>288</v>
      </c>
      <c r="I4818" s="1">
        <v>1616.19</v>
      </c>
      <c r="J4818" s="1">
        <v>10</v>
      </c>
      <c r="K4818" s="1">
        <v>16161.9</v>
      </c>
      <c r="L4818" s="1">
        <v>0</v>
      </c>
      <c r="M4818" s="1">
        <v>0</v>
      </c>
      <c r="N4818" s="1">
        <v>16161.9</v>
      </c>
      <c r="O4818" s="1" t="s">
        <v>33</v>
      </c>
      <c r="P4818" s="1" t="s">
        <v>362</v>
      </c>
      <c r="Q4818" s="1">
        <v>3</v>
      </c>
      <c r="R4818" s="1">
        <f>Retail_Sales_Analyis[[#This Row],[Final_Price]]-Retail_Sales_Analyis[[#This Row],[Total_Price]]</f>
        <v>0</v>
      </c>
      <c r="S48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19" spans="1:19" x14ac:dyDescent="0.25">
      <c r="A4819" s="1" t="s">
        <v>5954</v>
      </c>
      <c r="B4819" s="2">
        <v>45593</v>
      </c>
      <c r="C4819" s="1" t="s">
        <v>76</v>
      </c>
      <c r="D4819" s="1" t="s">
        <v>43</v>
      </c>
      <c r="E4819" s="1" t="s">
        <v>83</v>
      </c>
      <c r="F4819" s="1" t="s">
        <v>30</v>
      </c>
      <c r="G4819" s="1" t="s">
        <v>78</v>
      </c>
      <c r="H4819" s="1" t="s">
        <v>79</v>
      </c>
      <c r="I4819" s="1">
        <v>563.61</v>
      </c>
      <c r="J4819" s="1">
        <v>10</v>
      </c>
      <c r="K4819" s="1">
        <v>5636.1</v>
      </c>
      <c r="L4819" s="1">
        <v>0</v>
      </c>
      <c r="M4819" s="1">
        <v>0</v>
      </c>
      <c r="N4819" s="1">
        <v>5636.1</v>
      </c>
      <c r="O4819" s="1" t="s">
        <v>33</v>
      </c>
      <c r="P4819" s="1" t="s">
        <v>928</v>
      </c>
      <c r="Q4819" s="1">
        <v>4</v>
      </c>
      <c r="R4819" s="1">
        <f>Retail_Sales_Analyis[[#This Row],[Final_Price]]-Retail_Sales_Analyis[[#This Row],[Total_Price]]</f>
        <v>0</v>
      </c>
      <c r="S481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0" spans="1:19" x14ac:dyDescent="0.25">
      <c r="A4820" s="1" t="s">
        <v>5955</v>
      </c>
      <c r="B4820" s="2">
        <v>45550</v>
      </c>
      <c r="C4820" s="1" t="s">
        <v>116</v>
      </c>
      <c r="D4820" s="1" t="s">
        <v>49</v>
      </c>
      <c r="E4820" s="1" t="s">
        <v>285</v>
      </c>
      <c r="F4820" s="1" t="s">
        <v>84</v>
      </c>
      <c r="G4820" s="1" t="s">
        <v>112</v>
      </c>
      <c r="H4820" s="1" t="s">
        <v>118</v>
      </c>
      <c r="I4820" s="1">
        <v>1101.8599999999999</v>
      </c>
      <c r="J4820" s="1">
        <v>7</v>
      </c>
      <c r="K4820" s="1">
        <v>7713.02</v>
      </c>
      <c r="L4820" s="1">
        <v>15</v>
      </c>
      <c r="M4820" s="1">
        <v>1156.95</v>
      </c>
      <c r="N4820" s="1">
        <v>6556.07</v>
      </c>
      <c r="O4820" s="1" t="s">
        <v>64</v>
      </c>
      <c r="P4820" s="1" t="s">
        <v>1313</v>
      </c>
      <c r="Q4820" s="1">
        <v>2</v>
      </c>
      <c r="R4820" s="1">
        <f>Retail_Sales_Analyis[[#This Row],[Final_Price]]-Retail_Sales_Analyis[[#This Row],[Total_Price]]</f>
        <v>-1156.9500000000007</v>
      </c>
      <c r="S482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21" spans="1:19" x14ac:dyDescent="0.25">
      <c r="A4821" s="1" t="s">
        <v>5956</v>
      </c>
      <c r="B4821" s="2">
        <v>45378</v>
      </c>
      <c r="C4821" s="1" t="s">
        <v>61</v>
      </c>
      <c r="D4821" s="1" t="s">
        <v>55</v>
      </c>
      <c r="E4821" s="1" t="s">
        <v>117</v>
      </c>
      <c r="F4821" s="1" t="s">
        <v>84</v>
      </c>
      <c r="G4821" s="1" t="s">
        <v>38</v>
      </c>
      <c r="H4821" s="1" t="s">
        <v>214</v>
      </c>
      <c r="I4821" s="1">
        <v>613.36</v>
      </c>
      <c r="J4821" s="1">
        <v>7</v>
      </c>
      <c r="K4821" s="1">
        <v>4293.5200000000004</v>
      </c>
      <c r="L4821" s="1">
        <v>0</v>
      </c>
      <c r="M4821" s="1">
        <v>0</v>
      </c>
      <c r="N4821" s="1">
        <v>4293.5200000000004</v>
      </c>
      <c r="O4821" s="1" t="s">
        <v>33</v>
      </c>
      <c r="P4821" s="1" t="s">
        <v>1244</v>
      </c>
      <c r="Q4821" s="1">
        <v>5</v>
      </c>
      <c r="R4821" s="1">
        <f>Retail_Sales_Analyis[[#This Row],[Final_Price]]-Retail_Sales_Analyis[[#This Row],[Total_Price]]</f>
        <v>0</v>
      </c>
      <c r="S482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2" spans="1:19" x14ac:dyDescent="0.25">
      <c r="A4822" s="1" t="s">
        <v>5957</v>
      </c>
      <c r="B4822" s="2">
        <v>45355</v>
      </c>
      <c r="C4822" s="1" t="s">
        <v>61</v>
      </c>
      <c r="D4822" s="1" t="s">
        <v>43</v>
      </c>
      <c r="E4822" s="1" t="s">
        <v>239</v>
      </c>
      <c r="F4822" s="1" t="s">
        <v>37</v>
      </c>
      <c r="G4822" s="1" t="s">
        <v>31</v>
      </c>
      <c r="H4822" s="1" t="s">
        <v>250</v>
      </c>
      <c r="I4822" s="1">
        <v>54.57</v>
      </c>
      <c r="J4822" s="1">
        <v>1</v>
      </c>
      <c r="K4822" s="1">
        <v>54.57</v>
      </c>
      <c r="L4822" s="1">
        <v>0</v>
      </c>
      <c r="M4822" s="1">
        <v>0</v>
      </c>
      <c r="N4822" s="1">
        <v>54.57</v>
      </c>
      <c r="O4822" s="1" t="s">
        <v>80</v>
      </c>
      <c r="P4822" s="1" t="s">
        <v>948</v>
      </c>
      <c r="Q4822" s="1">
        <v>4</v>
      </c>
      <c r="R4822" s="1">
        <f>Retail_Sales_Analyis[[#This Row],[Final_Price]]-Retail_Sales_Analyis[[#This Row],[Total_Price]]</f>
        <v>0</v>
      </c>
      <c r="S482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3" spans="1:19" x14ac:dyDescent="0.25">
      <c r="A4823" s="1" t="s">
        <v>5958</v>
      </c>
      <c r="B4823" s="2">
        <v>45479</v>
      </c>
      <c r="C4823" s="1" t="s">
        <v>195</v>
      </c>
      <c r="D4823" s="1" t="s">
        <v>19</v>
      </c>
      <c r="E4823" s="1" t="s">
        <v>121</v>
      </c>
      <c r="F4823" s="1" t="s">
        <v>30</v>
      </c>
      <c r="G4823" s="1" t="s">
        <v>57</v>
      </c>
      <c r="H4823" s="1" t="s">
        <v>58</v>
      </c>
      <c r="I4823" s="1">
        <v>2392.39</v>
      </c>
      <c r="J4823" s="1">
        <v>6</v>
      </c>
      <c r="K4823" s="1">
        <v>14354.34</v>
      </c>
      <c r="L4823" s="1">
        <v>0</v>
      </c>
      <c r="M4823" s="1">
        <v>0</v>
      </c>
      <c r="N4823" s="1">
        <v>14354.34</v>
      </c>
      <c r="O4823" s="1" t="s">
        <v>46</v>
      </c>
      <c r="P4823" s="1" t="s">
        <v>1500</v>
      </c>
      <c r="Q4823" s="1">
        <v>4</v>
      </c>
      <c r="R4823" s="1">
        <f>Retail_Sales_Analyis[[#This Row],[Final_Price]]-Retail_Sales_Analyis[[#This Row],[Total_Price]]</f>
        <v>0</v>
      </c>
      <c r="S482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4" spans="1:19" x14ac:dyDescent="0.25">
      <c r="A4824" s="1" t="s">
        <v>5959</v>
      </c>
      <c r="B4824" s="2">
        <v>45656</v>
      </c>
      <c r="C4824" s="1" t="s">
        <v>73</v>
      </c>
      <c r="D4824" s="1" t="s">
        <v>43</v>
      </c>
      <c r="E4824" s="1" t="s">
        <v>94</v>
      </c>
      <c r="F4824" s="1" t="s">
        <v>30</v>
      </c>
      <c r="G4824" s="1" t="s">
        <v>38</v>
      </c>
      <c r="H4824" s="1" t="s">
        <v>422</v>
      </c>
      <c r="I4824" s="1">
        <v>649.64</v>
      </c>
      <c r="J4824" s="1">
        <v>8</v>
      </c>
      <c r="K4824" s="1">
        <v>5197.12</v>
      </c>
      <c r="L4824" s="1">
        <v>0</v>
      </c>
      <c r="M4824" s="1">
        <v>0</v>
      </c>
      <c r="N4824" s="1">
        <v>5197.12</v>
      </c>
      <c r="O4824" s="1" t="s">
        <v>80</v>
      </c>
      <c r="P4824" s="1" t="s">
        <v>3218</v>
      </c>
      <c r="Q4824" s="1">
        <v>4</v>
      </c>
      <c r="R4824" s="1">
        <f>Retail_Sales_Analyis[[#This Row],[Final_Price]]-Retail_Sales_Analyis[[#This Row],[Total_Price]]</f>
        <v>0</v>
      </c>
      <c r="S482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5" spans="1:19" x14ac:dyDescent="0.25">
      <c r="A4825" s="1" t="s">
        <v>5960</v>
      </c>
      <c r="B4825" s="2">
        <v>45625</v>
      </c>
      <c r="C4825" s="1" t="s">
        <v>18</v>
      </c>
      <c r="D4825" s="1" t="s">
        <v>144</v>
      </c>
      <c r="E4825" s="1" t="s">
        <v>111</v>
      </c>
      <c r="F4825" s="1" t="s">
        <v>37</v>
      </c>
      <c r="G4825" s="1" t="s">
        <v>169</v>
      </c>
      <c r="H4825" s="1" t="s">
        <v>175</v>
      </c>
      <c r="I4825" s="1">
        <v>735.99</v>
      </c>
      <c r="J4825" s="1">
        <v>6</v>
      </c>
      <c r="K4825" s="1">
        <v>4415.9399999999996</v>
      </c>
      <c r="L4825" s="1">
        <v>0</v>
      </c>
      <c r="M4825" s="1">
        <v>0</v>
      </c>
      <c r="N4825" s="1">
        <v>4415.9399999999996</v>
      </c>
      <c r="O4825" s="1" t="s">
        <v>24</v>
      </c>
      <c r="P4825" s="1" t="s">
        <v>603</v>
      </c>
      <c r="Q4825" s="1">
        <v>5</v>
      </c>
      <c r="R4825" s="1">
        <f>Retail_Sales_Analyis[[#This Row],[Final_Price]]-Retail_Sales_Analyis[[#This Row],[Total_Price]]</f>
        <v>0</v>
      </c>
      <c r="S482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6" spans="1:19" x14ac:dyDescent="0.25">
      <c r="A4826" s="1" t="s">
        <v>5961</v>
      </c>
      <c r="B4826" s="2">
        <v>45311</v>
      </c>
      <c r="C4826" s="1" t="s">
        <v>36</v>
      </c>
      <c r="D4826" s="1" t="s">
        <v>19</v>
      </c>
      <c r="E4826" s="1" t="s">
        <v>166</v>
      </c>
      <c r="F4826" s="1" t="s">
        <v>69</v>
      </c>
      <c r="G4826" s="1" t="s">
        <v>112</v>
      </c>
      <c r="H4826" s="1" t="s">
        <v>288</v>
      </c>
      <c r="I4826" s="1">
        <v>1578.35</v>
      </c>
      <c r="J4826" s="1">
        <v>6</v>
      </c>
      <c r="K4826" s="1">
        <v>9470.1</v>
      </c>
      <c r="L4826" s="1">
        <v>0</v>
      </c>
      <c r="M4826" s="1">
        <v>0</v>
      </c>
      <c r="N4826" s="1">
        <v>9470.1</v>
      </c>
      <c r="O4826" s="1" t="s">
        <v>33</v>
      </c>
      <c r="P4826" s="1" t="s">
        <v>1955</v>
      </c>
      <c r="Q4826" s="1">
        <v>2</v>
      </c>
      <c r="R4826" s="1">
        <f>Retail_Sales_Analyis[[#This Row],[Final_Price]]-Retail_Sales_Analyis[[#This Row],[Total_Price]]</f>
        <v>0</v>
      </c>
      <c r="S48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7" spans="1:19" x14ac:dyDescent="0.25">
      <c r="A4827" s="1" t="s">
        <v>5962</v>
      </c>
      <c r="B4827" s="2">
        <v>45484</v>
      </c>
      <c r="C4827" s="1" t="s">
        <v>195</v>
      </c>
      <c r="D4827" s="1" t="s">
        <v>67</v>
      </c>
      <c r="E4827" s="1" t="s">
        <v>261</v>
      </c>
      <c r="F4827" s="1" t="s">
        <v>37</v>
      </c>
      <c r="G4827" s="1" t="s">
        <v>38</v>
      </c>
      <c r="H4827" s="1" t="s">
        <v>214</v>
      </c>
      <c r="I4827" s="1">
        <v>668.02</v>
      </c>
      <c r="J4827" s="1">
        <v>3</v>
      </c>
      <c r="K4827" s="1">
        <v>2004.06</v>
      </c>
      <c r="L4827" s="1">
        <v>10</v>
      </c>
      <c r="M4827" s="1">
        <v>200.41</v>
      </c>
      <c r="N4827" s="1">
        <v>1803.65</v>
      </c>
      <c r="O4827" s="1" t="s">
        <v>46</v>
      </c>
      <c r="P4827" s="1" t="s">
        <v>425</v>
      </c>
      <c r="Q4827" s="1">
        <v>2</v>
      </c>
      <c r="R4827" s="1">
        <f>Retail_Sales_Analyis[[#This Row],[Final_Price]]-Retail_Sales_Analyis[[#This Row],[Total_Price]]</f>
        <v>-200.40999999999985</v>
      </c>
      <c r="S482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28" spans="1:19" x14ac:dyDescent="0.25">
      <c r="A4828" s="1" t="s">
        <v>5963</v>
      </c>
      <c r="B4828" s="2">
        <v>45619</v>
      </c>
      <c r="C4828" s="1" t="s">
        <v>18</v>
      </c>
      <c r="D4828" s="1" t="s">
        <v>19</v>
      </c>
      <c r="E4828" s="1" t="s">
        <v>20</v>
      </c>
      <c r="F4828" s="1" t="s">
        <v>84</v>
      </c>
      <c r="G4828" s="1" t="s">
        <v>112</v>
      </c>
      <c r="H4828" s="1" t="s">
        <v>183</v>
      </c>
      <c r="I4828" s="1">
        <v>1281.06</v>
      </c>
      <c r="J4828" s="1">
        <v>3</v>
      </c>
      <c r="K4828" s="1">
        <v>3843.18</v>
      </c>
      <c r="L4828" s="1">
        <v>0</v>
      </c>
      <c r="M4828" s="1">
        <v>0</v>
      </c>
      <c r="N4828" s="1">
        <v>3843.18</v>
      </c>
      <c r="O4828" s="1" t="s">
        <v>46</v>
      </c>
      <c r="P4828" s="1" t="s">
        <v>1699</v>
      </c>
      <c r="Q4828" s="1">
        <v>1</v>
      </c>
      <c r="R4828" s="1">
        <f>Retail_Sales_Analyis[[#This Row],[Final_Price]]-Retail_Sales_Analyis[[#This Row],[Total_Price]]</f>
        <v>0</v>
      </c>
      <c r="S482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29" spans="1:19" x14ac:dyDescent="0.25">
      <c r="A4829" s="1" t="s">
        <v>5964</v>
      </c>
      <c r="B4829" s="2">
        <v>45422</v>
      </c>
      <c r="C4829" s="1" t="s">
        <v>42</v>
      </c>
      <c r="D4829" s="1" t="s">
        <v>144</v>
      </c>
      <c r="E4829" s="1" t="s">
        <v>261</v>
      </c>
      <c r="F4829" s="1" t="s">
        <v>37</v>
      </c>
      <c r="G4829" s="1" t="s">
        <v>38</v>
      </c>
      <c r="H4829" s="1" t="s">
        <v>108</v>
      </c>
      <c r="I4829" s="1">
        <v>565.51</v>
      </c>
      <c r="J4829" s="1">
        <v>8</v>
      </c>
      <c r="K4829" s="1">
        <v>4524.08</v>
      </c>
      <c r="L4829" s="1">
        <v>0</v>
      </c>
      <c r="M4829" s="1">
        <v>0</v>
      </c>
      <c r="N4829" s="1">
        <v>4524.08</v>
      </c>
      <c r="O4829" s="1" t="s">
        <v>64</v>
      </c>
      <c r="P4829" s="1" t="s">
        <v>951</v>
      </c>
      <c r="Q4829" s="1">
        <v>2</v>
      </c>
      <c r="R4829" s="1">
        <f>Retail_Sales_Analyis[[#This Row],[Final_Price]]-Retail_Sales_Analyis[[#This Row],[Total_Price]]</f>
        <v>0</v>
      </c>
      <c r="S482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0" spans="1:19" x14ac:dyDescent="0.25">
      <c r="A4830" s="1" t="s">
        <v>5965</v>
      </c>
      <c r="B4830" s="2">
        <v>45565</v>
      </c>
      <c r="C4830" s="1" t="s">
        <v>116</v>
      </c>
      <c r="D4830" s="1" t="s">
        <v>43</v>
      </c>
      <c r="E4830" s="1" t="s">
        <v>307</v>
      </c>
      <c r="F4830" s="1" t="s">
        <v>21</v>
      </c>
      <c r="G4830" s="1" t="s">
        <v>38</v>
      </c>
      <c r="H4830" s="1" t="s">
        <v>39</v>
      </c>
      <c r="I4830" s="1">
        <v>444.39</v>
      </c>
      <c r="J4830" s="1">
        <v>7</v>
      </c>
      <c r="K4830" s="1">
        <v>3110.73</v>
      </c>
      <c r="L4830" s="1">
        <v>0</v>
      </c>
      <c r="M4830" s="1">
        <v>0</v>
      </c>
      <c r="N4830" s="1">
        <v>3110.73</v>
      </c>
      <c r="O4830" s="1" t="s">
        <v>64</v>
      </c>
      <c r="P4830" s="1" t="s">
        <v>1981</v>
      </c>
      <c r="Q4830" s="1">
        <v>2</v>
      </c>
      <c r="R4830" s="1">
        <f>Retail_Sales_Analyis[[#This Row],[Final_Price]]-Retail_Sales_Analyis[[#This Row],[Total_Price]]</f>
        <v>0</v>
      </c>
      <c r="S48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1" spans="1:19" x14ac:dyDescent="0.25">
      <c r="A4831" s="1" t="s">
        <v>5966</v>
      </c>
      <c r="B4831" s="2">
        <v>45611</v>
      </c>
      <c r="C4831" s="1" t="s">
        <v>18</v>
      </c>
      <c r="D4831" s="1" t="s">
        <v>144</v>
      </c>
      <c r="E4831" s="1" t="s">
        <v>312</v>
      </c>
      <c r="F4831" s="1" t="s">
        <v>69</v>
      </c>
      <c r="G4831" s="1" t="s">
        <v>78</v>
      </c>
      <c r="H4831" s="1" t="s">
        <v>146</v>
      </c>
      <c r="I4831" s="1">
        <v>447.33</v>
      </c>
      <c r="J4831" s="1">
        <v>2</v>
      </c>
      <c r="K4831" s="1">
        <v>894.66</v>
      </c>
      <c r="L4831" s="1">
        <v>0</v>
      </c>
      <c r="M4831" s="1">
        <v>0</v>
      </c>
      <c r="N4831" s="1">
        <v>894.66</v>
      </c>
      <c r="O4831" s="1" t="s">
        <v>46</v>
      </c>
      <c r="P4831" s="1" t="s">
        <v>2780</v>
      </c>
      <c r="Q4831" s="1">
        <v>1</v>
      </c>
      <c r="R4831" s="1">
        <f>Retail_Sales_Analyis[[#This Row],[Final_Price]]-Retail_Sales_Analyis[[#This Row],[Total_Price]]</f>
        <v>0</v>
      </c>
      <c r="S48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2" spans="1:19" x14ac:dyDescent="0.25">
      <c r="A4832" s="1" t="s">
        <v>5967</v>
      </c>
      <c r="B4832" s="2">
        <v>45316</v>
      </c>
      <c r="C4832" s="1" t="s">
        <v>36</v>
      </c>
      <c r="D4832" s="1" t="s">
        <v>67</v>
      </c>
      <c r="E4832" s="1" t="s">
        <v>44</v>
      </c>
      <c r="F4832" s="1" t="s">
        <v>30</v>
      </c>
      <c r="G4832" s="1" t="s">
        <v>85</v>
      </c>
      <c r="H4832" s="1" t="s">
        <v>90</v>
      </c>
      <c r="I4832" s="1">
        <v>1112.6600000000001</v>
      </c>
      <c r="J4832" s="1">
        <v>10</v>
      </c>
      <c r="K4832" s="1">
        <v>11126.6</v>
      </c>
      <c r="L4832" s="1">
        <v>0</v>
      </c>
      <c r="M4832" s="1">
        <v>0</v>
      </c>
      <c r="N4832" s="1">
        <v>11126.6</v>
      </c>
      <c r="O4832" s="1" t="s">
        <v>46</v>
      </c>
      <c r="P4832" s="1" t="s">
        <v>926</v>
      </c>
      <c r="Q4832" s="1">
        <v>1</v>
      </c>
      <c r="R4832" s="1">
        <f>Retail_Sales_Analyis[[#This Row],[Final_Price]]-Retail_Sales_Analyis[[#This Row],[Total_Price]]</f>
        <v>0</v>
      </c>
      <c r="S483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3" spans="1:19" x14ac:dyDescent="0.25">
      <c r="A4833" s="1" t="s">
        <v>5968</v>
      </c>
      <c r="B4833" s="2">
        <v>45596</v>
      </c>
      <c r="C4833" s="1" t="s">
        <v>76</v>
      </c>
      <c r="D4833" s="1" t="s">
        <v>67</v>
      </c>
      <c r="E4833" s="1" t="s">
        <v>77</v>
      </c>
      <c r="F4833" s="1" t="s">
        <v>84</v>
      </c>
      <c r="G4833" s="1" t="s">
        <v>112</v>
      </c>
      <c r="H4833" s="1" t="s">
        <v>223</v>
      </c>
      <c r="I4833" s="1">
        <v>1082.55</v>
      </c>
      <c r="J4833" s="1">
        <v>8</v>
      </c>
      <c r="K4833" s="1">
        <v>8660.4</v>
      </c>
      <c r="L4833" s="1">
        <v>10</v>
      </c>
      <c r="M4833" s="1">
        <v>866.04</v>
      </c>
      <c r="N4833" s="1">
        <v>7794.36</v>
      </c>
      <c r="O4833" s="1" t="s">
        <v>24</v>
      </c>
      <c r="P4833" s="1" t="s">
        <v>1415</v>
      </c>
      <c r="Q4833" s="1">
        <v>3</v>
      </c>
      <c r="R4833" s="1">
        <f>Retail_Sales_Analyis[[#This Row],[Final_Price]]-Retail_Sales_Analyis[[#This Row],[Total_Price]]</f>
        <v>-866.04</v>
      </c>
      <c r="S48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34" spans="1:19" x14ac:dyDescent="0.25">
      <c r="A4834" s="1" t="s">
        <v>5969</v>
      </c>
      <c r="B4834" s="2">
        <v>45316</v>
      </c>
      <c r="C4834" s="1" t="s">
        <v>36</v>
      </c>
      <c r="D4834" s="1" t="s">
        <v>67</v>
      </c>
      <c r="E4834" s="1" t="s">
        <v>174</v>
      </c>
      <c r="F4834" s="1" t="s">
        <v>84</v>
      </c>
      <c r="G4834" s="1" t="s">
        <v>85</v>
      </c>
      <c r="H4834" s="1" t="s">
        <v>90</v>
      </c>
      <c r="I4834" s="1">
        <v>1454.45</v>
      </c>
      <c r="J4834" s="1">
        <v>4</v>
      </c>
      <c r="K4834" s="1">
        <v>5817.8</v>
      </c>
      <c r="L4834" s="1">
        <v>10</v>
      </c>
      <c r="M4834" s="1">
        <v>581.78</v>
      </c>
      <c r="N4834" s="1">
        <v>5236.0200000000004</v>
      </c>
      <c r="O4834" s="1" t="s">
        <v>64</v>
      </c>
      <c r="P4834" s="1" t="s">
        <v>476</v>
      </c>
      <c r="Q4834" s="1">
        <v>2</v>
      </c>
      <c r="R4834" s="1">
        <f>Retail_Sales_Analyis[[#This Row],[Final_Price]]-Retail_Sales_Analyis[[#This Row],[Total_Price]]</f>
        <v>-581.77999999999975</v>
      </c>
      <c r="S48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35" spans="1:19" x14ac:dyDescent="0.25">
      <c r="A4835" s="1" t="s">
        <v>5970</v>
      </c>
      <c r="B4835" s="2">
        <v>45630</v>
      </c>
      <c r="C4835" s="1" t="s">
        <v>73</v>
      </c>
      <c r="D4835" s="1" t="s">
        <v>55</v>
      </c>
      <c r="E4835" s="1" t="s">
        <v>132</v>
      </c>
      <c r="F4835" s="1" t="s">
        <v>69</v>
      </c>
      <c r="G4835" s="1" t="s">
        <v>22</v>
      </c>
      <c r="H4835" s="1" t="s">
        <v>187</v>
      </c>
      <c r="I4835" s="1">
        <v>704.47</v>
      </c>
      <c r="J4835" s="1">
        <v>2</v>
      </c>
      <c r="K4835" s="1">
        <v>1408.94</v>
      </c>
      <c r="L4835" s="1">
        <v>0</v>
      </c>
      <c r="M4835" s="1">
        <v>0</v>
      </c>
      <c r="N4835" s="1">
        <v>1408.94</v>
      </c>
      <c r="O4835" s="1" t="s">
        <v>80</v>
      </c>
      <c r="P4835" s="1" t="s">
        <v>982</v>
      </c>
      <c r="Q4835" s="1">
        <v>2</v>
      </c>
      <c r="R4835" s="1">
        <f>Retail_Sales_Analyis[[#This Row],[Final_Price]]-Retail_Sales_Analyis[[#This Row],[Total_Price]]</f>
        <v>0</v>
      </c>
      <c r="S48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6" spans="1:19" x14ac:dyDescent="0.25">
      <c r="A4836" s="1" t="s">
        <v>5971</v>
      </c>
      <c r="B4836" s="2">
        <v>45347</v>
      </c>
      <c r="C4836" s="1" t="s">
        <v>27</v>
      </c>
      <c r="D4836" s="1" t="s">
        <v>49</v>
      </c>
      <c r="E4836" s="1" t="s">
        <v>94</v>
      </c>
      <c r="F4836" s="1" t="s">
        <v>69</v>
      </c>
      <c r="G4836" s="1" t="s">
        <v>78</v>
      </c>
      <c r="H4836" s="1" t="s">
        <v>136</v>
      </c>
      <c r="I4836" s="1">
        <v>578.5</v>
      </c>
      <c r="J4836" s="1">
        <v>3</v>
      </c>
      <c r="K4836" s="1">
        <v>1735.5</v>
      </c>
      <c r="L4836" s="1">
        <v>20</v>
      </c>
      <c r="M4836" s="1">
        <v>347.1</v>
      </c>
      <c r="N4836" s="1">
        <v>1388.4</v>
      </c>
      <c r="O4836" s="1" t="s">
        <v>24</v>
      </c>
      <c r="P4836" s="1" t="s">
        <v>1559</v>
      </c>
      <c r="Q4836" s="1">
        <v>4</v>
      </c>
      <c r="R4836" s="1">
        <f>Retail_Sales_Analyis[[#This Row],[Final_Price]]-Retail_Sales_Analyis[[#This Row],[Total_Price]]</f>
        <v>-347.09999999999991</v>
      </c>
      <c r="S48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37" spans="1:19" x14ac:dyDescent="0.25">
      <c r="A4837" s="1" t="s">
        <v>5972</v>
      </c>
      <c r="B4837" s="2">
        <v>45626</v>
      </c>
      <c r="C4837" s="1" t="s">
        <v>18</v>
      </c>
      <c r="D4837" s="1" t="s">
        <v>19</v>
      </c>
      <c r="E4837" s="1" t="s">
        <v>236</v>
      </c>
      <c r="F4837" s="1" t="s">
        <v>30</v>
      </c>
      <c r="G4837" s="1" t="s">
        <v>22</v>
      </c>
      <c r="H4837" s="1" t="s">
        <v>51</v>
      </c>
      <c r="I4837" s="1">
        <v>500.82</v>
      </c>
      <c r="J4837" s="1">
        <v>8</v>
      </c>
      <c r="K4837" s="1">
        <v>4006.56</v>
      </c>
      <c r="L4837" s="1">
        <v>10</v>
      </c>
      <c r="M4837" s="1">
        <v>400.66</v>
      </c>
      <c r="N4837" s="1">
        <v>3605.9</v>
      </c>
      <c r="O4837" s="1" t="s">
        <v>46</v>
      </c>
      <c r="P4837" s="1" t="s">
        <v>2069</v>
      </c>
      <c r="Q4837" s="1">
        <v>4</v>
      </c>
      <c r="R4837" s="1">
        <f>Retail_Sales_Analyis[[#This Row],[Final_Price]]-Retail_Sales_Analyis[[#This Row],[Total_Price]]</f>
        <v>-400.65999999999985</v>
      </c>
      <c r="S483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38" spans="1:19" x14ac:dyDescent="0.25">
      <c r="A4838" s="1" t="s">
        <v>5973</v>
      </c>
      <c r="B4838" s="2">
        <v>45302</v>
      </c>
      <c r="C4838" s="1" t="s">
        <v>36</v>
      </c>
      <c r="D4838" s="1" t="s">
        <v>67</v>
      </c>
      <c r="E4838" s="1" t="s">
        <v>29</v>
      </c>
      <c r="F4838" s="1" t="s">
        <v>84</v>
      </c>
      <c r="G4838" s="1" t="s">
        <v>112</v>
      </c>
      <c r="H4838" s="1" t="s">
        <v>183</v>
      </c>
      <c r="I4838" s="1">
        <v>892.23</v>
      </c>
      <c r="J4838" s="1">
        <v>6</v>
      </c>
      <c r="K4838" s="1">
        <v>5353.38</v>
      </c>
      <c r="L4838" s="1">
        <v>0</v>
      </c>
      <c r="M4838" s="1">
        <v>0</v>
      </c>
      <c r="N4838" s="1">
        <v>5353.38</v>
      </c>
      <c r="O4838" s="1" t="s">
        <v>24</v>
      </c>
      <c r="P4838" s="1" t="s">
        <v>5974</v>
      </c>
      <c r="Q4838" s="1">
        <v>3</v>
      </c>
      <c r="R4838" s="1">
        <f>Retail_Sales_Analyis[[#This Row],[Final_Price]]-Retail_Sales_Analyis[[#This Row],[Total_Price]]</f>
        <v>0</v>
      </c>
      <c r="S483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39" spans="1:19" x14ac:dyDescent="0.25">
      <c r="A4839" s="1" t="s">
        <v>5975</v>
      </c>
      <c r="B4839" s="2">
        <v>45316</v>
      </c>
      <c r="C4839" s="1" t="s">
        <v>36</v>
      </c>
      <c r="D4839" s="1" t="s">
        <v>67</v>
      </c>
      <c r="E4839" s="1" t="s">
        <v>213</v>
      </c>
      <c r="F4839" s="1" t="s">
        <v>69</v>
      </c>
      <c r="G4839" s="1" t="s">
        <v>85</v>
      </c>
      <c r="H4839" s="1" t="s">
        <v>180</v>
      </c>
      <c r="I4839" s="1">
        <v>2874.03</v>
      </c>
      <c r="J4839" s="1">
        <v>1</v>
      </c>
      <c r="K4839" s="1">
        <v>2874.03</v>
      </c>
      <c r="L4839" s="1">
        <v>10</v>
      </c>
      <c r="M4839" s="1">
        <v>287.39999999999998</v>
      </c>
      <c r="N4839" s="1">
        <v>2586.63</v>
      </c>
      <c r="O4839" s="1" t="s">
        <v>80</v>
      </c>
      <c r="P4839" s="1" t="s">
        <v>130</v>
      </c>
      <c r="Q4839" s="1">
        <v>2</v>
      </c>
      <c r="R4839" s="1">
        <f>Retail_Sales_Analyis[[#This Row],[Final_Price]]-Retail_Sales_Analyis[[#This Row],[Total_Price]]</f>
        <v>-287.40000000000009</v>
      </c>
      <c r="S483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0" spans="1:19" x14ac:dyDescent="0.25">
      <c r="A4840" s="1" t="s">
        <v>5976</v>
      </c>
      <c r="B4840" s="2">
        <v>45645</v>
      </c>
      <c r="C4840" s="1" t="s">
        <v>73</v>
      </c>
      <c r="D4840" s="1" t="s">
        <v>67</v>
      </c>
      <c r="E4840" s="1" t="s">
        <v>29</v>
      </c>
      <c r="F4840" s="1" t="s">
        <v>84</v>
      </c>
      <c r="G4840" s="1" t="s">
        <v>112</v>
      </c>
      <c r="H4840" s="1" t="s">
        <v>113</v>
      </c>
      <c r="I4840" s="1">
        <v>1281.45</v>
      </c>
      <c r="J4840" s="1">
        <v>6</v>
      </c>
      <c r="K4840" s="1">
        <v>7688.7</v>
      </c>
      <c r="L4840" s="1">
        <v>20</v>
      </c>
      <c r="M4840" s="1">
        <v>1537.74</v>
      </c>
      <c r="N4840" s="1">
        <v>6150.96</v>
      </c>
      <c r="O4840" s="1" t="s">
        <v>24</v>
      </c>
      <c r="P4840" s="1" t="s">
        <v>3011</v>
      </c>
      <c r="Q4840" s="1">
        <v>3</v>
      </c>
      <c r="R4840" s="1">
        <f>Retail_Sales_Analyis[[#This Row],[Final_Price]]-Retail_Sales_Analyis[[#This Row],[Total_Price]]</f>
        <v>-1537.7399999999998</v>
      </c>
      <c r="S484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41" spans="1:19" x14ac:dyDescent="0.25">
      <c r="A4841" s="1" t="s">
        <v>5977</v>
      </c>
      <c r="B4841" s="2">
        <v>45351</v>
      </c>
      <c r="C4841" s="1" t="s">
        <v>27</v>
      </c>
      <c r="D4841" s="1" t="s">
        <v>67</v>
      </c>
      <c r="E4841" s="1" t="s">
        <v>285</v>
      </c>
      <c r="F4841" s="1" t="s">
        <v>84</v>
      </c>
      <c r="G4841" s="1" t="s">
        <v>85</v>
      </c>
      <c r="H4841" s="1" t="s">
        <v>180</v>
      </c>
      <c r="I4841" s="1">
        <v>3733.91</v>
      </c>
      <c r="J4841" s="1">
        <v>3</v>
      </c>
      <c r="K4841" s="1">
        <v>11201.73</v>
      </c>
      <c r="L4841" s="1">
        <v>0</v>
      </c>
      <c r="M4841" s="1">
        <v>0</v>
      </c>
      <c r="N4841" s="1">
        <v>11201.73</v>
      </c>
      <c r="O4841" s="1" t="s">
        <v>64</v>
      </c>
      <c r="P4841" s="1" t="s">
        <v>1284</v>
      </c>
      <c r="Q4841" s="1">
        <v>2</v>
      </c>
      <c r="R4841" s="1">
        <f>Retail_Sales_Analyis[[#This Row],[Final_Price]]-Retail_Sales_Analyis[[#This Row],[Total_Price]]</f>
        <v>0</v>
      </c>
      <c r="S484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42" spans="1:19" x14ac:dyDescent="0.25">
      <c r="A4842" s="1" t="s">
        <v>5978</v>
      </c>
      <c r="B4842" s="2">
        <v>45505</v>
      </c>
      <c r="C4842" s="1" t="s">
        <v>93</v>
      </c>
      <c r="D4842" s="1" t="s">
        <v>67</v>
      </c>
      <c r="E4842" s="1" t="s">
        <v>139</v>
      </c>
      <c r="F4842" s="1" t="s">
        <v>37</v>
      </c>
      <c r="G4842" s="1" t="s">
        <v>22</v>
      </c>
      <c r="H4842" s="1" t="s">
        <v>277</v>
      </c>
      <c r="I4842" s="1">
        <v>866.3</v>
      </c>
      <c r="J4842" s="1">
        <v>2</v>
      </c>
      <c r="K4842" s="1">
        <v>1732.6</v>
      </c>
      <c r="L4842" s="1">
        <v>10</v>
      </c>
      <c r="M4842" s="1">
        <v>173.26</v>
      </c>
      <c r="N4842" s="1">
        <v>1559.34</v>
      </c>
      <c r="O4842" s="1" t="s">
        <v>24</v>
      </c>
      <c r="P4842" s="1" t="s">
        <v>2347</v>
      </c>
      <c r="Q4842" s="1">
        <v>5</v>
      </c>
      <c r="R4842" s="1">
        <f>Retail_Sales_Analyis[[#This Row],[Final_Price]]-Retail_Sales_Analyis[[#This Row],[Total_Price]]</f>
        <v>-173.26</v>
      </c>
      <c r="S484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3" spans="1:19" x14ac:dyDescent="0.25">
      <c r="A4843" s="1" t="s">
        <v>5979</v>
      </c>
      <c r="B4843" s="2">
        <v>45519</v>
      </c>
      <c r="C4843" s="1" t="s">
        <v>93</v>
      </c>
      <c r="D4843" s="1" t="s">
        <v>67</v>
      </c>
      <c r="E4843" s="1" t="s">
        <v>62</v>
      </c>
      <c r="F4843" s="1" t="s">
        <v>21</v>
      </c>
      <c r="G4843" s="1" t="s">
        <v>78</v>
      </c>
      <c r="H4843" s="1" t="s">
        <v>146</v>
      </c>
      <c r="I4843" s="1">
        <v>388.54</v>
      </c>
      <c r="J4843" s="1">
        <v>4</v>
      </c>
      <c r="K4843" s="1">
        <v>1554.16</v>
      </c>
      <c r="L4843" s="1">
        <v>20</v>
      </c>
      <c r="M4843" s="1">
        <v>310.83</v>
      </c>
      <c r="N4843" s="1">
        <v>1243.33</v>
      </c>
      <c r="O4843" s="1" t="s">
        <v>80</v>
      </c>
      <c r="P4843" s="1" t="s">
        <v>1595</v>
      </c>
      <c r="Q4843" s="1">
        <v>1</v>
      </c>
      <c r="R4843" s="1">
        <f>Retail_Sales_Analyis[[#This Row],[Final_Price]]-Retail_Sales_Analyis[[#This Row],[Total_Price]]</f>
        <v>-310.83000000000015</v>
      </c>
      <c r="S484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44" spans="1:19" x14ac:dyDescent="0.25">
      <c r="A4844" s="1" t="s">
        <v>5980</v>
      </c>
      <c r="B4844" s="2">
        <v>45486</v>
      </c>
      <c r="C4844" s="1" t="s">
        <v>195</v>
      </c>
      <c r="D4844" s="1" t="s">
        <v>19</v>
      </c>
      <c r="E4844" s="1" t="s">
        <v>111</v>
      </c>
      <c r="F4844" s="1" t="s">
        <v>21</v>
      </c>
      <c r="G4844" s="1" t="s">
        <v>22</v>
      </c>
      <c r="H4844" s="1" t="s">
        <v>51</v>
      </c>
      <c r="I4844" s="1">
        <v>375.45</v>
      </c>
      <c r="J4844" s="1">
        <v>1</v>
      </c>
      <c r="K4844" s="1">
        <v>375.45</v>
      </c>
      <c r="L4844" s="1">
        <v>15</v>
      </c>
      <c r="M4844" s="1">
        <v>56.32</v>
      </c>
      <c r="N4844" s="1">
        <v>319.13</v>
      </c>
      <c r="O4844" s="1" t="s">
        <v>80</v>
      </c>
      <c r="P4844" s="1" t="s">
        <v>3543</v>
      </c>
      <c r="Q4844" s="1">
        <v>2</v>
      </c>
      <c r="R4844" s="1">
        <f>Retail_Sales_Analyis[[#This Row],[Final_Price]]-Retail_Sales_Analyis[[#This Row],[Total_Price]]</f>
        <v>-56.319999999999993</v>
      </c>
      <c r="S484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5" spans="1:19" x14ac:dyDescent="0.25">
      <c r="A4845" s="1" t="s">
        <v>5981</v>
      </c>
      <c r="B4845" s="2">
        <v>45355</v>
      </c>
      <c r="C4845" s="1" t="s">
        <v>61</v>
      </c>
      <c r="D4845" s="1" t="s">
        <v>43</v>
      </c>
      <c r="E4845" s="1" t="s">
        <v>207</v>
      </c>
      <c r="F4845" s="1" t="s">
        <v>84</v>
      </c>
      <c r="G4845" s="1" t="s">
        <v>38</v>
      </c>
      <c r="H4845" s="1" t="s">
        <v>39</v>
      </c>
      <c r="I4845" s="1">
        <v>173.22</v>
      </c>
      <c r="J4845" s="1">
        <v>7</v>
      </c>
      <c r="K4845" s="1">
        <v>1212.54</v>
      </c>
      <c r="L4845" s="1">
        <v>15</v>
      </c>
      <c r="M4845" s="1">
        <v>181.88</v>
      </c>
      <c r="N4845" s="1">
        <v>1030.6600000000001</v>
      </c>
      <c r="O4845" s="1" t="s">
        <v>33</v>
      </c>
      <c r="P4845" s="1" t="s">
        <v>1315</v>
      </c>
      <c r="Q4845" s="1">
        <v>4</v>
      </c>
      <c r="R4845" s="1">
        <f>Retail_Sales_Analyis[[#This Row],[Final_Price]]-Retail_Sales_Analyis[[#This Row],[Total_Price]]</f>
        <v>-181.87999999999988</v>
      </c>
      <c r="S484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6" spans="1:19" x14ac:dyDescent="0.25">
      <c r="A4846" s="1" t="s">
        <v>5982</v>
      </c>
      <c r="B4846" s="2">
        <v>45572</v>
      </c>
      <c r="C4846" s="1" t="s">
        <v>76</v>
      </c>
      <c r="D4846" s="1" t="s">
        <v>43</v>
      </c>
      <c r="E4846" s="1" t="s">
        <v>157</v>
      </c>
      <c r="F4846" s="1" t="s">
        <v>69</v>
      </c>
      <c r="G4846" s="1" t="s">
        <v>169</v>
      </c>
      <c r="H4846" s="1" t="s">
        <v>170</v>
      </c>
      <c r="I4846" s="1">
        <v>1338.08</v>
      </c>
      <c r="J4846" s="1">
        <v>2</v>
      </c>
      <c r="K4846" s="1">
        <v>2676.16</v>
      </c>
      <c r="L4846" s="1">
        <v>15</v>
      </c>
      <c r="M4846" s="1">
        <v>401.42</v>
      </c>
      <c r="N4846" s="1">
        <v>2274.7399999999998</v>
      </c>
      <c r="O4846" s="1" t="s">
        <v>24</v>
      </c>
      <c r="P4846" s="1" t="s">
        <v>221</v>
      </c>
      <c r="Q4846" s="1">
        <v>3</v>
      </c>
      <c r="R4846" s="1">
        <f>Retail_Sales_Analyis[[#This Row],[Final_Price]]-Retail_Sales_Analyis[[#This Row],[Total_Price]]</f>
        <v>-401.42000000000007</v>
      </c>
      <c r="S48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47" spans="1:19" x14ac:dyDescent="0.25">
      <c r="A4847" s="1" t="s">
        <v>5983</v>
      </c>
      <c r="B4847" s="2">
        <v>45421</v>
      </c>
      <c r="C4847" s="1" t="s">
        <v>42</v>
      </c>
      <c r="D4847" s="1" t="s">
        <v>67</v>
      </c>
      <c r="E4847" s="1" t="s">
        <v>174</v>
      </c>
      <c r="F4847" s="1" t="s">
        <v>30</v>
      </c>
      <c r="G4847" s="1" t="s">
        <v>169</v>
      </c>
      <c r="H4847" s="1" t="s">
        <v>170</v>
      </c>
      <c r="I4847" s="1">
        <v>849.84</v>
      </c>
      <c r="J4847" s="1">
        <v>10</v>
      </c>
      <c r="K4847" s="1">
        <v>8498.4</v>
      </c>
      <c r="L4847" s="1">
        <v>0</v>
      </c>
      <c r="M4847" s="1">
        <v>0</v>
      </c>
      <c r="N4847" s="1">
        <v>8498.4</v>
      </c>
      <c r="O4847" s="1" t="s">
        <v>33</v>
      </c>
      <c r="P4847" s="1" t="s">
        <v>2982</v>
      </c>
      <c r="Q4847" s="1">
        <v>3</v>
      </c>
      <c r="R4847" s="1">
        <f>Retail_Sales_Analyis[[#This Row],[Final_Price]]-Retail_Sales_Analyis[[#This Row],[Total_Price]]</f>
        <v>0</v>
      </c>
      <c r="S484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48" spans="1:19" x14ac:dyDescent="0.25">
      <c r="A4848" s="1" t="s">
        <v>5984</v>
      </c>
      <c r="B4848" s="2">
        <v>45534</v>
      </c>
      <c r="C4848" s="1" t="s">
        <v>93</v>
      </c>
      <c r="D4848" s="1" t="s">
        <v>144</v>
      </c>
      <c r="E4848" s="1" t="s">
        <v>213</v>
      </c>
      <c r="F4848" s="1" t="s">
        <v>69</v>
      </c>
      <c r="G4848" s="1" t="s">
        <v>38</v>
      </c>
      <c r="H4848" s="1" t="s">
        <v>39</v>
      </c>
      <c r="I4848" s="1">
        <v>694.76</v>
      </c>
      <c r="J4848" s="1">
        <v>10</v>
      </c>
      <c r="K4848" s="1">
        <v>6947.6</v>
      </c>
      <c r="L4848" s="1">
        <v>0</v>
      </c>
      <c r="M4848" s="1">
        <v>0</v>
      </c>
      <c r="N4848" s="1">
        <v>6947.6</v>
      </c>
      <c r="O4848" s="1" t="s">
        <v>46</v>
      </c>
      <c r="P4848" s="1" t="s">
        <v>1843</v>
      </c>
      <c r="Q4848" s="1">
        <v>2</v>
      </c>
      <c r="R4848" s="1">
        <f>Retail_Sales_Analyis[[#This Row],[Final_Price]]-Retail_Sales_Analyis[[#This Row],[Total_Price]]</f>
        <v>0</v>
      </c>
      <c r="S484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49" spans="1:19" x14ac:dyDescent="0.25">
      <c r="A4849" s="1" t="s">
        <v>5985</v>
      </c>
      <c r="B4849" s="2">
        <v>45651</v>
      </c>
      <c r="C4849" s="1" t="s">
        <v>73</v>
      </c>
      <c r="D4849" s="1" t="s">
        <v>55</v>
      </c>
      <c r="E4849" s="1" t="s">
        <v>117</v>
      </c>
      <c r="F4849" s="1" t="s">
        <v>30</v>
      </c>
      <c r="G4849" s="1" t="s">
        <v>22</v>
      </c>
      <c r="H4849" s="1" t="s">
        <v>51</v>
      </c>
      <c r="I4849" s="1">
        <v>365.81</v>
      </c>
      <c r="J4849" s="1">
        <v>5</v>
      </c>
      <c r="K4849" s="1">
        <v>1829.05</v>
      </c>
      <c r="L4849" s="1">
        <v>0</v>
      </c>
      <c r="M4849" s="1">
        <v>0</v>
      </c>
      <c r="N4849" s="1">
        <v>1829.05</v>
      </c>
      <c r="O4849" s="1" t="s">
        <v>24</v>
      </c>
      <c r="P4849" s="1" t="s">
        <v>334</v>
      </c>
      <c r="Q4849" s="1">
        <v>3</v>
      </c>
      <c r="R4849" s="1">
        <f>Retail_Sales_Analyis[[#This Row],[Final_Price]]-Retail_Sales_Analyis[[#This Row],[Total_Price]]</f>
        <v>0</v>
      </c>
      <c r="S48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0" spans="1:19" x14ac:dyDescent="0.25">
      <c r="A4850" s="1" t="s">
        <v>5986</v>
      </c>
      <c r="B4850" s="2">
        <v>45370</v>
      </c>
      <c r="C4850" s="1" t="s">
        <v>61</v>
      </c>
      <c r="D4850" s="1" t="s">
        <v>28</v>
      </c>
      <c r="E4850" s="1" t="s">
        <v>196</v>
      </c>
      <c r="F4850" s="1" t="s">
        <v>69</v>
      </c>
      <c r="G4850" s="1" t="s">
        <v>31</v>
      </c>
      <c r="H4850" s="1" t="s">
        <v>32</v>
      </c>
      <c r="I4850" s="1">
        <v>323.73</v>
      </c>
      <c r="J4850" s="1">
        <v>10</v>
      </c>
      <c r="K4850" s="1">
        <v>3237.3</v>
      </c>
      <c r="L4850" s="1">
        <v>5</v>
      </c>
      <c r="M4850" s="1">
        <v>161.87</v>
      </c>
      <c r="N4850" s="1">
        <v>3075.43</v>
      </c>
      <c r="O4850" s="1" t="s">
        <v>80</v>
      </c>
      <c r="P4850" s="1" t="s">
        <v>863</v>
      </c>
      <c r="Q4850" s="1">
        <v>2</v>
      </c>
      <c r="R4850" s="1">
        <f>Retail_Sales_Analyis[[#This Row],[Final_Price]]-Retail_Sales_Analyis[[#This Row],[Total_Price]]</f>
        <v>-161.87000000000035</v>
      </c>
      <c r="S485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51" spans="1:19" x14ac:dyDescent="0.25">
      <c r="A4851" s="1" t="s">
        <v>5987</v>
      </c>
      <c r="B4851" s="2">
        <v>45397</v>
      </c>
      <c r="C4851" s="1" t="s">
        <v>54</v>
      </c>
      <c r="D4851" s="1" t="s">
        <v>43</v>
      </c>
      <c r="E4851" s="1" t="s">
        <v>125</v>
      </c>
      <c r="F4851" s="1" t="s">
        <v>69</v>
      </c>
      <c r="G4851" s="1" t="s">
        <v>22</v>
      </c>
      <c r="H4851" s="1" t="s">
        <v>23</v>
      </c>
      <c r="I4851" s="1">
        <v>331.25</v>
      </c>
      <c r="J4851" s="1">
        <v>8</v>
      </c>
      <c r="K4851" s="1">
        <v>2650</v>
      </c>
      <c r="L4851" s="1">
        <v>0</v>
      </c>
      <c r="M4851" s="1">
        <v>0</v>
      </c>
      <c r="N4851" s="1">
        <v>2650</v>
      </c>
      <c r="O4851" s="1" t="s">
        <v>64</v>
      </c>
      <c r="P4851" s="1" t="s">
        <v>720</v>
      </c>
      <c r="Q4851" s="1">
        <v>3</v>
      </c>
      <c r="R4851" s="1">
        <f>Retail_Sales_Analyis[[#This Row],[Final_Price]]-Retail_Sales_Analyis[[#This Row],[Total_Price]]</f>
        <v>0</v>
      </c>
      <c r="S48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2" spans="1:19" x14ac:dyDescent="0.25">
      <c r="A4852" s="1" t="s">
        <v>5988</v>
      </c>
      <c r="B4852" s="2">
        <v>45647</v>
      </c>
      <c r="C4852" s="1" t="s">
        <v>73</v>
      </c>
      <c r="D4852" s="1" t="s">
        <v>19</v>
      </c>
      <c r="E4852" s="1" t="s">
        <v>166</v>
      </c>
      <c r="F4852" s="1" t="s">
        <v>69</v>
      </c>
      <c r="G4852" s="1" t="s">
        <v>112</v>
      </c>
      <c r="H4852" s="1" t="s">
        <v>113</v>
      </c>
      <c r="I4852" s="1">
        <v>1514.58</v>
      </c>
      <c r="J4852" s="1">
        <v>10</v>
      </c>
      <c r="K4852" s="1">
        <v>15145.8</v>
      </c>
      <c r="L4852" s="1">
        <v>0</v>
      </c>
      <c r="M4852" s="1">
        <v>0</v>
      </c>
      <c r="N4852" s="1">
        <v>15145.8</v>
      </c>
      <c r="O4852" s="1" t="s">
        <v>80</v>
      </c>
      <c r="P4852" s="1" t="s">
        <v>1881</v>
      </c>
      <c r="Q4852" s="1">
        <v>1</v>
      </c>
      <c r="R4852" s="1">
        <f>Retail_Sales_Analyis[[#This Row],[Final_Price]]-Retail_Sales_Analyis[[#This Row],[Total_Price]]</f>
        <v>0</v>
      </c>
      <c r="S485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3" spans="1:19" x14ac:dyDescent="0.25">
      <c r="A4853" s="1" t="s">
        <v>5989</v>
      </c>
      <c r="B4853" s="2">
        <v>45643</v>
      </c>
      <c r="C4853" s="1" t="s">
        <v>73</v>
      </c>
      <c r="D4853" s="1" t="s">
        <v>28</v>
      </c>
      <c r="E4853" s="1" t="s">
        <v>186</v>
      </c>
      <c r="F4853" s="1" t="s">
        <v>37</v>
      </c>
      <c r="G4853" s="1" t="s">
        <v>78</v>
      </c>
      <c r="H4853" s="1" t="s">
        <v>79</v>
      </c>
      <c r="I4853" s="1">
        <v>565.76</v>
      </c>
      <c r="J4853" s="1">
        <v>5</v>
      </c>
      <c r="K4853" s="1">
        <v>2828.8</v>
      </c>
      <c r="L4853" s="1">
        <v>0</v>
      </c>
      <c r="M4853" s="1">
        <v>0</v>
      </c>
      <c r="N4853" s="1">
        <v>2828.8</v>
      </c>
      <c r="O4853" s="1" t="s">
        <v>64</v>
      </c>
      <c r="P4853" s="1" t="s">
        <v>857</v>
      </c>
      <c r="Q4853" s="1">
        <v>3</v>
      </c>
      <c r="R4853" s="1">
        <f>Retail_Sales_Analyis[[#This Row],[Final_Price]]-Retail_Sales_Analyis[[#This Row],[Total_Price]]</f>
        <v>0</v>
      </c>
      <c r="S48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4" spans="1:19" x14ac:dyDescent="0.25">
      <c r="A4854" s="1" t="s">
        <v>5990</v>
      </c>
      <c r="B4854" s="2">
        <v>45614</v>
      </c>
      <c r="C4854" s="1" t="s">
        <v>18</v>
      </c>
      <c r="D4854" s="1" t="s">
        <v>43</v>
      </c>
      <c r="E4854" s="1" t="s">
        <v>312</v>
      </c>
      <c r="F4854" s="1" t="s">
        <v>69</v>
      </c>
      <c r="G4854" s="1" t="s">
        <v>31</v>
      </c>
      <c r="H4854" s="1" t="s">
        <v>32</v>
      </c>
      <c r="I4854" s="1">
        <v>283.26</v>
      </c>
      <c r="J4854" s="1">
        <v>4</v>
      </c>
      <c r="K4854" s="1">
        <v>1133.04</v>
      </c>
      <c r="L4854" s="1">
        <v>0</v>
      </c>
      <c r="M4854" s="1">
        <v>0</v>
      </c>
      <c r="N4854" s="1">
        <v>1133.04</v>
      </c>
      <c r="O4854" s="1" t="s">
        <v>80</v>
      </c>
      <c r="P4854" s="1" t="s">
        <v>2663</v>
      </c>
      <c r="Q4854" s="1">
        <v>5</v>
      </c>
      <c r="R4854" s="1">
        <f>Retail_Sales_Analyis[[#This Row],[Final_Price]]-Retail_Sales_Analyis[[#This Row],[Total_Price]]</f>
        <v>0</v>
      </c>
      <c r="S48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5" spans="1:19" x14ac:dyDescent="0.25">
      <c r="A4855" s="1" t="s">
        <v>5991</v>
      </c>
      <c r="B4855" s="2">
        <v>45296</v>
      </c>
      <c r="C4855" s="1" t="s">
        <v>36</v>
      </c>
      <c r="D4855" s="1" t="s">
        <v>144</v>
      </c>
      <c r="E4855" s="1" t="s">
        <v>542</v>
      </c>
      <c r="F4855" s="1" t="s">
        <v>69</v>
      </c>
      <c r="G4855" s="1" t="s">
        <v>169</v>
      </c>
      <c r="H4855" s="1" t="s">
        <v>348</v>
      </c>
      <c r="I4855" s="1">
        <v>340.07</v>
      </c>
      <c r="J4855" s="1">
        <v>6</v>
      </c>
      <c r="K4855" s="1">
        <v>2040.42</v>
      </c>
      <c r="L4855" s="1">
        <v>20</v>
      </c>
      <c r="M4855" s="1">
        <v>408.08</v>
      </c>
      <c r="N4855" s="1">
        <v>1632.34</v>
      </c>
      <c r="O4855" s="1" t="s">
        <v>24</v>
      </c>
      <c r="P4855" s="1" t="s">
        <v>423</v>
      </c>
      <c r="Q4855" s="1">
        <v>5</v>
      </c>
      <c r="R4855" s="1">
        <f>Retail_Sales_Analyis[[#This Row],[Final_Price]]-Retail_Sales_Analyis[[#This Row],[Total_Price]]</f>
        <v>-408.08000000000015</v>
      </c>
      <c r="S485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56" spans="1:19" x14ac:dyDescent="0.25">
      <c r="A4856" s="1" t="s">
        <v>5992</v>
      </c>
      <c r="B4856" s="2">
        <v>45446</v>
      </c>
      <c r="C4856" s="1" t="s">
        <v>173</v>
      </c>
      <c r="D4856" s="1" t="s">
        <v>43</v>
      </c>
      <c r="E4856" s="1" t="s">
        <v>117</v>
      </c>
      <c r="F4856" s="1" t="s">
        <v>21</v>
      </c>
      <c r="G4856" s="1" t="s">
        <v>112</v>
      </c>
      <c r="H4856" s="1" t="s">
        <v>113</v>
      </c>
      <c r="I4856" s="1">
        <v>1521.06</v>
      </c>
      <c r="J4856" s="1">
        <v>3</v>
      </c>
      <c r="K4856" s="1">
        <v>4563.18</v>
      </c>
      <c r="L4856" s="1">
        <v>20</v>
      </c>
      <c r="M4856" s="1">
        <v>912.64</v>
      </c>
      <c r="N4856" s="1">
        <v>3650.54</v>
      </c>
      <c r="O4856" s="1" t="s">
        <v>64</v>
      </c>
      <c r="P4856" s="1" t="s">
        <v>3467</v>
      </c>
      <c r="Q4856" s="1">
        <v>4</v>
      </c>
      <c r="R4856" s="1">
        <f>Retail_Sales_Analyis[[#This Row],[Final_Price]]-Retail_Sales_Analyis[[#This Row],[Total_Price]]</f>
        <v>-912.64000000000033</v>
      </c>
      <c r="S485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57" spans="1:19" x14ac:dyDescent="0.25">
      <c r="A4857" s="1" t="s">
        <v>5993</v>
      </c>
      <c r="B4857" s="2">
        <v>45507</v>
      </c>
      <c r="C4857" s="1" t="s">
        <v>93</v>
      </c>
      <c r="D4857" s="1" t="s">
        <v>19</v>
      </c>
      <c r="E4857" s="1" t="s">
        <v>192</v>
      </c>
      <c r="F4857" s="1" t="s">
        <v>84</v>
      </c>
      <c r="G4857" s="1" t="s">
        <v>38</v>
      </c>
      <c r="H4857" s="1" t="s">
        <v>214</v>
      </c>
      <c r="I4857" s="1">
        <v>423.75</v>
      </c>
      <c r="J4857" s="1">
        <v>9</v>
      </c>
      <c r="K4857" s="1">
        <v>3813.75</v>
      </c>
      <c r="L4857" s="1">
        <v>0</v>
      </c>
      <c r="M4857" s="1">
        <v>0</v>
      </c>
      <c r="N4857" s="1">
        <v>3813.75</v>
      </c>
      <c r="O4857" s="1" t="s">
        <v>24</v>
      </c>
      <c r="P4857" s="1" t="s">
        <v>269</v>
      </c>
      <c r="Q4857" s="1">
        <v>2</v>
      </c>
      <c r="R4857" s="1">
        <f>Retail_Sales_Analyis[[#This Row],[Final_Price]]-Retail_Sales_Analyis[[#This Row],[Total_Price]]</f>
        <v>0</v>
      </c>
      <c r="S485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58" spans="1:19" x14ac:dyDescent="0.25">
      <c r="A4858" s="1" t="s">
        <v>5994</v>
      </c>
      <c r="B4858" s="2">
        <v>45630</v>
      </c>
      <c r="C4858" s="1" t="s">
        <v>73</v>
      </c>
      <c r="D4858" s="1" t="s">
        <v>55</v>
      </c>
      <c r="E4858" s="1" t="s">
        <v>302</v>
      </c>
      <c r="F4858" s="1" t="s">
        <v>84</v>
      </c>
      <c r="G4858" s="1" t="s">
        <v>57</v>
      </c>
      <c r="H4858" s="1" t="s">
        <v>158</v>
      </c>
      <c r="I4858" s="1">
        <v>410.2</v>
      </c>
      <c r="J4858" s="1">
        <v>6</v>
      </c>
      <c r="K4858" s="1">
        <v>2461.1999999999998</v>
      </c>
      <c r="L4858" s="1">
        <v>20</v>
      </c>
      <c r="M4858" s="1">
        <v>492.24</v>
      </c>
      <c r="N4858" s="1">
        <v>1968.96</v>
      </c>
      <c r="O4858" s="1" t="s">
        <v>33</v>
      </c>
      <c r="P4858" s="1" t="s">
        <v>530</v>
      </c>
      <c r="Q4858" s="1">
        <v>1</v>
      </c>
      <c r="R4858" s="1">
        <f>Retail_Sales_Analyis[[#This Row],[Final_Price]]-Retail_Sales_Analyis[[#This Row],[Total_Price]]</f>
        <v>-492.23999999999978</v>
      </c>
      <c r="S485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59" spans="1:19" x14ac:dyDescent="0.25">
      <c r="A4859" s="1" t="s">
        <v>5995</v>
      </c>
      <c r="B4859" s="2">
        <v>45343</v>
      </c>
      <c r="C4859" s="1" t="s">
        <v>27</v>
      </c>
      <c r="D4859" s="1" t="s">
        <v>55</v>
      </c>
      <c r="E4859" s="1" t="s">
        <v>337</v>
      </c>
      <c r="F4859" s="1" t="s">
        <v>69</v>
      </c>
      <c r="G4859" s="1" t="s">
        <v>22</v>
      </c>
      <c r="H4859" s="1" t="s">
        <v>133</v>
      </c>
      <c r="I4859" s="1">
        <v>252.3</v>
      </c>
      <c r="J4859" s="1">
        <v>5</v>
      </c>
      <c r="K4859" s="1">
        <v>1261.5</v>
      </c>
      <c r="L4859" s="1">
        <v>5</v>
      </c>
      <c r="M4859" s="1">
        <v>63.08</v>
      </c>
      <c r="N4859" s="1">
        <v>1198.42</v>
      </c>
      <c r="O4859" s="1" t="s">
        <v>33</v>
      </c>
      <c r="P4859" s="1" t="s">
        <v>3299</v>
      </c>
      <c r="Q4859" s="1">
        <v>2</v>
      </c>
      <c r="R4859" s="1">
        <f>Retail_Sales_Analyis[[#This Row],[Final_Price]]-Retail_Sales_Analyis[[#This Row],[Total_Price]]</f>
        <v>-63.079999999999927</v>
      </c>
      <c r="S485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60" spans="1:19" x14ac:dyDescent="0.25">
      <c r="A4860" s="1" t="s">
        <v>5996</v>
      </c>
      <c r="B4860" s="2">
        <v>45631</v>
      </c>
      <c r="C4860" s="1" t="s">
        <v>73</v>
      </c>
      <c r="D4860" s="1" t="s">
        <v>67</v>
      </c>
      <c r="E4860" s="1" t="s">
        <v>322</v>
      </c>
      <c r="F4860" s="1" t="s">
        <v>30</v>
      </c>
      <c r="G4860" s="1" t="s">
        <v>38</v>
      </c>
      <c r="H4860" s="1" t="s">
        <v>108</v>
      </c>
      <c r="I4860" s="1">
        <v>477.07</v>
      </c>
      <c r="J4860" s="1">
        <v>4</v>
      </c>
      <c r="K4860" s="1">
        <v>1908.28</v>
      </c>
      <c r="L4860" s="1">
        <v>15</v>
      </c>
      <c r="M4860" s="1">
        <v>286.24</v>
      </c>
      <c r="N4860" s="1">
        <v>1622.04</v>
      </c>
      <c r="O4860" s="1" t="s">
        <v>46</v>
      </c>
      <c r="P4860" s="1" t="s">
        <v>1833</v>
      </c>
      <c r="Q4860" s="1">
        <v>3</v>
      </c>
      <c r="R4860" s="1">
        <f>Retail_Sales_Analyis[[#This Row],[Final_Price]]-Retail_Sales_Analyis[[#This Row],[Total_Price]]</f>
        <v>-286.24</v>
      </c>
      <c r="S486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1" spans="1:19" x14ac:dyDescent="0.25">
      <c r="A4861" s="1" t="s">
        <v>5997</v>
      </c>
      <c r="B4861" s="2">
        <v>45558</v>
      </c>
      <c r="C4861" s="1" t="s">
        <v>116</v>
      </c>
      <c r="D4861" s="1" t="s">
        <v>43</v>
      </c>
      <c r="E4861" s="1" t="s">
        <v>186</v>
      </c>
      <c r="F4861" s="1" t="s">
        <v>37</v>
      </c>
      <c r="G4861" s="1" t="s">
        <v>78</v>
      </c>
      <c r="H4861" s="1" t="s">
        <v>323</v>
      </c>
      <c r="I4861" s="1">
        <v>507.08</v>
      </c>
      <c r="J4861" s="1">
        <v>7</v>
      </c>
      <c r="K4861" s="1">
        <v>3549.56</v>
      </c>
      <c r="L4861" s="1">
        <v>20</v>
      </c>
      <c r="M4861" s="1">
        <v>709.91</v>
      </c>
      <c r="N4861" s="1">
        <v>2839.65</v>
      </c>
      <c r="O4861" s="1" t="s">
        <v>46</v>
      </c>
      <c r="P4861" s="1" t="s">
        <v>982</v>
      </c>
      <c r="Q4861" s="1">
        <v>4</v>
      </c>
      <c r="R4861" s="1">
        <f>Retail_Sales_Analyis[[#This Row],[Final_Price]]-Retail_Sales_Analyis[[#This Row],[Total_Price]]</f>
        <v>-709.90999999999985</v>
      </c>
      <c r="S48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62" spans="1:19" x14ac:dyDescent="0.25">
      <c r="A4862" s="1" t="s">
        <v>5998</v>
      </c>
      <c r="B4862" s="2">
        <v>45430</v>
      </c>
      <c r="C4862" s="1" t="s">
        <v>42</v>
      </c>
      <c r="D4862" s="1" t="s">
        <v>19</v>
      </c>
      <c r="E4862" s="1" t="s">
        <v>207</v>
      </c>
      <c r="F4862" s="1" t="s">
        <v>21</v>
      </c>
      <c r="G4862" s="1" t="s">
        <v>169</v>
      </c>
      <c r="H4862" s="1" t="s">
        <v>348</v>
      </c>
      <c r="I4862" s="1">
        <v>914.23</v>
      </c>
      <c r="J4862" s="1">
        <v>6</v>
      </c>
      <c r="K4862" s="1">
        <v>5485.38</v>
      </c>
      <c r="L4862" s="1">
        <v>10</v>
      </c>
      <c r="M4862" s="1">
        <v>548.54</v>
      </c>
      <c r="N4862" s="1">
        <v>4936.84</v>
      </c>
      <c r="O4862" s="1" t="s">
        <v>64</v>
      </c>
      <c r="P4862" s="1" t="s">
        <v>373</v>
      </c>
      <c r="Q4862" s="1">
        <v>4</v>
      </c>
      <c r="R4862" s="1">
        <f>Retail_Sales_Analyis[[#This Row],[Final_Price]]-Retail_Sales_Analyis[[#This Row],[Total_Price]]</f>
        <v>-548.54</v>
      </c>
      <c r="S486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3" spans="1:19" x14ac:dyDescent="0.25">
      <c r="A4863" s="1" t="s">
        <v>5999</v>
      </c>
      <c r="B4863" s="2">
        <v>45610</v>
      </c>
      <c r="C4863" s="1" t="s">
        <v>18</v>
      </c>
      <c r="D4863" s="1" t="s">
        <v>67</v>
      </c>
      <c r="E4863" s="1" t="s">
        <v>163</v>
      </c>
      <c r="F4863" s="1" t="s">
        <v>21</v>
      </c>
      <c r="G4863" s="1" t="s">
        <v>112</v>
      </c>
      <c r="H4863" s="1" t="s">
        <v>223</v>
      </c>
      <c r="I4863" s="1">
        <v>1318.16</v>
      </c>
      <c r="J4863" s="1">
        <v>9</v>
      </c>
      <c r="K4863" s="1">
        <v>11863.44</v>
      </c>
      <c r="L4863" s="1">
        <v>10</v>
      </c>
      <c r="M4863" s="1">
        <v>1186.3399999999999</v>
      </c>
      <c r="N4863" s="1">
        <v>10677.1</v>
      </c>
      <c r="O4863" s="1" t="s">
        <v>46</v>
      </c>
      <c r="P4863" s="1" t="s">
        <v>1345</v>
      </c>
      <c r="Q4863" s="1">
        <v>2</v>
      </c>
      <c r="R4863" s="1">
        <f>Retail_Sales_Analyis[[#This Row],[Final_Price]]-Retail_Sales_Analyis[[#This Row],[Total_Price]]</f>
        <v>-1186.3400000000001</v>
      </c>
      <c r="S486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4" spans="1:19" x14ac:dyDescent="0.25">
      <c r="A4864" s="1" t="s">
        <v>6000</v>
      </c>
      <c r="B4864" s="2">
        <v>45602</v>
      </c>
      <c r="C4864" s="1" t="s">
        <v>18</v>
      </c>
      <c r="D4864" s="1" t="s">
        <v>55</v>
      </c>
      <c r="E4864" s="1" t="s">
        <v>207</v>
      </c>
      <c r="F4864" s="1" t="s">
        <v>30</v>
      </c>
      <c r="G4864" s="1" t="s">
        <v>169</v>
      </c>
      <c r="H4864" s="1" t="s">
        <v>175</v>
      </c>
      <c r="I4864" s="1">
        <v>956.41</v>
      </c>
      <c r="J4864" s="1">
        <v>6</v>
      </c>
      <c r="K4864" s="1">
        <v>5738.46</v>
      </c>
      <c r="L4864" s="1">
        <v>5</v>
      </c>
      <c r="M4864" s="1">
        <v>286.92</v>
      </c>
      <c r="N4864" s="1">
        <v>5451.54</v>
      </c>
      <c r="O4864" s="1" t="s">
        <v>80</v>
      </c>
      <c r="P4864" s="1" t="s">
        <v>993</v>
      </c>
      <c r="Q4864" s="1">
        <v>1</v>
      </c>
      <c r="R4864" s="1">
        <f>Retail_Sales_Analyis[[#This Row],[Final_Price]]-Retail_Sales_Analyis[[#This Row],[Total_Price]]</f>
        <v>-286.92000000000007</v>
      </c>
      <c r="S4864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65" spans="1:19" x14ac:dyDescent="0.25">
      <c r="A4865" s="1" t="s">
        <v>6001</v>
      </c>
      <c r="B4865" s="2">
        <v>45650</v>
      </c>
      <c r="C4865" s="1" t="s">
        <v>73</v>
      </c>
      <c r="D4865" s="1" t="s">
        <v>28</v>
      </c>
      <c r="E4865" s="1" t="s">
        <v>213</v>
      </c>
      <c r="F4865" s="1" t="s">
        <v>84</v>
      </c>
      <c r="G4865" s="1" t="s">
        <v>22</v>
      </c>
      <c r="H4865" s="1" t="s">
        <v>133</v>
      </c>
      <c r="I4865" s="1">
        <v>615.27</v>
      </c>
      <c r="J4865" s="1">
        <v>1</v>
      </c>
      <c r="K4865" s="1">
        <v>615.27</v>
      </c>
      <c r="L4865" s="1">
        <v>15</v>
      </c>
      <c r="M4865" s="1">
        <v>92.29</v>
      </c>
      <c r="N4865" s="1">
        <v>522.98</v>
      </c>
      <c r="O4865" s="1" t="s">
        <v>46</v>
      </c>
      <c r="P4865" s="1" t="s">
        <v>425</v>
      </c>
      <c r="Q4865" s="1">
        <v>1</v>
      </c>
      <c r="R4865" s="1">
        <f>Retail_Sales_Analyis[[#This Row],[Final_Price]]-Retail_Sales_Analyis[[#This Row],[Total_Price]]</f>
        <v>-92.289999999999964</v>
      </c>
      <c r="S48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6" spans="1:19" x14ac:dyDescent="0.25">
      <c r="A4866" s="1" t="s">
        <v>6002</v>
      </c>
      <c r="B4866" s="2">
        <v>45362</v>
      </c>
      <c r="C4866" s="1" t="s">
        <v>61</v>
      </c>
      <c r="D4866" s="1" t="s">
        <v>43</v>
      </c>
      <c r="E4866" s="1" t="s">
        <v>139</v>
      </c>
      <c r="F4866" s="1" t="s">
        <v>21</v>
      </c>
      <c r="G4866" s="1" t="s">
        <v>85</v>
      </c>
      <c r="H4866" s="1" t="s">
        <v>180</v>
      </c>
      <c r="I4866" s="1">
        <v>2137.33</v>
      </c>
      <c r="J4866" s="1">
        <v>7</v>
      </c>
      <c r="K4866" s="1">
        <v>14961.31</v>
      </c>
      <c r="L4866" s="1">
        <v>20</v>
      </c>
      <c r="M4866" s="1">
        <v>2992.26</v>
      </c>
      <c r="N4866" s="1">
        <v>11969.05</v>
      </c>
      <c r="O4866" s="1" t="s">
        <v>64</v>
      </c>
      <c r="P4866" s="1" t="s">
        <v>1059</v>
      </c>
      <c r="Q4866" s="1">
        <v>5</v>
      </c>
      <c r="R4866" s="1">
        <f>Retail_Sales_Analyis[[#This Row],[Final_Price]]-Retail_Sales_Analyis[[#This Row],[Total_Price]]</f>
        <v>-2992.26</v>
      </c>
      <c r="S486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67" spans="1:19" x14ac:dyDescent="0.25">
      <c r="A4867" s="1" t="s">
        <v>6003</v>
      </c>
      <c r="B4867" s="2">
        <v>45506</v>
      </c>
      <c r="C4867" s="1" t="s">
        <v>93</v>
      </c>
      <c r="D4867" s="1" t="s">
        <v>144</v>
      </c>
      <c r="E4867" s="1" t="s">
        <v>145</v>
      </c>
      <c r="F4867" s="1" t="s">
        <v>69</v>
      </c>
      <c r="G4867" s="1" t="s">
        <v>169</v>
      </c>
      <c r="H4867" s="1" t="s">
        <v>348</v>
      </c>
      <c r="I4867" s="1">
        <v>546.27</v>
      </c>
      <c r="J4867" s="1">
        <v>7</v>
      </c>
      <c r="K4867" s="1">
        <v>3823.89</v>
      </c>
      <c r="L4867" s="1">
        <v>0</v>
      </c>
      <c r="M4867" s="1">
        <v>0</v>
      </c>
      <c r="N4867" s="1">
        <v>3823.89</v>
      </c>
      <c r="O4867" s="1" t="s">
        <v>80</v>
      </c>
      <c r="P4867" s="1" t="s">
        <v>723</v>
      </c>
      <c r="Q4867" s="1">
        <v>4</v>
      </c>
      <c r="R4867" s="1">
        <f>Retail_Sales_Analyis[[#This Row],[Final_Price]]-Retail_Sales_Analyis[[#This Row],[Total_Price]]</f>
        <v>0</v>
      </c>
      <c r="S486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68" spans="1:19" x14ac:dyDescent="0.25">
      <c r="A4868" s="1" t="s">
        <v>6004</v>
      </c>
      <c r="B4868" s="2">
        <v>45345</v>
      </c>
      <c r="C4868" s="1" t="s">
        <v>27</v>
      </c>
      <c r="D4868" s="1" t="s">
        <v>144</v>
      </c>
      <c r="E4868" s="1" t="s">
        <v>239</v>
      </c>
      <c r="F4868" s="1" t="s">
        <v>21</v>
      </c>
      <c r="G4868" s="1" t="s">
        <v>57</v>
      </c>
      <c r="H4868" s="1" t="s">
        <v>152</v>
      </c>
      <c r="I4868" s="1">
        <v>933.34</v>
      </c>
      <c r="J4868" s="1">
        <v>4</v>
      </c>
      <c r="K4868" s="1">
        <v>3733.36</v>
      </c>
      <c r="L4868" s="1">
        <v>15</v>
      </c>
      <c r="M4868" s="1">
        <v>560</v>
      </c>
      <c r="N4868" s="1">
        <v>3173.36</v>
      </c>
      <c r="O4868" s="1" t="s">
        <v>24</v>
      </c>
      <c r="P4868" s="1" t="s">
        <v>1761</v>
      </c>
      <c r="Q4868" s="1">
        <v>5</v>
      </c>
      <c r="R4868" s="1">
        <f>Retail_Sales_Analyis[[#This Row],[Final_Price]]-Retail_Sales_Analyis[[#This Row],[Total_Price]]</f>
        <v>-560</v>
      </c>
      <c r="S48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69" spans="1:19" x14ac:dyDescent="0.25">
      <c r="A4869" s="1" t="s">
        <v>6005</v>
      </c>
      <c r="B4869" s="2">
        <v>45553</v>
      </c>
      <c r="C4869" s="1" t="s">
        <v>116</v>
      </c>
      <c r="D4869" s="1" t="s">
        <v>55</v>
      </c>
      <c r="E4869" s="1" t="s">
        <v>62</v>
      </c>
      <c r="F4869" s="1" t="s">
        <v>37</v>
      </c>
      <c r="G4869" s="1" t="s">
        <v>85</v>
      </c>
      <c r="H4869" s="1" t="s">
        <v>98</v>
      </c>
      <c r="I4869" s="1">
        <v>3357.89</v>
      </c>
      <c r="J4869" s="1">
        <v>4</v>
      </c>
      <c r="K4869" s="1">
        <v>13431.56</v>
      </c>
      <c r="L4869" s="1">
        <v>10</v>
      </c>
      <c r="M4869" s="1">
        <v>1343.16</v>
      </c>
      <c r="N4869" s="1">
        <v>12088.4</v>
      </c>
      <c r="O4869" s="1" t="s">
        <v>24</v>
      </c>
      <c r="P4869" s="1" t="s">
        <v>2581</v>
      </c>
      <c r="Q4869" s="1">
        <v>3</v>
      </c>
      <c r="R4869" s="1">
        <f>Retail_Sales_Analyis[[#This Row],[Final_Price]]-Retail_Sales_Analyis[[#This Row],[Total_Price]]</f>
        <v>-1343.1599999999999</v>
      </c>
      <c r="S48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70" spans="1:19" x14ac:dyDescent="0.25">
      <c r="A4870" s="1" t="s">
        <v>6006</v>
      </c>
      <c r="B4870" s="2">
        <v>45608</v>
      </c>
      <c r="C4870" s="1" t="s">
        <v>18</v>
      </c>
      <c r="D4870" s="1" t="s">
        <v>28</v>
      </c>
      <c r="E4870" s="1" t="s">
        <v>196</v>
      </c>
      <c r="F4870" s="1" t="s">
        <v>37</v>
      </c>
      <c r="G4870" s="1" t="s">
        <v>57</v>
      </c>
      <c r="H4870" s="1" t="s">
        <v>152</v>
      </c>
      <c r="I4870" s="1">
        <v>2373.4499999999998</v>
      </c>
      <c r="J4870" s="1">
        <v>9</v>
      </c>
      <c r="K4870" s="1">
        <v>21361.05</v>
      </c>
      <c r="L4870" s="1">
        <v>20</v>
      </c>
      <c r="M4870" s="1">
        <v>4272.21</v>
      </c>
      <c r="N4870" s="1">
        <v>17088.84</v>
      </c>
      <c r="O4870" s="1" t="s">
        <v>64</v>
      </c>
      <c r="P4870" s="1" t="s">
        <v>451</v>
      </c>
      <c r="Q4870" s="1">
        <v>3</v>
      </c>
      <c r="R4870" s="1">
        <f>Retail_Sales_Analyis[[#This Row],[Final_Price]]-Retail_Sales_Analyis[[#This Row],[Total_Price]]</f>
        <v>-4272.2099999999991</v>
      </c>
      <c r="S4870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71" spans="1:19" x14ac:dyDescent="0.25">
      <c r="A4871" s="1" t="s">
        <v>6007</v>
      </c>
      <c r="B4871" s="2">
        <v>45352</v>
      </c>
      <c r="C4871" s="1" t="s">
        <v>61</v>
      </c>
      <c r="D4871" s="1" t="s">
        <v>144</v>
      </c>
      <c r="E4871" s="1" t="s">
        <v>204</v>
      </c>
      <c r="F4871" s="1" t="s">
        <v>69</v>
      </c>
      <c r="G4871" s="1" t="s">
        <v>169</v>
      </c>
      <c r="H4871" s="1" t="s">
        <v>348</v>
      </c>
      <c r="I4871" s="1">
        <v>643.47</v>
      </c>
      <c r="J4871" s="1">
        <v>7</v>
      </c>
      <c r="K4871" s="1">
        <v>4504.29</v>
      </c>
      <c r="L4871" s="1">
        <v>0</v>
      </c>
      <c r="M4871" s="1">
        <v>0</v>
      </c>
      <c r="N4871" s="1">
        <v>4504.29</v>
      </c>
      <c r="O4871" s="1" t="s">
        <v>80</v>
      </c>
      <c r="P4871" s="1" t="s">
        <v>190</v>
      </c>
      <c r="Q4871" s="1">
        <v>2</v>
      </c>
      <c r="R4871" s="1">
        <f>Retail_Sales_Analyis[[#This Row],[Final_Price]]-Retail_Sales_Analyis[[#This Row],[Total_Price]]</f>
        <v>0</v>
      </c>
      <c r="S48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2" spans="1:19" x14ac:dyDescent="0.25">
      <c r="A4872" s="1" t="s">
        <v>6008</v>
      </c>
      <c r="B4872" s="2">
        <v>45436</v>
      </c>
      <c r="C4872" s="1" t="s">
        <v>42</v>
      </c>
      <c r="D4872" s="1" t="s">
        <v>144</v>
      </c>
      <c r="E4872" s="1" t="s">
        <v>168</v>
      </c>
      <c r="F4872" s="1" t="s">
        <v>21</v>
      </c>
      <c r="G4872" s="1" t="s">
        <v>22</v>
      </c>
      <c r="H4872" s="1" t="s">
        <v>187</v>
      </c>
      <c r="I4872" s="1">
        <v>847.91</v>
      </c>
      <c r="J4872" s="1">
        <v>4</v>
      </c>
      <c r="K4872" s="1">
        <v>3391.64</v>
      </c>
      <c r="L4872" s="1">
        <v>0</v>
      </c>
      <c r="M4872" s="1">
        <v>0</v>
      </c>
      <c r="N4872" s="1">
        <v>3391.64</v>
      </c>
      <c r="O4872" s="1" t="s">
        <v>33</v>
      </c>
      <c r="P4872" s="1" t="s">
        <v>1113</v>
      </c>
      <c r="Q4872" s="1">
        <v>2</v>
      </c>
      <c r="R4872" s="1">
        <f>Retail_Sales_Analyis[[#This Row],[Final_Price]]-Retail_Sales_Analyis[[#This Row],[Total_Price]]</f>
        <v>0</v>
      </c>
      <c r="S487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3" spans="1:19" x14ac:dyDescent="0.25">
      <c r="A4873" s="1" t="s">
        <v>6009</v>
      </c>
      <c r="B4873" s="2">
        <v>45350</v>
      </c>
      <c r="C4873" s="1" t="s">
        <v>27</v>
      </c>
      <c r="D4873" s="1" t="s">
        <v>55</v>
      </c>
      <c r="E4873" s="1" t="s">
        <v>104</v>
      </c>
      <c r="F4873" s="1" t="s">
        <v>84</v>
      </c>
      <c r="G4873" s="1" t="s">
        <v>31</v>
      </c>
      <c r="H4873" s="1" t="s">
        <v>45</v>
      </c>
      <c r="I4873" s="1">
        <v>96.47</v>
      </c>
      <c r="J4873" s="1">
        <v>2</v>
      </c>
      <c r="K4873" s="1">
        <v>192.94</v>
      </c>
      <c r="L4873" s="1">
        <v>0</v>
      </c>
      <c r="M4873" s="1">
        <v>0</v>
      </c>
      <c r="N4873" s="1">
        <v>192.94</v>
      </c>
      <c r="O4873" s="1" t="s">
        <v>46</v>
      </c>
      <c r="P4873" s="1" t="s">
        <v>1203</v>
      </c>
      <c r="Q4873" s="1">
        <v>2</v>
      </c>
      <c r="R4873" s="1">
        <f>Retail_Sales_Analyis[[#This Row],[Final_Price]]-Retail_Sales_Analyis[[#This Row],[Total_Price]]</f>
        <v>0</v>
      </c>
      <c r="S487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4" spans="1:19" x14ac:dyDescent="0.25">
      <c r="A4874" s="1" t="s">
        <v>6010</v>
      </c>
      <c r="B4874" s="2">
        <v>45346</v>
      </c>
      <c r="C4874" s="1" t="s">
        <v>27</v>
      </c>
      <c r="D4874" s="1" t="s">
        <v>19</v>
      </c>
      <c r="E4874" s="1" t="s">
        <v>207</v>
      </c>
      <c r="F4874" s="1" t="s">
        <v>69</v>
      </c>
      <c r="G4874" s="1" t="s">
        <v>78</v>
      </c>
      <c r="H4874" s="1" t="s">
        <v>126</v>
      </c>
      <c r="I4874" s="1">
        <v>390.72</v>
      </c>
      <c r="J4874" s="1">
        <v>1</v>
      </c>
      <c r="K4874" s="1">
        <v>390.72</v>
      </c>
      <c r="L4874" s="1">
        <v>0</v>
      </c>
      <c r="M4874" s="1">
        <v>0</v>
      </c>
      <c r="N4874" s="1">
        <v>390.72</v>
      </c>
      <c r="O4874" s="1" t="s">
        <v>24</v>
      </c>
      <c r="P4874" s="1" t="s">
        <v>2636</v>
      </c>
      <c r="Q4874" s="1">
        <v>2</v>
      </c>
      <c r="R4874" s="1">
        <f>Retail_Sales_Analyis[[#This Row],[Final_Price]]-Retail_Sales_Analyis[[#This Row],[Total_Price]]</f>
        <v>0</v>
      </c>
      <c r="S487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5" spans="1:19" x14ac:dyDescent="0.25">
      <c r="A4875" s="1" t="s">
        <v>6011</v>
      </c>
      <c r="B4875" s="2">
        <v>45546</v>
      </c>
      <c r="C4875" s="1" t="s">
        <v>116</v>
      </c>
      <c r="D4875" s="1" t="s">
        <v>55</v>
      </c>
      <c r="E4875" s="1" t="s">
        <v>204</v>
      </c>
      <c r="F4875" s="1" t="s">
        <v>69</v>
      </c>
      <c r="G4875" s="1" t="s">
        <v>22</v>
      </c>
      <c r="H4875" s="1" t="s">
        <v>133</v>
      </c>
      <c r="I4875" s="1">
        <v>721.33</v>
      </c>
      <c r="J4875" s="1">
        <v>4</v>
      </c>
      <c r="K4875" s="1">
        <v>2885.32</v>
      </c>
      <c r="L4875" s="1">
        <v>10</v>
      </c>
      <c r="M4875" s="1">
        <v>288.52999999999997</v>
      </c>
      <c r="N4875" s="1">
        <v>2596.79</v>
      </c>
      <c r="O4875" s="1" t="s">
        <v>46</v>
      </c>
      <c r="P4875" s="1" t="s">
        <v>2392</v>
      </c>
      <c r="Q4875" s="1">
        <v>1</v>
      </c>
      <c r="R4875" s="1">
        <f>Retail_Sales_Analyis[[#This Row],[Final_Price]]-Retail_Sales_Analyis[[#This Row],[Total_Price]]</f>
        <v>-288.5300000000002</v>
      </c>
      <c r="S48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76" spans="1:19" x14ac:dyDescent="0.25">
      <c r="A4876" s="1" t="s">
        <v>6012</v>
      </c>
      <c r="B4876" s="2">
        <v>45393</v>
      </c>
      <c r="C4876" s="1" t="s">
        <v>54</v>
      </c>
      <c r="D4876" s="1" t="s">
        <v>67</v>
      </c>
      <c r="E4876" s="1" t="s">
        <v>157</v>
      </c>
      <c r="F4876" s="1" t="s">
        <v>69</v>
      </c>
      <c r="G4876" s="1" t="s">
        <v>31</v>
      </c>
      <c r="H4876" s="1" t="s">
        <v>32</v>
      </c>
      <c r="I4876" s="1">
        <v>56</v>
      </c>
      <c r="J4876" s="1">
        <v>9</v>
      </c>
      <c r="K4876" s="1">
        <v>504</v>
      </c>
      <c r="L4876" s="1">
        <v>5</v>
      </c>
      <c r="M4876" s="1">
        <v>25.2</v>
      </c>
      <c r="N4876" s="1">
        <v>478.8</v>
      </c>
      <c r="O4876" s="1" t="s">
        <v>46</v>
      </c>
      <c r="P4876" s="1" t="s">
        <v>2651</v>
      </c>
      <c r="Q4876" s="1">
        <v>5</v>
      </c>
      <c r="R4876" s="1">
        <f>Retail_Sales_Analyis[[#This Row],[Final_Price]]-Retail_Sales_Analyis[[#This Row],[Total_Price]]</f>
        <v>-25.199999999999989</v>
      </c>
      <c r="S487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77" spans="1:19" x14ac:dyDescent="0.25">
      <c r="A4877" s="1" t="s">
        <v>6013</v>
      </c>
      <c r="B4877" s="2">
        <v>45603</v>
      </c>
      <c r="C4877" s="1" t="s">
        <v>18</v>
      </c>
      <c r="D4877" s="1" t="s">
        <v>67</v>
      </c>
      <c r="E4877" s="1" t="s">
        <v>29</v>
      </c>
      <c r="F4877" s="1" t="s">
        <v>84</v>
      </c>
      <c r="G4877" s="1" t="s">
        <v>22</v>
      </c>
      <c r="H4877" s="1" t="s">
        <v>277</v>
      </c>
      <c r="I4877" s="1">
        <v>624.6</v>
      </c>
      <c r="J4877" s="1">
        <v>2</v>
      </c>
      <c r="K4877" s="1">
        <v>1249.2</v>
      </c>
      <c r="L4877" s="1">
        <v>0</v>
      </c>
      <c r="M4877" s="1">
        <v>0</v>
      </c>
      <c r="N4877" s="1">
        <v>1249.2</v>
      </c>
      <c r="O4877" s="1" t="s">
        <v>46</v>
      </c>
      <c r="P4877" s="1" t="s">
        <v>1500</v>
      </c>
      <c r="Q4877" s="1">
        <v>1</v>
      </c>
      <c r="R4877" s="1">
        <f>Retail_Sales_Analyis[[#This Row],[Final_Price]]-Retail_Sales_Analyis[[#This Row],[Total_Price]]</f>
        <v>0</v>
      </c>
      <c r="S487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78" spans="1:19" x14ac:dyDescent="0.25">
      <c r="A4878" s="1" t="s">
        <v>6014</v>
      </c>
      <c r="B4878" s="2">
        <v>45394</v>
      </c>
      <c r="C4878" s="1" t="s">
        <v>54</v>
      </c>
      <c r="D4878" s="1" t="s">
        <v>144</v>
      </c>
      <c r="E4878" s="1" t="s">
        <v>312</v>
      </c>
      <c r="F4878" s="1" t="s">
        <v>84</v>
      </c>
      <c r="G4878" s="1" t="s">
        <v>22</v>
      </c>
      <c r="H4878" s="1" t="s">
        <v>51</v>
      </c>
      <c r="I4878" s="1">
        <v>629.62</v>
      </c>
      <c r="J4878" s="1">
        <v>3</v>
      </c>
      <c r="K4878" s="1">
        <v>1888.86</v>
      </c>
      <c r="L4878" s="1">
        <v>10</v>
      </c>
      <c r="M4878" s="1">
        <v>188.89</v>
      </c>
      <c r="N4878" s="1">
        <v>1699.97</v>
      </c>
      <c r="O4878" s="1" t="s">
        <v>80</v>
      </c>
      <c r="P4878" s="1" t="s">
        <v>2959</v>
      </c>
      <c r="Q4878" s="1">
        <v>2</v>
      </c>
      <c r="R4878" s="1">
        <f>Retail_Sales_Analyis[[#This Row],[Final_Price]]-Retail_Sales_Analyis[[#This Row],[Total_Price]]</f>
        <v>-188.88999999999987</v>
      </c>
      <c r="S487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79" spans="1:19" x14ac:dyDescent="0.25">
      <c r="A4879" s="1" t="s">
        <v>6015</v>
      </c>
      <c r="B4879" s="2">
        <v>45426</v>
      </c>
      <c r="C4879" s="1" t="s">
        <v>42</v>
      </c>
      <c r="D4879" s="1" t="s">
        <v>28</v>
      </c>
      <c r="E4879" s="1" t="s">
        <v>174</v>
      </c>
      <c r="F4879" s="1" t="s">
        <v>37</v>
      </c>
      <c r="G4879" s="1" t="s">
        <v>57</v>
      </c>
      <c r="H4879" s="1" t="s">
        <v>122</v>
      </c>
      <c r="I4879" s="1">
        <v>2014.73</v>
      </c>
      <c r="J4879" s="1">
        <v>6</v>
      </c>
      <c r="K4879" s="1">
        <v>12088.38</v>
      </c>
      <c r="L4879" s="1">
        <v>15</v>
      </c>
      <c r="M4879" s="1">
        <v>1813.26</v>
      </c>
      <c r="N4879" s="1">
        <v>10275.120000000001</v>
      </c>
      <c r="O4879" s="1" t="s">
        <v>80</v>
      </c>
      <c r="P4879" s="1" t="s">
        <v>2511</v>
      </c>
      <c r="Q4879" s="1">
        <v>2</v>
      </c>
      <c r="R4879" s="1">
        <f>Retail_Sales_Analyis[[#This Row],[Final_Price]]-Retail_Sales_Analyis[[#This Row],[Total_Price]]</f>
        <v>-1813.2599999999984</v>
      </c>
      <c r="S487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80" spans="1:19" x14ac:dyDescent="0.25">
      <c r="A4880" s="1" t="s">
        <v>6016</v>
      </c>
      <c r="B4880" s="2">
        <v>45559</v>
      </c>
      <c r="C4880" s="1" t="s">
        <v>116</v>
      </c>
      <c r="D4880" s="1" t="s">
        <v>28</v>
      </c>
      <c r="E4880" s="1" t="s">
        <v>196</v>
      </c>
      <c r="F4880" s="1" t="s">
        <v>30</v>
      </c>
      <c r="G4880" s="1" t="s">
        <v>85</v>
      </c>
      <c r="H4880" s="1" t="s">
        <v>98</v>
      </c>
      <c r="I4880" s="1">
        <v>4148.59</v>
      </c>
      <c r="J4880" s="1">
        <v>9</v>
      </c>
      <c r="K4880" s="1">
        <v>37337.31</v>
      </c>
      <c r="L4880" s="1">
        <v>0</v>
      </c>
      <c r="M4880" s="1">
        <v>0</v>
      </c>
      <c r="N4880" s="1">
        <v>37337.31</v>
      </c>
      <c r="O4880" s="1" t="s">
        <v>46</v>
      </c>
      <c r="P4880" s="1" t="s">
        <v>1830</v>
      </c>
      <c r="Q4880" s="1">
        <v>4</v>
      </c>
      <c r="R4880" s="1">
        <f>Retail_Sales_Analyis[[#This Row],[Final_Price]]-Retail_Sales_Analyis[[#This Row],[Total_Price]]</f>
        <v>0</v>
      </c>
      <c r="S488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81" spans="1:19" x14ac:dyDescent="0.25">
      <c r="A4881" s="1" t="s">
        <v>6017</v>
      </c>
      <c r="B4881" s="2">
        <v>45395</v>
      </c>
      <c r="C4881" s="1" t="s">
        <v>54</v>
      </c>
      <c r="D4881" s="1" t="s">
        <v>19</v>
      </c>
      <c r="E4881" s="1" t="s">
        <v>29</v>
      </c>
      <c r="F4881" s="1" t="s">
        <v>21</v>
      </c>
      <c r="G4881" s="1" t="s">
        <v>78</v>
      </c>
      <c r="H4881" s="1" t="s">
        <v>146</v>
      </c>
      <c r="I4881" s="1">
        <v>522.39</v>
      </c>
      <c r="J4881" s="1">
        <v>7</v>
      </c>
      <c r="K4881" s="1">
        <v>3656.73</v>
      </c>
      <c r="L4881" s="1">
        <v>10</v>
      </c>
      <c r="M4881" s="1">
        <v>365.67</v>
      </c>
      <c r="N4881" s="1">
        <v>3291.06</v>
      </c>
      <c r="O4881" s="1" t="s">
        <v>80</v>
      </c>
      <c r="P4881" s="1" t="s">
        <v>745</v>
      </c>
      <c r="Q4881" s="1">
        <v>2</v>
      </c>
      <c r="R4881" s="1">
        <f>Retail_Sales_Analyis[[#This Row],[Final_Price]]-Retail_Sales_Analyis[[#This Row],[Total_Price]]</f>
        <v>-365.67000000000007</v>
      </c>
      <c r="S48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82" spans="1:19" x14ac:dyDescent="0.25">
      <c r="A4882" s="1" t="s">
        <v>6018</v>
      </c>
      <c r="B4882" s="2">
        <v>45475</v>
      </c>
      <c r="C4882" s="1" t="s">
        <v>195</v>
      </c>
      <c r="D4882" s="1" t="s">
        <v>28</v>
      </c>
      <c r="E4882" s="1" t="s">
        <v>62</v>
      </c>
      <c r="F4882" s="1" t="s">
        <v>69</v>
      </c>
      <c r="G4882" s="1" t="s">
        <v>31</v>
      </c>
      <c r="H4882" s="1" t="s">
        <v>250</v>
      </c>
      <c r="I4882" s="1">
        <v>334.55</v>
      </c>
      <c r="J4882" s="1">
        <v>9</v>
      </c>
      <c r="K4882" s="1">
        <v>3010.95</v>
      </c>
      <c r="L4882" s="1">
        <v>5</v>
      </c>
      <c r="M4882" s="1">
        <v>150.55000000000001</v>
      </c>
      <c r="N4882" s="1">
        <v>2860.4</v>
      </c>
      <c r="O4882" s="1" t="s">
        <v>24</v>
      </c>
      <c r="P4882" s="1" t="s">
        <v>2201</v>
      </c>
      <c r="Q4882" s="1">
        <v>1</v>
      </c>
      <c r="R4882" s="1">
        <f>Retail_Sales_Analyis[[#This Row],[Final_Price]]-Retail_Sales_Analyis[[#This Row],[Total_Price]]</f>
        <v>-150.54999999999973</v>
      </c>
      <c r="S488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83" spans="1:19" x14ac:dyDescent="0.25">
      <c r="A4883" s="1" t="s">
        <v>6019</v>
      </c>
      <c r="B4883" s="2">
        <v>45652</v>
      </c>
      <c r="C4883" s="1" t="s">
        <v>73</v>
      </c>
      <c r="D4883" s="1" t="s">
        <v>67</v>
      </c>
      <c r="E4883" s="1" t="s">
        <v>192</v>
      </c>
      <c r="F4883" s="1" t="s">
        <v>84</v>
      </c>
      <c r="G4883" s="1" t="s">
        <v>85</v>
      </c>
      <c r="H4883" s="1" t="s">
        <v>98</v>
      </c>
      <c r="I4883" s="1">
        <v>4973.6000000000004</v>
      </c>
      <c r="J4883" s="1">
        <v>7</v>
      </c>
      <c r="K4883" s="1">
        <v>34815.199999999997</v>
      </c>
      <c r="L4883" s="1">
        <v>5</v>
      </c>
      <c r="M4883" s="1">
        <v>1740.76</v>
      </c>
      <c r="N4883" s="1">
        <v>33074.44</v>
      </c>
      <c r="O4883" s="1" t="s">
        <v>80</v>
      </c>
      <c r="P4883" s="1" t="s">
        <v>3176</v>
      </c>
      <c r="Q4883" s="1">
        <v>1</v>
      </c>
      <c r="R4883" s="1">
        <f>Retail_Sales_Analyis[[#This Row],[Final_Price]]-Retail_Sales_Analyis[[#This Row],[Total_Price]]</f>
        <v>-1740.7599999999948</v>
      </c>
      <c r="S488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884" spans="1:19" x14ac:dyDescent="0.25">
      <c r="A4884" s="1" t="s">
        <v>6020</v>
      </c>
      <c r="B4884" s="2">
        <v>45501</v>
      </c>
      <c r="C4884" s="1" t="s">
        <v>195</v>
      </c>
      <c r="D4884" s="1" t="s">
        <v>49</v>
      </c>
      <c r="E4884" s="1" t="s">
        <v>163</v>
      </c>
      <c r="F4884" s="1" t="s">
        <v>37</v>
      </c>
      <c r="G4884" s="1" t="s">
        <v>22</v>
      </c>
      <c r="H4884" s="1" t="s">
        <v>51</v>
      </c>
      <c r="I4884" s="1">
        <v>229.93</v>
      </c>
      <c r="J4884" s="1">
        <v>2</v>
      </c>
      <c r="K4884" s="1">
        <v>459.86</v>
      </c>
      <c r="L4884" s="1">
        <v>0</v>
      </c>
      <c r="M4884" s="1">
        <v>0</v>
      </c>
      <c r="N4884" s="1">
        <v>459.86</v>
      </c>
      <c r="O4884" s="1" t="s">
        <v>24</v>
      </c>
      <c r="P4884" s="1" t="s">
        <v>2376</v>
      </c>
      <c r="Q4884" s="1">
        <v>2</v>
      </c>
      <c r="R4884" s="1">
        <f>Retail_Sales_Analyis[[#This Row],[Final_Price]]-Retail_Sales_Analyis[[#This Row],[Total_Price]]</f>
        <v>0</v>
      </c>
      <c r="S488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85" spans="1:19" x14ac:dyDescent="0.25">
      <c r="A4885" s="1" t="s">
        <v>6021</v>
      </c>
      <c r="B4885" s="2">
        <v>45443</v>
      </c>
      <c r="C4885" s="1" t="s">
        <v>42</v>
      </c>
      <c r="D4885" s="1" t="s">
        <v>144</v>
      </c>
      <c r="E4885" s="1" t="s">
        <v>174</v>
      </c>
      <c r="F4885" s="1" t="s">
        <v>69</v>
      </c>
      <c r="G4885" s="1" t="s">
        <v>38</v>
      </c>
      <c r="H4885" s="1" t="s">
        <v>108</v>
      </c>
      <c r="I4885" s="1">
        <v>173.64</v>
      </c>
      <c r="J4885" s="1">
        <v>3</v>
      </c>
      <c r="K4885" s="1">
        <v>520.91999999999996</v>
      </c>
      <c r="L4885" s="1">
        <v>0</v>
      </c>
      <c r="M4885" s="1">
        <v>0</v>
      </c>
      <c r="N4885" s="1">
        <v>520.91999999999996</v>
      </c>
      <c r="O4885" s="1" t="s">
        <v>80</v>
      </c>
      <c r="P4885" s="1" t="s">
        <v>3668</v>
      </c>
      <c r="Q4885" s="1">
        <v>2</v>
      </c>
      <c r="R4885" s="1">
        <f>Retail_Sales_Analyis[[#This Row],[Final_Price]]-Retail_Sales_Analyis[[#This Row],[Total_Price]]</f>
        <v>0</v>
      </c>
      <c r="S48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86" spans="1:19" x14ac:dyDescent="0.25">
      <c r="A4886" s="1" t="s">
        <v>6022</v>
      </c>
      <c r="B4886" s="2">
        <v>45374</v>
      </c>
      <c r="C4886" s="1" t="s">
        <v>61</v>
      </c>
      <c r="D4886" s="1" t="s">
        <v>19</v>
      </c>
      <c r="E4886" s="1" t="s">
        <v>145</v>
      </c>
      <c r="F4886" s="1" t="s">
        <v>69</v>
      </c>
      <c r="G4886" s="1" t="s">
        <v>38</v>
      </c>
      <c r="H4886" s="1" t="s">
        <v>70</v>
      </c>
      <c r="I4886" s="1">
        <v>412.5</v>
      </c>
      <c r="J4886" s="1">
        <v>9</v>
      </c>
      <c r="K4886" s="1">
        <v>3712.5</v>
      </c>
      <c r="L4886" s="1">
        <v>0</v>
      </c>
      <c r="M4886" s="1">
        <v>0</v>
      </c>
      <c r="N4886" s="1">
        <v>3712.5</v>
      </c>
      <c r="O4886" s="1" t="s">
        <v>33</v>
      </c>
      <c r="P4886" s="1" t="s">
        <v>2909</v>
      </c>
      <c r="Q4886" s="1">
        <v>2</v>
      </c>
      <c r="R4886" s="1">
        <f>Retail_Sales_Analyis[[#This Row],[Final_Price]]-Retail_Sales_Analyis[[#This Row],[Total_Price]]</f>
        <v>0</v>
      </c>
      <c r="S488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87" spans="1:19" x14ac:dyDescent="0.25">
      <c r="A4887" s="1" t="s">
        <v>6023</v>
      </c>
      <c r="B4887" s="2">
        <v>45312</v>
      </c>
      <c r="C4887" s="1" t="s">
        <v>36</v>
      </c>
      <c r="D4887" s="1" t="s">
        <v>49</v>
      </c>
      <c r="E4887" s="1" t="s">
        <v>56</v>
      </c>
      <c r="F4887" s="1" t="s">
        <v>69</v>
      </c>
      <c r="G4887" s="1" t="s">
        <v>22</v>
      </c>
      <c r="H4887" s="1" t="s">
        <v>133</v>
      </c>
      <c r="I4887" s="1">
        <v>583.72</v>
      </c>
      <c r="J4887" s="1">
        <v>4</v>
      </c>
      <c r="K4887" s="1">
        <v>2334.88</v>
      </c>
      <c r="L4887" s="1">
        <v>20</v>
      </c>
      <c r="M4887" s="1">
        <v>466.98</v>
      </c>
      <c r="N4887" s="1">
        <v>1867.9</v>
      </c>
      <c r="O4887" s="1" t="s">
        <v>64</v>
      </c>
      <c r="P4887" s="1" t="s">
        <v>528</v>
      </c>
      <c r="Q4887" s="1">
        <v>4</v>
      </c>
      <c r="R4887" s="1">
        <f>Retail_Sales_Analyis[[#This Row],[Final_Price]]-Retail_Sales_Analyis[[#This Row],[Total_Price]]</f>
        <v>-466.98</v>
      </c>
      <c r="S488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88" spans="1:19" x14ac:dyDescent="0.25">
      <c r="A4888" s="1" t="s">
        <v>6024</v>
      </c>
      <c r="B4888" s="2">
        <v>45572</v>
      </c>
      <c r="C4888" s="1" t="s">
        <v>76</v>
      </c>
      <c r="D4888" s="1" t="s">
        <v>43</v>
      </c>
      <c r="E4888" s="1" t="s">
        <v>261</v>
      </c>
      <c r="F4888" s="1" t="s">
        <v>84</v>
      </c>
      <c r="G4888" s="1" t="s">
        <v>22</v>
      </c>
      <c r="H4888" s="1" t="s">
        <v>23</v>
      </c>
      <c r="I4888" s="1">
        <v>688.98</v>
      </c>
      <c r="J4888" s="1">
        <v>6</v>
      </c>
      <c r="K4888" s="1">
        <v>4133.88</v>
      </c>
      <c r="L4888" s="1">
        <v>15</v>
      </c>
      <c r="M4888" s="1">
        <v>620.08000000000004</v>
      </c>
      <c r="N4888" s="1">
        <v>3513.8</v>
      </c>
      <c r="O4888" s="1" t="s">
        <v>24</v>
      </c>
      <c r="P4888" s="1" t="s">
        <v>780</v>
      </c>
      <c r="Q4888" s="1">
        <v>2</v>
      </c>
      <c r="R4888" s="1">
        <f>Retail_Sales_Analyis[[#This Row],[Final_Price]]-Retail_Sales_Analyis[[#This Row],[Total_Price]]</f>
        <v>-620.07999999999993</v>
      </c>
      <c r="S488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89" spans="1:19" x14ac:dyDescent="0.25">
      <c r="A4889" s="1" t="s">
        <v>6025</v>
      </c>
      <c r="B4889" s="2">
        <v>45546</v>
      </c>
      <c r="C4889" s="1" t="s">
        <v>116</v>
      </c>
      <c r="D4889" s="1" t="s">
        <v>55</v>
      </c>
      <c r="E4889" s="1" t="s">
        <v>132</v>
      </c>
      <c r="F4889" s="1" t="s">
        <v>84</v>
      </c>
      <c r="G4889" s="1" t="s">
        <v>112</v>
      </c>
      <c r="H4889" s="1" t="s">
        <v>288</v>
      </c>
      <c r="I4889" s="1">
        <v>1039.5999999999999</v>
      </c>
      <c r="J4889" s="1">
        <v>8</v>
      </c>
      <c r="K4889" s="1">
        <v>8316.7999999999993</v>
      </c>
      <c r="L4889" s="1">
        <v>0</v>
      </c>
      <c r="M4889" s="1">
        <v>0</v>
      </c>
      <c r="N4889" s="1">
        <v>8316.7999999999993</v>
      </c>
      <c r="O4889" s="1" t="s">
        <v>24</v>
      </c>
      <c r="P4889" s="1" t="s">
        <v>2143</v>
      </c>
      <c r="Q4889" s="1">
        <v>4</v>
      </c>
      <c r="R4889" s="1">
        <f>Retail_Sales_Analyis[[#This Row],[Final_Price]]-Retail_Sales_Analyis[[#This Row],[Total_Price]]</f>
        <v>0</v>
      </c>
      <c r="S48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0" spans="1:19" x14ac:dyDescent="0.25">
      <c r="A4890" s="1" t="s">
        <v>6026</v>
      </c>
      <c r="B4890" s="2">
        <v>45398</v>
      </c>
      <c r="C4890" s="1" t="s">
        <v>54</v>
      </c>
      <c r="D4890" s="1" t="s">
        <v>28</v>
      </c>
      <c r="E4890" s="1" t="s">
        <v>117</v>
      </c>
      <c r="F4890" s="1" t="s">
        <v>30</v>
      </c>
      <c r="G4890" s="1" t="s">
        <v>57</v>
      </c>
      <c r="H4890" s="1" t="s">
        <v>58</v>
      </c>
      <c r="I4890" s="1">
        <v>1333.07</v>
      </c>
      <c r="J4890" s="1">
        <v>4</v>
      </c>
      <c r="K4890" s="1">
        <v>5332.28</v>
      </c>
      <c r="L4890" s="1">
        <v>15</v>
      </c>
      <c r="M4890" s="1">
        <v>799.84</v>
      </c>
      <c r="N4890" s="1">
        <v>4532.4399999999996</v>
      </c>
      <c r="O4890" s="1" t="s">
        <v>64</v>
      </c>
      <c r="P4890" s="1" t="s">
        <v>890</v>
      </c>
      <c r="Q4890" s="1">
        <v>4</v>
      </c>
      <c r="R4890" s="1">
        <f>Retail_Sales_Analyis[[#This Row],[Final_Price]]-Retail_Sales_Analyis[[#This Row],[Total_Price]]</f>
        <v>-799.84000000000015</v>
      </c>
      <c r="S489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91" spans="1:19" x14ac:dyDescent="0.25">
      <c r="A4891" s="1" t="s">
        <v>6027</v>
      </c>
      <c r="B4891" s="2">
        <v>45644</v>
      </c>
      <c r="C4891" s="1" t="s">
        <v>73</v>
      </c>
      <c r="D4891" s="1" t="s">
        <v>55</v>
      </c>
      <c r="E4891" s="1" t="s">
        <v>83</v>
      </c>
      <c r="F4891" s="1" t="s">
        <v>69</v>
      </c>
      <c r="G4891" s="1" t="s">
        <v>169</v>
      </c>
      <c r="H4891" s="1" t="s">
        <v>170</v>
      </c>
      <c r="I4891" s="1">
        <v>626.83000000000004</v>
      </c>
      <c r="J4891" s="1">
        <v>4</v>
      </c>
      <c r="K4891" s="1">
        <v>2507.3200000000002</v>
      </c>
      <c r="L4891" s="1">
        <v>0</v>
      </c>
      <c r="M4891" s="1">
        <v>0</v>
      </c>
      <c r="N4891" s="1">
        <v>2507.3200000000002</v>
      </c>
      <c r="O4891" s="1" t="s">
        <v>33</v>
      </c>
      <c r="P4891" s="1" t="s">
        <v>907</v>
      </c>
      <c r="Q4891" s="1">
        <v>4</v>
      </c>
      <c r="R4891" s="1">
        <f>Retail_Sales_Analyis[[#This Row],[Final_Price]]-Retail_Sales_Analyis[[#This Row],[Total_Price]]</f>
        <v>0</v>
      </c>
      <c r="S489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2" spans="1:19" x14ac:dyDescent="0.25">
      <c r="A4892" s="1" t="s">
        <v>6028</v>
      </c>
      <c r="B4892" s="2">
        <v>45538</v>
      </c>
      <c r="C4892" s="1" t="s">
        <v>116</v>
      </c>
      <c r="D4892" s="1" t="s">
        <v>28</v>
      </c>
      <c r="E4892" s="1" t="s">
        <v>125</v>
      </c>
      <c r="F4892" s="1" t="s">
        <v>69</v>
      </c>
      <c r="G4892" s="1" t="s">
        <v>78</v>
      </c>
      <c r="H4892" s="1" t="s">
        <v>126</v>
      </c>
      <c r="I4892" s="1">
        <v>212.14</v>
      </c>
      <c r="J4892" s="1">
        <v>10</v>
      </c>
      <c r="K4892" s="1">
        <v>2121.4</v>
      </c>
      <c r="L4892" s="1">
        <v>0</v>
      </c>
      <c r="M4892" s="1">
        <v>0</v>
      </c>
      <c r="N4892" s="1">
        <v>2121.4</v>
      </c>
      <c r="O4892" s="1" t="s">
        <v>46</v>
      </c>
      <c r="P4892" s="1" t="s">
        <v>2810</v>
      </c>
      <c r="Q4892" s="1">
        <v>5</v>
      </c>
      <c r="R4892" s="1">
        <f>Retail_Sales_Analyis[[#This Row],[Final_Price]]-Retail_Sales_Analyis[[#This Row],[Total_Price]]</f>
        <v>0</v>
      </c>
      <c r="S489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3" spans="1:19" x14ac:dyDescent="0.25">
      <c r="A4893" s="1" t="s">
        <v>6029</v>
      </c>
      <c r="B4893" s="2">
        <v>45461</v>
      </c>
      <c r="C4893" s="1" t="s">
        <v>173</v>
      </c>
      <c r="D4893" s="1" t="s">
        <v>28</v>
      </c>
      <c r="E4893" s="1" t="s">
        <v>174</v>
      </c>
      <c r="F4893" s="1" t="s">
        <v>84</v>
      </c>
      <c r="G4893" s="1" t="s">
        <v>57</v>
      </c>
      <c r="H4893" s="1" t="s">
        <v>58</v>
      </c>
      <c r="I4893" s="1">
        <v>1016.58</v>
      </c>
      <c r="J4893" s="1">
        <v>9</v>
      </c>
      <c r="K4893" s="1">
        <v>9149.2199999999993</v>
      </c>
      <c r="L4893" s="1">
        <v>10</v>
      </c>
      <c r="M4893" s="1">
        <v>914.92</v>
      </c>
      <c r="N4893" s="1">
        <v>8234.2999999999993</v>
      </c>
      <c r="O4893" s="1" t="s">
        <v>64</v>
      </c>
      <c r="P4893" s="1" t="s">
        <v>2074</v>
      </c>
      <c r="Q4893" s="1">
        <v>2</v>
      </c>
      <c r="R4893" s="1">
        <f>Retail_Sales_Analyis[[#This Row],[Final_Price]]-Retail_Sales_Analyis[[#This Row],[Total_Price]]</f>
        <v>-914.92000000000007</v>
      </c>
      <c r="S48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894" spans="1:19" x14ac:dyDescent="0.25">
      <c r="A4894" s="1" t="s">
        <v>6030</v>
      </c>
      <c r="B4894" s="2">
        <v>45412</v>
      </c>
      <c r="C4894" s="1" t="s">
        <v>54</v>
      </c>
      <c r="D4894" s="1" t="s">
        <v>28</v>
      </c>
      <c r="E4894" s="1" t="s">
        <v>129</v>
      </c>
      <c r="F4894" s="1" t="s">
        <v>30</v>
      </c>
      <c r="G4894" s="1" t="s">
        <v>22</v>
      </c>
      <c r="H4894" s="1" t="s">
        <v>133</v>
      </c>
      <c r="I4894" s="1">
        <v>425.64</v>
      </c>
      <c r="J4894" s="1">
        <v>5</v>
      </c>
      <c r="K4894" s="1">
        <v>2128.1999999999998</v>
      </c>
      <c r="L4894" s="1">
        <v>0</v>
      </c>
      <c r="M4894" s="1">
        <v>0</v>
      </c>
      <c r="N4894" s="1">
        <v>2128.1999999999998</v>
      </c>
      <c r="O4894" s="1" t="s">
        <v>46</v>
      </c>
      <c r="P4894" s="1" t="s">
        <v>877</v>
      </c>
      <c r="Q4894" s="1">
        <v>1</v>
      </c>
      <c r="R4894" s="1">
        <f>Retail_Sales_Analyis[[#This Row],[Final_Price]]-Retail_Sales_Analyis[[#This Row],[Total_Price]]</f>
        <v>0</v>
      </c>
      <c r="S489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5" spans="1:19" x14ac:dyDescent="0.25">
      <c r="A4895" s="1" t="s">
        <v>6031</v>
      </c>
      <c r="B4895" s="2">
        <v>45293</v>
      </c>
      <c r="C4895" s="1" t="s">
        <v>36</v>
      </c>
      <c r="D4895" s="1" t="s">
        <v>28</v>
      </c>
      <c r="E4895" s="1" t="s">
        <v>129</v>
      </c>
      <c r="F4895" s="1" t="s">
        <v>84</v>
      </c>
      <c r="G4895" s="1" t="s">
        <v>22</v>
      </c>
      <c r="H4895" s="1" t="s">
        <v>51</v>
      </c>
      <c r="I4895" s="1">
        <v>712.35</v>
      </c>
      <c r="J4895" s="1">
        <v>3</v>
      </c>
      <c r="K4895" s="1">
        <v>2137.0500000000002</v>
      </c>
      <c r="L4895" s="1">
        <v>0</v>
      </c>
      <c r="M4895" s="1">
        <v>0</v>
      </c>
      <c r="N4895" s="1">
        <v>2137.0500000000002</v>
      </c>
      <c r="O4895" s="1" t="s">
        <v>33</v>
      </c>
      <c r="P4895" s="1" t="s">
        <v>545</v>
      </c>
      <c r="Q4895" s="1">
        <v>5</v>
      </c>
      <c r="R4895" s="1">
        <f>Retail_Sales_Analyis[[#This Row],[Final_Price]]-Retail_Sales_Analyis[[#This Row],[Total_Price]]</f>
        <v>0</v>
      </c>
      <c r="S48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6" spans="1:19" x14ac:dyDescent="0.25">
      <c r="A4896" s="1" t="s">
        <v>6032</v>
      </c>
      <c r="B4896" s="2">
        <v>45298</v>
      </c>
      <c r="C4896" s="1" t="s">
        <v>36</v>
      </c>
      <c r="D4896" s="1" t="s">
        <v>49</v>
      </c>
      <c r="E4896" s="1" t="s">
        <v>145</v>
      </c>
      <c r="F4896" s="1" t="s">
        <v>21</v>
      </c>
      <c r="G4896" s="1" t="s">
        <v>169</v>
      </c>
      <c r="H4896" s="1" t="s">
        <v>348</v>
      </c>
      <c r="I4896" s="1">
        <v>1210.83</v>
      </c>
      <c r="J4896" s="1">
        <v>1</v>
      </c>
      <c r="K4896" s="1">
        <v>1210.83</v>
      </c>
      <c r="L4896" s="1">
        <v>0</v>
      </c>
      <c r="M4896" s="1">
        <v>0</v>
      </c>
      <c r="N4896" s="1">
        <v>1210.83</v>
      </c>
      <c r="O4896" s="1" t="s">
        <v>33</v>
      </c>
      <c r="P4896" s="1" t="s">
        <v>1809</v>
      </c>
      <c r="Q4896" s="1">
        <v>4</v>
      </c>
      <c r="R4896" s="1">
        <f>Retail_Sales_Analyis[[#This Row],[Final_Price]]-Retail_Sales_Analyis[[#This Row],[Total_Price]]</f>
        <v>0</v>
      </c>
      <c r="S489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7" spans="1:19" x14ac:dyDescent="0.25">
      <c r="A4897" s="1" t="s">
        <v>6033</v>
      </c>
      <c r="B4897" s="2">
        <v>45635</v>
      </c>
      <c r="C4897" s="1" t="s">
        <v>73</v>
      </c>
      <c r="D4897" s="1" t="s">
        <v>43</v>
      </c>
      <c r="E4897" s="1" t="s">
        <v>145</v>
      </c>
      <c r="F4897" s="1" t="s">
        <v>69</v>
      </c>
      <c r="G4897" s="1" t="s">
        <v>38</v>
      </c>
      <c r="H4897" s="1" t="s">
        <v>39</v>
      </c>
      <c r="I4897" s="1">
        <v>255.96</v>
      </c>
      <c r="J4897" s="1">
        <v>9</v>
      </c>
      <c r="K4897" s="1">
        <v>2303.64</v>
      </c>
      <c r="L4897" s="1">
        <v>20</v>
      </c>
      <c r="M4897" s="1">
        <v>460.73</v>
      </c>
      <c r="N4897" s="1">
        <v>1842.91</v>
      </c>
      <c r="O4897" s="1" t="s">
        <v>24</v>
      </c>
      <c r="P4897" s="1" t="s">
        <v>2376</v>
      </c>
      <c r="Q4897" s="1">
        <v>3</v>
      </c>
      <c r="R4897" s="1">
        <f>Retail_Sales_Analyis[[#This Row],[Final_Price]]-Retail_Sales_Analyis[[#This Row],[Total_Price]]</f>
        <v>-460.72999999999979</v>
      </c>
      <c r="S489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898" spans="1:19" x14ac:dyDescent="0.25">
      <c r="A4898" s="1" t="s">
        <v>6034</v>
      </c>
      <c r="B4898" s="2">
        <v>45337</v>
      </c>
      <c r="C4898" s="1" t="s">
        <v>27</v>
      </c>
      <c r="D4898" s="1" t="s">
        <v>67</v>
      </c>
      <c r="E4898" s="1" t="s">
        <v>166</v>
      </c>
      <c r="F4898" s="1" t="s">
        <v>30</v>
      </c>
      <c r="G4898" s="1" t="s">
        <v>169</v>
      </c>
      <c r="H4898" s="1" t="s">
        <v>366</v>
      </c>
      <c r="I4898" s="1">
        <v>824.45</v>
      </c>
      <c r="J4898" s="1">
        <v>9</v>
      </c>
      <c r="K4898" s="1">
        <v>7420.05</v>
      </c>
      <c r="L4898" s="1">
        <v>0</v>
      </c>
      <c r="M4898" s="1">
        <v>0</v>
      </c>
      <c r="N4898" s="1">
        <v>7420.05</v>
      </c>
      <c r="O4898" s="1" t="s">
        <v>80</v>
      </c>
      <c r="P4898" s="1" t="s">
        <v>1791</v>
      </c>
      <c r="Q4898" s="1">
        <v>4</v>
      </c>
      <c r="R4898" s="1">
        <f>Retail_Sales_Analyis[[#This Row],[Final_Price]]-Retail_Sales_Analyis[[#This Row],[Total_Price]]</f>
        <v>0</v>
      </c>
      <c r="S489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899" spans="1:19" x14ac:dyDescent="0.25">
      <c r="A4899" s="1" t="s">
        <v>6035</v>
      </c>
      <c r="B4899" s="2">
        <v>45348</v>
      </c>
      <c r="C4899" s="1" t="s">
        <v>27</v>
      </c>
      <c r="D4899" s="1" t="s">
        <v>43</v>
      </c>
      <c r="E4899" s="1" t="s">
        <v>157</v>
      </c>
      <c r="F4899" s="1" t="s">
        <v>69</v>
      </c>
      <c r="G4899" s="1" t="s">
        <v>169</v>
      </c>
      <c r="H4899" s="1" t="s">
        <v>208</v>
      </c>
      <c r="I4899" s="1">
        <v>928.81</v>
      </c>
      <c r="J4899" s="1">
        <v>2</v>
      </c>
      <c r="K4899" s="1">
        <v>1857.62</v>
      </c>
      <c r="L4899" s="1">
        <v>10</v>
      </c>
      <c r="M4899" s="1">
        <v>185.76</v>
      </c>
      <c r="N4899" s="1">
        <v>1671.86</v>
      </c>
      <c r="O4899" s="1" t="s">
        <v>80</v>
      </c>
      <c r="P4899" s="1" t="s">
        <v>2955</v>
      </c>
      <c r="Q4899" s="1">
        <v>4</v>
      </c>
      <c r="R4899" s="1">
        <f>Retail_Sales_Analyis[[#This Row],[Final_Price]]-Retail_Sales_Analyis[[#This Row],[Total_Price]]</f>
        <v>-185.76</v>
      </c>
      <c r="S489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0" spans="1:19" x14ac:dyDescent="0.25">
      <c r="A4900" s="1" t="s">
        <v>6036</v>
      </c>
      <c r="B4900" s="2">
        <v>45585</v>
      </c>
      <c r="C4900" s="1" t="s">
        <v>76</v>
      </c>
      <c r="D4900" s="1" t="s">
        <v>49</v>
      </c>
      <c r="E4900" s="1" t="s">
        <v>351</v>
      </c>
      <c r="F4900" s="1" t="s">
        <v>37</v>
      </c>
      <c r="G4900" s="1" t="s">
        <v>57</v>
      </c>
      <c r="H4900" s="1" t="s">
        <v>122</v>
      </c>
      <c r="I4900" s="1">
        <v>2413.9699999999998</v>
      </c>
      <c r="J4900" s="1">
        <v>2</v>
      </c>
      <c r="K4900" s="1">
        <v>4827.9399999999996</v>
      </c>
      <c r="L4900" s="1">
        <v>0</v>
      </c>
      <c r="M4900" s="1">
        <v>0</v>
      </c>
      <c r="N4900" s="1">
        <v>4827.9399999999996</v>
      </c>
      <c r="O4900" s="1" t="s">
        <v>64</v>
      </c>
      <c r="P4900" s="1" t="s">
        <v>794</v>
      </c>
      <c r="Q4900" s="1">
        <v>5</v>
      </c>
      <c r="R4900" s="1">
        <f>Retail_Sales_Analyis[[#This Row],[Final_Price]]-Retail_Sales_Analyis[[#This Row],[Total_Price]]</f>
        <v>0</v>
      </c>
      <c r="S490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01" spans="1:19" x14ac:dyDescent="0.25">
      <c r="A4901" s="1" t="s">
        <v>6037</v>
      </c>
      <c r="B4901" s="2">
        <v>45634</v>
      </c>
      <c r="C4901" s="1" t="s">
        <v>73</v>
      </c>
      <c r="D4901" s="1" t="s">
        <v>49</v>
      </c>
      <c r="E4901" s="1" t="s">
        <v>207</v>
      </c>
      <c r="F4901" s="1" t="s">
        <v>30</v>
      </c>
      <c r="G4901" s="1" t="s">
        <v>31</v>
      </c>
      <c r="H4901" s="1" t="s">
        <v>63</v>
      </c>
      <c r="I4901" s="1">
        <v>314.62</v>
      </c>
      <c r="J4901" s="1">
        <v>3</v>
      </c>
      <c r="K4901" s="1">
        <v>943.86</v>
      </c>
      <c r="L4901" s="1">
        <v>0</v>
      </c>
      <c r="M4901" s="1">
        <v>0</v>
      </c>
      <c r="N4901" s="1">
        <v>943.86</v>
      </c>
      <c r="O4901" s="1" t="s">
        <v>24</v>
      </c>
      <c r="P4901" s="1" t="s">
        <v>240</v>
      </c>
      <c r="Q4901" s="1">
        <v>1</v>
      </c>
      <c r="R4901" s="1">
        <f>Retail_Sales_Analyis[[#This Row],[Final_Price]]-Retail_Sales_Analyis[[#This Row],[Total_Price]]</f>
        <v>0</v>
      </c>
      <c r="S490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02" spans="1:19" x14ac:dyDescent="0.25">
      <c r="A4902" s="1" t="s">
        <v>6038</v>
      </c>
      <c r="B4902" s="2">
        <v>45544</v>
      </c>
      <c r="C4902" s="1" t="s">
        <v>116</v>
      </c>
      <c r="D4902" s="1" t="s">
        <v>43</v>
      </c>
      <c r="E4902" s="1" t="s">
        <v>328</v>
      </c>
      <c r="F4902" s="1" t="s">
        <v>21</v>
      </c>
      <c r="G4902" s="1" t="s">
        <v>78</v>
      </c>
      <c r="H4902" s="1" t="s">
        <v>323</v>
      </c>
      <c r="I4902" s="1">
        <v>293.7</v>
      </c>
      <c r="J4902" s="1">
        <v>5</v>
      </c>
      <c r="K4902" s="1">
        <v>1468.5</v>
      </c>
      <c r="L4902" s="1">
        <v>10</v>
      </c>
      <c r="M4902" s="1">
        <v>146.85</v>
      </c>
      <c r="N4902" s="1">
        <v>1321.65</v>
      </c>
      <c r="O4902" s="1" t="s">
        <v>33</v>
      </c>
      <c r="P4902" s="1" t="s">
        <v>574</v>
      </c>
      <c r="Q4902" s="1">
        <v>2</v>
      </c>
      <c r="R4902" s="1">
        <f>Retail_Sales_Analyis[[#This Row],[Final_Price]]-Retail_Sales_Analyis[[#This Row],[Total_Price]]</f>
        <v>-146.84999999999991</v>
      </c>
      <c r="S490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3" spans="1:19" x14ac:dyDescent="0.25">
      <c r="A4903" s="1" t="s">
        <v>6039</v>
      </c>
      <c r="B4903" s="2">
        <v>45368</v>
      </c>
      <c r="C4903" s="1" t="s">
        <v>61</v>
      </c>
      <c r="D4903" s="1" t="s">
        <v>49</v>
      </c>
      <c r="E4903" s="1" t="s">
        <v>207</v>
      </c>
      <c r="F4903" s="1" t="s">
        <v>37</v>
      </c>
      <c r="G4903" s="1" t="s">
        <v>169</v>
      </c>
      <c r="H4903" s="1" t="s">
        <v>208</v>
      </c>
      <c r="I4903" s="1">
        <v>1122.58</v>
      </c>
      <c r="J4903" s="1">
        <v>8</v>
      </c>
      <c r="K4903" s="1">
        <v>8980.64</v>
      </c>
      <c r="L4903" s="1">
        <v>15</v>
      </c>
      <c r="M4903" s="1">
        <v>1347.1</v>
      </c>
      <c r="N4903" s="1">
        <v>7633.54</v>
      </c>
      <c r="O4903" s="1" t="s">
        <v>24</v>
      </c>
      <c r="P4903" s="1" t="s">
        <v>1372</v>
      </c>
      <c r="Q4903" s="1">
        <v>3</v>
      </c>
      <c r="R4903" s="1">
        <f>Retail_Sales_Analyis[[#This Row],[Final_Price]]-Retail_Sales_Analyis[[#This Row],[Total_Price]]</f>
        <v>-1347.0999999999995</v>
      </c>
      <c r="S490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4" spans="1:19" x14ac:dyDescent="0.25">
      <c r="A4904" s="1" t="s">
        <v>6040</v>
      </c>
      <c r="B4904" s="2">
        <v>45338</v>
      </c>
      <c r="C4904" s="1" t="s">
        <v>27</v>
      </c>
      <c r="D4904" s="1" t="s">
        <v>144</v>
      </c>
      <c r="E4904" s="1" t="s">
        <v>111</v>
      </c>
      <c r="F4904" s="1" t="s">
        <v>84</v>
      </c>
      <c r="G4904" s="1" t="s">
        <v>78</v>
      </c>
      <c r="H4904" s="1" t="s">
        <v>323</v>
      </c>
      <c r="I4904" s="1">
        <v>365.48</v>
      </c>
      <c r="J4904" s="1">
        <v>9</v>
      </c>
      <c r="K4904" s="1">
        <v>3289.32</v>
      </c>
      <c r="L4904" s="1">
        <v>15</v>
      </c>
      <c r="M4904" s="1">
        <v>493.4</v>
      </c>
      <c r="N4904" s="1">
        <v>2795.92</v>
      </c>
      <c r="O4904" s="1" t="s">
        <v>46</v>
      </c>
      <c r="P4904" s="1" t="s">
        <v>3469</v>
      </c>
      <c r="Q4904" s="1">
        <v>1</v>
      </c>
      <c r="R4904" s="1">
        <f>Retail_Sales_Analyis[[#This Row],[Final_Price]]-Retail_Sales_Analyis[[#This Row],[Total_Price]]</f>
        <v>-493.40000000000009</v>
      </c>
      <c r="S490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5" spans="1:19" x14ac:dyDescent="0.25">
      <c r="A4905" s="1" t="s">
        <v>6041</v>
      </c>
      <c r="B4905" s="2">
        <v>45553</v>
      </c>
      <c r="C4905" s="1" t="s">
        <v>116</v>
      </c>
      <c r="D4905" s="1" t="s">
        <v>55</v>
      </c>
      <c r="E4905" s="1" t="s">
        <v>285</v>
      </c>
      <c r="F4905" s="1" t="s">
        <v>37</v>
      </c>
      <c r="G4905" s="1" t="s">
        <v>112</v>
      </c>
      <c r="H4905" s="1" t="s">
        <v>223</v>
      </c>
      <c r="I4905" s="1">
        <v>1619.55</v>
      </c>
      <c r="J4905" s="1">
        <v>7</v>
      </c>
      <c r="K4905" s="1">
        <v>11336.85</v>
      </c>
      <c r="L4905" s="1">
        <v>20</v>
      </c>
      <c r="M4905" s="1">
        <v>2267.37</v>
      </c>
      <c r="N4905" s="1">
        <v>9069.48</v>
      </c>
      <c r="O4905" s="1" t="s">
        <v>24</v>
      </c>
      <c r="P4905" s="1" t="s">
        <v>1477</v>
      </c>
      <c r="Q4905" s="1">
        <v>4</v>
      </c>
      <c r="R4905" s="1">
        <f>Retail_Sales_Analyis[[#This Row],[Final_Price]]-Retail_Sales_Analyis[[#This Row],[Total_Price]]</f>
        <v>-2267.3700000000008</v>
      </c>
      <c r="S490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06" spans="1:19" x14ac:dyDescent="0.25">
      <c r="A4906" s="1" t="s">
        <v>6042</v>
      </c>
      <c r="B4906" s="2">
        <v>45330</v>
      </c>
      <c r="C4906" s="1" t="s">
        <v>27</v>
      </c>
      <c r="D4906" s="1" t="s">
        <v>67</v>
      </c>
      <c r="E4906" s="1" t="s">
        <v>168</v>
      </c>
      <c r="F4906" s="1" t="s">
        <v>21</v>
      </c>
      <c r="G4906" s="1" t="s">
        <v>78</v>
      </c>
      <c r="H4906" s="1" t="s">
        <v>146</v>
      </c>
      <c r="I4906" s="1">
        <v>592.54</v>
      </c>
      <c r="J4906" s="1">
        <v>8</v>
      </c>
      <c r="K4906" s="1">
        <v>4740.32</v>
      </c>
      <c r="L4906" s="1">
        <v>5</v>
      </c>
      <c r="M4906" s="1">
        <v>237.02</v>
      </c>
      <c r="N4906" s="1">
        <v>4503.3</v>
      </c>
      <c r="O4906" s="1" t="s">
        <v>33</v>
      </c>
      <c r="P4906" s="1" t="s">
        <v>775</v>
      </c>
      <c r="Q4906" s="1">
        <v>1</v>
      </c>
      <c r="R4906" s="1">
        <f>Retail_Sales_Analyis[[#This Row],[Final_Price]]-Retail_Sales_Analyis[[#This Row],[Total_Price]]</f>
        <v>-237.01999999999953</v>
      </c>
      <c r="S490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07" spans="1:19" x14ac:dyDescent="0.25">
      <c r="A4907" s="1" t="s">
        <v>6043</v>
      </c>
      <c r="B4907" s="2">
        <v>45343</v>
      </c>
      <c r="C4907" s="1" t="s">
        <v>27</v>
      </c>
      <c r="D4907" s="1" t="s">
        <v>55</v>
      </c>
      <c r="E4907" s="1" t="s">
        <v>213</v>
      </c>
      <c r="F4907" s="1" t="s">
        <v>37</v>
      </c>
      <c r="G4907" s="1" t="s">
        <v>38</v>
      </c>
      <c r="H4907" s="1" t="s">
        <v>422</v>
      </c>
      <c r="I4907" s="1">
        <v>363.62</v>
      </c>
      <c r="J4907" s="1">
        <v>8</v>
      </c>
      <c r="K4907" s="1">
        <v>2908.96</v>
      </c>
      <c r="L4907" s="1">
        <v>15</v>
      </c>
      <c r="M4907" s="1">
        <v>436.34</v>
      </c>
      <c r="N4907" s="1">
        <v>2472.62</v>
      </c>
      <c r="O4907" s="1" t="s">
        <v>80</v>
      </c>
      <c r="P4907" s="1" t="s">
        <v>775</v>
      </c>
      <c r="Q4907" s="1">
        <v>1</v>
      </c>
      <c r="R4907" s="1">
        <f>Retail_Sales_Analyis[[#This Row],[Final_Price]]-Retail_Sales_Analyis[[#This Row],[Total_Price]]</f>
        <v>-436.34000000000015</v>
      </c>
      <c r="S490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08" spans="1:19" x14ac:dyDescent="0.25">
      <c r="A4908" s="1" t="s">
        <v>6044</v>
      </c>
      <c r="B4908" s="2">
        <v>45423</v>
      </c>
      <c r="C4908" s="1" t="s">
        <v>42</v>
      </c>
      <c r="D4908" s="1" t="s">
        <v>19</v>
      </c>
      <c r="E4908" s="1" t="s">
        <v>62</v>
      </c>
      <c r="F4908" s="1" t="s">
        <v>69</v>
      </c>
      <c r="G4908" s="1" t="s">
        <v>57</v>
      </c>
      <c r="H4908" s="1" t="s">
        <v>101</v>
      </c>
      <c r="I4908" s="1">
        <v>2325.61</v>
      </c>
      <c r="J4908" s="1">
        <v>7</v>
      </c>
      <c r="K4908" s="1">
        <v>16279.27</v>
      </c>
      <c r="L4908" s="1">
        <v>20</v>
      </c>
      <c r="M4908" s="1">
        <v>3255.85</v>
      </c>
      <c r="N4908" s="1">
        <v>13023.42</v>
      </c>
      <c r="O4908" s="1" t="s">
        <v>80</v>
      </c>
      <c r="P4908" s="1" t="s">
        <v>545</v>
      </c>
      <c r="Q4908" s="1">
        <v>4</v>
      </c>
      <c r="R4908" s="1">
        <f>Retail_Sales_Analyis[[#This Row],[Final_Price]]-Retail_Sales_Analyis[[#This Row],[Total_Price]]</f>
        <v>-3255.8500000000004</v>
      </c>
      <c r="S490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09" spans="1:19" x14ac:dyDescent="0.25">
      <c r="A4909" s="1" t="s">
        <v>6045</v>
      </c>
      <c r="B4909" s="2">
        <v>45621</v>
      </c>
      <c r="C4909" s="1" t="s">
        <v>18</v>
      </c>
      <c r="D4909" s="1" t="s">
        <v>43</v>
      </c>
      <c r="E4909" s="1" t="s">
        <v>199</v>
      </c>
      <c r="F4909" s="1" t="s">
        <v>21</v>
      </c>
      <c r="G4909" s="1" t="s">
        <v>78</v>
      </c>
      <c r="H4909" s="1" t="s">
        <v>323</v>
      </c>
      <c r="I4909" s="1">
        <v>326.94</v>
      </c>
      <c r="J4909" s="1">
        <v>1</v>
      </c>
      <c r="K4909" s="1">
        <v>326.94</v>
      </c>
      <c r="L4909" s="1">
        <v>5</v>
      </c>
      <c r="M4909" s="1">
        <v>16.350000000000001</v>
      </c>
      <c r="N4909" s="1">
        <v>310.58999999999997</v>
      </c>
      <c r="O4909" s="1" t="s">
        <v>80</v>
      </c>
      <c r="P4909" s="1" t="s">
        <v>2236</v>
      </c>
      <c r="Q4909" s="1">
        <v>2</v>
      </c>
      <c r="R4909" s="1">
        <f>Retail_Sales_Analyis[[#This Row],[Final_Price]]-Retail_Sales_Analyis[[#This Row],[Total_Price]]</f>
        <v>-16.350000000000023</v>
      </c>
      <c r="S490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10" spans="1:19" x14ac:dyDescent="0.25">
      <c r="A4910" s="1" t="s">
        <v>6046</v>
      </c>
      <c r="B4910" s="2">
        <v>45410</v>
      </c>
      <c r="C4910" s="1" t="s">
        <v>54</v>
      </c>
      <c r="D4910" s="1" t="s">
        <v>49</v>
      </c>
      <c r="E4910" s="1" t="s">
        <v>89</v>
      </c>
      <c r="F4910" s="1" t="s">
        <v>84</v>
      </c>
      <c r="G4910" s="1" t="s">
        <v>112</v>
      </c>
      <c r="H4910" s="1" t="s">
        <v>118</v>
      </c>
      <c r="I4910" s="1">
        <v>791.53</v>
      </c>
      <c r="J4910" s="1">
        <v>9</v>
      </c>
      <c r="K4910" s="1">
        <v>7123.77</v>
      </c>
      <c r="L4910" s="1">
        <v>10</v>
      </c>
      <c r="M4910" s="1">
        <v>712.38</v>
      </c>
      <c r="N4910" s="1">
        <v>6411.39</v>
      </c>
      <c r="O4910" s="1" t="s">
        <v>64</v>
      </c>
      <c r="P4910" s="1" t="s">
        <v>1242</v>
      </c>
      <c r="Q4910" s="1">
        <v>3</v>
      </c>
      <c r="R4910" s="1">
        <f>Retail_Sales_Analyis[[#This Row],[Final_Price]]-Retail_Sales_Analyis[[#This Row],[Total_Price]]</f>
        <v>-712.38000000000011</v>
      </c>
      <c r="S491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11" spans="1:19" x14ac:dyDescent="0.25">
      <c r="A4911" s="1" t="s">
        <v>6047</v>
      </c>
      <c r="B4911" s="2">
        <v>45525</v>
      </c>
      <c r="C4911" s="1" t="s">
        <v>93</v>
      </c>
      <c r="D4911" s="1" t="s">
        <v>55</v>
      </c>
      <c r="E4911" s="1" t="s">
        <v>56</v>
      </c>
      <c r="F4911" s="1" t="s">
        <v>30</v>
      </c>
      <c r="G4911" s="1" t="s">
        <v>22</v>
      </c>
      <c r="H4911" s="1" t="s">
        <v>187</v>
      </c>
      <c r="I4911" s="1">
        <v>520.20000000000005</v>
      </c>
      <c r="J4911" s="1">
        <v>1</v>
      </c>
      <c r="K4911" s="1">
        <v>520.20000000000005</v>
      </c>
      <c r="L4911" s="1">
        <v>10</v>
      </c>
      <c r="M4911" s="1">
        <v>52.02</v>
      </c>
      <c r="N4911" s="1">
        <v>468.18</v>
      </c>
      <c r="O4911" s="1" t="s">
        <v>24</v>
      </c>
      <c r="P4911" s="1" t="s">
        <v>4077</v>
      </c>
      <c r="Q4911" s="1">
        <v>5</v>
      </c>
      <c r="R4911" s="1">
        <f>Retail_Sales_Analyis[[#This Row],[Final_Price]]-Retail_Sales_Analyis[[#This Row],[Total_Price]]</f>
        <v>-52.020000000000039</v>
      </c>
      <c r="S491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12" spans="1:19" x14ac:dyDescent="0.25">
      <c r="A4912" s="1" t="s">
        <v>6048</v>
      </c>
      <c r="B4912" s="2">
        <v>45443</v>
      </c>
      <c r="C4912" s="1" t="s">
        <v>42</v>
      </c>
      <c r="D4912" s="1" t="s">
        <v>144</v>
      </c>
      <c r="E4912" s="1" t="s">
        <v>351</v>
      </c>
      <c r="F4912" s="1" t="s">
        <v>84</v>
      </c>
      <c r="G4912" s="1" t="s">
        <v>112</v>
      </c>
      <c r="H4912" s="1" t="s">
        <v>118</v>
      </c>
      <c r="I4912" s="1">
        <v>661.97</v>
      </c>
      <c r="J4912" s="1">
        <v>1</v>
      </c>
      <c r="K4912" s="1">
        <v>661.97</v>
      </c>
      <c r="L4912" s="1">
        <v>0</v>
      </c>
      <c r="M4912" s="1">
        <v>0</v>
      </c>
      <c r="N4912" s="1">
        <v>661.97</v>
      </c>
      <c r="O4912" s="1" t="s">
        <v>33</v>
      </c>
      <c r="P4912" s="1" t="s">
        <v>1517</v>
      </c>
      <c r="Q4912" s="1">
        <v>2</v>
      </c>
      <c r="R4912" s="1">
        <f>Retail_Sales_Analyis[[#This Row],[Final_Price]]-Retail_Sales_Analyis[[#This Row],[Total_Price]]</f>
        <v>0</v>
      </c>
      <c r="S491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3" spans="1:19" x14ac:dyDescent="0.25">
      <c r="A4913" s="1" t="s">
        <v>6049</v>
      </c>
      <c r="B4913" s="2">
        <v>45427</v>
      </c>
      <c r="C4913" s="1" t="s">
        <v>42</v>
      </c>
      <c r="D4913" s="1" t="s">
        <v>55</v>
      </c>
      <c r="E4913" s="1" t="s">
        <v>312</v>
      </c>
      <c r="F4913" s="1" t="s">
        <v>84</v>
      </c>
      <c r="G4913" s="1" t="s">
        <v>38</v>
      </c>
      <c r="H4913" s="1" t="s">
        <v>422</v>
      </c>
      <c r="I4913" s="1">
        <v>173.71</v>
      </c>
      <c r="J4913" s="1">
        <v>7</v>
      </c>
      <c r="K4913" s="1">
        <v>1215.97</v>
      </c>
      <c r="L4913" s="1">
        <v>0</v>
      </c>
      <c r="M4913" s="1">
        <v>0</v>
      </c>
      <c r="N4913" s="1">
        <v>1215.97</v>
      </c>
      <c r="O4913" s="1" t="s">
        <v>80</v>
      </c>
      <c r="P4913" s="1" t="s">
        <v>782</v>
      </c>
      <c r="Q4913" s="1">
        <v>2</v>
      </c>
      <c r="R4913" s="1">
        <f>Retail_Sales_Analyis[[#This Row],[Final_Price]]-Retail_Sales_Analyis[[#This Row],[Total_Price]]</f>
        <v>0</v>
      </c>
      <c r="S491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4" spans="1:19" x14ac:dyDescent="0.25">
      <c r="A4914" s="1" t="s">
        <v>6050</v>
      </c>
      <c r="B4914" s="2">
        <v>45529</v>
      </c>
      <c r="C4914" s="1" t="s">
        <v>93</v>
      </c>
      <c r="D4914" s="1" t="s">
        <v>49</v>
      </c>
      <c r="E4914" s="1" t="s">
        <v>20</v>
      </c>
      <c r="F4914" s="1" t="s">
        <v>30</v>
      </c>
      <c r="G4914" s="1" t="s">
        <v>85</v>
      </c>
      <c r="H4914" s="1" t="s">
        <v>98</v>
      </c>
      <c r="I4914" s="1">
        <v>3619.82</v>
      </c>
      <c r="J4914" s="1">
        <v>10</v>
      </c>
      <c r="K4914" s="1">
        <v>36198.199999999997</v>
      </c>
      <c r="L4914" s="1">
        <v>0</v>
      </c>
      <c r="M4914" s="1">
        <v>0</v>
      </c>
      <c r="N4914" s="1">
        <v>36198.199999999997</v>
      </c>
      <c r="O4914" s="1" t="s">
        <v>24</v>
      </c>
      <c r="P4914" s="1" t="s">
        <v>902</v>
      </c>
      <c r="Q4914" s="1">
        <v>5</v>
      </c>
      <c r="R4914" s="1">
        <f>Retail_Sales_Analyis[[#This Row],[Final_Price]]-Retail_Sales_Analyis[[#This Row],[Total_Price]]</f>
        <v>0</v>
      </c>
      <c r="S491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5" spans="1:19" x14ac:dyDescent="0.25">
      <c r="A4915" s="1" t="s">
        <v>6051</v>
      </c>
      <c r="B4915" s="2">
        <v>45317</v>
      </c>
      <c r="C4915" s="1" t="s">
        <v>36</v>
      </c>
      <c r="D4915" s="1" t="s">
        <v>144</v>
      </c>
      <c r="E4915" s="1" t="s">
        <v>97</v>
      </c>
      <c r="F4915" s="1" t="s">
        <v>30</v>
      </c>
      <c r="G4915" s="1" t="s">
        <v>57</v>
      </c>
      <c r="H4915" s="1" t="s">
        <v>152</v>
      </c>
      <c r="I4915" s="1">
        <v>2122.2199999999998</v>
      </c>
      <c r="J4915" s="1">
        <v>2</v>
      </c>
      <c r="K4915" s="1">
        <v>4244.4399999999996</v>
      </c>
      <c r="L4915" s="1">
        <v>20</v>
      </c>
      <c r="M4915" s="1">
        <v>848.89</v>
      </c>
      <c r="N4915" s="1">
        <v>3395.55</v>
      </c>
      <c r="O4915" s="1" t="s">
        <v>64</v>
      </c>
      <c r="P4915" s="1" t="s">
        <v>2621</v>
      </c>
      <c r="Q4915" s="1">
        <v>3</v>
      </c>
      <c r="R4915" s="1">
        <f>Retail_Sales_Analyis[[#This Row],[Final_Price]]-Retail_Sales_Analyis[[#This Row],[Total_Price]]</f>
        <v>-848.88999999999942</v>
      </c>
      <c r="S4915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16" spans="1:19" x14ac:dyDescent="0.25">
      <c r="A4916" s="1" t="s">
        <v>6052</v>
      </c>
      <c r="B4916" s="2">
        <v>45343</v>
      </c>
      <c r="C4916" s="1" t="s">
        <v>27</v>
      </c>
      <c r="D4916" s="1" t="s">
        <v>55</v>
      </c>
      <c r="E4916" s="1" t="s">
        <v>62</v>
      </c>
      <c r="F4916" s="1" t="s">
        <v>69</v>
      </c>
      <c r="G4916" s="1" t="s">
        <v>31</v>
      </c>
      <c r="H4916" s="1" t="s">
        <v>45</v>
      </c>
      <c r="I4916" s="1">
        <v>324.87</v>
      </c>
      <c r="J4916" s="1">
        <v>1</v>
      </c>
      <c r="K4916" s="1">
        <v>324.87</v>
      </c>
      <c r="L4916" s="1">
        <v>0</v>
      </c>
      <c r="M4916" s="1">
        <v>0</v>
      </c>
      <c r="N4916" s="1">
        <v>324.87</v>
      </c>
      <c r="O4916" s="1" t="s">
        <v>33</v>
      </c>
      <c r="P4916" s="1" t="s">
        <v>1544</v>
      </c>
      <c r="Q4916" s="1">
        <v>2</v>
      </c>
      <c r="R4916" s="1">
        <f>Retail_Sales_Analyis[[#This Row],[Final_Price]]-Retail_Sales_Analyis[[#This Row],[Total_Price]]</f>
        <v>0</v>
      </c>
      <c r="S491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7" spans="1:19" x14ac:dyDescent="0.25">
      <c r="A4917" s="1" t="s">
        <v>6053</v>
      </c>
      <c r="B4917" s="2">
        <v>45381</v>
      </c>
      <c r="C4917" s="1" t="s">
        <v>61</v>
      </c>
      <c r="D4917" s="1" t="s">
        <v>19</v>
      </c>
      <c r="E4917" s="1" t="s">
        <v>411</v>
      </c>
      <c r="F4917" s="1" t="s">
        <v>69</v>
      </c>
      <c r="G4917" s="1" t="s">
        <v>31</v>
      </c>
      <c r="H4917" s="1" t="s">
        <v>250</v>
      </c>
      <c r="I4917" s="1">
        <v>472.34</v>
      </c>
      <c r="J4917" s="1">
        <v>1</v>
      </c>
      <c r="K4917" s="1">
        <v>472.34</v>
      </c>
      <c r="L4917" s="1">
        <v>5</v>
      </c>
      <c r="M4917" s="1">
        <v>23.62</v>
      </c>
      <c r="N4917" s="1">
        <v>448.72</v>
      </c>
      <c r="O4917" s="1" t="s">
        <v>64</v>
      </c>
      <c r="P4917" s="1" t="s">
        <v>1264</v>
      </c>
      <c r="Q4917" s="1">
        <v>4</v>
      </c>
      <c r="R4917" s="1">
        <f>Retail_Sales_Analyis[[#This Row],[Final_Price]]-Retail_Sales_Analyis[[#This Row],[Total_Price]]</f>
        <v>-23.619999999999948</v>
      </c>
      <c r="S491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18" spans="1:19" x14ac:dyDescent="0.25">
      <c r="A4918" s="1" t="s">
        <v>6054</v>
      </c>
      <c r="B4918" s="2">
        <v>45312</v>
      </c>
      <c r="C4918" s="1" t="s">
        <v>36</v>
      </c>
      <c r="D4918" s="1" t="s">
        <v>49</v>
      </c>
      <c r="E4918" s="1" t="s">
        <v>542</v>
      </c>
      <c r="F4918" s="1" t="s">
        <v>21</v>
      </c>
      <c r="G4918" s="1" t="s">
        <v>57</v>
      </c>
      <c r="H4918" s="1" t="s">
        <v>58</v>
      </c>
      <c r="I4918" s="1">
        <v>2153.8200000000002</v>
      </c>
      <c r="J4918" s="1">
        <v>6</v>
      </c>
      <c r="K4918" s="1">
        <v>12922.92</v>
      </c>
      <c r="L4918" s="1">
        <v>0</v>
      </c>
      <c r="M4918" s="1">
        <v>0</v>
      </c>
      <c r="N4918" s="1">
        <v>12922.92</v>
      </c>
      <c r="O4918" s="1" t="s">
        <v>24</v>
      </c>
      <c r="P4918" s="1" t="s">
        <v>2937</v>
      </c>
      <c r="Q4918" s="1">
        <v>3</v>
      </c>
      <c r="R4918" s="1">
        <f>Retail_Sales_Analyis[[#This Row],[Final_Price]]-Retail_Sales_Analyis[[#This Row],[Total_Price]]</f>
        <v>0</v>
      </c>
      <c r="S491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19" spans="1:19" x14ac:dyDescent="0.25">
      <c r="A4919" s="1" t="s">
        <v>6055</v>
      </c>
      <c r="B4919" s="2">
        <v>45440</v>
      </c>
      <c r="C4919" s="1" t="s">
        <v>42</v>
      </c>
      <c r="D4919" s="1" t="s">
        <v>28</v>
      </c>
      <c r="E4919" s="1" t="s">
        <v>132</v>
      </c>
      <c r="F4919" s="1" t="s">
        <v>21</v>
      </c>
      <c r="G4919" s="1" t="s">
        <v>31</v>
      </c>
      <c r="H4919" s="1" t="s">
        <v>32</v>
      </c>
      <c r="I4919" s="1">
        <v>267.47000000000003</v>
      </c>
      <c r="J4919" s="1">
        <v>7</v>
      </c>
      <c r="K4919" s="1">
        <v>1872.29</v>
      </c>
      <c r="L4919" s="1">
        <v>5</v>
      </c>
      <c r="M4919" s="1">
        <v>93.61</v>
      </c>
      <c r="N4919" s="1">
        <v>1778.68</v>
      </c>
      <c r="O4919" s="1" t="s">
        <v>80</v>
      </c>
      <c r="P4919" s="1" t="s">
        <v>1235</v>
      </c>
      <c r="Q4919" s="1">
        <v>3</v>
      </c>
      <c r="R4919" s="1">
        <f>Retail_Sales_Analyis[[#This Row],[Final_Price]]-Retail_Sales_Analyis[[#This Row],[Total_Price]]</f>
        <v>-93.6099999999999</v>
      </c>
      <c r="S491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20" spans="1:19" x14ac:dyDescent="0.25">
      <c r="A4920" s="1" t="s">
        <v>6056</v>
      </c>
      <c r="B4920" s="2">
        <v>45476</v>
      </c>
      <c r="C4920" s="1" t="s">
        <v>195</v>
      </c>
      <c r="D4920" s="1" t="s">
        <v>55</v>
      </c>
      <c r="E4920" s="1" t="s">
        <v>56</v>
      </c>
      <c r="F4920" s="1" t="s">
        <v>37</v>
      </c>
      <c r="G4920" s="1" t="s">
        <v>85</v>
      </c>
      <c r="H4920" s="1" t="s">
        <v>98</v>
      </c>
      <c r="I4920" s="1">
        <v>2085.2399999999998</v>
      </c>
      <c r="J4920" s="1">
        <v>10</v>
      </c>
      <c r="K4920" s="1">
        <v>20852.400000000001</v>
      </c>
      <c r="L4920" s="1">
        <v>5</v>
      </c>
      <c r="M4920" s="1">
        <v>1042.6199999999999</v>
      </c>
      <c r="N4920" s="1">
        <v>19809.78</v>
      </c>
      <c r="O4920" s="1" t="s">
        <v>33</v>
      </c>
      <c r="P4920" s="1" t="s">
        <v>1809</v>
      </c>
      <c r="Q4920" s="1">
        <v>2</v>
      </c>
      <c r="R4920" s="1">
        <f>Retail_Sales_Analyis[[#This Row],[Final_Price]]-Retail_Sales_Analyis[[#This Row],[Total_Price]]</f>
        <v>-1042.6200000000026</v>
      </c>
      <c r="S492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21" spans="1:19" x14ac:dyDescent="0.25">
      <c r="A4921" s="1" t="s">
        <v>6057</v>
      </c>
      <c r="B4921" s="2">
        <v>45638</v>
      </c>
      <c r="C4921" s="1" t="s">
        <v>73</v>
      </c>
      <c r="D4921" s="1" t="s">
        <v>67</v>
      </c>
      <c r="E4921" s="1" t="s">
        <v>337</v>
      </c>
      <c r="F4921" s="1" t="s">
        <v>84</v>
      </c>
      <c r="G4921" s="1" t="s">
        <v>22</v>
      </c>
      <c r="H4921" s="1" t="s">
        <v>51</v>
      </c>
      <c r="I4921" s="1">
        <v>450.89</v>
      </c>
      <c r="J4921" s="1">
        <v>8</v>
      </c>
      <c r="K4921" s="1">
        <v>3607.12</v>
      </c>
      <c r="L4921" s="1">
        <v>10</v>
      </c>
      <c r="M4921" s="1">
        <v>360.71</v>
      </c>
      <c r="N4921" s="1">
        <v>3246.41</v>
      </c>
      <c r="O4921" s="1" t="s">
        <v>24</v>
      </c>
      <c r="P4921" s="1" t="s">
        <v>2457</v>
      </c>
      <c r="Q4921" s="1">
        <v>2</v>
      </c>
      <c r="R4921" s="1">
        <f>Retail_Sales_Analyis[[#This Row],[Final_Price]]-Retail_Sales_Analyis[[#This Row],[Total_Price]]</f>
        <v>-360.71000000000004</v>
      </c>
      <c r="S492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22" spans="1:19" x14ac:dyDescent="0.25">
      <c r="A4922" s="1" t="s">
        <v>6058</v>
      </c>
      <c r="B4922" s="2">
        <v>45452</v>
      </c>
      <c r="C4922" s="1" t="s">
        <v>173</v>
      </c>
      <c r="D4922" s="1" t="s">
        <v>49</v>
      </c>
      <c r="E4922" s="1" t="s">
        <v>351</v>
      </c>
      <c r="F4922" s="1" t="s">
        <v>21</v>
      </c>
      <c r="G4922" s="1" t="s">
        <v>78</v>
      </c>
      <c r="H4922" s="1" t="s">
        <v>323</v>
      </c>
      <c r="I4922" s="1">
        <v>451.51</v>
      </c>
      <c r="J4922" s="1">
        <v>3</v>
      </c>
      <c r="K4922" s="1">
        <v>1354.53</v>
      </c>
      <c r="L4922" s="1">
        <v>10</v>
      </c>
      <c r="M4922" s="1">
        <v>135.44999999999999</v>
      </c>
      <c r="N4922" s="1">
        <v>1219.08</v>
      </c>
      <c r="O4922" s="1" t="s">
        <v>80</v>
      </c>
      <c r="P4922" s="1" t="s">
        <v>59</v>
      </c>
      <c r="Q4922" s="1">
        <v>3</v>
      </c>
      <c r="R4922" s="1">
        <f>Retail_Sales_Analyis[[#This Row],[Final_Price]]-Retail_Sales_Analyis[[#This Row],[Total_Price]]</f>
        <v>-135.45000000000005</v>
      </c>
      <c r="S492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23" spans="1:19" x14ac:dyDescent="0.25">
      <c r="A4923" s="1" t="s">
        <v>6059</v>
      </c>
      <c r="B4923" s="2">
        <v>45510</v>
      </c>
      <c r="C4923" s="1" t="s">
        <v>93</v>
      </c>
      <c r="D4923" s="1" t="s">
        <v>28</v>
      </c>
      <c r="E4923" s="1" t="s">
        <v>322</v>
      </c>
      <c r="F4923" s="1" t="s">
        <v>21</v>
      </c>
      <c r="G4923" s="1" t="s">
        <v>85</v>
      </c>
      <c r="H4923" s="1" t="s">
        <v>86</v>
      </c>
      <c r="I4923" s="1">
        <v>4361.82</v>
      </c>
      <c r="J4923" s="1">
        <v>8</v>
      </c>
      <c r="K4923" s="1">
        <v>34894.559999999998</v>
      </c>
      <c r="L4923" s="1">
        <v>5</v>
      </c>
      <c r="M4923" s="1">
        <v>1744.73</v>
      </c>
      <c r="N4923" s="1">
        <v>33149.83</v>
      </c>
      <c r="O4923" s="1" t="s">
        <v>80</v>
      </c>
      <c r="P4923" s="1" t="s">
        <v>2815</v>
      </c>
      <c r="Q4923" s="1">
        <v>3</v>
      </c>
      <c r="R4923" s="1">
        <f>Retail_Sales_Analyis[[#This Row],[Final_Price]]-Retail_Sales_Analyis[[#This Row],[Total_Price]]</f>
        <v>-1744.7299999999959</v>
      </c>
      <c r="S492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24" spans="1:19" x14ac:dyDescent="0.25">
      <c r="A4924" s="1" t="s">
        <v>6060</v>
      </c>
      <c r="B4924" s="2">
        <v>45351</v>
      </c>
      <c r="C4924" s="1" t="s">
        <v>27</v>
      </c>
      <c r="D4924" s="1" t="s">
        <v>67</v>
      </c>
      <c r="E4924" s="1" t="s">
        <v>89</v>
      </c>
      <c r="F4924" s="1" t="s">
        <v>84</v>
      </c>
      <c r="G4924" s="1" t="s">
        <v>22</v>
      </c>
      <c r="H4924" s="1" t="s">
        <v>51</v>
      </c>
      <c r="I4924" s="1">
        <v>589.52</v>
      </c>
      <c r="J4924" s="1">
        <v>9</v>
      </c>
      <c r="K4924" s="1">
        <v>5305.68</v>
      </c>
      <c r="L4924" s="1">
        <v>10</v>
      </c>
      <c r="M4924" s="1">
        <v>530.57000000000005</v>
      </c>
      <c r="N4924" s="1">
        <v>4775.1099999999997</v>
      </c>
      <c r="O4924" s="1" t="s">
        <v>33</v>
      </c>
      <c r="P4924" s="1" t="s">
        <v>1407</v>
      </c>
      <c r="Q4924" s="1">
        <v>5</v>
      </c>
      <c r="R4924" s="1">
        <f>Retail_Sales_Analyis[[#This Row],[Final_Price]]-Retail_Sales_Analyis[[#This Row],[Total_Price]]</f>
        <v>-530.57000000000062</v>
      </c>
      <c r="S492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25" spans="1:19" x14ac:dyDescent="0.25">
      <c r="A4925" s="1" t="s">
        <v>6061</v>
      </c>
      <c r="B4925" s="2">
        <v>45340</v>
      </c>
      <c r="C4925" s="1" t="s">
        <v>27</v>
      </c>
      <c r="D4925" s="1" t="s">
        <v>49</v>
      </c>
      <c r="E4925" s="1" t="s">
        <v>239</v>
      </c>
      <c r="F4925" s="1" t="s">
        <v>30</v>
      </c>
      <c r="G4925" s="1" t="s">
        <v>112</v>
      </c>
      <c r="H4925" s="1" t="s">
        <v>183</v>
      </c>
      <c r="I4925" s="1">
        <v>1649.02</v>
      </c>
      <c r="J4925" s="1">
        <v>9</v>
      </c>
      <c r="K4925" s="1">
        <v>14841.18</v>
      </c>
      <c r="L4925" s="1">
        <v>5</v>
      </c>
      <c r="M4925" s="1">
        <v>742.06</v>
      </c>
      <c r="N4925" s="1">
        <v>14099.12</v>
      </c>
      <c r="O4925" s="1" t="s">
        <v>64</v>
      </c>
      <c r="P4925" s="1" t="s">
        <v>1405</v>
      </c>
      <c r="Q4925" s="1">
        <v>5</v>
      </c>
      <c r="R4925" s="1">
        <f>Retail_Sales_Analyis[[#This Row],[Final_Price]]-Retail_Sales_Analyis[[#This Row],[Total_Price]]</f>
        <v>-742.05999999999949</v>
      </c>
      <c r="S4925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26" spans="1:19" x14ac:dyDescent="0.25">
      <c r="A4926" s="1" t="s">
        <v>6062</v>
      </c>
      <c r="B4926" s="2">
        <v>45315</v>
      </c>
      <c r="C4926" s="1" t="s">
        <v>36</v>
      </c>
      <c r="D4926" s="1" t="s">
        <v>55</v>
      </c>
      <c r="E4926" s="1" t="s">
        <v>285</v>
      </c>
      <c r="F4926" s="1" t="s">
        <v>30</v>
      </c>
      <c r="G4926" s="1" t="s">
        <v>57</v>
      </c>
      <c r="H4926" s="1" t="s">
        <v>158</v>
      </c>
      <c r="I4926" s="1">
        <v>1835.44</v>
      </c>
      <c r="J4926" s="1">
        <v>10</v>
      </c>
      <c r="K4926" s="1">
        <v>18354.400000000001</v>
      </c>
      <c r="L4926" s="1">
        <v>0</v>
      </c>
      <c r="M4926" s="1">
        <v>0</v>
      </c>
      <c r="N4926" s="1">
        <v>18354.400000000001</v>
      </c>
      <c r="O4926" s="1" t="s">
        <v>80</v>
      </c>
      <c r="P4926" s="1" t="s">
        <v>1807</v>
      </c>
      <c r="Q4926" s="1">
        <v>1</v>
      </c>
      <c r="R4926" s="1">
        <f>Retail_Sales_Analyis[[#This Row],[Final_Price]]-Retail_Sales_Analyis[[#This Row],[Total_Price]]</f>
        <v>0</v>
      </c>
      <c r="S492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27" spans="1:19" x14ac:dyDescent="0.25">
      <c r="A4927" s="1" t="s">
        <v>6063</v>
      </c>
      <c r="B4927" s="2">
        <v>45296</v>
      </c>
      <c r="C4927" s="1" t="s">
        <v>36</v>
      </c>
      <c r="D4927" s="1" t="s">
        <v>144</v>
      </c>
      <c r="E4927" s="1" t="s">
        <v>68</v>
      </c>
      <c r="F4927" s="1" t="s">
        <v>30</v>
      </c>
      <c r="G4927" s="1" t="s">
        <v>38</v>
      </c>
      <c r="H4927" s="1" t="s">
        <v>422</v>
      </c>
      <c r="I4927" s="1">
        <v>426.53</v>
      </c>
      <c r="J4927" s="1">
        <v>3</v>
      </c>
      <c r="K4927" s="1">
        <v>1279.5899999999999</v>
      </c>
      <c r="L4927" s="1">
        <v>5</v>
      </c>
      <c r="M4927" s="1">
        <v>63.98</v>
      </c>
      <c r="N4927" s="1">
        <v>1215.6099999999999</v>
      </c>
      <c r="O4927" s="1" t="s">
        <v>24</v>
      </c>
      <c r="P4927" s="1" t="s">
        <v>725</v>
      </c>
      <c r="Q4927" s="1">
        <v>4</v>
      </c>
      <c r="R4927" s="1">
        <f>Retail_Sales_Analyis[[#This Row],[Final_Price]]-Retail_Sales_Analyis[[#This Row],[Total_Price]]</f>
        <v>-63.980000000000018</v>
      </c>
      <c r="S492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28" spans="1:19" x14ac:dyDescent="0.25">
      <c r="A4928" s="1" t="s">
        <v>6064</v>
      </c>
      <c r="B4928" s="2">
        <v>45362</v>
      </c>
      <c r="C4928" s="1" t="s">
        <v>61</v>
      </c>
      <c r="D4928" s="1" t="s">
        <v>43</v>
      </c>
      <c r="E4928" s="1" t="s">
        <v>111</v>
      </c>
      <c r="F4928" s="1" t="s">
        <v>84</v>
      </c>
      <c r="G4928" s="1" t="s">
        <v>38</v>
      </c>
      <c r="H4928" s="1" t="s">
        <v>422</v>
      </c>
      <c r="I4928" s="1">
        <v>608.44000000000005</v>
      </c>
      <c r="J4928" s="1">
        <v>8</v>
      </c>
      <c r="K4928" s="1">
        <v>4867.5200000000004</v>
      </c>
      <c r="L4928" s="1">
        <v>10</v>
      </c>
      <c r="M4928" s="1">
        <v>486.75</v>
      </c>
      <c r="N4928" s="1">
        <v>4380.7700000000004</v>
      </c>
      <c r="O4928" s="1" t="s">
        <v>33</v>
      </c>
      <c r="P4928" s="1" t="s">
        <v>2277</v>
      </c>
      <c r="Q4928" s="1">
        <v>1</v>
      </c>
      <c r="R4928" s="1">
        <f>Retail_Sales_Analyis[[#This Row],[Final_Price]]-Retail_Sales_Analyis[[#This Row],[Total_Price]]</f>
        <v>-486.75</v>
      </c>
      <c r="S492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29" spans="1:19" x14ac:dyDescent="0.25">
      <c r="A4929" s="1" t="s">
        <v>6065</v>
      </c>
      <c r="B4929" s="2">
        <v>45631</v>
      </c>
      <c r="C4929" s="1" t="s">
        <v>73</v>
      </c>
      <c r="D4929" s="1" t="s">
        <v>67</v>
      </c>
      <c r="E4929" s="1" t="s">
        <v>111</v>
      </c>
      <c r="F4929" s="1" t="s">
        <v>69</v>
      </c>
      <c r="G4929" s="1" t="s">
        <v>38</v>
      </c>
      <c r="H4929" s="1" t="s">
        <v>108</v>
      </c>
      <c r="I4929" s="1">
        <v>679.05</v>
      </c>
      <c r="J4929" s="1">
        <v>3</v>
      </c>
      <c r="K4929" s="1">
        <v>2037.15</v>
      </c>
      <c r="L4929" s="1">
        <v>10</v>
      </c>
      <c r="M4929" s="1">
        <v>203.72</v>
      </c>
      <c r="N4929" s="1">
        <v>1833.43</v>
      </c>
      <c r="O4929" s="1" t="s">
        <v>33</v>
      </c>
      <c r="P4929" s="1" t="s">
        <v>193</v>
      </c>
      <c r="Q4929" s="1">
        <v>3</v>
      </c>
      <c r="R4929" s="1">
        <f>Retail_Sales_Analyis[[#This Row],[Final_Price]]-Retail_Sales_Analyis[[#This Row],[Total_Price]]</f>
        <v>-203.72000000000003</v>
      </c>
      <c r="S492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30" spans="1:19" x14ac:dyDescent="0.25">
      <c r="A4930" s="1" t="s">
        <v>6066</v>
      </c>
      <c r="B4930" s="2">
        <v>45623</v>
      </c>
      <c r="C4930" s="1" t="s">
        <v>18</v>
      </c>
      <c r="D4930" s="1" t="s">
        <v>55</v>
      </c>
      <c r="E4930" s="1" t="s">
        <v>29</v>
      </c>
      <c r="F4930" s="1" t="s">
        <v>69</v>
      </c>
      <c r="G4930" s="1" t="s">
        <v>169</v>
      </c>
      <c r="H4930" s="1" t="s">
        <v>170</v>
      </c>
      <c r="I4930" s="1">
        <v>594.83000000000004</v>
      </c>
      <c r="J4930" s="1">
        <v>2</v>
      </c>
      <c r="K4930" s="1">
        <v>1189.6600000000001</v>
      </c>
      <c r="L4930" s="1">
        <v>0</v>
      </c>
      <c r="M4930" s="1">
        <v>0</v>
      </c>
      <c r="N4930" s="1">
        <v>1189.6600000000001</v>
      </c>
      <c r="O4930" s="1" t="s">
        <v>33</v>
      </c>
      <c r="P4930" s="1" t="s">
        <v>447</v>
      </c>
      <c r="Q4930" s="1">
        <v>1</v>
      </c>
      <c r="R4930" s="1">
        <f>Retail_Sales_Analyis[[#This Row],[Final_Price]]-Retail_Sales_Analyis[[#This Row],[Total_Price]]</f>
        <v>0</v>
      </c>
      <c r="S493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31" spans="1:19" x14ac:dyDescent="0.25">
      <c r="A4931" s="1" t="s">
        <v>6067</v>
      </c>
      <c r="B4931" s="2">
        <v>45379</v>
      </c>
      <c r="C4931" s="1" t="s">
        <v>61</v>
      </c>
      <c r="D4931" s="1" t="s">
        <v>67</v>
      </c>
      <c r="E4931" s="1" t="s">
        <v>139</v>
      </c>
      <c r="F4931" s="1" t="s">
        <v>84</v>
      </c>
      <c r="G4931" s="1" t="s">
        <v>85</v>
      </c>
      <c r="H4931" s="1" t="s">
        <v>90</v>
      </c>
      <c r="I4931" s="1">
        <v>4762.51</v>
      </c>
      <c r="J4931" s="1">
        <v>1</v>
      </c>
      <c r="K4931" s="1">
        <v>4762.51</v>
      </c>
      <c r="L4931" s="1">
        <v>0</v>
      </c>
      <c r="M4931" s="1">
        <v>0</v>
      </c>
      <c r="N4931" s="1">
        <v>4762.51</v>
      </c>
      <c r="O4931" s="1" t="s">
        <v>46</v>
      </c>
      <c r="P4931" s="1" t="s">
        <v>4035</v>
      </c>
      <c r="Q4931" s="1">
        <v>4</v>
      </c>
      <c r="R4931" s="1">
        <f>Retail_Sales_Analyis[[#This Row],[Final_Price]]-Retail_Sales_Analyis[[#This Row],[Total_Price]]</f>
        <v>0</v>
      </c>
      <c r="S493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32" spans="1:19" x14ac:dyDescent="0.25">
      <c r="A4932" s="1" t="s">
        <v>6068</v>
      </c>
      <c r="B4932" s="2">
        <v>45460</v>
      </c>
      <c r="C4932" s="1" t="s">
        <v>173</v>
      </c>
      <c r="D4932" s="1" t="s">
        <v>43</v>
      </c>
      <c r="E4932" s="1" t="s">
        <v>56</v>
      </c>
      <c r="F4932" s="1" t="s">
        <v>37</v>
      </c>
      <c r="G4932" s="1" t="s">
        <v>169</v>
      </c>
      <c r="H4932" s="1" t="s">
        <v>208</v>
      </c>
      <c r="I4932" s="1">
        <v>971.79</v>
      </c>
      <c r="J4932" s="1">
        <v>6</v>
      </c>
      <c r="K4932" s="1">
        <v>5830.74</v>
      </c>
      <c r="L4932" s="1">
        <v>10</v>
      </c>
      <c r="M4932" s="1">
        <v>583.07000000000005</v>
      </c>
      <c r="N4932" s="1">
        <v>5247.67</v>
      </c>
      <c r="O4932" s="1" t="s">
        <v>33</v>
      </c>
      <c r="P4932" s="1" t="s">
        <v>211</v>
      </c>
      <c r="Q4932" s="1">
        <v>4</v>
      </c>
      <c r="R4932" s="1">
        <f>Retail_Sales_Analyis[[#This Row],[Final_Price]]-Retail_Sales_Analyis[[#This Row],[Total_Price]]</f>
        <v>-583.06999999999971</v>
      </c>
      <c r="S493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33" spans="1:19" x14ac:dyDescent="0.25">
      <c r="A4933" s="1" t="s">
        <v>6069</v>
      </c>
      <c r="B4933" s="2">
        <v>45475</v>
      </c>
      <c r="C4933" s="1" t="s">
        <v>195</v>
      </c>
      <c r="D4933" s="1" t="s">
        <v>28</v>
      </c>
      <c r="E4933" s="1" t="s">
        <v>89</v>
      </c>
      <c r="F4933" s="1" t="s">
        <v>21</v>
      </c>
      <c r="G4933" s="1" t="s">
        <v>31</v>
      </c>
      <c r="H4933" s="1" t="s">
        <v>63</v>
      </c>
      <c r="I4933" s="1">
        <v>63.23</v>
      </c>
      <c r="J4933" s="1">
        <v>4</v>
      </c>
      <c r="K4933" s="1">
        <v>252.92</v>
      </c>
      <c r="L4933" s="1">
        <v>10</v>
      </c>
      <c r="M4933" s="1">
        <v>25.29</v>
      </c>
      <c r="N4933" s="1">
        <v>227.63</v>
      </c>
      <c r="O4933" s="1" t="s">
        <v>80</v>
      </c>
      <c r="P4933" s="1" t="s">
        <v>871</v>
      </c>
      <c r="Q4933" s="1">
        <v>2</v>
      </c>
      <c r="R4933" s="1">
        <f>Retail_Sales_Analyis[[#This Row],[Final_Price]]-Retail_Sales_Analyis[[#This Row],[Total_Price]]</f>
        <v>-25.289999999999992</v>
      </c>
      <c r="S493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34" spans="1:19" x14ac:dyDescent="0.25">
      <c r="A4934" s="1" t="s">
        <v>6070</v>
      </c>
      <c r="B4934" s="2">
        <v>45516</v>
      </c>
      <c r="C4934" s="1" t="s">
        <v>93</v>
      </c>
      <c r="D4934" s="1" t="s">
        <v>43</v>
      </c>
      <c r="E4934" s="1" t="s">
        <v>29</v>
      </c>
      <c r="F4934" s="1" t="s">
        <v>37</v>
      </c>
      <c r="G4934" s="1" t="s">
        <v>22</v>
      </c>
      <c r="H4934" s="1" t="s">
        <v>51</v>
      </c>
      <c r="I4934" s="1">
        <v>870.02</v>
      </c>
      <c r="J4934" s="1">
        <v>8</v>
      </c>
      <c r="K4934" s="1">
        <v>6960.16</v>
      </c>
      <c r="L4934" s="1">
        <v>15</v>
      </c>
      <c r="M4934" s="1">
        <v>1044.02</v>
      </c>
      <c r="N4934" s="1">
        <v>5916.14</v>
      </c>
      <c r="O4934" s="1" t="s">
        <v>46</v>
      </c>
      <c r="P4934" s="1" t="s">
        <v>1358</v>
      </c>
      <c r="Q4934" s="1">
        <v>4</v>
      </c>
      <c r="R4934" s="1">
        <f>Retail_Sales_Analyis[[#This Row],[Final_Price]]-Retail_Sales_Analyis[[#This Row],[Total_Price]]</f>
        <v>-1044.0199999999995</v>
      </c>
      <c r="S493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35" spans="1:19" x14ac:dyDescent="0.25">
      <c r="A4935" s="1" t="s">
        <v>6071</v>
      </c>
      <c r="B4935" s="2">
        <v>45610</v>
      </c>
      <c r="C4935" s="1" t="s">
        <v>18</v>
      </c>
      <c r="D4935" s="1" t="s">
        <v>67</v>
      </c>
      <c r="E4935" s="1" t="s">
        <v>204</v>
      </c>
      <c r="F4935" s="1" t="s">
        <v>69</v>
      </c>
      <c r="G4935" s="1" t="s">
        <v>31</v>
      </c>
      <c r="H4935" s="1" t="s">
        <v>32</v>
      </c>
      <c r="I4935" s="1">
        <v>80.17</v>
      </c>
      <c r="J4935" s="1">
        <v>7</v>
      </c>
      <c r="K4935" s="1">
        <v>561.19000000000005</v>
      </c>
      <c r="L4935" s="1">
        <v>0</v>
      </c>
      <c r="M4935" s="1">
        <v>0</v>
      </c>
      <c r="N4935" s="1">
        <v>561.19000000000005</v>
      </c>
      <c r="O4935" s="1" t="s">
        <v>33</v>
      </c>
      <c r="P4935" s="1" t="s">
        <v>1192</v>
      </c>
      <c r="Q4935" s="1">
        <v>4</v>
      </c>
      <c r="R4935" s="1">
        <f>Retail_Sales_Analyis[[#This Row],[Final_Price]]-Retail_Sales_Analyis[[#This Row],[Total_Price]]</f>
        <v>0</v>
      </c>
      <c r="S493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36" spans="1:19" x14ac:dyDescent="0.25">
      <c r="A4936" s="1" t="s">
        <v>6072</v>
      </c>
      <c r="B4936" s="2">
        <v>45429</v>
      </c>
      <c r="C4936" s="1" t="s">
        <v>42</v>
      </c>
      <c r="D4936" s="1" t="s">
        <v>144</v>
      </c>
      <c r="E4936" s="1" t="s">
        <v>207</v>
      </c>
      <c r="F4936" s="1" t="s">
        <v>21</v>
      </c>
      <c r="G4936" s="1" t="s">
        <v>22</v>
      </c>
      <c r="H4936" s="1" t="s">
        <v>133</v>
      </c>
      <c r="I4936" s="1">
        <v>523</v>
      </c>
      <c r="J4936" s="1">
        <v>4</v>
      </c>
      <c r="K4936" s="1">
        <v>2092</v>
      </c>
      <c r="L4936" s="1">
        <v>20</v>
      </c>
      <c r="M4936" s="1">
        <v>418.4</v>
      </c>
      <c r="N4936" s="1">
        <v>1673.6</v>
      </c>
      <c r="O4936" s="1" t="s">
        <v>64</v>
      </c>
      <c r="P4936" s="1" t="s">
        <v>1111</v>
      </c>
      <c r="Q4936" s="1">
        <v>5</v>
      </c>
      <c r="R4936" s="1">
        <f>Retail_Sales_Analyis[[#This Row],[Final_Price]]-Retail_Sales_Analyis[[#This Row],[Total_Price]]</f>
        <v>-418.40000000000009</v>
      </c>
      <c r="S493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37" spans="1:19" x14ac:dyDescent="0.25">
      <c r="A4937" s="1" t="s">
        <v>6073</v>
      </c>
      <c r="B4937" s="2">
        <v>45339</v>
      </c>
      <c r="C4937" s="1" t="s">
        <v>27</v>
      </c>
      <c r="D4937" s="1" t="s">
        <v>19</v>
      </c>
      <c r="E4937" s="1" t="s">
        <v>351</v>
      </c>
      <c r="F4937" s="1" t="s">
        <v>84</v>
      </c>
      <c r="G4937" s="1" t="s">
        <v>169</v>
      </c>
      <c r="H4937" s="1" t="s">
        <v>366</v>
      </c>
      <c r="I4937" s="1">
        <v>312.42</v>
      </c>
      <c r="J4937" s="1">
        <v>4</v>
      </c>
      <c r="K4937" s="1">
        <v>1249.68</v>
      </c>
      <c r="L4937" s="1">
        <v>0</v>
      </c>
      <c r="M4937" s="1">
        <v>0</v>
      </c>
      <c r="N4937" s="1">
        <v>1249.68</v>
      </c>
      <c r="O4937" s="1" t="s">
        <v>33</v>
      </c>
      <c r="P4937" s="1" t="s">
        <v>1506</v>
      </c>
      <c r="Q4937" s="1">
        <v>2</v>
      </c>
      <c r="R4937" s="1">
        <f>Retail_Sales_Analyis[[#This Row],[Final_Price]]-Retail_Sales_Analyis[[#This Row],[Total_Price]]</f>
        <v>0</v>
      </c>
      <c r="S4937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38" spans="1:19" x14ac:dyDescent="0.25">
      <c r="A4938" s="1" t="s">
        <v>6074</v>
      </c>
      <c r="B4938" s="2">
        <v>45482</v>
      </c>
      <c r="C4938" s="1" t="s">
        <v>195</v>
      </c>
      <c r="D4938" s="1" t="s">
        <v>28</v>
      </c>
      <c r="E4938" s="1" t="s">
        <v>199</v>
      </c>
      <c r="F4938" s="1" t="s">
        <v>84</v>
      </c>
      <c r="G4938" s="1" t="s">
        <v>22</v>
      </c>
      <c r="H4938" s="1" t="s">
        <v>277</v>
      </c>
      <c r="I4938" s="1">
        <v>221.78</v>
      </c>
      <c r="J4938" s="1">
        <v>5</v>
      </c>
      <c r="K4938" s="1">
        <v>1108.9000000000001</v>
      </c>
      <c r="L4938" s="1">
        <v>5</v>
      </c>
      <c r="M4938" s="1">
        <v>55.45</v>
      </c>
      <c r="N4938" s="1">
        <v>1053.45</v>
      </c>
      <c r="O4938" s="1" t="s">
        <v>33</v>
      </c>
      <c r="P4938" s="1" t="s">
        <v>2214</v>
      </c>
      <c r="Q4938" s="1">
        <v>3</v>
      </c>
      <c r="R4938" s="1">
        <f>Retail_Sales_Analyis[[#This Row],[Final_Price]]-Retail_Sales_Analyis[[#This Row],[Total_Price]]</f>
        <v>-55.450000000000045</v>
      </c>
      <c r="S493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39" spans="1:19" x14ac:dyDescent="0.25">
      <c r="A4939" s="1" t="s">
        <v>6075</v>
      </c>
      <c r="B4939" s="2">
        <v>45467</v>
      </c>
      <c r="C4939" s="1" t="s">
        <v>173</v>
      </c>
      <c r="D4939" s="1" t="s">
        <v>43</v>
      </c>
      <c r="E4939" s="1" t="s">
        <v>29</v>
      </c>
      <c r="F4939" s="1" t="s">
        <v>30</v>
      </c>
      <c r="G4939" s="1" t="s">
        <v>31</v>
      </c>
      <c r="H4939" s="1" t="s">
        <v>329</v>
      </c>
      <c r="I4939" s="1">
        <v>399.98</v>
      </c>
      <c r="J4939" s="1">
        <v>4</v>
      </c>
      <c r="K4939" s="1">
        <v>1599.92</v>
      </c>
      <c r="L4939" s="1">
        <v>5</v>
      </c>
      <c r="M4939" s="1">
        <v>80</v>
      </c>
      <c r="N4939" s="1">
        <v>1519.92</v>
      </c>
      <c r="O4939" s="1" t="s">
        <v>46</v>
      </c>
      <c r="P4939" s="1" t="s">
        <v>1375</v>
      </c>
      <c r="Q4939" s="1">
        <v>3</v>
      </c>
      <c r="R4939" s="1">
        <f>Retail_Sales_Analyis[[#This Row],[Final_Price]]-Retail_Sales_Analyis[[#This Row],[Total_Price]]</f>
        <v>-80</v>
      </c>
      <c r="S4939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40" spans="1:19" x14ac:dyDescent="0.25">
      <c r="A4940" s="1" t="s">
        <v>6076</v>
      </c>
      <c r="B4940" s="2">
        <v>45385</v>
      </c>
      <c r="C4940" s="1" t="s">
        <v>54</v>
      </c>
      <c r="D4940" s="1" t="s">
        <v>55</v>
      </c>
      <c r="E4940" s="1" t="s">
        <v>236</v>
      </c>
      <c r="F4940" s="1" t="s">
        <v>37</v>
      </c>
      <c r="G4940" s="1" t="s">
        <v>78</v>
      </c>
      <c r="H4940" s="1" t="s">
        <v>323</v>
      </c>
      <c r="I4940" s="1">
        <v>196.43</v>
      </c>
      <c r="J4940" s="1">
        <v>2</v>
      </c>
      <c r="K4940" s="1">
        <v>392.86</v>
      </c>
      <c r="L4940" s="1">
        <v>15</v>
      </c>
      <c r="M4940" s="1">
        <v>58.93</v>
      </c>
      <c r="N4940" s="1">
        <v>333.93</v>
      </c>
      <c r="O4940" s="1" t="s">
        <v>33</v>
      </c>
      <c r="P4940" s="1" t="s">
        <v>2210</v>
      </c>
      <c r="Q4940" s="1">
        <v>4</v>
      </c>
      <c r="R4940" s="1">
        <f>Retail_Sales_Analyis[[#This Row],[Final_Price]]-Retail_Sales_Analyis[[#This Row],[Total_Price]]</f>
        <v>-58.930000000000007</v>
      </c>
      <c r="S494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41" spans="1:19" x14ac:dyDescent="0.25">
      <c r="A4941" s="1" t="s">
        <v>6077</v>
      </c>
      <c r="B4941" s="2">
        <v>45350</v>
      </c>
      <c r="C4941" s="1" t="s">
        <v>27</v>
      </c>
      <c r="D4941" s="1" t="s">
        <v>55</v>
      </c>
      <c r="E4941" s="1" t="s">
        <v>213</v>
      </c>
      <c r="F4941" s="1" t="s">
        <v>21</v>
      </c>
      <c r="G4941" s="1" t="s">
        <v>112</v>
      </c>
      <c r="H4941" s="1" t="s">
        <v>223</v>
      </c>
      <c r="I4941" s="1">
        <v>1550.95</v>
      </c>
      <c r="J4941" s="1">
        <v>9</v>
      </c>
      <c r="K4941" s="1">
        <v>13958.55</v>
      </c>
      <c r="L4941" s="1">
        <v>10</v>
      </c>
      <c r="M4941" s="1">
        <v>1395.86</v>
      </c>
      <c r="N4941" s="1">
        <v>12562.69</v>
      </c>
      <c r="O4941" s="1" t="s">
        <v>64</v>
      </c>
      <c r="P4941" s="1" t="s">
        <v>1011</v>
      </c>
      <c r="Q4941" s="1">
        <v>3</v>
      </c>
      <c r="R4941" s="1">
        <f>Retail_Sales_Analyis[[#This Row],[Final_Price]]-Retail_Sales_Analyis[[#This Row],[Total_Price]]</f>
        <v>-1395.8599999999988</v>
      </c>
      <c r="S494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42" spans="1:19" x14ac:dyDescent="0.25">
      <c r="A4942" s="1" t="s">
        <v>6078</v>
      </c>
      <c r="B4942" s="2">
        <v>45497</v>
      </c>
      <c r="C4942" s="1" t="s">
        <v>195</v>
      </c>
      <c r="D4942" s="1" t="s">
        <v>55</v>
      </c>
      <c r="E4942" s="1" t="s">
        <v>29</v>
      </c>
      <c r="F4942" s="1" t="s">
        <v>69</v>
      </c>
      <c r="G4942" s="1" t="s">
        <v>112</v>
      </c>
      <c r="H4942" s="1" t="s">
        <v>223</v>
      </c>
      <c r="I4942" s="1">
        <v>1684.78</v>
      </c>
      <c r="J4942" s="1">
        <v>10</v>
      </c>
      <c r="K4942" s="1">
        <v>16847.8</v>
      </c>
      <c r="L4942" s="1">
        <v>0</v>
      </c>
      <c r="M4942" s="1">
        <v>0</v>
      </c>
      <c r="N4942" s="1">
        <v>16847.8</v>
      </c>
      <c r="O4942" s="1" t="s">
        <v>24</v>
      </c>
      <c r="P4942" s="1" t="s">
        <v>1654</v>
      </c>
      <c r="Q4942" s="1">
        <v>3</v>
      </c>
      <c r="R4942" s="1">
        <f>Retail_Sales_Analyis[[#This Row],[Final_Price]]-Retail_Sales_Analyis[[#This Row],[Total_Price]]</f>
        <v>0</v>
      </c>
      <c r="S4942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43" spans="1:19" x14ac:dyDescent="0.25">
      <c r="A4943" s="1" t="s">
        <v>6079</v>
      </c>
      <c r="B4943" s="2">
        <v>45496</v>
      </c>
      <c r="C4943" s="1" t="s">
        <v>195</v>
      </c>
      <c r="D4943" s="1" t="s">
        <v>28</v>
      </c>
      <c r="E4943" s="1" t="s">
        <v>261</v>
      </c>
      <c r="F4943" s="1" t="s">
        <v>84</v>
      </c>
      <c r="G4943" s="1" t="s">
        <v>112</v>
      </c>
      <c r="H4943" s="1" t="s">
        <v>118</v>
      </c>
      <c r="I4943" s="1">
        <v>1449.48</v>
      </c>
      <c r="J4943" s="1">
        <v>7</v>
      </c>
      <c r="K4943" s="1">
        <v>10146.36</v>
      </c>
      <c r="L4943" s="1">
        <v>10</v>
      </c>
      <c r="M4943" s="1">
        <v>1014.64</v>
      </c>
      <c r="N4943" s="1">
        <v>9131.7199999999993</v>
      </c>
      <c r="O4943" s="1" t="s">
        <v>33</v>
      </c>
      <c r="P4943" s="1" t="s">
        <v>3545</v>
      </c>
      <c r="Q4943" s="1">
        <v>5</v>
      </c>
      <c r="R4943" s="1">
        <f>Retail_Sales_Analyis[[#This Row],[Final_Price]]-Retail_Sales_Analyis[[#This Row],[Total_Price]]</f>
        <v>-1014.6400000000012</v>
      </c>
      <c r="S494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44" spans="1:19" x14ac:dyDescent="0.25">
      <c r="A4944" s="1" t="s">
        <v>6080</v>
      </c>
      <c r="B4944" s="2">
        <v>45525</v>
      </c>
      <c r="C4944" s="1" t="s">
        <v>93</v>
      </c>
      <c r="D4944" s="1" t="s">
        <v>55</v>
      </c>
      <c r="E4944" s="1" t="s">
        <v>68</v>
      </c>
      <c r="F4944" s="1" t="s">
        <v>30</v>
      </c>
      <c r="G4944" s="1" t="s">
        <v>112</v>
      </c>
      <c r="H4944" s="1" t="s">
        <v>223</v>
      </c>
      <c r="I4944" s="1">
        <v>1401.66</v>
      </c>
      <c r="J4944" s="1">
        <v>4</v>
      </c>
      <c r="K4944" s="1">
        <v>5606.64</v>
      </c>
      <c r="L4944" s="1">
        <v>0</v>
      </c>
      <c r="M4944" s="1">
        <v>0</v>
      </c>
      <c r="N4944" s="1">
        <v>5606.64</v>
      </c>
      <c r="O4944" s="1" t="s">
        <v>24</v>
      </c>
      <c r="P4944" s="1" t="s">
        <v>1102</v>
      </c>
      <c r="Q4944" s="1">
        <v>3</v>
      </c>
      <c r="R4944" s="1">
        <f>Retail_Sales_Analyis[[#This Row],[Final_Price]]-Retail_Sales_Analyis[[#This Row],[Total_Price]]</f>
        <v>0</v>
      </c>
      <c r="S494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45" spans="1:19" x14ac:dyDescent="0.25">
      <c r="A4945" s="1" t="s">
        <v>6081</v>
      </c>
      <c r="B4945" s="2">
        <v>45431</v>
      </c>
      <c r="C4945" s="1" t="s">
        <v>42</v>
      </c>
      <c r="D4945" s="1" t="s">
        <v>49</v>
      </c>
      <c r="E4945" s="1" t="s">
        <v>168</v>
      </c>
      <c r="F4945" s="1" t="s">
        <v>21</v>
      </c>
      <c r="G4945" s="1" t="s">
        <v>38</v>
      </c>
      <c r="H4945" s="1" t="s">
        <v>39</v>
      </c>
      <c r="I4945" s="1">
        <v>749.5</v>
      </c>
      <c r="J4945" s="1">
        <v>8</v>
      </c>
      <c r="K4945" s="1">
        <v>5996</v>
      </c>
      <c r="L4945" s="1">
        <v>0</v>
      </c>
      <c r="M4945" s="1">
        <v>0</v>
      </c>
      <c r="N4945" s="1">
        <v>5996</v>
      </c>
      <c r="O4945" s="1" t="s">
        <v>80</v>
      </c>
      <c r="P4945" s="1" t="s">
        <v>1572</v>
      </c>
      <c r="Q4945" s="1">
        <v>3</v>
      </c>
      <c r="R4945" s="1">
        <f>Retail_Sales_Analyis[[#This Row],[Final_Price]]-Retail_Sales_Analyis[[#This Row],[Total_Price]]</f>
        <v>0</v>
      </c>
      <c r="S494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46" spans="1:19" x14ac:dyDescent="0.25">
      <c r="A4946" s="1" t="s">
        <v>6082</v>
      </c>
      <c r="B4946" s="2">
        <v>45489</v>
      </c>
      <c r="C4946" s="1" t="s">
        <v>195</v>
      </c>
      <c r="D4946" s="1" t="s">
        <v>28</v>
      </c>
      <c r="E4946" s="1" t="s">
        <v>312</v>
      </c>
      <c r="F4946" s="1" t="s">
        <v>84</v>
      </c>
      <c r="G4946" s="1" t="s">
        <v>22</v>
      </c>
      <c r="H4946" s="1" t="s">
        <v>187</v>
      </c>
      <c r="I4946" s="1">
        <v>533.79</v>
      </c>
      <c r="J4946" s="1">
        <v>2</v>
      </c>
      <c r="K4946" s="1">
        <v>1067.58</v>
      </c>
      <c r="L4946" s="1">
        <v>15</v>
      </c>
      <c r="M4946" s="1">
        <v>160.13999999999999</v>
      </c>
      <c r="N4946" s="1">
        <v>907.44</v>
      </c>
      <c r="O4946" s="1" t="s">
        <v>64</v>
      </c>
      <c r="P4946" s="1" t="s">
        <v>476</v>
      </c>
      <c r="Q4946" s="1">
        <v>4</v>
      </c>
      <c r="R4946" s="1">
        <f>Retail_Sales_Analyis[[#This Row],[Final_Price]]-Retail_Sales_Analyis[[#This Row],[Total_Price]]</f>
        <v>-160.13999999999987</v>
      </c>
      <c r="S494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47" spans="1:19" x14ac:dyDescent="0.25">
      <c r="A4947" s="1" t="s">
        <v>6083</v>
      </c>
      <c r="B4947" s="2">
        <v>45645</v>
      </c>
      <c r="C4947" s="1" t="s">
        <v>73</v>
      </c>
      <c r="D4947" s="1" t="s">
        <v>67</v>
      </c>
      <c r="E4947" s="1" t="s">
        <v>107</v>
      </c>
      <c r="F4947" s="1" t="s">
        <v>37</v>
      </c>
      <c r="G4947" s="1" t="s">
        <v>57</v>
      </c>
      <c r="H4947" s="1" t="s">
        <v>101</v>
      </c>
      <c r="I4947" s="1">
        <v>833.36</v>
      </c>
      <c r="J4947" s="1">
        <v>6</v>
      </c>
      <c r="K4947" s="1">
        <v>5000.16</v>
      </c>
      <c r="L4947" s="1">
        <v>5</v>
      </c>
      <c r="M4947" s="1">
        <v>250.01</v>
      </c>
      <c r="N4947" s="1">
        <v>4750.1499999999996</v>
      </c>
      <c r="O4947" s="1" t="s">
        <v>80</v>
      </c>
      <c r="P4947" s="1" t="s">
        <v>248</v>
      </c>
      <c r="Q4947" s="1">
        <v>3</v>
      </c>
      <c r="R4947" s="1">
        <f>Retail_Sales_Analyis[[#This Row],[Final_Price]]-Retail_Sales_Analyis[[#This Row],[Total_Price]]</f>
        <v>-250.01000000000022</v>
      </c>
      <c r="S4947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48" spans="1:19" x14ac:dyDescent="0.25">
      <c r="A4948" s="1" t="s">
        <v>6084</v>
      </c>
      <c r="B4948" s="2">
        <v>45536</v>
      </c>
      <c r="C4948" s="1" t="s">
        <v>116</v>
      </c>
      <c r="D4948" s="1" t="s">
        <v>49</v>
      </c>
      <c r="E4948" s="1" t="s">
        <v>261</v>
      </c>
      <c r="F4948" s="1" t="s">
        <v>21</v>
      </c>
      <c r="G4948" s="1" t="s">
        <v>38</v>
      </c>
      <c r="H4948" s="1" t="s">
        <v>422</v>
      </c>
      <c r="I4948" s="1">
        <v>657.57</v>
      </c>
      <c r="J4948" s="1">
        <v>8</v>
      </c>
      <c r="K4948" s="1">
        <v>5260.56</v>
      </c>
      <c r="L4948" s="1">
        <v>5</v>
      </c>
      <c r="M4948" s="1">
        <v>263.02999999999997</v>
      </c>
      <c r="N4948" s="1">
        <v>4997.53</v>
      </c>
      <c r="O4948" s="1" t="s">
        <v>33</v>
      </c>
      <c r="P4948" s="1" t="s">
        <v>815</v>
      </c>
      <c r="Q4948" s="1">
        <v>1</v>
      </c>
      <c r="R4948" s="1">
        <f>Retail_Sales_Analyis[[#This Row],[Final_Price]]-Retail_Sales_Analyis[[#This Row],[Total_Price]]</f>
        <v>-263.03000000000065</v>
      </c>
      <c r="S4948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49" spans="1:19" x14ac:dyDescent="0.25">
      <c r="A4949" s="1" t="s">
        <v>6085</v>
      </c>
      <c r="B4949" s="2">
        <v>45507</v>
      </c>
      <c r="C4949" s="1" t="s">
        <v>93</v>
      </c>
      <c r="D4949" s="1" t="s">
        <v>19</v>
      </c>
      <c r="E4949" s="1" t="s">
        <v>192</v>
      </c>
      <c r="F4949" s="1" t="s">
        <v>84</v>
      </c>
      <c r="G4949" s="1" t="s">
        <v>78</v>
      </c>
      <c r="H4949" s="1" t="s">
        <v>79</v>
      </c>
      <c r="I4949" s="1">
        <v>479.11</v>
      </c>
      <c r="J4949" s="1">
        <v>5</v>
      </c>
      <c r="K4949" s="1">
        <v>2395.5500000000002</v>
      </c>
      <c r="L4949" s="1">
        <v>0</v>
      </c>
      <c r="M4949" s="1">
        <v>0</v>
      </c>
      <c r="N4949" s="1">
        <v>2395.5500000000002</v>
      </c>
      <c r="O4949" s="1" t="s">
        <v>24</v>
      </c>
      <c r="P4949" s="1" t="s">
        <v>2518</v>
      </c>
      <c r="Q4949" s="1">
        <v>2</v>
      </c>
      <c r="R4949" s="1">
        <f>Retail_Sales_Analyis[[#This Row],[Final_Price]]-Retail_Sales_Analyis[[#This Row],[Total_Price]]</f>
        <v>0</v>
      </c>
      <c r="S494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0" spans="1:19" x14ac:dyDescent="0.25">
      <c r="A4950" s="1" t="s">
        <v>6086</v>
      </c>
      <c r="B4950" s="2">
        <v>45624</v>
      </c>
      <c r="C4950" s="1" t="s">
        <v>18</v>
      </c>
      <c r="D4950" s="1" t="s">
        <v>67</v>
      </c>
      <c r="E4950" s="1" t="s">
        <v>68</v>
      </c>
      <c r="F4950" s="1" t="s">
        <v>21</v>
      </c>
      <c r="G4950" s="1" t="s">
        <v>169</v>
      </c>
      <c r="H4950" s="1" t="s">
        <v>348</v>
      </c>
      <c r="I4950" s="1">
        <v>1365.29</v>
      </c>
      <c r="J4950" s="1">
        <v>3</v>
      </c>
      <c r="K4950" s="1">
        <v>4095.87</v>
      </c>
      <c r="L4950" s="1">
        <v>15</v>
      </c>
      <c r="M4950" s="1">
        <v>614.38</v>
      </c>
      <c r="N4950" s="1">
        <v>3481.49</v>
      </c>
      <c r="O4950" s="1" t="s">
        <v>33</v>
      </c>
      <c r="P4950" s="1" t="s">
        <v>2376</v>
      </c>
      <c r="Q4950" s="1">
        <v>3</v>
      </c>
      <c r="R4950" s="1">
        <f>Retail_Sales_Analyis[[#This Row],[Final_Price]]-Retail_Sales_Analyis[[#This Row],[Total_Price]]</f>
        <v>-614.38000000000011</v>
      </c>
      <c r="S495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51" spans="1:19" x14ac:dyDescent="0.25">
      <c r="A4951" s="1" t="s">
        <v>6087</v>
      </c>
      <c r="B4951" s="2">
        <v>45377</v>
      </c>
      <c r="C4951" s="1" t="s">
        <v>61</v>
      </c>
      <c r="D4951" s="1" t="s">
        <v>28</v>
      </c>
      <c r="E4951" s="1" t="s">
        <v>68</v>
      </c>
      <c r="F4951" s="1" t="s">
        <v>37</v>
      </c>
      <c r="G4951" s="1" t="s">
        <v>22</v>
      </c>
      <c r="H4951" s="1" t="s">
        <v>277</v>
      </c>
      <c r="I4951" s="1">
        <v>760.91</v>
      </c>
      <c r="J4951" s="1">
        <v>6</v>
      </c>
      <c r="K4951" s="1">
        <v>4565.46</v>
      </c>
      <c r="L4951" s="1">
        <v>0</v>
      </c>
      <c r="M4951" s="1">
        <v>0</v>
      </c>
      <c r="N4951" s="1">
        <v>4565.46</v>
      </c>
      <c r="O4951" s="1" t="s">
        <v>33</v>
      </c>
      <c r="P4951" s="1" t="s">
        <v>667</v>
      </c>
      <c r="Q4951" s="1">
        <v>1</v>
      </c>
      <c r="R4951" s="1">
        <f>Retail_Sales_Analyis[[#This Row],[Final_Price]]-Retail_Sales_Analyis[[#This Row],[Total_Price]]</f>
        <v>0</v>
      </c>
      <c r="S495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2" spans="1:19" x14ac:dyDescent="0.25">
      <c r="A4952" s="1" t="s">
        <v>6088</v>
      </c>
      <c r="B4952" s="2">
        <v>45349</v>
      </c>
      <c r="C4952" s="1" t="s">
        <v>27</v>
      </c>
      <c r="D4952" s="1" t="s">
        <v>28</v>
      </c>
      <c r="E4952" s="1" t="s">
        <v>285</v>
      </c>
      <c r="F4952" s="1" t="s">
        <v>37</v>
      </c>
      <c r="G4952" s="1" t="s">
        <v>38</v>
      </c>
      <c r="H4952" s="1" t="s">
        <v>108</v>
      </c>
      <c r="I4952" s="1">
        <v>418.47</v>
      </c>
      <c r="J4952" s="1">
        <v>3</v>
      </c>
      <c r="K4952" s="1">
        <v>1255.4100000000001</v>
      </c>
      <c r="L4952" s="1">
        <v>5</v>
      </c>
      <c r="M4952" s="1">
        <v>62.77</v>
      </c>
      <c r="N4952" s="1">
        <v>1192.6400000000001</v>
      </c>
      <c r="O4952" s="1" t="s">
        <v>46</v>
      </c>
      <c r="P4952" s="1" t="s">
        <v>291</v>
      </c>
      <c r="Q4952" s="1">
        <v>3</v>
      </c>
      <c r="R4952" s="1">
        <f>Retail_Sales_Analyis[[#This Row],[Final_Price]]-Retail_Sales_Analyis[[#This Row],[Total_Price]]</f>
        <v>-62.769999999999982</v>
      </c>
      <c r="S4952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53" spans="1:19" x14ac:dyDescent="0.25">
      <c r="A4953" s="1" t="s">
        <v>6089</v>
      </c>
      <c r="B4953" s="2">
        <v>45359</v>
      </c>
      <c r="C4953" s="1" t="s">
        <v>61</v>
      </c>
      <c r="D4953" s="1" t="s">
        <v>144</v>
      </c>
      <c r="E4953" s="1" t="s">
        <v>145</v>
      </c>
      <c r="F4953" s="1" t="s">
        <v>30</v>
      </c>
      <c r="G4953" s="1" t="s">
        <v>85</v>
      </c>
      <c r="H4953" s="1" t="s">
        <v>90</v>
      </c>
      <c r="I4953" s="1">
        <v>4592.7299999999996</v>
      </c>
      <c r="J4953" s="1">
        <v>2</v>
      </c>
      <c r="K4953" s="1">
        <v>9185.4599999999991</v>
      </c>
      <c r="L4953" s="1">
        <v>0</v>
      </c>
      <c r="M4953" s="1">
        <v>0</v>
      </c>
      <c r="N4953" s="1">
        <v>9185.4599999999991</v>
      </c>
      <c r="O4953" s="1" t="s">
        <v>64</v>
      </c>
      <c r="P4953" s="1" t="s">
        <v>3644</v>
      </c>
      <c r="Q4953" s="1">
        <v>3</v>
      </c>
      <c r="R4953" s="1">
        <f>Retail_Sales_Analyis[[#This Row],[Final_Price]]-Retail_Sales_Analyis[[#This Row],[Total_Price]]</f>
        <v>0</v>
      </c>
      <c r="S495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4" spans="1:19" x14ac:dyDescent="0.25">
      <c r="A4954" s="1" t="s">
        <v>6090</v>
      </c>
      <c r="B4954" s="2">
        <v>45648</v>
      </c>
      <c r="C4954" s="1" t="s">
        <v>73</v>
      </c>
      <c r="D4954" s="1" t="s">
        <v>49</v>
      </c>
      <c r="E4954" s="1" t="s">
        <v>117</v>
      </c>
      <c r="F4954" s="1" t="s">
        <v>37</v>
      </c>
      <c r="G4954" s="1" t="s">
        <v>38</v>
      </c>
      <c r="H4954" s="1" t="s">
        <v>214</v>
      </c>
      <c r="I4954" s="1">
        <v>340</v>
      </c>
      <c r="J4954" s="1">
        <v>7</v>
      </c>
      <c r="K4954" s="1">
        <v>2380</v>
      </c>
      <c r="L4954" s="1">
        <v>0</v>
      </c>
      <c r="M4954" s="1">
        <v>0</v>
      </c>
      <c r="N4954" s="1">
        <v>2380</v>
      </c>
      <c r="O4954" s="1" t="s">
        <v>80</v>
      </c>
      <c r="P4954" s="1" t="s">
        <v>2060</v>
      </c>
      <c r="Q4954" s="1">
        <v>4</v>
      </c>
      <c r="R4954" s="1">
        <f>Retail_Sales_Analyis[[#This Row],[Final_Price]]-Retail_Sales_Analyis[[#This Row],[Total_Price]]</f>
        <v>0</v>
      </c>
      <c r="S495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5" spans="1:19" x14ac:dyDescent="0.25">
      <c r="A4955" s="1" t="s">
        <v>6091</v>
      </c>
      <c r="B4955" s="2">
        <v>45322</v>
      </c>
      <c r="C4955" s="1" t="s">
        <v>36</v>
      </c>
      <c r="D4955" s="1" t="s">
        <v>55</v>
      </c>
      <c r="E4955" s="1" t="s">
        <v>192</v>
      </c>
      <c r="F4955" s="1" t="s">
        <v>21</v>
      </c>
      <c r="G4955" s="1" t="s">
        <v>169</v>
      </c>
      <c r="H4955" s="1" t="s">
        <v>366</v>
      </c>
      <c r="I4955" s="1">
        <v>1238.6099999999999</v>
      </c>
      <c r="J4955" s="1">
        <v>9</v>
      </c>
      <c r="K4955" s="1">
        <v>11147.49</v>
      </c>
      <c r="L4955" s="1">
        <v>0</v>
      </c>
      <c r="M4955" s="1">
        <v>0</v>
      </c>
      <c r="N4955" s="1">
        <v>11147.49</v>
      </c>
      <c r="O4955" s="1" t="s">
        <v>33</v>
      </c>
      <c r="P4955" s="1" t="s">
        <v>1963</v>
      </c>
      <c r="Q4955" s="1">
        <v>3</v>
      </c>
      <c r="R4955" s="1">
        <f>Retail_Sales_Analyis[[#This Row],[Final_Price]]-Retail_Sales_Analyis[[#This Row],[Total_Price]]</f>
        <v>0</v>
      </c>
      <c r="S495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6" spans="1:19" x14ac:dyDescent="0.25">
      <c r="A4956" s="1" t="s">
        <v>6092</v>
      </c>
      <c r="B4956" s="2">
        <v>45373</v>
      </c>
      <c r="C4956" s="1" t="s">
        <v>61</v>
      </c>
      <c r="D4956" s="1" t="s">
        <v>144</v>
      </c>
      <c r="E4956" s="1" t="s">
        <v>117</v>
      </c>
      <c r="F4956" s="1" t="s">
        <v>30</v>
      </c>
      <c r="G4956" s="1" t="s">
        <v>38</v>
      </c>
      <c r="H4956" s="1" t="s">
        <v>39</v>
      </c>
      <c r="I4956" s="1">
        <v>424.24</v>
      </c>
      <c r="J4956" s="1">
        <v>5</v>
      </c>
      <c r="K4956" s="1">
        <v>2121.1999999999998</v>
      </c>
      <c r="L4956" s="1">
        <v>10</v>
      </c>
      <c r="M4956" s="1">
        <v>212.12</v>
      </c>
      <c r="N4956" s="1">
        <v>1909.08</v>
      </c>
      <c r="O4956" s="1" t="s">
        <v>24</v>
      </c>
      <c r="P4956" s="1" t="s">
        <v>4578</v>
      </c>
      <c r="Q4956" s="1">
        <v>5</v>
      </c>
      <c r="R4956" s="1">
        <f>Retail_Sales_Analyis[[#This Row],[Final_Price]]-Retail_Sales_Analyis[[#This Row],[Total_Price]]</f>
        <v>-212.11999999999989</v>
      </c>
      <c r="S495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57" spans="1:19" x14ac:dyDescent="0.25">
      <c r="A4957" s="1" t="s">
        <v>6093</v>
      </c>
      <c r="B4957" s="2">
        <v>45345</v>
      </c>
      <c r="C4957" s="1" t="s">
        <v>27</v>
      </c>
      <c r="D4957" s="1" t="s">
        <v>144</v>
      </c>
      <c r="E4957" s="1" t="s">
        <v>174</v>
      </c>
      <c r="F4957" s="1" t="s">
        <v>30</v>
      </c>
      <c r="G4957" s="1" t="s">
        <v>78</v>
      </c>
      <c r="H4957" s="1" t="s">
        <v>126</v>
      </c>
      <c r="I4957" s="1">
        <v>548.11</v>
      </c>
      <c r="J4957" s="1">
        <v>3</v>
      </c>
      <c r="K4957" s="1">
        <v>1644.33</v>
      </c>
      <c r="L4957" s="1">
        <v>15</v>
      </c>
      <c r="M4957" s="1">
        <v>246.65</v>
      </c>
      <c r="N4957" s="1">
        <v>1397.68</v>
      </c>
      <c r="O4957" s="1" t="s">
        <v>46</v>
      </c>
      <c r="P4957" s="1" t="s">
        <v>2249</v>
      </c>
      <c r="Q4957" s="1">
        <v>1</v>
      </c>
      <c r="R4957" s="1">
        <f>Retail_Sales_Analyis[[#This Row],[Final_Price]]-Retail_Sales_Analyis[[#This Row],[Total_Price]]</f>
        <v>-246.64999999999986</v>
      </c>
      <c r="S495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58" spans="1:19" x14ac:dyDescent="0.25">
      <c r="A4958" s="1" t="s">
        <v>6094</v>
      </c>
      <c r="B4958" s="2">
        <v>45505</v>
      </c>
      <c r="C4958" s="1" t="s">
        <v>93</v>
      </c>
      <c r="D4958" s="1" t="s">
        <v>67</v>
      </c>
      <c r="E4958" s="1" t="s">
        <v>207</v>
      </c>
      <c r="F4958" s="1" t="s">
        <v>84</v>
      </c>
      <c r="G4958" s="1" t="s">
        <v>78</v>
      </c>
      <c r="H4958" s="1" t="s">
        <v>323</v>
      </c>
      <c r="I4958" s="1">
        <v>337.95</v>
      </c>
      <c r="J4958" s="1">
        <v>6</v>
      </c>
      <c r="K4958" s="1">
        <v>2027.7</v>
      </c>
      <c r="L4958" s="1">
        <v>0</v>
      </c>
      <c r="M4958" s="1">
        <v>0</v>
      </c>
      <c r="N4958" s="1">
        <v>2027.7</v>
      </c>
      <c r="O4958" s="1" t="s">
        <v>64</v>
      </c>
      <c r="P4958" s="1" t="s">
        <v>940</v>
      </c>
      <c r="Q4958" s="1">
        <v>1</v>
      </c>
      <c r="R4958" s="1">
        <f>Retail_Sales_Analyis[[#This Row],[Final_Price]]-Retail_Sales_Analyis[[#This Row],[Total_Price]]</f>
        <v>0</v>
      </c>
      <c r="S4958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59" spans="1:19" x14ac:dyDescent="0.25">
      <c r="A4959" s="1" t="s">
        <v>6095</v>
      </c>
      <c r="B4959" s="2">
        <v>45594</v>
      </c>
      <c r="C4959" s="1" t="s">
        <v>76</v>
      </c>
      <c r="D4959" s="1" t="s">
        <v>28</v>
      </c>
      <c r="E4959" s="1" t="s">
        <v>145</v>
      </c>
      <c r="F4959" s="1" t="s">
        <v>69</v>
      </c>
      <c r="G4959" s="1" t="s">
        <v>22</v>
      </c>
      <c r="H4959" s="1" t="s">
        <v>133</v>
      </c>
      <c r="I4959" s="1">
        <v>276.57</v>
      </c>
      <c r="J4959" s="1">
        <v>6</v>
      </c>
      <c r="K4959" s="1">
        <v>1659.42</v>
      </c>
      <c r="L4959" s="1">
        <v>20</v>
      </c>
      <c r="M4959" s="1">
        <v>331.88</v>
      </c>
      <c r="N4959" s="1">
        <v>1327.54</v>
      </c>
      <c r="O4959" s="1" t="s">
        <v>80</v>
      </c>
      <c r="P4959" s="1" t="s">
        <v>443</v>
      </c>
      <c r="Q4959" s="1">
        <v>4</v>
      </c>
      <c r="R4959" s="1">
        <f>Retail_Sales_Analyis[[#This Row],[Final_Price]]-Retail_Sales_Analyis[[#This Row],[Total_Price]]</f>
        <v>-331.88000000000011</v>
      </c>
      <c r="S495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60" spans="1:19" x14ac:dyDescent="0.25">
      <c r="A4960" s="1" t="s">
        <v>6096</v>
      </c>
      <c r="B4960" s="2">
        <v>45539</v>
      </c>
      <c r="C4960" s="1" t="s">
        <v>116</v>
      </c>
      <c r="D4960" s="1" t="s">
        <v>55</v>
      </c>
      <c r="E4960" s="1" t="s">
        <v>199</v>
      </c>
      <c r="F4960" s="1" t="s">
        <v>69</v>
      </c>
      <c r="G4960" s="1" t="s">
        <v>78</v>
      </c>
      <c r="H4960" s="1" t="s">
        <v>146</v>
      </c>
      <c r="I4960" s="1">
        <v>505.8</v>
      </c>
      <c r="J4960" s="1">
        <v>4</v>
      </c>
      <c r="K4960" s="1">
        <v>2023.2</v>
      </c>
      <c r="L4960" s="1">
        <v>0</v>
      </c>
      <c r="M4960" s="1">
        <v>0</v>
      </c>
      <c r="N4960" s="1">
        <v>2023.2</v>
      </c>
      <c r="O4960" s="1" t="s">
        <v>46</v>
      </c>
      <c r="P4960" s="1" t="s">
        <v>1117</v>
      </c>
      <c r="Q4960" s="1">
        <v>5</v>
      </c>
      <c r="R4960" s="1">
        <f>Retail_Sales_Analyis[[#This Row],[Final_Price]]-Retail_Sales_Analyis[[#This Row],[Total_Price]]</f>
        <v>0</v>
      </c>
      <c r="S496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61" spans="1:19" x14ac:dyDescent="0.25">
      <c r="A4961" s="1" t="s">
        <v>6097</v>
      </c>
      <c r="B4961" s="2">
        <v>45583</v>
      </c>
      <c r="C4961" s="1" t="s">
        <v>76</v>
      </c>
      <c r="D4961" s="1" t="s">
        <v>144</v>
      </c>
      <c r="E4961" s="1" t="s">
        <v>337</v>
      </c>
      <c r="F4961" s="1" t="s">
        <v>30</v>
      </c>
      <c r="G4961" s="1" t="s">
        <v>57</v>
      </c>
      <c r="H4961" s="1" t="s">
        <v>122</v>
      </c>
      <c r="I4961" s="1">
        <v>2391.1999999999998</v>
      </c>
      <c r="J4961" s="1">
        <v>5</v>
      </c>
      <c r="K4961" s="1">
        <v>11956</v>
      </c>
      <c r="L4961" s="1">
        <v>20</v>
      </c>
      <c r="M4961" s="1">
        <v>2391.1999999999998</v>
      </c>
      <c r="N4961" s="1">
        <v>9564.7999999999993</v>
      </c>
      <c r="O4961" s="1" t="s">
        <v>64</v>
      </c>
      <c r="P4961" s="1" t="s">
        <v>2098</v>
      </c>
      <c r="Q4961" s="1">
        <v>5</v>
      </c>
      <c r="R4961" s="1">
        <f>Retail_Sales_Analyis[[#This Row],[Final_Price]]-Retail_Sales_Analyis[[#This Row],[Total_Price]]</f>
        <v>-2391.2000000000007</v>
      </c>
      <c r="S496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62" spans="1:19" x14ac:dyDescent="0.25">
      <c r="A4962" s="1" t="s">
        <v>6098</v>
      </c>
      <c r="B4962" s="2">
        <v>45639</v>
      </c>
      <c r="C4962" s="1" t="s">
        <v>73</v>
      </c>
      <c r="D4962" s="1" t="s">
        <v>144</v>
      </c>
      <c r="E4962" s="1" t="s">
        <v>196</v>
      </c>
      <c r="F4962" s="1" t="s">
        <v>30</v>
      </c>
      <c r="G4962" s="1" t="s">
        <v>112</v>
      </c>
      <c r="H4962" s="1" t="s">
        <v>223</v>
      </c>
      <c r="I4962" s="1">
        <v>1376.69</v>
      </c>
      <c r="J4962" s="1">
        <v>3</v>
      </c>
      <c r="K4962" s="1">
        <v>4130.07</v>
      </c>
      <c r="L4962" s="1">
        <v>20</v>
      </c>
      <c r="M4962" s="1">
        <v>826.01</v>
      </c>
      <c r="N4962" s="1">
        <v>3304.06</v>
      </c>
      <c r="O4962" s="1" t="s">
        <v>64</v>
      </c>
      <c r="P4962" s="1" t="s">
        <v>1106</v>
      </c>
      <c r="Q4962" s="1">
        <v>1</v>
      </c>
      <c r="R4962" s="1">
        <f>Retail_Sales_Analyis[[#This Row],[Final_Price]]-Retail_Sales_Analyis[[#This Row],[Total_Price]]</f>
        <v>-826.00999999999976</v>
      </c>
      <c r="S496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63" spans="1:19" x14ac:dyDescent="0.25">
      <c r="A4963" s="1" t="s">
        <v>6099</v>
      </c>
      <c r="B4963" s="2">
        <v>45516</v>
      </c>
      <c r="C4963" s="1" t="s">
        <v>93</v>
      </c>
      <c r="D4963" s="1" t="s">
        <v>43</v>
      </c>
      <c r="E4963" s="1" t="s">
        <v>132</v>
      </c>
      <c r="F4963" s="1" t="s">
        <v>37</v>
      </c>
      <c r="G4963" s="1" t="s">
        <v>112</v>
      </c>
      <c r="H4963" s="1" t="s">
        <v>288</v>
      </c>
      <c r="I4963" s="1">
        <v>1340.3</v>
      </c>
      <c r="J4963" s="1">
        <v>4</v>
      </c>
      <c r="K4963" s="1">
        <v>5361.2</v>
      </c>
      <c r="L4963" s="1">
        <v>0</v>
      </c>
      <c r="M4963" s="1">
        <v>0</v>
      </c>
      <c r="N4963" s="1">
        <v>5361.2</v>
      </c>
      <c r="O4963" s="1" t="s">
        <v>46</v>
      </c>
      <c r="P4963" s="1" t="s">
        <v>3554</v>
      </c>
      <c r="Q4963" s="1">
        <v>2</v>
      </c>
      <c r="R4963" s="1">
        <f>Retail_Sales_Analyis[[#This Row],[Final_Price]]-Retail_Sales_Analyis[[#This Row],[Total_Price]]</f>
        <v>0</v>
      </c>
      <c r="S4963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64" spans="1:19" x14ac:dyDescent="0.25">
      <c r="A4964" s="1" t="s">
        <v>6100</v>
      </c>
      <c r="B4964" s="2">
        <v>45384</v>
      </c>
      <c r="C4964" s="1" t="s">
        <v>54</v>
      </c>
      <c r="D4964" s="1" t="s">
        <v>28</v>
      </c>
      <c r="E4964" s="1" t="s">
        <v>121</v>
      </c>
      <c r="F4964" s="1" t="s">
        <v>21</v>
      </c>
      <c r="G4964" s="1" t="s">
        <v>112</v>
      </c>
      <c r="H4964" s="1" t="s">
        <v>113</v>
      </c>
      <c r="I4964" s="1">
        <v>1638.51</v>
      </c>
      <c r="J4964" s="1">
        <v>4</v>
      </c>
      <c r="K4964" s="1">
        <v>6554.04</v>
      </c>
      <c r="L4964" s="1">
        <v>0</v>
      </c>
      <c r="M4964" s="1">
        <v>0</v>
      </c>
      <c r="N4964" s="1">
        <v>6554.04</v>
      </c>
      <c r="O4964" s="1" t="s">
        <v>80</v>
      </c>
      <c r="P4964" s="1" t="s">
        <v>528</v>
      </c>
      <c r="Q4964" s="1">
        <v>2</v>
      </c>
      <c r="R4964" s="1">
        <f>Retail_Sales_Analyis[[#This Row],[Final_Price]]-Retail_Sales_Analyis[[#This Row],[Total_Price]]</f>
        <v>0</v>
      </c>
      <c r="S4964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65" spans="1:19" x14ac:dyDescent="0.25">
      <c r="A4965" s="1" t="s">
        <v>6101</v>
      </c>
      <c r="B4965" s="2">
        <v>45604</v>
      </c>
      <c r="C4965" s="1" t="s">
        <v>18</v>
      </c>
      <c r="D4965" s="1" t="s">
        <v>144</v>
      </c>
      <c r="E4965" s="1" t="s">
        <v>107</v>
      </c>
      <c r="F4965" s="1" t="s">
        <v>84</v>
      </c>
      <c r="G4965" s="1" t="s">
        <v>78</v>
      </c>
      <c r="H4965" s="1" t="s">
        <v>323</v>
      </c>
      <c r="I4965" s="1">
        <v>496.04</v>
      </c>
      <c r="J4965" s="1">
        <v>6</v>
      </c>
      <c r="K4965" s="1">
        <v>2976.24</v>
      </c>
      <c r="L4965" s="1">
        <v>15</v>
      </c>
      <c r="M4965" s="1">
        <v>446.44</v>
      </c>
      <c r="N4965" s="1">
        <v>2529.8000000000002</v>
      </c>
      <c r="O4965" s="1" t="s">
        <v>46</v>
      </c>
      <c r="P4965" s="1" t="s">
        <v>1722</v>
      </c>
      <c r="Q4965" s="1">
        <v>4</v>
      </c>
      <c r="R4965" s="1">
        <f>Retail_Sales_Analyis[[#This Row],[Final_Price]]-Retail_Sales_Analyis[[#This Row],[Total_Price]]</f>
        <v>-446.4399999999996</v>
      </c>
      <c r="S496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66" spans="1:19" x14ac:dyDescent="0.25">
      <c r="A4966" s="1" t="s">
        <v>6102</v>
      </c>
      <c r="B4966" s="2">
        <v>45486</v>
      </c>
      <c r="C4966" s="1" t="s">
        <v>195</v>
      </c>
      <c r="D4966" s="1" t="s">
        <v>19</v>
      </c>
      <c r="E4966" s="1" t="s">
        <v>168</v>
      </c>
      <c r="F4966" s="1" t="s">
        <v>21</v>
      </c>
      <c r="G4966" s="1" t="s">
        <v>31</v>
      </c>
      <c r="H4966" s="1" t="s">
        <v>63</v>
      </c>
      <c r="I4966" s="1">
        <v>223.05</v>
      </c>
      <c r="J4966" s="1">
        <v>6</v>
      </c>
      <c r="K4966" s="1">
        <v>1338.3</v>
      </c>
      <c r="L4966" s="1">
        <v>15</v>
      </c>
      <c r="M4966" s="1">
        <v>200.74</v>
      </c>
      <c r="N4966" s="1">
        <v>1137.56</v>
      </c>
      <c r="O4966" s="1" t="s">
        <v>33</v>
      </c>
      <c r="P4966" s="1" t="s">
        <v>723</v>
      </c>
      <c r="Q4966" s="1">
        <v>5</v>
      </c>
      <c r="R4966" s="1">
        <f>Retail_Sales_Analyis[[#This Row],[Final_Price]]-Retail_Sales_Analyis[[#This Row],[Total_Price]]</f>
        <v>-200.74</v>
      </c>
      <c r="S4966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67" spans="1:19" x14ac:dyDescent="0.25">
      <c r="A4967" s="1" t="s">
        <v>6103</v>
      </c>
      <c r="B4967" s="2">
        <v>45475</v>
      </c>
      <c r="C4967" s="1" t="s">
        <v>195</v>
      </c>
      <c r="D4967" s="1" t="s">
        <v>28</v>
      </c>
      <c r="E4967" s="1" t="s">
        <v>192</v>
      </c>
      <c r="F4967" s="1" t="s">
        <v>37</v>
      </c>
      <c r="G4967" s="1" t="s">
        <v>57</v>
      </c>
      <c r="H4967" s="1" t="s">
        <v>122</v>
      </c>
      <c r="I4967" s="1">
        <v>880.25</v>
      </c>
      <c r="J4967" s="1">
        <v>10</v>
      </c>
      <c r="K4967" s="1">
        <v>8802.5</v>
      </c>
      <c r="L4967" s="1">
        <v>20</v>
      </c>
      <c r="M4967" s="1">
        <v>1760.5</v>
      </c>
      <c r="N4967" s="1">
        <v>7042</v>
      </c>
      <c r="O4967" s="1" t="s">
        <v>46</v>
      </c>
      <c r="P4967" s="1" t="s">
        <v>224</v>
      </c>
      <c r="Q4967" s="1">
        <v>2</v>
      </c>
      <c r="R4967" s="1">
        <f>Retail_Sales_Analyis[[#This Row],[Final_Price]]-Retail_Sales_Analyis[[#This Row],[Total_Price]]</f>
        <v>-1760.5</v>
      </c>
      <c r="S4967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68" spans="1:19" x14ac:dyDescent="0.25">
      <c r="A4968" s="1" t="s">
        <v>6104</v>
      </c>
      <c r="B4968" s="2">
        <v>45605</v>
      </c>
      <c r="C4968" s="1" t="s">
        <v>18</v>
      </c>
      <c r="D4968" s="1" t="s">
        <v>19</v>
      </c>
      <c r="E4968" s="1" t="s">
        <v>163</v>
      </c>
      <c r="F4968" s="1" t="s">
        <v>69</v>
      </c>
      <c r="G4968" s="1" t="s">
        <v>78</v>
      </c>
      <c r="H4968" s="1" t="s">
        <v>79</v>
      </c>
      <c r="I4968" s="1">
        <v>586.99</v>
      </c>
      <c r="J4968" s="1">
        <v>9</v>
      </c>
      <c r="K4968" s="1">
        <v>5282.91</v>
      </c>
      <c r="L4968" s="1">
        <v>10</v>
      </c>
      <c r="M4968" s="1">
        <v>528.29</v>
      </c>
      <c r="N4968" s="1">
        <v>4754.62</v>
      </c>
      <c r="O4968" s="1" t="s">
        <v>46</v>
      </c>
      <c r="P4968" s="1" t="s">
        <v>147</v>
      </c>
      <c r="Q4968" s="1">
        <v>4</v>
      </c>
      <c r="R4968" s="1">
        <f>Retail_Sales_Analyis[[#This Row],[Final_Price]]-Retail_Sales_Analyis[[#This Row],[Total_Price]]</f>
        <v>-528.29</v>
      </c>
      <c r="S496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69" spans="1:19" x14ac:dyDescent="0.25">
      <c r="A4969" s="1" t="s">
        <v>6105</v>
      </c>
      <c r="B4969" s="2">
        <v>45306</v>
      </c>
      <c r="C4969" s="1" t="s">
        <v>36</v>
      </c>
      <c r="D4969" s="1" t="s">
        <v>43</v>
      </c>
      <c r="E4969" s="1" t="s">
        <v>83</v>
      </c>
      <c r="F4969" s="1" t="s">
        <v>21</v>
      </c>
      <c r="G4969" s="1" t="s">
        <v>85</v>
      </c>
      <c r="H4969" s="1" t="s">
        <v>90</v>
      </c>
      <c r="I4969" s="1">
        <v>4760.96</v>
      </c>
      <c r="J4969" s="1">
        <v>1</v>
      </c>
      <c r="K4969" s="1">
        <v>4760.96</v>
      </c>
      <c r="L4969" s="1">
        <v>15</v>
      </c>
      <c r="M4969" s="1">
        <v>714.14</v>
      </c>
      <c r="N4969" s="1">
        <v>4046.82</v>
      </c>
      <c r="O4969" s="1" t="s">
        <v>80</v>
      </c>
      <c r="P4969" s="1" t="s">
        <v>415</v>
      </c>
      <c r="Q4969" s="1">
        <v>3</v>
      </c>
      <c r="R4969" s="1">
        <f>Retail_Sales_Analyis[[#This Row],[Final_Price]]-Retail_Sales_Analyis[[#This Row],[Total_Price]]</f>
        <v>-714.13999999999987</v>
      </c>
      <c r="S4969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70" spans="1:19" x14ac:dyDescent="0.25">
      <c r="A4970" s="1" t="s">
        <v>6106</v>
      </c>
      <c r="B4970" s="2">
        <v>45642</v>
      </c>
      <c r="C4970" s="1" t="s">
        <v>73</v>
      </c>
      <c r="D4970" s="1" t="s">
        <v>43</v>
      </c>
      <c r="E4970" s="1" t="s">
        <v>89</v>
      </c>
      <c r="F4970" s="1" t="s">
        <v>84</v>
      </c>
      <c r="G4970" s="1" t="s">
        <v>57</v>
      </c>
      <c r="H4970" s="1" t="s">
        <v>122</v>
      </c>
      <c r="I4970" s="1">
        <v>1447.95</v>
      </c>
      <c r="J4970" s="1">
        <v>4</v>
      </c>
      <c r="K4970" s="1">
        <v>5791.8</v>
      </c>
      <c r="L4970" s="1">
        <v>0</v>
      </c>
      <c r="M4970" s="1">
        <v>0</v>
      </c>
      <c r="N4970" s="1">
        <v>5791.8</v>
      </c>
      <c r="O4970" s="1" t="s">
        <v>24</v>
      </c>
      <c r="P4970" s="1" t="s">
        <v>1059</v>
      </c>
      <c r="Q4970" s="1">
        <v>5</v>
      </c>
      <c r="R4970" s="1">
        <f>Retail_Sales_Analyis[[#This Row],[Final_Price]]-Retail_Sales_Analyis[[#This Row],[Total_Price]]</f>
        <v>0</v>
      </c>
      <c r="S4970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71" spans="1:19" x14ac:dyDescent="0.25">
      <c r="A4971" s="1" t="s">
        <v>6107</v>
      </c>
      <c r="B4971" s="2">
        <v>45358</v>
      </c>
      <c r="C4971" s="1" t="s">
        <v>61</v>
      </c>
      <c r="D4971" s="1" t="s">
        <v>67</v>
      </c>
      <c r="E4971" s="1" t="s">
        <v>312</v>
      </c>
      <c r="F4971" s="1" t="s">
        <v>30</v>
      </c>
      <c r="G4971" s="1" t="s">
        <v>78</v>
      </c>
      <c r="H4971" s="1" t="s">
        <v>126</v>
      </c>
      <c r="I4971" s="1">
        <v>535.74</v>
      </c>
      <c r="J4971" s="1">
        <v>9</v>
      </c>
      <c r="K4971" s="1">
        <v>4821.66</v>
      </c>
      <c r="L4971" s="1">
        <v>0</v>
      </c>
      <c r="M4971" s="1">
        <v>0</v>
      </c>
      <c r="N4971" s="1">
        <v>4821.66</v>
      </c>
      <c r="O4971" s="1" t="s">
        <v>33</v>
      </c>
      <c r="P4971" s="1" t="s">
        <v>2988</v>
      </c>
      <c r="Q4971" s="1">
        <v>1</v>
      </c>
      <c r="R4971" s="1">
        <f>Retail_Sales_Analyis[[#This Row],[Final_Price]]-Retail_Sales_Analyis[[#This Row],[Total_Price]]</f>
        <v>0</v>
      </c>
      <c r="S4971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72" spans="1:19" x14ac:dyDescent="0.25">
      <c r="A4972" s="1" t="s">
        <v>6108</v>
      </c>
      <c r="B4972" s="2">
        <v>45539</v>
      </c>
      <c r="C4972" s="1" t="s">
        <v>116</v>
      </c>
      <c r="D4972" s="1" t="s">
        <v>55</v>
      </c>
      <c r="E4972" s="1" t="s">
        <v>145</v>
      </c>
      <c r="F4972" s="1" t="s">
        <v>21</v>
      </c>
      <c r="G4972" s="1" t="s">
        <v>22</v>
      </c>
      <c r="H4972" s="1" t="s">
        <v>23</v>
      </c>
      <c r="I4972" s="1">
        <v>735.45</v>
      </c>
      <c r="J4972" s="1">
        <v>7</v>
      </c>
      <c r="K4972" s="1">
        <v>5148.1499999999996</v>
      </c>
      <c r="L4972" s="1">
        <v>15</v>
      </c>
      <c r="M4972" s="1">
        <v>772.22</v>
      </c>
      <c r="N4972" s="1">
        <v>4375.93</v>
      </c>
      <c r="O4972" s="1" t="s">
        <v>33</v>
      </c>
      <c r="P4972" s="1" t="s">
        <v>4176</v>
      </c>
      <c r="Q4972" s="1">
        <v>1</v>
      </c>
      <c r="R4972" s="1">
        <f>Retail_Sales_Analyis[[#This Row],[Final_Price]]-Retail_Sales_Analyis[[#This Row],[Total_Price]]</f>
        <v>-772.21999999999935</v>
      </c>
      <c r="S497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73" spans="1:19" x14ac:dyDescent="0.25">
      <c r="A4973" s="1" t="s">
        <v>6109</v>
      </c>
      <c r="B4973" s="2">
        <v>45541</v>
      </c>
      <c r="C4973" s="1" t="s">
        <v>116</v>
      </c>
      <c r="D4973" s="1" t="s">
        <v>144</v>
      </c>
      <c r="E4973" s="1" t="s">
        <v>312</v>
      </c>
      <c r="F4973" s="1" t="s">
        <v>30</v>
      </c>
      <c r="G4973" s="1" t="s">
        <v>169</v>
      </c>
      <c r="H4973" s="1" t="s">
        <v>170</v>
      </c>
      <c r="I4973" s="1">
        <v>1268.68</v>
      </c>
      <c r="J4973" s="1">
        <v>9</v>
      </c>
      <c r="K4973" s="1">
        <v>11418.12</v>
      </c>
      <c r="L4973" s="1">
        <v>5</v>
      </c>
      <c r="M4973" s="1">
        <v>570.91</v>
      </c>
      <c r="N4973" s="1">
        <v>10847.21</v>
      </c>
      <c r="O4973" s="1" t="s">
        <v>46</v>
      </c>
      <c r="P4973" s="1" t="s">
        <v>588</v>
      </c>
      <c r="Q4973" s="1">
        <v>5</v>
      </c>
      <c r="R4973" s="1">
        <f>Retail_Sales_Analyis[[#This Row],[Final_Price]]-Retail_Sales_Analyis[[#This Row],[Total_Price]]</f>
        <v>-570.91000000000167</v>
      </c>
      <c r="S4973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74" spans="1:19" x14ac:dyDescent="0.25">
      <c r="A4974" s="1" t="s">
        <v>6110</v>
      </c>
      <c r="B4974" s="2">
        <v>45349</v>
      </c>
      <c r="C4974" s="1" t="s">
        <v>27</v>
      </c>
      <c r="D4974" s="1" t="s">
        <v>28</v>
      </c>
      <c r="E4974" s="1" t="s">
        <v>151</v>
      </c>
      <c r="F4974" s="1" t="s">
        <v>69</v>
      </c>
      <c r="G4974" s="1" t="s">
        <v>112</v>
      </c>
      <c r="H4974" s="1" t="s">
        <v>113</v>
      </c>
      <c r="I4974" s="1">
        <v>551.83000000000004</v>
      </c>
      <c r="J4974" s="1">
        <v>6</v>
      </c>
      <c r="K4974" s="1">
        <v>3310.98</v>
      </c>
      <c r="L4974" s="1">
        <v>15</v>
      </c>
      <c r="M4974" s="1">
        <v>496.65</v>
      </c>
      <c r="N4974" s="1">
        <v>2814.33</v>
      </c>
      <c r="O4974" s="1" t="s">
        <v>64</v>
      </c>
      <c r="P4974" s="1" t="s">
        <v>1418</v>
      </c>
      <c r="Q4974" s="1">
        <v>1</v>
      </c>
      <c r="R4974" s="1">
        <f>Retail_Sales_Analyis[[#This Row],[Final_Price]]-Retail_Sales_Analyis[[#This Row],[Total_Price]]</f>
        <v>-496.65000000000009</v>
      </c>
      <c r="S497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75" spans="1:19" x14ac:dyDescent="0.25">
      <c r="A4975" s="1" t="s">
        <v>6111</v>
      </c>
      <c r="B4975" s="2">
        <v>45502</v>
      </c>
      <c r="C4975" s="1" t="s">
        <v>195</v>
      </c>
      <c r="D4975" s="1" t="s">
        <v>43</v>
      </c>
      <c r="E4975" s="1" t="s">
        <v>151</v>
      </c>
      <c r="F4975" s="1" t="s">
        <v>84</v>
      </c>
      <c r="G4975" s="1" t="s">
        <v>112</v>
      </c>
      <c r="H4975" s="1" t="s">
        <v>288</v>
      </c>
      <c r="I4975" s="1">
        <v>1971.31</v>
      </c>
      <c r="J4975" s="1">
        <v>4</v>
      </c>
      <c r="K4975" s="1">
        <v>7885.24</v>
      </c>
      <c r="L4975" s="1">
        <v>10</v>
      </c>
      <c r="M4975" s="1">
        <v>788.52</v>
      </c>
      <c r="N4975" s="1">
        <v>7096.72</v>
      </c>
      <c r="O4975" s="1" t="s">
        <v>24</v>
      </c>
      <c r="P4975" s="1" t="s">
        <v>2143</v>
      </c>
      <c r="Q4975" s="1">
        <v>4</v>
      </c>
      <c r="R4975" s="1">
        <f>Retail_Sales_Analyis[[#This Row],[Final_Price]]-Retail_Sales_Analyis[[#This Row],[Total_Price]]</f>
        <v>-788.51999999999953</v>
      </c>
      <c r="S4975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76" spans="1:19" x14ac:dyDescent="0.25">
      <c r="A4976" s="1" t="s">
        <v>6112</v>
      </c>
      <c r="B4976" s="2">
        <v>45517</v>
      </c>
      <c r="C4976" s="1" t="s">
        <v>93</v>
      </c>
      <c r="D4976" s="1" t="s">
        <v>28</v>
      </c>
      <c r="E4976" s="1" t="s">
        <v>328</v>
      </c>
      <c r="F4976" s="1" t="s">
        <v>30</v>
      </c>
      <c r="G4976" s="1" t="s">
        <v>31</v>
      </c>
      <c r="H4976" s="1" t="s">
        <v>32</v>
      </c>
      <c r="I4976" s="1">
        <v>135.56</v>
      </c>
      <c r="J4976" s="1">
        <v>3</v>
      </c>
      <c r="K4976" s="1">
        <v>406.68</v>
      </c>
      <c r="L4976" s="1">
        <v>0</v>
      </c>
      <c r="M4976" s="1">
        <v>0</v>
      </c>
      <c r="N4976" s="1">
        <v>406.68</v>
      </c>
      <c r="O4976" s="1" t="s">
        <v>64</v>
      </c>
      <c r="P4976" s="1" t="s">
        <v>1833</v>
      </c>
      <c r="Q4976" s="1">
        <v>3</v>
      </c>
      <c r="R4976" s="1">
        <f>Retail_Sales_Analyis[[#This Row],[Final_Price]]-Retail_Sales_Analyis[[#This Row],[Total_Price]]</f>
        <v>0</v>
      </c>
      <c r="S4976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77" spans="1:19" x14ac:dyDescent="0.25">
      <c r="A4977" s="1" t="s">
        <v>6113</v>
      </c>
      <c r="B4977" s="2">
        <v>45315</v>
      </c>
      <c r="C4977" s="1" t="s">
        <v>36</v>
      </c>
      <c r="D4977" s="1" t="s">
        <v>55</v>
      </c>
      <c r="E4977" s="1" t="s">
        <v>83</v>
      </c>
      <c r="F4977" s="1" t="s">
        <v>37</v>
      </c>
      <c r="G4977" s="1" t="s">
        <v>38</v>
      </c>
      <c r="H4977" s="1" t="s">
        <v>39</v>
      </c>
      <c r="I4977" s="1">
        <v>577.45000000000005</v>
      </c>
      <c r="J4977" s="1">
        <v>4</v>
      </c>
      <c r="K4977" s="1">
        <v>2309.8000000000002</v>
      </c>
      <c r="L4977" s="1">
        <v>15</v>
      </c>
      <c r="M4977" s="1">
        <v>346.47</v>
      </c>
      <c r="N4977" s="1">
        <v>1963.33</v>
      </c>
      <c r="O4977" s="1" t="s">
        <v>24</v>
      </c>
      <c r="P4977" s="1" t="s">
        <v>4064</v>
      </c>
      <c r="Q4977" s="1">
        <v>5</v>
      </c>
      <c r="R4977" s="1">
        <f>Retail_Sales_Analyis[[#This Row],[Final_Price]]-Retail_Sales_Analyis[[#This Row],[Total_Price]]</f>
        <v>-346.47000000000025</v>
      </c>
      <c r="S497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78" spans="1:19" x14ac:dyDescent="0.25">
      <c r="A4978" s="1" t="s">
        <v>6114</v>
      </c>
      <c r="B4978" s="2">
        <v>45324</v>
      </c>
      <c r="C4978" s="1" t="s">
        <v>27</v>
      </c>
      <c r="D4978" s="1" t="s">
        <v>144</v>
      </c>
      <c r="E4978" s="1" t="s">
        <v>44</v>
      </c>
      <c r="F4978" s="1" t="s">
        <v>21</v>
      </c>
      <c r="G4978" s="1" t="s">
        <v>112</v>
      </c>
      <c r="H4978" s="1" t="s">
        <v>223</v>
      </c>
      <c r="I4978" s="1">
        <v>601.35</v>
      </c>
      <c r="J4978" s="1">
        <v>1</v>
      </c>
      <c r="K4978" s="1">
        <v>601.35</v>
      </c>
      <c r="L4978" s="1">
        <v>20</v>
      </c>
      <c r="M4978" s="1">
        <v>120.27</v>
      </c>
      <c r="N4978" s="1">
        <v>481.08</v>
      </c>
      <c r="O4978" s="1" t="s">
        <v>64</v>
      </c>
      <c r="P4978" s="1" t="s">
        <v>502</v>
      </c>
      <c r="Q4978" s="1">
        <v>4</v>
      </c>
      <c r="R4978" s="1">
        <f>Retail_Sales_Analyis[[#This Row],[Final_Price]]-Retail_Sales_Analyis[[#This Row],[Total_Price]]</f>
        <v>-120.27000000000004</v>
      </c>
      <c r="S497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79" spans="1:19" x14ac:dyDescent="0.25">
      <c r="A4979" s="1" t="s">
        <v>6115</v>
      </c>
      <c r="B4979" s="2">
        <v>45425</v>
      </c>
      <c r="C4979" s="1" t="s">
        <v>42</v>
      </c>
      <c r="D4979" s="1" t="s">
        <v>43</v>
      </c>
      <c r="E4979" s="1" t="s">
        <v>328</v>
      </c>
      <c r="F4979" s="1" t="s">
        <v>69</v>
      </c>
      <c r="G4979" s="1" t="s">
        <v>169</v>
      </c>
      <c r="H4979" s="1" t="s">
        <v>348</v>
      </c>
      <c r="I4979" s="1">
        <v>1042.06</v>
      </c>
      <c r="J4979" s="1">
        <v>5</v>
      </c>
      <c r="K4979" s="1">
        <v>5210.3</v>
      </c>
      <c r="L4979" s="1">
        <v>0</v>
      </c>
      <c r="M4979" s="1">
        <v>0</v>
      </c>
      <c r="N4979" s="1">
        <v>5210.3</v>
      </c>
      <c r="O4979" s="1" t="s">
        <v>33</v>
      </c>
      <c r="P4979" s="1" t="s">
        <v>407</v>
      </c>
      <c r="Q4979" s="1">
        <v>1</v>
      </c>
      <c r="R4979" s="1">
        <f>Retail_Sales_Analyis[[#This Row],[Final_Price]]-Retail_Sales_Analyis[[#This Row],[Total_Price]]</f>
        <v>0</v>
      </c>
      <c r="S497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80" spans="1:19" x14ac:dyDescent="0.25">
      <c r="A4980" s="1" t="s">
        <v>6116</v>
      </c>
      <c r="B4980" s="2">
        <v>45627</v>
      </c>
      <c r="C4980" s="1" t="s">
        <v>73</v>
      </c>
      <c r="D4980" s="1" t="s">
        <v>49</v>
      </c>
      <c r="E4980" s="1" t="s">
        <v>411</v>
      </c>
      <c r="F4980" s="1" t="s">
        <v>21</v>
      </c>
      <c r="G4980" s="1" t="s">
        <v>22</v>
      </c>
      <c r="H4980" s="1" t="s">
        <v>277</v>
      </c>
      <c r="I4980" s="1">
        <v>586.73</v>
      </c>
      <c r="J4980" s="1">
        <v>1</v>
      </c>
      <c r="K4980" s="1">
        <v>586.73</v>
      </c>
      <c r="L4980" s="1">
        <v>5</v>
      </c>
      <c r="M4980" s="1">
        <v>29.34</v>
      </c>
      <c r="N4980" s="1">
        <v>557.39</v>
      </c>
      <c r="O4980" s="1" t="s">
        <v>80</v>
      </c>
      <c r="P4980" s="1" t="s">
        <v>3439</v>
      </c>
      <c r="Q4980" s="1">
        <v>2</v>
      </c>
      <c r="R4980" s="1">
        <f>Retail_Sales_Analyis[[#This Row],[Final_Price]]-Retail_Sales_Analyis[[#This Row],[Total_Price]]</f>
        <v>-29.340000000000032</v>
      </c>
      <c r="S498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81" spans="1:19" x14ac:dyDescent="0.25">
      <c r="A4981" s="1" t="s">
        <v>6117</v>
      </c>
      <c r="B4981" s="2">
        <v>45452</v>
      </c>
      <c r="C4981" s="1" t="s">
        <v>173</v>
      </c>
      <c r="D4981" s="1" t="s">
        <v>49</v>
      </c>
      <c r="E4981" s="1" t="s">
        <v>285</v>
      </c>
      <c r="F4981" s="1" t="s">
        <v>21</v>
      </c>
      <c r="G4981" s="1" t="s">
        <v>78</v>
      </c>
      <c r="H4981" s="1" t="s">
        <v>136</v>
      </c>
      <c r="I4981" s="1">
        <v>315</v>
      </c>
      <c r="J4981" s="1">
        <v>1</v>
      </c>
      <c r="K4981" s="1">
        <v>315</v>
      </c>
      <c r="L4981" s="1">
        <v>10</v>
      </c>
      <c r="M4981" s="1">
        <v>31.5</v>
      </c>
      <c r="N4981" s="1">
        <v>283.5</v>
      </c>
      <c r="O4981" s="1" t="s">
        <v>64</v>
      </c>
      <c r="P4981" s="1" t="s">
        <v>3319</v>
      </c>
      <c r="Q4981" s="1">
        <v>1</v>
      </c>
      <c r="R4981" s="1">
        <f>Retail_Sales_Analyis[[#This Row],[Final_Price]]-Retail_Sales_Analyis[[#This Row],[Total_Price]]</f>
        <v>-31.5</v>
      </c>
      <c r="S4981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82" spans="1:19" x14ac:dyDescent="0.25">
      <c r="A4982" s="1" t="s">
        <v>6118</v>
      </c>
      <c r="B4982" s="2">
        <v>45298</v>
      </c>
      <c r="C4982" s="1" t="s">
        <v>36</v>
      </c>
      <c r="D4982" s="1" t="s">
        <v>49</v>
      </c>
      <c r="E4982" s="1" t="s">
        <v>129</v>
      </c>
      <c r="F4982" s="1" t="s">
        <v>37</v>
      </c>
      <c r="G4982" s="1" t="s">
        <v>112</v>
      </c>
      <c r="H4982" s="1" t="s">
        <v>223</v>
      </c>
      <c r="I4982" s="1">
        <v>1604.77</v>
      </c>
      <c r="J4982" s="1">
        <v>2</v>
      </c>
      <c r="K4982" s="1">
        <v>3209.54</v>
      </c>
      <c r="L4982" s="1">
        <v>15</v>
      </c>
      <c r="M4982" s="1">
        <v>481.43</v>
      </c>
      <c r="N4982" s="1">
        <v>2728.11</v>
      </c>
      <c r="O4982" s="1" t="s">
        <v>80</v>
      </c>
      <c r="P4982" s="1" t="s">
        <v>2621</v>
      </c>
      <c r="Q4982" s="1">
        <v>2</v>
      </c>
      <c r="R4982" s="1">
        <f>Retail_Sales_Analyis[[#This Row],[Final_Price]]-Retail_Sales_Analyis[[#This Row],[Total_Price]]</f>
        <v>-481.42999999999984</v>
      </c>
      <c r="S4982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83" spans="1:19" x14ac:dyDescent="0.25">
      <c r="A4983" s="1" t="s">
        <v>6119</v>
      </c>
      <c r="B4983" s="2">
        <v>45652</v>
      </c>
      <c r="C4983" s="1" t="s">
        <v>73</v>
      </c>
      <c r="D4983" s="1" t="s">
        <v>67</v>
      </c>
      <c r="E4983" s="1" t="s">
        <v>192</v>
      </c>
      <c r="F4983" s="1" t="s">
        <v>69</v>
      </c>
      <c r="G4983" s="1" t="s">
        <v>85</v>
      </c>
      <c r="H4983" s="1" t="s">
        <v>90</v>
      </c>
      <c r="I4983" s="1">
        <v>4739.59</v>
      </c>
      <c r="J4983" s="1">
        <v>1</v>
      </c>
      <c r="K4983" s="1">
        <v>4739.59</v>
      </c>
      <c r="L4983" s="1">
        <v>20</v>
      </c>
      <c r="M4983" s="1">
        <v>947.92</v>
      </c>
      <c r="N4983" s="1">
        <v>3791.67</v>
      </c>
      <c r="O4983" s="1" t="s">
        <v>33</v>
      </c>
      <c r="P4983" s="1" t="s">
        <v>3644</v>
      </c>
      <c r="Q4983" s="1">
        <v>3</v>
      </c>
      <c r="R4983" s="1">
        <f>Retail_Sales_Analyis[[#This Row],[Final_Price]]-Retail_Sales_Analyis[[#This Row],[Total_Price]]</f>
        <v>-947.92000000000007</v>
      </c>
      <c r="S4983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84" spans="1:19" x14ac:dyDescent="0.25">
      <c r="A4984" s="1" t="s">
        <v>6120</v>
      </c>
      <c r="B4984" s="2">
        <v>45639</v>
      </c>
      <c r="C4984" s="1" t="s">
        <v>73</v>
      </c>
      <c r="D4984" s="1" t="s">
        <v>144</v>
      </c>
      <c r="E4984" s="1" t="s">
        <v>94</v>
      </c>
      <c r="F4984" s="1" t="s">
        <v>21</v>
      </c>
      <c r="G4984" s="1" t="s">
        <v>22</v>
      </c>
      <c r="H4984" s="1" t="s">
        <v>277</v>
      </c>
      <c r="I4984" s="1">
        <v>368.64</v>
      </c>
      <c r="J4984" s="1">
        <v>1</v>
      </c>
      <c r="K4984" s="1">
        <v>368.64</v>
      </c>
      <c r="L4984" s="1">
        <v>10</v>
      </c>
      <c r="M4984" s="1">
        <v>36.86</v>
      </c>
      <c r="N4984" s="1">
        <v>331.78</v>
      </c>
      <c r="O4984" s="1" t="s">
        <v>33</v>
      </c>
      <c r="P4984" s="1" t="s">
        <v>1926</v>
      </c>
      <c r="Q4984" s="1">
        <v>1</v>
      </c>
      <c r="R4984" s="1">
        <f>Retail_Sales_Analyis[[#This Row],[Final_Price]]-Retail_Sales_Analyis[[#This Row],[Total_Price]]</f>
        <v>-36.860000000000014</v>
      </c>
      <c r="S4984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85" spans="1:19" x14ac:dyDescent="0.25">
      <c r="A4985" s="1" t="s">
        <v>6121</v>
      </c>
      <c r="B4985" s="2">
        <v>45560</v>
      </c>
      <c r="C4985" s="1" t="s">
        <v>116</v>
      </c>
      <c r="D4985" s="1" t="s">
        <v>55</v>
      </c>
      <c r="E4985" s="1" t="s">
        <v>121</v>
      </c>
      <c r="F4985" s="1" t="s">
        <v>30</v>
      </c>
      <c r="G4985" s="1" t="s">
        <v>57</v>
      </c>
      <c r="H4985" s="1" t="s">
        <v>152</v>
      </c>
      <c r="I4985" s="1">
        <v>1313.9</v>
      </c>
      <c r="J4985" s="1">
        <v>3</v>
      </c>
      <c r="K4985" s="1">
        <v>3941.7</v>
      </c>
      <c r="L4985" s="1">
        <v>0</v>
      </c>
      <c r="M4985" s="1">
        <v>0</v>
      </c>
      <c r="N4985" s="1">
        <v>3941.7</v>
      </c>
      <c r="O4985" s="1" t="s">
        <v>64</v>
      </c>
      <c r="P4985" s="1" t="s">
        <v>3419</v>
      </c>
      <c r="Q4985" s="1">
        <v>3</v>
      </c>
      <c r="R4985" s="1">
        <f>Retail_Sales_Analyis[[#This Row],[Final_Price]]-Retail_Sales_Analyis[[#This Row],[Total_Price]]</f>
        <v>0</v>
      </c>
      <c r="S498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86" spans="1:19" x14ac:dyDescent="0.25">
      <c r="A4986" s="1" t="s">
        <v>6122</v>
      </c>
      <c r="B4986" s="2">
        <v>45587</v>
      </c>
      <c r="C4986" s="1" t="s">
        <v>76</v>
      </c>
      <c r="D4986" s="1" t="s">
        <v>28</v>
      </c>
      <c r="E4986" s="1" t="s">
        <v>302</v>
      </c>
      <c r="F4986" s="1" t="s">
        <v>69</v>
      </c>
      <c r="G4986" s="1" t="s">
        <v>31</v>
      </c>
      <c r="H4986" s="1" t="s">
        <v>329</v>
      </c>
      <c r="I4986" s="1">
        <v>67.16</v>
      </c>
      <c r="J4986" s="1">
        <v>1</v>
      </c>
      <c r="K4986" s="1">
        <v>67.16</v>
      </c>
      <c r="L4986" s="1">
        <v>20</v>
      </c>
      <c r="M4986" s="1">
        <v>13.43</v>
      </c>
      <c r="N4986" s="1">
        <v>53.73</v>
      </c>
      <c r="O4986" s="1" t="s">
        <v>33</v>
      </c>
      <c r="P4986" s="1" t="s">
        <v>1324</v>
      </c>
      <c r="Q4986" s="1">
        <v>1</v>
      </c>
      <c r="R4986" s="1">
        <f>Retail_Sales_Analyis[[#This Row],[Final_Price]]-Retail_Sales_Analyis[[#This Row],[Total_Price]]</f>
        <v>-13.43</v>
      </c>
      <c r="S4986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87" spans="1:19" x14ac:dyDescent="0.25">
      <c r="A4987" s="1" t="s">
        <v>6123</v>
      </c>
      <c r="B4987" s="2">
        <v>45581</v>
      </c>
      <c r="C4987" s="1" t="s">
        <v>76</v>
      </c>
      <c r="D4987" s="1" t="s">
        <v>55</v>
      </c>
      <c r="E4987" s="1" t="s">
        <v>192</v>
      </c>
      <c r="F4987" s="1" t="s">
        <v>30</v>
      </c>
      <c r="G4987" s="1" t="s">
        <v>57</v>
      </c>
      <c r="H4987" s="1" t="s">
        <v>58</v>
      </c>
      <c r="I4987" s="1">
        <v>2742.08</v>
      </c>
      <c r="J4987" s="1">
        <v>9</v>
      </c>
      <c r="K4987" s="1">
        <v>24678.720000000001</v>
      </c>
      <c r="L4987" s="1">
        <v>10</v>
      </c>
      <c r="M4987" s="1">
        <v>2467.87</v>
      </c>
      <c r="N4987" s="1">
        <v>22210.85</v>
      </c>
      <c r="O4987" s="1" t="s">
        <v>80</v>
      </c>
      <c r="P4987" s="1" t="s">
        <v>1405</v>
      </c>
      <c r="Q4987" s="1">
        <v>2</v>
      </c>
      <c r="R4987" s="1">
        <f>Retail_Sales_Analyis[[#This Row],[Final_Price]]-Retail_Sales_Analyis[[#This Row],[Total_Price]]</f>
        <v>-2467.8700000000026</v>
      </c>
      <c r="S498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88" spans="1:19" x14ac:dyDescent="0.25">
      <c r="A4988" s="1" t="s">
        <v>6124</v>
      </c>
      <c r="B4988" s="2">
        <v>45406</v>
      </c>
      <c r="C4988" s="1" t="s">
        <v>54</v>
      </c>
      <c r="D4988" s="1" t="s">
        <v>55</v>
      </c>
      <c r="E4988" s="1" t="s">
        <v>213</v>
      </c>
      <c r="F4988" s="1" t="s">
        <v>30</v>
      </c>
      <c r="G4988" s="1" t="s">
        <v>169</v>
      </c>
      <c r="H4988" s="1" t="s">
        <v>208</v>
      </c>
      <c r="I4988" s="1">
        <v>371.96</v>
      </c>
      <c r="J4988" s="1">
        <v>3</v>
      </c>
      <c r="K4988" s="1">
        <v>1115.8800000000001</v>
      </c>
      <c r="L4988" s="1">
        <v>20</v>
      </c>
      <c r="M4988" s="1">
        <v>223.18</v>
      </c>
      <c r="N4988" s="1">
        <v>892.7</v>
      </c>
      <c r="O4988" s="1" t="s">
        <v>80</v>
      </c>
      <c r="P4988" s="1" t="s">
        <v>1900</v>
      </c>
      <c r="Q4988" s="1">
        <v>1</v>
      </c>
      <c r="R4988" s="1">
        <f>Retail_Sales_Analyis[[#This Row],[Final_Price]]-Retail_Sales_Analyis[[#This Row],[Total_Price]]</f>
        <v>-223.18000000000006</v>
      </c>
      <c r="S4988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89" spans="1:19" x14ac:dyDescent="0.25">
      <c r="A4989" s="1" t="s">
        <v>6125</v>
      </c>
      <c r="B4989" s="2">
        <v>45634</v>
      </c>
      <c r="C4989" s="1" t="s">
        <v>73</v>
      </c>
      <c r="D4989" s="1" t="s">
        <v>49</v>
      </c>
      <c r="E4989" s="1" t="s">
        <v>199</v>
      </c>
      <c r="F4989" s="1" t="s">
        <v>69</v>
      </c>
      <c r="G4989" s="1" t="s">
        <v>112</v>
      </c>
      <c r="H4989" s="1" t="s">
        <v>223</v>
      </c>
      <c r="I4989" s="1">
        <v>1482.95</v>
      </c>
      <c r="J4989" s="1">
        <v>8</v>
      </c>
      <c r="K4989" s="1">
        <v>11863.6</v>
      </c>
      <c r="L4989" s="1">
        <v>0</v>
      </c>
      <c r="M4989" s="1">
        <v>0</v>
      </c>
      <c r="N4989" s="1">
        <v>11863.6</v>
      </c>
      <c r="O4989" s="1" t="s">
        <v>46</v>
      </c>
      <c r="P4989" s="1" t="s">
        <v>2104</v>
      </c>
      <c r="Q4989" s="1">
        <v>4</v>
      </c>
      <c r="R4989" s="1">
        <f>Retail_Sales_Analyis[[#This Row],[Final_Price]]-Retail_Sales_Analyis[[#This Row],[Total_Price]]</f>
        <v>0</v>
      </c>
      <c r="S4989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90" spans="1:19" x14ac:dyDescent="0.25">
      <c r="A4990" s="1" t="s">
        <v>6126</v>
      </c>
      <c r="B4990" s="2">
        <v>45465</v>
      </c>
      <c r="C4990" s="1" t="s">
        <v>173</v>
      </c>
      <c r="D4990" s="1" t="s">
        <v>19</v>
      </c>
      <c r="E4990" s="1" t="s">
        <v>132</v>
      </c>
      <c r="F4990" s="1" t="s">
        <v>37</v>
      </c>
      <c r="G4990" s="1" t="s">
        <v>22</v>
      </c>
      <c r="H4990" s="1" t="s">
        <v>277</v>
      </c>
      <c r="I4990" s="1">
        <v>631.48</v>
      </c>
      <c r="J4990" s="1">
        <v>6</v>
      </c>
      <c r="K4990" s="1">
        <v>3788.88</v>
      </c>
      <c r="L4990" s="1">
        <v>5</v>
      </c>
      <c r="M4990" s="1">
        <v>189.44</v>
      </c>
      <c r="N4990" s="1">
        <v>3599.44</v>
      </c>
      <c r="O4990" s="1" t="s">
        <v>46</v>
      </c>
      <c r="P4990" s="1" t="s">
        <v>2074</v>
      </c>
      <c r="Q4990" s="1">
        <v>4</v>
      </c>
      <c r="R4990" s="1">
        <f>Retail_Sales_Analyis[[#This Row],[Final_Price]]-Retail_Sales_Analyis[[#This Row],[Total_Price]]</f>
        <v>-189.44000000000005</v>
      </c>
      <c r="S4990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91" spans="1:19" x14ac:dyDescent="0.25">
      <c r="A4991" s="1" t="s">
        <v>6127</v>
      </c>
      <c r="B4991" s="2">
        <v>45557</v>
      </c>
      <c r="C4991" s="1" t="s">
        <v>116</v>
      </c>
      <c r="D4991" s="1" t="s">
        <v>49</v>
      </c>
      <c r="E4991" s="1" t="s">
        <v>174</v>
      </c>
      <c r="F4991" s="1" t="s">
        <v>30</v>
      </c>
      <c r="G4991" s="1" t="s">
        <v>57</v>
      </c>
      <c r="H4991" s="1" t="s">
        <v>101</v>
      </c>
      <c r="I4991" s="1">
        <v>1315.7</v>
      </c>
      <c r="J4991" s="1">
        <v>8</v>
      </c>
      <c r="K4991" s="1">
        <v>10525.6</v>
      </c>
      <c r="L4991" s="1">
        <v>20</v>
      </c>
      <c r="M4991" s="1">
        <v>2105.12</v>
      </c>
      <c r="N4991" s="1">
        <v>8420.48</v>
      </c>
      <c r="O4991" s="1" t="s">
        <v>46</v>
      </c>
      <c r="P4991" s="1" t="s">
        <v>770</v>
      </c>
      <c r="Q4991" s="1">
        <v>5</v>
      </c>
      <c r="R4991" s="1">
        <f>Retail_Sales_Analyis[[#This Row],[Final_Price]]-Retail_Sales_Analyis[[#This Row],[Total_Price]]</f>
        <v>-2105.1200000000008</v>
      </c>
      <c r="S4991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92" spans="1:19" x14ac:dyDescent="0.25">
      <c r="A4992" s="1" t="s">
        <v>6128</v>
      </c>
      <c r="B4992" s="2">
        <v>45559</v>
      </c>
      <c r="C4992" s="1" t="s">
        <v>116</v>
      </c>
      <c r="D4992" s="1" t="s">
        <v>28</v>
      </c>
      <c r="E4992" s="1" t="s">
        <v>97</v>
      </c>
      <c r="F4992" s="1" t="s">
        <v>84</v>
      </c>
      <c r="G4992" s="1" t="s">
        <v>31</v>
      </c>
      <c r="H4992" s="1" t="s">
        <v>45</v>
      </c>
      <c r="I4992" s="1">
        <v>489.72</v>
      </c>
      <c r="J4992" s="1">
        <v>1</v>
      </c>
      <c r="K4992" s="1">
        <v>489.72</v>
      </c>
      <c r="L4992" s="1">
        <v>20</v>
      </c>
      <c r="M4992" s="1">
        <v>97.94</v>
      </c>
      <c r="N4992" s="1">
        <v>391.78</v>
      </c>
      <c r="O4992" s="1" t="s">
        <v>80</v>
      </c>
      <c r="P4992" s="1" t="s">
        <v>3359</v>
      </c>
      <c r="Q4992" s="1">
        <v>5</v>
      </c>
      <c r="R4992" s="1">
        <f>Retail_Sales_Analyis[[#This Row],[Final_Price]]-Retail_Sales_Analyis[[#This Row],[Total_Price]]</f>
        <v>-97.940000000000055</v>
      </c>
      <c r="S4992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93" spans="1:19" x14ac:dyDescent="0.25">
      <c r="A4993" s="1" t="s">
        <v>6129</v>
      </c>
      <c r="B4993" s="2">
        <v>45644</v>
      </c>
      <c r="C4993" s="1" t="s">
        <v>73</v>
      </c>
      <c r="D4993" s="1" t="s">
        <v>55</v>
      </c>
      <c r="E4993" s="1" t="s">
        <v>236</v>
      </c>
      <c r="F4993" s="1" t="s">
        <v>21</v>
      </c>
      <c r="G4993" s="1" t="s">
        <v>57</v>
      </c>
      <c r="H4993" s="1" t="s">
        <v>58</v>
      </c>
      <c r="I4993" s="1">
        <v>1681.91</v>
      </c>
      <c r="J4993" s="1">
        <v>9</v>
      </c>
      <c r="K4993" s="1">
        <v>15137.19</v>
      </c>
      <c r="L4993" s="1">
        <v>15</v>
      </c>
      <c r="M4993" s="1">
        <v>2270.58</v>
      </c>
      <c r="N4993" s="1">
        <v>12866.61</v>
      </c>
      <c r="O4993" s="1" t="s">
        <v>33</v>
      </c>
      <c r="P4993" s="1" t="s">
        <v>3248</v>
      </c>
      <c r="Q4993" s="1">
        <v>3</v>
      </c>
      <c r="R4993" s="1">
        <f>Retail_Sales_Analyis[[#This Row],[Final_Price]]-Retail_Sales_Analyis[[#This Row],[Total_Price]]</f>
        <v>-2270.58</v>
      </c>
      <c r="S4993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94" spans="1:19" x14ac:dyDescent="0.25">
      <c r="A4994" s="1" t="s">
        <v>6130</v>
      </c>
      <c r="B4994" s="2">
        <v>45650</v>
      </c>
      <c r="C4994" s="1" t="s">
        <v>73</v>
      </c>
      <c r="D4994" s="1" t="s">
        <v>28</v>
      </c>
      <c r="E4994" s="1" t="s">
        <v>151</v>
      </c>
      <c r="F4994" s="1" t="s">
        <v>21</v>
      </c>
      <c r="G4994" s="1" t="s">
        <v>112</v>
      </c>
      <c r="H4994" s="1" t="s">
        <v>183</v>
      </c>
      <c r="I4994" s="1">
        <v>506.69</v>
      </c>
      <c r="J4994" s="1">
        <v>6</v>
      </c>
      <c r="K4994" s="1">
        <v>3040.14</v>
      </c>
      <c r="L4994" s="1">
        <v>20</v>
      </c>
      <c r="M4994" s="1">
        <v>608.03</v>
      </c>
      <c r="N4994" s="1">
        <v>2432.11</v>
      </c>
      <c r="O4994" s="1" t="s">
        <v>64</v>
      </c>
      <c r="P4994" s="1" t="s">
        <v>528</v>
      </c>
      <c r="Q4994" s="1">
        <v>2</v>
      </c>
      <c r="R4994" s="1">
        <f>Retail_Sales_Analyis[[#This Row],[Final_Price]]-Retail_Sales_Analyis[[#This Row],[Total_Price]]</f>
        <v>-608.02999999999975</v>
      </c>
      <c r="S4994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4995" spans="1:19" x14ac:dyDescent="0.25">
      <c r="A4995" s="1" t="s">
        <v>6131</v>
      </c>
      <c r="B4995" s="2">
        <v>45608</v>
      </c>
      <c r="C4995" s="1" t="s">
        <v>18</v>
      </c>
      <c r="D4995" s="1" t="s">
        <v>28</v>
      </c>
      <c r="E4995" s="1" t="s">
        <v>157</v>
      </c>
      <c r="F4995" s="1" t="s">
        <v>37</v>
      </c>
      <c r="G4995" s="1" t="s">
        <v>38</v>
      </c>
      <c r="H4995" s="1" t="s">
        <v>70</v>
      </c>
      <c r="I4995" s="1">
        <v>672.48</v>
      </c>
      <c r="J4995" s="1">
        <v>3</v>
      </c>
      <c r="K4995" s="1">
        <v>2017.44</v>
      </c>
      <c r="L4995" s="1">
        <v>0</v>
      </c>
      <c r="M4995" s="1">
        <v>0</v>
      </c>
      <c r="N4995" s="1">
        <v>2017.44</v>
      </c>
      <c r="O4995" s="1" t="s">
        <v>33</v>
      </c>
      <c r="P4995" s="1" t="s">
        <v>1096</v>
      </c>
      <c r="Q4995" s="1">
        <v>1</v>
      </c>
      <c r="R4995" s="1">
        <f>Retail_Sales_Analyis[[#This Row],[Final_Price]]-Retail_Sales_Analyis[[#This Row],[Total_Price]]</f>
        <v>0</v>
      </c>
      <c r="S4995" s="1" t="str">
        <f>IF(Retail_Sales_Analyis[[#This Row],[Discount_Percent]]=0,"No Discount",IF(Retail_Sales_Analyis[[#This Row],[Discount_Percent]]&lt;10,"Low",IF(Retail_Sales_Analyis[[#This Row],[Discount_Percent]]&lt;20,"Medium","High")))</f>
        <v>No Discount</v>
      </c>
    </row>
    <row r="4996" spans="1:19" x14ac:dyDescent="0.25">
      <c r="A4996" s="1" t="s">
        <v>6132</v>
      </c>
      <c r="B4996" s="2">
        <v>45340</v>
      </c>
      <c r="C4996" s="1" t="s">
        <v>27</v>
      </c>
      <c r="D4996" s="1" t="s">
        <v>49</v>
      </c>
      <c r="E4996" s="1" t="s">
        <v>97</v>
      </c>
      <c r="F4996" s="1" t="s">
        <v>84</v>
      </c>
      <c r="G4996" s="1" t="s">
        <v>22</v>
      </c>
      <c r="H4996" s="1" t="s">
        <v>51</v>
      </c>
      <c r="I4996" s="1">
        <v>479.61</v>
      </c>
      <c r="J4996" s="1">
        <v>5</v>
      </c>
      <c r="K4996" s="1">
        <v>2398.0500000000002</v>
      </c>
      <c r="L4996" s="1">
        <v>5</v>
      </c>
      <c r="M4996" s="1">
        <v>119.9</v>
      </c>
      <c r="N4996" s="1">
        <v>2278.15</v>
      </c>
      <c r="O4996" s="1" t="s">
        <v>46</v>
      </c>
      <c r="P4996" s="1" t="s">
        <v>932</v>
      </c>
      <c r="Q4996" s="1">
        <v>2</v>
      </c>
      <c r="R4996" s="1">
        <f>Retail_Sales_Analyis[[#This Row],[Final_Price]]-Retail_Sales_Analyis[[#This Row],[Total_Price]]</f>
        <v>-119.90000000000009</v>
      </c>
      <c r="S4996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  <row r="4997" spans="1:19" x14ac:dyDescent="0.25">
      <c r="A4997" s="1" t="s">
        <v>6133</v>
      </c>
      <c r="B4997" s="2">
        <v>45513</v>
      </c>
      <c r="C4997" s="1" t="s">
        <v>93</v>
      </c>
      <c r="D4997" s="1" t="s">
        <v>144</v>
      </c>
      <c r="E4997" s="1" t="s">
        <v>239</v>
      </c>
      <c r="F4997" s="1" t="s">
        <v>37</v>
      </c>
      <c r="G4997" s="1" t="s">
        <v>38</v>
      </c>
      <c r="H4997" s="1" t="s">
        <v>39</v>
      </c>
      <c r="I4997" s="1">
        <v>763.93</v>
      </c>
      <c r="J4997" s="1">
        <v>4</v>
      </c>
      <c r="K4997" s="1">
        <v>3055.72</v>
      </c>
      <c r="L4997" s="1">
        <v>10</v>
      </c>
      <c r="M4997" s="1">
        <v>305.57</v>
      </c>
      <c r="N4997" s="1">
        <v>2750.15</v>
      </c>
      <c r="O4997" s="1" t="s">
        <v>64</v>
      </c>
      <c r="P4997" s="1" t="s">
        <v>1900</v>
      </c>
      <c r="Q4997" s="1">
        <v>3</v>
      </c>
      <c r="R4997" s="1">
        <f>Retail_Sales_Analyis[[#This Row],[Final_Price]]-Retail_Sales_Analyis[[#This Row],[Total_Price]]</f>
        <v>-305.56999999999971</v>
      </c>
      <c r="S4997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98" spans="1:19" x14ac:dyDescent="0.25">
      <c r="A4998" s="1" t="s">
        <v>6134</v>
      </c>
      <c r="B4998" s="2">
        <v>45630</v>
      </c>
      <c r="C4998" s="1" t="s">
        <v>73</v>
      </c>
      <c r="D4998" s="1" t="s">
        <v>55</v>
      </c>
      <c r="E4998" s="1" t="s">
        <v>83</v>
      </c>
      <c r="F4998" s="1" t="s">
        <v>21</v>
      </c>
      <c r="G4998" s="1" t="s">
        <v>85</v>
      </c>
      <c r="H4998" s="1" t="s">
        <v>98</v>
      </c>
      <c r="I4998" s="1">
        <v>1210.79</v>
      </c>
      <c r="J4998" s="1">
        <v>6</v>
      </c>
      <c r="K4998" s="1">
        <v>7264.74</v>
      </c>
      <c r="L4998" s="1">
        <v>10</v>
      </c>
      <c r="M4998" s="1">
        <v>726.47</v>
      </c>
      <c r="N4998" s="1">
        <v>6538.27</v>
      </c>
      <c r="O4998" s="1" t="s">
        <v>64</v>
      </c>
      <c r="P4998" s="1" t="s">
        <v>1565</v>
      </c>
      <c r="Q4998" s="1">
        <v>1</v>
      </c>
      <c r="R4998" s="1">
        <f>Retail_Sales_Analyis[[#This Row],[Final_Price]]-Retail_Sales_Analyis[[#This Row],[Total_Price]]</f>
        <v>-726.46999999999935</v>
      </c>
      <c r="S4998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4999" spans="1:19" x14ac:dyDescent="0.25">
      <c r="A4999" s="1" t="s">
        <v>6135</v>
      </c>
      <c r="B4999" s="2">
        <v>45419</v>
      </c>
      <c r="C4999" s="1" t="s">
        <v>42</v>
      </c>
      <c r="D4999" s="1" t="s">
        <v>28</v>
      </c>
      <c r="E4999" s="1" t="s">
        <v>163</v>
      </c>
      <c r="F4999" s="1" t="s">
        <v>37</v>
      </c>
      <c r="G4999" s="1" t="s">
        <v>57</v>
      </c>
      <c r="H4999" s="1" t="s">
        <v>101</v>
      </c>
      <c r="I4999" s="1">
        <v>2623.61</v>
      </c>
      <c r="J4999" s="1">
        <v>9</v>
      </c>
      <c r="K4999" s="1">
        <v>23612.49</v>
      </c>
      <c r="L4999" s="1">
        <v>20</v>
      </c>
      <c r="M4999" s="1">
        <v>4722.5</v>
      </c>
      <c r="N4999" s="1">
        <v>18889.990000000002</v>
      </c>
      <c r="O4999" s="1" t="s">
        <v>24</v>
      </c>
      <c r="P4999" s="1" t="s">
        <v>3453</v>
      </c>
      <c r="Q4999" s="1">
        <v>3</v>
      </c>
      <c r="R4999" s="1">
        <f>Retail_Sales_Analyis[[#This Row],[Final_Price]]-Retail_Sales_Analyis[[#This Row],[Total_Price]]</f>
        <v>-4722.5</v>
      </c>
      <c r="S4999" s="1" t="str">
        <f>IF(Retail_Sales_Analyis[[#This Row],[Discount_Percent]]=0,"No Discount",IF(Retail_Sales_Analyis[[#This Row],[Discount_Percent]]&lt;10,"Low",IF(Retail_Sales_Analyis[[#This Row],[Discount_Percent]]&lt;20,"Medium","High")))</f>
        <v>High</v>
      </c>
    </row>
    <row r="5000" spans="1:19" x14ac:dyDescent="0.25">
      <c r="A5000" s="1" t="s">
        <v>6136</v>
      </c>
      <c r="B5000" s="2">
        <v>45538</v>
      </c>
      <c r="C5000" s="1" t="s">
        <v>116</v>
      </c>
      <c r="D5000" s="1" t="s">
        <v>28</v>
      </c>
      <c r="E5000" s="1" t="s">
        <v>351</v>
      </c>
      <c r="F5000" s="1" t="s">
        <v>21</v>
      </c>
      <c r="G5000" s="1" t="s">
        <v>22</v>
      </c>
      <c r="H5000" s="1" t="s">
        <v>133</v>
      </c>
      <c r="I5000" s="1">
        <v>285.85000000000002</v>
      </c>
      <c r="J5000" s="1">
        <v>6</v>
      </c>
      <c r="K5000" s="1">
        <v>1715.1</v>
      </c>
      <c r="L5000" s="1">
        <v>10</v>
      </c>
      <c r="M5000" s="1">
        <v>171.51</v>
      </c>
      <c r="N5000" s="1">
        <v>1543.59</v>
      </c>
      <c r="O5000" s="1" t="s">
        <v>24</v>
      </c>
      <c r="P5000" s="1" t="s">
        <v>665</v>
      </c>
      <c r="Q5000" s="1">
        <v>3</v>
      </c>
      <c r="R5000" s="1">
        <f>Retail_Sales_Analyis[[#This Row],[Final_Price]]-Retail_Sales_Analyis[[#This Row],[Total_Price]]</f>
        <v>-171.51</v>
      </c>
      <c r="S5000" s="1" t="str">
        <f>IF(Retail_Sales_Analyis[[#This Row],[Discount_Percent]]=0,"No Discount",IF(Retail_Sales_Analyis[[#This Row],[Discount_Percent]]&lt;10,"Low",IF(Retail_Sales_Analyis[[#This Row],[Discount_Percent]]&lt;20,"Medium","High")))</f>
        <v>Medium</v>
      </c>
    </row>
    <row r="5001" spans="1:19" x14ac:dyDescent="0.25">
      <c r="A5001" s="1" t="s">
        <v>6137</v>
      </c>
      <c r="B5001" s="2">
        <v>45469</v>
      </c>
      <c r="C5001" s="1" t="s">
        <v>173</v>
      </c>
      <c r="D5001" s="1" t="s">
        <v>55</v>
      </c>
      <c r="E5001" s="1" t="s">
        <v>542</v>
      </c>
      <c r="F5001" s="1" t="s">
        <v>21</v>
      </c>
      <c r="G5001" s="1" t="s">
        <v>22</v>
      </c>
      <c r="H5001" s="1" t="s">
        <v>277</v>
      </c>
      <c r="I5001" s="1">
        <v>745.13</v>
      </c>
      <c r="J5001" s="1">
        <v>8</v>
      </c>
      <c r="K5001" s="1">
        <v>5961.04</v>
      </c>
      <c r="L5001" s="1">
        <v>5</v>
      </c>
      <c r="M5001" s="1">
        <v>298.05</v>
      </c>
      <c r="N5001" s="1">
        <v>5662.99</v>
      </c>
      <c r="O5001" s="1" t="s">
        <v>64</v>
      </c>
      <c r="P5001" s="1" t="s">
        <v>1517</v>
      </c>
      <c r="Q5001" s="1">
        <v>1</v>
      </c>
      <c r="R5001" s="1">
        <f>Retail_Sales_Analyis[[#This Row],[Final_Price]]-Retail_Sales_Analyis[[#This Row],[Total_Price]]</f>
        <v>-298.05000000000018</v>
      </c>
      <c r="S5001" s="1" t="str">
        <f>IF(Retail_Sales_Analyis[[#This Row],[Discount_Percent]]=0,"No Discount",IF(Retail_Sales_Analyis[[#This Row],[Discount_Percent]]&lt;10,"Low",IF(Retail_Sales_Analyis[[#This Row],[Discount_Percent]]&lt;20,"Medium","High")))</f>
        <v>Low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A2" sqref="A1:A2"/>
    </sheetView>
  </sheetViews>
  <sheetFormatPr defaultRowHeight="15" x14ac:dyDescent="0.25"/>
  <cols>
    <col min="1" max="1" width="17.5703125" bestFit="1" customWidth="1"/>
    <col min="2" max="2" width="15" customWidth="1"/>
  </cols>
  <sheetData>
    <row r="1" spans="1:14" x14ac:dyDescent="0.25">
      <c r="A1" s="4" t="s">
        <v>6141</v>
      </c>
    </row>
    <row r="2" spans="1:14" x14ac:dyDescent="0.25">
      <c r="A2" s="4" t="s">
        <v>5</v>
      </c>
      <c r="B2" t="s">
        <v>6142</v>
      </c>
    </row>
    <row r="3" spans="1:14" x14ac:dyDescent="0.25">
      <c r="A3" t="s">
        <v>84</v>
      </c>
      <c r="B3" s="6">
        <v>5903850.9600000018</v>
      </c>
    </row>
    <row r="4" spans="1:14" x14ac:dyDescent="0.25">
      <c r="A4" t="s">
        <v>21</v>
      </c>
      <c r="B4" s="6">
        <v>5747346.3599999985</v>
      </c>
    </row>
    <row r="5" spans="1:14" x14ac:dyDescent="0.25">
      <c r="A5" t="s">
        <v>37</v>
      </c>
      <c r="B5" s="6">
        <v>5695429.2499999963</v>
      </c>
    </row>
    <row r="6" spans="1:14" x14ac:dyDescent="0.25">
      <c r="A6" t="s">
        <v>30</v>
      </c>
      <c r="B6" s="6">
        <v>5506560.5299999928</v>
      </c>
    </row>
    <row r="7" spans="1:14" x14ac:dyDescent="0.25">
      <c r="A7" t="s">
        <v>69</v>
      </c>
      <c r="B7" s="6">
        <v>5483914.6299999952</v>
      </c>
    </row>
    <row r="8" spans="1:14" x14ac:dyDescent="0.25">
      <c r="A8" t="s">
        <v>6140</v>
      </c>
      <c r="B8" s="6">
        <v>28337101.729999986</v>
      </c>
      <c r="N8" s="7"/>
    </row>
    <row r="13" spans="1:14" x14ac:dyDescent="0.25">
      <c r="C13" s="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A2" sqref="A2:D2"/>
    </sheetView>
  </sheetViews>
  <sheetFormatPr defaultRowHeight="15" x14ac:dyDescent="0.25"/>
  <cols>
    <col min="1" max="1" width="17" bestFit="1" customWidth="1"/>
    <col min="2" max="2" width="15.42578125" customWidth="1"/>
    <col min="3" max="3" width="17.5703125" bestFit="1" customWidth="1"/>
  </cols>
  <sheetData>
    <row r="1" spans="1:3" x14ac:dyDescent="0.25">
      <c r="A1" s="4" t="s">
        <v>7</v>
      </c>
      <c r="B1" t="s">
        <v>6145</v>
      </c>
    </row>
    <row r="3" spans="1:3" x14ac:dyDescent="0.25">
      <c r="B3" s="4" t="s">
        <v>6144</v>
      </c>
    </row>
    <row r="4" spans="1:3" x14ac:dyDescent="0.25">
      <c r="A4" s="4" t="s">
        <v>6</v>
      </c>
      <c r="B4" t="s">
        <v>6143</v>
      </c>
      <c r="C4" t="s">
        <v>6141</v>
      </c>
    </row>
    <row r="5" spans="1:3" x14ac:dyDescent="0.25">
      <c r="A5" t="s">
        <v>85</v>
      </c>
      <c r="B5" s="5">
        <v>3581</v>
      </c>
      <c r="C5" s="5">
        <v>10202037.079999993</v>
      </c>
    </row>
    <row r="6" spans="1:3" x14ac:dyDescent="0.25">
      <c r="A6" t="s">
        <v>57</v>
      </c>
      <c r="B6" s="5">
        <v>3668</v>
      </c>
      <c r="C6" s="5">
        <v>5621150.8799999943</v>
      </c>
    </row>
    <row r="7" spans="1:3" x14ac:dyDescent="0.25">
      <c r="A7" t="s">
        <v>112</v>
      </c>
      <c r="B7" s="5">
        <v>3471</v>
      </c>
      <c r="C7" s="5">
        <v>4088246.9899999993</v>
      </c>
    </row>
    <row r="8" spans="1:3" x14ac:dyDescent="0.25">
      <c r="A8" t="s">
        <v>169</v>
      </c>
      <c r="B8" s="5">
        <v>3369</v>
      </c>
      <c r="C8" s="5">
        <v>2842599.310000001</v>
      </c>
    </row>
    <row r="9" spans="1:3" x14ac:dyDescent="0.25">
      <c r="A9" t="s">
        <v>22</v>
      </c>
      <c r="B9" s="5">
        <v>3833</v>
      </c>
      <c r="C9" s="5">
        <v>2148944.52</v>
      </c>
    </row>
    <row r="10" spans="1:3" x14ac:dyDescent="0.25">
      <c r="A10" t="s">
        <v>38</v>
      </c>
      <c r="B10" s="5">
        <v>3425</v>
      </c>
      <c r="C10" s="5">
        <v>1422705.9799999995</v>
      </c>
    </row>
    <row r="11" spans="1:3" x14ac:dyDescent="0.25">
      <c r="A11" t="s">
        <v>78</v>
      </c>
      <c r="B11" s="5">
        <v>3433</v>
      </c>
      <c r="C11" s="5">
        <v>1201312.6999999993</v>
      </c>
    </row>
    <row r="12" spans="1:3" x14ac:dyDescent="0.25">
      <c r="A12" t="s">
        <v>31</v>
      </c>
      <c r="B12" s="5">
        <v>3230</v>
      </c>
      <c r="C12" s="5">
        <v>810104.27000000014</v>
      </c>
    </row>
    <row r="13" spans="1:3" x14ac:dyDescent="0.25">
      <c r="A13" t="s">
        <v>6140</v>
      </c>
      <c r="B13" s="5">
        <v>28010</v>
      </c>
      <c r="C13" s="5">
        <v>28337101.729999986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M7" sqref="M7"/>
    </sheetView>
  </sheetViews>
  <sheetFormatPr defaultRowHeight="15" x14ac:dyDescent="0.25"/>
  <cols>
    <col min="1" max="1" width="17.5703125" bestFit="1" customWidth="1"/>
    <col min="2" max="2" width="12" bestFit="1" customWidth="1"/>
  </cols>
  <sheetData>
    <row r="1" spans="1:2" x14ac:dyDescent="0.25">
      <c r="A1" s="4" t="s">
        <v>6141</v>
      </c>
    </row>
    <row r="2" spans="1:2" x14ac:dyDescent="0.25">
      <c r="A2" s="4" t="s">
        <v>2</v>
      </c>
      <c r="B2" t="s">
        <v>6142</v>
      </c>
    </row>
    <row r="3" spans="1:2" x14ac:dyDescent="0.25">
      <c r="A3" t="s">
        <v>36</v>
      </c>
      <c r="B3" s="5">
        <v>2382846.9999999977</v>
      </c>
    </row>
    <row r="4" spans="1:2" x14ac:dyDescent="0.25">
      <c r="A4" t="s">
        <v>27</v>
      </c>
      <c r="B4" s="5">
        <v>2190607.29</v>
      </c>
    </row>
    <row r="5" spans="1:2" x14ac:dyDescent="0.25">
      <c r="A5" t="s">
        <v>61</v>
      </c>
      <c r="B5" s="5">
        <v>2211432.5300000003</v>
      </c>
    </row>
    <row r="6" spans="1:2" x14ac:dyDescent="0.25">
      <c r="A6" t="s">
        <v>54</v>
      </c>
      <c r="B6" s="5">
        <v>1925902.6099999994</v>
      </c>
    </row>
    <row r="7" spans="1:2" x14ac:dyDescent="0.25">
      <c r="A7" t="s">
        <v>42</v>
      </c>
      <c r="B7" s="5">
        <v>2324668.2900000014</v>
      </c>
    </row>
    <row r="8" spans="1:2" x14ac:dyDescent="0.25">
      <c r="A8" t="s">
        <v>173</v>
      </c>
      <c r="B8" s="5">
        <v>2560756.1599999974</v>
      </c>
    </row>
    <row r="9" spans="1:2" x14ac:dyDescent="0.25">
      <c r="A9" t="s">
        <v>195</v>
      </c>
      <c r="B9" s="5">
        <v>2426256.5300000007</v>
      </c>
    </row>
    <row r="10" spans="1:2" x14ac:dyDescent="0.25">
      <c r="A10" t="s">
        <v>93</v>
      </c>
      <c r="B10" s="5">
        <v>2275599.6200000006</v>
      </c>
    </row>
    <row r="11" spans="1:2" x14ac:dyDescent="0.25">
      <c r="A11" t="s">
        <v>116</v>
      </c>
      <c r="B11" s="5">
        <v>2392040.2299999977</v>
      </c>
    </row>
    <row r="12" spans="1:2" x14ac:dyDescent="0.25">
      <c r="A12" t="s">
        <v>76</v>
      </c>
      <c r="B12" s="5">
        <v>2596513.12</v>
      </c>
    </row>
    <row r="13" spans="1:2" x14ac:dyDescent="0.25">
      <c r="A13" t="s">
        <v>18</v>
      </c>
      <c r="B13" s="5">
        <v>2337424.870000001</v>
      </c>
    </row>
    <row r="14" spans="1:2" x14ac:dyDescent="0.25">
      <c r="A14" t="s">
        <v>73</v>
      </c>
      <c r="B14" s="5">
        <v>2713053.4800000014</v>
      </c>
    </row>
    <row r="15" spans="1:2" x14ac:dyDescent="0.25">
      <c r="A15" t="s">
        <v>6140</v>
      </c>
      <c r="B15" s="5">
        <v>28337101.729999997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Retail_Sales_Raw_Data</vt:lpstr>
      <vt:lpstr>PT1_Revenue_Region</vt:lpstr>
      <vt:lpstr>PT2_Sales_Category</vt:lpstr>
      <vt:lpstr>PT3_Revenue_Month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Lenovo</cp:lastModifiedBy>
  <cp:revision/>
  <cp:lastPrinted>2026-03-23T05:22:59Z</cp:lastPrinted>
  <dcterms:created xsi:type="dcterms:W3CDTF">2026-03-17T05:20:50Z</dcterms:created>
  <dcterms:modified xsi:type="dcterms:W3CDTF">2026-05-14T04:35:08Z</dcterms:modified>
  <cp:category/>
  <cp:contentStatus/>
</cp:coreProperties>
</file>